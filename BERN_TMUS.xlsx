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ustomProperty1.bin" ContentType="application/vnd.openxmlformats-officedocument.spreadsheetml.customProperty"/>
  <Override PartName="/xl/comments8.xml" ContentType="application/vnd.openxmlformats-officedocument.spreadsheetml.comments+xml"/>
  <Override PartName="/xl/threadedComments/threadedComment8.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w Chung\Downloads\"/>
    </mc:Choice>
  </mc:AlternateContent>
  <xr:revisionPtr revIDLastSave="0" documentId="13_ncr:1_{2072C478-2F3B-4887-B2CD-570BF6C48941}" xr6:coauthVersionLast="47" xr6:coauthVersionMax="47" xr10:uidLastSave="{00000000-0000-0000-0000-000000000000}"/>
  <bookViews>
    <workbookView xWindow="28680" yWindow="-120" windowWidth="29040" windowHeight="15720" tabRatio="885" activeTab="14" xr2:uid="{F6BCFF0E-07D2-49AF-92F0-3BAB0A51E982}"/>
  </bookViews>
  <sheets>
    <sheet name="BERNSTEIN Cover" sheetId="13" r:id="rId1"/>
    <sheet name="Summary" sheetId="11" r:id="rId2"/>
    <sheet name="Valuation" sheetId="7" state="veryHidden" r:id="rId3"/>
    <sheet name="Valuation (Don't Use)" sheetId="17" state="veryHidden" r:id="rId4"/>
    <sheet name="Consensus" sheetId="10" state="veryHidden" r:id="rId5"/>
    <sheet name="Guidance" sheetId="8" state="veryHidden" r:id="rId6"/>
    <sheet name="Model Review" sheetId="20" state="veryHidden" r:id="rId7"/>
    <sheet name="Impacts from USC" sheetId="18" state="veryHidden" r:id="rId8"/>
    <sheet name="Fiber Forecast" sheetId="21" state="veryHidden" r:id="rId9"/>
    <sheet name="FC - 3FS" sheetId="5" r:id="rId10"/>
    <sheet name="IS Drivers" sheetId="6" r:id="rId11"/>
    <sheet name="BS Drivers" sheetId="9" r:id="rId12"/>
    <sheet name="As Reported" sheetId="1" r:id="rId13"/>
    <sheet name="3FS" sheetId="2" r:id="rId14"/>
    <sheet name="Metrics" sheetId="4" r:id="rId15"/>
    <sheet name="Debt" sheetId="14" state="veryHidden" r:id="rId16"/>
    <sheet name="FWA Analysis" sheetId="15" state="veryHidden" r:id="rId17"/>
    <sheet name="EPS Walk" sheetId="16" state="veryHidden" r:id="rId18"/>
    <sheet name="SCB Ticker Sheet" sheetId="12" state="veryHidden" r:id="rId19"/>
  </sheets>
  <definedNames>
    <definedName name="__123Graph_A" hidden="1">#REF!</definedName>
    <definedName name="__123Graph_ACANALI" hidden="1">#REF!</definedName>
    <definedName name="__123Graph_ACRESC.ALL" hidden="1">#REF!</definedName>
    <definedName name="__123Graph_ACRESCITA" hidden="1">#REF!</definedName>
    <definedName name="__123Graph_ASEGMENTI" hidden="1">#REF!</definedName>
    <definedName name="__123Graph_B" hidden="1">#REF!</definedName>
    <definedName name="__123Graph_BHISTSALES" hidden="1">#REF!</definedName>
    <definedName name="__123Graph_BSAIST" hidden="1">#REF!</definedName>
    <definedName name="__123Graph_LBL_ASEGMENTI" hidden="1">#REF!</definedName>
    <definedName name="__123Graph_LBL_BHISTSALES" hidden="1">#REF!</definedName>
    <definedName name="__123Graph_X" hidden="1">#REF!</definedName>
    <definedName name="__123Graph_XCANALI" hidden="1">#REF!</definedName>
    <definedName name="__123Graph_XChart4" hidden="1">#REF!</definedName>
    <definedName name="__123Graph_XCRESC.ALL" hidden="1">#REF!</definedName>
    <definedName name="__123Graph_XCRESCITA" hidden="1">#REF!</definedName>
    <definedName name="__123Graph_XHISTSALES" hidden="1">#REF!</definedName>
    <definedName name="__123Graph_XSEGMENTI" hidden="1">#REF!</definedName>
    <definedName name="__APW_RESTORE_DATA1__" localSheetId="0" hidden="1">#REF!</definedName>
    <definedName name="__APW_RESTORE_DATA1__" hidden="1">#REF!</definedName>
    <definedName name="__APW_RESTORE_DATA126__" localSheetId="0" hidden="1">#REF!,#REF!,#REF!,#REF!,#REF!,#REF!,#REF!,#REF!,#REF!,#REF!,#REF!,#REF!,#REF!,#REF!,#REF!,#REF!</definedName>
    <definedName name="__APW_RESTORE_DATA126__" hidden="1">#REF!,#REF!,#REF!,#REF!,#REF!,#REF!,#REF!,#REF!,#REF!,#REF!,#REF!,#REF!,#REF!,#REF!,#REF!,#REF!</definedName>
    <definedName name="__APW_RESTORE_DATA127__" localSheetId="0" hidden="1">#REF!,#REF!,#REF!,#REF!,#REF!,#REF!,#REF!,#REF!,#REF!,#REF!,#REF!,#REF!,#REF!,#REF!,#REF!,#REF!</definedName>
    <definedName name="__APW_RESTORE_DATA127__" hidden="1">#REF!,#REF!,#REF!,#REF!,#REF!,#REF!,#REF!,#REF!,#REF!,#REF!,#REF!,#REF!,#REF!,#REF!,#REF!,#REF!</definedName>
    <definedName name="__APW_RESTORE_DATA128__" localSheetId="0" hidden="1">#REF!,#REF!,#REF!,#REF!,#REF!,#REF!,#REF!,#REF!,#REF!,#REF!,#REF!,#REF!,#REF!,#REF!,#REF!,#REF!</definedName>
    <definedName name="__APW_RESTORE_DATA128__" hidden="1">#REF!,#REF!,#REF!,#REF!,#REF!,#REF!,#REF!,#REF!,#REF!,#REF!,#REF!,#REF!,#REF!,#REF!,#REF!,#REF!</definedName>
    <definedName name="__APW_RESTORE_DATA129__" localSheetId="0" hidden="1">#REF!,#REF!,#REF!,#REF!,#REF!,#REF!,#REF!,#REF!,#REF!,#REF!,#REF!,#REF!,#REF!,#REF!,#REF!,#REF!</definedName>
    <definedName name="__APW_RESTORE_DATA129__" hidden="1">#REF!,#REF!,#REF!,#REF!,#REF!,#REF!,#REF!,#REF!,#REF!,#REF!,#REF!,#REF!,#REF!,#REF!,#REF!,#REF!</definedName>
    <definedName name="__APW_RESTORE_DATA130__" localSheetId="0" hidden="1">#REF!,#REF!,#REF!,#REF!,#REF!,#REF!,#REF!,#REF!,#REF!,#REF!,#REF!,#REF!,#REF!,#REF!,#REF!,#REF!</definedName>
    <definedName name="__APW_RESTORE_DATA130__" hidden="1">#REF!,#REF!,#REF!,#REF!,#REF!,#REF!,#REF!,#REF!,#REF!,#REF!,#REF!,#REF!,#REF!,#REF!,#REF!,#REF!</definedName>
    <definedName name="__APW_RESTORE_DATA131__" localSheetId="0" hidden="1">#REF!,#REF!,#REF!,#REF!,#REF!,#REF!,#REF!,#REF!,#REF!,#REF!,#REF!,#REF!,#REF!,#REF!,#REF!,#REF!</definedName>
    <definedName name="__APW_RESTORE_DATA131__" hidden="1">#REF!,#REF!,#REF!,#REF!,#REF!,#REF!,#REF!,#REF!,#REF!,#REF!,#REF!,#REF!,#REF!,#REF!,#REF!,#REF!</definedName>
    <definedName name="__APW_RESTORE_DATA132__" localSheetId="0" hidden="1">#REF!,#REF!,#REF!,#REF!,#REF!,#REF!,#REF!,#REF!,#REF!,#REF!,#REF!,#REF!,#REF!,#REF!,#REF!</definedName>
    <definedName name="__APW_RESTORE_DATA133__" localSheetId="0" hidden="1">#REF!,#REF!,#REF!,#REF!,#REF!,#REF!,#REF!,#REF!,#REF!,#REF!,#REF!,#REF!,#REF!,#REF!,#REF!</definedName>
    <definedName name="__APW_RESTORE_DATA134__" localSheetId="0" hidden="1">#REF!,#REF!,#REF!,#REF!,#REF!,#REF!,#REF!,#REF!,#REF!,#REF!,#REF!,#REF!,#REF!,#REF!,#REF!</definedName>
    <definedName name="__APW_RESTORE_DATA135__" localSheetId="0" hidden="1">#REF!</definedName>
    <definedName name="__APW_RESTORE_DATA136__" localSheetId="0" hidden="1">#REF!,#REF!,#REF!,#REF!,#REF!,#REF!,#REF!,#REF!,#REF!,#REF!,#REF!,#REF!,#REF!,#REF!,#REF!,#REF!</definedName>
    <definedName name="__APW_RESTORE_DATA137__" localSheetId="0" hidden="1">#REF!,#REF!,#REF!,#REF!,#REF!,#REF!,#REF!,#REF!,#REF!,#REF!,#REF!,#REF!,#REF!,#REF!,#REF!,#REF!</definedName>
    <definedName name="__APW_RESTORE_DATA138__" localSheetId="0" hidden="1">#REF!,#REF!,#REF!,#REF!,#REF!,#REF!,#REF!,#REF!,#REF!,#REF!,#REF!,#REF!,#REF!,#REF!,#REF!,#REF!</definedName>
    <definedName name="__APW_RESTORE_DATA139__" localSheetId="0" hidden="1">#REF!,#REF!,#REF!,#REF!,#REF!,#REF!,#REF!,#REF!,#REF!,#REF!,#REF!,#REF!,#REF!,#REF!,#REF!,#REF!</definedName>
    <definedName name="__APW_RESTORE_DATA140__" localSheetId="0" hidden="1">#REF!,#REF!,#REF!,#REF!,#REF!,#REF!,#REF!,#REF!,#REF!,#REF!,#REF!,#REF!,#REF!,#REF!,#REF!,#REF!</definedName>
    <definedName name="__APW_RESTORE_DATA141__" localSheetId="0" hidden="1">#REF!,#REF!,#REF!,#REF!,#REF!,#REF!,#REF!,#REF!,#REF!,#REF!,#REF!,#REF!,#REF!,#REF!,#REF!,#REF!</definedName>
    <definedName name="__APW_RESTORE_DATA142__" localSheetId="0" hidden="1">#REF!,#REF!,#REF!,#REF!,#REF!,#REF!,#REF!,#REF!,#REF!,#REF!,#REF!,#REF!,#REF!,#REF!,#REF!</definedName>
    <definedName name="__APW_RESTORE_DATA143__" localSheetId="0" hidden="1">#REF!,#REF!,#REF!,#REF!,#REF!,#REF!,#REF!,#REF!,#REF!,#REF!,#REF!,#REF!,#REF!,#REF!,#REF!</definedName>
    <definedName name="__APW_RESTORE_DATA144__" localSheetId="0" hidden="1">#REF!,#REF!,#REF!,#REF!,#REF!,#REF!,#REF!,#REF!,#REF!,#REF!,#REF!,#REF!,#REF!,#REF!,#REF!</definedName>
    <definedName name="__APW_RESTORE_DATA145__" localSheetId="0" hidden="1">#REF!</definedName>
    <definedName name="__APW_RESTORE_DATA2__" localSheetId="0" hidden="1">#REF!</definedName>
    <definedName name="__FDS_HYPERLINK_TOGGLE_STATE__" hidden="1">"ON"</definedName>
    <definedName name="__FDS_UNIQUE_RANGE_ID_GENERATOR_COUNTER">1</definedName>
    <definedName name="_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136"}</definedName>
    <definedName name="_1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127"}</definedName>
    <definedName name="_10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37"}</definedName>
    <definedName name="_10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10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10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10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10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10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10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10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10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10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10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36"}</definedName>
    <definedName name="_10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10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10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10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10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10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10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10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10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10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10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35"}</definedName>
    <definedName name="_10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10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10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10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10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10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10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10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10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10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10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34"}</definedName>
    <definedName name="_10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10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10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10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10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10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10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10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10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10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10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33"}</definedName>
    <definedName name="_10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10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10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10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10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10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10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10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10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10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10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32"}</definedName>
    <definedName name="_10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10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10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10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10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10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10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10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10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10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10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31"}</definedName>
    <definedName name="_10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10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10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10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10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10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10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10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10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10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10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30"}</definedName>
    <definedName name="_10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10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10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10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10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10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10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10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10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10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10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29"}</definedName>
    <definedName name="_10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10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10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10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10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10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10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10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10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10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10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28"}</definedName>
    <definedName name="_10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10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1092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28"}</definedName>
    <definedName name="_1093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27"}</definedName>
    <definedName name="_1094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26"}</definedName>
    <definedName name="_1095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25"}</definedName>
    <definedName name="_1096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24"}</definedName>
    <definedName name="_1097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23"}</definedName>
    <definedName name="_1098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22"}</definedName>
    <definedName name="_1099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21"}</definedName>
    <definedName name="_1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126"}</definedName>
    <definedName name="_11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27"}</definedName>
    <definedName name="_1100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20"}</definedName>
    <definedName name="_1101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19"}</definedName>
    <definedName name="_1102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18"}</definedName>
    <definedName name="_1103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17"}</definedName>
    <definedName name="_1104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16"}</definedName>
    <definedName name="_1105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15"}</definedName>
    <definedName name="_1106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14"}</definedName>
    <definedName name="_1107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13"}</definedName>
    <definedName name="_1108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12"}</definedName>
    <definedName name="_1109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11"}</definedName>
    <definedName name="_11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26"}</definedName>
    <definedName name="_1110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10"}</definedName>
    <definedName name="_1111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9"}</definedName>
    <definedName name="_1112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8"}</definedName>
    <definedName name="_1113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7"}</definedName>
    <definedName name="_1114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6"}</definedName>
    <definedName name="_1115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5"}</definedName>
    <definedName name="_1116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4"}</definedName>
    <definedName name="_1117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3"}</definedName>
    <definedName name="_1118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2"}</definedName>
    <definedName name="_1119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1"}</definedName>
    <definedName name="_11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25"}</definedName>
    <definedName name="_1120__FDSAUDITLINK__" hidden="1">{"fdsup://directions/FAT Viewer?action=UPDATE&amp;creator=factset&amp;DYN_ARGS=TRUE&amp;DOC_NAME=FAT:FQL_AUDITING_CLIENT_TEMPLATE.FAT&amp;display_string=Audit&amp;VAR:KEY=CXMPYTURCZ&amp;VAR:QUERY=SlVMSUFOKElDX0VTVElNQVRFKEVQUygpLE1FQU4sTlRNX1RXQSwsMzk4MTQsNDA3MTcsTSkuZGF0ZXMp&amp;WIND","OW=FIRST_POPUP&amp;HEIGHT=450&amp;WIDTH=450&amp;START_MAXIMIZED=FALSE&amp;VAR:CALENDAR=US&amp;VAR:SYMBOL=44857910&amp;VAR:INDEX=0"}</definedName>
    <definedName name="_11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11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11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11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11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11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11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11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11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11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24"}</definedName>
    <definedName name="_11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11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11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11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11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11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11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11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11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11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11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23"}</definedName>
    <definedName name="_11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11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11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11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11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11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11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11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11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11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11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22"}</definedName>
    <definedName name="_11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11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11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11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11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11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11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11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11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11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11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21"}</definedName>
    <definedName name="_11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11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11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11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11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11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11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11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11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11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11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20"}</definedName>
    <definedName name="_11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11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11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11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11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11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11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11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11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11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11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19"}</definedName>
    <definedName name="_11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11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11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11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11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11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11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11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11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11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11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18"}</definedName>
    <definedName name="_11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11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11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11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11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11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11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11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11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11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1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125"}</definedName>
    <definedName name="_12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17"}</definedName>
    <definedName name="_12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12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12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12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12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12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12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12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12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12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12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16"}</definedName>
    <definedName name="_12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12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12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12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12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12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12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12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12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12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12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15"}</definedName>
    <definedName name="_12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12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12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12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12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12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12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12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12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12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12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14"}</definedName>
    <definedName name="_12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12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12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12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12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12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12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12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12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12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12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definedName>
    <definedName name="_12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12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12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12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12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12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12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12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12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12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12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definedName>
    <definedName name="_12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12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12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12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12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12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12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12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12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12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12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definedName>
    <definedName name="_12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12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12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12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12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12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12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12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12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12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12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definedName>
    <definedName name="_12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12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12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12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12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12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12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12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12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12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12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definedName>
    <definedName name="_12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12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12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12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12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12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12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12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12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12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12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definedName>
    <definedName name="_12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12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12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12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12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12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12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12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12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12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1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124"}</definedName>
    <definedName name="_13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definedName>
    <definedName name="_13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13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13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13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13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13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13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13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13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13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13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definedName>
    <definedName name="_13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13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13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13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13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13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13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13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13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13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13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definedName>
    <definedName name="_13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13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13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13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13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13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13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13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13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13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13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definedName>
    <definedName name="_13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13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13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13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13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13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13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13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13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13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13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definedName>
    <definedName name="_13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13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13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13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13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13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13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13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13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13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13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definedName>
    <definedName name="_13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13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13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13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13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13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13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13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13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13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13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definedName>
    <definedName name="_13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13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13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13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13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13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13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13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13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13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13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0"}</definedName>
    <definedName name="_13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13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13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13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13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13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13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13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13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13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13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136"}</definedName>
    <definedName name="_13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13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13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13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13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13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13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13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13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13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13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135"}</definedName>
    <definedName name="_13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13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13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139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139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139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139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139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139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139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1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123"}</definedName>
    <definedName name="_14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134"}</definedName>
    <definedName name="_140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140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140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140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140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140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140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140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140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140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0"}</definedName>
    <definedName name="_14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133"}</definedName>
    <definedName name="_14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14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14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14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14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14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14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14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14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14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14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132"}</definedName>
    <definedName name="_14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14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14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14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14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14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14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14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14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14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14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131"}</definedName>
    <definedName name="_14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14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14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14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14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14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14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14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14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14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14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130"}</definedName>
    <definedName name="_14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14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14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14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14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14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14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14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14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14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14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129"}</definedName>
    <definedName name="_14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14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14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14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14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14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14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14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14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14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14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128"}</definedName>
    <definedName name="_14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14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14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14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14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14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14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14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14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14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14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127"}</definedName>
    <definedName name="_14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14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14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14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14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14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14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14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14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14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14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126"}</definedName>
    <definedName name="_14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14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14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14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14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14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14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14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14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14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14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125"}</definedName>
    <definedName name="_14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14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14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14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14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14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14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14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14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14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1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122"}</definedName>
    <definedName name="_15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124"}</definedName>
    <definedName name="_15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15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15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15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15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15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15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15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15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15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15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123"}</definedName>
    <definedName name="_15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15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15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15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15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15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15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15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15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15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15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122"}</definedName>
    <definedName name="_15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15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15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15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15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15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15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15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15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15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15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121"}</definedName>
    <definedName name="_15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15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15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15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15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15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15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15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15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15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15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120"}</definedName>
    <definedName name="_15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15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15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15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15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15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15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15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15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15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15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119"}</definedName>
    <definedName name="_15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15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15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15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15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15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15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15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15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15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15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118"}</definedName>
    <definedName name="_15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15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15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15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15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15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15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15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15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15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15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117"}</definedName>
    <definedName name="_15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15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15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15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15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15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15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15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15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15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15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116"}</definedName>
    <definedName name="_15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15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15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15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15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15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15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15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15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15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15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115"}</definedName>
    <definedName name="_15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15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15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15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15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15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15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15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15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15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1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121"}</definedName>
    <definedName name="_16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114"}</definedName>
    <definedName name="_16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16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16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16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16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16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16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16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16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16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16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113"}</definedName>
    <definedName name="_16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16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16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16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16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16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16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16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16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16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16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112"}</definedName>
    <definedName name="_16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16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16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16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16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16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16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16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16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16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16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111"}</definedName>
    <definedName name="_16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16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16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16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16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16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16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16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16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16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16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110"}</definedName>
    <definedName name="_16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16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16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16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16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16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16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16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16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16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16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109"}</definedName>
    <definedName name="_16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16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16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16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16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16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16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16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16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16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16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108"}</definedName>
    <definedName name="_16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16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16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16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16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16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16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16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16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16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16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107"}</definedName>
    <definedName name="_16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16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16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16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16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16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16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16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16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16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16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106"}</definedName>
    <definedName name="_16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16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168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168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168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168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168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168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168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168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16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105"}</definedName>
    <definedName name="_169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169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169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169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169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169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169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169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16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16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1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120"}</definedName>
    <definedName name="_17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104"}</definedName>
    <definedName name="_17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17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17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17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17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17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17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17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17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17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17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103"}</definedName>
    <definedName name="_17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17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17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17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17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17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17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17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17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17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17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102"}</definedName>
    <definedName name="_17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17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17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17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17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17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17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17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17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17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17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101"}</definedName>
    <definedName name="_17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17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17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17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17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17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17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17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17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17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17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100"}</definedName>
    <definedName name="_17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17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17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17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17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17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17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17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17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17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17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99"}</definedName>
    <definedName name="_17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17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17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17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17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17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17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17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17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17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17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98"}</definedName>
    <definedName name="_17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17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17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17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17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17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17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17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17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17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17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97"}</definedName>
    <definedName name="_17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17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17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17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17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17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17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17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17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17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17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96"}</definedName>
    <definedName name="_17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17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17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17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17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17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17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17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17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17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17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95"}</definedName>
    <definedName name="_17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17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17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17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17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17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17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17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17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17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1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119"}</definedName>
    <definedName name="_18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94"}</definedName>
    <definedName name="_18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18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18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18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18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18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18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18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18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18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18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93"}</definedName>
    <definedName name="_18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18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18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18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18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18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18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18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18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18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18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92"}</definedName>
    <definedName name="_18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18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18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18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18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18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18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18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18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18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18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91"}</definedName>
    <definedName name="_18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18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18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18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18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18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18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18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18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18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18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90"}</definedName>
    <definedName name="_18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18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18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18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18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18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18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18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18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18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18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89"}</definedName>
    <definedName name="_18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18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18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18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18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18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18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18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18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18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18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88"}</definedName>
    <definedName name="_18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18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18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18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18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18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18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18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18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18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18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87"}</definedName>
    <definedName name="_18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18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18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18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18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18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18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18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18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18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18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86"}</definedName>
    <definedName name="_18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18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18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18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18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18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18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18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18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18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18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85"}</definedName>
    <definedName name="_18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18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18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18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18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18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18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18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18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18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1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118"}</definedName>
    <definedName name="_19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84"}</definedName>
    <definedName name="_19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19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19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19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19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19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19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19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19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19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19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83"}</definedName>
    <definedName name="_19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19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19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19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19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19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19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19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19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19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19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82"}</definedName>
    <definedName name="_19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19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19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19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19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19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19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19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19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19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19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81"}</definedName>
    <definedName name="_19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19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19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19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19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19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19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19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19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19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19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80"}</definedName>
    <definedName name="_19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19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19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19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19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19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19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19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19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19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19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79"}</definedName>
    <definedName name="_19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19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19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19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19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19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19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19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19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19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19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78"}</definedName>
    <definedName name="_19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19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19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19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19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19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19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19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19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19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19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77"}</definedName>
    <definedName name="_197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197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197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197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197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197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197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197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197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197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19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76"}</definedName>
    <definedName name="_198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198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198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198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198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198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19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19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19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19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19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75"}</definedName>
    <definedName name="_19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19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19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19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19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19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19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19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19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19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135"}</definedName>
    <definedName name="_2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117"}</definedName>
    <definedName name="_20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74"}</definedName>
    <definedName name="_20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20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20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20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20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20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20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20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20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20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20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73"}</definedName>
    <definedName name="_20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20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20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20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20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20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20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20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20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20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20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72"}</definedName>
    <definedName name="_20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20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20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20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20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20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20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20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20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20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20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71"}</definedName>
    <definedName name="_20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20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20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20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20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20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20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20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20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20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20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70"}</definedName>
    <definedName name="_20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20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20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20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20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20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20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20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20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20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20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69"}</definedName>
    <definedName name="_20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20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20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20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20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20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20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20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20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20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20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68"}</definedName>
    <definedName name="_20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20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20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20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20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20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20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20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20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20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20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67"}</definedName>
    <definedName name="_20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20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20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20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20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20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20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20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20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20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20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66"}</definedName>
    <definedName name="_20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20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20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20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20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20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20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20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20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20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20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65"}</definedName>
    <definedName name="_20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20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20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20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20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20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20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20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20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20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2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116"}</definedName>
    <definedName name="_21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64"}</definedName>
    <definedName name="_21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21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21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21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21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21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21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21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21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21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21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63"}</definedName>
    <definedName name="_21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21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21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21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21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21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21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21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21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21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21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62"}</definedName>
    <definedName name="_21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21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21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21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21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21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21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21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21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21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21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61"}</definedName>
    <definedName name="_21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21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21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21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21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21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21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21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21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21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21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60"}</definedName>
    <definedName name="_21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21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21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21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21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21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21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21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21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21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21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59"}</definedName>
    <definedName name="_21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21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21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21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21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21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21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21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21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21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21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58"}</definedName>
    <definedName name="_21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21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21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21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21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21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21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21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21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21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21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57"}</definedName>
    <definedName name="_21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21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21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21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21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21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21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21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21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21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21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56"}</definedName>
    <definedName name="_21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21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21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21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21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21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21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21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21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21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21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55"}</definedName>
    <definedName name="_21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21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21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21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21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21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21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21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21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21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2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115"}</definedName>
    <definedName name="_22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54"}</definedName>
    <definedName name="_22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22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22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22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22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22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22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22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22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22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22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53"}</definedName>
    <definedName name="_22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22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22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22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22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22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22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22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22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22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22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52"}</definedName>
    <definedName name="_22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22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22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22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22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22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22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22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22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22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22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51"}</definedName>
    <definedName name="_22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22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22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22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22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22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22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22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22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22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22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50"}</definedName>
    <definedName name="_22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22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22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22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22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22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22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22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22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22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22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49"}</definedName>
    <definedName name="_22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22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22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22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22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22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22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22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225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225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22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48"}</definedName>
    <definedName name="_226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226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226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226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226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226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226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226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226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226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22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47"}</definedName>
    <definedName name="_227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227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227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227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22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22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22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22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22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22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22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46"}</definedName>
    <definedName name="_22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22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22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22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22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22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22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22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22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22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22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45"}</definedName>
    <definedName name="_22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22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22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22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22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22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22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22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22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22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2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114"}</definedName>
    <definedName name="_23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44"}</definedName>
    <definedName name="_23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23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23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23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23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23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23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23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23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23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23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43"}</definedName>
    <definedName name="_23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23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23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23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23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23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23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23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23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23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23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42"}</definedName>
    <definedName name="_23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23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23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23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23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23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23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23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23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23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23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41"}</definedName>
    <definedName name="_23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23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23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23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23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23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23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23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23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23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23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40"}</definedName>
    <definedName name="_23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23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23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23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23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23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23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23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23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23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23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39"}</definedName>
    <definedName name="_23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23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23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23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23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23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23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23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23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23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23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38"}</definedName>
    <definedName name="_23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23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23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23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23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23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23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23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23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23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23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37"}</definedName>
    <definedName name="_23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23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23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23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23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23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23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23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23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23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23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36"}</definedName>
    <definedName name="_23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23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23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23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23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23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23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23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23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23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23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35"}</definedName>
    <definedName name="_23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23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23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23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23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23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23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23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23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23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2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113"}</definedName>
    <definedName name="_24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34"}</definedName>
    <definedName name="_24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24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24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24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24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24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24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24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24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24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24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33"}</definedName>
    <definedName name="_24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24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24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24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24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24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24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24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24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24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24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32"}</definedName>
    <definedName name="_24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24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24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24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24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24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24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24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24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24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24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31"}</definedName>
    <definedName name="_24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24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24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24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24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24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24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24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24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24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24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30"}</definedName>
    <definedName name="_24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24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24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24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24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24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24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24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24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24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24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29"}</definedName>
    <definedName name="_24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24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24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24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24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24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24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24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24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24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24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28"}</definedName>
    <definedName name="_24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24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24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24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24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24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24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24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24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24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24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27"}</definedName>
    <definedName name="_24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24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24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24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24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24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24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24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24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24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24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26"}</definedName>
    <definedName name="_24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24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24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24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24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24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24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24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24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24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24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25"}</definedName>
    <definedName name="_24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24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24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24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24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24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24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24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24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24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2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112"}</definedName>
    <definedName name="_25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24"}</definedName>
    <definedName name="_25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25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25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25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25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25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25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25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25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25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25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23"}</definedName>
    <definedName name="_25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25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25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25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25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25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25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25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25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25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25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22"}</definedName>
    <definedName name="_25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25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25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25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25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25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25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25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25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25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25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21"}</definedName>
    <definedName name="_25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25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25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25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25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25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25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25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25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25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25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20"}</definedName>
    <definedName name="_25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25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25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25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25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25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254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254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254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254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25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19"}</definedName>
    <definedName name="_255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255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255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255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255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255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255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255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255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255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25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18"}</definedName>
    <definedName name="_256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256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25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25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25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25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25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25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25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25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25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17"}</definedName>
    <definedName name="_25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25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25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25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25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25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25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25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25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25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25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16"}</definedName>
    <definedName name="_25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25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25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25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25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25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25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25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25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25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25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15"}</definedName>
    <definedName name="_25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25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25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25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25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25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25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25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25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25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2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111"}</definedName>
    <definedName name="_26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14"}</definedName>
    <definedName name="_26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26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26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26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26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26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26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26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26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26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26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definedName>
    <definedName name="_26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26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26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26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26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26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26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26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26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26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26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definedName>
    <definedName name="_26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26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26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26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26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26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26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26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26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26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26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definedName>
    <definedName name="_26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26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26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26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26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26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26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26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26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26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26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definedName>
    <definedName name="_26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26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26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26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26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26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26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26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26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26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26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definedName>
    <definedName name="_26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26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26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26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26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26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26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26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26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26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26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definedName>
    <definedName name="_26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26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26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26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26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26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26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26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26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26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26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definedName>
    <definedName name="_26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26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26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26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26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26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26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26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26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26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26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definedName>
    <definedName name="_26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26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26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26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26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26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26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26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26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26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26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definedName>
    <definedName name="_26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26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26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26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26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26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26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26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26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26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2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110"}</definedName>
    <definedName name="_27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definedName>
    <definedName name="_27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27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27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27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27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27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27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27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27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27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27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definedName>
    <definedName name="_27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27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27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27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27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27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27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27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27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27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27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2"}</definedName>
    <definedName name="_27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27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27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27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27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27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27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27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27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27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27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definedName>
    <definedName name="_27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27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27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27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27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27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27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27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27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27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2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27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27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27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27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27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27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27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27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27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27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2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27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27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27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27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27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27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27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27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27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27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2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27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27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27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27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27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27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27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27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27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27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2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27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27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27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27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27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27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27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27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27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27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2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27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27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27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27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27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27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27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27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27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27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2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27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27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27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27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27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27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27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27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27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27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2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109"}</definedName>
    <definedName name="_2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28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28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28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28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28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28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28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28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28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28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2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28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28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28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28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28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28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28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28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28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28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2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28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28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28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28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28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28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28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28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28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28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2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28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28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28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28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283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283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283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283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283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283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2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284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284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284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284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284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284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284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284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284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284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2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28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28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28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28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28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28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28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28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28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28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2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28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28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28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28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28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28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28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28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28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28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2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28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28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28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28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28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28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28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28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28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28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2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28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28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28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28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28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28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28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28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28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28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2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28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28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28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28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28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28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28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28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28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28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2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108"}</definedName>
    <definedName name="_2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29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29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29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29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29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29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29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29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29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29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2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29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29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29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29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29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29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29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29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29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29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2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29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29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29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29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29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29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29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29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29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29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2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29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29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29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29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29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29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29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29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29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29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2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29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29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29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29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29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29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29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29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29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29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2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29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29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29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29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29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29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29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29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29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29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2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29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29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29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29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29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29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29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29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29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29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2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29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29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29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29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29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29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29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29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29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29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2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29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29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29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29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29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29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29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29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29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29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2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29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29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29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29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29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29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29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29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29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29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134"}</definedName>
    <definedName name="_3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107"}</definedName>
    <definedName name="_3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30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30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30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30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30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30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30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30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30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30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3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30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30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30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30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30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30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30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30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30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30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3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30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30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30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30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30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30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30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30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30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30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3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30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30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30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30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30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30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30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30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30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30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3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30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30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30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30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30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30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30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30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30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30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3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30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30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30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30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30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30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30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30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30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30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3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30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30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30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30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30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30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30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30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30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30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3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30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30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30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30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30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30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30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30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30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30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3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30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30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30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30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30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30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30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30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30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30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3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30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30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30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30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30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30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30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30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30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30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3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106"}</definedName>
    <definedName name="_3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31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31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31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31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31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31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31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31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31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31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3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31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31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31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31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31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31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31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31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31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31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3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31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31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312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312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312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312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312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312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312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312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3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313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313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313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313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313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313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313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313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31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31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3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31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31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31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31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31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31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31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31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31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31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3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31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31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31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31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31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31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31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31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31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31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3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31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31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31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31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31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31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31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31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31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31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3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31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31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31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31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31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31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31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31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31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31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3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31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31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31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31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31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31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31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31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31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31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3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31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31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31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31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31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31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31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31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31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31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3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105"}</definedName>
    <definedName name="_3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32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32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32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32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32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32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32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32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32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32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3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32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32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32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32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32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32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32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32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32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32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3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32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32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32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32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32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32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32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32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32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32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3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32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32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32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32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32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32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32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32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32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32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3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32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32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32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32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32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32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32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32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32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32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3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32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32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32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32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32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32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32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32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32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32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3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32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32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32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32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32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32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32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32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32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32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3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32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32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32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32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32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32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32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32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32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32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3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32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32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32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32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32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32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32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32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32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32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3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32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32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32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32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32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32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32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32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32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32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3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104"}</definedName>
    <definedName name="_3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33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33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33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33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33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33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33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33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33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33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3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33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33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33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33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33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33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33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33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33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33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3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33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33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33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33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33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33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33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33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33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33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3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33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33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33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33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33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33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33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33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33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33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3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33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33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33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33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33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33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33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33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33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33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3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33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33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33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33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33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33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33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33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33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33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3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33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33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33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33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33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33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33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33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33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33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3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33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33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33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33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33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33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33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33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33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33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3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33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33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33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33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33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33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33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33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33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33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3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33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33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33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33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33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33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33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33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33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33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3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103"}</definedName>
    <definedName name="_3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34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34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34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34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34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34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34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34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34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34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3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341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341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341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341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341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341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341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341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341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341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3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342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342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342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342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342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342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34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34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34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34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3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34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34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34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34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34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34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34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34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34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34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3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34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34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34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34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34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34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34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34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34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34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3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34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34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34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34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34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34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34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34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34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34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3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34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34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34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34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34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34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34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34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34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34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3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34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34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34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34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34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34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34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34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34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34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3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34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34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34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34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34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34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34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34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34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34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3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34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34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34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34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34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34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34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34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34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34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3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102"}</definedName>
    <definedName name="_3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35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35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35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35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35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35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35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35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35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35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3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35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35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35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35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35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35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35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35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35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35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3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35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35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35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35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35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35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35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35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35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35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3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35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35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35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35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35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35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35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35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35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35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3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35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35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35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35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35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35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35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35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35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35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3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35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35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35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35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35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35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35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35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35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35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3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35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35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35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35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35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35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35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35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35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35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3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35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35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35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35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35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35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35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35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35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35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3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35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35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35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35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35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35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35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35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35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35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3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35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35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35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35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35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35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35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35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35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35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3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101"}</definedName>
    <definedName name="_3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36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36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36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36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36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36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36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36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36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36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3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36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36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36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36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36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36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36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36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36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36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3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36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36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36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36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36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36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36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36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36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36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3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36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36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36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36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36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36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36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36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36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36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3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36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36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36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36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36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36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36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36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36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36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3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36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36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36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36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36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36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36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36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36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36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3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36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36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36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36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36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36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36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36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36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36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3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36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36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36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36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36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36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36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36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36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36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3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36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36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36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36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36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36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36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36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36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36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3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36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36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36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36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36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36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36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36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369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369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3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100"}</definedName>
    <definedName name="_3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370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370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370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370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370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370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370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370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370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370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3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371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371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371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371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37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37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37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37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37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37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3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37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37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37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37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37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37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37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37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37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37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3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37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37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37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37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37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37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37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37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37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37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3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37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37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37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37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37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37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37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37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37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37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3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37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37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37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37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37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37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37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37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37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37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3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37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37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37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37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37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37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37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37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37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37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3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37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37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37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37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37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37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37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37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37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37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3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37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37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37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37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37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37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37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37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37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37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3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37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37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37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37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37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37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37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37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37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37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3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99"}</definedName>
    <definedName name="_3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38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38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38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38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38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38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38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38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38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38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3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38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38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38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38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38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38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38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38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38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38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3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38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38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38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38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38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38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38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38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38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38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3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38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38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38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38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38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38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38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38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38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38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3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38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38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38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38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38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38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38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38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38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38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3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38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38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38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38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38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38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38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38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38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38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3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38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38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38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38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38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38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38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38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38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38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3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38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38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38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38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38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38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38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38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38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38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3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38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38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38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38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38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38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38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38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38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38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3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38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38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38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38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38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38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38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38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38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38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3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98"}</definedName>
    <definedName name="_3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39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39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39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39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39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39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39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39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39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39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3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39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39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39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39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39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39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39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39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39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39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3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39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39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39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39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39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39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39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39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39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39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3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39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39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39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39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39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39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39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39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39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39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3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39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39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39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39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39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39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39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39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39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39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3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39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39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39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39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39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39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39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39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39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39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3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39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39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39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39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39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39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39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39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39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39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3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39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39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39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39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39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39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39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39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39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39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3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39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39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39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39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39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39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398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398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398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398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3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399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399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399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399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399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399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399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399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399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399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133"}</definedName>
    <definedName name="_4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97"}</definedName>
    <definedName name="_4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400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400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40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40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40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40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40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40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40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40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4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40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40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40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40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40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40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40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40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40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40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4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40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40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40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40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40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40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40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40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40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40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4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40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40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40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40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40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40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40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40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40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40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4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40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40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40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40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40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40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40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40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40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40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4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40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40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40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40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40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40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40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40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40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40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4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40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40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40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40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40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40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40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40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40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40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4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40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40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40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40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40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40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40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40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40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40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4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40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40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40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40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40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40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40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40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40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40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4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40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40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40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40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40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40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40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40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40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40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4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96"}</definedName>
    <definedName name="_4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0"}</definedName>
    <definedName name="_41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41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41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41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41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41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41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41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41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41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4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41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41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41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41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41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41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41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41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41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41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4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41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41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41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41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41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41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41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41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41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41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4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41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41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41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41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41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41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41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41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41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41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4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41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41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41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41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41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41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41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41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41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41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4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41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41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41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41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41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41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41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41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41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41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4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41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41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41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41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41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41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41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41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41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41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4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41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41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41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41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41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41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41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41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41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41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4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41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41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41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41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41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41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41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41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41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41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4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41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41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41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41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41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41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41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41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41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41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4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95"}</definedName>
    <definedName name="_4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42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42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42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42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42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42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42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42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42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42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4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42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42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42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42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42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42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42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42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42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42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4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42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42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42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42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42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42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42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42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42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42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4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42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42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42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42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42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42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42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42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42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42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4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42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42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42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42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42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42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42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42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42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42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4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42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42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42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42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42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42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42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42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42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42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4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42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42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42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42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42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42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42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42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42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42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4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42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42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42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42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427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427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427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427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427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427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4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428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428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428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428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428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428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428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428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428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428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4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42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42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42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42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42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42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42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42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42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42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4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94"}</definedName>
    <definedName name="_4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43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43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43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43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43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43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43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43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43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43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4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43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43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43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43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43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43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43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43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43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43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4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43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43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43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43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43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43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43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43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43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43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4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43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43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43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43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43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43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43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43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43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43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4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43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43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43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43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43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43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43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43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43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43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4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43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43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43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43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43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43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43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43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43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43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4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43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43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43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43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43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43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43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43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43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43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4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43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43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43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43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43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43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43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43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43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43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4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43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43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43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43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43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43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43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43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43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43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4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43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43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43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43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43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43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43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43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43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43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4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93"}</definedName>
    <definedName name="_4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44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44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44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44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44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44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44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44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44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44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4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44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44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44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44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44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44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44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44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44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44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4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44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44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44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44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44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44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44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44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44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44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4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44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44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44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44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44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44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44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44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44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44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4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44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44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44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44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44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44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44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44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44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44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4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44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44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44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44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44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44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44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44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44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44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4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44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44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44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44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44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44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44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44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44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44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4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44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44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44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44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44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44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44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44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44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44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4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44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44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44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44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44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44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44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44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44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44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4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44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44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44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44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44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44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44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44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44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44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4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92"}</definedName>
    <definedName name="_4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45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45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45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45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45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45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45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45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45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45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4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45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45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45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45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45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45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45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45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45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45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4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45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45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45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45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45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45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45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45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45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45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4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45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45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45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45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45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45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45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45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45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45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4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45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45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45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45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45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45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45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45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45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45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4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45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45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45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45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45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45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45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45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45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45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4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45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45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456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456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456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456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456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456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456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456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4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457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457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457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457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457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457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457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457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45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45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4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45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45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45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45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45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45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45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45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45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45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4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45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45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45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45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45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45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45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45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45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45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4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91"}</definedName>
    <definedName name="_4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46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46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46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46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46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46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46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46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46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46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4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46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46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46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46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46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46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46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46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46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46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4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46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46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46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46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46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46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46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46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46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46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4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46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46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46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46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46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46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46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46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46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46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4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46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46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46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46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46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46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46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46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46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46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4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46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46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46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46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46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46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46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46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46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46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4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46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46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46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46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46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46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46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46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46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46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4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46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46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46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46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46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46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46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46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46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46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4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46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46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46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46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46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46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46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46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46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46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4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46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46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46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46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46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46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46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46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46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46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4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90"}</definedName>
    <definedName name="_4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47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47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47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47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47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47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47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47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47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47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4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47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47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47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47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47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47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47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47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47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47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4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47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47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47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47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47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47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47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47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47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47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4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47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47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47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47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47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47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47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47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47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47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4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47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47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47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47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47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47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47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47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47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47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4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47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47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47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47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47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47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47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47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47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47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4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47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47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47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47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47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47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47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47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47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47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4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47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47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47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47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47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47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47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47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47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47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4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47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47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47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47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47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47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47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47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47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47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4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47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47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47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47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47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47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47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47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47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47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4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89"}</definedName>
    <definedName name="_4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48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48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48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48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48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48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48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48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48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48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4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48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48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48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48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48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48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48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48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48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48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4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48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48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48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48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48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48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48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48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48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48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4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48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48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48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48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48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48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48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48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48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48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4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48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48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48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48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48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48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48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48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48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48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4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485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16"}</definedName>
    <definedName name="_485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15"}</definedName>
    <definedName name="_485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14"}</definedName>
    <definedName name="_485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13"}</definedName>
    <definedName name="_485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12"}</definedName>
    <definedName name="_485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11"}</definedName>
    <definedName name="_4856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10"}</definedName>
    <definedName name="_4857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9"}</definedName>
    <definedName name="_4858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8"}</definedName>
    <definedName name="_4859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7"}</definedName>
    <definedName name="_4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4860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6"}</definedName>
    <definedName name="_4861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5"}</definedName>
    <definedName name="_4862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4"}</definedName>
    <definedName name="_4863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3"}</definedName>
    <definedName name="_4864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2"}</definedName>
    <definedName name="_4865__FDSAUDITLINK__" hidden="1">{"fdsup://directions/FAT Viewer?action=UPDATE&amp;creator=factset&amp;DYN_ARGS=TRUE&amp;DOC_NAME=FAT:FQL_AUDITING_CLIENT_TEMPLATE.FAT&amp;display_string=Audit&amp;VAR:KEY=UBIFGRETOF&amp;VAR:QUERY=SlVMSUFOKElDX0VTVElNQVRFKEVQUygpLE1FQU4sTlRNX1RXQSwsNDAxNzksNDA3MTcsTSkuZGF0ZXMp&amp;WIND","OW=FIRST_POPUP&amp;HEIGHT=450&amp;WIDTH=450&amp;START_MAXIMIZED=FALSE&amp;VAR:CALENDAR=US&amp;VAR:SYMBOL=44857910&amp;VAR:INDEX=1"}</definedName>
    <definedName name="_4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4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4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4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88"}</definedName>
    <definedName name="_4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4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4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4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4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4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4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4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4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4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132"}</definedName>
    <definedName name="_5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87"}</definedName>
    <definedName name="_5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5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5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5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5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5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5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5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5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5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5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86"}</definedName>
    <definedName name="_5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5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5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5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5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5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5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5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5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5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5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85"}</definedName>
    <definedName name="_5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5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5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5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5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5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5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5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5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5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5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84"}</definedName>
    <definedName name="_5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5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5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5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5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5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5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5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5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5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5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83"}</definedName>
    <definedName name="_5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5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5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5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5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5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5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5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5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5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5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82"}</definedName>
    <definedName name="_5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5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5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5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5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5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5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5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5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5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5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81"}</definedName>
    <definedName name="_5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5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5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5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5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5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5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5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5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5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5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80"}</definedName>
    <definedName name="_5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5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5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5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5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5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5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5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5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5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5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79"}</definedName>
    <definedName name="_5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5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5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5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5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5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5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5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5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5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5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78"}</definedName>
    <definedName name="_5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5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5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5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5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5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5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5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5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5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131"}</definedName>
    <definedName name="_6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77"}</definedName>
    <definedName name="_6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6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6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6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6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6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6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6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6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6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6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76"}</definedName>
    <definedName name="_6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6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6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6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6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6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6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6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6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6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6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75"}</definedName>
    <definedName name="_6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6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6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6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6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6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6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6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6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6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6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74"}</definedName>
    <definedName name="_6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6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6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6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6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6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6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6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6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6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6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73"}</definedName>
    <definedName name="_6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6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6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6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6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6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6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6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6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6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6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72"}</definedName>
    <definedName name="_6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6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6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6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6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6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6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6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6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6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6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71"}</definedName>
    <definedName name="_6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6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6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6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6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6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6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6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6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6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6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70"}</definedName>
    <definedName name="_6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6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6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6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6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6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6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6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6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6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6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69"}</definedName>
    <definedName name="_6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6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6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6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6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6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6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6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6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6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6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68"}</definedName>
    <definedName name="_6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6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6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6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6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6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6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6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6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6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130"}</definedName>
    <definedName name="_7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67"}</definedName>
    <definedName name="_7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7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7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7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7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7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7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7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7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7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7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66"}</definedName>
    <definedName name="_7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7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7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7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7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7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7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7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7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7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7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65"}</definedName>
    <definedName name="_72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72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72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72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72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72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72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72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92"}</definedName>
    <definedName name="_72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91"}</definedName>
    <definedName name="_72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90"}</definedName>
    <definedName name="_7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64"}</definedName>
    <definedName name="_73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89"}</definedName>
    <definedName name="_73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88"}</definedName>
    <definedName name="_73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87"}</definedName>
    <definedName name="_73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86"}</definedName>
    <definedName name="_73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85"}</definedName>
    <definedName name="_73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84"}</definedName>
    <definedName name="_73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83"}</definedName>
    <definedName name="_73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82"}</definedName>
    <definedName name="_73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81"}</definedName>
    <definedName name="_73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80"}</definedName>
    <definedName name="_7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63"}</definedName>
    <definedName name="_74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79"}</definedName>
    <definedName name="_74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78"}</definedName>
    <definedName name="_74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77"}</definedName>
    <definedName name="_74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76"}</definedName>
    <definedName name="_74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75"}</definedName>
    <definedName name="_74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74"}</definedName>
    <definedName name="_74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73"}</definedName>
    <definedName name="_74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72"}</definedName>
    <definedName name="_74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71"}</definedName>
    <definedName name="_74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70"}</definedName>
    <definedName name="_7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62"}</definedName>
    <definedName name="_75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69"}</definedName>
    <definedName name="_75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68"}</definedName>
    <definedName name="_75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67"}</definedName>
    <definedName name="_75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66"}</definedName>
    <definedName name="_75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65"}</definedName>
    <definedName name="_75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64"}</definedName>
    <definedName name="_7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63"}</definedName>
    <definedName name="_7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62"}</definedName>
    <definedName name="_7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61"}</definedName>
    <definedName name="_7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60"}</definedName>
    <definedName name="_7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61"}</definedName>
    <definedName name="_7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59"}</definedName>
    <definedName name="_7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58"}</definedName>
    <definedName name="_7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57"}</definedName>
    <definedName name="_7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56"}</definedName>
    <definedName name="_7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55"}</definedName>
    <definedName name="_7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54"}</definedName>
    <definedName name="_7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53"}</definedName>
    <definedName name="_7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52"}</definedName>
    <definedName name="_7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51"}</definedName>
    <definedName name="_7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50"}</definedName>
    <definedName name="_7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60"}</definedName>
    <definedName name="_7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49"}</definedName>
    <definedName name="_7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48"}</definedName>
    <definedName name="_7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47"}</definedName>
    <definedName name="_7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46"}</definedName>
    <definedName name="_7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45"}</definedName>
    <definedName name="_7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44"}</definedName>
    <definedName name="_7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43"}</definedName>
    <definedName name="_7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42"}</definedName>
    <definedName name="_7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41"}</definedName>
    <definedName name="_7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40"}</definedName>
    <definedName name="_7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59"}</definedName>
    <definedName name="_7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39"}</definedName>
    <definedName name="_7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38"}</definedName>
    <definedName name="_7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37"}</definedName>
    <definedName name="_7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36"}</definedName>
    <definedName name="_7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35"}</definedName>
    <definedName name="_7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34"}</definedName>
    <definedName name="_7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33"}</definedName>
    <definedName name="_7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32"}</definedName>
    <definedName name="_7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31"}</definedName>
    <definedName name="_7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30"}</definedName>
    <definedName name="_7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58"}</definedName>
    <definedName name="_7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29"}</definedName>
    <definedName name="_7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28"}</definedName>
    <definedName name="_7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27"}</definedName>
    <definedName name="_7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26"}</definedName>
    <definedName name="_7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25"}</definedName>
    <definedName name="_7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24"}</definedName>
    <definedName name="_7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23"}</definedName>
    <definedName name="_7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22"}</definedName>
    <definedName name="_7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21"}</definedName>
    <definedName name="_7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20"}</definedName>
    <definedName name="_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129"}</definedName>
    <definedName name="_8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57"}</definedName>
    <definedName name="_80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19"}</definedName>
    <definedName name="_80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18"}</definedName>
    <definedName name="_80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17"}</definedName>
    <definedName name="_80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16"}</definedName>
    <definedName name="_80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15"}</definedName>
    <definedName name="_80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14"}</definedName>
    <definedName name="_80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definedName>
    <definedName name="_80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definedName>
    <definedName name="_80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definedName>
    <definedName name="_80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definedName>
    <definedName name="_8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56"}</definedName>
    <definedName name="_81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definedName>
    <definedName name="_81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8"}</definedName>
    <definedName name="_81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7"}</definedName>
    <definedName name="_81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6"}</definedName>
    <definedName name="_81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5"}</definedName>
    <definedName name="_81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4"}</definedName>
    <definedName name="_81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3"}</definedName>
    <definedName name="_81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2"}</definedName>
    <definedName name="_81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definedName>
    <definedName name="_81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0"}</definedName>
    <definedName name="_8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55"}</definedName>
    <definedName name="_8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136"}</definedName>
    <definedName name="_8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135"}</definedName>
    <definedName name="_8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134"}</definedName>
    <definedName name="_8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133"}</definedName>
    <definedName name="_8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132"}</definedName>
    <definedName name="_8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131"}</definedName>
    <definedName name="_8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130"}</definedName>
    <definedName name="_8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129"}</definedName>
    <definedName name="_8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128"}</definedName>
    <definedName name="_8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127"}</definedName>
    <definedName name="_8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54"}</definedName>
    <definedName name="_8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126"}</definedName>
    <definedName name="_8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125"}</definedName>
    <definedName name="_8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124"}</definedName>
    <definedName name="_8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123"}</definedName>
    <definedName name="_8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122"}</definedName>
    <definedName name="_8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121"}</definedName>
    <definedName name="_8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120"}</definedName>
    <definedName name="_8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119"}</definedName>
    <definedName name="_8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118"}</definedName>
    <definedName name="_8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117"}</definedName>
    <definedName name="_8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53"}</definedName>
    <definedName name="_8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116"}</definedName>
    <definedName name="_8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115"}</definedName>
    <definedName name="_8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114"}</definedName>
    <definedName name="_8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113"}</definedName>
    <definedName name="_8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112"}</definedName>
    <definedName name="_8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111"}</definedName>
    <definedName name="_8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110"}</definedName>
    <definedName name="_8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109"}</definedName>
    <definedName name="_8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108"}</definedName>
    <definedName name="_8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107"}</definedName>
    <definedName name="_8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52"}</definedName>
    <definedName name="_8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106"}</definedName>
    <definedName name="_8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105"}</definedName>
    <definedName name="_8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104"}</definedName>
    <definedName name="_8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103"}</definedName>
    <definedName name="_8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102"}</definedName>
    <definedName name="_8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101"}</definedName>
    <definedName name="_85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100"}</definedName>
    <definedName name="_85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99"}</definedName>
    <definedName name="_85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98"}</definedName>
    <definedName name="_85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97"}</definedName>
    <definedName name="_8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51"}</definedName>
    <definedName name="_86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96"}</definedName>
    <definedName name="_86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95"}</definedName>
    <definedName name="_86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94"}</definedName>
    <definedName name="_86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93"}</definedName>
    <definedName name="_86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92"}</definedName>
    <definedName name="_86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91"}</definedName>
    <definedName name="_86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90"}</definedName>
    <definedName name="_86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89"}</definedName>
    <definedName name="_86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88"}</definedName>
    <definedName name="_86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87"}</definedName>
    <definedName name="_8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50"}</definedName>
    <definedName name="_87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86"}</definedName>
    <definedName name="_87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85"}</definedName>
    <definedName name="_87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84"}</definedName>
    <definedName name="_87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83"}</definedName>
    <definedName name="_87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82"}</definedName>
    <definedName name="_87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81"}</definedName>
    <definedName name="_87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80"}</definedName>
    <definedName name="_87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79"}</definedName>
    <definedName name="_87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78"}</definedName>
    <definedName name="_87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77"}</definedName>
    <definedName name="_8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49"}</definedName>
    <definedName name="_88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76"}</definedName>
    <definedName name="_88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75"}</definedName>
    <definedName name="_88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74"}</definedName>
    <definedName name="_88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73"}</definedName>
    <definedName name="_88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72"}</definedName>
    <definedName name="_88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71"}</definedName>
    <definedName name="_88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70"}</definedName>
    <definedName name="_88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69"}</definedName>
    <definedName name="_88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68"}</definedName>
    <definedName name="_88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67"}</definedName>
    <definedName name="_8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48"}</definedName>
    <definedName name="_89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66"}</definedName>
    <definedName name="_89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65"}</definedName>
    <definedName name="_89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64"}</definedName>
    <definedName name="_89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63"}</definedName>
    <definedName name="_89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62"}</definedName>
    <definedName name="_89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61"}</definedName>
    <definedName name="_89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60"}</definedName>
    <definedName name="_89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59"}</definedName>
    <definedName name="_89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58"}</definedName>
    <definedName name="_89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57"}</definedName>
    <definedName name="_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128"}</definedName>
    <definedName name="_90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47"}</definedName>
    <definedName name="_90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56"}</definedName>
    <definedName name="_90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55"}</definedName>
    <definedName name="_90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54"}</definedName>
    <definedName name="_90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53"}</definedName>
    <definedName name="_90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52"}</definedName>
    <definedName name="_90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51"}</definedName>
    <definedName name="_90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50"}</definedName>
    <definedName name="_90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49"}</definedName>
    <definedName name="_90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48"}</definedName>
    <definedName name="_90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47"}</definedName>
    <definedName name="_91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46"}</definedName>
    <definedName name="_91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46"}</definedName>
    <definedName name="_91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45"}</definedName>
    <definedName name="_91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44"}</definedName>
    <definedName name="_91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43"}</definedName>
    <definedName name="_91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42"}</definedName>
    <definedName name="_91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41"}</definedName>
    <definedName name="_91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40"}</definedName>
    <definedName name="_91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39"}</definedName>
    <definedName name="_91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38"}</definedName>
    <definedName name="_91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37"}</definedName>
    <definedName name="_92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45"}</definedName>
    <definedName name="_92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36"}</definedName>
    <definedName name="_92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35"}</definedName>
    <definedName name="_92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34"}</definedName>
    <definedName name="_92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33"}</definedName>
    <definedName name="_92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32"}</definedName>
    <definedName name="_92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31"}</definedName>
    <definedName name="_92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30"}</definedName>
    <definedName name="_92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29"}</definedName>
    <definedName name="_92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28"}</definedName>
    <definedName name="_92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27"}</definedName>
    <definedName name="_93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44"}</definedName>
    <definedName name="_93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26"}</definedName>
    <definedName name="_93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25"}</definedName>
    <definedName name="_93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24"}</definedName>
    <definedName name="_93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23"}</definedName>
    <definedName name="_93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22"}</definedName>
    <definedName name="_93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21"}</definedName>
    <definedName name="_93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20"}</definedName>
    <definedName name="_93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19"}</definedName>
    <definedName name="_93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18"}</definedName>
    <definedName name="_93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17"}</definedName>
    <definedName name="_94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43"}</definedName>
    <definedName name="_94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16"}</definedName>
    <definedName name="_94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15"}</definedName>
    <definedName name="_94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14"}</definedName>
    <definedName name="_94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13"}</definedName>
    <definedName name="_94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12"}</definedName>
    <definedName name="_94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11"}</definedName>
    <definedName name="_946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10"}</definedName>
    <definedName name="_947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9"}</definedName>
    <definedName name="_948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8"}</definedName>
    <definedName name="_949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7"}</definedName>
    <definedName name="_95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42"}</definedName>
    <definedName name="_950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6"}</definedName>
    <definedName name="_951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5"}</definedName>
    <definedName name="_952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4"}</definedName>
    <definedName name="_953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3"}</definedName>
    <definedName name="_954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2"}</definedName>
    <definedName name="_955__FDSAUDITLINK__" hidden="1">{"fdsup://directions/FAT Viewer?action=UPDATE&amp;creator=factset&amp;DYN_ARGS=TRUE&amp;DOC_NAME=FAT:FQL_AUDITING_CLIENT_TEMPLATE.FAT&amp;display_string=Audit&amp;VAR:KEY=QTODSJSRAB&amp;VAR:QUERY=SlVMSUFOKElDX0VTVElNQVRFKEVQUygpLE1FQU4sTlRNX1RXQSwsMzY1MjYsNDA3MTcsTSkuZGF0ZXMp&amp;WIND","OW=FIRST_POPUP&amp;HEIGHT=450&amp;WIDTH=450&amp;START_MAXIMIZED=FALSE&amp;VAR:CALENDAR=US&amp;VAR:SYMBOL=57190320&amp;VAR:INDEX=1"}</definedName>
    <definedName name="_95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136"}</definedName>
    <definedName name="_95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135"}</definedName>
    <definedName name="_95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134"}</definedName>
    <definedName name="_95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133"}</definedName>
    <definedName name="_96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41"}</definedName>
    <definedName name="_96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132"}</definedName>
    <definedName name="_96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131"}</definedName>
    <definedName name="_96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130"}</definedName>
    <definedName name="_96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129"}</definedName>
    <definedName name="_96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128"}</definedName>
    <definedName name="_96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127"}</definedName>
    <definedName name="_96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126"}</definedName>
    <definedName name="_96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125"}</definedName>
    <definedName name="_96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124"}</definedName>
    <definedName name="_96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123"}</definedName>
    <definedName name="_97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40"}</definedName>
    <definedName name="_97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122"}</definedName>
    <definedName name="_97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121"}</definedName>
    <definedName name="_97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120"}</definedName>
    <definedName name="_97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119"}</definedName>
    <definedName name="_97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118"}</definedName>
    <definedName name="_97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117"}</definedName>
    <definedName name="_97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116"}</definedName>
    <definedName name="_97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115"}</definedName>
    <definedName name="_97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114"}</definedName>
    <definedName name="_97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113"}</definedName>
    <definedName name="_98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39"}</definedName>
    <definedName name="_98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112"}</definedName>
    <definedName name="_98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111"}</definedName>
    <definedName name="_98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110"}</definedName>
    <definedName name="_98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109"}</definedName>
    <definedName name="_98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108"}</definedName>
    <definedName name="_98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107"}</definedName>
    <definedName name="_98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106"}</definedName>
    <definedName name="_98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105"}</definedName>
    <definedName name="_98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104"}</definedName>
    <definedName name="_98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103"}</definedName>
    <definedName name="_99__FDSAUDITLINK__" hidden="1">{"fdsup://directions/FAT Viewer?action=UPDATE&amp;creator=factset&amp;DYN_ARGS=TRUE&amp;DOC_NAME=FAT:FQL_AUDITING_CLIENT_TEMPLATE.FAT&amp;display_string=Audit&amp;VAR:KEY=CHEZMHUHAF&amp;VAR:QUERY=SlVMSUFOKElDX0VTVElNQVRFKEVQUygpLE1FQU4sTlRNX1RXQSwsMzY1MjYsNDA3MTcsTSkuZGF0ZXMp&amp;WIND","OW=FIRST_POPUP&amp;HEIGHT=450&amp;WIDTH=450&amp;START_MAXIMIZED=FALSE&amp;VAR:CALENDAR=US&amp;VAR:SYMBOL=57190320&amp;VAR:INDEX=38"}</definedName>
    <definedName name="_990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102"}</definedName>
    <definedName name="_991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101"}</definedName>
    <definedName name="_992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100"}</definedName>
    <definedName name="_993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99"}</definedName>
    <definedName name="_994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98"}</definedName>
    <definedName name="_995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97"}</definedName>
    <definedName name="_996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96"}</definedName>
    <definedName name="_997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95"}</definedName>
    <definedName name="_998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94"}</definedName>
    <definedName name="_999__FDSAUDITLINK__" hidden="1">{"fdsup://directions/FAT Viewer?action=UPDATE&amp;creator=factset&amp;DYN_ARGS=TRUE&amp;DOC_NAME=FAT:FQL_AUDITING_CLIENT_TEMPLATE.FAT&amp;display_string=Audit&amp;VAR:KEY=UZQBGBQFYT&amp;VAR:QUERY=SlVMSUFOKElDX0VTVElNQVRFKEVQUygpLE1FQU4sTlRNX1RXQSwsMzY1MjYsNDA3MTcsTSkuZGF0ZXMp&amp;WIND","OW=FIRST_POPUP&amp;HEIGHT=450&amp;WIDTH=450&amp;START_MAXIMIZED=FALSE&amp;VAR:CALENDAR=US&amp;VAR:SYMBOL=85590A40&amp;VAR:INDEX=93"}</definedName>
    <definedName name="_AA74" hidden="1">#NAME?</definedName>
    <definedName name="_AA76" hidden="1">#NAME?</definedName>
    <definedName name="_AB74" hidden="1">#NAME?</definedName>
    <definedName name="_AB76" hidden="1">#NAME?</definedName>
    <definedName name="_AC74" hidden="1">#NAME?</definedName>
    <definedName name="_AC76" hidden="1">#NAME?</definedName>
    <definedName name="_AD74" hidden="1">#NAME?</definedName>
    <definedName name="_AD76" hidden="1">#NAME?</definedName>
    <definedName name="_AE74" hidden="1">#NAME?</definedName>
    <definedName name="_AE76" hidden="1">#NAME?</definedName>
    <definedName name="_AF74" hidden="1">#NAME?</definedName>
    <definedName name="_AF76" hidden="1">#NAME?</definedName>
    <definedName name="_AG74" hidden="1">#NAME?</definedName>
    <definedName name="_AG76" hidden="1">#NAME?</definedName>
    <definedName name="_AH74" hidden="1">#NAME?</definedName>
    <definedName name="_AH76" hidden="1">#NAME?</definedName>
    <definedName name="_AI74" hidden="1">#NAME?</definedName>
    <definedName name="_AI76" hidden="1">#NAME?</definedName>
    <definedName name="_AJ74" hidden="1">#NAME?</definedName>
    <definedName name="_AJ76" hidden="1">#NAME?</definedName>
    <definedName name="_AK74" hidden="1">#NAME?</definedName>
    <definedName name="_AK76" hidden="1">#NAME?</definedName>
    <definedName name="_AL74" hidden="1">#NAME?</definedName>
    <definedName name="_AL76" hidden="1">#NAME?</definedName>
    <definedName name="_AM74" hidden="1">#NAME?</definedName>
    <definedName name="_AM76" hidden="1">#NAME?</definedName>
    <definedName name="_AN74" hidden="1">#NAME?</definedName>
    <definedName name="_AN76" hidden="1">#NAME?</definedName>
    <definedName name="_AO74" hidden="1">#NAME?</definedName>
    <definedName name="_AO76" hidden="1">#NAME?</definedName>
    <definedName name="_AP74" hidden="1">#NAME?</definedName>
    <definedName name="_AP76" hidden="1">#NAME?</definedName>
    <definedName name="_AQ74" hidden="1">#NAME?</definedName>
    <definedName name="_AQ76" hidden="1">#NAME?</definedName>
    <definedName name="_AR74" hidden="1">#NAME?</definedName>
    <definedName name="_AR76" hidden="1">#NAME?</definedName>
    <definedName name="_AS74" hidden="1">#NAME?</definedName>
    <definedName name="_AS76" hidden="1">#NAME?</definedName>
    <definedName name="_AT74" hidden="1">#NAME?</definedName>
    <definedName name="_AT76" hidden="1">#NAME?</definedName>
    <definedName name="_AU74" hidden="1">#NAME?</definedName>
    <definedName name="_AU76" hidden="1">#NAME?</definedName>
    <definedName name="_AV74" hidden="1">#NAME?</definedName>
    <definedName name="_AV76" hidden="1">#NAME?</definedName>
    <definedName name="_AW74" hidden="1">#NAME?</definedName>
    <definedName name="_AW76" hidden="1">#NAME?</definedName>
    <definedName name="_AX74" hidden="1">#NAME?</definedName>
    <definedName name="_AX76" hidden="1">#NAME?</definedName>
    <definedName name="_AY74" hidden="1">#NAME?</definedName>
    <definedName name="_AY76" hidden="1">#NAME?</definedName>
    <definedName name="_AZ74" hidden="1">#NAME?</definedName>
    <definedName name="_AZ76" hidden="1">#NAME?</definedName>
    <definedName name="_BA74" hidden="1">#NAME?</definedName>
    <definedName name="_BA76" hidden="1">#NAME?</definedName>
    <definedName name="_BB74" hidden="1">#NAME?</definedName>
    <definedName name="_BB76" hidden="1">#NAME?</definedName>
    <definedName name="_BC74" hidden="1">#NAME?</definedName>
    <definedName name="_BC76" hidden="1">#NAME?</definedName>
    <definedName name="_BD74" hidden="1">#NAME?</definedName>
    <definedName name="_BD76" hidden="1">#NAME?</definedName>
    <definedName name="_bdm.088C9128C5A242999468F2E2FF0FC186.edm" hidden="1">#REF!</definedName>
    <definedName name="_bdm.36490b912bef4697b11e6aa31a3dc78d.edm" hidden="1">#REF!</definedName>
    <definedName name="_bdm.6354f5cbdd1d48b19b48321255e189bd.edm" hidden="1">#REF!</definedName>
    <definedName name="_bdm.6c4611c799e7439ca2d37fa8d1e02633.edm" localSheetId="0" hidden="1">#REF!</definedName>
    <definedName name="_bdm.7af948c1737749ba8c767789e2793a3d.edm" localSheetId="0" hidden="1">#REF!</definedName>
    <definedName name="_bdm.a095f95abc20418f87caa7a4e46b033a.edm" localSheetId="0" hidden="1">#REF!</definedName>
    <definedName name="_bdm.a6f4ca0dd0bf4916b572150fe5d640aa.edm" localSheetId="0" hidden="1">#REF!</definedName>
    <definedName name="_bdm.d68d496c80ac4628a5af8ca636dc5327.edm" localSheetId="0" hidden="1">#REF!</definedName>
    <definedName name="_BE74" hidden="1">#NAME?</definedName>
    <definedName name="_BE76" hidden="1">#NAME?</definedName>
    <definedName name="_BF74" hidden="1">#NAME?</definedName>
    <definedName name="_BF76" hidden="1">#NAME?</definedName>
    <definedName name="_BG74" hidden="1">#NAME?</definedName>
    <definedName name="_BG76" hidden="1">#NAME?</definedName>
    <definedName name="_BH74" hidden="1">#NAME?</definedName>
    <definedName name="_BH76" hidden="1">#NAME?</definedName>
    <definedName name="_BI74" hidden="1">#NAME?</definedName>
    <definedName name="_BI76" hidden="1">#NAME?</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Fill" hidden="1">#REF!</definedName>
    <definedName name="_I74" hidden="1">#NAME?</definedName>
    <definedName name="_I76" hidden="1">#NAME?</definedName>
    <definedName name="_J74" hidden="1">#NAME?</definedName>
    <definedName name="_J76" hidden="1">#NAME?</definedName>
    <definedName name="_K74" hidden="1">#NAME?</definedName>
    <definedName name="_K76" hidden="1">#NAME?</definedName>
    <definedName name="_Key1" localSheetId="0" hidden="1">#REF!</definedName>
    <definedName name="_L74" hidden="1">#NAME?</definedName>
    <definedName name="_L76" hidden="1">#NAME?</definedName>
    <definedName name="_M74" hidden="1">#NAME?</definedName>
    <definedName name="_M76" hidden="1">#NAME?</definedName>
    <definedName name="_N74" hidden="1">#NAME?</definedName>
    <definedName name="_N76" hidden="1">#NAME?</definedName>
    <definedName name="_O74" hidden="1">#NAME?</definedName>
    <definedName name="_O76" hidden="1">#NAME?</definedName>
    <definedName name="_Order1" hidden="1">255</definedName>
    <definedName name="_Order2" hidden="1">255</definedName>
    <definedName name="_P74" hidden="1">#NAME?</definedName>
    <definedName name="_P76" hidden="1">#NAME?</definedName>
    <definedName name="_Q74" hidden="1">#NAME?</definedName>
    <definedName name="_Q76" hidden="1">#NAME?</definedName>
    <definedName name="_Regression_Int" hidden="1">1</definedName>
    <definedName name="_S74" hidden="1">#NAME?</definedName>
    <definedName name="_S76" hidden="1">#NAME?</definedName>
    <definedName name="_Sort" hidden="1">#REF!</definedName>
    <definedName name="_T74" hidden="1">#NAME?</definedName>
    <definedName name="_T76" hidden="1">#NAME?</definedName>
    <definedName name="_Table2_Out" hidden="1">#REF!</definedName>
    <definedName name="_U74" hidden="1">#NAME?</definedName>
    <definedName name="_U76" hidden="1">#NAME?</definedName>
    <definedName name="_V74" hidden="1">#NAME?</definedName>
    <definedName name="_V76" hidden="1">#NAME?</definedName>
    <definedName name="_W74" hidden="1">#NAME?</definedName>
    <definedName name="_W76" hidden="1">#NAME?</definedName>
    <definedName name="_X74" hidden="1">#NAME?</definedName>
    <definedName name="_X76" hidden="1">#NAME?</definedName>
    <definedName name="_xlchart.v1.0" hidden="1">'EPS Walk'!$B$3</definedName>
    <definedName name="_xlchart.v1.1" hidden="1">'EPS Walk'!$C$2:$M$2</definedName>
    <definedName name="_xlchart.v1.2" hidden="1">'EPS Walk'!$C$3:$M$3</definedName>
    <definedName name="_Y74" hidden="1">#NAME?</definedName>
    <definedName name="_Y76" hidden="1">#NAME?</definedName>
    <definedName name="_Z74" hidden="1">#NAME?</definedName>
    <definedName name="_Z76" hidden="1">#NAME?</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AS2DocOpenMode" hidden="1">"AS2DocumentEdit"</definedName>
    <definedName name="AS2NamedRange" hidden="1">3</definedName>
    <definedName name="Associates.F.1998"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9" hidden="1">#REF!</definedName>
    <definedName name="BLPH2" localSheetId="0"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localSheetId="0" hidden="1">#REF!</definedName>
    <definedName name="BLPH3" hidden="1">#REF!</definedName>
    <definedName name="BLPH30" hidden="1">#REF!</definedName>
    <definedName name="BLPH31" hidden="1">#REF!</definedName>
    <definedName name="BLPH32"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hargeoff" localSheetId="0" hidden="1">{"FTSE100","COMPANIES",TRUE}</definedName>
    <definedName name="chargeoff" hidden="1">{"FTSE100","COMPANIES",TRUE}</definedName>
    <definedName name="CIQWBGuid" hidden="1">"a40bbe62-36c2-4aed-981f-f02b58ff5aa8"</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data_upload1" hidden="1">#REF!</definedName>
    <definedName name="dsaf" localSheetId="0" hidden="1">{"one",#N/A,FALSE,"cf";"two",#N/A,FALSE,"cf"}</definedName>
    <definedName name="dsaf" hidden="1">{"one",#N/A,FALSE,"cf";"two",#N/A,FALSE,"cf"}</definedName>
    <definedName name="Earnings.F.1997" hidden="1">#REF!</definedName>
    <definedName name="ef" localSheetId="0" hidden="1">{#N/A,#N/A,FALSE,"Aging Summary";#N/A,#N/A,FALSE,"Ratio Analysis";#N/A,#N/A,FALSE,"Test 120 Day Accts";#N/A,#N/A,FALSE,"Tickmarks"}</definedName>
    <definedName name="ef" hidden="1">{#N/A,#N/A,FALSE,"Aging Summary";#N/A,#N/A,FALSE,"Ratio Analysis";#N/A,#N/A,FALSE,"Test 120 Day Accts";#N/A,#N/A,FALSE,"Tickmarks"}</definedName>
    <definedName name="EPS.F.1998" hidden="1">#REF!</definedName>
    <definedName name="esnrc100c1_values" localSheetId="0" hidden="1">{"FTSE100","COMPANIES",TRUE}</definedName>
    <definedName name="esnrc100c1_values" hidden="1">{"FTSE100","COMPANIES",TRUE}</definedName>
    <definedName name="esnrc33c1_values" localSheetId="0" hidden="1">{"EUMOT","COMPANIES",TRUE}</definedName>
    <definedName name="esnrc33c1_values" hidden="1">{"EUMOT","COMPANIES",TRUE}</definedName>
    <definedName name="esnrc56c1_values" localSheetId="0" hidden="1">{"ASCONGRP","COMPANIES",TRUE}</definedName>
    <definedName name="esnrc56c1_values" hidden="1">{"ASCONGRP","COMPANIES",TRUE}</definedName>
    <definedName name="esnrc63c1_values" localSheetId="0" hidden="1">{"EUUTIGRP","COMPANIES",TRUE}</definedName>
    <definedName name="esnrc63c1_values" hidden="1">{"EUUTIGRP","COMPANIES",TRUE}</definedName>
    <definedName name="esnrc91c1_values" localSheetId="0" hidden="1">{"EUUTI","COMPANIES",TRUE}</definedName>
    <definedName name="esnrc91c1_values" hidden="1">{"EUUTI","COMPANIES",TRUE}</definedName>
    <definedName name="EV__LASTREFTIME__" hidden="1">39196.6721643519</definedName>
    <definedName name="g" hidden="1">#REF!</definedName>
    <definedName name="HTML_CodePage" hidden="1">1252</definedName>
    <definedName name="HTML_Control" localSheetId="0" hidden="1">{"'2.1'!$E$2:$O$37"}</definedName>
    <definedName name="HTML_Control" hidden="1">{"'2.1'!$E$2:$O$37"}</definedName>
    <definedName name="HTML_Control_new" hidden="1">{"'Sheet1'!$A$1:$I$10","'Sheet1'!$A$1:$I$11"}</definedName>
    <definedName name="HTML_Control1" hidden="1">{"'Industry'!$A$1:$M$85","'Industry'!$I$20:$M$45"}</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"G:\framemaker\PubHTML\worldcellular99\charts\2_1.htm"</definedName>
    <definedName name="HTML_Title" hidden="1">"Chapter 2"</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mg_ML_1a1a3c1a" hidden="1">"IMG_25"</definedName>
    <definedName name="Img_ML_1a2b2b8h" hidden="1">"IMG_5"</definedName>
    <definedName name="Img_ML_1a3c4d1a" hidden="1">"IMG_26"</definedName>
    <definedName name="Img_ML_1a7g4d7g" hidden="1">"IMG_5"</definedName>
    <definedName name="Img_ML_1y7a6c1t" hidden="1">"IMG_10"</definedName>
    <definedName name="Img_ML_2b5e2b7g" hidden="1">"IMG_25"</definedName>
    <definedName name="Img_ML_2b5e6f5e" hidden="1">"IMG_5"</definedName>
    <definedName name="Img_ML_2b6f5e1a" hidden="1">"IMG_5"</definedName>
    <definedName name="Img_ML_2b9i6f3c" hidden="1">"IMG_25"</definedName>
    <definedName name="Img_ML_2b9i8h4d" hidden="1">"IMG_5"</definedName>
    <definedName name="Img_ML_2j4h5d5y" hidden="1">"IMG_11"</definedName>
    <definedName name="Img_ML_3b3j3x9k" hidden="1">"IMG_10"</definedName>
    <definedName name="Img_ML_3c4d1a4d" hidden="1">"IMG_5"</definedName>
    <definedName name="Img_ML_3c4d2b5e" hidden="1">"IMG_25"</definedName>
    <definedName name="Img_ML_3c7g1a7g" hidden="1">"IMG_5"</definedName>
    <definedName name="Img_ML_3c9i5e1a" hidden="1">"IMG_25"</definedName>
    <definedName name="Img_ML_3e2q4k7i" hidden="1">"IMG_10"</definedName>
    <definedName name="Img_ML_3h2n3p4v" hidden="1">"IMG_17"</definedName>
    <definedName name="Img_ML_3p5d9q5j" hidden="1">"IMG_55"</definedName>
    <definedName name="Img_ML_3s1w4i6p" hidden="1">"IMG_10"</definedName>
    <definedName name="Img_ML_3y1j4m2m" hidden="1">"IMG_55"</definedName>
    <definedName name="Img_ML_4d3c1a7g" hidden="1">"IMG_25"</definedName>
    <definedName name="Img_ML_4d4d2b7g" hidden="1">"IMG_5"</definedName>
    <definedName name="Img_ML_4d4d4d2b" hidden="1">"IMG_5"</definedName>
    <definedName name="Img_ML_4d7g8h3c" hidden="1">"IMG_5"</definedName>
    <definedName name="Img_ML_4m3p5r8j" hidden="1">"IMG_17"</definedName>
    <definedName name="Img_ML_5e1a9i4d" hidden="1">"IMG_5"</definedName>
    <definedName name="Img_ML_5e8h1a2b" hidden="1">"IMG_25"</definedName>
    <definedName name="Img_ML_5e8h5e2b" hidden="1">"IMG_25"</definedName>
    <definedName name="Img_ML_5h6q3g8u" hidden="1">"IMG_10"</definedName>
    <definedName name="Img_ML_5k1g6v5e" hidden="1">"IMG_18"</definedName>
    <definedName name="Img_ML_6f2p1m9g" hidden="1">"IMG_10"</definedName>
    <definedName name="Img_ML_6f9i2b6f" hidden="1">"IMG_5"</definedName>
    <definedName name="Img_ML_6j4v6x5i" hidden="1">"IMG_11"</definedName>
    <definedName name="Img_ML_6k7v5o9z" hidden="1">"IMG_10"</definedName>
    <definedName name="Img_ML_6r9u1n9k" hidden="1">"IMG_55"</definedName>
    <definedName name="Img_ML_6w6m7b7r" hidden="1">"IMG_18"</definedName>
    <definedName name="Img_ML_7g1a3c1a" hidden="1">"IMG_5"</definedName>
    <definedName name="Img_ML_7g5e5e2b" hidden="1">"IMG_4"</definedName>
    <definedName name="Img_ML_7g7g3c4d" hidden="1">"IMG_5"</definedName>
    <definedName name="Img_ML_7m5m4k3b" hidden="1">"IMG_17"</definedName>
    <definedName name="Img_ML_7n6h3t1t" hidden="1">"IMG_6"</definedName>
    <definedName name="Img_ML_8h1a6f9i" hidden="1">"IMG_25"</definedName>
    <definedName name="Img_ML_8h5e9i3c" hidden="1">"IMG_4"</definedName>
    <definedName name="Img_ML_8h7g3c9i" hidden="1">"IMG_3"</definedName>
    <definedName name="Img_ML_8h7g4d4d" hidden="1">"IMG_4"</definedName>
    <definedName name="Img_ML_8h8h1a1a" hidden="1">"IMG_5"</definedName>
    <definedName name="Img_ML_8h8h1a6f" hidden="1">"IMG_5"</definedName>
    <definedName name="Img_ML_8i9u7w8k" hidden="1">"IMG_18"</definedName>
    <definedName name="Img_ML_8j3w6p4c" hidden="1">"IMG_6"</definedName>
    <definedName name="Img_ML_8r1k8t4y" hidden="1">"IMG_6"</definedName>
    <definedName name="Img_ML_9i5e8h7g" hidden="1">"IMG_26"</definedName>
    <definedName name="Img_ML_9i6f5e3c" hidden="1">"IMG_5"</definedName>
    <definedName name="Img_ML_9i8h5e7g" hidden="1">"IMG_25"</definedName>
    <definedName name="Img_ML_9i9i4d2b" hidden="1">"IMG_26"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ASH_OPER_ACT_OR_EST" hidden="1">"c4164"</definedName>
    <definedName name="IQ_CCE_FDIC" hidden="1">"c6296"</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AINT_CAPEX_ACT_OR_EST" hidden="1">"c4458"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42450.610625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WEEK" hidden="1">"c1823"</definedName>
    <definedName name="IQ_PERCENT_CHANGE_EST_FFO_WEEK_CIQ" hidden="1">"c3795"</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B_BOOKMARK_COUNT" hidden="1">1</definedName>
    <definedName name="IQRB60" hidden="1">"$B$61:$B$426"</definedName>
    <definedName name="IQRC35" hidden="1">"$C$36:$C$45"</definedName>
    <definedName name="IQRCoverAN35" hidden="1">#REF!</definedName>
    <definedName name="IQRPriceB4" hidden="1">#REF!</definedName>
    <definedName name="IQRPriceC4" hidden="1">#REF!</definedName>
    <definedName name="IQRPriceD4" hidden="1">#REF!</definedName>
    <definedName name="IQRPriceE4" hidden="1">#REF!</definedName>
    <definedName name="IQRPriceF4" hidden="1">#REF!</definedName>
    <definedName name="IQRPriceG4" hidden="1">#REF!</definedName>
    <definedName name="IQRTrailingPBD19" hidden="1">#REF!</definedName>
    <definedName name="iQShowHideColumns" hidden="1">"iQShowAnnual"</definedName>
    <definedName name="is">#REF!</definedName>
    <definedName name="limcount" hidden="1">1</definedName>
    <definedName name="MARKET_DATA" localSheetId="18">'SCB Ticker Sheet'!$P$2:$R$13</definedName>
    <definedName name="NetIntIncome.F.1997" hidden="1">#REF!</definedName>
    <definedName name="new_name" localSheetId="0" hidden="1">{#N/A,#N/A,FALSE,"Aging Summary";#N/A,#N/A,FALSE,"Ratio Analysis";#N/A,#N/A,FALSE,"Test 120 Day Accts";#N/A,#N/A,FALSE,"Tickmarks"}</definedName>
    <definedName name="new_name" hidden="1">{#N/A,#N/A,FALSE,"Aging Summary";#N/A,#N/A,FALSE,"Ratio Analysis";#N/A,#N/A,FALSE,"Test 120 Day Accts";#N/A,#N/A,FALSE,"Tickmarks"}</definedName>
    <definedName name="NewToCopy" localSheetId="18">'SCB Ticker Sheet'!$B$160:$N$161</definedName>
    <definedName name="OtherExceptionals.F.1998" hidden="1">#REF!</definedName>
    <definedName name="_xlnm.Print_Area" localSheetId="0">'BERNSTEIN Cover'!$B$2:$N$34</definedName>
    <definedName name="sdfa" localSheetId="0" hidden="1">{"FTSE100","COMPANIES",TRUE}</definedName>
    <definedName name="sdfa" hidden="1">{"FTSE100","COMPANIES",TRUE}</definedName>
    <definedName name="sencount" hidden="1">5</definedName>
    <definedName name="sencount2" hidden="1">2</definedName>
    <definedName name="sh">#REF!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localSheetId="0"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49</definedName>
    <definedName name="Tax.F.1998" hidden="1">#REF!</definedName>
    <definedName name="test2" localSheetId="0" hidden="1">#REF!</definedName>
    <definedName name="test3" localSheetId="0" hidden="1">{"EUMOT","COMPANIES",TRUE}</definedName>
    <definedName name="test3" hidden="1">{"EUMOT","COMPANIES",TRUE}</definedName>
    <definedName name="test4" localSheetId="0" hidden="1">{"ASCONGRP","COMPANIES",TRUE}</definedName>
    <definedName name="test4" hidden="1">{"ASCONGRP","COMPANIES",TRUE}</definedName>
    <definedName name="test5" localSheetId="0" hidden="1">{"EUUTIGRP","COMPANIES",TRUE}</definedName>
    <definedName name="test5" hidden="1">{"EUUTIGRP","COMPANIES",TRUE}</definedName>
    <definedName name="test6" localSheetId="0" hidden="1">{"EUUTI","COMPANIES",TRUE}</definedName>
    <definedName name="test6" hidden="1">{"EUUTI","COMPANIES",TRUE}</definedName>
    <definedName name="TotCosts.F.1998" hidden="1">#REF!</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f." localSheetId="0" hidden="1">{"one",#N/A,FALSE,"cf";"two",#N/A,FALSE,"cf"}</definedName>
    <definedName name="wrn.cf." hidden="1">{"one",#N/A,FALSE,"cf";"two",#N/A,FALSE,"cf"}</definedName>
    <definedName name="wrn.euro." localSheetId="0" hidden="1">{#N/A,#N/A,FALSE,"Austria"}</definedName>
    <definedName name="wrn.euro." hidden="1">{#N/A,#N/A,FALSE,"Austria"}</definedName>
    <definedName name="x" hidden="1">#REF!</definedName>
    <definedName name="zz" localSheetId="0" hidden="1">{"'MObitel Pricing'!$B$2:$G$12","'MObitel Pricing'!$G$15"}</definedName>
    <definedName name="zz" hidden="1">{"'MObitel Pricing'!$B$2:$G$12","'MObitel Pricing'!$G$15"}</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18" i="4" l="1"/>
  <c r="AM117" i="4"/>
  <c r="AM116" i="4"/>
  <c r="AM115" i="4"/>
  <c r="AM114" i="4"/>
  <c r="AM113" i="4"/>
  <c r="AM112" i="4"/>
  <c r="AM108" i="4"/>
  <c r="AM104" i="4"/>
  <c r="AM96" i="4"/>
  <c r="AM93" i="4"/>
  <c r="AM88" i="4"/>
  <c r="AM91" i="4" s="1"/>
  <c r="AM83" i="4"/>
  <c r="AM86" i="4" s="1"/>
  <c r="AM78" i="4"/>
  <c r="AM81" i="4" s="1"/>
  <c r="AM73" i="4"/>
  <c r="AM75" i="4" s="1"/>
  <c r="AM68" i="4"/>
  <c r="AL170" i="2"/>
  <c r="AL169" i="2"/>
  <c r="AL168" i="2"/>
  <c r="AL158" i="2"/>
  <c r="AL144" i="2"/>
  <c r="AL145" i="2" s="1"/>
  <c r="AL113" i="2"/>
  <c r="AL112" i="2"/>
  <c r="AL111" i="2"/>
  <c r="AL107" i="2"/>
  <c r="AL99" i="2"/>
  <c r="AL91" i="2"/>
  <c r="AL72" i="2"/>
  <c r="AL81" i="2" s="1"/>
  <c r="AL47" i="2"/>
  <c r="AL46" i="2"/>
  <c r="AL43" i="2"/>
  <c r="AL42" i="2"/>
  <c r="AL30" i="2"/>
  <c r="AL32" i="2" s="1"/>
  <c r="AL117" i="2" s="1"/>
  <c r="AL137" i="2" s="1"/>
  <c r="AL167" i="2" s="1"/>
  <c r="AL27" i="2"/>
  <c r="AL11" i="2"/>
  <c r="AL14" i="2" s="1"/>
  <c r="AM76" i="4" s="1"/>
  <c r="AM119" i="4" l="1"/>
  <c r="AM125" i="4" s="1"/>
  <c r="AM94" i="4"/>
  <c r="AM72" i="4"/>
  <c r="AL172" i="2"/>
  <c r="AL171" i="2"/>
  <c r="AL173" i="2" s="1"/>
  <c r="AL160" i="2"/>
  <c r="AL163" i="2" s="1"/>
  <c r="AL164" i="2" s="1"/>
  <c r="AL108" i="2"/>
  <c r="AL56" i="2"/>
  <c r="AL58" i="2" s="1"/>
  <c r="AL60" i="2" s="1"/>
  <c r="AL35" i="2"/>
  <c r="AL38" i="2"/>
  <c r="AE218" i="6"/>
  <c r="X21" i="21"/>
  <c r="Y21" i="21"/>
  <c r="Q21" i="21"/>
  <c r="R21" i="21"/>
  <c r="S21" i="21"/>
  <c r="T21" i="21"/>
  <c r="U21" i="21"/>
  <c r="V21" i="21"/>
  <c r="W21" i="21"/>
  <c r="P21" i="21"/>
  <c r="K62" i="21"/>
  <c r="L62" i="21" s="1"/>
  <c r="M62" i="21" s="1"/>
  <c r="U33" i="21"/>
  <c r="V33" i="21"/>
  <c r="W33" i="21"/>
  <c r="E33" i="21"/>
  <c r="F33" i="21"/>
  <c r="G33" i="21"/>
  <c r="H33" i="21"/>
  <c r="I33" i="21"/>
  <c r="J33" i="21"/>
  <c r="K33" i="21"/>
  <c r="L33" i="21"/>
  <c r="M33" i="21"/>
  <c r="N33" i="21"/>
  <c r="O33" i="21"/>
  <c r="P33" i="21"/>
  <c r="Q33" i="21"/>
  <c r="R33" i="21"/>
  <c r="S33" i="21"/>
  <c r="T33" i="21"/>
  <c r="D33" i="21"/>
  <c r="Q19" i="21"/>
  <c r="R19" i="21"/>
  <c r="S19" i="21"/>
  <c r="P19" i="21"/>
  <c r="T25" i="21"/>
  <c r="U25" i="21"/>
  <c r="V25" i="21"/>
  <c r="S25" i="21"/>
  <c r="P25" i="21"/>
  <c r="Q25" i="21"/>
  <c r="R25" i="21"/>
  <c r="O25" i="21"/>
  <c r="I25" i="21"/>
  <c r="L25" i="21"/>
  <c r="M25" i="21"/>
  <c r="N25" i="21"/>
  <c r="K25" i="21"/>
  <c r="D25" i="21"/>
  <c r="E25" i="21"/>
  <c r="F25" i="21"/>
  <c r="C25" i="21"/>
  <c r="F8" i="21"/>
  <c r="F10" i="21" s="1"/>
  <c r="F157" i="12"/>
  <c r="F25" i="12"/>
  <c r="G81" i="12"/>
  <c r="I25" i="12"/>
  <c r="H79" i="12"/>
  <c r="E115" i="12"/>
  <c r="G11" i="12"/>
  <c r="G113" i="12"/>
  <c r="J79" i="12"/>
  <c r="G63" i="12"/>
  <c r="G45" i="12"/>
  <c r="E43" i="12"/>
  <c r="G115" i="12"/>
  <c r="E23" i="12"/>
  <c r="F151" i="12"/>
  <c r="G151" i="12"/>
  <c r="I79" i="12"/>
  <c r="E25" i="12"/>
  <c r="F77" i="12"/>
  <c r="E81" i="12"/>
  <c r="E79" i="12"/>
  <c r="H75" i="12"/>
  <c r="E73" i="12"/>
  <c r="F73" i="12"/>
  <c r="F67" i="12"/>
  <c r="E45" i="12"/>
  <c r="F63" i="12"/>
  <c r="E35" i="12"/>
  <c r="F45" i="12"/>
  <c r="E27" i="12"/>
  <c r="E33" i="12"/>
  <c r="H27" i="12"/>
  <c r="F113" i="12"/>
  <c r="G105" i="12"/>
  <c r="G23" i="12"/>
  <c r="E77" i="12"/>
  <c r="G43" i="12"/>
  <c r="E95" i="12"/>
  <c r="G73" i="12"/>
  <c r="G29" i="12"/>
  <c r="F31" i="12"/>
  <c r="G95" i="12"/>
  <c r="F105" i="12"/>
  <c r="G83" i="12"/>
  <c r="G77" i="12"/>
  <c r="J73" i="12"/>
  <c r="G75" i="12"/>
  <c r="G33" i="12"/>
  <c r="G25" i="12"/>
  <c r="I27" i="12"/>
  <c r="E151" i="12"/>
  <c r="F27" i="12"/>
  <c r="F83" i="12"/>
  <c r="G79" i="12"/>
  <c r="I75" i="12"/>
  <c r="I81" i="12"/>
  <c r="G67" i="12"/>
  <c r="F35" i="12"/>
  <c r="H81" i="12"/>
  <c r="E75" i="12"/>
  <c r="F79" i="12"/>
  <c r="E157" i="12"/>
  <c r="E67" i="12"/>
  <c r="J27" i="12"/>
  <c r="G35" i="12"/>
  <c r="I73" i="12"/>
  <c r="F95" i="12"/>
  <c r="G153" i="12"/>
  <c r="J75" i="12"/>
  <c r="E63" i="12"/>
  <c r="E31" i="12"/>
  <c r="E113" i="12"/>
  <c r="E29" i="12"/>
  <c r="G27" i="12"/>
  <c r="F75" i="12"/>
  <c r="H25" i="12"/>
  <c r="G157" i="12"/>
  <c r="H73" i="12"/>
  <c r="E105" i="12"/>
  <c r="F115" i="12"/>
  <c r="J25" i="12"/>
  <c r="F43" i="12"/>
  <c r="F23" i="12"/>
  <c r="F33" i="12"/>
  <c r="F29" i="12"/>
  <c r="G31" i="12"/>
  <c r="E83" i="12"/>
  <c r="F81" i="12"/>
  <c r="AM121" i="4" l="1"/>
  <c r="AM123" i="4"/>
  <c r="AL59" i="2"/>
  <c r="K40" i="21"/>
  <c r="O43" i="21"/>
  <c r="R47" i="21"/>
  <c r="P34" i="21"/>
  <c r="V48" i="21"/>
  <c r="W52" i="21"/>
  <c r="V51" i="21"/>
  <c r="I37" i="21"/>
  <c r="S36" i="21"/>
  <c r="R40" i="21"/>
  <c r="V42" i="21"/>
  <c r="U48" i="21"/>
  <c r="G35" i="21"/>
  <c r="Q45" i="21"/>
  <c r="T42" i="21"/>
  <c r="N43" i="21"/>
  <c r="W49" i="21"/>
  <c r="O34" i="21"/>
  <c r="F35" i="21"/>
  <c r="P45" i="21"/>
  <c r="S40" i="21"/>
  <c r="V49" i="21"/>
  <c r="N34" i="21"/>
  <c r="V44" i="21"/>
  <c r="T48" i="21"/>
  <c r="S48" i="21"/>
  <c r="V50" i="21"/>
  <c r="R36" i="21"/>
  <c r="Q40" i="21"/>
  <c r="T44" i="21"/>
  <c r="T49" i="21"/>
  <c r="V40" i="21"/>
  <c r="V47" i="21"/>
  <c r="V34" i="21"/>
  <c r="P36" i="21"/>
  <c r="P37" i="21"/>
  <c r="U44" i="21"/>
  <c r="P42" i="21"/>
  <c r="S46" i="21"/>
  <c r="U49" i="21"/>
  <c r="U42" i="21"/>
  <c r="T35" i="21"/>
  <c r="U37" i="21"/>
  <c r="W40" i="21"/>
  <c r="U46" i="21"/>
  <c r="M40" i="21"/>
  <c r="H37" i="21"/>
  <c r="V46" i="21"/>
  <c r="V35" i="21"/>
  <c r="O40" i="21"/>
  <c r="O42" i="21"/>
  <c r="T40" i="21"/>
  <c r="W35" i="21"/>
  <c r="L36" i="21"/>
  <c r="S44" i="21"/>
  <c r="S35" i="21"/>
  <c r="W45" i="21"/>
  <c r="S42" i="21"/>
  <c r="P40" i="21"/>
  <c r="W37" i="21"/>
  <c r="Q42" i="21"/>
  <c r="R44" i="21"/>
  <c r="T37" i="21"/>
  <c r="Q46" i="21"/>
  <c r="U40" i="21"/>
  <c r="G36" i="21"/>
  <c r="W34" i="21"/>
  <c r="U50" i="21"/>
  <c r="L34" i="21"/>
  <c r="L35" i="21"/>
  <c r="N37" i="21"/>
  <c r="T43" i="21"/>
  <c r="V45" i="21"/>
  <c r="U47" i="21"/>
  <c r="W51" i="21"/>
  <c r="U34" i="21"/>
  <c r="O35" i="21"/>
  <c r="W46" i="21"/>
  <c r="R42" i="21"/>
  <c r="T46" i="21"/>
  <c r="N40" i="21"/>
  <c r="R46" i="21"/>
  <c r="L40" i="21"/>
  <c r="W44" i="21"/>
  <c r="M42" i="21"/>
  <c r="R37" i="21"/>
  <c r="O37" i="21"/>
  <c r="H34" i="21"/>
  <c r="K35" i="21"/>
  <c r="M37" i="21"/>
  <c r="S43" i="21"/>
  <c r="U45" i="21"/>
  <c r="T47" i="21"/>
  <c r="T34" i="21"/>
  <c r="W36" i="21"/>
  <c r="U35" i="21"/>
  <c r="H36" i="21"/>
  <c r="W50" i="21"/>
  <c r="O44" i="21"/>
  <c r="G34" i="21"/>
  <c r="J35" i="21"/>
  <c r="L37" i="21"/>
  <c r="R43" i="21"/>
  <c r="T45" i="21"/>
  <c r="S47" i="21"/>
  <c r="S34" i="21"/>
  <c r="V36" i="21"/>
  <c r="W42" i="21"/>
  <c r="M36" i="21"/>
  <c r="K36" i="21"/>
  <c r="V37" i="21"/>
  <c r="Q44" i="21"/>
  <c r="N42" i="21"/>
  <c r="R35" i="21"/>
  <c r="W47" i="21"/>
  <c r="Q37" i="21"/>
  <c r="W53" i="21"/>
  <c r="F34" i="21"/>
  <c r="I35" i="21"/>
  <c r="K37" i="21"/>
  <c r="Q43" i="21"/>
  <c r="S45" i="21"/>
  <c r="M34" i="21"/>
  <c r="R34" i="21"/>
  <c r="U36" i="21"/>
  <c r="J36" i="21"/>
  <c r="V43" i="21"/>
  <c r="E34" i="21"/>
  <c r="H35" i="21"/>
  <c r="J37" i="21"/>
  <c r="P43" i="21"/>
  <c r="R45" i="21"/>
  <c r="W48" i="21"/>
  <c r="N35" i="21"/>
  <c r="Q34" i="21"/>
  <c r="T36" i="21"/>
  <c r="W43" i="21"/>
  <c r="N36" i="21"/>
  <c r="Q36" i="21"/>
  <c r="I36" i="21"/>
  <c r="P44" i="21"/>
  <c r="S37" i="21"/>
  <c r="Q35" i="21"/>
  <c r="M35" i="21"/>
  <c r="U43" i="21"/>
  <c r="P35" i="21"/>
  <c r="O36" i="21"/>
  <c r="J34" i="21"/>
  <c r="K34" i="21"/>
  <c r="I34" i="21"/>
  <c r="J40" i="21"/>
  <c r="R48" i="21"/>
  <c r="N44" i="21"/>
  <c r="M43" i="21"/>
  <c r="Q47" i="21"/>
  <c r="F36" i="21"/>
  <c r="L42" i="21"/>
  <c r="P46" i="21"/>
  <c r="U51" i="21"/>
  <c r="T50" i="21"/>
  <c r="E35" i="21"/>
  <c r="G37" i="21"/>
  <c r="S49" i="21"/>
  <c r="O45" i="21"/>
  <c r="V52" i="21"/>
  <c r="D34" i="21"/>
  <c r="D54" i="21" s="1"/>
  <c r="D55" i="21" s="1"/>
  <c r="D56" i="21" s="1"/>
  <c r="G25" i="21"/>
  <c r="J25" i="21"/>
  <c r="H25" i="21"/>
  <c r="AB17" i="11"/>
  <c r="AC17" i="11"/>
  <c r="AD17" i="11"/>
  <c r="AA17" i="11"/>
  <c r="Y17" i="11"/>
  <c r="K19" i="7"/>
  <c r="L19" i="7"/>
  <c r="M19" i="7"/>
  <c r="AE55" i="5"/>
  <c r="K7" i="18"/>
  <c r="J7" i="18"/>
  <c r="G7" i="18"/>
  <c r="AG218" i="6" s="1"/>
  <c r="AG55" i="5" s="1"/>
  <c r="H7" i="18"/>
  <c r="AH218" i="6" s="1"/>
  <c r="AH55" i="5" s="1"/>
  <c r="I7" i="18"/>
  <c r="AI218" i="6" s="1"/>
  <c r="AI55" i="5" s="1"/>
  <c r="F7" i="18"/>
  <c r="AF218" i="6" s="1"/>
  <c r="AF55" i="5" s="1"/>
  <c r="E17" i="18"/>
  <c r="AR83" i="6"/>
  <c r="AE84" i="6"/>
  <c r="X39" i="6"/>
  <c r="Y39" i="6"/>
  <c r="Z39" i="6"/>
  <c r="AA39" i="6"/>
  <c r="AB39" i="6"/>
  <c r="AC39" i="6"/>
  <c r="AD39" i="6"/>
  <c r="W39" i="6"/>
  <c r="AD83" i="6"/>
  <c r="AC83" i="6"/>
  <c r="W82" i="6"/>
  <c r="B83" i="6"/>
  <c r="AG44" i="4"/>
  <c r="Y82" i="6" s="1"/>
  <c r="AH44" i="4"/>
  <c r="Z82" i="6" s="1"/>
  <c r="AI44" i="4"/>
  <c r="AA82" i="6" s="1"/>
  <c r="AE85" i="6" s="1"/>
  <c r="AJ44" i="4"/>
  <c r="AB82" i="6" s="1"/>
  <c r="AB84" i="6" s="1"/>
  <c r="AK44" i="4"/>
  <c r="AC82" i="6" s="1"/>
  <c r="AL44" i="4"/>
  <c r="AD82" i="6" s="1"/>
  <c r="AF44" i="4"/>
  <c r="X82" i="6" s="1"/>
  <c r="R38" i="21" l="1"/>
  <c r="S38" i="21"/>
  <c r="J38" i="21"/>
  <c r="T38" i="21"/>
  <c r="L38" i="21"/>
  <c r="O38" i="21"/>
  <c r="P38" i="21"/>
  <c r="U38" i="21"/>
  <c r="V38" i="21"/>
  <c r="W38" i="21"/>
  <c r="K38" i="21"/>
  <c r="Q38" i="21"/>
  <c r="I38" i="21"/>
  <c r="M38" i="21"/>
  <c r="N38" i="21"/>
  <c r="K39" i="21"/>
  <c r="L39" i="21"/>
  <c r="M39" i="21"/>
  <c r="V39" i="21"/>
  <c r="N39" i="21"/>
  <c r="U39" i="21"/>
  <c r="O39" i="21"/>
  <c r="R39" i="21"/>
  <c r="P39" i="21"/>
  <c r="Q39" i="21"/>
  <c r="S39" i="21"/>
  <c r="J39" i="21"/>
  <c r="W39" i="21"/>
  <c r="T39" i="21"/>
  <c r="M41" i="21"/>
  <c r="K41" i="21"/>
  <c r="N41" i="21"/>
  <c r="S41" i="21"/>
  <c r="T41" i="21"/>
  <c r="O41" i="21"/>
  <c r="L41" i="21"/>
  <c r="P41" i="21"/>
  <c r="U41" i="21"/>
  <c r="Q41" i="21"/>
  <c r="V41" i="21"/>
  <c r="R41" i="21"/>
  <c r="W41" i="21"/>
  <c r="AQ83" i="6"/>
  <c r="AD84" i="6"/>
  <c r="AC85" i="6"/>
  <c r="E54" i="21"/>
  <c r="E55" i="21" s="1"/>
  <c r="E56" i="21" s="1"/>
  <c r="AF82" i="6" s="1"/>
  <c r="AF84" i="6" s="1"/>
  <c r="AF85" i="6" s="1"/>
  <c r="G54" i="21"/>
  <c r="I39" i="21"/>
  <c r="F54" i="21"/>
  <c r="H38" i="21"/>
  <c r="H54" i="21" s="1"/>
  <c r="AQ82" i="6"/>
  <c r="AD85" i="6"/>
  <c r="AC84" i="6"/>
  <c r="F55" i="21" l="1"/>
  <c r="F56" i="21" s="1"/>
  <c r="AG82" i="6" s="1"/>
  <c r="AG84" i="6" s="1"/>
  <c r="AG85" i="6" s="1"/>
  <c r="I54" i="21"/>
  <c r="I55" i="21" s="1"/>
  <c r="I56" i="21" s="1"/>
  <c r="G55" i="21"/>
  <c r="G56" i="21" s="1"/>
  <c r="AH82" i="6" s="1"/>
  <c r="AH84" i="6" s="1"/>
  <c r="AH85" i="6" s="1"/>
  <c r="O54" i="21"/>
  <c r="H55" i="21"/>
  <c r="H56" i="21" s="1"/>
  <c r="AI82" i="6" s="1"/>
  <c r="AI84" i="6" s="1"/>
  <c r="AI85" i="6" s="1"/>
  <c r="W54" i="21"/>
  <c r="Q54" i="21"/>
  <c r="K54" i="21"/>
  <c r="L54" i="21"/>
  <c r="U54" i="21"/>
  <c r="R54" i="21"/>
  <c r="P54" i="21"/>
  <c r="V54" i="21"/>
  <c r="N54" i="21"/>
  <c r="M54" i="21"/>
  <c r="T54" i="21"/>
  <c r="J54" i="21"/>
  <c r="S54" i="21"/>
  <c r="J55" i="21" l="1"/>
  <c r="J56" i="21" s="1"/>
  <c r="L55" i="21"/>
  <c r="L56" i="21" s="1"/>
  <c r="P55" i="21"/>
  <c r="P56" i="21" s="1"/>
  <c r="W55" i="21"/>
  <c r="W56" i="21" s="1"/>
  <c r="M55" i="21"/>
  <c r="M56" i="21" s="1"/>
  <c r="S55" i="21"/>
  <c r="S56" i="21" s="1"/>
  <c r="Q55" i="21"/>
  <c r="Q56" i="21" s="1"/>
  <c r="R55" i="21"/>
  <c r="R56" i="21" s="1"/>
  <c r="V55" i="21"/>
  <c r="V56" i="21" s="1"/>
  <c r="N55" i="21"/>
  <c r="N56" i="21" s="1"/>
  <c r="K55" i="21"/>
  <c r="K56" i="21" s="1"/>
  <c r="U55" i="21"/>
  <c r="U56" i="21" s="1"/>
  <c r="O55" i="21"/>
  <c r="O56" i="21" s="1"/>
  <c r="T55" i="21"/>
  <c r="T56" i="21" s="1"/>
  <c r="AR82" i="6"/>
  <c r="J63" i="21" l="1"/>
  <c r="AS84" i="6" s="1"/>
  <c r="L63" i="21"/>
  <c r="M63" i="21"/>
  <c r="K63" i="21"/>
  <c r="AD137" i="9" l="1"/>
  <c r="AD140" i="9"/>
  <c r="AD85" i="9"/>
  <c r="AD56" i="9"/>
  <c r="AD6" i="5"/>
  <c r="AD7" i="5"/>
  <c r="AD8" i="5"/>
  <c r="X7" i="11" s="1"/>
  <c r="AD9" i="5"/>
  <c r="AD10" i="5"/>
  <c r="AD12" i="5"/>
  <c r="AD13" i="5"/>
  <c r="AD16" i="5"/>
  <c r="AD17" i="5"/>
  <c r="AD18" i="5"/>
  <c r="AD19" i="5"/>
  <c r="AD20" i="5"/>
  <c r="AD53" i="5" s="1"/>
  <c r="AD21" i="5"/>
  <c r="AD25" i="5"/>
  <c r="AD26" i="5"/>
  <c r="AE26" i="5" s="1"/>
  <c r="AD29" i="5"/>
  <c r="AD123" i="9" s="1"/>
  <c r="AD31" i="5"/>
  <c r="AD48" i="5"/>
  <c r="AD49" i="5"/>
  <c r="AD50" i="5"/>
  <c r="AD52" i="5"/>
  <c r="AD54" i="5"/>
  <c r="AD57" i="5"/>
  <c r="AD69" i="5"/>
  <c r="AD98" i="9" s="1"/>
  <c r="AD70" i="5"/>
  <c r="AD9" i="9" s="1"/>
  <c r="AD71" i="5"/>
  <c r="AD15" i="9" s="1"/>
  <c r="AD72" i="5"/>
  <c r="AD19" i="9" s="1"/>
  <c r="AD73" i="5"/>
  <c r="AD23" i="9" s="1"/>
  <c r="AD74" i="5"/>
  <c r="AD66" i="9" s="1"/>
  <c r="AD76" i="5"/>
  <c r="AD47" i="9" s="1"/>
  <c r="AD77" i="5"/>
  <c r="AD119" i="9" s="1"/>
  <c r="AD78" i="5"/>
  <c r="AD49" i="9" s="1"/>
  <c r="AD79" i="5"/>
  <c r="AD80" i="5"/>
  <c r="AD61" i="9" s="1"/>
  <c r="AD81" i="5"/>
  <c r="AD63" i="9" s="1"/>
  <c r="AD82" i="5"/>
  <c r="AD16" i="9" s="1"/>
  <c r="AD83" i="5"/>
  <c r="AD67" i="9" s="1"/>
  <c r="AD87" i="5"/>
  <c r="AD27" i="9" s="1"/>
  <c r="AD88" i="5"/>
  <c r="AD73" i="9" s="1"/>
  <c r="AD89" i="5"/>
  <c r="AD74" i="9" s="1"/>
  <c r="AD90" i="5"/>
  <c r="AD31" i="9" s="1"/>
  <c r="AD91" i="5"/>
  <c r="AD113" i="9" s="1"/>
  <c r="AD92" i="5"/>
  <c r="AD88" i="9" s="1"/>
  <c r="AD93" i="5"/>
  <c r="AD95" i="5"/>
  <c r="AD76" i="9" s="1"/>
  <c r="AD96" i="5"/>
  <c r="AD77" i="9" s="1"/>
  <c r="AD97" i="5"/>
  <c r="AD110" i="9" s="1"/>
  <c r="AD98" i="5"/>
  <c r="AD99" i="5"/>
  <c r="AD114" i="9" s="1"/>
  <c r="AD100" i="5"/>
  <c r="AD90" i="9" s="1"/>
  <c r="AD101" i="5"/>
  <c r="AD103" i="5"/>
  <c r="AD105" i="5"/>
  <c r="AD106" i="5"/>
  <c r="AD129" i="9" s="1"/>
  <c r="AD107" i="5"/>
  <c r="AD134" i="9" s="1"/>
  <c r="AD108" i="5"/>
  <c r="AD109" i="5"/>
  <c r="AD143" i="9" s="1"/>
  <c r="AD122" i="5"/>
  <c r="AD39" i="9" s="1"/>
  <c r="AD123" i="5"/>
  <c r="AD130" i="9" s="1"/>
  <c r="AD124" i="5"/>
  <c r="AD125" i="5"/>
  <c r="AD35" i="9" s="1"/>
  <c r="AD126" i="5"/>
  <c r="AD127" i="5"/>
  <c r="AD128" i="5"/>
  <c r="AD129" i="5"/>
  <c r="AD131" i="5"/>
  <c r="AD132" i="5"/>
  <c r="AD133" i="5"/>
  <c r="AD134" i="5"/>
  <c r="AD135" i="5"/>
  <c r="AD136" i="5"/>
  <c r="AD137" i="5"/>
  <c r="AD138" i="5"/>
  <c r="AD139" i="5"/>
  <c r="AD142" i="5"/>
  <c r="AD170" i="5" s="1"/>
  <c r="AD143" i="5"/>
  <c r="AD53" i="9" s="1"/>
  <c r="AD144" i="5"/>
  <c r="AD171" i="5" s="1"/>
  <c r="AD145" i="5"/>
  <c r="AD68" i="9" s="1"/>
  <c r="AD146" i="5"/>
  <c r="AD150" i="5"/>
  <c r="AD151" i="5"/>
  <c r="AD92" i="9" s="1"/>
  <c r="AD152" i="5"/>
  <c r="AD153" i="5"/>
  <c r="AD82" i="9" s="1"/>
  <c r="AD154" i="5"/>
  <c r="AD155" i="5"/>
  <c r="AD135" i="9" s="1"/>
  <c r="AD156" i="5"/>
  <c r="AD145" i="9" s="1"/>
  <c r="AD157" i="5"/>
  <c r="AD158" i="5"/>
  <c r="AD159" i="5"/>
  <c r="AD160" i="5"/>
  <c r="AD202" i="6"/>
  <c r="AD207" i="6"/>
  <c r="AD212" i="6"/>
  <c r="AD184" i="6"/>
  <c r="AD190" i="6"/>
  <c r="AD196" i="6"/>
  <c r="AD62" i="6"/>
  <c r="AD66" i="6"/>
  <c r="AD72" i="6"/>
  <c r="AD77" i="6"/>
  <c r="AD92" i="6"/>
  <c r="AD101" i="6"/>
  <c r="AD107" i="6"/>
  <c r="AD112" i="6"/>
  <c r="AD117" i="6"/>
  <c r="AD138" i="6"/>
  <c r="AD38" i="6"/>
  <c r="AD37" i="6"/>
  <c r="AD36" i="6"/>
  <c r="AD25" i="6"/>
  <c r="AD9" i="6"/>
  <c r="AD11" i="6"/>
  <c r="AD12" i="6"/>
  <c r="AD13" i="6"/>
  <c r="AD14" i="6"/>
  <c r="AD16" i="6"/>
  <c r="AD178" i="6"/>
  <c r="AD165" i="6"/>
  <c r="AD169" i="6"/>
  <c r="AD141" i="6"/>
  <c r="AD145" i="6"/>
  <c r="AD147" i="6"/>
  <c r="AD151" i="6"/>
  <c r="AD155" i="6"/>
  <c r="AL113" i="4"/>
  <c r="AL114" i="4"/>
  <c r="AL115" i="4"/>
  <c r="AL116" i="4"/>
  <c r="AL117" i="4"/>
  <c r="AL118" i="4"/>
  <c r="AL112" i="4"/>
  <c r="AL108" i="4"/>
  <c r="AL104" i="4"/>
  <c r="AD139" i="9" s="1"/>
  <c r="AL96" i="4"/>
  <c r="AL93" i="4"/>
  <c r="AL88" i="4"/>
  <c r="AL91" i="4" s="1"/>
  <c r="AL83" i="4"/>
  <c r="AL86" i="4" s="1"/>
  <c r="AL78" i="4"/>
  <c r="AL81" i="4" s="1"/>
  <c r="AL73" i="4"/>
  <c r="AD188" i="6" s="1"/>
  <c r="AL68" i="4"/>
  <c r="AL51" i="4"/>
  <c r="AL41" i="4"/>
  <c r="AL17" i="4"/>
  <c r="AL19" i="4" s="1"/>
  <c r="AL9" i="4"/>
  <c r="AL11" i="4" s="1"/>
  <c r="AL2" i="4"/>
  <c r="AL3" i="4"/>
  <c r="AK170" i="2"/>
  <c r="AK169" i="2"/>
  <c r="AK168" i="2"/>
  <c r="AK158" i="2"/>
  <c r="AK144" i="2"/>
  <c r="AK145" i="2" s="1"/>
  <c r="AK113" i="2"/>
  <c r="AD116" i="5" s="1"/>
  <c r="AK112" i="2"/>
  <c r="AD115" i="5" s="1"/>
  <c r="AK111" i="2"/>
  <c r="AD114" i="5" s="1"/>
  <c r="AK107" i="2"/>
  <c r="AK99" i="2"/>
  <c r="AK91" i="2"/>
  <c r="AK72" i="2"/>
  <c r="AK81" i="2" s="1"/>
  <c r="AK30" i="2"/>
  <c r="AK32" i="2" s="1"/>
  <c r="AK27" i="2"/>
  <c r="AK11" i="2"/>
  <c r="AK14" i="2" s="1"/>
  <c r="AL76" i="4" s="1"/>
  <c r="AK47" i="2"/>
  <c r="AK46" i="2"/>
  <c r="AK43" i="2"/>
  <c r="AD39" i="5" s="1"/>
  <c r="AD154" i="9" s="1"/>
  <c r="AK42" i="2"/>
  <c r="AD38" i="5" s="1"/>
  <c r="AD151" i="9" s="1"/>
  <c r="AK3" i="2"/>
  <c r="AK2" i="2"/>
  <c r="AB5" i="14" l="1"/>
  <c r="AB6" i="14"/>
  <c r="AB3" i="14"/>
  <c r="AL72" i="4"/>
  <c r="AD51" i="5"/>
  <c r="X17" i="11"/>
  <c r="AD147" i="5"/>
  <c r="AD148" i="5" s="1"/>
  <c r="AK56" i="2"/>
  <c r="AK58" i="2" s="1"/>
  <c r="AK60" i="2" s="1"/>
  <c r="AD131" i="9"/>
  <c r="AD146" i="9"/>
  <c r="AD40" i="6"/>
  <c r="AD110" i="5"/>
  <c r="AD13" i="9"/>
  <c r="AD17" i="9" s="1"/>
  <c r="AD172" i="5"/>
  <c r="AD27" i="5"/>
  <c r="AD112" i="9"/>
  <c r="AD115" i="9" s="1"/>
  <c r="AD102" i="5"/>
  <c r="AD86" i="9"/>
  <c r="AD42" i="5"/>
  <c r="AD11" i="5"/>
  <c r="AD41" i="5" s="1"/>
  <c r="AD65" i="9"/>
  <c r="AD91" i="9"/>
  <c r="AD50" i="9" s="1"/>
  <c r="AD60" i="9"/>
  <c r="AD62" i="9" s="1"/>
  <c r="AD155" i="9"/>
  <c r="AD78" i="9"/>
  <c r="AD75" i="9" s="1"/>
  <c r="AD94" i="5"/>
  <c r="AD75" i="5"/>
  <c r="AD84" i="5" s="1"/>
  <c r="AD42" i="9"/>
  <c r="AD161" i="5"/>
  <c r="AD107" i="9"/>
  <c r="AD80" i="9"/>
  <c r="AL94" i="4"/>
  <c r="AL119" i="4"/>
  <c r="AD192" i="6"/>
  <c r="AD199" i="6" s="1"/>
  <c r="AD168" i="6"/>
  <c r="AD181" i="6"/>
  <c r="AD15" i="6"/>
  <c r="AD6" i="9" s="1"/>
  <c r="AD6" i="6"/>
  <c r="AD215" i="6" s="1"/>
  <c r="AD171" i="6"/>
  <c r="AD90" i="6"/>
  <c r="AD94" i="6" s="1"/>
  <c r="AD152" i="6"/>
  <c r="AD115" i="6"/>
  <c r="AD157" i="9"/>
  <c r="AD161" i="9" s="1"/>
  <c r="AD136" i="9"/>
  <c r="AD22" i="5"/>
  <c r="AD41" i="6"/>
  <c r="AD20" i="6"/>
  <c r="AK38" i="2"/>
  <c r="AK117" i="2"/>
  <c r="AK137" i="2" s="1"/>
  <c r="AK160" i="2" s="1"/>
  <c r="AK108" i="2"/>
  <c r="AK35" i="2"/>
  <c r="AD111" i="5" l="1"/>
  <c r="AD112" i="5" s="1"/>
  <c r="AK59" i="2"/>
  <c r="AD14" i="5"/>
  <c r="AD5" i="9" s="1"/>
  <c r="AD36" i="9" s="1"/>
  <c r="AD120" i="9"/>
  <c r="AD162" i="9"/>
  <c r="AD97" i="9"/>
  <c r="AD99" i="9" s="1"/>
  <c r="AD89" i="9"/>
  <c r="AD209" i="6"/>
  <c r="AD210" i="6" s="1"/>
  <c r="AD97" i="6"/>
  <c r="AD204" i="6"/>
  <c r="AD17" i="6"/>
  <c r="AD214" i="6" s="1"/>
  <c r="AD174" i="6"/>
  <c r="AD104" i="6"/>
  <c r="AK167" i="2"/>
  <c r="AK171" i="2" s="1"/>
  <c r="AK173" i="2" s="1"/>
  <c r="AK172" i="2"/>
  <c r="AD23" i="5" l="1"/>
  <c r="AD205" i="6"/>
  <c r="AH204" i="6"/>
  <c r="AD10" i="6"/>
  <c r="AD8" i="6"/>
  <c r="E5" i="18"/>
  <c r="F5" i="18" s="1"/>
  <c r="G5" i="18" s="1"/>
  <c r="H5" i="18" s="1"/>
  <c r="I5" i="18" s="1"/>
  <c r="J5" i="18" s="1"/>
  <c r="K5" i="18" s="1"/>
  <c r="L5" i="18" s="1"/>
  <c r="M5" i="18" s="1"/>
  <c r="N5" i="18" s="1"/>
  <c r="O5" i="18" s="1"/>
  <c r="P5" i="18" s="1"/>
  <c r="Q5" i="18" s="1"/>
  <c r="R5" i="18" s="1"/>
  <c r="S5" i="18" s="1"/>
  <c r="T5" i="18" s="1"/>
  <c r="U5" i="18" s="1"/>
  <c r="V5" i="18" s="1"/>
  <c r="W5" i="18" s="1"/>
  <c r="X5" i="18" s="1"/>
  <c r="Y5" i="18" s="1"/>
  <c r="M28" i="18" l="1"/>
  <c r="N28" i="18"/>
  <c r="O28" i="18"/>
  <c r="P28" i="18"/>
  <c r="Q28" i="18"/>
  <c r="R28" i="18"/>
  <c r="S28" i="18"/>
  <c r="T28" i="18"/>
  <c r="U28" i="18"/>
  <c r="V28" i="18"/>
  <c r="W28" i="18"/>
  <c r="X28" i="18"/>
  <c r="Y28" i="18"/>
  <c r="L28" i="18"/>
  <c r="D28" i="18" s="1"/>
  <c r="G28" i="18" s="1"/>
  <c r="AG217" i="6" s="1"/>
  <c r="P29" i="18"/>
  <c r="Q29" i="18"/>
  <c r="R29" i="18"/>
  <c r="S29" i="18"/>
  <c r="T29" i="18"/>
  <c r="U29" i="18"/>
  <c r="V29" i="18"/>
  <c r="W29" i="18"/>
  <c r="X29" i="18"/>
  <c r="Y29" i="18"/>
  <c r="M29" i="18"/>
  <c r="N29" i="18"/>
  <c r="O29" i="18"/>
  <c r="L29" i="18"/>
  <c r="D29" i="18" s="1"/>
  <c r="I29" i="18" s="1"/>
  <c r="AI44" i="9" s="1"/>
  <c r="AD29" i="18" l="1"/>
  <c r="E29" i="18"/>
  <c r="AA29" i="18" s="1"/>
  <c r="AQ44" i="9" s="1"/>
  <c r="AF29" i="18"/>
  <c r="AE29" i="18"/>
  <c r="H29" i="18"/>
  <c r="AH44" i="9" s="1"/>
  <c r="G29" i="18"/>
  <c r="AG44" i="9" s="1"/>
  <c r="J29" i="18"/>
  <c r="F29" i="18"/>
  <c r="AE44" i="9"/>
  <c r="AD28" i="18"/>
  <c r="K29" i="18"/>
  <c r="AF28" i="18"/>
  <c r="AE28" i="18"/>
  <c r="E28" i="18"/>
  <c r="AE217" i="6" s="1"/>
  <c r="K28" i="18"/>
  <c r="AC28" i="18" s="1"/>
  <c r="AS217" i="6" s="1"/>
  <c r="F28" i="18"/>
  <c r="I28" i="18"/>
  <c r="AI217" i="6" s="1"/>
  <c r="H28" i="18"/>
  <c r="AH217" i="6" s="1"/>
  <c r="J28" i="18"/>
  <c r="AB28" i="18" l="1"/>
  <c r="AR217" i="6" s="1"/>
  <c r="AF217" i="6"/>
  <c r="AF44" i="9"/>
  <c r="AB29" i="18"/>
  <c r="AR44" i="9" s="1"/>
  <c r="AC29" i="18"/>
  <c r="AS44" i="9" s="1"/>
  <c r="AA28" i="18"/>
  <c r="AQ217" i="6" s="1"/>
  <c r="AA7" i="18"/>
  <c r="AB7" i="18"/>
  <c r="AC7" i="18"/>
  <c r="AS218" i="6" s="1"/>
  <c r="AD7" i="18"/>
  <c r="AE7" i="18"/>
  <c r="AF7" i="18"/>
  <c r="AA9" i="18"/>
  <c r="AB9" i="18"/>
  <c r="AC9" i="18"/>
  <c r="AD9" i="18"/>
  <c r="AE9" i="18"/>
  <c r="AF9" i="18"/>
  <c r="AA5" i="18"/>
  <c r="L17" i="18"/>
  <c r="M17" i="18"/>
  <c r="N17" i="18"/>
  <c r="O17" i="18"/>
  <c r="P17" i="18"/>
  <c r="Q17" i="18"/>
  <c r="R17" i="18"/>
  <c r="S17" i="18"/>
  <c r="T17" i="18"/>
  <c r="U17" i="18"/>
  <c r="V17" i="18"/>
  <c r="W17" i="18"/>
  <c r="X17" i="18"/>
  <c r="Y17" i="18"/>
  <c r="L18" i="18"/>
  <c r="M18" i="18"/>
  <c r="N18" i="18"/>
  <c r="O18" i="18"/>
  <c r="P18" i="18"/>
  <c r="Q18" i="18"/>
  <c r="R18" i="18"/>
  <c r="S18" i="18"/>
  <c r="T18" i="18"/>
  <c r="U18" i="18"/>
  <c r="V18" i="18"/>
  <c r="W18" i="18"/>
  <c r="X18" i="18"/>
  <c r="Y18" i="18"/>
  <c r="I17" i="18"/>
  <c r="E18" i="18"/>
  <c r="F18" i="18"/>
  <c r="G18" i="18"/>
  <c r="H18" i="18"/>
  <c r="I18" i="18"/>
  <c r="J18" i="18"/>
  <c r="K18" i="18"/>
  <c r="F17" i="18"/>
  <c r="G17" i="18"/>
  <c r="H17" i="18"/>
  <c r="J17" i="18"/>
  <c r="K17" i="18"/>
  <c r="E8" i="18"/>
  <c r="AA8" i="18" s="1"/>
  <c r="D22" i="18"/>
  <c r="E6" i="18"/>
  <c r="D16" i="18"/>
  <c r="C16" i="18"/>
  <c r="D18" i="18"/>
  <c r="C18" i="18"/>
  <c r="D17" i="18"/>
  <c r="C17" i="18"/>
  <c r="D10" i="18"/>
  <c r="D15" i="18" s="1"/>
  <c r="E10" i="18" l="1"/>
  <c r="E15" i="18" s="1"/>
  <c r="AS55" i="5"/>
  <c r="J19" i="7"/>
  <c r="E16" i="18"/>
  <c r="F8" i="18"/>
  <c r="AB5" i="18"/>
  <c r="F6" i="18"/>
  <c r="AA6" i="18"/>
  <c r="AE58" i="9"/>
  <c r="D19" i="18"/>
  <c r="E22" i="18" l="1"/>
  <c r="AA10" i="18"/>
  <c r="F10" i="18"/>
  <c r="F22" i="18" s="1"/>
  <c r="G6" i="18"/>
  <c r="G8" i="18"/>
  <c r="F16" i="18"/>
  <c r="AF58" i="9"/>
  <c r="F15" i="18"/>
  <c r="E19" i="18"/>
  <c r="H8" i="18" l="1"/>
  <c r="AG58" i="9"/>
  <c r="G16" i="18"/>
  <c r="AC5" i="18"/>
  <c r="H6" i="18"/>
  <c r="G10" i="18"/>
  <c r="F19" i="18"/>
  <c r="E5" i="12"/>
  <c r="L19" i="12"/>
  <c r="H19" i="12"/>
  <c r="E8" i="12"/>
  <c r="K19" i="12"/>
  <c r="I16" i="12"/>
  <c r="E16" i="12"/>
  <c r="E12" i="12"/>
  <c r="R8" i="12"/>
  <c r="R6" i="12"/>
  <c r="R13" i="12"/>
  <c r="R5" i="12"/>
  <c r="B1" i="12"/>
  <c r="R12" i="12"/>
  <c r="M19" i="12"/>
  <c r="F16" i="12"/>
  <c r="I19" i="12"/>
  <c r="M16" i="12"/>
  <c r="J19" i="12"/>
  <c r="E13" i="12"/>
  <c r="E11" i="12"/>
  <c r="L16" i="12"/>
  <c r="R7" i="12"/>
  <c r="R3" i="12"/>
  <c r="N16" i="12"/>
  <c r="K16" i="12"/>
  <c r="R9" i="12"/>
  <c r="E9" i="12"/>
  <c r="E19" i="12"/>
  <c r="G19" i="12"/>
  <c r="N19" i="12"/>
  <c r="J16" i="12"/>
  <c r="E7" i="12"/>
  <c r="G16" i="12"/>
  <c r="E6" i="12"/>
  <c r="F19" i="12"/>
  <c r="H16" i="12"/>
  <c r="R10" i="12"/>
  <c r="R4" i="12"/>
  <c r="R11" i="12"/>
  <c r="G15" i="18" l="1"/>
  <c r="G19" i="18" s="1"/>
  <c r="G22" i="18"/>
  <c r="I6" i="18"/>
  <c r="H10" i="18"/>
  <c r="I8" i="18"/>
  <c r="AH58" i="9"/>
  <c r="H16" i="18"/>
  <c r="AB8" i="18"/>
  <c r="AB6" i="18"/>
  <c r="Q100" i="8"/>
  <c r="H15" i="18" l="1"/>
  <c r="H19" i="18" s="1"/>
  <c r="H22" i="18"/>
  <c r="J6" i="18"/>
  <c r="I10" i="18"/>
  <c r="AB10" i="18" s="1"/>
  <c r="J8" i="18"/>
  <c r="AI58" i="9"/>
  <c r="I16" i="18"/>
  <c r="Q37" i="8"/>
  <c r="I15" i="18" l="1"/>
  <c r="I19" i="18" s="1"/>
  <c r="I22" i="18"/>
  <c r="K6" i="18"/>
  <c r="J10" i="18"/>
  <c r="K8" i="18"/>
  <c r="J16" i="18"/>
  <c r="AD5" i="18"/>
  <c r="Q8" i="8"/>
  <c r="Q23" i="8" s="1"/>
  <c r="Q44" i="8"/>
  <c r="AB92" i="6"/>
  <c r="Q31" i="8"/>
  <c r="AC6" i="5"/>
  <c r="W5" i="11" s="1"/>
  <c r="AC7" i="5"/>
  <c r="W6" i="11" s="1"/>
  <c r="AC8" i="5"/>
  <c r="W7" i="11" s="1"/>
  <c r="AC9" i="5"/>
  <c r="AC10" i="5"/>
  <c r="AC12" i="5"/>
  <c r="W9" i="11" s="1"/>
  <c r="AC13" i="5"/>
  <c r="W10" i="11" s="1"/>
  <c r="AC16" i="5"/>
  <c r="W13" i="11" s="1"/>
  <c r="AC17" i="5"/>
  <c r="W14" i="11" s="1"/>
  <c r="AC18" i="5"/>
  <c r="W15" i="11" s="1"/>
  <c r="AC19" i="5"/>
  <c r="AC20" i="5"/>
  <c r="AC53" i="5" s="1"/>
  <c r="AC21" i="5"/>
  <c r="AC25" i="5"/>
  <c r="AC26" i="5"/>
  <c r="AC29" i="5"/>
  <c r="W21" i="11" s="1"/>
  <c r="AC31" i="5"/>
  <c r="AC48" i="5"/>
  <c r="AC49" i="5"/>
  <c r="AC50" i="5"/>
  <c r="AC52" i="5"/>
  <c r="AC54" i="5"/>
  <c r="AC57" i="5"/>
  <c r="AC69" i="5"/>
  <c r="AC70" i="5"/>
  <c r="AC71" i="5"/>
  <c r="AC72" i="5"/>
  <c r="AC73" i="5"/>
  <c r="AC74" i="5"/>
  <c r="AC76" i="5"/>
  <c r="W34" i="11" s="1"/>
  <c r="AC77" i="5"/>
  <c r="W35" i="11" s="1"/>
  <c r="AC78" i="5"/>
  <c r="W36" i="11" s="1"/>
  <c r="AC79" i="5"/>
  <c r="W37" i="11" s="1"/>
  <c r="AC80" i="5"/>
  <c r="W38" i="11" s="1"/>
  <c r="AC81" i="5"/>
  <c r="AC82" i="5"/>
  <c r="AC83" i="5"/>
  <c r="AC87" i="5"/>
  <c r="AC88" i="5"/>
  <c r="AC89" i="5"/>
  <c r="AC90" i="5"/>
  <c r="AC91" i="5"/>
  <c r="AC92" i="5"/>
  <c r="W42" i="11" s="1"/>
  <c r="AC93" i="5"/>
  <c r="AC95" i="5"/>
  <c r="AC96" i="5"/>
  <c r="AC97" i="5"/>
  <c r="AC98" i="5"/>
  <c r="AC99" i="5"/>
  <c r="AC100" i="5"/>
  <c r="W46" i="11" s="1"/>
  <c r="AC101" i="5"/>
  <c r="AC103" i="5"/>
  <c r="AC105" i="5"/>
  <c r="AC106" i="5"/>
  <c r="AC107" i="5"/>
  <c r="AC108" i="5"/>
  <c r="AC109" i="5"/>
  <c r="AC122" i="5"/>
  <c r="AC123" i="5"/>
  <c r="AC124" i="5"/>
  <c r="AG124" i="5" s="1"/>
  <c r="AC125" i="5"/>
  <c r="AC126" i="5"/>
  <c r="AC127" i="5"/>
  <c r="AC128" i="5"/>
  <c r="AC129" i="5"/>
  <c r="AC131" i="5"/>
  <c r="AC132" i="5"/>
  <c r="AC133" i="5"/>
  <c r="AC134" i="5"/>
  <c r="AC135" i="5"/>
  <c r="AC136" i="5"/>
  <c r="AC137" i="5"/>
  <c r="AC138" i="5"/>
  <c r="AC139" i="5"/>
  <c r="AC142" i="5"/>
  <c r="AC170" i="5" s="1"/>
  <c r="P59" i="10" s="1"/>
  <c r="AC143" i="5"/>
  <c r="AC144" i="5"/>
  <c r="AC171" i="5" s="1"/>
  <c r="AC145" i="5"/>
  <c r="AC172" i="5" s="1"/>
  <c r="AC146" i="5"/>
  <c r="AC147" i="5"/>
  <c r="AC150" i="5"/>
  <c r="AC151" i="5"/>
  <c r="AC152" i="5"/>
  <c r="AC153" i="5"/>
  <c r="AC154" i="5"/>
  <c r="AC155" i="5"/>
  <c r="AC156" i="5"/>
  <c r="AC157" i="5"/>
  <c r="AC158" i="5"/>
  <c r="AC159" i="5"/>
  <c r="AC160" i="5"/>
  <c r="AC56" i="9"/>
  <c r="AC85" i="9"/>
  <c r="AC137" i="9"/>
  <c r="AC140" i="9"/>
  <c r="AC9" i="6"/>
  <c r="AC11" i="6"/>
  <c r="AC12" i="6"/>
  <c r="AC13" i="6"/>
  <c r="AC14" i="6"/>
  <c r="AC16" i="6"/>
  <c r="AC25" i="6"/>
  <c r="AD27" i="6" s="1"/>
  <c r="AC36" i="6"/>
  <c r="AC37" i="6"/>
  <c r="AC38" i="6"/>
  <c r="AC62" i="6"/>
  <c r="AC66" i="6"/>
  <c r="AC72" i="6"/>
  <c r="AC77" i="6"/>
  <c r="AC92" i="6"/>
  <c r="AC101" i="6"/>
  <c r="AC107" i="6"/>
  <c r="AC112" i="6"/>
  <c r="AC117" i="6"/>
  <c r="AD119" i="6" s="1"/>
  <c r="AC138" i="6"/>
  <c r="AC141" i="6"/>
  <c r="AD143" i="6" s="1"/>
  <c r="AC145" i="6"/>
  <c r="AD149" i="6" s="1"/>
  <c r="AD150" i="6" s="1"/>
  <c r="AD175" i="6" s="1"/>
  <c r="AC147" i="6"/>
  <c r="AC151" i="6"/>
  <c r="AC155" i="6"/>
  <c r="AC165" i="6"/>
  <c r="AD167" i="6" s="1"/>
  <c r="AC169" i="6"/>
  <c r="AC178" i="6"/>
  <c r="AD180" i="6" s="1"/>
  <c r="AC184" i="6"/>
  <c r="AD186" i="6" s="1"/>
  <c r="AC190" i="6"/>
  <c r="AC196" i="6"/>
  <c r="AD198" i="6" s="1"/>
  <c r="AC202" i="6"/>
  <c r="AC207" i="6"/>
  <c r="AC212" i="6"/>
  <c r="AK112" i="4"/>
  <c r="AK113" i="4"/>
  <c r="AK114" i="4"/>
  <c r="AK115" i="4"/>
  <c r="AK116" i="4"/>
  <c r="AK117" i="4"/>
  <c r="AK118" i="4"/>
  <c r="AK108" i="4"/>
  <c r="AK104" i="4"/>
  <c r="AC139" i="9" s="1"/>
  <c r="AK96" i="4"/>
  <c r="AK93" i="4"/>
  <c r="AK88" i="4"/>
  <c r="AK91" i="4" s="1"/>
  <c r="AK83" i="4"/>
  <c r="AK86" i="4" s="1"/>
  <c r="AK78" i="4"/>
  <c r="AK81" i="4" s="1"/>
  <c r="AK68" i="4"/>
  <c r="AK73" i="4"/>
  <c r="AC188" i="6" s="1"/>
  <c r="AK51" i="4"/>
  <c r="AK41" i="4"/>
  <c r="AK17" i="4"/>
  <c r="AK19" i="4" s="1"/>
  <c r="AK9" i="4"/>
  <c r="AK11" i="4" s="1"/>
  <c r="AJ170" i="2"/>
  <c r="AJ169" i="2"/>
  <c r="AJ168" i="2"/>
  <c r="AJ158" i="2"/>
  <c r="AJ145" i="2"/>
  <c r="AJ11" i="2"/>
  <c r="AJ14" i="2" s="1"/>
  <c r="AK76" i="4" s="1"/>
  <c r="AJ22" i="2"/>
  <c r="AJ27" i="2"/>
  <c r="AJ28" i="2" s="1"/>
  <c r="AJ30" i="2" s="1"/>
  <c r="AJ32" i="2" s="1"/>
  <c r="AJ42" i="2"/>
  <c r="AC38" i="5" s="1"/>
  <c r="W26" i="11" s="1"/>
  <c r="AJ43" i="2"/>
  <c r="AC39" i="5" s="1"/>
  <c r="W27" i="11" s="1"/>
  <c r="AJ46" i="2"/>
  <c r="AJ47" i="2"/>
  <c r="AJ72" i="2"/>
  <c r="AJ81" i="2" s="1"/>
  <c r="AJ91" i="2"/>
  <c r="AJ99" i="2"/>
  <c r="AJ107" i="2"/>
  <c r="AJ111" i="2"/>
  <c r="AC114" i="5" s="1"/>
  <c r="AJ112" i="2"/>
  <c r="AC115" i="5" s="1"/>
  <c r="AJ113" i="2"/>
  <c r="AC116" i="5" s="1"/>
  <c r="W45" i="11" l="1"/>
  <c r="AC40" i="6"/>
  <c r="P81" i="10"/>
  <c r="AD114" i="6"/>
  <c r="AD79" i="6"/>
  <c r="AD80" i="6" s="1"/>
  <c r="AD57" i="6"/>
  <c r="AD74" i="6"/>
  <c r="AD75" i="6" s="1"/>
  <c r="AD56" i="6"/>
  <c r="AD103" i="6"/>
  <c r="AD108" i="6"/>
  <c r="AD109" i="6" s="1"/>
  <c r="P65" i="10"/>
  <c r="AD55" i="6"/>
  <c r="AD64" i="6"/>
  <c r="AD65" i="6" s="1"/>
  <c r="AK94" i="4"/>
  <c r="AC68" i="9"/>
  <c r="AK119" i="4"/>
  <c r="W39" i="11"/>
  <c r="AC51" i="5"/>
  <c r="W17" i="11"/>
  <c r="AJ56" i="2"/>
  <c r="AJ58" i="2" s="1"/>
  <c r="AJ60" i="2" s="1"/>
  <c r="AK72" i="4"/>
  <c r="W47" i="11"/>
  <c r="W41" i="11"/>
  <c r="W8" i="11"/>
  <c r="W11" i="11" s="1"/>
  <c r="W43" i="11"/>
  <c r="AC47" i="5"/>
  <c r="W16" i="11"/>
  <c r="K16" i="18"/>
  <c r="L8" i="18"/>
  <c r="J22" i="18"/>
  <c r="J15" i="18"/>
  <c r="J19" i="18" s="1"/>
  <c r="L6" i="18"/>
  <c r="K10" i="18"/>
  <c r="AC152" i="6"/>
  <c r="AD154" i="6" s="1"/>
  <c r="AC42" i="5"/>
  <c r="AC75" i="5"/>
  <c r="AC11" i="5"/>
  <c r="P11" i="10" s="1"/>
  <c r="AC15" i="6"/>
  <c r="AC6" i="9" s="1"/>
  <c r="AC192" i="6"/>
  <c r="AC209" i="6" s="1"/>
  <c r="AC210" i="6" s="1"/>
  <c r="AC161" i="5"/>
  <c r="W55" i="11" s="1"/>
  <c r="AC22" i="5"/>
  <c r="AC110" i="5"/>
  <c r="W49" i="11" s="1"/>
  <c r="AC102" i="5"/>
  <c r="AC148" i="5"/>
  <c r="W54" i="11" s="1"/>
  <c r="AC94" i="5"/>
  <c r="AC27" i="5"/>
  <c r="W19" i="11" s="1"/>
  <c r="AC6" i="6"/>
  <c r="AC17" i="6" s="1"/>
  <c r="AC10" i="6" s="1"/>
  <c r="AC20" i="6"/>
  <c r="P89" i="10"/>
  <c r="P69" i="10"/>
  <c r="AC41" i="6"/>
  <c r="P85" i="10"/>
  <c r="AC90" i="6"/>
  <c r="AC181" i="6"/>
  <c r="AC156" i="6" s="1"/>
  <c r="AC171" i="6"/>
  <c r="AC168" i="6"/>
  <c r="AJ108" i="2"/>
  <c r="AJ35" i="2"/>
  <c r="AJ38" i="2"/>
  <c r="AJ117" i="2"/>
  <c r="AJ137" i="2" s="1"/>
  <c r="W48" i="11" l="1"/>
  <c r="P93" i="10"/>
  <c r="AD22" i="6"/>
  <c r="AD120" i="6"/>
  <c r="AD67" i="6" s="1"/>
  <c r="AD31" i="6"/>
  <c r="AD194" i="6"/>
  <c r="AD176" i="6"/>
  <c r="AD173" i="6"/>
  <c r="P73" i="10"/>
  <c r="AD126" i="6"/>
  <c r="AD59" i="6"/>
  <c r="AD58" i="6"/>
  <c r="AD87" i="6"/>
  <c r="AJ59" i="2"/>
  <c r="W44" i="11"/>
  <c r="W18" i="11"/>
  <c r="W20" i="11" s="1"/>
  <c r="W22" i="11" s="1"/>
  <c r="AC84" i="5"/>
  <c r="W33" i="11"/>
  <c r="W40" i="11" s="1"/>
  <c r="AC199" i="6"/>
  <c r="K22" i="18"/>
  <c r="K15" i="18"/>
  <c r="K19" i="18" s="1"/>
  <c r="M8" i="18"/>
  <c r="AC8" i="18" s="1"/>
  <c r="AS58" i="9" s="1"/>
  <c r="L16" i="18"/>
  <c r="M6" i="18"/>
  <c r="AC6" i="18" s="1"/>
  <c r="L10" i="18"/>
  <c r="AC14" i="5"/>
  <c r="AC111" i="5"/>
  <c r="AC41" i="5"/>
  <c r="AC8" i="6"/>
  <c r="AC174" i="6"/>
  <c r="AC157" i="6"/>
  <c r="AC159" i="6"/>
  <c r="AC94" i="6"/>
  <c r="AD96" i="6" s="1"/>
  <c r="AC97" i="6"/>
  <c r="AJ172" i="2"/>
  <c r="AJ167" i="2"/>
  <c r="AJ171" i="2" s="1"/>
  <c r="AJ173" i="2" s="1"/>
  <c r="AJ160" i="2"/>
  <c r="W50" i="11" l="1"/>
  <c r="W51" i="11" s="1"/>
  <c r="AD122" i="6"/>
  <c r="AD69" i="6"/>
  <c r="AC112" i="5"/>
  <c r="L22" i="18"/>
  <c r="L15" i="18"/>
  <c r="L19" i="18" s="1"/>
  <c r="N8" i="18"/>
  <c r="M16" i="18"/>
  <c r="N6" i="18"/>
  <c r="M10" i="18"/>
  <c r="P7" i="10"/>
  <c r="AC5" i="9"/>
  <c r="AC23" i="5"/>
  <c r="O6" i="18" l="1"/>
  <c r="N10" i="18"/>
  <c r="AE5" i="18"/>
  <c r="M22" i="18"/>
  <c r="M15" i="18"/>
  <c r="M19" i="18" s="1"/>
  <c r="O8" i="18"/>
  <c r="N16" i="18"/>
  <c r="AC10" i="18"/>
  <c r="P15" i="10"/>
  <c r="P19" i="10" s="1"/>
  <c r="AC43" i="5"/>
  <c r="AC28" i="5"/>
  <c r="AC30" i="5" s="1"/>
  <c r="AC32" i="5" s="1"/>
  <c r="AC46" i="5"/>
  <c r="AC56" i="5" s="1"/>
  <c r="W29" i="11" s="1"/>
  <c r="AC61" i="5"/>
  <c r="N15" i="18" l="1"/>
  <c r="N19" i="18" s="1"/>
  <c r="N22" i="18"/>
  <c r="P8" i="18"/>
  <c r="O16" i="18"/>
  <c r="P6" i="18"/>
  <c r="O10" i="18"/>
  <c r="P23" i="10"/>
  <c r="P27" i="10" s="1"/>
  <c r="AC59" i="5"/>
  <c r="AC58" i="5"/>
  <c r="W30" i="11" s="1"/>
  <c r="P39" i="10"/>
  <c r="P43" i="10" s="1"/>
  <c r="AC120" i="5"/>
  <c r="AC140" i="5" s="1"/>
  <c r="W53" i="11" s="1"/>
  <c r="W56" i="11" s="1"/>
  <c r="AC36" i="5"/>
  <c r="AC35" i="5"/>
  <c r="W24" i="11" s="1"/>
  <c r="P47" i="10" l="1"/>
  <c r="W25" i="11"/>
  <c r="Q8" i="18"/>
  <c r="AD8" i="18" s="1"/>
  <c r="P16" i="18"/>
  <c r="Q6" i="18"/>
  <c r="AD6" i="18" s="1"/>
  <c r="P10" i="18"/>
  <c r="O15" i="18"/>
  <c r="O19" i="18" s="1"/>
  <c r="O22" i="18"/>
  <c r="AC169" i="5"/>
  <c r="AC162" i="5"/>
  <c r="P31" i="10"/>
  <c r="P35" i="10" s="1"/>
  <c r="AC60" i="5"/>
  <c r="AE190" i="6"/>
  <c r="AF190" i="6" s="1"/>
  <c r="AG190" i="6" s="1"/>
  <c r="AH190" i="6" s="1"/>
  <c r="AI190" i="6" s="1"/>
  <c r="P22" i="18" l="1"/>
  <c r="P15" i="18"/>
  <c r="P19" i="18" s="1"/>
  <c r="R6" i="18"/>
  <c r="Q10" i="18"/>
  <c r="AD10" i="18" s="1"/>
  <c r="R8" i="18"/>
  <c r="Q16" i="18"/>
  <c r="AC173" i="5"/>
  <c r="W59" i="11" s="1"/>
  <c r="AC174" i="5"/>
  <c r="AC178" i="5"/>
  <c r="AB140" i="9"/>
  <c r="AB137" i="9"/>
  <c r="AB85" i="9"/>
  <c r="AB56" i="9"/>
  <c r="AB212" i="6"/>
  <c r="AB207" i="6"/>
  <c r="AB202" i="6"/>
  <c r="AB196" i="6"/>
  <c r="AC198" i="6" s="1"/>
  <c r="AB190" i="6"/>
  <c r="AB184" i="6"/>
  <c r="AC186" i="6" s="1"/>
  <c r="AB178" i="6"/>
  <c r="AB169" i="6"/>
  <c r="AB165" i="6"/>
  <c r="AC167" i="6" s="1"/>
  <c r="AG167" i="6" s="1"/>
  <c r="AB155" i="6"/>
  <c r="AB151" i="6"/>
  <c r="AB147" i="6"/>
  <c r="AB145" i="6"/>
  <c r="AC149" i="6" s="1"/>
  <c r="AC150" i="6" s="1"/>
  <c r="AC175" i="6" s="1"/>
  <c r="AB141" i="6"/>
  <c r="AC143" i="6" s="1"/>
  <c r="AB138" i="6"/>
  <c r="AB117" i="6"/>
  <c r="AC119" i="6" s="1"/>
  <c r="AB112" i="6"/>
  <c r="AC114" i="6" s="1"/>
  <c r="AB101" i="6"/>
  <c r="AB77" i="6"/>
  <c r="AB72" i="6"/>
  <c r="AB66" i="6"/>
  <c r="AB62" i="6"/>
  <c r="AB38" i="6"/>
  <c r="AB37" i="6"/>
  <c r="AB36" i="6"/>
  <c r="AB25" i="6"/>
  <c r="AB16" i="6"/>
  <c r="AB14" i="6"/>
  <c r="AB13" i="6"/>
  <c r="AB12" i="6"/>
  <c r="AB11" i="6"/>
  <c r="AB9" i="6"/>
  <c r="AB160" i="5"/>
  <c r="AB159" i="5"/>
  <c r="AB158" i="5"/>
  <c r="AB157" i="5"/>
  <c r="AB156" i="5"/>
  <c r="AB145" i="9" s="1"/>
  <c r="AB155" i="5"/>
  <c r="AB135" i="9" s="1"/>
  <c r="AB154" i="5"/>
  <c r="AB153" i="5"/>
  <c r="AB82" i="9" s="1"/>
  <c r="AB152" i="5"/>
  <c r="AB151" i="5"/>
  <c r="AB92" i="9" s="1"/>
  <c r="AB150" i="5"/>
  <c r="AB147" i="5"/>
  <c r="AB146" i="5"/>
  <c r="AB145" i="5"/>
  <c r="AB172" i="5" s="1"/>
  <c r="AB144" i="5"/>
  <c r="AB171" i="5" s="1"/>
  <c r="AB143" i="5"/>
  <c r="AB53" i="9" s="1"/>
  <c r="AB142" i="5"/>
  <c r="AB42" i="9" s="1"/>
  <c r="AB139" i="5"/>
  <c r="AB138" i="5"/>
  <c r="AB137" i="5"/>
  <c r="AB136" i="5"/>
  <c r="AB135" i="5"/>
  <c r="AB134" i="5"/>
  <c r="AB133" i="5"/>
  <c r="AB132" i="5"/>
  <c r="AB131" i="5"/>
  <c r="AB129" i="5"/>
  <c r="AB128" i="5"/>
  <c r="AB127" i="5"/>
  <c r="AB126" i="5"/>
  <c r="AB125" i="5"/>
  <c r="AB35" i="9" s="1"/>
  <c r="AB124" i="5"/>
  <c r="AF124" i="5" s="1"/>
  <c r="AB123" i="5"/>
  <c r="AB130" i="9" s="1"/>
  <c r="AB122" i="5"/>
  <c r="AB39" i="9" s="1"/>
  <c r="AB116" i="5"/>
  <c r="AB115" i="5"/>
  <c r="AB114" i="5"/>
  <c r="AB109" i="5"/>
  <c r="AB143" i="9" s="1"/>
  <c r="AB108" i="5"/>
  <c r="AB107" i="5"/>
  <c r="AB134" i="9" s="1"/>
  <c r="AB106" i="5"/>
  <c r="AB129" i="9" s="1"/>
  <c r="AB105" i="5"/>
  <c r="AB103" i="5"/>
  <c r="AB101" i="5"/>
  <c r="AB100" i="5"/>
  <c r="AB99" i="5"/>
  <c r="AB114" i="9" s="1"/>
  <c r="AB98" i="5"/>
  <c r="AB97" i="5"/>
  <c r="AB96" i="5"/>
  <c r="AB95" i="5"/>
  <c r="AB76" i="9" s="1"/>
  <c r="AB93" i="5"/>
  <c r="AB92" i="5"/>
  <c r="AB91" i="5"/>
  <c r="AB113" i="9" s="1"/>
  <c r="AB90" i="5"/>
  <c r="AB31" i="9" s="1"/>
  <c r="AB89" i="5"/>
  <c r="AB74" i="9" s="1"/>
  <c r="AB88" i="5"/>
  <c r="AB87" i="5"/>
  <c r="AB83" i="5"/>
  <c r="AB67" i="9" s="1"/>
  <c r="AB82" i="5"/>
  <c r="AB16" i="9" s="1"/>
  <c r="AB81" i="5"/>
  <c r="AB80" i="5"/>
  <c r="AB79" i="5"/>
  <c r="V37" i="11" s="1"/>
  <c r="AB78" i="5"/>
  <c r="AB77" i="5"/>
  <c r="AB76" i="5"/>
  <c r="AB74" i="5"/>
  <c r="AB66" i="9" s="1"/>
  <c r="AB73" i="5"/>
  <c r="AB23" i="9" s="1"/>
  <c r="AB72" i="5"/>
  <c r="AB19" i="9" s="1"/>
  <c r="AB71" i="5"/>
  <c r="AB15" i="9" s="1"/>
  <c r="AB70" i="5"/>
  <c r="AB9" i="9" s="1"/>
  <c r="AB69" i="5"/>
  <c r="AB57" i="5"/>
  <c r="AB54" i="5"/>
  <c r="AB52" i="5"/>
  <c r="AB50" i="5"/>
  <c r="AB49" i="5"/>
  <c r="AB48" i="5"/>
  <c r="AB39" i="5"/>
  <c r="AB38" i="5"/>
  <c r="AB31" i="5"/>
  <c r="AB29" i="5"/>
  <c r="AB26" i="5"/>
  <c r="AF26" i="5" s="1"/>
  <c r="AG26" i="5" s="1"/>
  <c r="AH26" i="5" s="1"/>
  <c r="AI26" i="5" s="1"/>
  <c r="AB25" i="5"/>
  <c r="AB21" i="5"/>
  <c r="AB20" i="5"/>
  <c r="AB53" i="5" s="1"/>
  <c r="AB19" i="5"/>
  <c r="AB18" i="5"/>
  <c r="V15" i="11" s="1"/>
  <c r="AB17" i="5"/>
  <c r="V14" i="11" s="1"/>
  <c r="AB16" i="5"/>
  <c r="V13" i="11" s="1"/>
  <c r="AB13" i="5"/>
  <c r="V10" i="11" s="1"/>
  <c r="AB12" i="5"/>
  <c r="V9" i="11" s="1"/>
  <c r="AB10" i="5"/>
  <c r="AB9" i="5"/>
  <c r="AB8" i="5"/>
  <c r="V7" i="11" s="1"/>
  <c r="AB7" i="5"/>
  <c r="V6" i="11" s="1"/>
  <c r="AB6" i="5"/>
  <c r="V5" i="11" s="1"/>
  <c r="P44" i="8"/>
  <c r="AB136" i="9" l="1"/>
  <c r="AB40" i="6"/>
  <c r="AC87" i="6" s="1"/>
  <c r="V43" i="11"/>
  <c r="V8" i="11"/>
  <c r="V11" i="11" s="1"/>
  <c r="AB47" i="9"/>
  <c r="V34" i="11"/>
  <c r="AB119" i="9"/>
  <c r="V35" i="11"/>
  <c r="AB73" i="9"/>
  <c r="V41" i="11"/>
  <c r="AB110" i="9"/>
  <c r="V47" i="11"/>
  <c r="AB77" i="9"/>
  <c r="V45" i="11"/>
  <c r="AB151" i="9"/>
  <c r="AB146" i="9" s="1"/>
  <c r="V26" i="11"/>
  <c r="AB49" i="9"/>
  <c r="V36" i="11"/>
  <c r="AB154" i="9"/>
  <c r="V27" i="11"/>
  <c r="AB61" i="9"/>
  <c r="V38" i="11"/>
  <c r="AB90" i="9"/>
  <c r="V46" i="11"/>
  <c r="AB51" i="5"/>
  <c r="V17" i="11"/>
  <c r="AB47" i="5"/>
  <c r="V16" i="11"/>
  <c r="AB63" i="9"/>
  <c r="AC57" i="9" s="1"/>
  <c r="V39" i="11"/>
  <c r="AB88" i="9"/>
  <c r="V42" i="11"/>
  <c r="AB123" i="9"/>
  <c r="V21" i="11"/>
  <c r="AF5" i="18"/>
  <c r="Q15" i="18"/>
  <c r="Q19" i="18" s="1"/>
  <c r="Q22" i="18"/>
  <c r="S8" i="18"/>
  <c r="R16" i="18"/>
  <c r="S6" i="18"/>
  <c r="R10" i="18"/>
  <c r="P51" i="10"/>
  <c r="P55" i="10" s="1"/>
  <c r="AC175" i="5"/>
  <c r="AC176" i="5"/>
  <c r="AB90" i="6"/>
  <c r="AB97" i="6" s="1"/>
  <c r="AB20" i="6"/>
  <c r="AC22" i="6" s="1"/>
  <c r="AB152" i="6"/>
  <c r="AC154" i="6" s="1"/>
  <c r="AB168" i="6"/>
  <c r="AB115" i="6"/>
  <c r="AC27" i="6"/>
  <c r="AC180" i="6"/>
  <c r="AD30" i="6"/>
  <c r="AB41" i="6"/>
  <c r="AB104" i="6" s="1"/>
  <c r="AC74" i="6"/>
  <c r="AC103" i="6"/>
  <c r="AC108" i="6"/>
  <c r="AC109" i="6" s="1"/>
  <c r="AB171" i="6"/>
  <c r="AB94" i="5"/>
  <c r="AB86" i="9"/>
  <c r="AB75" i="5"/>
  <c r="AB27" i="5"/>
  <c r="V19" i="11" s="1"/>
  <c r="AB112" i="9"/>
  <c r="AB115" i="9" s="1"/>
  <c r="AB110" i="5"/>
  <c r="V49" i="11" s="1"/>
  <c r="AB131" i="9"/>
  <c r="AB148" i="5"/>
  <c r="V54" i="11" s="1"/>
  <c r="AB15" i="6"/>
  <c r="AB6" i="9" s="1"/>
  <c r="AB68" i="9"/>
  <c r="AB98" i="9"/>
  <c r="AB27" i="9"/>
  <c r="AB107" i="9"/>
  <c r="AB22" i="5"/>
  <c r="AB102" i="5"/>
  <c r="AB13" i="9"/>
  <c r="AC69" i="9" s="1"/>
  <c r="AB11" i="5"/>
  <c r="AB14" i="5" s="1"/>
  <c r="AB5" i="9" s="1"/>
  <c r="AB36" i="9" s="1"/>
  <c r="AB42" i="5"/>
  <c r="AB65" i="9"/>
  <c r="AB161" i="5"/>
  <c r="V55" i="11" s="1"/>
  <c r="AB80" i="9"/>
  <c r="AB157" i="9"/>
  <c r="AB162" i="9" s="1"/>
  <c r="AB6" i="6"/>
  <c r="AB215" i="6" s="1"/>
  <c r="AB181" i="6"/>
  <c r="AB156" i="6" s="1"/>
  <c r="AB170" i="5"/>
  <c r="AB91" i="9" l="1"/>
  <c r="AB89" i="9" s="1"/>
  <c r="AB155" i="9"/>
  <c r="V44" i="11"/>
  <c r="AB60" i="9"/>
  <c r="AB62" i="9" s="1"/>
  <c r="AB78" i="9"/>
  <c r="AB75" i="9" s="1"/>
  <c r="V48" i="11"/>
  <c r="V18" i="11"/>
  <c r="V20" i="11" s="1"/>
  <c r="V22" i="11" s="1"/>
  <c r="AB84" i="5"/>
  <c r="V33" i="11"/>
  <c r="V40" i="11" s="1"/>
  <c r="T8" i="18"/>
  <c r="S16" i="18"/>
  <c r="R15" i="18"/>
  <c r="R19" i="18" s="1"/>
  <c r="R22" i="18"/>
  <c r="T6" i="18"/>
  <c r="S10" i="18"/>
  <c r="AB94" i="6"/>
  <c r="AC96" i="6" s="1"/>
  <c r="AB17" i="9"/>
  <c r="AB23" i="5"/>
  <c r="AB28" i="5" s="1"/>
  <c r="AB30" i="5" s="1"/>
  <c r="AB32" i="5" s="1"/>
  <c r="AB41" i="5"/>
  <c r="AC31" i="6"/>
  <c r="AD33" i="6" s="1"/>
  <c r="AB174" i="6"/>
  <c r="AC176" i="6"/>
  <c r="AC173" i="6"/>
  <c r="AG173" i="6" s="1"/>
  <c r="AB111" i="5"/>
  <c r="AB120" i="9"/>
  <c r="AB161" i="9"/>
  <c r="AB159" i="6"/>
  <c r="AB157" i="6"/>
  <c r="AB17" i="6"/>
  <c r="AB8" i="6" s="1"/>
  <c r="AB204" i="6"/>
  <c r="AB97" i="9" l="1"/>
  <c r="AB99" i="9" s="1"/>
  <c r="AB50" i="9"/>
  <c r="AB205" i="6"/>
  <c r="AF204" i="6"/>
  <c r="AB112" i="5"/>
  <c r="V50" i="11"/>
  <c r="V51" i="11" s="1"/>
  <c r="AB46" i="5"/>
  <c r="AB56" i="5" s="1"/>
  <c r="V29" i="11" s="1"/>
  <c r="AB122" i="9"/>
  <c r="AB124" i="9" s="1"/>
  <c r="AB43" i="5"/>
  <c r="U6" i="18"/>
  <c r="AE6" i="18" s="1"/>
  <c r="T10" i="18"/>
  <c r="S15" i="18"/>
  <c r="S19" i="18" s="1"/>
  <c r="S22" i="18"/>
  <c r="U8" i="18"/>
  <c r="T16" i="18"/>
  <c r="AB144" i="9"/>
  <c r="AB36" i="5"/>
  <c r="V25" i="11" s="1"/>
  <c r="AB61" i="5"/>
  <c r="AB35" i="5"/>
  <c r="V24" i="11" s="1"/>
  <c r="AB120" i="5"/>
  <c r="AB140" i="5" s="1"/>
  <c r="AB214" i="6"/>
  <c r="AF214" i="6" s="1"/>
  <c r="AB10" i="6"/>
  <c r="O93" i="10"/>
  <c r="O89" i="10"/>
  <c r="O85" i="10"/>
  <c r="O81" i="10"/>
  <c r="O73" i="10"/>
  <c r="O69" i="10"/>
  <c r="O65" i="10"/>
  <c r="O59" i="10"/>
  <c r="O39" i="10"/>
  <c r="O15" i="10"/>
  <c r="O11" i="10"/>
  <c r="O7" i="10"/>
  <c r="O23" i="10" l="1"/>
  <c r="AB58" i="5"/>
  <c r="V30" i="11" s="1"/>
  <c r="AB59" i="5"/>
  <c r="O47" i="10"/>
  <c r="AB169" i="5"/>
  <c r="AB178" i="5" s="1"/>
  <c r="V53" i="11"/>
  <c r="V56" i="11" s="1"/>
  <c r="T22" i="18"/>
  <c r="T15" i="18"/>
  <c r="T19" i="18" s="1"/>
  <c r="V8" i="18"/>
  <c r="U16" i="18"/>
  <c r="AE8" i="18"/>
  <c r="V6" i="18"/>
  <c r="U10" i="18"/>
  <c r="AB162" i="5"/>
  <c r="O19" i="10"/>
  <c r="O43" i="10"/>
  <c r="O27" i="10"/>
  <c r="P76" i="8"/>
  <c r="P31" i="8"/>
  <c r="P37" i="8" s="1"/>
  <c r="P8" i="8"/>
  <c r="P23" i="8" s="1"/>
  <c r="AJ153" i="4"/>
  <c r="AJ155" i="4" s="1"/>
  <c r="AJ145" i="4"/>
  <c r="AJ118" i="4"/>
  <c r="AJ117" i="4"/>
  <c r="AJ116" i="4"/>
  <c r="AJ115" i="4"/>
  <c r="AJ114" i="4"/>
  <c r="AJ113" i="4"/>
  <c r="AJ112" i="4"/>
  <c r="AJ108" i="4"/>
  <c r="AJ104" i="4"/>
  <c r="AB139" i="9" s="1"/>
  <c r="AJ96" i="4"/>
  <c r="AJ93" i="4"/>
  <c r="AJ88" i="4"/>
  <c r="AJ91" i="4" s="1"/>
  <c r="AJ83" i="4"/>
  <c r="AJ86" i="4" s="1"/>
  <c r="AJ78" i="4"/>
  <c r="AJ81" i="4" s="1"/>
  <c r="AJ73" i="4"/>
  <c r="AB188" i="6" s="1"/>
  <c r="AJ68" i="4"/>
  <c r="AJ51" i="4"/>
  <c r="AJ41" i="4"/>
  <c r="AJ35" i="4"/>
  <c r="AB107" i="6" s="1"/>
  <c r="AJ17" i="4"/>
  <c r="AJ19" i="4" s="1"/>
  <c r="AJ9" i="4"/>
  <c r="AJ11" i="4" s="1"/>
  <c r="AI170" i="2"/>
  <c r="AI169" i="2"/>
  <c r="AI168" i="2"/>
  <c r="AI158" i="2"/>
  <c r="AI145" i="2"/>
  <c r="AI107" i="2"/>
  <c r="AI99" i="2"/>
  <c r="AI91" i="2"/>
  <c r="AI72" i="2"/>
  <c r="AI81" i="2" s="1"/>
  <c r="AI47" i="2"/>
  <c r="AI27" i="2"/>
  <c r="AI22" i="2"/>
  <c r="AI11" i="2"/>
  <c r="AI14" i="2" s="1"/>
  <c r="AB173" i="5" l="1"/>
  <c r="AB158" i="9" s="1"/>
  <c r="AB174" i="5"/>
  <c r="AB60" i="5"/>
  <c r="O31" i="10"/>
  <c r="O35" i="10" s="1"/>
  <c r="W6" i="18"/>
  <c r="V10" i="18"/>
  <c r="W8" i="18"/>
  <c r="V16" i="18"/>
  <c r="U22" i="18"/>
  <c r="U15" i="18"/>
  <c r="U19" i="18" s="1"/>
  <c r="AE10" i="18"/>
  <c r="AB192" i="6"/>
  <c r="AJ75" i="4"/>
  <c r="AI23" i="2"/>
  <c r="AJ76" i="4"/>
  <c r="AJ94" i="4" s="1"/>
  <c r="AJ72" i="4"/>
  <c r="AJ119" i="4"/>
  <c r="AI108" i="2"/>
  <c r="AI109" i="2" s="1"/>
  <c r="O51" i="10" l="1"/>
  <c r="O55" i="10" s="1"/>
  <c r="AB175" i="5"/>
  <c r="AB176" i="5"/>
  <c r="V59" i="11"/>
  <c r="X8" i="18"/>
  <c r="W16" i="18"/>
  <c r="V15" i="18"/>
  <c r="V19" i="18" s="1"/>
  <c r="V22" i="18"/>
  <c r="X6" i="18"/>
  <c r="W10" i="18"/>
  <c r="AI46" i="2"/>
  <c r="AI56" i="2" s="1"/>
  <c r="AI58" i="2" s="1"/>
  <c r="AI28" i="2"/>
  <c r="AI30" i="2" s="1"/>
  <c r="AI32" i="2" s="1"/>
  <c r="AB209" i="6"/>
  <c r="AB199" i="6"/>
  <c r="AF199" i="6" s="1"/>
  <c r="AI59" i="2" l="1"/>
  <c r="W15" i="18"/>
  <c r="W19" i="18" s="1"/>
  <c r="W22" i="18"/>
  <c r="Y6" i="18"/>
  <c r="X10" i="18"/>
  <c r="Y8" i="18"/>
  <c r="X16" i="18"/>
  <c r="AB210" i="6"/>
  <c r="AF209" i="6"/>
  <c r="AI117" i="2"/>
  <c r="AI137" i="2" s="1"/>
  <c r="AI167" i="2" s="1"/>
  <c r="AI171" i="2" s="1"/>
  <c r="AI173" i="2" s="1"/>
  <c r="AI35" i="2"/>
  <c r="AI38" i="2"/>
  <c r="AI60" i="2"/>
  <c r="AI160" i="2" l="1"/>
  <c r="AI172" i="2"/>
  <c r="X15" i="18"/>
  <c r="X19" i="18" s="1"/>
  <c r="X22" i="18"/>
  <c r="Y10" i="18"/>
  <c r="AF10" i="18" s="1"/>
  <c r="Y16" i="18"/>
  <c r="AF8" i="18"/>
  <c r="AF6" i="18"/>
  <c r="AH180" i="6"/>
  <c r="AG180" i="6"/>
  <c r="Y15" i="18" l="1"/>
  <c r="Y19" i="18" s="1"/>
  <c r="Y22" i="18"/>
  <c r="AG185" i="6"/>
  <c r="AH185" i="6" s="1"/>
  <c r="AI185" i="6" s="1"/>
  <c r="O76" i="8" l="1"/>
  <c r="O44" i="8"/>
  <c r="O31" i="8"/>
  <c r="O37" i="8" s="1"/>
  <c r="O8" i="8"/>
  <c r="O23" i="8" s="1"/>
  <c r="AP56" i="9"/>
  <c r="AA140" i="9"/>
  <c r="AA137" i="9"/>
  <c r="AA85" i="9"/>
  <c r="AA56" i="9"/>
  <c r="AP178" i="6"/>
  <c r="AP155" i="6"/>
  <c r="AP138" i="6"/>
  <c r="AP117" i="6"/>
  <c r="AP112" i="6"/>
  <c r="AP66" i="6"/>
  <c r="AA212" i="6"/>
  <c r="AA207" i="6"/>
  <c r="AA202" i="6"/>
  <c r="AA196" i="6"/>
  <c r="AB198" i="6" s="1"/>
  <c r="AA190" i="6"/>
  <c r="AA184" i="6"/>
  <c r="AA178" i="6"/>
  <c r="AA169" i="6"/>
  <c r="AA165" i="6"/>
  <c r="AB167" i="6" s="1"/>
  <c r="AF167" i="6" s="1"/>
  <c r="AA155" i="6"/>
  <c r="AA151" i="6"/>
  <c r="AA147" i="6"/>
  <c r="AA145" i="6"/>
  <c r="AA141" i="6"/>
  <c r="AA138" i="6"/>
  <c r="AA117" i="6"/>
  <c r="AA112" i="6"/>
  <c r="AA101" i="6"/>
  <c r="AA92" i="6"/>
  <c r="AA77" i="6"/>
  <c r="AA72" i="6"/>
  <c r="AA66" i="6"/>
  <c r="AA62" i="6"/>
  <c r="AA38" i="6"/>
  <c r="AA37" i="6"/>
  <c r="AA36" i="6"/>
  <c r="AA25" i="6"/>
  <c r="AA16" i="6"/>
  <c r="AA14" i="6"/>
  <c r="AA13" i="6"/>
  <c r="AA12" i="6"/>
  <c r="AA11" i="6"/>
  <c r="AA9" i="6"/>
  <c r="AP39" i="5"/>
  <c r="AP38" i="5"/>
  <c r="AP10" i="5"/>
  <c r="AP9" i="5"/>
  <c r="AA160" i="5"/>
  <c r="AA159" i="5"/>
  <c r="AA158" i="5"/>
  <c r="AA157" i="5"/>
  <c r="AA156" i="5"/>
  <c r="AA145" i="9" s="1"/>
  <c r="AA155" i="5"/>
  <c r="AA135" i="9" s="1"/>
  <c r="AA154" i="5"/>
  <c r="AA153" i="5"/>
  <c r="AA82" i="9" s="1"/>
  <c r="AA152" i="5"/>
  <c r="AA151" i="5"/>
  <c r="AA92" i="9" s="1"/>
  <c r="AA150" i="5"/>
  <c r="AA80" i="9" s="1"/>
  <c r="AA147" i="5"/>
  <c r="AA146" i="5"/>
  <c r="AA145" i="5"/>
  <c r="AA68" i="9" s="1"/>
  <c r="AA144" i="5"/>
  <c r="AA171" i="5" s="1"/>
  <c r="AA143" i="5"/>
  <c r="AA53" i="9" s="1"/>
  <c r="AA142" i="5"/>
  <c r="AA139" i="5"/>
  <c r="AA138" i="5"/>
  <c r="AA137" i="5"/>
  <c r="AA136" i="5"/>
  <c r="AA135" i="5"/>
  <c r="AA134" i="5"/>
  <c r="AA133" i="5"/>
  <c r="AA132" i="5"/>
  <c r="AA131" i="5"/>
  <c r="AA129" i="5"/>
  <c r="AA128" i="5"/>
  <c r="AA127" i="5"/>
  <c r="AA126" i="5"/>
  <c r="AA125" i="5"/>
  <c r="AA35" i="9" s="1"/>
  <c r="AA124" i="5"/>
  <c r="AA123" i="5"/>
  <c r="AA130" i="9" s="1"/>
  <c r="AA122" i="5"/>
  <c r="AA39" i="9" s="1"/>
  <c r="AA116" i="5"/>
  <c r="AA115" i="5"/>
  <c r="AA114" i="5"/>
  <c r="AA109" i="5"/>
  <c r="AA143" i="9" s="1"/>
  <c r="AA108" i="5"/>
  <c r="AA107" i="5"/>
  <c r="AA134" i="9" s="1"/>
  <c r="AA106" i="5"/>
  <c r="AA129" i="9" s="1"/>
  <c r="AA105" i="5"/>
  <c r="AA103" i="5"/>
  <c r="AA101" i="5"/>
  <c r="AA100" i="5"/>
  <c r="AA99" i="5"/>
  <c r="AA114" i="9" s="1"/>
  <c r="AA98" i="5"/>
  <c r="AA97" i="5"/>
  <c r="AA96" i="5"/>
  <c r="AA95" i="5"/>
  <c r="Y5" i="14" s="1"/>
  <c r="AA93" i="5"/>
  <c r="AA92" i="5"/>
  <c r="AA91" i="5"/>
  <c r="AA113" i="9" s="1"/>
  <c r="AA90" i="5"/>
  <c r="AA31" i="9" s="1"/>
  <c r="AA89" i="5"/>
  <c r="AA74" i="9" s="1"/>
  <c r="AA88" i="5"/>
  <c r="AA87" i="5"/>
  <c r="AA83" i="5"/>
  <c r="AA67" i="9" s="1"/>
  <c r="AA82" i="5"/>
  <c r="AA16" i="9" s="1"/>
  <c r="AA81" i="5"/>
  <c r="AA80" i="5"/>
  <c r="AA79" i="5"/>
  <c r="T37" i="11" s="1"/>
  <c r="AA78" i="5"/>
  <c r="AA77" i="5"/>
  <c r="AA76" i="5"/>
  <c r="AA74" i="5"/>
  <c r="AA66" i="9" s="1"/>
  <c r="AA73" i="5"/>
  <c r="AA23" i="9" s="1"/>
  <c r="AA72" i="5"/>
  <c r="AA19" i="9" s="1"/>
  <c r="AA71" i="5"/>
  <c r="AA15" i="9" s="1"/>
  <c r="AA70" i="5"/>
  <c r="AA9" i="9" s="1"/>
  <c r="AA69" i="5"/>
  <c r="AA57" i="5"/>
  <c r="AA54" i="5"/>
  <c r="AA52" i="5"/>
  <c r="AA50" i="5"/>
  <c r="AA49" i="5"/>
  <c r="AA48" i="5"/>
  <c r="AA39" i="5"/>
  <c r="AA38" i="5"/>
  <c r="AA31" i="5"/>
  <c r="AA29" i="5"/>
  <c r="AA26" i="5"/>
  <c r="AA25" i="5"/>
  <c r="AA21" i="5"/>
  <c r="AA20" i="5"/>
  <c r="AA53" i="5" s="1"/>
  <c r="AA19" i="5"/>
  <c r="AA18" i="5"/>
  <c r="T15" i="11" s="1"/>
  <c r="AA17" i="5"/>
  <c r="T14" i="11" s="1"/>
  <c r="AA16" i="5"/>
  <c r="T13" i="11" s="1"/>
  <c r="AA13" i="5"/>
  <c r="T10" i="11" s="1"/>
  <c r="AA12" i="5"/>
  <c r="T9" i="11" s="1"/>
  <c r="AA10" i="5"/>
  <c r="AA9" i="5"/>
  <c r="AA8" i="5"/>
  <c r="T7" i="11" s="1"/>
  <c r="AA7" i="5"/>
  <c r="T6" i="11" s="1"/>
  <c r="AA6" i="5"/>
  <c r="T5" i="11" s="1"/>
  <c r="AI153" i="4"/>
  <c r="AI155" i="4" s="1"/>
  <c r="AI145" i="4"/>
  <c r="AI118" i="4"/>
  <c r="AI117" i="4"/>
  <c r="AI116" i="4"/>
  <c r="AI115" i="4"/>
  <c r="AI114" i="4"/>
  <c r="AI113" i="4"/>
  <c r="AI112" i="4"/>
  <c r="AI108" i="4"/>
  <c r="AI104" i="4"/>
  <c r="AA139" i="9" s="1"/>
  <c r="AI96" i="4"/>
  <c r="AI93" i="4"/>
  <c r="AI88" i="4"/>
  <c r="AI91" i="4" s="1"/>
  <c r="AI83" i="4"/>
  <c r="AI86" i="4" s="1"/>
  <c r="AI78" i="4"/>
  <c r="AI81" i="4" s="1"/>
  <c r="AI73" i="4"/>
  <c r="AI75" i="4" s="1"/>
  <c r="AI68" i="4"/>
  <c r="AI51" i="4"/>
  <c r="AI41" i="4"/>
  <c r="AI35" i="4"/>
  <c r="AI17" i="4"/>
  <c r="AI19" i="4" s="1"/>
  <c r="AI9" i="4"/>
  <c r="AI11" i="4" s="1"/>
  <c r="J153" i="4"/>
  <c r="J155" i="4" s="1"/>
  <c r="J145" i="4"/>
  <c r="J136" i="4"/>
  <c r="AH170" i="2"/>
  <c r="AH169" i="2"/>
  <c r="AH168" i="2"/>
  <c r="AH158" i="2"/>
  <c r="AH145" i="2"/>
  <c r="AH107" i="2"/>
  <c r="AH99" i="2"/>
  <c r="AH91" i="2"/>
  <c r="AH72" i="2"/>
  <c r="AH81" i="2" s="1"/>
  <c r="AH47" i="2"/>
  <c r="AH27" i="2"/>
  <c r="AH22" i="2"/>
  <c r="AH11" i="2"/>
  <c r="AH14" i="2" s="1"/>
  <c r="AI76" i="4" s="1"/>
  <c r="AA40" i="6" l="1"/>
  <c r="AE124" i="5"/>
  <c r="AI124" i="5" s="1"/>
  <c r="AA20" i="6"/>
  <c r="AB22" i="6" s="1"/>
  <c r="AA107" i="6"/>
  <c r="AA123" i="9"/>
  <c r="T21" i="11"/>
  <c r="AA47" i="9"/>
  <c r="AB45" i="9" s="1"/>
  <c r="T34" i="11"/>
  <c r="AA27" i="9"/>
  <c r="T43" i="11"/>
  <c r="Y6" i="14"/>
  <c r="T45" i="11"/>
  <c r="AA110" i="9"/>
  <c r="T47" i="11"/>
  <c r="AA151" i="9"/>
  <c r="AB153" i="9" s="1"/>
  <c r="T26" i="11"/>
  <c r="AA49" i="9"/>
  <c r="AB51" i="9" s="1"/>
  <c r="T36" i="11"/>
  <c r="AA119" i="9"/>
  <c r="T35" i="11"/>
  <c r="T8" i="11"/>
  <c r="T11" i="11" s="1"/>
  <c r="AA51" i="5"/>
  <c r="T17" i="11"/>
  <c r="AA154" i="9"/>
  <c r="T27" i="11"/>
  <c r="AP151" i="9"/>
  <c r="U26" i="11"/>
  <c r="AA73" i="9"/>
  <c r="T41" i="11"/>
  <c r="AA61" i="9"/>
  <c r="AB55" i="9" s="1"/>
  <c r="T38" i="11"/>
  <c r="Y7" i="14"/>
  <c r="T46" i="11"/>
  <c r="AP154" i="9"/>
  <c r="U27" i="11"/>
  <c r="AA47" i="5"/>
  <c r="T16" i="11"/>
  <c r="AA63" i="9"/>
  <c r="AB57" i="9" s="1"/>
  <c r="T39" i="11"/>
  <c r="AA88" i="9"/>
  <c r="T42" i="11"/>
  <c r="AA136" i="9"/>
  <c r="AA168" i="6"/>
  <c r="AA11" i="5"/>
  <c r="AA14" i="5" s="1"/>
  <c r="AA15" i="6"/>
  <c r="AA6" i="9" s="1"/>
  <c r="AD14" i="9" s="1"/>
  <c r="AA152" i="6"/>
  <c r="AB154" i="6" s="1"/>
  <c r="AA90" i="6"/>
  <c r="AA97" i="6" s="1"/>
  <c r="AB119" i="6"/>
  <c r="N69" i="10"/>
  <c r="AB149" i="6"/>
  <c r="AB150" i="6" s="1"/>
  <c r="AB175" i="6" s="1"/>
  <c r="N85" i="10"/>
  <c r="AB180" i="6"/>
  <c r="AF180" i="6" s="1"/>
  <c r="N89" i="10"/>
  <c r="AA41" i="6"/>
  <c r="AA104" i="6" s="1"/>
  <c r="AB64" i="6"/>
  <c r="AB65" i="6" s="1"/>
  <c r="AB55" i="6"/>
  <c r="N65" i="10"/>
  <c r="AB103" i="6"/>
  <c r="AB108" i="6"/>
  <c r="AB109" i="6" s="1"/>
  <c r="AB114" i="6"/>
  <c r="N81" i="10"/>
  <c r="AB74" i="6"/>
  <c r="AB75" i="6" s="1"/>
  <c r="AB56" i="6"/>
  <c r="Z81" i="10"/>
  <c r="Z89" i="10"/>
  <c r="AB79" i="6"/>
  <c r="AB80" i="6" s="1"/>
  <c r="AB57" i="6"/>
  <c r="AA171" i="6"/>
  <c r="Z69" i="10"/>
  <c r="AI72" i="4"/>
  <c r="AA86" i="9"/>
  <c r="AI94" i="4"/>
  <c r="AA65" i="9"/>
  <c r="AB70" i="9" s="1"/>
  <c r="AA13" i="9"/>
  <c r="AB69" i="9" s="1"/>
  <c r="AI119" i="4"/>
  <c r="AA27" i="5"/>
  <c r="T19" i="11" s="1"/>
  <c r="AA76" i="9"/>
  <c r="AA131" i="9"/>
  <c r="AA148" i="5"/>
  <c r="T54" i="11" s="1"/>
  <c r="AA90" i="9"/>
  <c r="AA75" i="5"/>
  <c r="AA112" i="9"/>
  <c r="AB132" i="9"/>
  <c r="AB148" i="9"/>
  <c r="AB141" i="9"/>
  <c r="AB143" i="6"/>
  <c r="AA188" i="6"/>
  <c r="AA192" i="6" s="1"/>
  <c r="AA199" i="6" s="1"/>
  <c r="AE199" i="6" s="1"/>
  <c r="AI199" i="6" s="1"/>
  <c r="Y8" i="14"/>
  <c r="AA77" i="9"/>
  <c r="AA172" i="5"/>
  <c r="AB27" i="6"/>
  <c r="AA22" i="5"/>
  <c r="AA98" i="9"/>
  <c r="Y3" i="14"/>
  <c r="AA42" i="5"/>
  <c r="AA115" i="6"/>
  <c r="Y4" i="14"/>
  <c r="AA94" i="5"/>
  <c r="AA102" i="5"/>
  <c r="AB186" i="6"/>
  <c r="AA110" i="5"/>
  <c r="T49" i="11" s="1"/>
  <c r="AA161" i="5"/>
  <c r="T55" i="11" s="1"/>
  <c r="AA42" i="9"/>
  <c r="AA107" i="9"/>
  <c r="AA157" i="9"/>
  <c r="AA162" i="9" s="1"/>
  <c r="AA6" i="6"/>
  <c r="AA215" i="6" s="1"/>
  <c r="AA181" i="6"/>
  <c r="AA156" i="6" s="1"/>
  <c r="AA170" i="5"/>
  <c r="N59" i="10" s="1"/>
  <c r="AH108" i="2"/>
  <c r="AH109" i="2" s="1"/>
  <c r="AH23" i="2"/>
  <c r="AH46" i="2" s="1"/>
  <c r="AH56" i="2" s="1"/>
  <c r="AL122" i="4" s="1"/>
  <c r="AL123" i="4" s="1"/>
  <c r="N93" i="10" l="1"/>
  <c r="AA17" i="9"/>
  <c r="T48" i="11"/>
  <c r="AP155" i="9"/>
  <c r="AA146" i="9"/>
  <c r="AA41" i="5"/>
  <c r="AA155" i="9"/>
  <c r="AA60" i="9"/>
  <c r="AA62" i="9" s="1"/>
  <c r="AA120" i="9"/>
  <c r="AE120" i="9" s="1"/>
  <c r="AA84" i="5"/>
  <c r="T33" i="11"/>
  <c r="T40" i="11" s="1"/>
  <c r="AA91" i="9"/>
  <c r="AA89" i="9" s="1"/>
  <c r="T44" i="11"/>
  <c r="T50" i="11" s="1"/>
  <c r="T18" i="11"/>
  <c r="T20" i="11" s="1"/>
  <c r="T22" i="11" s="1"/>
  <c r="AA94" i="6"/>
  <c r="AB96" i="6" s="1"/>
  <c r="AB46" i="9"/>
  <c r="N11" i="10"/>
  <c r="AB87" i="6"/>
  <c r="AB58" i="6"/>
  <c r="AB120" i="6"/>
  <c r="AB67" i="6" s="1"/>
  <c r="AB31" i="6"/>
  <c r="AC30" i="6"/>
  <c r="AB194" i="6"/>
  <c r="AF194" i="6" s="1"/>
  <c r="AA174" i="6"/>
  <c r="AB173" i="6"/>
  <c r="AB59" i="6"/>
  <c r="AB126" i="6"/>
  <c r="N73" i="10"/>
  <c r="AB176" i="6"/>
  <c r="AA111" i="5"/>
  <c r="Y9" i="14"/>
  <c r="AA115" i="9"/>
  <c r="AB83" i="9"/>
  <c r="AB81" i="9"/>
  <c r="AB116" i="9"/>
  <c r="AA161" i="9"/>
  <c r="AA23" i="5"/>
  <c r="N7" i="10"/>
  <c r="AA5" i="9"/>
  <c r="AA78" i="9"/>
  <c r="AA75" i="9" s="1"/>
  <c r="AA159" i="6"/>
  <c r="AA157" i="6"/>
  <c r="AA17" i="6"/>
  <c r="AA8" i="6" s="1"/>
  <c r="AA204" i="6"/>
  <c r="AE204" i="6" s="1"/>
  <c r="AI204" i="6" s="1"/>
  <c r="AA209" i="6"/>
  <c r="AE209" i="6" s="1"/>
  <c r="AH28" i="2"/>
  <c r="AH30" i="2" s="1"/>
  <c r="AH32" i="2" s="1"/>
  <c r="AH58" i="2"/>
  <c r="AL124" i="4" s="1"/>
  <c r="AL125" i="4" s="1"/>
  <c r="AH59" i="2"/>
  <c r="AH117" i="2" l="1"/>
  <c r="AH137" i="2" s="1"/>
  <c r="AH167" i="2" s="1"/>
  <c r="AH171" i="2" s="1"/>
  <c r="AH173" i="2" s="1"/>
  <c r="AL120" i="4"/>
  <c r="AL121" i="4" s="1"/>
  <c r="AD24" i="9"/>
  <c r="AD25" i="9" s="1"/>
  <c r="AD32" i="9"/>
  <c r="AD33" i="9" s="1"/>
  <c r="AD20" i="9"/>
  <c r="AD21" i="9" s="1"/>
  <c r="AD10" i="9"/>
  <c r="AD11" i="9" s="1"/>
  <c r="AD54" i="9"/>
  <c r="AD28" i="9"/>
  <c r="AD29" i="9" s="1"/>
  <c r="AD43" i="9"/>
  <c r="AE43" i="9" s="1"/>
  <c r="AB94" i="9"/>
  <c r="AB93" i="9"/>
  <c r="AA50" i="9"/>
  <c r="AB59" i="9"/>
  <c r="T51" i="11"/>
  <c r="AA112" i="5"/>
  <c r="AA97" i="9"/>
  <c r="AA99" i="9" s="1"/>
  <c r="AB122" i="6"/>
  <c r="AC33" i="6"/>
  <c r="AB69" i="6"/>
  <c r="AA36" i="9"/>
  <c r="AA210" i="6"/>
  <c r="AI209" i="6"/>
  <c r="N15" i="10"/>
  <c r="N19" i="10" s="1"/>
  <c r="AA43" i="5"/>
  <c r="AA61" i="5"/>
  <c r="AA46" i="5"/>
  <c r="AA56" i="5" s="1"/>
  <c r="AA28" i="5"/>
  <c r="AA205" i="6"/>
  <c r="AA10" i="6"/>
  <c r="AA214" i="6"/>
  <c r="AE214" i="6" s="1"/>
  <c r="AH60" i="2"/>
  <c r="AH35" i="2"/>
  <c r="AH38" i="2"/>
  <c r="AH172" i="2" l="1"/>
  <c r="AH160" i="2"/>
  <c r="T29" i="11"/>
  <c r="AB108" i="9"/>
  <c r="AI214" i="6"/>
  <c r="AA30" i="5"/>
  <c r="AA32" i="5" s="1"/>
  <c r="AA122" i="9"/>
  <c r="AA124" i="9" s="1"/>
  <c r="AA58" i="5"/>
  <c r="T30" i="11" s="1"/>
  <c r="N23" i="10"/>
  <c r="N27" i="10" s="1"/>
  <c r="AA59" i="5"/>
  <c r="N31" i="10" l="1"/>
  <c r="N35" i="10" s="1"/>
  <c r="AA60" i="5"/>
  <c r="N39" i="10"/>
  <c r="N43" i="10" s="1"/>
  <c r="AA144" i="9"/>
  <c r="AA35" i="5"/>
  <c r="T24" i="11" s="1"/>
  <c r="AA120" i="5"/>
  <c r="AA140" i="5" s="1"/>
  <c r="T53" i="11" s="1"/>
  <c r="T56" i="11" s="1"/>
  <c r="AA36" i="5"/>
  <c r="N47" i="10" l="1"/>
  <c r="T25" i="11"/>
  <c r="AA169" i="5"/>
  <c r="AA162" i="5"/>
  <c r="C52" i="17"/>
  <c r="D52" i="17" s="1"/>
  <c r="F13" i="17"/>
  <c r="G13" i="17" s="1"/>
  <c r="H13" i="17" s="1"/>
  <c r="I10" i="17"/>
  <c r="O8" i="17"/>
  <c r="N8" i="17"/>
  <c r="C6" i="17"/>
  <c r="C4" i="17"/>
  <c r="U2" i="17"/>
  <c r="C5" i="17" l="1"/>
  <c r="W2514" i="17"/>
  <c r="W2506" i="17"/>
  <c r="W2498" i="17"/>
  <c r="W2490" i="17"/>
  <c r="W2482" i="17"/>
  <c r="W2474" i="17"/>
  <c r="W2466" i="17"/>
  <c r="W2458" i="17"/>
  <c r="W2450" i="17"/>
  <c r="W2442" i="17"/>
  <c r="W2434" i="17"/>
  <c r="W2426" i="17"/>
  <c r="W2418" i="17"/>
  <c r="W2410" i="17"/>
  <c r="W2402" i="17"/>
  <c r="W2394" i="17"/>
  <c r="W2386" i="17"/>
  <c r="W2378" i="17"/>
  <c r="W2370" i="17"/>
  <c r="W2362" i="17"/>
  <c r="W2354" i="17"/>
  <c r="W2346" i="17"/>
  <c r="W2338" i="17"/>
  <c r="W2330" i="17"/>
  <c r="W2322" i="17"/>
  <c r="W2314" i="17"/>
  <c r="W2306" i="17"/>
  <c r="W2298" i="17"/>
  <c r="W2290" i="17"/>
  <c r="W2282" i="17"/>
  <c r="W2274" i="17"/>
  <c r="W2266" i="17"/>
  <c r="W2258" i="17"/>
  <c r="W2250" i="17"/>
  <c r="W2242" i="17"/>
  <c r="W2234" i="17"/>
  <c r="W2226" i="17"/>
  <c r="W2218" i="17"/>
  <c r="W2210" i="17"/>
  <c r="W2202" i="17"/>
  <c r="W2194" i="17"/>
  <c r="W2186" i="17"/>
  <c r="W2178" i="17"/>
  <c r="W2170" i="17"/>
  <c r="W2162" i="17"/>
  <c r="W2154" i="17"/>
  <c r="W2146" i="17"/>
  <c r="W2138" i="17"/>
  <c r="W2130" i="17"/>
  <c r="W2122" i="17"/>
  <c r="W2114" i="17"/>
  <c r="W2106" i="17"/>
  <c r="W2098" i="17"/>
  <c r="W2090" i="17"/>
  <c r="W2082" i="17"/>
  <c r="W2074" i="17"/>
  <c r="W2066" i="17"/>
  <c r="W2058" i="17"/>
  <c r="W2050" i="17"/>
  <c r="W2042" i="17"/>
  <c r="W2034" i="17"/>
  <c r="W2026" i="17"/>
  <c r="W2018" i="17"/>
  <c r="W2010" i="17"/>
  <c r="W2002" i="17"/>
  <c r="W1994" i="17"/>
  <c r="W1986" i="17"/>
  <c r="W1978" i="17"/>
  <c r="W1970" i="17"/>
  <c r="W1962" i="17"/>
  <c r="W1954" i="17"/>
  <c r="W1946" i="17"/>
  <c r="W1938" i="17"/>
  <c r="W1930" i="17"/>
  <c r="W2513" i="17"/>
  <c r="W2505" i="17"/>
  <c r="W2497" i="17"/>
  <c r="W2489" i="17"/>
  <c r="W2481" i="17"/>
  <c r="W2473" i="17"/>
  <c r="W2465" i="17"/>
  <c r="W2457" i="17"/>
  <c r="W2449" i="17"/>
  <c r="W2441" i="17"/>
  <c r="W2433" i="17"/>
  <c r="W2425" i="17"/>
  <c r="W2417" i="17"/>
  <c r="W2409" i="17"/>
  <c r="W2401" i="17"/>
  <c r="W2393" i="17"/>
  <c r="W2385" i="17"/>
  <c r="W2377" i="17"/>
  <c r="W2369" i="17"/>
  <c r="W2361" i="17"/>
  <c r="W2353" i="17"/>
  <c r="W2345" i="17"/>
  <c r="W2337" i="17"/>
  <c r="W2329" i="17"/>
  <c r="W2321" i="17"/>
  <c r="W2313" i="17"/>
  <c r="W2305" i="17"/>
  <c r="W2297" i="17"/>
  <c r="W2289" i="17"/>
  <c r="W2281" i="17"/>
  <c r="W2512" i="17"/>
  <c r="W2504" i="17"/>
  <c r="W2496" i="17"/>
  <c r="W2488" i="17"/>
  <c r="W2480" i="17"/>
  <c r="W2472" i="17"/>
  <c r="W2464" i="17"/>
  <c r="W2456" i="17"/>
  <c r="W2448" i="17"/>
  <c r="W2440" i="17"/>
  <c r="W2432" i="17"/>
  <c r="W2424" i="17"/>
  <c r="W2416" i="17"/>
  <c r="W2408" i="17"/>
  <c r="W2400" i="17"/>
  <c r="W2392" i="17"/>
  <c r="W2384" i="17"/>
  <c r="W2376" i="17"/>
  <c r="W2368" i="17"/>
  <c r="W2360" i="17"/>
  <c r="W2352" i="17"/>
  <c r="W2344" i="17"/>
  <c r="W2336" i="17"/>
  <c r="W2328" i="17"/>
  <c r="W2320" i="17"/>
  <c r="W2312" i="17"/>
  <c r="W2304" i="17"/>
  <c r="W2296" i="17"/>
  <c r="W2288" i="17"/>
  <c r="W2280" i="17"/>
  <c r="W2272" i="17"/>
  <c r="W2264" i="17"/>
  <c r="W2256" i="17"/>
  <c r="W2248" i="17"/>
  <c r="W2240" i="17"/>
  <c r="W2232" i="17"/>
  <c r="W2224" i="17"/>
  <c r="W2216" i="17"/>
  <c r="W2208" i="17"/>
  <c r="W2200" i="17"/>
  <c r="W2192" i="17"/>
  <c r="W2184" i="17"/>
  <c r="W2176" i="17"/>
  <c r="W2168" i="17"/>
  <c r="W2160" i="17"/>
  <c r="W2152" i="17"/>
  <c r="W2144" i="17"/>
  <c r="W2136" i="17"/>
  <c r="W2128" i="17"/>
  <c r="W2120" i="17"/>
  <c r="W2112" i="17"/>
  <c r="W2104" i="17"/>
  <c r="W2096" i="17"/>
  <c r="W2088" i="17"/>
  <c r="W2080" i="17"/>
  <c r="W2072" i="17"/>
  <c r="W2064" i="17"/>
  <c r="W2056" i="17"/>
  <c r="W2048" i="17"/>
  <c r="W2040" i="17"/>
  <c r="W2032" i="17"/>
  <c r="W2024" i="17"/>
  <c r="W2016" i="17"/>
  <c r="W2008" i="17"/>
  <c r="W2000" i="17"/>
  <c r="W1992" i="17"/>
  <c r="W1984" i="17"/>
  <c r="W1976" i="17"/>
  <c r="W1968" i="17"/>
  <c r="W1960" i="17"/>
  <c r="W1952" i="17"/>
  <c r="W1944" i="17"/>
  <c r="W1936" i="17"/>
  <c r="W1928" i="17"/>
  <c r="W1920" i="17"/>
  <c r="W1912" i="17"/>
  <c r="W1904" i="17"/>
  <c r="W1896" i="17"/>
  <c r="W1888" i="17"/>
  <c r="W1880" i="17"/>
  <c r="W1872" i="17"/>
  <c r="W1864" i="17"/>
  <c r="W1856" i="17"/>
  <c r="W1848" i="17"/>
  <c r="W1840" i="17"/>
  <c r="W2511" i="17"/>
  <c r="W2503" i="17"/>
  <c r="W2495" i="17"/>
  <c r="W2487" i="17"/>
  <c r="W2479" i="17"/>
  <c r="W2471" i="17"/>
  <c r="W2463" i="17"/>
  <c r="W2455" i="17"/>
  <c r="W2447" i="17"/>
  <c r="W2439" i="17"/>
  <c r="W2431" i="17"/>
  <c r="W2423" i="17"/>
  <c r="W2415" i="17"/>
  <c r="W2407" i="17"/>
  <c r="W2399" i="17"/>
  <c r="W2391" i="17"/>
  <c r="W2383" i="17"/>
  <c r="W2375" i="17"/>
  <c r="W2367" i="17"/>
  <c r="W2359" i="17"/>
  <c r="W2351" i="17"/>
  <c r="W2343" i="17"/>
  <c r="W2335" i="17"/>
  <c r="W2327" i="17"/>
  <c r="W2319" i="17"/>
  <c r="W2311" i="17"/>
  <c r="W2303" i="17"/>
  <c r="W2295" i="17"/>
  <c r="W2287" i="17"/>
  <c r="W2279" i="17"/>
  <c r="W2271" i="17"/>
  <c r="W2263" i="17"/>
  <c r="W2255" i="17"/>
  <c r="W2247" i="17"/>
  <c r="W2239" i="17"/>
  <c r="W2231" i="17"/>
  <c r="W2223" i="17"/>
  <c r="W2215" i="17"/>
  <c r="W2207" i="17"/>
  <c r="W2199" i="17"/>
  <c r="W2191" i="17"/>
  <c r="W2183" i="17"/>
  <c r="W2175" i="17"/>
  <c r="W2167" i="17"/>
  <c r="W2159" i="17"/>
  <c r="W2151" i="17"/>
  <c r="W2143" i="17"/>
  <c r="W2135" i="17"/>
  <c r="W2127" i="17"/>
  <c r="W2119" i="17"/>
  <c r="W2111" i="17"/>
  <c r="W2103" i="17"/>
  <c r="W2095" i="17"/>
  <c r="W2087" i="17"/>
  <c r="W2079" i="17"/>
  <c r="W2071" i="17"/>
  <c r="W2063" i="17"/>
  <c r="W2055" i="17"/>
  <c r="W2047" i="17"/>
  <c r="W2039" i="17"/>
  <c r="W2031" i="17"/>
  <c r="W2023" i="17"/>
  <c r="W2015" i="17"/>
  <c r="W2007" i="17"/>
  <c r="W1999" i="17"/>
  <c r="W1991" i="17"/>
  <c r="W1983" i="17"/>
  <c r="W1975" i="17"/>
  <c r="W1967" i="17"/>
  <c r="W1959" i="17"/>
  <c r="W1951" i="17"/>
  <c r="W1943" i="17"/>
  <c r="W1935" i="17"/>
  <c r="W1927" i="17"/>
  <c r="W1919" i="17"/>
  <c r="W2518" i="17"/>
  <c r="W2510" i="17"/>
  <c r="W2502" i="17"/>
  <c r="W2494" i="17"/>
  <c r="W2486" i="17"/>
  <c r="W2478" i="17"/>
  <c r="W2470" i="17"/>
  <c r="W2462" i="17"/>
  <c r="W2454" i="17"/>
  <c r="W2446" i="17"/>
  <c r="W2438" i="17"/>
  <c r="W2430" i="17"/>
  <c r="W2422" i="17"/>
  <c r="W2414" i="17"/>
  <c r="W2406" i="17"/>
  <c r="W2398" i="17"/>
  <c r="W2390" i="17"/>
  <c r="W2382" i="17"/>
  <c r="W2374" i="17"/>
  <c r="W2366" i="17"/>
  <c r="W2358" i="17"/>
  <c r="W2350" i="17"/>
  <c r="W2342" i="17"/>
  <c r="W2334" i="17"/>
  <c r="W2326" i="17"/>
  <c r="W2318" i="17"/>
  <c r="W2310" i="17"/>
  <c r="W2302" i="17"/>
  <c r="W2294" i="17"/>
  <c r="W2286" i="17"/>
  <c r="W2278" i="17"/>
  <c r="W2270" i="17"/>
  <c r="W2262" i="17"/>
  <c r="W2254" i="17"/>
  <c r="W2246" i="17"/>
  <c r="W2238" i="17"/>
  <c r="W2230" i="17"/>
  <c r="W2222" i="17"/>
  <c r="W2214" i="17"/>
  <c r="W2206" i="17"/>
  <c r="W2198" i="17"/>
  <c r="W2190" i="17"/>
  <c r="W2182" i="17"/>
  <c r="W2174" i="17"/>
  <c r="W2166" i="17"/>
  <c r="W2158" i="17"/>
  <c r="W2150" i="17"/>
  <c r="W2142" i="17"/>
  <c r="W2134" i="17"/>
  <c r="W2126" i="17"/>
  <c r="W2118" i="17"/>
  <c r="W2110" i="17"/>
  <c r="W2102" i="17"/>
  <c r="W2094" i="17"/>
  <c r="W2086" i="17"/>
  <c r="W2078" i="17"/>
  <c r="W2070" i="17"/>
  <c r="W2062" i="17"/>
  <c r="W2054" i="17"/>
  <c r="W2046" i="17"/>
  <c r="W2038" i="17"/>
  <c r="W2030" i="17"/>
  <c r="W2022" i="17"/>
  <c r="W2014" i="17"/>
  <c r="W2006" i="17"/>
  <c r="W1998" i="17"/>
  <c r="W1990" i="17"/>
  <c r="W1982" i="17"/>
  <c r="W1974" i="17"/>
  <c r="W1966" i="17"/>
  <c r="W1958" i="17"/>
  <c r="W1950" i="17"/>
  <c r="W1942" i="17"/>
  <c r="W1934" i="17"/>
  <c r="W1926" i="17"/>
  <c r="W2516" i="17"/>
  <c r="W2508" i="17"/>
  <c r="W2500" i="17"/>
  <c r="W2492" i="17"/>
  <c r="W2484" i="17"/>
  <c r="W2476" i="17"/>
  <c r="W2468" i="17"/>
  <c r="W2460" i="17"/>
  <c r="W2452" i="17"/>
  <c r="W2444" i="17"/>
  <c r="W2436" i="17"/>
  <c r="W2428" i="17"/>
  <c r="W2420" i="17"/>
  <c r="W2412" i="17"/>
  <c r="W2404" i="17"/>
  <c r="W2396" i="17"/>
  <c r="W2388" i="17"/>
  <c r="W2380" i="17"/>
  <c r="W2372" i="17"/>
  <c r="W2364" i="17"/>
  <c r="W2356" i="17"/>
  <c r="W2348" i="17"/>
  <c r="W2340" i="17"/>
  <c r="W2332" i="17"/>
  <c r="W2324" i="17"/>
  <c r="W2316" i="17"/>
  <c r="W2308" i="17"/>
  <c r="W2300" i="17"/>
  <c r="W2292" i="17"/>
  <c r="W2284" i="17"/>
  <c r="W2276" i="17"/>
  <c r="W2268" i="17"/>
  <c r="W2260" i="17"/>
  <c r="W2252" i="17"/>
  <c r="W2244" i="17"/>
  <c r="W2236" i="17"/>
  <c r="W2228" i="17"/>
  <c r="W2220" i="17"/>
  <c r="W2212" i="17"/>
  <c r="W2204" i="17"/>
  <c r="W2196" i="17"/>
  <c r="W2188" i="17"/>
  <c r="W2180" i="17"/>
  <c r="W2172" i="17"/>
  <c r="W2164" i="17"/>
  <c r="W2156" i="17"/>
  <c r="W2148" i="17"/>
  <c r="W2140" i="17"/>
  <c r="W2132" i="17"/>
  <c r="W2124" i="17"/>
  <c r="W2116" i="17"/>
  <c r="W2108" i="17"/>
  <c r="W2100" i="17"/>
  <c r="W2092" i="17"/>
  <c r="W2084" i="17"/>
  <c r="W2076" i="17"/>
  <c r="W2068" i="17"/>
  <c r="W2060" i="17"/>
  <c r="W2052" i="17"/>
  <c r="W2044" i="17"/>
  <c r="W2036" i="17"/>
  <c r="W2028" i="17"/>
  <c r="W2020" i="17"/>
  <c r="W2012" i="17"/>
  <c r="W2004" i="17"/>
  <c r="W1996" i="17"/>
  <c r="W1988" i="17"/>
  <c r="W1980" i="17"/>
  <c r="W1972" i="17"/>
  <c r="W1964" i="17"/>
  <c r="W1956" i="17"/>
  <c r="W1948" i="17"/>
  <c r="W1940" i="17"/>
  <c r="W1932" i="17"/>
  <c r="W1924" i="17"/>
  <c r="W2515" i="17"/>
  <c r="W2507" i="17"/>
  <c r="W2493" i="17"/>
  <c r="W2461" i="17"/>
  <c r="W2429" i="17"/>
  <c r="W2397" i="17"/>
  <c r="W2365" i="17"/>
  <c r="W2333" i="17"/>
  <c r="W2301" i="17"/>
  <c r="W2273" i="17"/>
  <c r="W2491" i="17"/>
  <c r="W2459" i="17"/>
  <c r="W2427" i="17"/>
  <c r="W2395" i="17"/>
  <c r="W2363" i="17"/>
  <c r="W2331" i="17"/>
  <c r="W2299" i="17"/>
  <c r="W2269" i="17"/>
  <c r="W2249" i="17"/>
  <c r="W2227" i="17"/>
  <c r="W2205" i="17"/>
  <c r="W2185" i="17"/>
  <c r="W2163" i="17"/>
  <c r="W2141" i="17"/>
  <c r="W2121" i="17"/>
  <c r="W2099" i="17"/>
  <c r="W2077" i="17"/>
  <c r="W2057" i="17"/>
  <c r="W2035" i="17"/>
  <c r="W2013" i="17"/>
  <c r="W1993" i="17"/>
  <c r="W1971" i="17"/>
  <c r="W1949" i="17"/>
  <c r="W1929" i="17"/>
  <c r="W1915" i="17"/>
  <c r="W1906" i="17"/>
  <c r="W1897" i="17"/>
  <c r="W1887" i="17"/>
  <c r="W1878" i="17"/>
  <c r="W1869" i="17"/>
  <c r="W1860" i="17"/>
  <c r="W1851" i="17"/>
  <c r="W1842" i="17"/>
  <c r="W1833" i="17"/>
  <c r="W1825" i="17"/>
  <c r="W1817" i="17"/>
  <c r="W1809" i="17"/>
  <c r="W1801" i="17"/>
  <c r="W1793" i="17"/>
  <c r="W1785" i="17"/>
  <c r="W1777" i="17"/>
  <c r="W1769" i="17"/>
  <c r="W1761" i="17"/>
  <c r="W1753" i="17"/>
  <c r="W1745" i="17"/>
  <c r="W1737" i="17"/>
  <c r="W1729" i="17"/>
  <c r="W1721" i="17"/>
  <c r="W1713" i="17"/>
  <c r="W1705" i="17"/>
  <c r="W1697" i="17"/>
  <c r="W1689" i="17"/>
  <c r="W1681" i="17"/>
  <c r="W1673" i="17"/>
  <c r="W1665" i="17"/>
  <c r="W1657" i="17"/>
  <c r="W1649" i="17"/>
  <c r="W1641" i="17"/>
  <c r="W1633" i="17"/>
  <c r="W1625" i="17"/>
  <c r="W1617" i="17"/>
  <c r="W1609" i="17"/>
  <c r="W1601" i="17"/>
  <c r="W1593" i="17"/>
  <c r="W1585" i="17"/>
  <c r="W1577" i="17"/>
  <c r="W1569" i="17"/>
  <c r="W1561" i="17"/>
  <c r="W1553" i="17"/>
  <c r="W1545" i="17"/>
  <c r="W1537" i="17"/>
  <c r="W1529" i="17"/>
  <c r="W1521" i="17"/>
  <c r="W1513" i="17"/>
  <c r="W1505" i="17"/>
  <c r="W1497" i="17"/>
  <c r="W1489" i="17"/>
  <c r="W1481" i="17"/>
  <c r="W1473" i="17"/>
  <c r="W1465" i="17"/>
  <c r="W1457" i="17"/>
  <c r="W1449" i="17"/>
  <c r="W1441" i="17"/>
  <c r="W1433" i="17"/>
  <c r="W1425" i="17"/>
  <c r="W2485" i="17"/>
  <c r="W2453" i="17"/>
  <c r="W2421" i="17"/>
  <c r="W2389" i="17"/>
  <c r="W2357" i="17"/>
  <c r="W2325" i="17"/>
  <c r="W2293" i="17"/>
  <c r="W2267" i="17"/>
  <c r="W2483" i="17"/>
  <c r="W2451" i="17"/>
  <c r="W2419" i="17"/>
  <c r="W2387" i="17"/>
  <c r="W2355" i="17"/>
  <c r="W2323" i="17"/>
  <c r="W2291" i="17"/>
  <c r="W2265" i="17"/>
  <c r="W2243" i="17"/>
  <c r="W2221" i="17"/>
  <c r="W2201" i="17"/>
  <c r="W2179" i="17"/>
  <c r="W2157" i="17"/>
  <c r="W2137" i="17"/>
  <c r="W2115" i="17"/>
  <c r="W2093" i="17"/>
  <c r="W2073" i="17"/>
  <c r="W2051" i="17"/>
  <c r="W2029" i="17"/>
  <c r="W2009" i="17"/>
  <c r="W1987" i="17"/>
  <c r="W1965" i="17"/>
  <c r="W1945" i="17"/>
  <c r="W1923" i="17"/>
  <c r="W1913" i="17"/>
  <c r="W1903" i="17"/>
  <c r="W1894" i="17"/>
  <c r="W1885" i="17"/>
  <c r="W1876" i="17"/>
  <c r="W1867" i="17"/>
  <c r="W1858" i="17"/>
  <c r="W1849" i="17"/>
  <c r="W1839" i="17"/>
  <c r="W1831" i="17"/>
  <c r="W1823" i="17"/>
  <c r="W1815" i="17"/>
  <c r="W1807" i="17"/>
  <c r="W1799" i="17"/>
  <c r="W1791" i="17"/>
  <c r="W1783" i="17"/>
  <c r="W1775" i="17"/>
  <c r="W1767" i="17"/>
  <c r="W1759" i="17"/>
  <c r="W1751" i="17"/>
  <c r="W1743" i="17"/>
  <c r="W1735" i="17"/>
  <c r="W1727" i="17"/>
  <c r="W1719" i="17"/>
  <c r="W1711" i="17"/>
  <c r="W1703" i="17"/>
  <c r="W1695" i="17"/>
  <c r="W1687" i="17"/>
  <c r="W1679" i="17"/>
  <c r="W1671" i="17"/>
  <c r="W1663" i="17"/>
  <c r="W1655" i="17"/>
  <c r="W1647" i="17"/>
  <c r="W1639" i="17"/>
  <c r="W1631" i="17"/>
  <c r="W1623" i="17"/>
  <c r="W1615" i="17"/>
  <c r="W1607" i="17"/>
  <c r="W1599" i="17"/>
  <c r="W1591" i="17"/>
  <c r="W1583" i="17"/>
  <c r="W1575" i="17"/>
  <c r="W1567" i="17"/>
  <c r="W1559" i="17"/>
  <c r="W1551" i="17"/>
  <c r="W1543" i="17"/>
  <c r="W1535" i="17"/>
  <c r="W1527" i="17"/>
  <c r="W1519" i="17"/>
  <c r="W1511" i="17"/>
  <c r="W1503" i="17"/>
  <c r="W1495" i="17"/>
  <c r="W1487" i="17"/>
  <c r="W1479" i="17"/>
  <c r="W1471" i="17"/>
  <c r="W1463" i="17"/>
  <c r="W1455" i="17"/>
  <c r="W1447" i="17"/>
  <c r="W1439" i="17"/>
  <c r="W1431" i="17"/>
  <c r="W1423" i="17"/>
  <c r="W2517" i="17"/>
  <c r="W2477" i="17"/>
  <c r="W2445" i="17"/>
  <c r="W2413" i="17"/>
  <c r="W2381" i="17"/>
  <c r="W2349" i="17"/>
  <c r="W2317" i="17"/>
  <c r="W2285" i="17"/>
  <c r="W2261" i="17"/>
  <c r="W2241" i="17"/>
  <c r="W2219" i="17"/>
  <c r="W2197" i="17"/>
  <c r="W2177" i="17"/>
  <c r="W2155" i="17"/>
  <c r="W2133" i="17"/>
  <c r="W2113" i="17"/>
  <c r="W2091" i="17"/>
  <c r="W2069" i="17"/>
  <c r="W2049" i="17"/>
  <c r="W2027" i="17"/>
  <c r="W2005" i="17"/>
  <c r="W1985" i="17"/>
  <c r="W1963" i="17"/>
  <c r="W1941" i="17"/>
  <c r="W1922" i="17"/>
  <c r="W1911" i="17"/>
  <c r="W1902" i="17"/>
  <c r="W1893" i="17"/>
  <c r="W1884" i="17"/>
  <c r="W1875" i="17"/>
  <c r="W1866" i="17"/>
  <c r="W1857" i="17"/>
  <c r="W1847" i="17"/>
  <c r="W1838" i="17"/>
  <c r="W1830" i="17"/>
  <c r="W1822" i="17"/>
  <c r="W1814" i="17"/>
  <c r="W1806" i="17"/>
  <c r="W1798" i="17"/>
  <c r="W1790" i="17"/>
  <c r="W1782" i="17"/>
  <c r="W1774" i="17"/>
  <c r="W1766" i="17"/>
  <c r="W1758" i="17"/>
  <c r="W1750" i="17"/>
  <c r="W1742" i="17"/>
  <c r="W1734" i="17"/>
  <c r="W1726" i="17"/>
  <c r="W1718" i="17"/>
  <c r="W1710" i="17"/>
  <c r="W1702" i="17"/>
  <c r="W1694" i="17"/>
  <c r="W1686" i="17"/>
  <c r="W1678" i="17"/>
  <c r="W1670" i="17"/>
  <c r="W1662" i="17"/>
  <c r="W1654" i="17"/>
  <c r="W1646" i="17"/>
  <c r="W1638" i="17"/>
  <c r="W1630" i="17"/>
  <c r="W1622" i="17"/>
  <c r="W1614" i="17"/>
  <c r="W1606" i="17"/>
  <c r="W1598" i="17"/>
  <c r="W1590" i="17"/>
  <c r="W1582" i="17"/>
  <c r="W1574" i="17"/>
  <c r="W1566" i="17"/>
  <c r="W1558" i="17"/>
  <c r="W2509" i="17"/>
  <c r="W2475" i="17"/>
  <c r="W2443" i="17"/>
  <c r="W2411" i="17"/>
  <c r="W2379" i="17"/>
  <c r="W2347" i="17"/>
  <c r="W2315" i="17"/>
  <c r="W2283" i="17"/>
  <c r="W2259" i="17"/>
  <c r="W2237" i="17"/>
  <c r="W2217" i="17"/>
  <c r="W2195" i="17"/>
  <c r="W2173" i="17"/>
  <c r="W2153" i="17"/>
  <c r="W2131" i="17"/>
  <c r="W2109" i="17"/>
  <c r="W2089" i="17"/>
  <c r="W2067" i="17"/>
  <c r="W2045" i="17"/>
  <c r="W2025" i="17"/>
  <c r="W2003" i="17"/>
  <c r="W1981" i="17"/>
  <c r="W1961" i="17"/>
  <c r="W1939" i="17"/>
  <c r="W1921" i="17"/>
  <c r="W1910" i="17"/>
  <c r="W1901" i="17"/>
  <c r="W1892" i="17"/>
  <c r="W1883" i="17"/>
  <c r="W1874" i="17"/>
  <c r="W1865" i="17"/>
  <c r="W1855" i="17"/>
  <c r="W1846" i="17"/>
  <c r="W1837" i="17"/>
  <c r="W1829" i="17"/>
  <c r="W1821" i="17"/>
  <c r="W1813" i="17"/>
  <c r="W1805" i="17"/>
  <c r="W1797" i="17"/>
  <c r="W1789" i="17"/>
  <c r="W1781" i="17"/>
  <c r="W1773" i="17"/>
  <c r="W1765" i="17"/>
  <c r="W1757" i="17"/>
  <c r="W1749" i="17"/>
  <c r="W1741" i="17"/>
  <c r="W1733" i="17"/>
  <c r="W1725" i="17"/>
  <c r="W1717" i="17"/>
  <c r="W1709" i="17"/>
  <c r="W1701" i="17"/>
  <c r="W1693" i="17"/>
  <c r="W1685" i="17"/>
  <c r="W1677" i="17"/>
  <c r="W1669" i="17"/>
  <c r="W1661" i="17"/>
  <c r="W1653" i="17"/>
  <c r="W1645" i="17"/>
  <c r="W1637" i="17"/>
  <c r="W1629" i="17"/>
  <c r="W1621" i="17"/>
  <c r="W1613" i="17"/>
  <c r="W1605" i="17"/>
  <c r="W1597" i="17"/>
  <c r="W1589" i="17"/>
  <c r="W1581" i="17"/>
  <c r="W1573" i="17"/>
  <c r="W1565" i="17"/>
  <c r="W1557" i="17"/>
  <c r="W1549" i="17"/>
  <c r="W2501" i="17"/>
  <c r="W2469" i="17"/>
  <c r="W2437" i="17"/>
  <c r="W2373" i="17"/>
  <c r="W2257" i="17"/>
  <c r="W2213" i="17"/>
  <c r="W2171" i="17"/>
  <c r="W2129" i="17"/>
  <c r="W2085" i="17"/>
  <c r="W2043" i="17"/>
  <c r="W2001" i="17"/>
  <c r="W1957" i="17"/>
  <c r="W1918" i="17"/>
  <c r="W1900" i="17"/>
  <c r="W1882" i="17"/>
  <c r="W1863" i="17"/>
  <c r="W1845" i="17"/>
  <c r="W1828" i="17"/>
  <c r="W1812" i="17"/>
  <c r="W1796" i="17"/>
  <c r="W1780" i="17"/>
  <c r="W1764" i="17"/>
  <c r="W1748" i="17"/>
  <c r="W1732" i="17"/>
  <c r="W1716" i="17"/>
  <c r="W1700" i="17"/>
  <c r="W1684" i="17"/>
  <c r="W1668" i="17"/>
  <c r="W1652" i="17"/>
  <c r="W1636" i="17"/>
  <c r="W1620" i="17"/>
  <c r="W1604" i="17"/>
  <c r="W1588" i="17"/>
  <c r="W1572" i="17"/>
  <c r="W1556" i="17"/>
  <c r="W1544" i="17"/>
  <c r="W1533" i="17"/>
  <c r="W1523" i="17"/>
  <c r="W1512" i="17"/>
  <c r="W1501" i="17"/>
  <c r="W1491" i="17"/>
  <c r="W1480" i="17"/>
  <c r="W1469" i="17"/>
  <c r="W1459" i="17"/>
  <c r="W1448" i="17"/>
  <c r="W1437" i="17"/>
  <c r="W1427" i="17"/>
  <c r="W1417" i="17"/>
  <c r="W1409" i="17"/>
  <c r="W1401" i="17"/>
  <c r="W1393" i="17"/>
  <c r="W1385" i="17"/>
  <c r="W1377" i="17"/>
  <c r="W1369" i="17"/>
  <c r="W1361" i="17"/>
  <c r="W1353" i="17"/>
  <c r="W1345" i="17"/>
  <c r="W1337" i="17"/>
  <c r="W1329" i="17"/>
  <c r="W1321" i="17"/>
  <c r="W1313" i="17"/>
  <c r="W1305" i="17"/>
  <c r="W1297" i="17"/>
  <c r="W1289" i="17"/>
  <c r="W1281" i="17"/>
  <c r="W1273" i="17"/>
  <c r="W1265" i="17"/>
  <c r="W1257" i="17"/>
  <c r="W1249" i="17"/>
  <c r="W1241" i="17"/>
  <c r="W1233" i="17"/>
  <c r="W1225" i="17"/>
  <c r="W1217" i="17"/>
  <c r="W1209" i="17"/>
  <c r="W1201" i="17"/>
  <c r="W1193" i="17"/>
  <c r="W1185" i="17"/>
  <c r="W1177" i="17"/>
  <c r="W1169" i="17"/>
  <c r="W1161" i="17"/>
  <c r="W1153" i="17"/>
  <c r="W1145" i="17"/>
  <c r="W1137" i="17"/>
  <c r="W1129" i="17"/>
  <c r="W1121" i="17"/>
  <c r="W1113" i="17"/>
  <c r="W1105" i="17"/>
  <c r="W1097" i="17"/>
  <c r="W2341" i="17"/>
  <c r="W2251" i="17"/>
  <c r="W2209" i="17"/>
  <c r="W2165" i="17"/>
  <c r="W2123" i="17"/>
  <c r="W2081" i="17"/>
  <c r="W2037" i="17"/>
  <c r="W1995" i="17"/>
  <c r="W1953" i="17"/>
  <c r="W1916" i="17"/>
  <c r="W1898" i="17"/>
  <c r="W1879" i="17"/>
  <c r="W1861" i="17"/>
  <c r="W1843" i="17"/>
  <c r="W1826" i="17"/>
  <c r="W1810" i="17"/>
  <c r="W1794" i="17"/>
  <c r="W1778" i="17"/>
  <c r="W1762" i="17"/>
  <c r="W1746" i="17"/>
  <c r="W1730" i="17"/>
  <c r="W1714" i="17"/>
  <c r="W1698" i="17"/>
  <c r="W1682" i="17"/>
  <c r="W1666" i="17"/>
  <c r="W1650" i="17"/>
  <c r="W1634" i="17"/>
  <c r="W1618" i="17"/>
  <c r="W1602" i="17"/>
  <c r="W1586" i="17"/>
  <c r="W1570" i="17"/>
  <c r="W1554" i="17"/>
  <c r="W1541" i="17"/>
  <c r="W1531" i="17"/>
  <c r="W1520" i="17"/>
  <c r="W1509" i="17"/>
  <c r="W1499" i="17"/>
  <c r="W1488" i="17"/>
  <c r="W1477" i="17"/>
  <c r="W1467" i="17"/>
  <c r="W1456" i="17"/>
  <c r="W1445" i="17"/>
  <c r="W1435" i="17"/>
  <c r="W1424" i="17"/>
  <c r="W1415" i="17"/>
  <c r="W1407" i="17"/>
  <c r="W1399" i="17"/>
  <c r="W1391" i="17"/>
  <c r="W1383" i="17"/>
  <c r="W1375" i="17"/>
  <c r="W1367" i="17"/>
  <c r="W1359" i="17"/>
  <c r="W1351" i="17"/>
  <c r="W1343" i="17"/>
  <c r="W1335" i="17"/>
  <c r="W1327" i="17"/>
  <c r="W1319" i="17"/>
  <c r="W1311" i="17"/>
  <c r="W1303" i="17"/>
  <c r="W1295" i="17"/>
  <c r="W1287" i="17"/>
  <c r="W1279" i="17"/>
  <c r="W1271" i="17"/>
  <c r="W1263" i="17"/>
  <c r="W1255" i="17"/>
  <c r="W1247" i="17"/>
  <c r="W1239" i="17"/>
  <c r="W1231" i="17"/>
  <c r="W1223" i="17"/>
  <c r="W1215" i="17"/>
  <c r="W1207" i="17"/>
  <c r="W1199" i="17"/>
  <c r="W1191" i="17"/>
  <c r="W1183" i="17"/>
  <c r="W1175" i="17"/>
  <c r="W1167" i="17"/>
  <c r="W1159" i="17"/>
  <c r="W1151" i="17"/>
  <c r="W1143" i="17"/>
  <c r="W1135" i="17"/>
  <c r="W1127" i="17"/>
  <c r="W2499" i="17"/>
  <c r="W2339" i="17"/>
  <c r="W2245" i="17"/>
  <c r="W2203" i="17"/>
  <c r="W2161" i="17"/>
  <c r="W2117" i="17"/>
  <c r="W2075" i="17"/>
  <c r="W2033" i="17"/>
  <c r="W1989" i="17"/>
  <c r="W1947" i="17"/>
  <c r="W1914" i="17"/>
  <c r="W1895" i="17"/>
  <c r="W1877" i="17"/>
  <c r="W1859" i="17"/>
  <c r="W1841" i="17"/>
  <c r="W1824" i="17"/>
  <c r="W1808" i="17"/>
  <c r="W1792" i="17"/>
  <c r="W1776" i="17"/>
  <c r="W1760" i="17"/>
  <c r="W1744" i="17"/>
  <c r="W1728" i="17"/>
  <c r="W1712" i="17"/>
  <c r="W1696" i="17"/>
  <c r="W1680" i="17"/>
  <c r="W1664" i="17"/>
  <c r="W1648" i="17"/>
  <c r="W1632" i="17"/>
  <c r="W1616" i="17"/>
  <c r="W1600" i="17"/>
  <c r="W1584" i="17"/>
  <c r="W1568" i="17"/>
  <c r="W1552" i="17"/>
  <c r="W1540" i="17"/>
  <c r="W1530" i="17"/>
  <c r="W1518" i="17"/>
  <c r="W1508" i="17"/>
  <c r="W1498" i="17"/>
  <c r="W1486" i="17"/>
  <c r="W1476" i="17"/>
  <c r="W1466" i="17"/>
  <c r="W1454" i="17"/>
  <c r="W1444" i="17"/>
  <c r="W1434" i="17"/>
  <c r="W1422" i="17"/>
  <c r="W1414" i="17"/>
  <c r="W1406" i="17"/>
  <c r="W1398" i="17"/>
  <c r="W1390" i="17"/>
  <c r="W1382" i="17"/>
  <c r="W1374" i="17"/>
  <c r="W1366" i="17"/>
  <c r="W1358" i="17"/>
  <c r="W1350" i="17"/>
  <c r="W1342" i="17"/>
  <c r="W1334" i="17"/>
  <c r="W1326" i="17"/>
  <c r="W1318" i="17"/>
  <c r="W1310" i="17"/>
  <c r="W1302" i="17"/>
  <c r="W1294" i="17"/>
  <c r="W1286" i="17"/>
  <c r="W1278" i="17"/>
  <c r="W1270" i="17"/>
  <c r="W1262" i="17"/>
  <c r="W1254" i="17"/>
  <c r="W1246" i="17"/>
  <c r="W1238" i="17"/>
  <c r="W1230" i="17"/>
  <c r="W1222" i="17"/>
  <c r="W1214" i="17"/>
  <c r="W1206" i="17"/>
  <c r="W1198" i="17"/>
  <c r="W1190" i="17"/>
  <c r="W1182" i="17"/>
  <c r="W1174" i="17"/>
  <c r="W1166" i="17"/>
  <c r="W1158" i="17"/>
  <c r="W1150" i="17"/>
  <c r="W1142" i="17"/>
  <c r="W1134" i="17"/>
  <c r="W1126" i="17"/>
  <c r="W1118" i="17"/>
  <c r="W1110" i="17"/>
  <c r="W1102" i="17"/>
  <c r="W2467" i="17"/>
  <c r="W2309" i="17"/>
  <c r="W2235" i="17"/>
  <c r="W2193" i="17"/>
  <c r="W2149" i="17"/>
  <c r="W2107" i="17"/>
  <c r="W2065" i="17"/>
  <c r="W2021" i="17"/>
  <c r="W1979" i="17"/>
  <c r="W1937" i="17"/>
  <c r="W1909" i="17"/>
  <c r="W1891" i="17"/>
  <c r="W1873" i="17"/>
  <c r="W1854" i="17"/>
  <c r="W1836" i="17"/>
  <c r="W1820" i="17"/>
  <c r="W1804" i="17"/>
  <c r="W1788" i="17"/>
  <c r="W1772" i="17"/>
  <c r="W1756" i="17"/>
  <c r="W1740" i="17"/>
  <c r="W1724" i="17"/>
  <c r="W1708" i="17"/>
  <c r="W1692" i="17"/>
  <c r="W1676" i="17"/>
  <c r="W1660" i="17"/>
  <c r="W1644" i="17"/>
  <c r="W1628" i="17"/>
  <c r="W1612" i="17"/>
  <c r="W1596" i="17"/>
  <c r="W1580" i="17"/>
  <c r="W1564" i="17"/>
  <c r="W1550" i="17"/>
  <c r="W1539" i="17"/>
  <c r="W1528" i="17"/>
  <c r="W1517" i="17"/>
  <c r="W1507" i="17"/>
  <c r="W1496" i="17"/>
  <c r="W1485" i="17"/>
  <c r="W1475" i="17"/>
  <c r="W1464" i="17"/>
  <c r="W1453" i="17"/>
  <c r="W1443" i="17"/>
  <c r="W1432" i="17"/>
  <c r="W1421" i="17"/>
  <c r="W1413" i="17"/>
  <c r="W1405" i="17"/>
  <c r="W1397" i="17"/>
  <c r="W1389" i="17"/>
  <c r="W1381" i="17"/>
  <c r="W1373" i="17"/>
  <c r="W1365" i="17"/>
  <c r="W1357" i="17"/>
  <c r="W1349" i="17"/>
  <c r="W1341" i="17"/>
  <c r="W1333" i="17"/>
  <c r="W1325" i="17"/>
  <c r="W1317" i="17"/>
  <c r="W1309" i="17"/>
  <c r="W1301" i="17"/>
  <c r="W1293" i="17"/>
  <c r="W1285" i="17"/>
  <c r="W1277" i="17"/>
  <c r="W1269" i="17"/>
  <c r="W1261" i="17"/>
  <c r="W1253" i="17"/>
  <c r="W1245" i="17"/>
  <c r="W1237" i="17"/>
  <c r="W1229" i="17"/>
  <c r="W1221" i="17"/>
  <c r="W1213" i="17"/>
  <c r="W1205" i="17"/>
  <c r="W1197" i="17"/>
  <c r="W1189" i="17"/>
  <c r="W1181" i="17"/>
  <c r="W1173" i="17"/>
  <c r="W1165" i="17"/>
  <c r="W1157" i="17"/>
  <c r="W1149" i="17"/>
  <c r="W1141" i="17"/>
  <c r="W1133" i="17"/>
  <c r="W1125" i="17"/>
  <c r="W1117" i="17"/>
  <c r="W1109" i="17"/>
  <c r="W1101" i="17"/>
  <c r="W2435" i="17"/>
  <c r="W2307" i="17"/>
  <c r="W2233" i="17"/>
  <c r="W2189" i="17"/>
  <c r="W2147" i="17"/>
  <c r="W2105" i="17"/>
  <c r="W2061" i="17"/>
  <c r="W2019" i="17"/>
  <c r="W1977" i="17"/>
  <c r="W1933" i="17"/>
  <c r="W1908" i="17"/>
  <c r="W1890" i="17"/>
  <c r="W1871" i="17"/>
  <c r="W1853" i="17"/>
  <c r="W1835" i="17"/>
  <c r="W1819" i="17"/>
  <c r="W1803" i="17"/>
  <c r="W1787" i="17"/>
  <c r="W1771" i="17"/>
  <c r="W1755" i="17"/>
  <c r="W1739" i="17"/>
  <c r="W1723" i="17"/>
  <c r="W1707" i="17"/>
  <c r="W1691" i="17"/>
  <c r="W1675" i="17"/>
  <c r="W1659" i="17"/>
  <c r="W1643" i="17"/>
  <c r="W1627" i="17"/>
  <c r="W1611" i="17"/>
  <c r="W1595" i="17"/>
  <c r="W1579" i="17"/>
  <c r="W1563" i="17"/>
  <c r="W1548" i="17"/>
  <c r="W1538" i="17"/>
  <c r="W1526" i="17"/>
  <c r="W1516" i="17"/>
  <c r="W1506" i="17"/>
  <c r="W1494" i="17"/>
  <c r="W1484" i="17"/>
  <c r="W1474" i="17"/>
  <c r="W1462" i="17"/>
  <c r="W1452" i="17"/>
  <c r="W1442" i="17"/>
  <c r="W1430" i="17"/>
  <c r="W1420" i="17"/>
  <c r="W1412" i="17"/>
  <c r="W1404" i="17"/>
  <c r="W1396" i="17"/>
  <c r="W1388" i="17"/>
  <c r="W1380" i="17"/>
  <c r="W1372" i="17"/>
  <c r="W1364" i="17"/>
  <c r="W1356" i="17"/>
  <c r="W1348" i="17"/>
  <c r="W1340" i="17"/>
  <c r="W1332" i="17"/>
  <c r="W1324" i="17"/>
  <c r="W1316" i="17"/>
  <c r="W1308" i="17"/>
  <c r="W1300" i="17"/>
  <c r="W1292" i="17"/>
  <c r="W1284" i="17"/>
  <c r="W1276" i="17"/>
  <c r="W1268" i="17"/>
  <c r="W1260" i="17"/>
  <c r="W1252" i="17"/>
  <c r="W1244" i="17"/>
  <c r="W1236" i="17"/>
  <c r="W1228" i="17"/>
  <c r="W1220" i="17"/>
  <c r="W1212" i="17"/>
  <c r="W1204" i="17"/>
  <c r="W1196" i="17"/>
  <c r="W1188" i="17"/>
  <c r="W1180" i="17"/>
  <c r="W1172" i="17"/>
  <c r="W1164" i="17"/>
  <c r="W1156" i="17"/>
  <c r="W1148" i="17"/>
  <c r="W2225" i="17"/>
  <c r="W2101" i="17"/>
  <c r="W1997" i="17"/>
  <c r="W1905" i="17"/>
  <c r="W1852" i="17"/>
  <c r="W1811" i="17"/>
  <c r="W1768" i="17"/>
  <c r="W1722" i="17"/>
  <c r="W1683" i="17"/>
  <c r="W1640" i="17"/>
  <c r="W1594" i="17"/>
  <c r="W1555" i="17"/>
  <c r="W1524" i="17"/>
  <c r="W1493" i="17"/>
  <c r="W1468" i="17"/>
  <c r="W1438" i="17"/>
  <c r="W1411" i="17"/>
  <c r="W1392" i="17"/>
  <c r="W1370" i="17"/>
  <c r="W1347" i="17"/>
  <c r="W1328" i="17"/>
  <c r="W1306" i="17"/>
  <c r="W1283" i="17"/>
  <c r="W1264" i="17"/>
  <c r="W1242" i="17"/>
  <c r="W1219" i="17"/>
  <c r="W1200" i="17"/>
  <c r="W1178" i="17"/>
  <c r="W1155" i="17"/>
  <c r="W1138" i="17"/>
  <c r="W1122" i="17"/>
  <c r="W1108" i="17"/>
  <c r="W1096" i="17"/>
  <c r="W1088" i="17"/>
  <c r="W1080" i="17"/>
  <c r="W1072" i="17"/>
  <c r="W1064" i="17"/>
  <c r="W1056" i="17"/>
  <c r="W1048" i="17"/>
  <c r="W1040" i="17"/>
  <c r="W1032" i="17"/>
  <c r="W1024" i="17"/>
  <c r="W1016" i="17"/>
  <c r="W1008" i="17"/>
  <c r="W1000" i="17"/>
  <c r="W992" i="17"/>
  <c r="W984" i="17"/>
  <c r="W976" i="17"/>
  <c r="W968" i="17"/>
  <c r="W960" i="17"/>
  <c r="W952" i="17"/>
  <c r="W944" i="17"/>
  <c r="W936" i="17"/>
  <c r="W928" i="17"/>
  <c r="W920" i="17"/>
  <c r="W912" i="17"/>
  <c r="W904" i="17"/>
  <c r="W896" i="17"/>
  <c r="W888" i="17"/>
  <c r="W880" i="17"/>
  <c r="W872" i="17"/>
  <c r="W864" i="17"/>
  <c r="W856" i="17"/>
  <c r="W848" i="17"/>
  <c r="W840" i="17"/>
  <c r="W832" i="17"/>
  <c r="W824" i="17"/>
  <c r="W816" i="17"/>
  <c r="W808" i="17"/>
  <c r="W800" i="17"/>
  <c r="W792" i="17"/>
  <c r="W784" i="17"/>
  <c r="W776" i="17"/>
  <c r="W768" i="17"/>
  <c r="W760" i="17"/>
  <c r="W752" i="17"/>
  <c r="W744" i="17"/>
  <c r="W736" i="17"/>
  <c r="W2405" i="17"/>
  <c r="W2211" i="17"/>
  <c r="W2097" i="17"/>
  <c r="W1973" i="17"/>
  <c r="W1899" i="17"/>
  <c r="W1850" i="17"/>
  <c r="W1802" i="17"/>
  <c r="W1763" i="17"/>
  <c r="W1720" i="17"/>
  <c r="W1674" i="17"/>
  <c r="W1635" i="17"/>
  <c r="W1592" i="17"/>
  <c r="W1547" i="17"/>
  <c r="W1522" i="17"/>
  <c r="W1492" i="17"/>
  <c r="W1461" i="17"/>
  <c r="W1436" i="17"/>
  <c r="W1410" i="17"/>
  <c r="W1387" i="17"/>
  <c r="W1368" i="17"/>
  <c r="W1346" i="17"/>
  <c r="W1323" i="17"/>
  <c r="W1304" i="17"/>
  <c r="W1282" i="17"/>
  <c r="W1259" i="17"/>
  <c r="W1240" i="17"/>
  <c r="W1218" i="17"/>
  <c r="W1195" i="17"/>
  <c r="W1176" i="17"/>
  <c r="W1154" i="17"/>
  <c r="W1136" i="17"/>
  <c r="W1120" i="17"/>
  <c r="W1107" i="17"/>
  <c r="W1095" i="17"/>
  <c r="W1087" i="17"/>
  <c r="W1079" i="17"/>
  <c r="W1071" i="17"/>
  <c r="W1063" i="17"/>
  <c r="W1055" i="17"/>
  <c r="W1047" i="17"/>
  <c r="W1039" i="17"/>
  <c r="W1031" i="17"/>
  <c r="W1023" i="17"/>
  <c r="W1015" i="17"/>
  <c r="W1007" i="17"/>
  <c r="W999" i="17"/>
  <c r="W991" i="17"/>
  <c r="W983" i="17"/>
  <c r="W975" i="17"/>
  <c r="W967" i="17"/>
  <c r="W959" i="17"/>
  <c r="W951" i="17"/>
  <c r="W943" i="17"/>
  <c r="W935" i="17"/>
  <c r="W927" i="17"/>
  <c r="W919" i="17"/>
  <c r="W911" i="17"/>
  <c r="W903" i="17"/>
  <c r="W895" i="17"/>
  <c r="W887" i="17"/>
  <c r="W879" i="17"/>
  <c r="W871" i="17"/>
  <c r="W863" i="17"/>
  <c r="W855" i="17"/>
  <c r="W847" i="17"/>
  <c r="W839" i="17"/>
  <c r="W831" i="17"/>
  <c r="W823" i="17"/>
  <c r="W815" i="17"/>
  <c r="W807" i="17"/>
  <c r="W799" i="17"/>
  <c r="W791" i="17"/>
  <c r="W783" i="17"/>
  <c r="W775" i="17"/>
  <c r="W767" i="17"/>
  <c r="W759" i="17"/>
  <c r="W751" i="17"/>
  <c r="W743" i="17"/>
  <c r="W735" i="17"/>
  <c r="W727" i="17"/>
  <c r="W719" i="17"/>
  <c r="W711" i="17"/>
  <c r="W703" i="17"/>
  <c r="W695" i="17"/>
  <c r="W687" i="17"/>
  <c r="W679" i="17"/>
  <c r="W2371" i="17"/>
  <c r="W2181" i="17"/>
  <c r="W2059" i="17"/>
  <c r="W1955" i="17"/>
  <c r="W1886" i="17"/>
  <c r="W1834" i="17"/>
  <c r="W1795" i="17"/>
  <c r="W1752" i="17"/>
  <c r="W1706" i="17"/>
  <c r="W1667" i="17"/>
  <c r="W1624" i="17"/>
  <c r="W1578" i="17"/>
  <c r="W1542" i="17"/>
  <c r="W1514" i="17"/>
  <c r="W1483" i="17"/>
  <c r="W1458" i="17"/>
  <c r="W1428" i="17"/>
  <c r="W1403" i="17"/>
  <c r="W1384" i="17"/>
  <c r="W1362" i="17"/>
  <c r="W1339" i="17"/>
  <c r="W1320" i="17"/>
  <c r="W1298" i="17"/>
  <c r="W1275" i="17"/>
  <c r="W1256" i="17"/>
  <c r="W1234" i="17"/>
  <c r="W1211" i="17"/>
  <c r="W1192" i="17"/>
  <c r="W1170" i="17"/>
  <c r="W1147" i="17"/>
  <c r="W1131" i="17"/>
  <c r="W1116" i="17"/>
  <c r="W1104" i="17"/>
  <c r="W1093" i="17"/>
  <c r="W1085" i="17"/>
  <c r="W1077" i="17"/>
  <c r="W1069" i="17"/>
  <c r="W1061" i="17"/>
  <c r="W1053" i="17"/>
  <c r="W1045" i="17"/>
  <c r="W1037" i="17"/>
  <c r="W1029" i="17"/>
  <c r="W1021" i="17"/>
  <c r="W1013" i="17"/>
  <c r="W1005" i="17"/>
  <c r="W997" i="17"/>
  <c r="W989" i="17"/>
  <c r="W981" i="17"/>
  <c r="W973" i="17"/>
  <c r="W965" i="17"/>
  <c r="W957" i="17"/>
  <c r="W949" i="17"/>
  <c r="W941" i="17"/>
  <c r="W933" i="17"/>
  <c r="W925" i="17"/>
  <c r="W917" i="17"/>
  <c r="W909" i="17"/>
  <c r="W901" i="17"/>
  <c r="W893" i="17"/>
  <c r="W885" i="17"/>
  <c r="W877" i="17"/>
  <c r="W869" i="17"/>
  <c r="W861" i="17"/>
  <c r="W853" i="17"/>
  <c r="W845" i="17"/>
  <c r="W837" i="17"/>
  <c r="W829" i="17"/>
  <c r="W821" i="17"/>
  <c r="W813" i="17"/>
  <c r="W805" i="17"/>
  <c r="W797" i="17"/>
  <c r="W789" i="17"/>
  <c r="W781" i="17"/>
  <c r="W773" i="17"/>
  <c r="W765" i="17"/>
  <c r="W757" i="17"/>
  <c r="W749" i="17"/>
  <c r="W741" i="17"/>
  <c r="W733" i="17"/>
  <c r="W725" i="17"/>
  <c r="W717" i="17"/>
  <c r="W709" i="17"/>
  <c r="W701" i="17"/>
  <c r="W693" i="17"/>
  <c r="W685" i="17"/>
  <c r="W2229" i="17"/>
  <c r="W2041" i="17"/>
  <c r="W1889" i="17"/>
  <c r="W1818" i="17"/>
  <c r="W1747" i="17"/>
  <c r="W1688" i="17"/>
  <c r="W1610" i="17"/>
  <c r="W1546" i="17"/>
  <c r="W1502" i="17"/>
  <c r="W1451" i="17"/>
  <c r="W1416" i="17"/>
  <c r="W1378" i="17"/>
  <c r="W1344" i="17"/>
  <c r="W1312" i="17"/>
  <c r="W1274" i="17"/>
  <c r="W1243" i="17"/>
  <c r="W1208" i="17"/>
  <c r="W1171" i="17"/>
  <c r="W1140" i="17"/>
  <c r="W1115" i="17"/>
  <c r="W1098" i="17"/>
  <c r="W1083" i="17"/>
  <c r="W1070" i="17"/>
  <c r="W1058" i="17"/>
  <c r="W1044" i="17"/>
  <c r="W1033" i="17"/>
  <c r="W1019" i="17"/>
  <c r="W1006" i="17"/>
  <c r="W994" i="17"/>
  <c r="W980" i="17"/>
  <c r="W969" i="17"/>
  <c r="W955" i="17"/>
  <c r="W942" i="17"/>
  <c r="W930" i="17"/>
  <c r="W916" i="17"/>
  <c r="W905" i="17"/>
  <c r="W891" i="17"/>
  <c r="W878" i="17"/>
  <c r="W866" i="17"/>
  <c r="W852" i="17"/>
  <c r="W841" i="17"/>
  <c r="W827" i="17"/>
  <c r="W814" i="17"/>
  <c r="W802" i="17"/>
  <c r="W788" i="17"/>
  <c r="W777" i="17"/>
  <c r="W763" i="17"/>
  <c r="W750" i="17"/>
  <c r="W738" i="17"/>
  <c r="W726" i="17"/>
  <c r="W715" i="17"/>
  <c r="W705" i="17"/>
  <c r="W694" i="17"/>
  <c r="W683" i="17"/>
  <c r="W674" i="17"/>
  <c r="W666" i="17"/>
  <c r="W658" i="17"/>
  <c r="W2187" i="17"/>
  <c r="W2017" i="17"/>
  <c r="W1881" i="17"/>
  <c r="W1816" i="17"/>
  <c r="W1738" i="17"/>
  <c r="W1672" i="17"/>
  <c r="W1608" i="17"/>
  <c r="W1536" i="17"/>
  <c r="W1500" i="17"/>
  <c r="W1450" i="17"/>
  <c r="W1408" i="17"/>
  <c r="W1376" i="17"/>
  <c r="W1338" i="17"/>
  <c r="W1307" i="17"/>
  <c r="W1272" i="17"/>
  <c r="W1235" i="17"/>
  <c r="W1203" i="17"/>
  <c r="W1168" i="17"/>
  <c r="W1139" i="17"/>
  <c r="W1114" i="17"/>
  <c r="W1094" i="17"/>
  <c r="W1082" i="17"/>
  <c r="W1068" i="17"/>
  <c r="W1057" i="17"/>
  <c r="W1043" i="17"/>
  <c r="W1030" i="17"/>
  <c r="W1018" i="17"/>
  <c r="W1004" i="17"/>
  <c r="W993" i="17"/>
  <c r="W979" i="17"/>
  <c r="W966" i="17"/>
  <c r="W954" i="17"/>
  <c r="W940" i="17"/>
  <c r="W929" i="17"/>
  <c r="W915" i="17"/>
  <c r="W902" i="17"/>
  <c r="W890" i="17"/>
  <c r="W876" i="17"/>
  <c r="W865" i="17"/>
  <c r="W851" i="17"/>
  <c r="W838" i="17"/>
  <c r="W826" i="17"/>
  <c r="W812" i="17"/>
  <c r="W801" i="17"/>
  <c r="W787" i="17"/>
  <c r="W774" i="17"/>
  <c r="W762" i="17"/>
  <c r="W748" i="17"/>
  <c r="W737" i="17"/>
  <c r="W724" i="17"/>
  <c r="W714" i="17"/>
  <c r="W704" i="17"/>
  <c r="W692" i="17"/>
  <c r="W682" i="17"/>
  <c r="W673" i="17"/>
  <c r="W665" i="17"/>
  <c r="W657" i="17"/>
  <c r="W649" i="17"/>
  <c r="W2169" i="17"/>
  <c r="W2011" i="17"/>
  <c r="W1870" i="17"/>
  <c r="W1800" i="17"/>
  <c r="W1736" i="17"/>
  <c r="W1658" i="17"/>
  <c r="W1603" i="17"/>
  <c r="W1534" i="17"/>
  <c r="W1490" i="17"/>
  <c r="W1446" i="17"/>
  <c r="W1402" i="17"/>
  <c r="W1371" i="17"/>
  <c r="W1336" i="17"/>
  <c r="W1299" i="17"/>
  <c r="W1267" i="17"/>
  <c r="W1232" i="17"/>
  <c r="W1202" i="17"/>
  <c r="W1163" i="17"/>
  <c r="W1132" i="17"/>
  <c r="W1112" i="17"/>
  <c r="W1092" i="17"/>
  <c r="W1081" i="17"/>
  <c r="W1067" i="17"/>
  <c r="W1054" i="17"/>
  <c r="W1042" i="17"/>
  <c r="W1028" i="17"/>
  <c r="W1017" i="17"/>
  <c r="W1003" i="17"/>
  <c r="W990" i="17"/>
  <c r="W978" i="17"/>
  <c r="W964" i="17"/>
  <c r="W953" i="17"/>
  <c r="W939" i="17"/>
  <c r="W926" i="17"/>
  <c r="W914" i="17"/>
  <c r="W900" i="17"/>
  <c r="W889" i="17"/>
  <c r="W875" i="17"/>
  <c r="W862" i="17"/>
  <c r="W850" i="17"/>
  <c r="W836" i="17"/>
  <c r="W825" i="17"/>
  <c r="W811" i="17"/>
  <c r="W798" i="17"/>
  <c r="W786" i="17"/>
  <c r="W772" i="17"/>
  <c r="W761" i="17"/>
  <c r="W747" i="17"/>
  <c r="W734" i="17"/>
  <c r="W723" i="17"/>
  <c r="W713" i="17"/>
  <c r="W702" i="17"/>
  <c r="W691" i="17"/>
  <c r="W681" i="17"/>
  <c r="W672" i="17"/>
  <c r="W664" i="17"/>
  <c r="W656" i="17"/>
  <c r="W648" i="17"/>
  <c r="W2145" i="17"/>
  <c r="W1969" i="17"/>
  <c r="W1868" i="17"/>
  <c r="W1786" i="17"/>
  <c r="W1731" i="17"/>
  <c r="W1656" i="17"/>
  <c r="W1587" i="17"/>
  <c r="W1532" i="17"/>
  <c r="W1482" i="17"/>
  <c r="W1440" i="17"/>
  <c r="W1400" i="17"/>
  <c r="W1363" i="17"/>
  <c r="W1331" i="17"/>
  <c r="W1296" i="17"/>
  <c r="W1266" i="17"/>
  <c r="W1227" i="17"/>
  <c r="W1194" i="17"/>
  <c r="W1162" i="17"/>
  <c r="W1130" i="17"/>
  <c r="W1111" i="17"/>
  <c r="W1091" i="17"/>
  <c r="W1078" i="17"/>
  <c r="W1066" i="17"/>
  <c r="W1052" i="17"/>
  <c r="W1041" i="17"/>
  <c r="W1027" i="17"/>
  <c r="W1014" i="17"/>
  <c r="W1002" i="17"/>
  <c r="W988" i="17"/>
  <c r="W977" i="17"/>
  <c r="W963" i="17"/>
  <c r="W950" i="17"/>
  <c r="W938" i="17"/>
  <c r="W924" i="17"/>
  <c r="W913" i="17"/>
  <c r="W899" i="17"/>
  <c r="W886" i="17"/>
  <c r="W874" i="17"/>
  <c r="W860" i="17"/>
  <c r="W849" i="17"/>
  <c r="W835" i="17"/>
  <c r="W822" i="17"/>
  <c r="W810" i="17"/>
  <c r="W796" i="17"/>
  <c r="W785" i="17"/>
  <c r="W771" i="17"/>
  <c r="W758" i="17"/>
  <c r="W746" i="17"/>
  <c r="W732" i="17"/>
  <c r="W722" i="17"/>
  <c r="W712" i="17"/>
  <c r="W700" i="17"/>
  <c r="W690" i="17"/>
  <c r="W680" i="17"/>
  <c r="W671" i="17"/>
  <c r="W663" i="17"/>
  <c r="W655" i="17"/>
  <c r="W647" i="17"/>
  <c r="W639" i="17"/>
  <c r="W631" i="17"/>
  <c r="W623" i="17"/>
  <c r="W615" i="17"/>
  <c r="W607" i="17"/>
  <c r="W599" i="17"/>
  <c r="W591" i="17"/>
  <c r="W583" i="17"/>
  <c r="W575" i="17"/>
  <c r="W567" i="17"/>
  <c r="W559" i="17"/>
  <c r="W551" i="17"/>
  <c r="W543" i="17"/>
  <c r="W535" i="17"/>
  <c r="W527" i="17"/>
  <c r="W519" i="17"/>
  <c r="W511" i="17"/>
  <c r="W503" i="17"/>
  <c r="W495" i="17"/>
  <c r="W487" i="17"/>
  <c r="W479" i="17"/>
  <c r="W471" i="17"/>
  <c r="W463" i="17"/>
  <c r="W455" i="17"/>
  <c r="W447" i="17"/>
  <c r="W439" i="17"/>
  <c r="W431" i="17"/>
  <c r="W423" i="17"/>
  <c r="W415" i="17"/>
  <c r="W407" i="17"/>
  <c r="W399" i="17"/>
  <c r="W391" i="17"/>
  <c r="W383" i="17"/>
  <c r="W375" i="17"/>
  <c r="W367" i="17"/>
  <c r="W359" i="17"/>
  <c r="W351" i="17"/>
  <c r="W343" i="17"/>
  <c r="W335" i="17"/>
  <c r="W327" i="17"/>
  <c r="W319" i="17"/>
  <c r="W311" i="17"/>
  <c r="W303" i="17"/>
  <c r="W295" i="17"/>
  <c r="W287" i="17"/>
  <c r="W279" i="17"/>
  <c r="W271" i="17"/>
  <c r="W263" i="17"/>
  <c r="W255" i="17"/>
  <c r="W247" i="17"/>
  <c r="W239" i="17"/>
  <c r="W231" i="17"/>
  <c r="W223" i="17"/>
  <c r="W215" i="17"/>
  <c r="W207" i="17"/>
  <c r="W199" i="17"/>
  <c r="W191" i="17"/>
  <c r="W183" i="17"/>
  <c r="W175" i="17"/>
  <c r="W167" i="17"/>
  <c r="W159" i="17"/>
  <c r="W151" i="17"/>
  <c r="W143" i="17"/>
  <c r="W135" i="17"/>
  <c r="W127" i="17"/>
  <c r="W119" i="17"/>
  <c r="W111" i="17"/>
  <c r="W103" i="17"/>
  <c r="W95" i="17"/>
  <c r="W87" i="17"/>
  <c r="W79" i="17"/>
  <c r="W71" i="17"/>
  <c r="W63" i="17"/>
  <c r="W55" i="17"/>
  <c r="W49" i="17"/>
  <c r="W41" i="17"/>
  <c r="W33" i="17"/>
  <c r="W24" i="17"/>
  <c r="W16" i="17"/>
  <c r="W10" i="17"/>
  <c r="W1290" i="17"/>
  <c r="W1050" i="17"/>
  <c r="W1025" i="17"/>
  <c r="W998" i="17"/>
  <c r="W961" i="17"/>
  <c r="W934" i="17"/>
  <c r="W897" i="17"/>
  <c r="W858" i="17"/>
  <c r="W819" i="17"/>
  <c r="W794" i="17"/>
  <c r="W769" i="17"/>
  <c r="W730" i="17"/>
  <c r="W698" i="17"/>
  <c r="W669" i="17"/>
  <c r="W637" i="17"/>
  <c r="W621" i="17"/>
  <c r="W597" i="17"/>
  <c r="W581" i="17"/>
  <c r="W557" i="17"/>
  <c r="W533" i="17"/>
  <c r="W509" i="17"/>
  <c r="W485" i="17"/>
  <c r="W469" i="17"/>
  <c r="W445" i="17"/>
  <c r="W429" i="17"/>
  <c r="W405" i="17"/>
  <c r="W381" i="17"/>
  <c r="W357" i="17"/>
  <c r="W333" i="17"/>
  <c r="W325" i="17"/>
  <c r="W301" i="17"/>
  <c r="W277" i="17"/>
  <c r="W2403" i="17"/>
  <c r="W2139" i="17"/>
  <c r="W1931" i="17"/>
  <c r="W1862" i="17"/>
  <c r="W1784" i="17"/>
  <c r="W1715" i="17"/>
  <c r="W1651" i="17"/>
  <c r="W1576" i="17"/>
  <c r="W1525" i="17"/>
  <c r="W1478" i="17"/>
  <c r="W1429" i="17"/>
  <c r="W1395" i="17"/>
  <c r="W1360" i="17"/>
  <c r="W1330" i="17"/>
  <c r="W1291" i="17"/>
  <c r="W1258" i="17"/>
  <c r="W1226" i="17"/>
  <c r="W1187" i="17"/>
  <c r="W1160" i="17"/>
  <c r="W1128" i="17"/>
  <c r="W1106" i="17"/>
  <c r="W1090" i="17"/>
  <c r="W1076" i="17"/>
  <c r="W1065" i="17"/>
  <c r="W1051" i="17"/>
  <c r="W1038" i="17"/>
  <c r="W1026" i="17"/>
  <c r="W1012" i="17"/>
  <c r="W1001" i="17"/>
  <c r="W987" i="17"/>
  <c r="W974" i="17"/>
  <c r="W962" i="17"/>
  <c r="W948" i="17"/>
  <c r="W937" i="17"/>
  <c r="W923" i="17"/>
  <c r="W910" i="17"/>
  <c r="W898" i="17"/>
  <c r="W884" i="17"/>
  <c r="W873" i="17"/>
  <c r="W859" i="17"/>
  <c r="W846" i="17"/>
  <c r="W834" i="17"/>
  <c r="W820" i="17"/>
  <c r="W809" i="17"/>
  <c r="W795" i="17"/>
  <c r="W782" i="17"/>
  <c r="W770" i="17"/>
  <c r="W756" i="17"/>
  <c r="W745" i="17"/>
  <c r="W731" i="17"/>
  <c r="W721" i="17"/>
  <c r="W710" i="17"/>
  <c r="W699" i="17"/>
  <c r="W689" i="17"/>
  <c r="W678" i="17"/>
  <c r="W670" i="17"/>
  <c r="W662" i="17"/>
  <c r="W654" i="17"/>
  <c r="W646" i="17"/>
  <c r="W638" i="17"/>
  <c r="W630" i="17"/>
  <c r="W622" i="17"/>
  <c r="W614" i="17"/>
  <c r="W606" i="17"/>
  <c r="W598" i="17"/>
  <c r="W590" i="17"/>
  <c r="W582" i="17"/>
  <c r="W574" i="17"/>
  <c r="W566" i="17"/>
  <c r="W558" i="17"/>
  <c r="W550" i="17"/>
  <c r="W542" i="17"/>
  <c r="W534" i="17"/>
  <c r="W526" i="17"/>
  <c r="W518" i="17"/>
  <c r="W510" i="17"/>
  <c r="W502" i="17"/>
  <c r="W494" i="17"/>
  <c r="W486" i="17"/>
  <c r="W478" i="17"/>
  <c r="W470" i="17"/>
  <c r="W462" i="17"/>
  <c r="W454" i="17"/>
  <c r="W446" i="17"/>
  <c r="W438" i="17"/>
  <c r="W430" i="17"/>
  <c r="W422" i="17"/>
  <c r="W414" i="17"/>
  <c r="W406" i="17"/>
  <c r="W398" i="17"/>
  <c r="W390" i="17"/>
  <c r="W382" i="17"/>
  <c r="W374" i="17"/>
  <c r="W366" i="17"/>
  <c r="W358" i="17"/>
  <c r="W350" i="17"/>
  <c r="W342" i="17"/>
  <c r="W334" i="17"/>
  <c r="W326" i="17"/>
  <c r="W318" i="17"/>
  <c r="W310" i="17"/>
  <c r="W302" i="17"/>
  <c r="W294" i="17"/>
  <c r="W286" i="17"/>
  <c r="W278" i="17"/>
  <c r="W270" i="17"/>
  <c r="W262" i="17"/>
  <c r="W254" i="17"/>
  <c r="W246" i="17"/>
  <c r="W238" i="17"/>
  <c r="W230" i="17"/>
  <c r="W222" i="17"/>
  <c r="W214" i="17"/>
  <c r="W206" i="17"/>
  <c r="W198" i="17"/>
  <c r="W190" i="17"/>
  <c r="W182" i="17"/>
  <c r="W174" i="17"/>
  <c r="W166" i="17"/>
  <c r="W158" i="17"/>
  <c r="W150" i="17"/>
  <c r="W142" i="17"/>
  <c r="W134" i="17"/>
  <c r="W126" i="17"/>
  <c r="W118" i="17"/>
  <c r="W110" i="17"/>
  <c r="W102" i="17"/>
  <c r="W94" i="17"/>
  <c r="W86" i="17"/>
  <c r="W78" i="17"/>
  <c r="W70" i="17"/>
  <c r="W62" i="17"/>
  <c r="W54" i="17"/>
  <c r="W48" i="17"/>
  <c r="W40" i="17"/>
  <c r="W32" i="17"/>
  <c r="W23" i="17"/>
  <c r="W15" i="17"/>
  <c r="W5" i="17"/>
  <c r="W1355" i="17"/>
  <c r="W972" i="17"/>
  <c r="W908" i="17"/>
  <c r="W883" i="17"/>
  <c r="W844" i="17"/>
  <c r="W806" i="17"/>
  <c r="W755" i="17"/>
  <c r="W720" i="17"/>
  <c r="W688" i="17"/>
  <c r="W661" i="17"/>
  <c r="W645" i="17"/>
  <c r="W613" i="17"/>
  <c r="W589" i="17"/>
  <c r="W565" i="17"/>
  <c r="W541" i="17"/>
  <c r="W517" i="17"/>
  <c r="W493" i="17"/>
  <c r="W461" i="17"/>
  <c r="W437" i="17"/>
  <c r="W413" i="17"/>
  <c r="W389" i="17"/>
  <c r="W365" i="17"/>
  <c r="W341" i="17"/>
  <c r="W317" i="17"/>
  <c r="W293" i="17"/>
  <c r="W2277" i="17"/>
  <c r="W2125" i="17"/>
  <c r="W1925" i="17"/>
  <c r="W1844" i="17"/>
  <c r="W1779" i="17"/>
  <c r="W1704" i="17"/>
  <c r="W1642" i="17"/>
  <c r="W1571" i="17"/>
  <c r="W1515" i="17"/>
  <c r="W1472" i="17"/>
  <c r="W1426" i="17"/>
  <c r="W1394" i="17"/>
  <c r="W1322" i="17"/>
  <c r="W1251" i="17"/>
  <c r="W1224" i="17"/>
  <c r="W1186" i="17"/>
  <c r="W1152" i="17"/>
  <c r="W1124" i="17"/>
  <c r="W1103" i="17"/>
  <c r="W1089" i="17"/>
  <c r="W1075" i="17"/>
  <c r="W1062" i="17"/>
  <c r="W1036" i="17"/>
  <c r="W1011" i="17"/>
  <c r="W986" i="17"/>
  <c r="W947" i="17"/>
  <c r="W922" i="17"/>
  <c r="W870" i="17"/>
  <c r="W833" i="17"/>
  <c r="W780" i="17"/>
  <c r="W742" i="17"/>
  <c r="W708" i="17"/>
  <c r="W677" i="17"/>
  <c r="W653" i="17"/>
  <c r="W629" i="17"/>
  <c r="W605" i="17"/>
  <c r="W573" i="17"/>
  <c r="W549" i="17"/>
  <c r="W525" i="17"/>
  <c r="W501" i="17"/>
  <c r="W477" i="17"/>
  <c r="W453" i="17"/>
  <c r="W421" i="17"/>
  <c r="W397" i="17"/>
  <c r="W373" i="17"/>
  <c r="W349" i="17"/>
  <c r="W309" i="17"/>
  <c r="W285" i="17"/>
  <c r="W2275" i="17"/>
  <c r="W2083" i="17"/>
  <c r="W1917" i="17"/>
  <c r="W1832" i="17"/>
  <c r="W1770" i="17"/>
  <c r="W1699" i="17"/>
  <c r="W1626" i="17"/>
  <c r="W1562" i="17"/>
  <c r="W1510" i="17"/>
  <c r="W1470" i="17"/>
  <c r="W1419" i="17"/>
  <c r="W1386" i="17"/>
  <c r="W1354" i="17"/>
  <c r="W1315" i="17"/>
  <c r="W1288" i="17"/>
  <c r="W1250" i="17"/>
  <c r="W1216" i="17"/>
  <c r="W1184" i="17"/>
  <c r="W1146" i="17"/>
  <c r="W1123" i="17"/>
  <c r="W1100" i="17"/>
  <c r="W1086" i="17"/>
  <c r="W1074" i="17"/>
  <c r="W1060" i="17"/>
  <c r="W1049" i="17"/>
  <c r="W1035" i="17"/>
  <c r="W1022" i="17"/>
  <c r="W1010" i="17"/>
  <c r="W996" i="17"/>
  <c r="W985" i="17"/>
  <c r="W971" i="17"/>
  <c r="W958" i="17"/>
  <c r="W946" i="17"/>
  <c r="W932" i="17"/>
  <c r="W921" i="17"/>
  <c r="W907" i="17"/>
  <c r="W894" i="17"/>
  <c r="W882" i="17"/>
  <c r="W868" i="17"/>
  <c r="W857" i="17"/>
  <c r="W843" i="17"/>
  <c r="W830" i="17"/>
  <c r="W818" i="17"/>
  <c r="W804" i="17"/>
  <c r="W793" i="17"/>
  <c r="W779" i="17"/>
  <c r="W766" i="17"/>
  <c r="W754" i="17"/>
  <c r="W740" i="17"/>
  <c r="W729" i="17"/>
  <c r="W718" i="17"/>
  <c r="W707" i="17"/>
  <c r="W697" i="17"/>
  <c r="W686" i="17"/>
  <c r="W676" i="17"/>
  <c r="W668" i="17"/>
  <c r="W660" i="17"/>
  <c r="W652" i="17"/>
  <c r="W644" i="17"/>
  <c r="W636" i="17"/>
  <c r="W628" i="17"/>
  <c r="W620" i="17"/>
  <c r="W612" i="17"/>
  <c r="W604" i="17"/>
  <c r="W596" i="17"/>
  <c r="W588" i="17"/>
  <c r="W580" i="17"/>
  <c r="W572" i="17"/>
  <c r="W564" i="17"/>
  <c r="W556" i="17"/>
  <c r="W548" i="17"/>
  <c r="W540" i="17"/>
  <c r="W532" i="17"/>
  <c r="W524" i="17"/>
  <c r="W516" i="17"/>
  <c r="W508" i="17"/>
  <c r="W500" i="17"/>
  <c r="W492" i="17"/>
  <c r="W484" i="17"/>
  <c r="W476" i="17"/>
  <c r="W468" i="17"/>
  <c r="W460" i="17"/>
  <c r="W452" i="17"/>
  <c r="W444" i="17"/>
  <c r="W436" i="17"/>
  <c r="W428" i="17"/>
  <c r="W420" i="17"/>
  <c r="W412" i="17"/>
  <c r="W404" i="17"/>
  <c r="W396" i="17"/>
  <c r="W388" i="17"/>
  <c r="W380" i="17"/>
  <c r="W372" i="17"/>
  <c r="W364" i="17"/>
  <c r="W356" i="17"/>
  <c r="W348" i="17"/>
  <c r="W340" i="17"/>
  <c r="W332" i="17"/>
  <c r="W324" i="17"/>
  <c r="W316" i="17"/>
  <c r="W308" i="17"/>
  <c r="W300" i="17"/>
  <c r="W292" i="17"/>
  <c r="W284" i="17"/>
  <c r="W276" i="17"/>
  <c r="W268" i="17"/>
  <c r="W260" i="17"/>
  <c r="W252" i="17"/>
  <c r="W244" i="17"/>
  <c r="W236" i="17"/>
  <c r="W228" i="17"/>
  <c r="W220" i="17"/>
  <c r="W212" i="17"/>
  <c r="W204" i="17"/>
  <c r="W196" i="17"/>
  <c r="W188" i="17"/>
  <c r="W180" i="17"/>
  <c r="W172" i="17"/>
  <c r="W164" i="17"/>
  <c r="W156" i="17"/>
  <c r="W148" i="17"/>
  <c r="W140" i="17"/>
  <c r="W132" i="17"/>
  <c r="W124" i="17"/>
  <c r="W116" i="17"/>
  <c r="W108" i="17"/>
  <c r="W100" i="17"/>
  <c r="W92" i="17"/>
  <c r="W84" i="17"/>
  <c r="W76" i="17"/>
  <c r="W68" i="17"/>
  <c r="W60" i="17"/>
  <c r="W52" i="17"/>
  <c r="W46" i="17"/>
  <c r="W38" i="17"/>
  <c r="W30" i="17"/>
  <c r="W21" i="17"/>
  <c r="W13" i="17"/>
  <c r="W8" i="17"/>
  <c r="W2253" i="17"/>
  <c r="W2053" i="17"/>
  <c r="W1907" i="17"/>
  <c r="W1827" i="17"/>
  <c r="W1754" i="17"/>
  <c r="W1690" i="17"/>
  <c r="W1619" i="17"/>
  <c r="W1560" i="17"/>
  <c r="W1504" i="17"/>
  <c r="W1460" i="17"/>
  <c r="W1418" i="17"/>
  <c r="W1379" i="17"/>
  <c r="W1352" i="17"/>
  <c r="W1314" i="17"/>
  <c r="W1280" i="17"/>
  <c r="W1248" i="17"/>
  <c r="W1210" i="17"/>
  <c r="W1179" i="17"/>
  <c r="W1144" i="17"/>
  <c r="W1119" i="17"/>
  <c r="W1099" i="17"/>
  <c r="W1084" i="17"/>
  <c r="W1073" i="17"/>
  <c r="W1059" i="17"/>
  <c r="W1046" i="17"/>
  <c r="W1034" i="17"/>
  <c r="W1020" i="17"/>
  <c r="W1009" i="17"/>
  <c r="W995" i="17"/>
  <c r="W982" i="17"/>
  <c r="W970" i="17"/>
  <c r="W906" i="17"/>
  <c r="W803" i="17"/>
  <c r="W706" i="17"/>
  <c r="W643" i="17"/>
  <c r="W627" i="17"/>
  <c r="W611" i="17"/>
  <c r="W595" i="17"/>
  <c r="W579" i="17"/>
  <c r="W563" i="17"/>
  <c r="W547" i="17"/>
  <c r="W531" i="17"/>
  <c r="W515" i="17"/>
  <c r="W499" i="17"/>
  <c r="W483" i="17"/>
  <c r="W467" i="17"/>
  <c r="W451" i="17"/>
  <c r="W435" i="17"/>
  <c r="W419" i="17"/>
  <c r="W403" i="17"/>
  <c r="W387" i="17"/>
  <c r="W371" i="17"/>
  <c r="W355" i="17"/>
  <c r="W339" i="17"/>
  <c r="W323" i="17"/>
  <c r="W307" i="17"/>
  <c r="W291" i="17"/>
  <c r="W275" i="17"/>
  <c r="W264" i="17"/>
  <c r="W250" i="17"/>
  <c r="W237" i="17"/>
  <c r="W225" i="17"/>
  <c r="W211" i="17"/>
  <c r="W200" i="17"/>
  <c r="W186" i="17"/>
  <c r="W173" i="17"/>
  <c r="W161" i="17"/>
  <c r="W147" i="17"/>
  <c r="W136" i="17"/>
  <c r="W122" i="17"/>
  <c r="W109" i="17"/>
  <c r="W97" i="17"/>
  <c r="W83" i="17"/>
  <c r="W72" i="17"/>
  <c r="W58" i="17"/>
  <c r="W47" i="17"/>
  <c r="W35" i="17"/>
  <c r="W20" i="17"/>
  <c r="W11" i="17"/>
  <c r="W4" i="17"/>
  <c r="W892" i="17"/>
  <c r="W790" i="17"/>
  <c r="W696" i="17"/>
  <c r="W642" i="17"/>
  <c r="W626" i="17"/>
  <c r="W610" i="17"/>
  <c r="W594" i="17"/>
  <c r="W578" i="17"/>
  <c r="W562" i="17"/>
  <c r="W546" i="17"/>
  <c r="W530" i="17"/>
  <c r="W514" i="17"/>
  <c r="W498" i="17"/>
  <c r="W482" i="17"/>
  <c r="W466" i="17"/>
  <c r="W450" i="17"/>
  <c r="W434" i="17"/>
  <c r="W418" i="17"/>
  <c r="W402" i="17"/>
  <c r="W386" i="17"/>
  <c r="W370" i="17"/>
  <c r="W354" i="17"/>
  <c r="W338" i="17"/>
  <c r="W322" i="17"/>
  <c r="W306" i="17"/>
  <c r="W290" i="17"/>
  <c r="W274" i="17"/>
  <c r="W261" i="17"/>
  <c r="W249" i="17"/>
  <c r="W235" i="17"/>
  <c r="W224" i="17"/>
  <c r="W210" i="17"/>
  <c r="W197" i="17"/>
  <c r="W185" i="17"/>
  <c r="W171" i="17"/>
  <c r="W160" i="17"/>
  <c r="W867" i="17"/>
  <c r="W764" i="17"/>
  <c r="W675" i="17"/>
  <c r="W640" i="17"/>
  <c r="W624" i="17"/>
  <c r="W608" i="17"/>
  <c r="W592" i="17"/>
  <c r="W576" i="17"/>
  <c r="W560" i="17"/>
  <c r="W544" i="17"/>
  <c r="W528" i="17"/>
  <c r="W512" i="17"/>
  <c r="W496" i="17"/>
  <c r="W480" i="17"/>
  <c r="W464" i="17"/>
  <c r="W448" i="17"/>
  <c r="W432" i="17"/>
  <c r="W416" i="17"/>
  <c r="W400" i="17"/>
  <c r="W384" i="17"/>
  <c r="W368" i="17"/>
  <c r="W352" i="17"/>
  <c r="W336" i="17"/>
  <c r="W320" i="17"/>
  <c r="W304" i="17"/>
  <c r="W288" i="17"/>
  <c r="W272" i="17"/>
  <c r="W258" i="17"/>
  <c r="W245" i="17"/>
  <c r="W233" i="17"/>
  <c r="W219" i="17"/>
  <c r="W208" i="17"/>
  <c r="W194" i="17"/>
  <c r="W181" i="17"/>
  <c r="W169" i="17"/>
  <c r="W155" i="17"/>
  <c r="W144" i="17"/>
  <c r="W130" i="17"/>
  <c r="W117" i="17"/>
  <c r="W105" i="17"/>
  <c r="W91" i="17"/>
  <c r="W80" i="17"/>
  <c r="W66" i="17"/>
  <c r="W53" i="17"/>
  <c r="W43" i="17"/>
  <c r="W29" i="17"/>
  <c r="W17" i="17"/>
  <c r="W408" i="17"/>
  <c r="W226" i="17"/>
  <c r="W176" i="17"/>
  <c r="W123" i="17"/>
  <c r="W956" i="17"/>
  <c r="W854" i="17"/>
  <c r="W753" i="17"/>
  <c r="W667" i="17"/>
  <c r="W635" i="17"/>
  <c r="W619" i="17"/>
  <c r="W603" i="17"/>
  <c r="W587" i="17"/>
  <c r="W571" i="17"/>
  <c r="W555" i="17"/>
  <c r="W539" i="17"/>
  <c r="W523" i="17"/>
  <c r="W507" i="17"/>
  <c r="W491" i="17"/>
  <c r="W475" i="17"/>
  <c r="W459" i="17"/>
  <c r="W443" i="17"/>
  <c r="W427" i="17"/>
  <c r="W411" i="17"/>
  <c r="W395" i="17"/>
  <c r="W379" i="17"/>
  <c r="W363" i="17"/>
  <c r="W347" i="17"/>
  <c r="W331" i="17"/>
  <c r="W315" i="17"/>
  <c r="W299" i="17"/>
  <c r="W283" i="17"/>
  <c r="W269" i="17"/>
  <c r="W257" i="17"/>
  <c r="W243" i="17"/>
  <c r="W232" i="17"/>
  <c r="W218" i="17"/>
  <c r="W205" i="17"/>
  <c r="W193" i="17"/>
  <c r="W179" i="17"/>
  <c r="W168" i="17"/>
  <c r="W154" i="17"/>
  <c r="W141" i="17"/>
  <c r="W129" i="17"/>
  <c r="W115" i="17"/>
  <c r="W104" i="17"/>
  <c r="W90" i="17"/>
  <c r="W77" i="17"/>
  <c r="W65" i="17"/>
  <c r="W42" i="17"/>
  <c r="W28" i="17"/>
  <c r="W14" i="17"/>
  <c r="W153" i="17"/>
  <c r="W114" i="17"/>
  <c r="W89" i="17"/>
  <c r="W64" i="17"/>
  <c r="W26" i="17"/>
  <c r="W7" i="17"/>
  <c r="W6" i="17"/>
  <c r="W716" i="17"/>
  <c r="W650" i="17"/>
  <c r="W600" i="17"/>
  <c r="W536" i="17"/>
  <c r="W488" i="17"/>
  <c r="W440" i="17"/>
  <c r="W376" i="17"/>
  <c r="W312" i="17"/>
  <c r="W265" i="17"/>
  <c r="W201" i="17"/>
  <c r="W149" i="17"/>
  <c r="W98" i="17"/>
  <c r="W945" i="17"/>
  <c r="W842" i="17"/>
  <c r="W739" i="17"/>
  <c r="W659" i="17"/>
  <c r="W634" i="17"/>
  <c r="W618" i="17"/>
  <c r="W602" i="17"/>
  <c r="W586" i="17"/>
  <c r="W570" i="17"/>
  <c r="W554" i="17"/>
  <c r="W538" i="17"/>
  <c r="W522" i="17"/>
  <c r="W506" i="17"/>
  <c r="W490" i="17"/>
  <c r="W474" i="17"/>
  <c r="W458" i="17"/>
  <c r="W442" i="17"/>
  <c r="W426" i="17"/>
  <c r="W410" i="17"/>
  <c r="W394" i="17"/>
  <c r="W378" i="17"/>
  <c r="W362" i="17"/>
  <c r="W346" i="17"/>
  <c r="W330" i="17"/>
  <c r="W314" i="17"/>
  <c r="W298" i="17"/>
  <c r="W282" i="17"/>
  <c r="W267" i="17"/>
  <c r="W256" i="17"/>
  <c r="W242" i="17"/>
  <c r="W229" i="17"/>
  <c r="W217" i="17"/>
  <c r="W203" i="17"/>
  <c r="W192" i="17"/>
  <c r="W178" i="17"/>
  <c r="W165" i="17"/>
  <c r="W139" i="17"/>
  <c r="W128" i="17"/>
  <c r="W101" i="17"/>
  <c r="W75" i="17"/>
  <c r="W39" i="17"/>
  <c r="W918" i="17"/>
  <c r="W616" i="17"/>
  <c r="W568" i="17"/>
  <c r="W520" i="17"/>
  <c r="W472" i="17"/>
  <c r="W424" i="17"/>
  <c r="W360" i="17"/>
  <c r="W328" i="17"/>
  <c r="W280" i="17"/>
  <c r="W240" i="17"/>
  <c r="W187" i="17"/>
  <c r="W137" i="17"/>
  <c r="W85" i="17"/>
  <c r="W931" i="17"/>
  <c r="W828" i="17"/>
  <c r="W728" i="17"/>
  <c r="W651" i="17"/>
  <c r="W633" i="17"/>
  <c r="W617" i="17"/>
  <c r="W601" i="17"/>
  <c r="W585" i="17"/>
  <c r="W569" i="17"/>
  <c r="W553" i="17"/>
  <c r="W537" i="17"/>
  <c r="W521" i="17"/>
  <c r="W505" i="17"/>
  <c r="W489" i="17"/>
  <c r="W473" i="17"/>
  <c r="W457" i="17"/>
  <c r="W441" i="17"/>
  <c r="W425" i="17"/>
  <c r="W409" i="17"/>
  <c r="W393" i="17"/>
  <c r="W377" i="17"/>
  <c r="W361" i="17"/>
  <c r="W345" i="17"/>
  <c r="W329" i="17"/>
  <c r="W313" i="17"/>
  <c r="W297" i="17"/>
  <c r="W281" i="17"/>
  <c r="W266" i="17"/>
  <c r="W253" i="17"/>
  <c r="W241" i="17"/>
  <c r="W227" i="17"/>
  <c r="W216" i="17"/>
  <c r="W202" i="17"/>
  <c r="W189" i="17"/>
  <c r="W177" i="17"/>
  <c r="W163" i="17"/>
  <c r="W152" i="17"/>
  <c r="W138" i="17"/>
  <c r="W125" i="17"/>
  <c r="W113" i="17"/>
  <c r="W99" i="17"/>
  <c r="W88" i="17"/>
  <c r="W74" i="17"/>
  <c r="W61" i="17"/>
  <c r="W51" i="17"/>
  <c r="W37" i="17"/>
  <c r="W25" i="17"/>
  <c r="W817" i="17"/>
  <c r="W632" i="17"/>
  <c r="W584" i="17"/>
  <c r="W552" i="17"/>
  <c r="W504" i="17"/>
  <c r="W456" i="17"/>
  <c r="W392" i="17"/>
  <c r="W344" i="17"/>
  <c r="W296" i="17"/>
  <c r="W251" i="17"/>
  <c r="W213" i="17"/>
  <c r="W162" i="17"/>
  <c r="W112" i="17"/>
  <c r="W73" i="17"/>
  <c r="W577" i="17"/>
  <c r="W449" i="17"/>
  <c r="W321" i="17"/>
  <c r="W209" i="17"/>
  <c r="W131" i="17"/>
  <c r="W81" i="17"/>
  <c r="W50" i="17"/>
  <c r="W18" i="17"/>
  <c r="W34" i="17"/>
  <c r="W497" i="17"/>
  <c r="W146" i="17"/>
  <c r="W31" i="17"/>
  <c r="W481" i="17"/>
  <c r="W353" i="17"/>
  <c r="W145" i="17"/>
  <c r="W22" i="17"/>
  <c r="W465" i="17"/>
  <c r="W221" i="17"/>
  <c r="W82" i="17"/>
  <c r="W881" i="17"/>
  <c r="W561" i="17"/>
  <c r="W433" i="17"/>
  <c r="W305" i="17"/>
  <c r="W195" i="17"/>
  <c r="W121" i="17"/>
  <c r="W69" i="17"/>
  <c r="W45" i="17"/>
  <c r="W778" i="17"/>
  <c r="W545" i="17"/>
  <c r="W417" i="17"/>
  <c r="W289" i="17"/>
  <c r="W184" i="17"/>
  <c r="W120" i="17"/>
  <c r="W67" i="17"/>
  <c r="W44" i="17"/>
  <c r="W684" i="17"/>
  <c r="W529" i="17"/>
  <c r="W401" i="17"/>
  <c r="W273" i="17"/>
  <c r="W170" i="17"/>
  <c r="W107" i="17"/>
  <c r="W59" i="17"/>
  <c r="W36" i="17"/>
  <c r="W12" i="17"/>
  <c r="W641" i="17"/>
  <c r="W513" i="17"/>
  <c r="W385" i="17"/>
  <c r="W259" i="17"/>
  <c r="W157" i="17"/>
  <c r="W106" i="17"/>
  <c r="W57" i="17"/>
  <c r="W625" i="17"/>
  <c r="W369" i="17"/>
  <c r="W248" i="17"/>
  <c r="W96" i="17"/>
  <c r="W56" i="17"/>
  <c r="W9" i="17"/>
  <c r="W609" i="17"/>
  <c r="W234" i="17"/>
  <c r="W93" i="17"/>
  <c r="W593" i="17"/>
  <c r="W337" i="17"/>
  <c r="W133" i="17"/>
  <c r="W19" i="17"/>
  <c r="AA178" i="5"/>
  <c r="AA174" i="5"/>
  <c r="AA173" i="5"/>
  <c r="T59" i="11" s="1"/>
  <c r="I13" i="17"/>
  <c r="H33" i="17"/>
  <c r="E52" i="17"/>
  <c r="G33" i="17"/>
  <c r="N51" i="10" l="1"/>
  <c r="N55" i="10" s="1"/>
  <c r="AA158" i="9"/>
  <c r="AA176" i="5"/>
  <c r="AA175" i="5"/>
  <c r="F52" i="17"/>
  <c r="J13" i="17"/>
  <c r="I33" i="17"/>
  <c r="J33" i="17" l="1"/>
  <c r="K13" i="17"/>
  <c r="K33" i="17" l="1"/>
  <c r="L13" i="17"/>
  <c r="L33" i="17" l="1"/>
  <c r="M13" i="17"/>
  <c r="M33" i="17" s="1"/>
  <c r="L59" i="8" l="1"/>
  <c r="AN56" i="9" l="1"/>
  <c r="AM56" i="9"/>
  <c r="AL56" i="9"/>
  <c r="AK56" i="9"/>
  <c r="AO56" i="9"/>
  <c r="Y56" i="9"/>
  <c r="V56" i="9"/>
  <c r="U56" i="9"/>
  <c r="S56" i="9"/>
  <c r="R56" i="9"/>
  <c r="Q56" i="9"/>
  <c r="P56" i="9"/>
  <c r="O56" i="9"/>
  <c r="N56" i="9"/>
  <c r="M56" i="9"/>
  <c r="L56" i="9"/>
  <c r="K56" i="9"/>
  <c r="J56" i="9"/>
  <c r="I56" i="9"/>
  <c r="H56" i="9"/>
  <c r="G56" i="9"/>
  <c r="F56" i="9"/>
  <c r="E56" i="9"/>
  <c r="D56" i="9"/>
  <c r="Z56" i="9"/>
  <c r="AH153" i="4"/>
  <c r="AH155" i="4" s="1"/>
  <c r="AE40" i="14" l="1"/>
  <c r="AD40" i="14"/>
  <c r="AC40" i="14"/>
  <c r="AB40" i="14"/>
  <c r="AE35" i="14"/>
  <c r="AD35" i="14"/>
  <c r="AC35" i="14"/>
  <c r="AB35" i="14"/>
  <c r="AD25" i="14"/>
  <c r="AC25" i="14"/>
  <c r="AB25" i="14"/>
  <c r="AE25" i="14"/>
  <c r="AC21" i="14"/>
  <c r="AD21" i="14" s="1"/>
  <c r="AE21" i="14" s="1"/>
  <c r="AB41" i="14" l="1"/>
  <c r="AD41" i="14"/>
  <c r="AC41" i="14"/>
  <c r="AE41" i="14"/>
  <c r="C46" i="15" l="1"/>
  <c r="H82" i="15" l="1"/>
  <c r="H83" i="15" s="1"/>
  <c r="H84" i="15" s="1"/>
  <c r="H85" i="15" s="1"/>
  <c r="H86" i="15" s="1"/>
  <c r="H87" i="15" s="1"/>
  <c r="H88" i="15" s="1"/>
  <c r="H89" i="15" s="1"/>
  <c r="H90" i="15" s="1"/>
  <c r="H91" i="15" s="1"/>
  <c r="H92" i="15" s="1"/>
  <c r="H93" i="15" s="1"/>
  <c r="H94" i="15" s="1"/>
  <c r="H95" i="15" s="1"/>
  <c r="J80" i="15"/>
  <c r="K80" i="15" s="1"/>
  <c r="L80" i="15" s="1"/>
  <c r="M80" i="15" s="1"/>
  <c r="N80" i="15" s="1"/>
  <c r="O80" i="15" s="1"/>
  <c r="P80" i="15" s="1"/>
  <c r="Q80" i="15" s="1"/>
  <c r="R80" i="15" s="1"/>
  <c r="S80" i="15" s="1"/>
  <c r="B41" i="16" l="1"/>
  <c r="C34" i="16" l="1"/>
  <c r="C35" i="16" s="1"/>
  <c r="B34" i="16"/>
  <c r="B27" i="16"/>
  <c r="B21" i="16"/>
  <c r="B18" i="16"/>
  <c r="J56" i="15" l="1"/>
  <c r="K56" i="15" s="1"/>
  <c r="L56" i="15" s="1"/>
  <c r="M56" i="15" s="1"/>
  <c r="N56" i="15" s="1"/>
  <c r="O56" i="15" s="1"/>
  <c r="P56" i="15" s="1"/>
  <c r="Q56" i="15" s="1"/>
  <c r="R56" i="15" s="1"/>
  <c r="S56" i="15" s="1"/>
  <c r="H58" i="15"/>
  <c r="H59" i="15" s="1"/>
  <c r="H60" i="15" s="1"/>
  <c r="H61" i="15" s="1"/>
  <c r="H62" i="15" s="1"/>
  <c r="H63" i="15" s="1"/>
  <c r="H64" i="15" s="1"/>
  <c r="H65" i="15" s="1"/>
  <c r="H66" i="15" s="1"/>
  <c r="H67" i="15" s="1"/>
  <c r="H68" i="15" s="1"/>
  <c r="H69" i="15" s="1"/>
  <c r="H70" i="15" s="1"/>
  <c r="H71" i="15" s="1"/>
  <c r="L44" i="8" l="1"/>
  <c r="L31" i="8"/>
  <c r="L22" i="8"/>
  <c r="L21" i="8"/>
  <c r="L88" i="8"/>
  <c r="L16" i="8"/>
  <c r="L8" i="8"/>
  <c r="Z140" i="9"/>
  <c r="AE140" i="9" s="1"/>
  <c r="AF140" i="9" s="1"/>
  <c r="AG140" i="9" s="1"/>
  <c r="AH140" i="9" s="1"/>
  <c r="AI140" i="9" s="1"/>
  <c r="Z137" i="9"/>
  <c r="AD138" i="9" s="1"/>
  <c r="Z85" i="9"/>
  <c r="Z212" i="6"/>
  <c r="Z207" i="6"/>
  <c r="AD208" i="6" s="1"/>
  <c r="Z202" i="6"/>
  <c r="AD203" i="6" s="1"/>
  <c r="Z196" i="6"/>
  <c r="Z190" i="6"/>
  <c r="AD191" i="6" s="1"/>
  <c r="Z184" i="6"/>
  <c r="AD185" i="6" s="1"/>
  <c r="Z178" i="6"/>
  <c r="AD179" i="6" s="1"/>
  <c r="Z169" i="6"/>
  <c r="Z165" i="6"/>
  <c r="Z155" i="6"/>
  <c r="Z151" i="6"/>
  <c r="Z147" i="6"/>
  <c r="AD148" i="6" s="1"/>
  <c r="Z145" i="6"/>
  <c r="Z141" i="6"/>
  <c r="AD142" i="6" s="1"/>
  <c r="Z138" i="6"/>
  <c r="Z117" i="6"/>
  <c r="AD118" i="6" s="1"/>
  <c r="Z112" i="6"/>
  <c r="AD113" i="6" s="1"/>
  <c r="Z101" i="6"/>
  <c r="AD102" i="6" s="1"/>
  <c r="Z92" i="6"/>
  <c r="AD93" i="6" s="1"/>
  <c r="Z77" i="6"/>
  <c r="AD78" i="6" s="1"/>
  <c r="Z72" i="6"/>
  <c r="AD73" i="6" s="1"/>
  <c r="Z66" i="6"/>
  <c r="Z62" i="6"/>
  <c r="AE62" i="6" s="1"/>
  <c r="Z38" i="6"/>
  <c r="AD50" i="6" s="1"/>
  <c r="Z37" i="6"/>
  <c r="Z36" i="6"/>
  <c r="AD48" i="6" s="1"/>
  <c r="Z25" i="6"/>
  <c r="Z16" i="6"/>
  <c r="Z14" i="6"/>
  <c r="Z13" i="6"/>
  <c r="Z12" i="6"/>
  <c r="Z11" i="6"/>
  <c r="Z9" i="6"/>
  <c r="Z160" i="5"/>
  <c r="Z159" i="5"/>
  <c r="Z158" i="5"/>
  <c r="Z157" i="5"/>
  <c r="Z156" i="5"/>
  <c r="Z145" i="9" s="1"/>
  <c r="Z155" i="5"/>
  <c r="Z135" i="9" s="1"/>
  <c r="Z154" i="5"/>
  <c r="Z153" i="5"/>
  <c r="Z82" i="9" s="1"/>
  <c r="Z152" i="5"/>
  <c r="Z151" i="5"/>
  <c r="Z92" i="9" s="1"/>
  <c r="Z150" i="5"/>
  <c r="Z80" i="9" s="1"/>
  <c r="Z147" i="5"/>
  <c r="Z146" i="5"/>
  <c r="Z145" i="5"/>
  <c r="Z172" i="5" s="1"/>
  <c r="Z144" i="5"/>
  <c r="Z171" i="5" s="1"/>
  <c r="Z143" i="5"/>
  <c r="Z53" i="9" s="1"/>
  <c r="Z142" i="5"/>
  <c r="Z170" i="5" s="1"/>
  <c r="M59" i="10" s="1"/>
  <c r="Z139" i="5"/>
  <c r="Z138" i="5"/>
  <c r="Z137" i="5"/>
  <c r="Z136" i="5"/>
  <c r="Z135" i="5"/>
  <c r="Z134" i="5"/>
  <c r="Z133" i="5"/>
  <c r="Z132" i="5"/>
  <c r="Z131" i="5"/>
  <c r="Z129" i="5"/>
  <c r="Z128" i="5"/>
  <c r="Z127" i="5"/>
  <c r="Z126" i="5"/>
  <c r="Z125" i="5"/>
  <c r="Z35" i="9" s="1"/>
  <c r="Z124" i="5"/>
  <c r="Z123" i="5"/>
  <c r="Z130" i="9" s="1"/>
  <c r="Z122" i="5"/>
  <c r="Z39" i="9" s="1"/>
  <c r="Z116" i="5"/>
  <c r="Z115" i="5"/>
  <c r="Z114" i="5"/>
  <c r="Z109" i="5"/>
  <c r="Z143" i="9" s="1"/>
  <c r="AA148" i="9" s="1"/>
  <c r="Z108" i="5"/>
  <c r="Z107" i="5"/>
  <c r="Z134" i="9" s="1"/>
  <c r="AA141" i="9" s="1"/>
  <c r="Z106" i="5"/>
  <c r="Z129" i="9" s="1"/>
  <c r="AA132" i="9" s="1"/>
  <c r="Z105" i="5"/>
  <c r="Z103" i="5"/>
  <c r="Z101" i="5"/>
  <c r="Z100" i="5"/>
  <c r="Z99" i="5"/>
  <c r="Z114" i="9" s="1"/>
  <c r="Z98" i="5"/>
  <c r="Z97" i="5"/>
  <c r="Z96" i="5"/>
  <c r="Z95" i="5"/>
  <c r="Z76" i="9" s="1"/>
  <c r="Z93" i="5"/>
  <c r="Z92" i="5"/>
  <c r="Z91" i="5"/>
  <c r="Z113" i="9" s="1"/>
  <c r="Z90" i="5"/>
  <c r="Z31" i="9" s="1"/>
  <c r="Z89" i="5"/>
  <c r="Z74" i="9" s="1"/>
  <c r="Z88" i="5"/>
  <c r="Z87" i="5"/>
  <c r="Z83" i="5"/>
  <c r="Z67" i="9" s="1"/>
  <c r="Z82" i="5"/>
  <c r="Z16" i="9" s="1"/>
  <c r="Z81" i="5"/>
  <c r="Z80" i="5"/>
  <c r="Z79" i="5"/>
  <c r="S37" i="11" s="1"/>
  <c r="Z78" i="5"/>
  <c r="Z77" i="5"/>
  <c r="Z76" i="5"/>
  <c r="Z74" i="5"/>
  <c r="Z66" i="9" s="1"/>
  <c r="Z73" i="5"/>
  <c r="Z23" i="9" s="1"/>
  <c r="Z72" i="5"/>
  <c r="Z19" i="9" s="1"/>
  <c r="Z71" i="5"/>
  <c r="Z15" i="9" s="1"/>
  <c r="Z70" i="5"/>
  <c r="Z9" i="9" s="1"/>
  <c r="Z69" i="5"/>
  <c r="Z57" i="5"/>
  <c r="Z54" i="5"/>
  <c r="Z52" i="5"/>
  <c r="Z50" i="5"/>
  <c r="Z49" i="5"/>
  <c r="Z48" i="5"/>
  <c r="Z39" i="5"/>
  <c r="S27" i="11" s="1"/>
  <c r="Z38" i="5"/>
  <c r="Z31" i="5"/>
  <c r="Z29" i="5"/>
  <c r="Z26" i="5"/>
  <c r="Z25" i="5"/>
  <c r="Z107" i="9" s="1"/>
  <c r="Z21" i="5"/>
  <c r="Z20" i="5"/>
  <c r="Z53" i="5" s="1"/>
  <c r="Z19" i="5"/>
  <c r="Z18" i="5"/>
  <c r="S15" i="11" s="1"/>
  <c r="Z17" i="5"/>
  <c r="S14" i="11" s="1"/>
  <c r="Z16" i="5"/>
  <c r="S13" i="11" s="1"/>
  <c r="Z13" i="5"/>
  <c r="S10" i="11" s="1"/>
  <c r="Z12" i="5"/>
  <c r="S9" i="11" s="1"/>
  <c r="Z10" i="5"/>
  <c r="Z9" i="5"/>
  <c r="Z8" i="5"/>
  <c r="S7" i="11" s="1"/>
  <c r="Z7" i="5"/>
  <c r="S6" i="11" s="1"/>
  <c r="Z6" i="5"/>
  <c r="S5" i="11" s="1"/>
  <c r="AH118" i="4"/>
  <c r="AH117" i="4"/>
  <c r="AH116" i="4"/>
  <c r="AH115" i="4"/>
  <c r="AH114" i="4"/>
  <c r="AH113" i="4"/>
  <c r="AH112" i="4"/>
  <c r="AH108" i="4"/>
  <c r="AH104" i="4"/>
  <c r="Z139" i="9" s="1"/>
  <c r="AH96" i="4"/>
  <c r="AH93" i="4"/>
  <c r="AH88" i="4"/>
  <c r="AH91" i="4" s="1"/>
  <c r="AH83" i="4"/>
  <c r="AH86" i="4" s="1"/>
  <c r="AH78" i="4"/>
  <c r="AH81" i="4" s="1"/>
  <c r="AH73" i="4"/>
  <c r="AH75" i="4" s="1"/>
  <c r="AH68" i="4"/>
  <c r="AH51" i="4"/>
  <c r="AH41" i="4"/>
  <c r="AH35" i="4"/>
  <c r="Z107" i="6" s="1"/>
  <c r="AH17" i="4"/>
  <c r="AH19" i="4" s="1"/>
  <c r="AH9" i="4"/>
  <c r="AH11" i="4" s="1"/>
  <c r="AG170" i="2"/>
  <c r="AG169" i="2"/>
  <c r="AG168" i="2"/>
  <c r="AG158" i="2"/>
  <c r="AG145" i="2"/>
  <c r="AG107" i="2"/>
  <c r="AG99" i="2"/>
  <c r="AG91" i="2"/>
  <c r="AG72" i="2"/>
  <c r="AG81" i="2" s="1"/>
  <c r="AG47" i="2"/>
  <c r="AG27" i="2"/>
  <c r="AG22" i="2"/>
  <c r="AG11" i="2"/>
  <c r="AG14" i="2" s="1"/>
  <c r="AH76" i="4" s="1"/>
  <c r="Z136" i="9" l="1"/>
  <c r="AD63" i="6"/>
  <c r="AD49" i="6"/>
  <c r="Z40" i="6"/>
  <c r="AA149" i="6"/>
  <c r="AA150" i="6" s="1"/>
  <c r="AA175" i="6" s="1"/>
  <c r="AD146" i="6"/>
  <c r="AA198" i="6"/>
  <c r="AD197" i="6"/>
  <c r="AA27" i="6"/>
  <c r="AD26" i="6"/>
  <c r="AA167" i="6"/>
  <c r="AE167" i="6" s="1"/>
  <c r="AI167" i="6" s="1"/>
  <c r="AD166" i="6"/>
  <c r="AD213" i="6"/>
  <c r="Z61" i="9"/>
  <c r="AA55" i="9" s="1"/>
  <c r="S38" i="11"/>
  <c r="Z90" i="9"/>
  <c r="S46" i="11"/>
  <c r="Z47" i="5"/>
  <c r="S16" i="11"/>
  <c r="Z63" i="9"/>
  <c r="AA57" i="9" s="1"/>
  <c r="S39" i="11"/>
  <c r="Z88" i="9"/>
  <c r="S42" i="11"/>
  <c r="Z123" i="9"/>
  <c r="S21" i="11"/>
  <c r="Z47" i="9"/>
  <c r="AA45" i="9" s="1"/>
  <c r="AA46" i="9" s="1"/>
  <c r="S34" i="11"/>
  <c r="Z27" i="9"/>
  <c r="S43" i="11"/>
  <c r="Z77" i="9"/>
  <c r="AA81" i="9" s="1"/>
  <c r="S45" i="11"/>
  <c r="S8" i="11"/>
  <c r="S11" i="11" s="1"/>
  <c r="Z119" i="9"/>
  <c r="S35" i="11"/>
  <c r="Z73" i="9"/>
  <c r="S41" i="11"/>
  <c r="Z110" i="9"/>
  <c r="S47" i="11"/>
  <c r="Z151" i="9"/>
  <c r="S26" i="11"/>
  <c r="Z49" i="9"/>
  <c r="AA51" i="9" s="1"/>
  <c r="S36" i="11"/>
  <c r="Z51" i="5"/>
  <c r="S17" i="11"/>
  <c r="AH124" i="5"/>
  <c r="Z11" i="5"/>
  <c r="M11" i="10" s="1"/>
  <c r="M65" i="10"/>
  <c r="AA28" i="6"/>
  <c r="AA64" i="6"/>
  <c r="AA65" i="6" s="1"/>
  <c r="AA55" i="6"/>
  <c r="AA103" i="6"/>
  <c r="AA108" i="6"/>
  <c r="AA109" i="6" s="1"/>
  <c r="AA74" i="6"/>
  <c r="AA75" i="6" s="1"/>
  <c r="AA56" i="6"/>
  <c r="Z20" i="6"/>
  <c r="AA79" i="6"/>
  <c r="AA80" i="6" s="1"/>
  <c r="AA57" i="6"/>
  <c r="M69" i="10"/>
  <c r="AA119" i="6"/>
  <c r="M81" i="10"/>
  <c r="AA114" i="6"/>
  <c r="M89" i="10"/>
  <c r="AA180" i="6"/>
  <c r="AE180" i="6" s="1"/>
  <c r="AI180" i="6" s="1"/>
  <c r="AH72" i="4"/>
  <c r="Z15" i="6"/>
  <c r="Z6" i="9" s="1"/>
  <c r="Z181" i="6"/>
  <c r="Z156" i="6" s="1"/>
  <c r="Z159" i="6" s="1"/>
  <c r="AA143" i="6"/>
  <c r="AA186" i="6"/>
  <c r="Z27" i="5"/>
  <c r="S19" i="11" s="1"/>
  <c r="L23" i="8"/>
  <c r="AH119" i="4"/>
  <c r="AG23" i="2"/>
  <c r="Z188" i="6"/>
  <c r="AH94" i="4"/>
  <c r="Z115" i="6"/>
  <c r="AG108" i="2"/>
  <c r="AG109" i="2" s="1"/>
  <c r="Z154" i="9"/>
  <c r="L9" i="17"/>
  <c r="Z98" i="9"/>
  <c r="C41" i="17"/>
  <c r="Z152" i="6"/>
  <c r="Z171" i="6"/>
  <c r="M85" i="10"/>
  <c r="Z6" i="6"/>
  <c r="Z42" i="9"/>
  <c r="Z22" i="5"/>
  <c r="Z94" i="5"/>
  <c r="Z86" i="9"/>
  <c r="Z42" i="5"/>
  <c r="Z110" i="5"/>
  <c r="S49" i="11" s="1"/>
  <c r="Z68" i="9"/>
  <c r="Z65" i="9"/>
  <c r="AA70" i="9" s="1"/>
  <c r="Z157" i="9"/>
  <c r="Z112" i="9"/>
  <c r="Z168" i="6"/>
  <c r="Z41" i="6"/>
  <c r="AD52" i="6" s="1"/>
  <c r="Z13" i="9"/>
  <c r="Z75" i="5"/>
  <c r="Z131" i="9"/>
  <c r="Z161" i="5"/>
  <c r="S55" i="11" s="1"/>
  <c r="Z102" i="5"/>
  <c r="Z90" i="6"/>
  <c r="AD91" i="6" s="1"/>
  <c r="AD51" i="6"/>
  <c r="Z148" i="5"/>
  <c r="S54" i="11" s="1"/>
  <c r="Z155" i="9" l="1"/>
  <c r="AA153" i="9"/>
  <c r="AD152" i="9"/>
  <c r="AA173" i="6"/>
  <c r="AE173" i="6" s="1"/>
  <c r="AD172" i="6"/>
  <c r="Z192" i="6"/>
  <c r="AD189" i="6"/>
  <c r="AA22" i="6"/>
  <c r="AD21" i="6"/>
  <c r="AA154" i="6"/>
  <c r="AD153" i="6"/>
  <c r="Z204" i="6"/>
  <c r="Z205" i="6" s="1"/>
  <c r="AD7" i="6"/>
  <c r="AD216" i="6"/>
  <c r="M93" i="10"/>
  <c r="AI173" i="6"/>
  <c r="Z60" i="9"/>
  <c r="AA59" i="9" s="1"/>
  <c r="Z41" i="5"/>
  <c r="Z78" i="9"/>
  <c r="Z75" i="9" s="1"/>
  <c r="Z14" i="5"/>
  <c r="Z5" i="9" s="1"/>
  <c r="Z36" i="9" s="1"/>
  <c r="AA83" i="9"/>
  <c r="Z91" i="9"/>
  <c r="Z89" i="9" s="1"/>
  <c r="AH151" i="9"/>
  <c r="Z146" i="9"/>
  <c r="Z84" i="5"/>
  <c r="S33" i="11"/>
  <c r="S40" i="11" s="1"/>
  <c r="S44" i="11"/>
  <c r="S18" i="11"/>
  <c r="S20" i="11" s="1"/>
  <c r="S22" i="11" s="1"/>
  <c r="S48" i="11"/>
  <c r="Z209" i="6"/>
  <c r="AH209" i="6" s="1"/>
  <c r="Z157" i="6"/>
  <c r="Z174" i="6"/>
  <c r="AA58" i="6"/>
  <c r="AA87" i="6"/>
  <c r="AA120" i="6"/>
  <c r="AA67" i="6" s="1"/>
  <c r="AA31" i="6"/>
  <c r="AB30" i="6"/>
  <c r="AA194" i="6"/>
  <c r="AE194" i="6" s="1"/>
  <c r="AI194" i="6" s="1"/>
  <c r="AA59" i="6"/>
  <c r="AA126" i="6"/>
  <c r="AB128" i="6" s="1"/>
  <c r="AA176" i="6"/>
  <c r="Z17" i="9"/>
  <c r="AA69" i="9"/>
  <c r="Z115" i="9"/>
  <c r="AA116" i="9"/>
  <c r="Z215" i="6"/>
  <c r="I7" i="17"/>
  <c r="E59" i="17"/>
  <c r="G59" i="17"/>
  <c r="AG46" i="2"/>
  <c r="AG56" i="2" s="1"/>
  <c r="AK122" i="4" s="1"/>
  <c r="AK123" i="4" s="1"/>
  <c r="AG28" i="2"/>
  <c r="AG30" i="2" s="1"/>
  <c r="AG32" i="2" s="1"/>
  <c r="AK120" i="4" s="1"/>
  <c r="AK121" i="4" s="1"/>
  <c r="Z104" i="6"/>
  <c r="AD105" i="6" s="1"/>
  <c r="AE105" i="6" s="1"/>
  <c r="M73" i="10"/>
  <c r="Z17" i="6"/>
  <c r="Z120" i="9"/>
  <c r="Z111" i="5"/>
  <c r="Z162" i="9"/>
  <c r="Z161" i="9"/>
  <c r="Z97" i="6"/>
  <c r="AD98" i="6" s="1"/>
  <c r="Z94" i="6"/>
  <c r="M7" i="10" l="1"/>
  <c r="Z23" i="5"/>
  <c r="Z46" i="5" s="1"/>
  <c r="Z56" i="5" s="1"/>
  <c r="S29" i="11" s="1"/>
  <c r="Z199" i="6"/>
  <c r="AH199" i="6" s="1"/>
  <c r="AD193" i="6"/>
  <c r="Z8" i="6"/>
  <c r="AD18" i="6"/>
  <c r="AA96" i="6"/>
  <c r="AD95" i="6"/>
  <c r="S50" i="11"/>
  <c r="S51" i="11" s="1"/>
  <c r="AA94" i="9"/>
  <c r="Z50" i="9"/>
  <c r="Z210" i="6"/>
  <c r="Z97" i="9"/>
  <c r="AA108" i="9" s="1"/>
  <c r="AA93" i="9"/>
  <c r="Z62" i="9"/>
  <c r="Z112" i="5"/>
  <c r="AA69" i="6"/>
  <c r="AB33" i="6"/>
  <c r="AA122" i="6"/>
  <c r="AB124" i="6" s="1"/>
  <c r="AH120" i="9"/>
  <c r="AG117" i="2"/>
  <c r="AG137" i="2" s="1"/>
  <c r="AG38" i="2"/>
  <c r="AG35" i="2"/>
  <c r="AG58" i="2"/>
  <c r="AG59" i="2"/>
  <c r="Z10" i="6"/>
  <c r="Z214" i="6"/>
  <c r="I6" i="17" l="1"/>
  <c r="C40" i="17" s="1"/>
  <c r="G60" i="17" s="1"/>
  <c r="Z43" i="5"/>
  <c r="Z28" i="5"/>
  <c r="Z122" i="9" s="1"/>
  <c r="Z124" i="9" s="1"/>
  <c r="Z61" i="5"/>
  <c r="M15" i="10"/>
  <c r="M19" i="10" s="1"/>
  <c r="Z99" i="9"/>
  <c r="AG60" i="2"/>
  <c r="AK124" i="4"/>
  <c r="AK125" i="4" s="1"/>
  <c r="AG172" i="2"/>
  <c r="AG160" i="2"/>
  <c r="AG167" i="2"/>
  <c r="AG171" i="2" s="1"/>
  <c r="AG173" i="2" s="1"/>
  <c r="M23" i="10"/>
  <c r="M27" i="10" s="1"/>
  <c r="Z58" i="5"/>
  <c r="Z59" i="5"/>
  <c r="I8" i="17" l="1"/>
  <c r="I5" i="17" s="1"/>
  <c r="L34" i="17" s="1"/>
  <c r="E60" i="17"/>
  <c r="Z30" i="5"/>
  <c r="Z32" i="5" s="1"/>
  <c r="Z120" i="5" s="1"/>
  <c r="Z140" i="5" s="1"/>
  <c r="S53" i="11" s="1"/>
  <c r="S56" i="11" s="1"/>
  <c r="S30" i="11"/>
  <c r="AD104" i="9"/>
  <c r="AD105" i="9" s="1"/>
  <c r="AH214" i="6"/>
  <c r="Z60" i="5"/>
  <c r="M31" i="10"/>
  <c r="M35" i="10" s="1"/>
  <c r="K34" i="17" l="1"/>
  <c r="H34" i="17"/>
  <c r="I34" i="17"/>
  <c r="G34" i="17"/>
  <c r="J34" i="17"/>
  <c r="M34" i="17"/>
  <c r="Z35" i="5"/>
  <c r="S24" i="11" s="1"/>
  <c r="M39" i="10"/>
  <c r="M43" i="10" s="1"/>
  <c r="Z144" i="9"/>
  <c r="Z36" i="5"/>
  <c r="M47" i="10" s="1"/>
  <c r="Z169" i="5"/>
  <c r="Z178" i="5" s="1"/>
  <c r="Z162" i="5"/>
  <c r="S25" i="11" l="1"/>
  <c r="Z174" i="5"/>
  <c r="Z173" i="5"/>
  <c r="N131" i="6"/>
  <c r="O131" i="6" s="1"/>
  <c r="Z176" i="5" l="1"/>
  <c r="S59" i="11"/>
  <c r="Z158" i="9"/>
  <c r="Z175" i="5"/>
  <c r="M51" i="10"/>
  <c r="M55" i="10" s="1"/>
  <c r="P131" i="6"/>
  <c r="Q131" i="6" l="1"/>
  <c r="R131" i="6" l="1"/>
  <c r="S131" i="6" l="1"/>
  <c r="T131" i="6" l="1"/>
  <c r="U131" i="6" l="1"/>
  <c r="V131" i="6" l="1"/>
  <c r="W131" i="6" l="1"/>
  <c r="X131" i="6" l="1"/>
  <c r="Y131" i="6" l="1"/>
  <c r="Z131" i="6" s="1"/>
  <c r="AA131" i="6" s="1"/>
  <c r="AB131" i="6" l="1"/>
  <c r="AC131" i="6" s="1"/>
  <c r="AD131" i="6" l="1"/>
  <c r="I57" i="7"/>
  <c r="I55" i="17"/>
  <c r="AO155" i="6"/>
  <c r="AN155" i="6"/>
  <c r="AM155" i="6"/>
  <c r="AL155" i="6"/>
  <c r="AK155" i="6"/>
  <c r="Y155" i="6"/>
  <c r="X155" i="6"/>
  <c r="W155" i="6"/>
  <c r="V155" i="6"/>
  <c r="U155" i="6"/>
  <c r="T155" i="6"/>
  <c r="S155" i="6"/>
  <c r="R155" i="6"/>
  <c r="Q155" i="6"/>
  <c r="P155" i="6"/>
  <c r="O155" i="6"/>
  <c r="N155" i="6"/>
  <c r="M155" i="6"/>
  <c r="L155" i="6"/>
  <c r="K155" i="6"/>
  <c r="J155" i="6"/>
  <c r="I155" i="6"/>
  <c r="H155" i="6"/>
  <c r="G155" i="6"/>
  <c r="F155" i="6"/>
  <c r="E155" i="6"/>
  <c r="D155" i="6"/>
  <c r="E23" i="8"/>
  <c r="D23" i="8"/>
  <c r="G31" i="8"/>
  <c r="F31" i="8"/>
  <c r="E31" i="8"/>
  <c r="G44" i="8"/>
  <c r="F44" i="8"/>
  <c r="E44" i="8"/>
  <c r="D44" i="8"/>
  <c r="D31" i="8"/>
  <c r="G16" i="8"/>
  <c r="F16" i="8"/>
  <c r="E16" i="8"/>
  <c r="D16" i="8"/>
  <c r="G8" i="8"/>
  <c r="F8" i="8"/>
  <c r="E8" i="8"/>
  <c r="D8" i="8"/>
  <c r="S87" i="8"/>
  <c r="S86" i="8"/>
  <c r="K22" i="8"/>
  <c r="K21" i="8"/>
  <c r="J22" i="8"/>
  <c r="J21" i="8"/>
  <c r="I22" i="8"/>
  <c r="I21" i="8"/>
  <c r="I76" i="8"/>
  <c r="AE131" i="6" l="1"/>
  <c r="AF131" i="6" s="1"/>
  <c r="AG131" i="6" s="1"/>
  <c r="AH131" i="6" s="1"/>
  <c r="AI131" i="6" s="1"/>
  <c r="E24" i="8"/>
  <c r="E9" i="8"/>
  <c r="F9" i="8"/>
  <c r="E45" i="8"/>
  <c r="F45" i="8"/>
  <c r="G45" i="8"/>
  <c r="E32" i="8"/>
  <c r="E63" i="17"/>
  <c r="G63" i="17"/>
  <c r="K37" i="8"/>
  <c r="F32" i="8"/>
  <c r="L37" i="8"/>
  <c r="G32" i="8"/>
  <c r="G9" i="8"/>
  <c r="G23" i="8"/>
  <c r="F23" i="8"/>
  <c r="F24" i="8" s="1"/>
  <c r="G24" i="8" l="1"/>
  <c r="K44" i="8"/>
  <c r="J44" i="8"/>
  <c r="I44" i="8"/>
  <c r="K76" i="8"/>
  <c r="J76" i="8"/>
  <c r="I31" i="8"/>
  <c r="J31" i="8"/>
  <c r="K31" i="8"/>
  <c r="AG147" i="9"/>
  <c r="AE146" i="9"/>
  <c r="S16" i="8"/>
  <c r="S8" i="8"/>
  <c r="S23" i="8"/>
  <c r="J32" i="8" l="1"/>
  <c r="J45" i="8"/>
  <c r="K45" i="8"/>
  <c r="L45" i="8"/>
  <c r="S88" i="8"/>
  <c r="K32" i="8"/>
  <c r="L32" i="8"/>
  <c r="AF146" i="9"/>
  <c r="AH147" i="9"/>
  <c r="AI147" i="9" l="1"/>
  <c r="AI146" i="9" s="1"/>
  <c r="S44" i="8" l="1"/>
  <c r="S67" i="8" l="1"/>
  <c r="S48" i="8" s="1"/>
  <c r="AA4" i="10" l="1"/>
  <c r="AB4" i="10" s="1"/>
  <c r="AC4" i="10" s="1"/>
  <c r="AD4" i="10" s="1"/>
  <c r="AE4" i="10" s="1"/>
  <c r="AF4" i="10" s="1"/>
  <c r="B3" i="10"/>
  <c r="J72" i="12" l="1"/>
  <c r="AI3" i="11"/>
  <c r="AJ3" i="11" s="1"/>
  <c r="AK3" i="11" s="1"/>
  <c r="AL3" i="11" s="1"/>
  <c r="AM3" i="11" s="1"/>
  <c r="U2" i="7"/>
  <c r="C54" i="7"/>
  <c r="D54" i="7" s="1"/>
  <c r="C4" i="7"/>
  <c r="W2518" i="7" l="1"/>
  <c r="W2512" i="7"/>
  <c r="W2504" i="7"/>
  <c r="W2496" i="7"/>
  <c r="W2488" i="7"/>
  <c r="W2480" i="7"/>
  <c r="W2472" i="7"/>
  <c r="W2464" i="7"/>
  <c r="W2456" i="7"/>
  <c r="W2448" i="7"/>
  <c r="W2440" i="7"/>
  <c r="W2432" i="7"/>
  <c r="W2424" i="7"/>
  <c r="W2416" i="7"/>
  <c r="W2408" i="7"/>
  <c r="W2400" i="7"/>
  <c r="W2392" i="7"/>
  <c r="W2384" i="7"/>
  <c r="W2376" i="7"/>
  <c r="W2368" i="7"/>
  <c r="W2360" i="7"/>
  <c r="W2352" i="7"/>
  <c r="W2344" i="7"/>
  <c r="W2336" i="7"/>
  <c r="W2328" i="7"/>
  <c r="W2320" i="7"/>
  <c r="W2312" i="7"/>
  <c r="W2304" i="7"/>
  <c r="W2296" i="7"/>
  <c r="W2288" i="7"/>
  <c r="W2280" i="7"/>
  <c r="W2272" i="7"/>
  <c r="W2264" i="7"/>
  <c r="W2256" i="7"/>
  <c r="W2248" i="7"/>
  <c r="W2240" i="7"/>
  <c r="W2232" i="7"/>
  <c r="W2224" i="7"/>
  <c r="W2216" i="7"/>
  <c r="W2208" i="7"/>
  <c r="W2200" i="7"/>
  <c r="W2192" i="7"/>
  <c r="W2184" i="7"/>
  <c r="W2176" i="7"/>
  <c r="W2168" i="7"/>
  <c r="W2160" i="7"/>
  <c r="W2152" i="7"/>
  <c r="W2144" i="7"/>
  <c r="W2136" i="7"/>
  <c r="W2128" i="7"/>
  <c r="W2120" i="7"/>
  <c r="W2112" i="7"/>
  <c r="W2104" i="7"/>
  <c r="W2096" i="7"/>
  <c r="W2088" i="7"/>
  <c r="W2080" i="7"/>
  <c r="W2072" i="7"/>
  <c r="W2064" i="7"/>
  <c r="W2056" i="7"/>
  <c r="W2048" i="7"/>
  <c r="W2040" i="7"/>
  <c r="W2032" i="7"/>
  <c r="W2024" i="7"/>
  <c r="W2016" i="7"/>
  <c r="W2008" i="7"/>
  <c r="W2000" i="7"/>
  <c r="W1992" i="7"/>
  <c r="W1984" i="7"/>
  <c r="W1976" i="7"/>
  <c r="W1968" i="7"/>
  <c r="W1960" i="7"/>
  <c r="W1952" i="7"/>
  <c r="W1944" i="7"/>
  <c r="W1936" i="7"/>
  <c r="W1928" i="7"/>
  <c r="W1920" i="7"/>
  <c r="W1912" i="7"/>
  <c r="W1904" i="7"/>
  <c r="W1896" i="7"/>
  <c r="W1888" i="7"/>
  <c r="W1880" i="7"/>
  <c r="W1872" i="7"/>
  <c r="W1864" i="7"/>
  <c r="W1856" i="7"/>
  <c r="W1848" i="7"/>
  <c r="W1840" i="7"/>
  <c r="W1832" i="7"/>
  <c r="W1824" i="7"/>
  <c r="W1816" i="7"/>
  <c r="W1808" i="7"/>
  <c r="W1800" i="7"/>
  <c r="W1792" i="7"/>
  <c r="W1784" i="7"/>
  <c r="W1776" i="7"/>
  <c r="W1768" i="7"/>
  <c r="W1760" i="7"/>
  <c r="W1752" i="7"/>
  <c r="W1744" i="7"/>
  <c r="W1736" i="7"/>
  <c r="W1728" i="7"/>
  <c r="W1720" i="7"/>
  <c r="W1712" i="7"/>
  <c r="W1704" i="7"/>
  <c r="W1696" i="7"/>
  <c r="W1688" i="7"/>
  <c r="W1680" i="7"/>
  <c r="W1672" i="7"/>
  <c r="W1664" i="7"/>
  <c r="W1656" i="7"/>
  <c r="W1648" i="7"/>
  <c r="W1640" i="7"/>
  <c r="W1632" i="7"/>
  <c r="W1624" i="7"/>
  <c r="W1616" i="7"/>
  <c r="W1608" i="7"/>
  <c r="W1600" i="7"/>
  <c r="W1592" i="7"/>
  <c r="W1584" i="7"/>
  <c r="W1576" i="7"/>
  <c r="W1568" i="7"/>
  <c r="W1560" i="7"/>
  <c r="W1552" i="7"/>
  <c r="W1544" i="7"/>
  <c r="W1536" i="7"/>
  <c r="W1528" i="7"/>
  <c r="W1520" i="7"/>
  <c r="W1512" i="7"/>
  <c r="W1504" i="7"/>
  <c r="W1496" i="7"/>
  <c r="W1488" i="7"/>
  <c r="W1480" i="7"/>
  <c r="W1472" i="7"/>
  <c r="W1464" i="7"/>
  <c r="W1456" i="7"/>
  <c r="W1448" i="7"/>
  <c r="W1440" i="7"/>
  <c r="W1432" i="7"/>
  <c r="W1424" i="7"/>
  <c r="W1416" i="7"/>
  <c r="W1408" i="7"/>
  <c r="W1400" i="7"/>
  <c r="W1392" i="7"/>
  <c r="W1384" i="7"/>
  <c r="W1376" i="7"/>
  <c r="W1368" i="7"/>
  <c r="W1360" i="7"/>
  <c r="W1352" i="7"/>
  <c r="W1344" i="7"/>
  <c r="W1336" i="7"/>
  <c r="W1328" i="7"/>
  <c r="W1320" i="7"/>
  <c r="W1312" i="7"/>
  <c r="W1304" i="7"/>
  <c r="W1296" i="7"/>
  <c r="W1288" i="7"/>
  <c r="W1280" i="7"/>
  <c r="W1272" i="7"/>
  <c r="W1264" i="7"/>
  <c r="W1256" i="7"/>
  <c r="W1248" i="7"/>
  <c r="W1240" i="7"/>
  <c r="W1232" i="7"/>
  <c r="W1224" i="7"/>
  <c r="W1216" i="7"/>
  <c r="W1208" i="7"/>
  <c r="W1200" i="7"/>
  <c r="W1192" i="7"/>
  <c r="W1184" i="7"/>
  <c r="W1176" i="7"/>
  <c r="W1168" i="7"/>
  <c r="W1160" i="7"/>
  <c r="W2511" i="7"/>
  <c r="W2503" i="7"/>
  <c r="W2495" i="7"/>
  <c r="W2487" i="7"/>
  <c r="W2479" i="7"/>
  <c r="W2471" i="7"/>
  <c r="W2463" i="7"/>
  <c r="W2455" i="7"/>
  <c r="W2447" i="7"/>
  <c r="W2439" i="7"/>
  <c r="W2431" i="7"/>
  <c r="W2423" i="7"/>
  <c r="W2415" i="7"/>
  <c r="W2407" i="7"/>
  <c r="W2399" i="7"/>
  <c r="W2391" i="7"/>
  <c r="W2383" i="7"/>
  <c r="W2375" i="7"/>
  <c r="W2367" i="7"/>
  <c r="W2359" i="7"/>
  <c r="W2351" i="7"/>
  <c r="W2343" i="7"/>
  <c r="W2335" i="7"/>
  <c r="W2327" i="7"/>
  <c r="W2319" i="7"/>
  <c r="W2311" i="7"/>
  <c r="W2303" i="7"/>
  <c r="W2295" i="7"/>
  <c r="W2287" i="7"/>
  <c r="W2279" i="7"/>
  <c r="W2271" i="7"/>
  <c r="W2263" i="7"/>
  <c r="W2255" i="7"/>
  <c r="W2247" i="7"/>
  <c r="W2239" i="7"/>
  <c r="W2231" i="7"/>
  <c r="W2223" i="7"/>
  <c r="W2215" i="7"/>
  <c r="W2207" i="7"/>
  <c r="W2199" i="7"/>
  <c r="W2191" i="7"/>
  <c r="W2183" i="7"/>
  <c r="W2175" i="7"/>
  <c r="W2167" i="7"/>
  <c r="W2159" i="7"/>
  <c r="W2151" i="7"/>
  <c r="W2143" i="7"/>
  <c r="W2135" i="7"/>
  <c r="W2127" i="7"/>
  <c r="W2119" i="7"/>
  <c r="W2111" i="7"/>
  <c r="W2103" i="7"/>
  <c r="W2095" i="7"/>
  <c r="W2087" i="7"/>
  <c r="W2079" i="7"/>
  <c r="W2071" i="7"/>
  <c r="W2063" i="7"/>
  <c r="W2055" i="7"/>
  <c r="W2047" i="7"/>
  <c r="W2039" i="7"/>
  <c r="W2031" i="7"/>
  <c r="W2023" i="7"/>
  <c r="W2015" i="7"/>
  <c r="W2007" i="7"/>
  <c r="W1999" i="7"/>
  <c r="W1991" i="7"/>
  <c r="W1983" i="7"/>
  <c r="W1975" i="7"/>
  <c r="W1967" i="7"/>
  <c r="W1959" i="7"/>
  <c r="W1951" i="7"/>
  <c r="W1943" i="7"/>
  <c r="W1935" i="7"/>
  <c r="W1927" i="7"/>
  <c r="W1919" i="7"/>
  <c r="W1911" i="7"/>
  <c r="W1903" i="7"/>
  <c r="W1895" i="7"/>
  <c r="W1887" i="7"/>
  <c r="W1879" i="7"/>
  <c r="W1871" i="7"/>
  <c r="W1863" i="7"/>
  <c r="W1855" i="7"/>
  <c r="W1847" i="7"/>
  <c r="W1839" i="7"/>
  <c r="W1831" i="7"/>
  <c r="W1823" i="7"/>
  <c r="W1815" i="7"/>
  <c r="W1807" i="7"/>
  <c r="W1799" i="7"/>
  <c r="W1791" i="7"/>
  <c r="W1783" i="7"/>
  <c r="W1775" i="7"/>
  <c r="W1767" i="7"/>
  <c r="W1759" i="7"/>
  <c r="W1751" i="7"/>
  <c r="W1743" i="7"/>
  <c r="W1735" i="7"/>
  <c r="W1727" i="7"/>
  <c r="W1719" i="7"/>
  <c r="W1711" i="7"/>
  <c r="W1703" i="7"/>
  <c r="W1695" i="7"/>
  <c r="W1687" i="7"/>
  <c r="W1679" i="7"/>
  <c r="W1671" i="7"/>
  <c r="W1663" i="7"/>
  <c r="W1655" i="7"/>
  <c r="W1647" i="7"/>
  <c r="W1639" i="7"/>
  <c r="W1631" i="7"/>
  <c r="W1623" i="7"/>
  <c r="W1615" i="7"/>
  <c r="W1607" i="7"/>
  <c r="W1599" i="7"/>
  <c r="W1591" i="7"/>
  <c r="W1583" i="7"/>
  <c r="W1575" i="7"/>
  <c r="W1567" i="7"/>
  <c r="W1559" i="7"/>
  <c r="W1551" i="7"/>
  <c r="W1543" i="7"/>
  <c r="W1535" i="7"/>
  <c r="W1527" i="7"/>
  <c r="W2510" i="7"/>
  <c r="W2502" i="7"/>
  <c r="W2494" i="7"/>
  <c r="W2486" i="7"/>
  <c r="W2478" i="7"/>
  <c r="W2470" i="7"/>
  <c r="W2462" i="7"/>
  <c r="W2454" i="7"/>
  <c r="W2446" i="7"/>
  <c r="W2438" i="7"/>
  <c r="W2430" i="7"/>
  <c r="W2422" i="7"/>
  <c r="W2414" i="7"/>
  <c r="W2406" i="7"/>
  <c r="W2398" i="7"/>
  <c r="W2390" i="7"/>
  <c r="W2382" i="7"/>
  <c r="W2374" i="7"/>
  <c r="W2366" i="7"/>
  <c r="W2358" i="7"/>
  <c r="W2350" i="7"/>
  <c r="W2342" i="7"/>
  <c r="W2334" i="7"/>
  <c r="W2326" i="7"/>
  <c r="W2318" i="7"/>
  <c r="W2310" i="7"/>
  <c r="W2302" i="7"/>
  <c r="W2294" i="7"/>
  <c r="W2286" i="7"/>
  <c r="W2278" i="7"/>
  <c r="W2270" i="7"/>
  <c r="W2262" i="7"/>
  <c r="W2254" i="7"/>
  <c r="W2246" i="7"/>
  <c r="W2238" i="7"/>
  <c r="W2230" i="7"/>
  <c r="W2222" i="7"/>
  <c r="W2214" i="7"/>
  <c r="W2206" i="7"/>
  <c r="W2198" i="7"/>
  <c r="W2190" i="7"/>
  <c r="W2182" i="7"/>
  <c r="W2174" i="7"/>
  <c r="W2166" i="7"/>
  <c r="W2158" i="7"/>
  <c r="W2150" i="7"/>
  <c r="W2142" i="7"/>
  <c r="W2134" i="7"/>
  <c r="W2126" i="7"/>
  <c r="W2118" i="7"/>
  <c r="W2110" i="7"/>
  <c r="W2102" i="7"/>
  <c r="W2094" i="7"/>
  <c r="W2086" i="7"/>
  <c r="W2078" i="7"/>
  <c r="W2070" i="7"/>
  <c r="W2062" i="7"/>
  <c r="W2054" i="7"/>
  <c r="W2046" i="7"/>
  <c r="W2038" i="7"/>
  <c r="W2030" i="7"/>
  <c r="W2022" i="7"/>
  <c r="W2014" i="7"/>
  <c r="W2006" i="7"/>
  <c r="W1998" i="7"/>
  <c r="W1990" i="7"/>
  <c r="W1982" i="7"/>
  <c r="W1974" i="7"/>
  <c r="W1966" i="7"/>
  <c r="W1958" i="7"/>
  <c r="W1950" i="7"/>
  <c r="W1942" i="7"/>
  <c r="W1934" i="7"/>
  <c r="W1926" i="7"/>
  <c r="W1918" i="7"/>
  <c r="W1910" i="7"/>
  <c r="W1902" i="7"/>
  <c r="W1894" i="7"/>
  <c r="W1886" i="7"/>
  <c r="W1878" i="7"/>
  <c r="W1870" i="7"/>
  <c r="W1862" i="7"/>
  <c r="W1854" i="7"/>
  <c r="W1846" i="7"/>
  <c r="W1838" i="7"/>
  <c r="W1830" i="7"/>
  <c r="W1822" i="7"/>
  <c r="W1814" i="7"/>
  <c r="W1806" i="7"/>
  <c r="W1798" i="7"/>
  <c r="W1790" i="7"/>
  <c r="W1782" i="7"/>
  <c r="W1774" i="7"/>
  <c r="W1766" i="7"/>
  <c r="W1758" i="7"/>
  <c r="W1750" i="7"/>
  <c r="W1742" i="7"/>
  <c r="W1734" i="7"/>
  <c r="W1726" i="7"/>
  <c r="W1718" i="7"/>
  <c r="W1710" i="7"/>
  <c r="W1702" i="7"/>
  <c r="W1694" i="7"/>
  <c r="W1686" i="7"/>
  <c r="W1678" i="7"/>
  <c r="W1670" i="7"/>
  <c r="W1662" i="7"/>
  <c r="W1654" i="7"/>
  <c r="W1646" i="7"/>
  <c r="W1638" i="7"/>
  <c r="W1630" i="7"/>
  <c r="W1622" i="7"/>
  <c r="W1614" i="7"/>
  <c r="W1606" i="7"/>
  <c r="W1598" i="7"/>
  <c r="W1590" i="7"/>
  <c r="W1582" i="7"/>
  <c r="W1574" i="7"/>
  <c r="W1566" i="7"/>
  <c r="W1558" i="7"/>
  <c r="W1550" i="7"/>
  <c r="W1542" i="7"/>
  <c r="W1534" i="7"/>
  <c r="W1526" i="7"/>
  <c r="W1518" i="7"/>
  <c r="W1510" i="7"/>
  <c r="W1502" i="7"/>
  <c r="W1494" i="7"/>
  <c r="W1486" i="7"/>
  <c r="W1478" i="7"/>
  <c r="W1470" i="7"/>
  <c r="W1462" i="7"/>
  <c r="W1454" i="7"/>
  <c r="W1446" i="7"/>
  <c r="W1438" i="7"/>
  <c r="W1430" i="7"/>
  <c r="W1422" i="7"/>
  <c r="W1414" i="7"/>
  <c r="W1406" i="7"/>
  <c r="W1398" i="7"/>
  <c r="W1390" i="7"/>
  <c r="W1382" i="7"/>
  <c r="W2517" i="7"/>
  <c r="W2509" i="7"/>
  <c r="W2501" i="7"/>
  <c r="W2493" i="7"/>
  <c r="W2485" i="7"/>
  <c r="W2477" i="7"/>
  <c r="W2469" i="7"/>
  <c r="W2461" i="7"/>
  <c r="W2453" i="7"/>
  <c r="W2445" i="7"/>
  <c r="W2437" i="7"/>
  <c r="W2429" i="7"/>
  <c r="W2421" i="7"/>
  <c r="W2413" i="7"/>
  <c r="W2405" i="7"/>
  <c r="W2397" i="7"/>
  <c r="W2389" i="7"/>
  <c r="W2381" i="7"/>
  <c r="W2373" i="7"/>
  <c r="W2365" i="7"/>
  <c r="W2357" i="7"/>
  <c r="W2349" i="7"/>
  <c r="W2341" i="7"/>
  <c r="W2333" i="7"/>
  <c r="W2325" i="7"/>
  <c r="W2317" i="7"/>
  <c r="W2309" i="7"/>
  <c r="W2301" i="7"/>
  <c r="W2293" i="7"/>
  <c r="W2285" i="7"/>
  <c r="W2277" i="7"/>
  <c r="W2269" i="7"/>
  <c r="W2261" i="7"/>
  <c r="W2253" i="7"/>
  <c r="W2245" i="7"/>
  <c r="W2237" i="7"/>
  <c r="W2229" i="7"/>
  <c r="W2221" i="7"/>
  <c r="W2213" i="7"/>
  <c r="W2205" i="7"/>
  <c r="W2197" i="7"/>
  <c r="W2189" i="7"/>
  <c r="W2181" i="7"/>
  <c r="W2173" i="7"/>
  <c r="W2165" i="7"/>
  <c r="W2157" i="7"/>
  <c r="W2149" i="7"/>
  <c r="W2141" i="7"/>
  <c r="W2133" i="7"/>
  <c r="W2125" i="7"/>
  <c r="W2117" i="7"/>
  <c r="W2109" i="7"/>
  <c r="W2101" i="7"/>
  <c r="W2093" i="7"/>
  <c r="W2085" i="7"/>
  <c r="W2077" i="7"/>
  <c r="W2069" i="7"/>
  <c r="W2061" i="7"/>
  <c r="W2053" i="7"/>
  <c r="W2045" i="7"/>
  <c r="W2037" i="7"/>
  <c r="W2029" i="7"/>
  <c r="W2021" i="7"/>
  <c r="W2013" i="7"/>
  <c r="W2005" i="7"/>
  <c r="W1997" i="7"/>
  <c r="W1989" i="7"/>
  <c r="W1981" i="7"/>
  <c r="W1973" i="7"/>
  <c r="W1965" i="7"/>
  <c r="W1957" i="7"/>
  <c r="W1949" i="7"/>
  <c r="W1941" i="7"/>
  <c r="W1933" i="7"/>
  <c r="W1925" i="7"/>
  <c r="W1917" i="7"/>
  <c r="W1909" i="7"/>
  <c r="W1901" i="7"/>
  <c r="W1893" i="7"/>
  <c r="W1885" i="7"/>
  <c r="W1877" i="7"/>
  <c r="W1869" i="7"/>
  <c r="W1861" i="7"/>
  <c r="W1853" i="7"/>
  <c r="W1845" i="7"/>
  <c r="W1837" i="7"/>
  <c r="W1829" i="7"/>
  <c r="W1821" i="7"/>
  <c r="W1813" i="7"/>
  <c r="W1805" i="7"/>
  <c r="W1797" i="7"/>
  <c r="W1789" i="7"/>
  <c r="W1781" i="7"/>
  <c r="W1773" i="7"/>
  <c r="W1765" i="7"/>
  <c r="W1757" i="7"/>
  <c r="W1749" i="7"/>
  <c r="W1741" i="7"/>
  <c r="W1733" i="7"/>
  <c r="W1725" i="7"/>
  <c r="W1717" i="7"/>
  <c r="W1709" i="7"/>
  <c r="W1701" i="7"/>
  <c r="W1693" i="7"/>
  <c r="W1685" i="7"/>
  <c r="W1677" i="7"/>
  <c r="W1669" i="7"/>
  <c r="W1661" i="7"/>
  <c r="W1653" i="7"/>
  <c r="W1645" i="7"/>
  <c r="W1637" i="7"/>
  <c r="W1629" i="7"/>
  <c r="W1621" i="7"/>
  <c r="W1613" i="7"/>
  <c r="W1605" i="7"/>
  <c r="W1597" i="7"/>
  <c r="W1589" i="7"/>
  <c r="W1581" i="7"/>
  <c r="W1573" i="7"/>
  <c r="W1565" i="7"/>
  <c r="W1557" i="7"/>
  <c r="W2516" i="7"/>
  <c r="W2508" i="7"/>
  <c r="W2500" i="7"/>
  <c r="W2492" i="7"/>
  <c r="W2484" i="7"/>
  <c r="W2476" i="7"/>
  <c r="W2468" i="7"/>
  <c r="W2460" i="7"/>
  <c r="W2452" i="7"/>
  <c r="W2444" i="7"/>
  <c r="W2436" i="7"/>
  <c r="W2428" i="7"/>
  <c r="W2420" i="7"/>
  <c r="W2412" i="7"/>
  <c r="W2404" i="7"/>
  <c r="W2396" i="7"/>
  <c r="W2388" i="7"/>
  <c r="W2380" i="7"/>
  <c r="W2372" i="7"/>
  <c r="W2364" i="7"/>
  <c r="W2356" i="7"/>
  <c r="W2348" i="7"/>
  <c r="W2340" i="7"/>
  <c r="W2332" i="7"/>
  <c r="W2324" i="7"/>
  <c r="W2316" i="7"/>
  <c r="W2308" i="7"/>
  <c r="W2300" i="7"/>
  <c r="W2292" i="7"/>
  <c r="W2284" i="7"/>
  <c r="W2276" i="7"/>
  <c r="W2268" i="7"/>
  <c r="W2260" i="7"/>
  <c r="W2252" i="7"/>
  <c r="W2244" i="7"/>
  <c r="W2236" i="7"/>
  <c r="W2228" i="7"/>
  <c r="W2220" i="7"/>
  <c r="W2212" i="7"/>
  <c r="W2204" i="7"/>
  <c r="W2196" i="7"/>
  <c r="W2188" i="7"/>
  <c r="W2180" i="7"/>
  <c r="W2172" i="7"/>
  <c r="W2164" i="7"/>
  <c r="W2156" i="7"/>
  <c r="W2148" i="7"/>
  <c r="W2140" i="7"/>
  <c r="W2132" i="7"/>
  <c r="W2124" i="7"/>
  <c r="W2116" i="7"/>
  <c r="W2108" i="7"/>
  <c r="W2100" i="7"/>
  <c r="W2092" i="7"/>
  <c r="W2084" i="7"/>
  <c r="W2076" i="7"/>
  <c r="W2068" i="7"/>
  <c r="W2060" i="7"/>
  <c r="W2052" i="7"/>
  <c r="W2044" i="7"/>
  <c r="W2036" i="7"/>
  <c r="W2028" i="7"/>
  <c r="W2020" i="7"/>
  <c r="W2012" i="7"/>
  <c r="W2004" i="7"/>
  <c r="W1996" i="7"/>
  <c r="W1988" i="7"/>
  <c r="W1980" i="7"/>
  <c r="W1972" i="7"/>
  <c r="W1964" i="7"/>
  <c r="W1956" i="7"/>
  <c r="W1948" i="7"/>
  <c r="W1940" i="7"/>
  <c r="W1932" i="7"/>
  <c r="W1924" i="7"/>
  <c r="W1916" i="7"/>
  <c r="W1908" i="7"/>
  <c r="W1900" i="7"/>
  <c r="W1892" i="7"/>
  <c r="W1884" i="7"/>
  <c r="W1876" i="7"/>
  <c r="W1868" i="7"/>
  <c r="W1860" i="7"/>
  <c r="W1852" i="7"/>
  <c r="W1844" i="7"/>
  <c r="W1836" i="7"/>
  <c r="W1828" i="7"/>
  <c r="W1820" i="7"/>
  <c r="W1812" i="7"/>
  <c r="W1804" i="7"/>
  <c r="W1796" i="7"/>
  <c r="W1788" i="7"/>
  <c r="W1780" i="7"/>
  <c r="W1772" i="7"/>
  <c r="W1764" i="7"/>
  <c r="W1756" i="7"/>
  <c r="W1748" i="7"/>
  <c r="W1740" i="7"/>
  <c r="W1732" i="7"/>
  <c r="W1724" i="7"/>
  <c r="W1716" i="7"/>
  <c r="W1708" i="7"/>
  <c r="W1700" i="7"/>
  <c r="W1692" i="7"/>
  <c r="W1684" i="7"/>
  <c r="W1676" i="7"/>
  <c r="W1668" i="7"/>
  <c r="W1660" i="7"/>
  <c r="W1652" i="7"/>
  <c r="W1644" i="7"/>
  <c r="W1636" i="7"/>
  <c r="W1628" i="7"/>
  <c r="W1620" i="7"/>
  <c r="W1612" i="7"/>
  <c r="W1604" i="7"/>
  <c r="W1596" i="7"/>
  <c r="W1588" i="7"/>
  <c r="W1580" i="7"/>
  <c r="W1572" i="7"/>
  <c r="W1564" i="7"/>
  <c r="W1556" i="7"/>
  <c r="W1548" i="7"/>
  <c r="W1540" i="7"/>
  <c r="W1532" i="7"/>
  <c r="W1524" i="7"/>
  <c r="W1516" i="7"/>
  <c r="W1508" i="7"/>
  <c r="W1500" i="7"/>
  <c r="W1492" i="7"/>
  <c r="W1484" i="7"/>
  <c r="W1476" i="7"/>
  <c r="W1468" i="7"/>
  <c r="W1460" i="7"/>
  <c r="W1452" i="7"/>
  <c r="W1444" i="7"/>
  <c r="W1436" i="7"/>
  <c r="W1428" i="7"/>
  <c r="W1420" i="7"/>
  <c r="W1412" i="7"/>
  <c r="W1404" i="7"/>
  <c r="W1396" i="7"/>
  <c r="W1388" i="7"/>
  <c r="W1380" i="7"/>
  <c r="W1372" i="7"/>
  <c r="W1364" i="7"/>
  <c r="W1356" i="7"/>
  <c r="W1348" i="7"/>
  <c r="W1340" i="7"/>
  <c r="W1332" i="7"/>
  <c r="W1324" i="7"/>
  <c r="W1316" i="7"/>
  <c r="W2505" i="7"/>
  <c r="W2482" i="7"/>
  <c r="W2459" i="7"/>
  <c r="W2441" i="7"/>
  <c r="W2418" i="7"/>
  <c r="W2395" i="7"/>
  <c r="W2377" i="7"/>
  <c r="W2354" i="7"/>
  <c r="W2331" i="7"/>
  <c r="W2313" i="7"/>
  <c r="W2290" i="7"/>
  <c r="W2267" i="7"/>
  <c r="W2249" i="7"/>
  <c r="W2226" i="7"/>
  <c r="W2203" i="7"/>
  <c r="W2185" i="7"/>
  <c r="W2162" i="7"/>
  <c r="W2139" i="7"/>
  <c r="W2121" i="7"/>
  <c r="W2098" i="7"/>
  <c r="W2075" i="7"/>
  <c r="W2057" i="7"/>
  <c r="W2034" i="7"/>
  <c r="W2011" i="7"/>
  <c r="W1993" i="7"/>
  <c r="W1970" i="7"/>
  <c r="W1947" i="7"/>
  <c r="W1929" i="7"/>
  <c r="W1906" i="7"/>
  <c r="W1883" i="7"/>
  <c r="W1865" i="7"/>
  <c r="W1842" i="7"/>
  <c r="W1819" i="7"/>
  <c r="W1801" i="7"/>
  <c r="W1778" i="7"/>
  <c r="W1755" i="7"/>
  <c r="W1737" i="7"/>
  <c r="W1714" i="7"/>
  <c r="W1691" i="7"/>
  <c r="W1673" i="7"/>
  <c r="W1650" i="7"/>
  <c r="W1627" i="7"/>
  <c r="W1609" i="7"/>
  <c r="W1586" i="7"/>
  <c r="W1563" i="7"/>
  <c r="W1546" i="7"/>
  <c r="W1530" i="7"/>
  <c r="W1515" i="7"/>
  <c r="W1503" i="7"/>
  <c r="W1490" i="7"/>
  <c r="W1477" i="7"/>
  <c r="W1465" i="7"/>
  <c r="W1451" i="7"/>
  <c r="W1439" i="7"/>
  <c r="W1426" i="7"/>
  <c r="W1413" i="7"/>
  <c r="W1401" i="7"/>
  <c r="W1387" i="7"/>
  <c r="W1375" i="7"/>
  <c r="W1365" i="7"/>
  <c r="W1354" i="7"/>
  <c r="W1343" i="7"/>
  <c r="W1333" i="7"/>
  <c r="W1322" i="7"/>
  <c r="W1311" i="7"/>
  <c r="W1302" i="7"/>
  <c r="W1293" i="7"/>
  <c r="W1284" i="7"/>
  <c r="W1275" i="7"/>
  <c r="W1266" i="7"/>
  <c r="W1257" i="7"/>
  <c r="W1247" i="7"/>
  <c r="W1238" i="7"/>
  <c r="W1229" i="7"/>
  <c r="W1220" i="7"/>
  <c r="W1211" i="7"/>
  <c r="W1202" i="7"/>
  <c r="W1193" i="7"/>
  <c r="W1183" i="7"/>
  <c r="W1174" i="7"/>
  <c r="W1165" i="7"/>
  <c r="W1156" i="7"/>
  <c r="W1148" i="7"/>
  <c r="W1140" i="7"/>
  <c r="W1132" i="7"/>
  <c r="W1124" i="7"/>
  <c r="W1116" i="7"/>
  <c r="W1108" i="7"/>
  <c r="W1100" i="7"/>
  <c r="W1092" i="7"/>
  <c r="W1084" i="7"/>
  <c r="W1076" i="7"/>
  <c r="W1068" i="7"/>
  <c r="W1060" i="7"/>
  <c r="W1052" i="7"/>
  <c r="W1044" i="7"/>
  <c r="W1036" i="7"/>
  <c r="W1028" i="7"/>
  <c r="W1020" i="7"/>
  <c r="W1012" i="7"/>
  <c r="W1004" i="7"/>
  <c r="W996" i="7"/>
  <c r="W988" i="7"/>
  <c r="W980" i="7"/>
  <c r="W972" i="7"/>
  <c r="W964" i="7"/>
  <c r="W956" i="7"/>
  <c r="W948" i="7"/>
  <c r="W940" i="7"/>
  <c r="W932" i="7"/>
  <c r="W924" i="7"/>
  <c r="W916" i="7"/>
  <c r="W908" i="7"/>
  <c r="W900" i="7"/>
  <c r="W892" i="7"/>
  <c r="W884" i="7"/>
  <c r="W876" i="7"/>
  <c r="W868" i="7"/>
  <c r="W860" i="7"/>
  <c r="W852" i="7"/>
  <c r="W844" i="7"/>
  <c r="W836" i="7"/>
  <c r="W828" i="7"/>
  <c r="W820" i="7"/>
  <c r="W812" i="7"/>
  <c r="W804" i="7"/>
  <c r="W796" i="7"/>
  <c r="W788" i="7"/>
  <c r="W780" i="7"/>
  <c r="W772" i="7"/>
  <c r="W764" i="7"/>
  <c r="W756" i="7"/>
  <c r="W748" i="7"/>
  <c r="W740" i="7"/>
  <c r="W732" i="7"/>
  <c r="W724" i="7"/>
  <c r="W716" i="7"/>
  <c r="W708" i="7"/>
  <c r="W700" i="7"/>
  <c r="W692" i="7"/>
  <c r="W684" i="7"/>
  <c r="W676" i="7"/>
  <c r="W668" i="7"/>
  <c r="W660" i="7"/>
  <c r="W652" i="7"/>
  <c r="W644" i="7"/>
  <c r="W636" i="7"/>
  <c r="W628" i="7"/>
  <c r="W620" i="7"/>
  <c r="W612" i="7"/>
  <c r="W604" i="7"/>
  <c r="W596" i="7"/>
  <c r="W588" i="7"/>
  <c r="W580" i="7"/>
  <c r="W572" i="7"/>
  <c r="W564" i="7"/>
  <c r="W556" i="7"/>
  <c r="W548" i="7"/>
  <c r="W540" i="7"/>
  <c r="W532" i="7"/>
  <c r="W524" i="7"/>
  <c r="W516" i="7"/>
  <c r="W508" i="7"/>
  <c r="W500" i="7"/>
  <c r="W492" i="7"/>
  <c r="W484" i="7"/>
  <c r="W2499" i="7"/>
  <c r="W2481" i="7"/>
  <c r="W2458" i="7"/>
  <c r="W2435" i="7"/>
  <c r="W2417" i="7"/>
  <c r="W2394" i="7"/>
  <c r="W2371" i="7"/>
  <c r="W2353" i="7"/>
  <c r="W2330" i="7"/>
  <c r="W2307" i="7"/>
  <c r="W2289" i="7"/>
  <c r="W2266" i="7"/>
  <c r="W2243" i="7"/>
  <c r="W2225" i="7"/>
  <c r="W2202" i="7"/>
  <c r="W2179" i="7"/>
  <c r="W2161" i="7"/>
  <c r="W2138" i="7"/>
  <c r="W2115" i="7"/>
  <c r="W2097" i="7"/>
  <c r="W2074" i="7"/>
  <c r="W2051" i="7"/>
  <c r="W2033" i="7"/>
  <c r="W2010" i="7"/>
  <c r="W1987" i="7"/>
  <c r="W1969" i="7"/>
  <c r="W1946" i="7"/>
  <c r="W1923" i="7"/>
  <c r="W1905" i="7"/>
  <c r="W1882" i="7"/>
  <c r="W1859" i="7"/>
  <c r="W1841" i="7"/>
  <c r="W1818" i="7"/>
  <c r="W1795" i="7"/>
  <c r="W1777" i="7"/>
  <c r="W1754" i="7"/>
  <c r="W1731" i="7"/>
  <c r="W1713" i="7"/>
  <c r="W1690" i="7"/>
  <c r="W1667" i="7"/>
  <c r="W1649" i="7"/>
  <c r="W1626" i="7"/>
  <c r="W1603" i="7"/>
  <c r="W1585" i="7"/>
  <c r="W1562" i="7"/>
  <c r="W1545" i="7"/>
  <c r="W1529" i="7"/>
  <c r="W1514" i="7"/>
  <c r="W1501" i="7"/>
  <c r="W1489" i="7"/>
  <c r="W1475" i="7"/>
  <c r="W1463" i="7"/>
  <c r="W1450" i="7"/>
  <c r="W1437" i="7"/>
  <c r="W1425" i="7"/>
  <c r="W1411" i="7"/>
  <c r="W1399" i="7"/>
  <c r="W1386" i="7"/>
  <c r="W1374" i="7"/>
  <c r="W1363" i="7"/>
  <c r="W1353" i="7"/>
  <c r="W1342" i="7"/>
  <c r="W1331" i="7"/>
  <c r="W1321" i="7"/>
  <c r="W1310" i="7"/>
  <c r="W1301" i="7"/>
  <c r="W1292" i="7"/>
  <c r="W1283" i="7"/>
  <c r="W1274" i="7"/>
  <c r="W1265" i="7"/>
  <c r="W1255" i="7"/>
  <c r="W1246" i="7"/>
  <c r="W1237" i="7"/>
  <c r="W1228" i="7"/>
  <c r="W1219" i="7"/>
  <c r="W1210" i="7"/>
  <c r="W1201" i="7"/>
  <c r="W1191" i="7"/>
  <c r="W1182" i="7"/>
  <c r="W1173" i="7"/>
  <c r="W1164" i="7"/>
  <c r="W1155" i="7"/>
  <c r="W1147" i="7"/>
  <c r="W1139" i="7"/>
  <c r="W1131" i="7"/>
  <c r="W1123" i="7"/>
  <c r="W1115" i="7"/>
  <c r="W1107" i="7"/>
  <c r="W1099" i="7"/>
  <c r="W1091" i="7"/>
  <c r="W1083" i="7"/>
  <c r="W1075" i="7"/>
  <c r="W1067" i="7"/>
  <c r="W1059" i="7"/>
  <c r="W1051" i="7"/>
  <c r="W1043" i="7"/>
  <c r="W1035" i="7"/>
  <c r="W1027" i="7"/>
  <c r="W1019" i="7"/>
  <c r="W1011" i="7"/>
  <c r="W1003" i="7"/>
  <c r="W995" i="7"/>
  <c r="W987" i="7"/>
  <c r="W979" i="7"/>
  <c r="W971" i="7"/>
  <c r="W963" i="7"/>
  <c r="W955" i="7"/>
  <c r="W947" i="7"/>
  <c r="W939" i="7"/>
  <c r="W931" i="7"/>
  <c r="W923" i="7"/>
  <c r="W915" i="7"/>
  <c r="W907" i="7"/>
  <c r="W899" i="7"/>
  <c r="W891" i="7"/>
  <c r="W883" i="7"/>
  <c r="W875" i="7"/>
  <c r="W867" i="7"/>
  <c r="W859" i="7"/>
  <c r="W851" i="7"/>
  <c r="W843" i="7"/>
  <c r="W835" i="7"/>
  <c r="W827" i="7"/>
  <c r="W819" i="7"/>
  <c r="W811" i="7"/>
  <c r="W803" i="7"/>
  <c r="W795" i="7"/>
  <c r="W787" i="7"/>
  <c r="W779" i="7"/>
  <c r="W771" i="7"/>
  <c r="W763" i="7"/>
  <c r="W755" i="7"/>
  <c r="W747" i="7"/>
  <c r="W739" i="7"/>
  <c r="W731" i="7"/>
  <c r="W723" i="7"/>
  <c r="W715" i="7"/>
  <c r="W707" i="7"/>
  <c r="W699" i="7"/>
  <c r="W691" i="7"/>
  <c r="W683" i="7"/>
  <c r="W675" i="7"/>
  <c r="W667" i="7"/>
  <c r="W659" i="7"/>
  <c r="W651" i="7"/>
  <c r="W643" i="7"/>
  <c r="W635" i="7"/>
  <c r="W627" i="7"/>
  <c r="W619" i="7"/>
  <c r="W611" i="7"/>
  <c r="W603" i="7"/>
  <c r="W595" i="7"/>
  <c r="W587" i="7"/>
  <c r="W579" i="7"/>
  <c r="W571" i="7"/>
  <c r="W563" i="7"/>
  <c r="W555" i="7"/>
  <c r="W547" i="7"/>
  <c r="W539" i="7"/>
  <c r="W531" i="7"/>
  <c r="W523" i="7"/>
  <c r="W515" i="7"/>
  <c r="W507" i="7"/>
  <c r="W499" i="7"/>
  <c r="W2498" i="7"/>
  <c r="W2475" i="7"/>
  <c r="W2457" i="7"/>
  <c r="W2434" i="7"/>
  <c r="W2411" i="7"/>
  <c r="W2393" i="7"/>
  <c r="W2370" i="7"/>
  <c r="W2347" i="7"/>
  <c r="W2329" i="7"/>
  <c r="W2306" i="7"/>
  <c r="W2283" i="7"/>
  <c r="W2265" i="7"/>
  <c r="W2242" i="7"/>
  <c r="W2219" i="7"/>
  <c r="W2201" i="7"/>
  <c r="W2178" i="7"/>
  <c r="W2155" i="7"/>
  <c r="W2137" i="7"/>
  <c r="W2114" i="7"/>
  <c r="W2091" i="7"/>
  <c r="W2073" i="7"/>
  <c r="W2050" i="7"/>
  <c r="W2027" i="7"/>
  <c r="W2009" i="7"/>
  <c r="W1986" i="7"/>
  <c r="W1963" i="7"/>
  <c r="W1945" i="7"/>
  <c r="W1922" i="7"/>
  <c r="W1899" i="7"/>
  <c r="W1881" i="7"/>
  <c r="W1858" i="7"/>
  <c r="W1835" i="7"/>
  <c r="W1817" i="7"/>
  <c r="W1794" i="7"/>
  <c r="W1771" i="7"/>
  <c r="W1753" i="7"/>
  <c r="W1730" i="7"/>
  <c r="W1707" i="7"/>
  <c r="W1689" i="7"/>
  <c r="W1666" i="7"/>
  <c r="W1643" i="7"/>
  <c r="W1625" i="7"/>
  <c r="W1602" i="7"/>
  <c r="W1579" i="7"/>
  <c r="W1561" i="7"/>
  <c r="W1541" i="7"/>
  <c r="W1525" i="7"/>
  <c r="W1513" i="7"/>
  <c r="W1499" i="7"/>
  <c r="W1487" i="7"/>
  <c r="W1474" i="7"/>
  <c r="W1461" i="7"/>
  <c r="W1449" i="7"/>
  <c r="W1435" i="7"/>
  <c r="W1423" i="7"/>
  <c r="W1410" i="7"/>
  <c r="W1397" i="7"/>
  <c r="W1385" i="7"/>
  <c r="W1373" i="7"/>
  <c r="W1362" i="7"/>
  <c r="W1351" i="7"/>
  <c r="W1341" i="7"/>
  <c r="W1330" i="7"/>
  <c r="W1319" i="7"/>
  <c r="W1309" i="7"/>
  <c r="W1300" i="7"/>
  <c r="W1291" i="7"/>
  <c r="W1282" i="7"/>
  <c r="W1273" i="7"/>
  <c r="W1263" i="7"/>
  <c r="W1254" i="7"/>
  <c r="W1245" i="7"/>
  <c r="W1236" i="7"/>
  <c r="W1227" i="7"/>
  <c r="W1218" i="7"/>
  <c r="W1209" i="7"/>
  <c r="W1199" i="7"/>
  <c r="W1190" i="7"/>
  <c r="W1181" i="7"/>
  <c r="W1172" i="7"/>
  <c r="W1163" i="7"/>
  <c r="W1154" i="7"/>
  <c r="W1146" i="7"/>
  <c r="W1138" i="7"/>
  <c r="W1130" i="7"/>
  <c r="W1122" i="7"/>
  <c r="W1114" i="7"/>
  <c r="W1106" i="7"/>
  <c r="W1098" i="7"/>
  <c r="W1090" i="7"/>
  <c r="W1082" i="7"/>
  <c r="W1074" i="7"/>
  <c r="W1066" i="7"/>
  <c r="W1058" i="7"/>
  <c r="W1050" i="7"/>
  <c r="W1042" i="7"/>
  <c r="W1034" i="7"/>
  <c r="W1026" i="7"/>
  <c r="W1018" i="7"/>
  <c r="W1010" i="7"/>
  <c r="W1002" i="7"/>
  <c r="W994" i="7"/>
  <c r="W986" i="7"/>
  <c r="W978" i="7"/>
  <c r="W970" i="7"/>
  <c r="W962" i="7"/>
  <c r="W954" i="7"/>
  <c r="W946" i="7"/>
  <c r="W938" i="7"/>
  <c r="W930" i="7"/>
  <c r="W922" i="7"/>
  <c r="W914" i="7"/>
  <c r="W906" i="7"/>
  <c r="W898" i="7"/>
  <c r="W890" i="7"/>
  <c r="W882" i="7"/>
  <c r="W874" i="7"/>
  <c r="W866" i="7"/>
  <c r="W858" i="7"/>
  <c r="W850" i="7"/>
  <c r="W842" i="7"/>
  <c r="W834" i="7"/>
  <c r="W826" i="7"/>
  <c r="W818" i="7"/>
  <c r="W810" i="7"/>
  <c r="W802" i="7"/>
  <c r="W794" i="7"/>
  <c r="W786" i="7"/>
  <c r="W778" i="7"/>
  <c r="W770" i="7"/>
  <c r="W762" i="7"/>
  <c r="W754" i="7"/>
  <c r="W746" i="7"/>
  <c r="W738" i="7"/>
  <c r="W730" i="7"/>
  <c r="W722" i="7"/>
  <c r="W714" i="7"/>
  <c r="W706" i="7"/>
  <c r="W698" i="7"/>
  <c r="W690" i="7"/>
  <c r="W682" i="7"/>
  <c r="W674" i="7"/>
  <c r="W666" i="7"/>
  <c r="W658" i="7"/>
  <c r="W650" i="7"/>
  <c r="W642" i="7"/>
  <c r="W634" i="7"/>
  <c r="W626" i="7"/>
  <c r="W618" i="7"/>
  <c r="W610" i="7"/>
  <c r="W602" i="7"/>
  <c r="W594" i="7"/>
  <c r="W586" i="7"/>
  <c r="W578" i="7"/>
  <c r="W570" i="7"/>
  <c r="W562" i="7"/>
  <c r="W554" i="7"/>
  <c r="W546" i="7"/>
  <c r="W538" i="7"/>
  <c r="W530" i="7"/>
  <c r="W522" i="7"/>
  <c r="W514" i="7"/>
  <c r="W506" i="7"/>
  <c r="W498" i="7"/>
  <c r="W490" i="7"/>
  <c r="W482" i="7"/>
  <c r="W474" i="7"/>
  <c r="W466" i="7"/>
  <c r="W458" i="7"/>
  <c r="W450" i="7"/>
  <c r="W2515" i="7"/>
  <c r="W2497" i="7"/>
  <c r="W2474" i="7"/>
  <c r="W2451" i="7"/>
  <c r="W2433" i="7"/>
  <c r="W2410" i="7"/>
  <c r="W2387" i="7"/>
  <c r="W2369" i="7"/>
  <c r="W2346" i="7"/>
  <c r="W2323" i="7"/>
  <c r="W2305" i="7"/>
  <c r="W2282" i="7"/>
  <c r="W2259" i="7"/>
  <c r="W2241" i="7"/>
  <c r="W2218" i="7"/>
  <c r="W2195" i="7"/>
  <c r="W2177" i="7"/>
  <c r="W2154" i="7"/>
  <c r="W2131" i="7"/>
  <c r="W2113" i="7"/>
  <c r="W2090" i="7"/>
  <c r="W2067" i="7"/>
  <c r="W2049" i="7"/>
  <c r="W2026" i="7"/>
  <c r="W2003" i="7"/>
  <c r="W1985" i="7"/>
  <c r="W1962" i="7"/>
  <c r="W1939" i="7"/>
  <c r="W1921" i="7"/>
  <c r="W1898" i="7"/>
  <c r="W1875" i="7"/>
  <c r="W1857" i="7"/>
  <c r="W1834" i="7"/>
  <c r="W1811" i="7"/>
  <c r="W1793" i="7"/>
  <c r="W1770" i="7"/>
  <c r="W1747" i="7"/>
  <c r="W1729" i="7"/>
  <c r="W1706" i="7"/>
  <c r="W1683" i="7"/>
  <c r="W1665" i="7"/>
  <c r="W1642" i="7"/>
  <c r="W1619" i="7"/>
  <c r="W1601" i="7"/>
  <c r="W1578" i="7"/>
  <c r="W1555" i="7"/>
  <c r="W1539" i="7"/>
  <c r="W1523" i="7"/>
  <c r="W1511" i="7"/>
  <c r="W1498" i="7"/>
  <c r="W1485" i="7"/>
  <c r="W1473" i="7"/>
  <c r="W1459" i="7"/>
  <c r="W1447" i="7"/>
  <c r="W1434" i="7"/>
  <c r="W1421" i="7"/>
  <c r="W1409" i="7"/>
  <c r="W1395" i="7"/>
  <c r="W1383" i="7"/>
  <c r="W1371" i="7"/>
  <c r="W1361" i="7"/>
  <c r="W1350" i="7"/>
  <c r="W1339" i="7"/>
  <c r="W1329" i="7"/>
  <c r="W1318" i="7"/>
  <c r="W1308" i="7"/>
  <c r="W1299" i="7"/>
  <c r="W1290" i="7"/>
  <c r="W1281" i="7"/>
  <c r="W1271" i="7"/>
  <c r="W1262" i="7"/>
  <c r="W1253" i="7"/>
  <c r="W1244" i="7"/>
  <c r="W1235" i="7"/>
  <c r="W1226" i="7"/>
  <c r="W1217" i="7"/>
  <c r="W1207" i="7"/>
  <c r="W1198" i="7"/>
  <c r="W1189" i="7"/>
  <c r="W1180" i="7"/>
  <c r="W2514" i="7"/>
  <c r="W2491" i="7"/>
  <c r="W2473" i="7"/>
  <c r="W2450" i="7"/>
  <c r="W2427" i="7"/>
  <c r="W2409" i="7"/>
  <c r="W2386" i="7"/>
  <c r="W2363" i="7"/>
  <c r="W2345" i="7"/>
  <c r="W2322" i="7"/>
  <c r="W2299" i="7"/>
  <c r="W2281" i="7"/>
  <c r="W2258" i="7"/>
  <c r="W2235" i="7"/>
  <c r="W2217" i="7"/>
  <c r="W2194" i="7"/>
  <c r="W2171" i="7"/>
  <c r="W2153" i="7"/>
  <c r="W2130" i="7"/>
  <c r="W2107" i="7"/>
  <c r="W2089" i="7"/>
  <c r="W2066" i="7"/>
  <c r="W2043" i="7"/>
  <c r="W2025" i="7"/>
  <c r="W2002" i="7"/>
  <c r="W1979" i="7"/>
  <c r="W1961" i="7"/>
  <c r="W1938" i="7"/>
  <c r="W1915" i="7"/>
  <c r="W1897" i="7"/>
  <c r="W1874" i="7"/>
  <c r="W1851" i="7"/>
  <c r="W1833" i="7"/>
  <c r="W1810" i="7"/>
  <c r="W1787" i="7"/>
  <c r="W1769" i="7"/>
  <c r="W1746" i="7"/>
  <c r="W1723" i="7"/>
  <c r="W1705" i="7"/>
  <c r="W1682" i="7"/>
  <c r="W1659" i="7"/>
  <c r="W1641" i="7"/>
  <c r="W1618" i="7"/>
  <c r="W1595" i="7"/>
  <c r="W1577" i="7"/>
  <c r="W1554" i="7"/>
  <c r="W1538" i="7"/>
  <c r="W1522" i="7"/>
  <c r="W1509" i="7"/>
  <c r="W1497" i="7"/>
  <c r="W1483" i="7"/>
  <c r="W1471" i="7"/>
  <c r="W1458" i="7"/>
  <c r="W1445" i="7"/>
  <c r="W1433" i="7"/>
  <c r="W1419" i="7"/>
  <c r="W1407" i="7"/>
  <c r="W1394" i="7"/>
  <c r="W1381" i="7"/>
  <c r="W1370" i="7"/>
  <c r="W1359" i="7"/>
  <c r="W1349" i="7"/>
  <c r="W1338" i="7"/>
  <c r="W1327" i="7"/>
  <c r="W1317" i="7"/>
  <c r="W1307" i="7"/>
  <c r="W1298" i="7"/>
  <c r="W1289" i="7"/>
  <c r="W1279" i="7"/>
  <c r="W1270" i="7"/>
  <c r="W1261" i="7"/>
  <c r="W1252" i="7"/>
  <c r="W1243" i="7"/>
  <c r="W1234" i="7"/>
  <c r="W1225" i="7"/>
  <c r="W1215" i="7"/>
  <c r="W1206" i="7"/>
  <c r="W1197" i="7"/>
  <c r="W1188" i="7"/>
  <c r="W1179" i="7"/>
  <c r="W1170" i="7"/>
  <c r="W1161" i="7"/>
  <c r="W1152" i="7"/>
  <c r="W1144" i="7"/>
  <c r="W1136" i="7"/>
  <c r="W1128" i="7"/>
  <c r="W1120" i="7"/>
  <c r="W1112" i="7"/>
  <c r="W1104" i="7"/>
  <c r="W1096" i="7"/>
  <c r="W1088" i="7"/>
  <c r="W1080" i="7"/>
  <c r="W1072" i="7"/>
  <c r="W1064" i="7"/>
  <c r="W1056" i="7"/>
  <c r="W1048" i="7"/>
  <c r="W1040" i="7"/>
  <c r="W1032" i="7"/>
  <c r="W1024" i="7"/>
  <c r="W1016" i="7"/>
  <c r="W1008" i="7"/>
  <c r="W1000" i="7"/>
  <c r="W992" i="7"/>
  <c r="W984" i="7"/>
  <c r="W976" i="7"/>
  <c r="W968" i="7"/>
  <c r="W960" i="7"/>
  <c r="W952" i="7"/>
  <c r="W944" i="7"/>
  <c r="W936" i="7"/>
  <c r="W928" i="7"/>
  <c r="W920" i="7"/>
  <c r="W912" i="7"/>
  <c r="W904" i="7"/>
  <c r="W896" i="7"/>
  <c r="W888" i="7"/>
  <c r="W880" i="7"/>
  <c r="W872" i="7"/>
  <c r="W864" i="7"/>
  <c r="W856" i="7"/>
  <c r="W848" i="7"/>
  <c r="W840" i="7"/>
  <c r="W832" i="7"/>
  <c r="W824" i="7"/>
  <c r="W816" i="7"/>
  <c r="W808" i="7"/>
  <c r="W800" i="7"/>
  <c r="W792" i="7"/>
  <c r="W784" i="7"/>
  <c r="W776" i="7"/>
  <c r="W768" i="7"/>
  <c r="W760" i="7"/>
  <c r="W752" i="7"/>
  <c r="W744" i="7"/>
  <c r="W736" i="7"/>
  <c r="W728" i="7"/>
  <c r="W720" i="7"/>
  <c r="W712" i="7"/>
  <c r="W704" i="7"/>
  <c r="W696" i="7"/>
  <c r="W688" i="7"/>
  <c r="W680" i="7"/>
  <c r="W672" i="7"/>
  <c r="W664" i="7"/>
  <c r="W656" i="7"/>
  <c r="W648" i="7"/>
  <c r="W640" i="7"/>
  <c r="W632" i="7"/>
  <c r="W624" i="7"/>
  <c r="W616" i="7"/>
  <c r="W608" i="7"/>
  <c r="W600" i="7"/>
  <c r="W592" i="7"/>
  <c r="W584" i="7"/>
  <c r="W576" i="7"/>
  <c r="W568" i="7"/>
  <c r="W560" i="7"/>
  <c r="W552" i="7"/>
  <c r="W544" i="7"/>
  <c r="W536" i="7"/>
  <c r="W528" i="7"/>
  <c r="W520" i="7"/>
  <c r="W2507" i="7"/>
  <c r="W2489" i="7"/>
  <c r="W2466" i="7"/>
  <c r="W2443" i="7"/>
  <c r="W2425" i="7"/>
  <c r="W2402" i="7"/>
  <c r="W2379" i="7"/>
  <c r="W2361" i="7"/>
  <c r="W2338" i="7"/>
  <c r="W2315" i="7"/>
  <c r="W2297" i="7"/>
  <c r="W2274" i="7"/>
  <c r="W2251" i="7"/>
  <c r="W2233" i="7"/>
  <c r="W2210" i="7"/>
  <c r="W2187" i="7"/>
  <c r="W2169" i="7"/>
  <c r="W2146" i="7"/>
  <c r="W2123" i="7"/>
  <c r="W2105" i="7"/>
  <c r="W2082" i="7"/>
  <c r="W2059" i="7"/>
  <c r="W2041" i="7"/>
  <c r="W2018" i="7"/>
  <c r="W1995" i="7"/>
  <c r="W1977" i="7"/>
  <c r="W1954" i="7"/>
  <c r="W1931" i="7"/>
  <c r="W1913" i="7"/>
  <c r="W1890" i="7"/>
  <c r="W1867" i="7"/>
  <c r="W1849" i="7"/>
  <c r="W1826" i="7"/>
  <c r="W1803" i="7"/>
  <c r="W1785" i="7"/>
  <c r="W1762" i="7"/>
  <c r="W1739" i="7"/>
  <c r="W1721" i="7"/>
  <c r="W1698" i="7"/>
  <c r="W1675" i="7"/>
  <c r="W1657" i="7"/>
  <c r="W1634" i="7"/>
  <c r="W1611" i="7"/>
  <c r="W2465" i="7"/>
  <c r="W2378" i="7"/>
  <c r="W2291" i="7"/>
  <c r="W2209" i="7"/>
  <c r="W2122" i="7"/>
  <c r="W2035" i="7"/>
  <c r="W1953" i="7"/>
  <c r="W1866" i="7"/>
  <c r="W1779" i="7"/>
  <c r="W1697" i="7"/>
  <c r="W1610" i="7"/>
  <c r="W1549" i="7"/>
  <c r="W1507" i="7"/>
  <c r="W1479" i="7"/>
  <c r="W1442" i="7"/>
  <c r="W1405" i="7"/>
  <c r="W1377" i="7"/>
  <c r="W1346" i="7"/>
  <c r="W1315" i="7"/>
  <c r="W1294" i="7"/>
  <c r="W1268" i="7"/>
  <c r="W1242" i="7"/>
  <c r="W1221" i="7"/>
  <c r="W1195" i="7"/>
  <c r="W1171" i="7"/>
  <c r="W1153" i="7"/>
  <c r="W1137" i="7"/>
  <c r="W1121" i="7"/>
  <c r="W1105" i="7"/>
  <c r="W1089" i="7"/>
  <c r="W1073" i="7"/>
  <c r="W1057" i="7"/>
  <c r="W1041" i="7"/>
  <c r="W1025" i="7"/>
  <c r="W1009" i="7"/>
  <c r="W993" i="7"/>
  <c r="W977" i="7"/>
  <c r="W961" i="7"/>
  <c r="W945" i="7"/>
  <c r="W929" i="7"/>
  <c r="W913" i="7"/>
  <c r="W897" i="7"/>
  <c r="W881" i="7"/>
  <c r="W865" i="7"/>
  <c r="W849" i="7"/>
  <c r="W833" i="7"/>
  <c r="W817" i="7"/>
  <c r="W801" i="7"/>
  <c r="W785" i="7"/>
  <c r="W769" i="7"/>
  <c r="W753" i="7"/>
  <c r="W737" i="7"/>
  <c r="W721" i="7"/>
  <c r="W705" i="7"/>
  <c r="W689" i="7"/>
  <c r="W673" i="7"/>
  <c r="W657" i="7"/>
  <c r="W641" i="7"/>
  <c r="W625" i="7"/>
  <c r="W609" i="7"/>
  <c r="W593" i="7"/>
  <c r="W577" i="7"/>
  <c r="W561" i="7"/>
  <c r="W545" i="7"/>
  <c r="W529" i="7"/>
  <c r="W513" i="7"/>
  <c r="W502" i="7"/>
  <c r="W489" i="7"/>
  <c r="W479" i="7"/>
  <c r="W470" i="7"/>
  <c r="W461" i="7"/>
  <c r="W452" i="7"/>
  <c r="W443" i="7"/>
  <c r="W435" i="7"/>
  <c r="W427" i="7"/>
  <c r="W419" i="7"/>
  <c r="W411" i="7"/>
  <c r="W403" i="7"/>
  <c r="W395" i="7"/>
  <c r="W387" i="7"/>
  <c r="W379" i="7"/>
  <c r="W371" i="7"/>
  <c r="W363" i="7"/>
  <c r="W355" i="7"/>
  <c r="W347" i="7"/>
  <c r="W339" i="7"/>
  <c r="W331" i="7"/>
  <c r="W323" i="7"/>
  <c r="W315" i="7"/>
  <c r="W307" i="7"/>
  <c r="W299" i="7"/>
  <c r="W291" i="7"/>
  <c r="W283" i="7"/>
  <c r="W275" i="7"/>
  <c r="W267" i="7"/>
  <c r="W259" i="7"/>
  <c r="W251" i="7"/>
  <c r="W243" i="7"/>
  <c r="W235" i="7"/>
  <c r="W227" i="7"/>
  <c r="W219" i="7"/>
  <c r="W211" i="7"/>
  <c r="W203" i="7"/>
  <c r="W195" i="7"/>
  <c r="W187" i="7"/>
  <c r="W179" i="7"/>
  <c r="W171" i="7"/>
  <c r="W163" i="7"/>
  <c r="W155" i="7"/>
  <c r="W147" i="7"/>
  <c r="W139" i="7"/>
  <c r="W131" i="7"/>
  <c r="W123" i="7"/>
  <c r="W115" i="7"/>
  <c r="W107" i="7"/>
  <c r="W99" i="7"/>
  <c r="W91" i="7"/>
  <c r="W83" i="7"/>
  <c r="W75" i="7"/>
  <c r="W67" i="7"/>
  <c r="W59" i="7"/>
  <c r="W51" i="7"/>
  <c r="W43" i="7"/>
  <c r="W35" i="7"/>
  <c r="W26" i="7"/>
  <c r="W18" i="7"/>
  <c r="W10" i="7"/>
  <c r="W15" i="7"/>
  <c r="W2403" i="7"/>
  <c r="W1389" i="7"/>
  <c r="W1251" i="7"/>
  <c r="W1143" i="7"/>
  <c r="W1079" i="7"/>
  <c r="W999" i="7"/>
  <c r="W903" i="7"/>
  <c r="W823" i="7"/>
  <c r="W743" i="7"/>
  <c r="W663" i="7"/>
  <c r="W583" i="7"/>
  <c r="W494" i="7"/>
  <c r="W446" i="7"/>
  <c r="W406" i="7"/>
  <c r="W358" i="7"/>
  <c r="W294" i="7"/>
  <c r="W254" i="7"/>
  <c r="W214" i="7"/>
  <c r="W174" i="7"/>
  <c r="W134" i="7"/>
  <c r="W86" i="7"/>
  <c r="W38" i="7"/>
  <c r="W472" i="7"/>
  <c r="W389" i="7"/>
  <c r="W341" i="7"/>
  <c r="W293" i="7"/>
  <c r="W245" i="7"/>
  <c r="W189" i="7"/>
  <c r="W149" i="7"/>
  <c r="W93" i="7"/>
  <c r="W45" i="7"/>
  <c r="W2467" i="7"/>
  <c r="W1553" i="7"/>
  <c r="W2449" i="7"/>
  <c r="W2362" i="7"/>
  <c r="W2275" i="7"/>
  <c r="W2193" i="7"/>
  <c r="W2106" i="7"/>
  <c r="W2019" i="7"/>
  <c r="W1937" i="7"/>
  <c r="W1850" i="7"/>
  <c r="W1763" i="7"/>
  <c r="W1681" i="7"/>
  <c r="W1594" i="7"/>
  <c r="W1547" i="7"/>
  <c r="W1506" i="7"/>
  <c r="W1469" i="7"/>
  <c r="W1441" i="7"/>
  <c r="W1403" i="7"/>
  <c r="W1369" i="7"/>
  <c r="W1345" i="7"/>
  <c r="W1314" i="7"/>
  <c r="W1287" i="7"/>
  <c r="W1267" i="7"/>
  <c r="W1241" i="7"/>
  <c r="W1214" i="7"/>
  <c r="W1194" i="7"/>
  <c r="W1169" i="7"/>
  <c r="W1151" i="7"/>
  <c r="W1135" i="7"/>
  <c r="W1119" i="7"/>
  <c r="W1103" i="7"/>
  <c r="W1087" i="7"/>
  <c r="W1071" i="7"/>
  <c r="W1055" i="7"/>
  <c r="W1039" i="7"/>
  <c r="W1023" i="7"/>
  <c r="W1007" i="7"/>
  <c r="W991" i="7"/>
  <c r="W975" i="7"/>
  <c r="W959" i="7"/>
  <c r="W943" i="7"/>
  <c r="W927" i="7"/>
  <c r="W911" i="7"/>
  <c r="W895" i="7"/>
  <c r="W879" i="7"/>
  <c r="W863" i="7"/>
  <c r="W847" i="7"/>
  <c r="W831" i="7"/>
  <c r="W815" i="7"/>
  <c r="W799" i="7"/>
  <c r="W783" i="7"/>
  <c r="W767" i="7"/>
  <c r="W751" i="7"/>
  <c r="W735" i="7"/>
  <c r="W719" i="7"/>
  <c r="W703" i="7"/>
  <c r="W687" i="7"/>
  <c r="W671" i="7"/>
  <c r="W655" i="7"/>
  <c r="W639" i="7"/>
  <c r="W623" i="7"/>
  <c r="W607" i="7"/>
  <c r="W591" i="7"/>
  <c r="W575" i="7"/>
  <c r="W559" i="7"/>
  <c r="W543" i="7"/>
  <c r="W527" i="7"/>
  <c r="W512" i="7"/>
  <c r="W501" i="7"/>
  <c r="W488" i="7"/>
  <c r="W478" i="7"/>
  <c r="W469" i="7"/>
  <c r="W460" i="7"/>
  <c r="W451" i="7"/>
  <c r="W442" i="7"/>
  <c r="W434" i="7"/>
  <c r="W426" i="7"/>
  <c r="W418" i="7"/>
  <c r="W410" i="7"/>
  <c r="W402" i="7"/>
  <c r="W394" i="7"/>
  <c r="W386" i="7"/>
  <c r="W378" i="7"/>
  <c r="W370" i="7"/>
  <c r="W362" i="7"/>
  <c r="W354" i="7"/>
  <c r="W346" i="7"/>
  <c r="W338" i="7"/>
  <c r="W330" i="7"/>
  <c r="W322" i="7"/>
  <c r="W314" i="7"/>
  <c r="W306" i="7"/>
  <c r="W298" i="7"/>
  <c r="W290" i="7"/>
  <c r="W282" i="7"/>
  <c r="W274" i="7"/>
  <c r="W266" i="7"/>
  <c r="W258" i="7"/>
  <c r="W250" i="7"/>
  <c r="W242" i="7"/>
  <c r="W234" i="7"/>
  <c r="W226" i="7"/>
  <c r="W218" i="7"/>
  <c r="W210" i="7"/>
  <c r="W202" i="7"/>
  <c r="W194" i="7"/>
  <c r="W186" i="7"/>
  <c r="W178" i="7"/>
  <c r="W170" i="7"/>
  <c r="W162" i="7"/>
  <c r="W154" i="7"/>
  <c r="W146" i="7"/>
  <c r="W138" i="7"/>
  <c r="W130" i="7"/>
  <c r="W122" i="7"/>
  <c r="W114" i="7"/>
  <c r="W106" i="7"/>
  <c r="W98" i="7"/>
  <c r="W90" i="7"/>
  <c r="W82" i="7"/>
  <c r="W74" i="7"/>
  <c r="W66" i="7"/>
  <c r="W58" i="7"/>
  <c r="W50" i="7"/>
  <c r="W42" i="7"/>
  <c r="W34" i="7"/>
  <c r="W25" i="7"/>
  <c r="W17" i="7"/>
  <c r="W9" i="7"/>
  <c r="W23" i="7"/>
  <c r="W2321" i="7"/>
  <c r="W1455" i="7"/>
  <c r="W1277" i="7"/>
  <c r="W1178" i="7"/>
  <c r="W1095" i="7"/>
  <c r="W1015" i="7"/>
  <c r="W919" i="7"/>
  <c r="W839" i="7"/>
  <c r="W759" i="7"/>
  <c r="W679" i="7"/>
  <c r="W599" i="7"/>
  <c r="W505" i="7"/>
  <c r="W455" i="7"/>
  <c r="W398" i="7"/>
  <c r="W350" i="7"/>
  <c r="W318" i="7"/>
  <c r="W270" i="7"/>
  <c r="W230" i="7"/>
  <c r="W182" i="7"/>
  <c r="W142" i="7"/>
  <c r="W102" i="7"/>
  <c r="W54" i="7"/>
  <c r="W5" i="7"/>
  <c r="W454" i="7"/>
  <c r="W397" i="7"/>
  <c r="W357" i="7"/>
  <c r="W301" i="7"/>
  <c r="W253" i="7"/>
  <c r="W205" i="7"/>
  <c r="W141" i="7"/>
  <c r="W101" i="7"/>
  <c r="W37" i="7"/>
  <c r="W2385" i="7"/>
  <c r="W1617" i="7"/>
  <c r="W2442" i="7"/>
  <c r="W2355" i="7"/>
  <c r="W2273" i="7"/>
  <c r="W2186" i="7"/>
  <c r="W2099" i="7"/>
  <c r="W2017" i="7"/>
  <c r="W1930" i="7"/>
  <c r="W1843" i="7"/>
  <c r="W1761" i="7"/>
  <c r="W1674" i="7"/>
  <c r="W1593" i="7"/>
  <c r="W1537" i="7"/>
  <c r="W1505" i="7"/>
  <c r="W1467" i="7"/>
  <c r="W1431" i="7"/>
  <c r="W1402" i="7"/>
  <c r="W1367" i="7"/>
  <c r="W1337" i="7"/>
  <c r="W1313" i="7"/>
  <c r="W1286" i="7"/>
  <c r="W1260" i="7"/>
  <c r="W1239" i="7"/>
  <c r="W1213" i="7"/>
  <c r="W1187" i="7"/>
  <c r="W1167" i="7"/>
  <c r="W1150" i="7"/>
  <c r="W1134" i="7"/>
  <c r="W1118" i="7"/>
  <c r="W1102" i="7"/>
  <c r="W1086" i="7"/>
  <c r="W1070" i="7"/>
  <c r="W1054" i="7"/>
  <c r="W1038" i="7"/>
  <c r="W1022" i="7"/>
  <c r="W1006" i="7"/>
  <c r="W990" i="7"/>
  <c r="W974" i="7"/>
  <c r="W958" i="7"/>
  <c r="W942" i="7"/>
  <c r="W926" i="7"/>
  <c r="W910" i="7"/>
  <c r="W894" i="7"/>
  <c r="W878" i="7"/>
  <c r="W862" i="7"/>
  <c r="W846" i="7"/>
  <c r="W830" i="7"/>
  <c r="W814" i="7"/>
  <c r="W798" i="7"/>
  <c r="W782" i="7"/>
  <c r="W766" i="7"/>
  <c r="W750" i="7"/>
  <c r="W734" i="7"/>
  <c r="W718" i="7"/>
  <c r="W702" i="7"/>
  <c r="W686" i="7"/>
  <c r="W670" i="7"/>
  <c r="W654" i="7"/>
  <c r="W638" i="7"/>
  <c r="W622" i="7"/>
  <c r="W606" i="7"/>
  <c r="W590" i="7"/>
  <c r="W574" i="7"/>
  <c r="W558" i="7"/>
  <c r="W542" i="7"/>
  <c r="W526" i="7"/>
  <c r="W511" i="7"/>
  <c r="W497" i="7"/>
  <c r="W487" i="7"/>
  <c r="W477" i="7"/>
  <c r="W468" i="7"/>
  <c r="W459" i="7"/>
  <c r="W449" i="7"/>
  <c r="W441" i="7"/>
  <c r="W433" i="7"/>
  <c r="W425" i="7"/>
  <c r="W417" i="7"/>
  <c r="W409" i="7"/>
  <c r="W401" i="7"/>
  <c r="W393" i="7"/>
  <c r="W385" i="7"/>
  <c r="W377" i="7"/>
  <c r="W369" i="7"/>
  <c r="W361" i="7"/>
  <c r="W353" i="7"/>
  <c r="W345" i="7"/>
  <c r="W337" i="7"/>
  <c r="W329" i="7"/>
  <c r="W321" i="7"/>
  <c r="W313" i="7"/>
  <c r="W305" i="7"/>
  <c r="W297" i="7"/>
  <c r="W289" i="7"/>
  <c r="W281" i="7"/>
  <c r="W273" i="7"/>
  <c r="W265" i="7"/>
  <c r="W257" i="7"/>
  <c r="W249" i="7"/>
  <c r="W241" i="7"/>
  <c r="W233" i="7"/>
  <c r="W225" i="7"/>
  <c r="W217" i="7"/>
  <c r="W209" i="7"/>
  <c r="W201" i="7"/>
  <c r="W193" i="7"/>
  <c r="W185" i="7"/>
  <c r="W177" i="7"/>
  <c r="W169" i="7"/>
  <c r="W161" i="7"/>
  <c r="W153" i="7"/>
  <c r="W145" i="7"/>
  <c r="W137" i="7"/>
  <c r="W129" i="7"/>
  <c r="W121" i="7"/>
  <c r="W113" i="7"/>
  <c r="W105" i="7"/>
  <c r="W97" i="7"/>
  <c r="W89" i="7"/>
  <c r="W81" i="7"/>
  <c r="W73" i="7"/>
  <c r="W65" i="7"/>
  <c r="W57" i="7"/>
  <c r="W49" i="7"/>
  <c r="W41" i="7"/>
  <c r="W33" i="7"/>
  <c r="W24" i="7"/>
  <c r="W16" i="7"/>
  <c r="W8" i="7"/>
  <c r="W32" i="7"/>
  <c r="W2234" i="7"/>
  <c r="W2065" i="7"/>
  <c r="W1978" i="7"/>
  <c r="W1809" i="7"/>
  <c r="W1570" i="7"/>
  <c r="W1418" i="7"/>
  <c r="W1326" i="7"/>
  <c r="W1204" i="7"/>
  <c r="W1111" i="7"/>
  <c r="W1031" i="7"/>
  <c r="W951" i="7"/>
  <c r="W855" i="7"/>
  <c r="W775" i="7"/>
  <c r="W695" i="7"/>
  <c r="W615" i="7"/>
  <c r="W535" i="7"/>
  <c r="W483" i="7"/>
  <c r="W438" i="7"/>
  <c r="W414" i="7"/>
  <c r="W374" i="7"/>
  <c r="W342" i="7"/>
  <c r="W302" i="7"/>
  <c r="W262" i="7"/>
  <c r="W222" i="7"/>
  <c r="W190" i="7"/>
  <c r="W150" i="7"/>
  <c r="W118" i="7"/>
  <c r="W78" i="7"/>
  <c r="W46" i="7"/>
  <c r="W13" i="7"/>
  <c r="W463" i="7"/>
  <c r="W349" i="7"/>
  <c r="W285" i="7"/>
  <c r="W237" i="7"/>
  <c r="W197" i="7"/>
  <c r="W157" i="7"/>
  <c r="W109" i="7"/>
  <c r="W61" i="7"/>
  <c r="W4" i="7"/>
  <c r="W2129" i="7"/>
  <c r="W1786" i="7"/>
  <c r="W1415" i="7"/>
  <c r="W2513" i="7"/>
  <c r="W2426" i="7"/>
  <c r="W2339" i="7"/>
  <c r="W2257" i="7"/>
  <c r="W2170" i="7"/>
  <c r="W2083" i="7"/>
  <c r="W2001" i="7"/>
  <c r="W1914" i="7"/>
  <c r="W1827" i="7"/>
  <c r="W1745" i="7"/>
  <c r="W1658" i="7"/>
  <c r="W1587" i="7"/>
  <c r="W1533" i="7"/>
  <c r="W1495" i="7"/>
  <c r="W1466" i="7"/>
  <c r="W1429" i="7"/>
  <c r="W1393" i="7"/>
  <c r="W1366" i="7"/>
  <c r="W1335" i="7"/>
  <c r="W1306" i="7"/>
  <c r="W1285" i="7"/>
  <c r="W1259" i="7"/>
  <c r="W1233" i="7"/>
  <c r="W1212" i="7"/>
  <c r="W1186" i="7"/>
  <c r="W1166" i="7"/>
  <c r="W1149" i="7"/>
  <c r="W1133" i="7"/>
  <c r="W1117" i="7"/>
  <c r="W1101" i="7"/>
  <c r="W1085" i="7"/>
  <c r="W1069" i="7"/>
  <c r="W1053" i="7"/>
  <c r="W1037" i="7"/>
  <c r="W1021" i="7"/>
  <c r="W1005" i="7"/>
  <c r="W989" i="7"/>
  <c r="W973" i="7"/>
  <c r="W957" i="7"/>
  <c r="W941" i="7"/>
  <c r="W925" i="7"/>
  <c r="W909" i="7"/>
  <c r="W893" i="7"/>
  <c r="W877" i="7"/>
  <c r="W861" i="7"/>
  <c r="W845" i="7"/>
  <c r="W829" i="7"/>
  <c r="W813" i="7"/>
  <c r="W797" i="7"/>
  <c r="W781" i="7"/>
  <c r="W765" i="7"/>
  <c r="W749" i="7"/>
  <c r="W733" i="7"/>
  <c r="W717" i="7"/>
  <c r="W701" i="7"/>
  <c r="W685" i="7"/>
  <c r="W669" i="7"/>
  <c r="W653" i="7"/>
  <c r="W637" i="7"/>
  <c r="W621" i="7"/>
  <c r="W605" i="7"/>
  <c r="W589" i="7"/>
  <c r="W573" i="7"/>
  <c r="W557" i="7"/>
  <c r="W541" i="7"/>
  <c r="W525" i="7"/>
  <c r="W510" i="7"/>
  <c r="W496" i="7"/>
  <c r="W486" i="7"/>
  <c r="W476" i="7"/>
  <c r="W467" i="7"/>
  <c r="W457" i="7"/>
  <c r="W448" i="7"/>
  <c r="W440" i="7"/>
  <c r="W432" i="7"/>
  <c r="W424" i="7"/>
  <c r="W416" i="7"/>
  <c r="W408" i="7"/>
  <c r="W400" i="7"/>
  <c r="W392" i="7"/>
  <c r="W384" i="7"/>
  <c r="W376" i="7"/>
  <c r="W368" i="7"/>
  <c r="W360" i="7"/>
  <c r="W352" i="7"/>
  <c r="W344" i="7"/>
  <c r="W336" i="7"/>
  <c r="W328" i="7"/>
  <c r="W320" i="7"/>
  <c r="W312" i="7"/>
  <c r="W304" i="7"/>
  <c r="W296" i="7"/>
  <c r="W288" i="7"/>
  <c r="W280" i="7"/>
  <c r="W272" i="7"/>
  <c r="W264" i="7"/>
  <c r="W256" i="7"/>
  <c r="W248" i="7"/>
  <c r="W240" i="7"/>
  <c r="W232" i="7"/>
  <c r="W224" i="7"/>
  <c r="W216" i="7"/>
  <c r="W208" i="7"/>
  <c r="W200" i="7"/>
  <c r="W192" i="7"/>
  <c r="W184" i="7"/>
  <c r="W176" i="7"/>
  <c r="W168" i="7"/>
  <c r="W160" i="7"/>
  <c r="W152" i="7"/>
  <c r="W144" i="7"/>
  <c r="W136" i="7"/>
  <c r="W128" i="7"/>
  <c r="W120" i="7"/>
  <c r="W112" i="7"/>
  <c r="W104" i="7"/>
  <c r="W96" i="7"/>
  <c r="W88" i="7"/>
  <c r="W80" i="7"/>
  <c r="W72" i="7"/>
  <c r="W64" i="7"/>
  <c r="W56" i="7"/>
  <c r="W48" i="7"/>
  <c r="W40" i="7"/>
  <c r="W7" i="7"/>
  <c r="W2147" i="7"/>
  <c r="W1722" i="7"/>
  <c r="W1491" i="7"/>
  <c r="W1303" i="7"/>
  <c r="W1159" i="7"/>
  <c r="W1063" i="7"/>
  <c r="W983" i="7"/>
  <c r="W935" i="7"/>
  <c r="W887" i="7"/>
  <c r="W807" i="7"/>
  <c r="W727" i="7"/>
  <c r="W631" i="7"/>
  <c r="W551" i="7"/>
  <c r="W473" i="7"/>
  <c r="W422" i="7"/>
  <c r="W382" i="7"/>
  <c r="W326" i="7"/>
  <c r="W286" i="7"/>
  <c r="W246" i="7"/>
  <c r="W206" i="7"/>
  <c r="W158" i="7"/>
  <c r="W110" i="7"/>
  <c r="W70" i="7"/>
  <c r="W30" i="7"/>
  <c r="W437" i="7"/>
  <c r="W365" i="7"/>
  <c r="W317" i="7"/>
  <c r="W277" i="7"/>
  <c r="W229" i="7"/>
  <c r="W173" i="7"/>
  <c r="W125" i="7"/>
  <c r="W77" i="7"/>
  <c r="W29" i="7"/>
  <c r="W2211" i="7"/>
  <c r="W1873" i="7"/>
  <c r="W1481" i="7"/>
  <c r="W2506" i="7"/>
  <c r="W2419" i="7"/>
  <c r="W2337" i="7"/>
  <c r="W2250" i="7"/>
  <c r="W2163" i="7"/>
  <c r="W2081" i="7"/>
  <c r="W1994" i="7"/>
  <c r="W1907" i="7"/>
  <c r="W1825" i="7"/>
  <c r="W1738" i="7"/>
  <c r="W1651" i="7"/>
  <c r="W1571" i="7"/>
  <c r="W1531" i="7"/>
  <c r="W1493" i="7"/>
  <c r="W1457" i="7"/>
  <c r="W1427" i="7"/>
  <c r="W1391" i="7"/>
  <c r="W1358" i="7"/>
  <c r="W1334" i="7"/>
  <c r="W1305" i="7"/>
  <c r="W1278" i="7"/>
  <c r="W1258" i="7"/>
  <c r="W1231" i="7"/>
  <c r="W1205" i="7"/>
  <c r="W1185" i="7"/>
  <c r="W1162" i="7"/>
  <c r="W1145" i="7"/>
  <c r="W1129" i="7"/>
  <c r="W1113" i="7"/>
  <c r="W1097" i="7"/>
  <c r="W1081" i="7"/>
  <c r="W1065" i="7"/>
  <c r="W1049" i="7"/>
  <c r="W1033" i="7"/>
  <c r="W1017" i="7"/>
  <c r="W1001" i="7"/>
  <c r="W985" i="7"/>
  <c r="W969" i="7"/>
  <c r="W953" i="7"/>
  <c r="W937" i="7"/>
  <c r="W921" i="7"/>
  <c r="W905" i="7"/>
  <c r="W889" i="7"/>
  <c r="W873" i="7"/>
  <c r="W857" i="7"/>
  <c r="W841" i="7"/>
  <c r="W825" i="7"/>
  <c r="W809" i="7"/>
  <c r="W793" i="7"/>
  <c r="W777" i="7"/>
  <c r="W761" i="7"/>
  <c r="W745" i="7"/>
  <c r="W729" i="7"/>
  <c r="W713" i="7"/>
  <c r="W697" i="7"/>
  <c r="W681" i="7"/>
  <c r="W665" i="7"/>
  <c r="W649" i="7"/>
  <c r="W633" i="7"/>
  <c r="W617" i="7"/>
  <c r="W601" i="7"/>
  <c r="W585" i="7"/>
  <c r="W569" i="7"/>
  <c r="W553" i="7"/>
  <c r="W537" i="7"/>
  <c r="W521" i="7"/>
  <c r="W509" i="7"/>
  <c r="W495" i="7"/>
  <c r="W485" i="7"/>
  <c r="W475" i="7"/>
  <c r="W465" i="7"/>
  <c r="W456" i="7"/>
  <c r="W447" i="7"/>
  <c r="W439" i="7"/>
  <c r="W431" i="7"/>
  <c r="W423" i="7"/>
  <c r="W415" i="7"/>
  <c r="W407" i="7"/>
  <c r="W399" i="7"/>
  <c r="W391" i="7"/>
  <c r="W383" i="7"/>
  <c r="W375" i="7"/>
  <c r="W367" i="7"/>
  <c r="W359" i="7"/>
  <c r="W351" i="7"/>
  <c r="W343" i="7"/>
  <c r="W335" i="7"/>
  <c r="W327" i="7"/>
  <c r="W319" i="7"/>
  <c r="W311" i="7"/>
  <c r="W303" i="7"/>
  <c r="W295" i="7"/>
  <c r="W287" i="7"/>
  <c r="W279" i="7"/>
  <c r="W271" i="7"/>
  <c r="W263" i="7"/>
  <c r="W255" i="7"/>
  <c r="W247" i="7"/>
  <c r="W239" i="7"/>
  <c r="W231" i="7"/>
  <c r="W223" i="7"/>
  <c r="W215" i="7"/>
  <c r="W207" i="7"/>
  <c r="W199" i="7"/>
  <c r="W191" i="7"/>
  <c r="W183" i="7"/>
  <c r="W175" i="7"/>
  <c r="W167" i="7"/>
  <c r="W159" i="7"/>
  <c r="W151" i="7"/>
  <c r="W143" i="7"/>
  <c r="W135" i="7"/>
  <c r="W127" i="7"/>
  <c r="W119" i="7"/>
  <c r="W111" i="7"/>
  <c r="W103" i="7"/>
  <c r="W95" i="7"/>
  <c r="W87" i="7"/>
  <c r="W79" i="7"/>
  <c r="W71" i="7"/>
  <c r="W63" i="7"/>
  <c r="W55" i="7"/>
  <c r="W47" i="7"/>
  <c r="W39" i="7"/>
  <c r="W31" i="7"/>
  <c r="W22" i="7"/>
  <c r="W14" i="7"/>
  <c r="W6" i="7"/>
  <c r="W2490" i="7"/>
  <c r="W1891" i="7"/>
  <c r="W1635" i="7"/>
  <c r="W1521" i="7"/>
  <c r="W1357" i="7"/>
  <c r="W1230" i="7"/>
  <c r="W1127" i="7"/>
  <c r="W1047" i="7"/>
  <c r="W967" i="7"/>
  <c r="W871" i="7"/>
  <c r="W791" i="7"/>
  <c r="W711" i="7"/>
  <c r="W647" i="7"/>
  <c r="W567" i="7"/>
  <c r="W519" i="7"/>
  <c r="W464" i="7"/>
  <c r="W430" i="7"/>
  <c r="W390" i="7"/>
  <c r="W366" i="7"/>
  <c r="W334" i="7"/>
  <c r="W310" i="7"/>
  <c r="W278" i="7"/>
  <c r="W238" i="7"/>
  <c r="W198" i="7"/>
  <c r="W166" i="7"/>
  <c r="W126" i="7"/>
  <c r="W94" i="7"/>
  <c r="W62" i="7"/>
  <c r="W21" i="7"/>
  <c r="W445" i="7"/>
  <c r="W381" i="7"/>
  <c r="W333" i="7"/>
  <c r="W309" i="7"/>
  <c r="W261" i="7"/>
  <c r="W213" i="7"/>
  <c r="W181" i="7"/>
  <c r="W133" i="7"/>
  <c r="W85" i="7"/>
  <c r="W53" i="7"/>
  <c r="W20" i="7"/>
  <c r="W2298" i="7"/>
  <c r="W1699" i="7"/>
  <c r="W2483" i="7"/>
  <c r="W2401" i="7"/>
  <c r="W2314" i="7"/>
  <c r="W2227" i="7"/>
  <c r="W2145" i="7"/>
  <c r="W2058" i="7"/>
  <c r="W1971" i="7"/>
  <c r="W1889" i="7"/>
  <c r="W1802" i="7"/>
  <c r="W1715" i="7"/>
  <c r="W1633" i="7"/>
  <c r="W1569" i="7"/>
  <c r="W1519" i="7"/>
  <c r="W1482" i="7"/>
  <c r="W1453" i="7"/>
  <c r="W1417" i="7"/>
  <c r="W1379" i="7"/>
  <c r="W1355" i="7"/>
  <c r="W1325" i="7"/>
  <c r="W1297" i="7"/>
  <c r="W1276" i="7"/>
  <c r="W1250" i="7"/>
  <c r="W1223" i="7"/>
  <c r="W1203" i="7"/>
  <c r="W1177" i="7"/>
  <c r="W1158" i="7"/>
  <c r="W1142" i="7"/>
  <c r="W1126" i="7"/>
  <c r="W1110" i="7"/>
  <c r="W1094" i="7"/>
  <c r="W1078" i="7"/>
  <c r="W1062" i="7"/>
  <c r="W1046" i="7"/>
  <c r="W1030" i="7"/>
  <c r="W1014" i="7"/>
  <c r="W998" i="7"/>
  <c r="W982" i="7"/>
  <c r="W966" i="7"/>
  <c r="W950" i="7"/>
  <c r="W934" i="7"/>
  <c r="W918" i="7"/>
  <c r="W902" i="7"/>
  <c r="W886" i="7"/>
  <c r="W870" i="7"/>
  <c r="W854" i="7"/>
  <c r="W838" i="7"/>
  <c r="W822" i="7"/>
  <c r="W806" i="7"/>
  <c r="W790" i="7"/>
  <c r="W774" i="7"/>
  <c r="W758" i="7"/>
  <c r="W742" i="7"/>
  <c r="W726" i="7"/>
  <c r="W710" i="7"/>
  <c r="W694" i="7"/>
  <c r="W678" i="7"/>
  <c r="W662" i="7"/>
  <c r="W646" i="7"/>
  <c r="W630" i="7"/>
  <c r="W614" i="7"/>
  <c r="W598" i="7"/>
  <c r="W582" i="7"/>
  <c r="W566" i="7"/>
  <c r="W550" i="7"/>
  <c r="W534" i="7"/>
  <c r="W518" i="7"/>
  <c r="W504" i="7"/>
  <c r="W493" i="7"/>
  <c r="W481" i="7"/>
  <c r="W429" i="7"/>
  <c r="W421" i="7"/>
  <c r="W413" i="7"/>
  <c r="W405" i="7"/>
  <c r="W373" i="7"/>
  <c r="W325" i="7"/>
  <c r="W269" i="7"/>
  <c r="W221" i="7"/>
  <c r="W165" i="7"/>
  <c r="W117" i="7"/>
  <c r="W69" i="7"/>
  <c r="W12" i="7"/>
  <c r="W2042" i="7"/>
  <c r="W1955" i="7"/>
  <c r="W1517" i="7"/>
  <c r="W1269" i="7"/>
  <c r="W1109" i="7"/>
  <c r="W981" i="7"/>
  <c r="W853" i="7"/>
  <c r="W725" i="7"/>
  <c r="W597" i="7"/>
  <c r="W480" i="7"/>
  <c r="W412" i="7"/>
  <c r="W348" i="7"/>
  <c r="W284" i="7"/>
  <c r="W220" i="7"/>
  <c r="W156" i="7"/>
  <c r="W92" i="7"/>
  <c r="W28" i="7"/>
  <c r="W1249" i="7"/>
  <c r="W1093" i="7"/>
  <c r="W965" i="7"/>
  <c r="W837" i="7"/>
  <c r="W709" i="7"/>
  <c r="W581" i="7"/>
  <c r="W471" i="7"/>
  <c r="W404" i="7"/>
  <c r="W340" i="7"/>
  <c r="W276" i="7"/>
  <c r="W212" i="7"/>
  <c r="W148" i="7"/>
  <c r="W84" i="7"/>
  <c r="W19" i="7"/>
  <c r="W1077" i="7"/>
  <c r="W565" i="7"/>
  <c r="W396" i="7"/>
  <c r="W332" i="7"/>
  <c r="W204" i="7"/>
  <c r="W76" i="7"/>
  <c r="W1378" i="7"/>
  <c r="W661" i="7"/>
  <c r="W380" i="7"/>
  <c r="W188" i="7"/>
  <c r="W1157" i="7"/>
  <c r="W517" i="7"/>
  <c r="W244" i="7"/>
  <c r="W869" i="7"/>
  <c r="W420" i="7"/>
  <c r="W901" i="7"/>
  <c r="W356" i="7"/>
  <c r="W100" i="7"/>
  <c r="W1222" i="7"/>
  <c r="W949" i="7"/>
  <c r="W821" i="7"/>
  <c r="W693" i="7"/>
  <c r="W462" i="7"/>
  <c r="W268" i="7"/>
  <c r="W140" i="7"/>
  <c r="W11" i="7"/>
  <c r="W1045" i="7"/>
  <c r="W917" i="7"/>
  <c r="W533" i="7"/>
  <c r="W316" i="7"/>
  <c r="W124" i="7"/>
  <c r="W1347" i="7"/>
  <c r="W645" i="7"/>
  <c r="W372" i="7"/>
  <c r="W180" i="7"/>
  <c r="W52" i="7"/>
  <c r="W997" i="7"/>
  <c r="W613" i="7"/>
  <c r="W164" i="7"/>
  <c r="W1443" i="7"/>
  <c r="W1196" i="7"/>
  <c r="W1061" i="7"/>
  <c r="W933" i="7"/>
  <c r="W805" i="7"/>
  <c r="W677" i="7"/>
  <c r="W549" i="7"/>
  <c r="W453" i="7"/>
  <c r="W388" i="7"/>
  <c r="W324" i="7"/>
  <c r="W260" i="7"/>
  <c r="W196" i="7"/>
  <c r="W132" i="7"/>
  <c r="W68" i="7"/>
  <c r="W1175" i="7"/>
  <c r="W789" i="7"/>
  <c r="W444" i="7"/>
  <c r="W252" i="7"/>
  <c r="W60" i="7"/>
  <c r="W1029" i="7"/>
  <c r="W773" i="7"/>
  <c r="W436" i="7"/>
  <c r="W308" i="7"/>
  <c r="W116" i="7"/>
  <c r="W1125" i="7"/>
  <c r="W491" i="7"/>
  <c r="W292" i="7"/>
  <c r="W36" i="7"/>
  <c r="W1323" i="7"/>
  <c r="W1141" i="7"/>
  <c r="W1013" i="7"/>
  <c r="W885" i="7"/>
  <c r="W757" i="7"/>
  <c r="W629" i="7"/>
  <c r="W503" i="7"/>
  <c r="W428" i="7"/>
  <c r="W364" i="7"/>
  <c r="W300" i="7"/>
  <c r="W236" i="7"/>
  <c r="W172" i="7"/>
  <c r="W108" i="7"/>
  <c r="W44" i="7"/>
  <c r="W1295" i="7"/>
  <c r="W741" i="7"/>
  <c r="W228" i="7"/>
  <c r="E54" i="7"/>
  <c r="F54" i="7" l="1"/>
  <c r="F13" i="7" l="1"/>
  <c r="G13" i="7" s="1"/>
  <c r="I10" i="7"/>
  <c r="O8" i="7"/>
  <c r="N8" i="7"/>
  <c r="C6" i="7"/>
  <c r="C5" i="7" l="1"/>
  <c r="G35" i="7"/>
  <c r="H13" i="7"/>
  <c r="I13" i="7" l="1"/>
  <c r="H35" i="7"/>
  <c r="I35" i="7" l="1"/>
  <c r="J13" i="7"/>
  <c r="J35" i="7" l="1"/>
  <c r="K13" i="7"/>
  <c r="L13" i="7" s="1"/>
  <c r="M13" i="7" l="1"/>
  <c r="M35" i="7" s="1"/>
  <c r="L35" i="7"/>
  <c r="K35" i="7"/>
  <c r="AS158" i="5" l="1"/>
  <c r="AS152" i="5"/>
  <c r="AS53" i="5"/>
  <c r="AS51" i="5"/>
  <c r="AI53" i="5"/>
  <c r="AH53" i="5"/>
  <c r="AG53" i="5"/>
  <c r="AF53" i="5"/>
  <c r="AE53" i="5"/>
  <c r="AI51" i="5"/>
  <c r="AH51" i="5"/>
  <c r="AG51" i="5"/>
  <c r="AF51" i="5"/>
  <c r="AE51" i="5"/>
  <c r="Y85" i="9" l="1"/>
  <c r="AE85" i="9" s="1"/>
  <c r="AF85" i="9" s="1"/>
  <c r="AG85" i="9" s="1"/>
  <c r="AH85" i="9" s="1"/>
  <c r="AI85" i="9" s="1"/>
  <c r="AI158" i="5" s="1"/>
  <c r="X85" i="9"/>
  <c r="W85" i="9"/>
  <c r="V85" i="9"/>
  <c r="U85" i="9"/>
  <c r="T85" i="9"/>
  <c r="S85" i="9"/>
  <c r="R85" i="9"/>
  <c r="Q85" i="9"/>
  <c r="P85" i="9"/>
  <c r="O85" i="9"/>
  <c r="N85" i="9"/>
  <c r="M85" i="9"/>
  <c r="L85" i="9"/>
  <c r="K85" i="9"/>
  <c r="J85" i="9"/>
  <c r="I85" i="9"/>
  <c r="H85" i="9"/>
  <c r="G85" i="9"/>
  <c r="F85" i="9"/>
  <c r="E85" i="9"/>
  <c r="D85" i="9"/>
  <c r="AG144" i="4"/>
  <c r="AH144" i="4" s="1"/>
  <c r="AG143" i="4"/>
  <c r="AH143" i="4" s="1"/>
  <c r="AG142" i="4"/>
  <c r="AH142" i="4" s="1"/>
  <c r="AK164" i="5"/>
  <c r="AG158" i="5" l="1"/>
  <c r="AH158" i="5"/>
  <c r="AE158" i="5"/>
  <c r="AF158" i="5"/>
  <c r="K5" i="13" l="1"/>
  <c r="S39" i="4" l="1"/>
  <c r="O31" i="6"/>
  <c r="N31" i="6"/>
  <c r="M31" i="6"/>
  <c r="L31" i="6"/>
  <c r="K31" i="6"/>
  <c r="J31" i="6"/>
  <c r="I31" i="6"/>
  <c r="H31" i="6"/>
  <c r="G31" i="6"/>
  <c r="F31" i="6"/>
  <c r="E31" i="6"/>
  <c r="D31" i="6"/>
  <c r="H25" i="6"/>
  <c r="G25" i="6"/>
  <c r="F25" i="6"/>
  <c r="E25" i="6"/>
  <c r="D25" i="6"/>
  <c r="AG68" i="4"/>
  <c r="AF68" i="4"/>
  <c r="AE68" i="4"/>
  <c r="AD68" i="4"/>
  <c r="AC68" i="4"/>
  <c r="AB68" i="4"/>
  <c r="AA68" i="4"/>
  <c r="Z68" i="4"/>
  <c r="Y68" i="4"/>
  <c r="X68" i="4"/>
  <c r="W68" i="4"/>
  <c r="W69" i="4" s="1"/>
  <c r="V68" i="4"/>
  <c r="V69" i="4" s="1"/>
  <c r="U68" i="4"/>
  <c r="U69" i="4" s="1"/>
  <c r="S68" i="4"/>
  <c r="S69" i="4" s="1"/>
  <c r="R68" i="4"/>
  <c r="R69" i="4" s="1"/>
  <c r="Q68" i="4"/>
  <c r="Q69" i="4" s="1"/>
  <c r="T68" i="4"/>
  <c r="T69" i="4" s="1"/>
  <c r="W51" i="4"/>
  <c r="V51" i="4"/>
  <c r="U51" i="4"/>
  <c r="T51" i="4"/>
  <c r="W41" i="4"/>
  <c r="V41" i="4"/>
  <c r="U41" i="4"/>
  <c r="T41" i="4"/>
  <c r="P93" i="4"/>
  <c r="P69" i="4"/>
  <c r="AG113" i="4"/>
  <c r="AF113" i="4"/>
  <c r="AE113" i="4"/>
  <c r="AD113" i="4"/>
  <c r="AC113" i="4"/>
  <c r="AB113" i="4"/>
  <c r="AA113" i="4"/>
  <c r="Z113" i="4"/>
  <c r="Y113" i="4"/>
  <c r="X113" i="4"/>
  <c r="W113" i="4"/>
  <c r="V113" i="4"/>
  <c r="U113" i="4"/>
  <c r="T113" i="4"/>
  <c r="S113" i="4"/>
  <c r="R113" i="4"/>
  <c r="Q113" i="4"/>
  <c r="P113" i="4"/>
  <c r="O113" i="4"/>
  <c r="N113" i="4"/>
  <c r="M113" i="4"/>
  <c r="L113" i="4"/>
  <c r="Q112" i="4"/>
  <c r="P88" i="4"/>
  <c r="P83" i="4"/>
  <c r="P78" i="4"/>
  <c r="P73" i="4"/>
  <c r="P75" i="4" s="1"/>
  <c r="P72" i="4"/>
  <c r="G73" i="4"/>
  <c r="F73" i="4"/>
  <c r="F88" i="4"/>
  <c r="G83" i="4"/>
  <c r="F83" i="4"/>
  <c r="G78" i="4"/>
  <c r="F78" i="4"/>
  <c r="I132" i="6" l="1"/>
  <c r="I134" i="6" s="1"/>
  <c r="J132" i="6"/>
  <c r="J134" i="6" s="1"/>
  <c r="D132" i="6"/>
  <c r="D134" i="6" s="1"/>
  <c r="E132" i="6"/>
  <c r="E134" i="6" s="1"/>
  <c r="F132" i="6"/>
  <c r="F134" i="6" s="1"/>
  <c r="G132" i="6"/>
  <c r="G134" i="6" s="1"/>
  <c r="H132" i="6"/>
  <c r="H134" i="6" s="1"/>
  <c r="K33" i="6"/>
  <c r="O33" i="6"/>
  <c r="G28" i="6"/>
  <c r="J33" i="6"/>
  <c r="L33" i="6"/>
  <c r="N33" i="6"/>
  <c r="N32" i="6"/>
  <c r="M33" i="6"/>
  <c r="M32" i="6"/>
  <c r="D28" i="6"/>
  <c r="O32" i="6"/>
  <c r="E28" i="6"/>
  <c r="F28" i="6"/>
  <c r="H28" i="6"/>
  <c r="E69" i="4" l="1"/>
  <c r="D69" i="4"/>
  <c r="O69" i="4"/>
  <c r="N69" i="4"/>
  <c r="M69" i="4"/>
  <c r="L69" i="4"/>
  <c r="O73" i="4"/>
  <c r="N73" i="4"/>
  <c r="M73" i="4"/>
  <c r="L73" i="4"/>
  <c r="D25" i="2"/>
  <c r="P4" i="12" l="1"/>
  <c r="G6" i="6"/>
  <c r="F6" i="6"/>
  <c r="E6" i="6"/>
  <c r="D6" i="6"/>
  <c r="H6" i="6"/>
  <c r="L137" i="12"/>
  <c r="L73" i="12"/>
  <c r="L45" i="12"/>
  <c r="H47" i="12"/>
  <c r="E127" i="12"/>
  <c r="L163" i="12"/>
  <c r="N125" i="12"/>
  <c r="N93" i="12"/>
  <c r="F49" i="12"/>
  <c r="N135" i="12"/>
  <c r="L71" i="12"/>
  <c r="N43" i="12"/>
  <c r="L41" i="12"/>
  <c r="I101" i="12"/>
  <c r="N161" i="12"/>
  <c r="N123" i="12"/>
  <c r="N91" i="12"/>
  <c r="K163" i="12"/>
  <c r="M121" i="12"/>
  <c r="E89" i="12"/>
  <c r="E39" i="12"/>
  <c r="L159" i="12"/>
  <c r="J127" i="12"/>
  <c r="L93" i="12"/>
  <c r="F47" i="12"/>
  <c r="K87" i="12"/>
  <c r="M143" i="12"/>
  <c r="K107" i="12"/>
  <c r="E55" i="12"/>
  <c r="K157" i="12"/>
  <c r="J145" i="12"/>
  <c r="L87" i="12"/>
  <c r="H51" i="12"/>
  <c r="K153" i="12"/>
  <c r="H85" i="12"/>
  <c r="E121" i="12"/>
  <c r="G101" i="12"/>
  <c r="G85" i="12"/>
  <c r="L143" i="12"/>
  <c r="L85" i="12"/>
  <c r="J49" i="12"/>
  <c r="E129" i="12"/>
  <c r="I85" i="12"/>
  <c r="E161" i="12"/>
  <c r="G103" i="12"/>
  <c r="I37" i="12"/>
  <c r="F135" i="12"/>
  <c r="L69" i="12"/>
  <c r="N41" i="12"/>
  <c r="M163" i="12"/>
  <c r="K99" i="12"/>
  <c r="N159" i="12"/>
  <c r="N121" i="12"/>
  <c r="N89" i="12"/>
  <c r="M161" i="12"/>
  <c r="M119" i="12"/>
  <c r="I69" i="12"/>
  <c r="K155" i="12"/>
  <c r="N157" i="12"/>
  <c r="L125" i="12"/>
  <c r="L91" i="12"/>
  <c r="J41" i="12"/>
  <c r="K83" i="12"/>
  <c r="E143" i="12"/>
  <c r="K105" i="12"/>
  <c r="I51" i="12"/>
  <c r="M151" i="12"/>
  <c r="H133" i="12"/>
  <c r="N67" i="12"/>
  <c r="F41" i="12"/>
  <c r="E163" i="12"/>
  <c r="M97" i="12"/>
  <c r="F159" i="12"/>
  <c r="N119" i="12"/>
  <c r="F89" i="12"/>
  <c r="M159" i="12"/>
  <c r="M117" i="12"/>
  <c r="K67" i="12"/>
  <c r="I145" i="12"/>
  <c r="N155" i="12"/>
  <c r="L123" i="12"/>
  <c r="L89" i="12"/>
  <c r="L39" i="12"/>
  <c r="M77" i="12"/>
  <c r="I135" i="12"/>
  <c r="K103" i="12"/>
  <c r="K49" i="12"/>
  <c r="K143" i="12"/>
  <c r="N141" i="12"/>
  <c r="L83" i="12"/>
  <c r="J131" i="12"/>
  <c r="N65" i="12"/>
  <c r="H39" i="12"/>
  <c r="K151" i="12"/>
  <c r="K79" i="12"/>
  <c r="L149" i="12"/>
  <c r="N117" i="12"/>
  <c r="J69" i="12"/>
  <c r="E159" i="12"/>
  <c r="M115" i="12"/>
  <c r="K65" i="12"/>
  <c r="M139" i="12"/>
  <c r="N153" i="12"/>
  <c r="L121" i="12"/>
  <c r="N87" i="12"/>
  <c r="N37" i="12"/>
  <c r="E69" i="12"/>
  <c r="K133" i="12"/>
  <c r="M101" i="12"/>
  <c r="M47" i="12"/>
  <c r="I133" i="12"/>
  <c r="N139" i="12"/>
  <c r="L81" i="12"/>
  <c r="N45" i="12"/>
  <c r="K81" i="12"/>
  <c r="H37" i="12"/>
  <c r="F119" i="12"/>
  <c r="G51" i="12"/>
  <c r="G41" i="12"/>
  <c r="G53" i="12"/>
  <c r="M39" i="12"/>
  <c r="M21" i="12"/>
  <c r="I159" i="12"/>
  <c r="L129" i="12"/>
  <c r="N63" i="12"/>
  <c r="K71" i="12"/>
  <c r="M149" i="12"/>
  <c r="K77" i="12"/>
  <c r="N147" i="12"/>
  <c r="N115" i="12"/>
  <c r="L67" i="12"/>
  <c r="K149" i="12"/>
  <c r="M113" i="12"/>
  <c r="K63" i="12"/>
  <c r="E137" i="12"/>
  <c r="F153" i="12"/>
  <c r="L119" i="12"/>
  <c r="N85" i="12"/>
  <c r="N35" i="12"/>
  <c r="I57" i="12"/>
  <c r="M131" i="12"/>
  <c r="E101" i="12"/>
  <c r="E47" i="12"/>
  <c r="I103" i="12"/>
  <c r="N137" i="12"/>
  <c r="N79" i="12"/>
  <c r="H41" i="12"/>
  <c r="M71" i="12"/>
  <c r="J85" i="12"/>
  <c r="E119" i="12"/>
  <c r="G161" i="12"/>
  <c r="L113" i="12"/>
  <c r="N73" i="12"/>
  <c r="N39" i="12"/>
  <c r="G49" i="12"/>
  <c r="L49" i="12"/>
  <c r="K25" i="12"/>
  <c r="L95" i="12"/>
  <c r="J89" i="12"/>
  <c r="N163" i="12"/>
  <c r="N127" i="12"/>
  <c r="N61" i="12"/>
  <c r="M67" i="12"/>
  <c r="E149" i="12"/>
  <c r="K75" i="12"/>
  <c r="N145" i="12"/>
  <c r="N113" i="12"/>
  <c r="L65" i="12"/>
  <c r="M147" i="12"/>
  <c r="M111" i="12"/>
  <c r="K61" i="12"/>
  <c r="K131" i="12"/>
  <c r="J149" i="12"/>
  <c r="L117" i="12"/>
  <c r="N83" i="12"/>
  <c r="N33" i="12"/>
  <c r="K37" i="12"/>
  <c r="E131" i="12"/>
  <c r="K95" i="12"/>
  <c r="I41" i="12"/>
  <c r="K85" i="12"/>
  <c r="F137" i="12"/>
  <c r="N77" i="12"/>
  <c r="J39" i="12"/>
  <c r="M53" i="12"/>
  <c r="J37" i="12"/>
  <c r="F141" i="12"/>
  <c r="G39" i="12"/>
  <c r="H135" i="12"/>
  <c r="L37" i="12"/>
  <c r="K47" i="12"/>
  <c r="G127" i="12"/>
  <c r="M107" i="12"/>
  <c r="N29" i="12"/>
  <c r="K125" i="12"/>
  <c r="K91" i="12"/>
  <c r="G59" i="12"/>
  <c r="G69" i="12"/>
  <c r="M81" i="12"/>
  <c r="J103" i="12"/>
  <c r="L25" i="12"/>
  <c r="M23" i="12"/>
  <c r="F37" i="12"/>
  <c r="M123" i="12"/>
  <c r="N47" i="12"/>
  <c r="H149" i="12"/>
  <c r="E37" i="12"/>
  <c r="F163" i="12"/>
  <c r="F127" i="12"/>
  <c r="N59" i="12"/>
  <c r="M65" i="12"/>
  <c r="I143" i="12"/>
  <c r="K73" i="12"/>
  <c r="F145" i="12"/>
  <c r="N111" i="12"/>
  <c r="L63" i="12"/>
  <c r="M145" i="12"/>
  <c r="M109" i="12"/>
  <c r="K59" i="12"/>
  <c r="M99" i="12"/>
  <c r="L147" i="12"/>
  <c r="L115" i="12"/>
  <c r="N81" i="12"/>
  <c r="N31" i="12"/>
  <c r="I163" i="12"/>
  <c r="I127" i="12"/>
  <c r="K93" i="12"/>
  <c r="K39" i="12"/>
  <c r="K55" i="12"/>
  <c r="N75" i="12"/>
  <c r="H121" i="12"/>
  <c r="G149" i="12"/>
  <c r="E145" i="12"/>
  <c r="M57" i="12"/>
  <c r="M79" i="12"/>
  <c r="L145" i="12"/>
  <c r="H69" i="12"/>
  <c r="K161" i="12"/>
  <c r="M37" i="12"/>
  <c r="J133" i="12"/>
  <c r="J121" i="12"/>
  <c r="E153" i="12"/>
  <c r="L155" i="12"/>
  <c r="K29" i="12"/>
  <c r="K147" i="12"/>
  <c r="K57" i="12"/>
  <c r="N53" i="12"/>
  <c r="K145" i="12"/>
  <c r="K109" i="12"/>
  <c r="H159" i="12"/>
  <c r="H103" i="12"/>
  <c r="F59" i="12"/>
  <c r="M63" i="12"/>
  <c r="K141" i="12"/>
  <c r="K69" i="12"/>
  <c r="H143" i="12"/>
  <c r="N109" i="12"/>
  <c r="L61" i="12"/>
  <c r="I49" i="12"/>
  <c r="L35" i="12"/>
  <c r="G133" i="12"/>
  <c r="K115" i="12"/>
  <c r="E85" i="12"/>
  <c r="K101" i="12"/>
  <c r="L151" i="12"/>
  <c r="J101" i="12"/>
  <c r="H57" i="12"/>
  <c r="M61" i="12"/>
  <c r="K139" i="12"/>
  <c r="E59" i="12"/>
  <c r="J137" i="12"/>
  <c r="N107" i="12"/>
  <c r="L59" i="12"/>
  <c r="I137" i="12"/>
  <c r="M105" i="12"/>
  <c r="E57" i="12"/>
  <c r="M75" i="12"/>
  <c r="N143" i="12"/>
  <c r="L111" i="12"/>
  <c r="J59" i="12"/>
  <c r="N27" i="12"/>
  <c r="K159" i="12"/>
  <c r="K123" i="12"/>
  <c r="K89" i="12"/>
  <c r="M35" i="12"/>
  <c r="K35" i="12"/>
  <c r="L131" i="12"/>
  <c r="N71" i="12"/>
  <c r="L33" i="12"/>
  <c r="M18" i="12"/>
  <c r="I121" i="12"/>
  <c r="G145" i="12"/>
  <c r="F101" i="12"/>
  <c r="N18" i="12"/>
  <c r="G55" i="12"/>
  <c r="N149" i="12"/>
  <c r="L99" i="12"/>
  <c r="J55" i="12"/>
  <c r="M59" i="12"/>
  <c r="K137" i="12"/>
  <c r="K53" i="12"/>
  <c r="L135" i="12"/>
  <c r="N105" i="12"/>
  <c r="N57" i="12"/>
  <c r="K135" i="12"/>
  <c r="M103" i="12"/>
  <c r="I53" i="12"/>
  <c r="M73" i="12"/>
  <c r="F143" i="12"/>
  <c r="L109" i="12"/>
  <c r="L57" i="12"/>
  <c r="N25" i="12"/>
  <c r="M157" i="12"/>
  <c r="K121" i="12"/>
  <c r="M87" i="12"/>
  <c r="M33" i="12"/>
  <c r="H163" i="12"/>
  <c r="N129" i="12"/>
  <c r="N69" i="12"/>
  <c r="L31" i="12"/>
  <c r="F39" i="12"/>
  <c r="F121" i="12"/>
  <c r="G37" i="12"/>
  <c r="G57" i="12"/>
  <c r="E87" i="12"/>
  <c r="G87" i="12"/>
  <c r="M27" i="12"/>
  <c r="J57" i="12"/>
  <c r="G121" i="12"/>
  <c r="K111" i="12"/>
  <c r="N151" i="12"/>
  <c r="L161" i="12"/>
  <c r="G47" i="12"/>
  <c r="F161" i="12"/>
  <c r="F149" i="12"/>
  <c r="N97" i="12"/>
  <c r="L53" i="12"/>
  <c r="I55" i="12"/>
  <c r="M135" i="12"/>
  <c r="E51" i="12"/>
  <c r="N133" i="12"/>
  <c r="N103" i="12"/>
  <c r="F57" i="12"/>
  <c r="M133" i="12"/>
  <c r="E103" i="12"/>
  <c r="K51" i="12"/>
  <c r="M69" i="12"/>
  <c r="H137" i="12"/>
  <c r="L107" i="12"/>
  <c r="N55" i="12"/>
  <c r="N23" i="12"/>
  <c r="M155" i="12"/>
  <c r="K119" i="12"/>
  <c r="M85" i="12"/>
  <c r="M31" i="12"/>
  <c r="J159" i="12"/>
  <c r="F129" i="12"/>
  <c r="F69" i="12"/>
  <c r="L29" i="12"/>
  <c r="K33" i="12"/>
  <c r="F87" i="12"/>
  <c r="G141" i="12"/>
  <c r="G129" i="12"/>
  <c r="M29" i="12"/>
  <c r="L157" i="12"/>
  <c r="H127" i="12"/>
  <c r="H59" i="12"/>
  <c r="L27" i="12"/>
  <c r="K31" i="12"/>
  <c r="G135" i="12"/>
  <c r="H145" i="12"/>
  <c r="H89" i="12"/>
  <c r="N51" i="12"/>
  <c r="M51" i="12"/>
  <c r="E135" i="12"/>
  <c r="I47" i="12"/>
  <c r="F133" i="12"/>
  <c r="F103" i="12"/>
  <c r="H55" i="12"/>
  <c r="E133" i="12"/>
  <c r="K97" i="12"/>
  <c r="M49" i="12"/>
  <c r="E53" i="12"/>
  <c r="J135" i="12"/>
  <c r="L105" i="12"/>
  <c r="F55" i="12"/>
  <c r="N21" i="12"/>
  <c r="M153" i="12"/>
  <c r="K117" i="12"/>
  <c r="M83" i="12"/>
  <c r="M89" i="12"/>
  <c r="M55" i="12"/>
  <c r="I89" i="12"/>
  <c r="J143" i="12"/>
  <c r="L79" i="12"/>
  <c r="F51" i="12"/>
  <c r="K45" i="12"/>
  <c r="I131" i="12"/>
  <c r="M43" i="12"/>
  <c r="H131" i="12"/>
  <c r="H101" i="12"/>
  <c r="J53" i="12"/>
  <c r="I129" i="12"/>
  <c r="M95" i="12"/>
  <c r="E49" i="12"/>
  <c r="M45" i="12"/>
  <c r="L133" i="12"/>
  <c r="L103" i="12"/>
  <c r="H53" i="12"/>
  <c r="M141" i="12"/>
  <c r="L141" i="12"/>
  <c r="L77" i="12"/>
  <c r="H49" i="12"/>
  <c r="M41" i="12"/>
  <c r="K129" i="12"/>
  <c r="E41" i="12"/>
  <c r="J129" i="12"/>
  <c r="L97" i="12"/>
  <c r="L51" i="12"/>
  <c r="K127" i="12"/>
  <c r="M93" i="12"/>
  <c r="K43" i="12"/>
  <c r="I39" i="12"/>
  <c r="N131" i="12"/>
  <c r="N101" i="12"/>
  <c r="J51" i="12"/>
  <c r="M137" i="12"/>
  <c r="I149" i="12"/>
  <c r="K113" i="12"/>
  <c r="I59" i="12"/>
  <c r="M25" i="12"/>
  <c r="L153" i="12"/>
  <c r="L101" i="12"/>
  <c r="L55" i="12"/>
  <c r="L23" i="12"/>
  <c r="K27" i="12"/>
  <c r="F85" i="12"/>
  <c r="G131" i="12"/>
  <c r="G159" i="12"/>
  <c r="K41" i="12"/>
  <c r="J163" i="12"/>
  <c r="F131" i="12"/>
  <c r="M129" i="12"/>
  <c r="N99" i="12"/>
  <c r="G89" i="12"/>
  <c r="H129" i="12"/>
  <c r="K23" i="12"/>
  <c r="G137" i="12"/>
  <c r="G143" i="12"/>
  <c r="L139" i="12"/>
  <c r="L75" i="12"/>
  <c r="J47" i="12"/>
  <c r="G13" i="12"/>
  <c r="M127" i="12"/>
  <c r="L43" i="12"/>
  <c r="L127" i="12"/>
  <c r="N95" i="12"/>
  <c r="N49" i="12"/>
  <c r="M125" i="12"/>
  <c r="M91" i="12"/>
  <c r="F53" i="12"/>
  <c r="L47" i="12"/>
  <c r="G163" i="12"/>
  <c r="D164" i="5" l="1"/>
  <c r="H120" i="5"/>
  <c r="G120" i="5"/>
  <c r="F120" i="5"/>
  <c r="E120" i="5"/>
  <c r="D120" i="5"/>
  <c r="D160" i="5"/>
  <c r="E159" i="5"/>
  <c r="D159" i="5"/>
  <c r="E158" i="5"/>
  <c r="D158" i="5"/>
  <c r="E157" i="5"/>
  <c r="D157" i="5"/>
  <c r="E156" i="5"/>
  <c r="D156" i="5"/>
  <c r="E155" i="5"/>
  <c r="D155" i="5"/>
  <c r="E154" i="5"/>
  <c r="D154" i="5"/>
  <c r="E153" i="5"/>
  <c r="D153" i="5"/>
  <c r="E152" i="5"/>
  <c r="D152" i="5"/>
  <c r="E151" i="5"/>
  <c r="D151" i="5"/>
  <c r="E150" i="5"/>
  <c r="D150" i="5"/>
  <c r="E147" i="5"/>
  <c r="D147" i="5"/>
  <c r="E146" i="5"/>
  <c r="D146" i="5"/>
  <c r="E145" i="5"/>
  <c r="D145" i="5"/>
  <c r="E144" i="5"/>
  <c r="E171" i="5" s="1"/>
  <c r="D144" i="5"/>
  <c r="D171" i="5" s="1"/>
  <c r="E143" i="5"/>
  <c r="D143" i="5"/>
  <c r="E142" i="5"/>
  <c r="D142" i="5"/>
  <c r="E139" i="5"/>
  <c r="D139" i="5"/>
  <c r="E138" i="5"/>
  <c r="D138" i="5"/>
  <c r="E137" i="5"/>
  <c r="D137" i="5"/>
  <c r="E136" i="5"/>
  <c r="D136" i="5"/>
  <c r="E135" i="5"/>
  <c r="D135" i="5"/>
  <c r="E134" i="5"/>
  <c r="D134" i="5"/>
  <c r="E133" i="5"/>
  <c r="D133" i="5"/>
  <c r="E132" i="5"/>
  <c r="D132" i="5"/>
  <c r="E131" i="5"/>
  <c r="D131" i="5"/>
  <c r="E129" i="5"/>
  <c r="D129" i="5"/>
  <c r="E128" i="5"/>
  <c r="D128" i="5"/>
  <c r="E127" i="5"/>
  <c r="D127" i="5"/>
  <c r="E126" i="5"/>
  <c r="D126" i="5"/>
  <c r="E125" i="5"/>
  <c r="E35" i="9" s="1"/>
  <c r="D125" i="5"/>
  <c r="D35" i="9" s="1"/>
  <c r="E124" i="5"/>
  <c r="D124" i="5"/>
  <c r="E123" i="5"/>
  <c r="D123" i="5"/>
  <c r="E122" i="5"/>
  <c r="D122" i="5"/>
  <c r="E116" i="5"/>
  <c r="D116" i="5"/>
  <c r="E115" i="5"/>
  <c r="D115" i="5"/>
  <c r="E114" i="5"/>
  <c r="D114" i="5"/>
  <c r="E109" i="5"/>
  <c r="D109" i="5"/>
  <c r="E108" i="5"/>
  <c r="D108" i="5"/>
  <c r="E107" i="5"/>
  <c r="D107" i="5"/>
  <c r="E106" i="5"/>
  <c r="D106" i="5"/>
  <c r="E105" i="5"/>
  <c r="D105" i="5"/>
  <c r="E103" i="5"/>
  <c r="D103" i="5"/>
  <c r="E101" i="5"/>
  <c r="D101" i="5"/>
  <c r="E100" i="5"/>
  <c r="C7" i="14" s="1"/>
  <c r="D100" i="5"/>
  <c r="B7" i="14" s="1"/>
  <c r="E99" i="5"/>
  <c r="D99" i="5"/>
  <c r="E98" i="5"/>
  <c r="D98" i="5"/>
  <c r="E97" i="5"/>
  <c r="D97" i="5"/>
  <c r="E96" i="5"/>
  <c r="C6" i="14" s="1"/>
  <c r="D96" i="5"/>
  <c r="B6" i="14" s="1"/>
  <c r="E95" i="5"/>
  <c r="C5" i="14" s="1"/>
  <c r="D95" i="5"/>
  <c r="B5" i="14" s="1"/>
  <c r="E93" i="5"/>
  <c r="D93" i="5"/>
  <c r="E92" i="5"/>
  <c r="C4" i="14" s="1"/>
  <c r="D92" i="5"/>
  <c r="B4" i="14" s="1"/>
  <c r="E91" i="5"/>
  <c r="D91" i="5"/>
  <c r="E90" i="5"/>
  <c r="D90" i="5"/>
  <c r="E89" i="5"/>
  <c r="D89" i="5"/>
  <c r="E88" i="5"/>
  <c r="C3" i="14" s="1"/>
  <c r="D88" i="5"/>
  <c r="B3" i="14" s="1"/>
  <c r="E83" i="5"/>
  <c r="E67" i="9" s="1"/>
  <c r="D83" i="5"/>
  <c r="D67" i="9" s="1"/>
  <c r="E82" i="5"/>
  <c r="D82" i="5"/>
  <c r="E81" i="5"/>
  <c r="D81" i="5"/>
  <c r="E80" i="5"/>
  <c r="D80" i="5"/>
  <c r="E79" i="5"/>
  <c r="D79" i="5"/>
  <c r="E78" i="5"/>
  <c r="D78" i="5"/>
  <c r="E77" i="5"/>
  <c r="D77" i="5"/>
  <c r="E76" i="5"/>
  <c r="D76" i="5"/>
  <c r="E74" i="5"/>
  <c r="E66" i="9" s="1"/>
  <c r="D74" i="5"/>
  <c r="D66" i="9" s="1"/>
  <c r="E73" i="5"/>
  <c r="D73" i="5"/>
  <c r="E72" i="5"/>
  <c r="D72" i="5"/>
  <c r="E71" i="5"/>
  <c r="D71" i="5"/>
  <c r="E69" i="5"/>
  <c r="C8" i="14" s="1"/>
  <c r="D69" i="5"/>
  <c r="B8" i="14" s="1"/>
  <c r="E54" i="5"/>
  <c r="D54" i="5"/>
  <c r="E52" i="5"/>
  <c r="D52" i="5"/>
  <c r="E50" i="5"/>
  <c r="D50" i="5"/>
  <c r="E49" i="5"/>
  <c r="D49" i="5"/>
  <c r="E48" i="5"/>
  <c r="D48" i="5"/>
  <c r="E31" i="5"/>
  <c r="D31" i="5"/>
  <c r="E29" i="5"/>
  <c r="D29" i="5"/>
  <c r="E26" i="5"/>
  <c r="D26" i="5"/>
  <c r="E21" i="5"/>
  <c r="E47" i="5" s="1"/>
  <c r="D21" i="5"/>
  <c r="D47" i="5" s="1"/>
  <c r="E20" i="5"/>
  <c r="E53" i="5" s="1"/>
  <c r="D20" i="5"/>
  <c r="D53" i="5" s="1"/>
  <c r="E19" i="5"/>
  <c r="E51" i="5" s="1"/>
  <c r="D19" i="5"/>
  <c r="D51" i="5" s="1"/>
  <c r="E18" i="5"/>
  <c r="D18" i="5"/>
  <c r="E17" i="5"/>
  <c r="D17" i="5"/>
  <c r="E16" i="5"/>
  <c r="D16" i="5"/>
  <c r="E13" i="5"/>
  <c r="D13" i="5"/>
  <c r="E12" i="5"/>
  <c r="D12" i="5"/>
  <c r="E11" i="5"/>
  <c r="D11" i="5"/>
  <c r="E10" i="5"/>
  <c r="D10" i="5"/>
  <c r="E9" i="5"/>
  <c r="D9" i="5"/>
  <c r="E7" i="5"/>
  <c r="D7" i="5"/>
  <c r="E6" i="5"/>
  <c r="D6" i="5"/>
  <c r="E141" i="12"/>
  <c r="F147" i="12"/>
  <c r="E147" i="12"/>
  <c r="G119" i="12"/>
  <c r="H161" i="12"/>
  <c r="H87" i="12"/>
  <c r="J161" i="12"/>
  <c r="I161" i="12"/>
  <c r="J87" i="12"/>
  <c r="I87" i="12"/>
  <c r="G147" i="12"/>
  <c r="D86" i="9" l="1"/>
  <c r="E65" i="9"/>
  <c r="D65" i="9"/>
  <c r="D41" i="5"/>
  <c r="B9" i="14"/>
  <c r="C9" i="14"/>
  <c r="D110" i="5"/>
  <c r="D148" i="5"/>
  <c r="E41" i="5"/>
  <c r="D42" i="5"/>
  <c r="E172" i="5"/>
  <c r="E68" i="9"/>
  <c r="E42" i="5"/>
  <c r="D172" i="5"/>
  <c r="D68" i="9"/>
  <c r="E86" i="9"/>
  <c r="D22" i="5"/>
  <c r="E110" i="5"/>
  <c r="E148" i="5"/>
  <c r="E22" i="5"/>
  <c r="E8" i="5"/>
  <c r="E102" i="5"/>
  <c r="D161" i="5"/>
  <c r="D102" i="5"/>
  <c r="D8" i="5"/>
  <c r="D14" i="5"/>
  <c r="E14" i="5"/>
  <c r="D170" i="5"/>
  <c r="E170" i="5"/>
  <c r="E70" i="9" l="1"/>
  <c r="D23" i="5"/>
  <c r="D43" i="5" s="1"/>
  <c r="E23" i="5"/>
  <c r="E43" i="5" s="1"/>
  <c r="D140" i="5"/>
  <c r="E140" i="5"/>
  <c r="D46" i="5" l="1"/>
  <c r="D56" i="5" s="1"/>
  <c r="D59" i="5" s="1"/>
  <c r="E46" i="5"/>
  <c r="E56" i="5" s="1"/>
  <c r="E169" i="5"/>
  <c r="E178" i="5" s="1"/>
  <c r="D169" i="5"/>
  <c r="D178" i="5" s="1"/>
  <c r="D162" i="5"/>
  <c r="D165" i="5" s="1"/>
  <c r="D58" i="5" l="1"/>
  <c r="E58" i="5"/>
  <c r="E59" i="5"/>
  <c r="D166" i="5"/>
  <c r="E164" i="5"/>
  <c r="D174" i="5"/>
  <c r="D173" i="5"/>
  <c r="E174" i="5"/>
  <c r="E173" i="5"/>
  <c r="E175" i="5" l="1"/>
  <c r="E176" i="5"/>
  <c r="D175" i="5"/>
  <c r="D176" i="5"/>
  <c r="K84" i="2"/>
  <c r="D87" i="5" s="1"/>
  <c r="D94" i="5" s="1"/>
  <c r="D111" i="5" s="1"/>
  <c r="K67" i="2"/>
  <c r="D70" i="5" s="1"/>
  <c r="D75" i="5" s="1"/>
  <c r="D84" i="5" s="1"/>
  <c r="D112" i="5" l="1"/>
  <c r="L84" i="2"/>
  <c r="E87" i="5" s="1"/>
  <c r="E94" i="5" s="1"/>
  <c r="E111" i="5" s="1"/>
  <c r="L67" i="2"/>
  <c r="L157" i="2"/>
  <c r="M84" i="2"/>
  <c r="M91" i="2" s="1"/>
  <c r="M67" i="2"/>
  <c r="M72" i="2" s="1"/>
  <c r="M81" i="2" s="1"/>
  <c r="O170" i="2"/>
  <c r="N170" i="2"/>
  <c r="M170" i="2"/>
  <c r="L170" i="2"/>
  <c r="K170" i="2"/>
  <c r="O169" i="2"/>
  <c r="N169" i="2"/>
  <c r="M169" i="2"/>
  <c r="L169" i="2"/>
  <c r="K169" i="2"/>
  <c r="O168" i="2"/>
  <c r="N168" i="2"/>
  <c r="M168" i="2"/>
  <c r="L168" i="2"/>
  <c r="K168" i="2"/>
  <c r="N144" i="2"/>
  <c r="N145" i="2" s="1"/>
  <c r="O144" i="2"/>
  <c r="N84" i="2"/>
  <c r="N91" i="2" s="1"/>
  <c r="O84" i="2"/>
  <c r="O91" i="2" s="1"/>
  <c r="N67" i="2"/>
  <c r="N72" i="2" s="1"/>
  <c r="N81" i="2" s="1"/>
  <c r="O67" i="2"/>
  <c r="O72" i="2" s="1"/>
  <c r="O81" i="2" s="1"/>
  <c r="Q54" i="2"/>
  <c r="P54" i="2"/>
  <c r="O54" i="2"/>
  <c r="N54" i="2"/>
  <c r="M54" i="2"/>
  <c r="L54" i="2"/>
  <c r="K54" i="2"/>
  <c r="R52" i="2"/>
  <c r="Q52" i="2"/>
  <c r="O52" i="2"/>
  <c r="N52" i="2"/>
  <c r="M52" i="2"/>
  <c r="L52" i="2"/>
  <c r="K52" i="2"/>
  <c r="P52" i="2"/>
  <c r="L25" i="2"/>
  <c r="E25" i="5" s="1"/>
  <c r="E27" i="5" s="1"/>
  <c r="E28" i="5" s="1"/>
  <c r="E30" i="5" s="1"/>
  <c r="E32" i="5" s="1"/>
  <c r="K25" i="2"/>
  <c r="D25" i="5" s="1"/>
  <c r="D27" i="5" s="1"/>
  <c r="D28" i="5" s="1"/>
  <c r="D30" i="5" s="1"/>
  <c r="D32" i="5" s="1"/>
  <c r="L22" i="2"/>
  <c r="K22" i="2"/>
  <c r="L14" i="2"/>
  <c r="K14" i="2"/>
  <c r="L47" i="2"/>
  <c r="K47" i="2"/>
  <c r="M28" i="4"/>
  <c r="Q170" i="2"/>
  <c r="P170" i="2"/>
  <c r="Q169" i="2"/>
  <c r="P169" i="2"/>
  <c r="Q168" i="2"/>
  <c r="P168" i="2"/>
  <c r="P90" i="2"/>
  <c r="P84" i="2"/>
  <c r="P71" i="2"/>
  <c r="P67" i="2"/>
  <c r="Q107" i="2"/>
  <c r="P107" i="2"/>
  <c r="O107" i="2"/>
  <c r="N107" i="2"/>
  <c r="M107" i="2"/>
  <c r="L107" i="2"/>
  <c r="K107" i="2"/>
  <c r="Q99" i="2"/>
  <c r="P99" i="2"/>
  <c r="O99" i="2"/>
  <c r="N99" i="2"/>
  <c r="M99" i="2"/>
  <c r="L99" i="2"/>
  <c r="K99" i="2"/>
  <c r="K91" i="2"/>
  <c r="Q84" i="2"/>
  <c r="Q91" i="2" s="1"/>
  <c r="K72" i="2"/>
  <c r="K81" i="2" s="1"/>
  <c r="Q67" i="2"/>
  <c r="Q72" i="2" s="1"/>
  <c r="Q81" i="2" s="1"/>
  <c r="S84" i="2"/>
  <c r="S67" i="2"/>
  <c r="Q157" i="2"/>
  <c r="Q158" i="2" s="1"/>
  <c r="Q144" i="2"/>
  <c r="Q145" i="2" s="1"/>
  <c r="Q25" i="2"/>
  <c r="Y154" i="5"/>
  <c r="X154" i="5"/>
  <c r="W154" i="5"/>
  <c r="V154" i="5"/>
  <c r="U154" i="5"/>
  <c r="T154" i="5"/>
  <c r="S154" i="5"/>
  <c r="R154" i="5"/>
  <c r="Q154" i="5"/>
  <c r="P154" i="5"/>
  <c r="O154" i="5"/>
  <c r="N154" i="5"/>
  <c r="M154" i="5"/>
  <c r="L154" i="5"/>
  <c r="K154" i="5"/>
  <c r="J154" i="5"/>
  <c r="I154" i="5"/>
  <c r="H154" i="5"/>
  <c r="G154" i="5"/>
  <c r="F154" i="5"/>
  <c r="Y159" i="5"/>
  <c r="X159" i="5"/>
  <c r="W159" i="5"/>
  <c r="V159" i="5"/>
  <c r="U159" i="5"/>
  <c r="T159" i="5"/>
  <c r="S159" i="5"/>
  <c r="R159" i="5"/>
  <c r="Q159" i="5"/>
  <c r="P159" i="5"/>
  <c r="O159" i="5"/>
  <c r="N159" i="5"/>
  <c r="M159" i="5"/>
  <c r="L159" i="5"/>
  <c r="K159" i="5"/>
  <c r="J159" i="5"/>
  <c r="I159" i="5"/>
  <c r="H159" i="5"/>
  <c r="G159" i="5"/>
  <c r="F159" i="5"/>
  <c r="Y158" i="5"/>
  <c r="X158" i="5"/>
  <c r="W158" i="5"/>
  <c r="V158" i="5"/>
  <c r="U158" i="5"/>
  <c r="T158" i="5"/>
  <c r="S158" i="5"/>
  <c r="R158" i="5"/>
  <c r="Q158" i="5"/>
  <c r="P158" i="5"/>
  <c r="O158" i="5"/>
  <c r="N158" i="5"/>
  <c r="M158" i="5"/>
  <c r="L158" i="5"/>
  <c r="K158" i="5"/>
  <c r="J158" i="5"/>
  <c r="I158" i="5"/>
  <c r="H158" i="5"/>
  <c r="G158" i="5"/>
  <c r="F158" i="5"/>
  <c r="P157" i="2"/>
  <c r="P150" i="2"/>
  <c r="O158" i="2"/>
  <c r="N158" i="2"/>
  <c r="M158" i="2"/>
  <c r="K158" i="2"/>
  <c r="O145" i="2"/>
  <c r="M145" i="2"/>
  <c r="L145" i="2"/>
  <c r="K145" i="2"/>
  <c r="P144" i="2"/>
  <c r="P145" i="2" s="1"/>
  <c r="P40" i="2"/>
  <c r="P37" i="2"/>
  <c r="P25" i="2"/>
  <c r="Q8" i="2"/>
  <c r="Q11" i="2" s="1"/>
  <c r="P8" i="2"/>
  <c r="P11" i="2" s="1"/>
  <c r="O8" i="2"/>
  <c r="N8" i="2"/>
  <c r="M8" i="2"/>
  <c r="L8" i="2"/>
  <c r="K8" i="2"/>
  <c r="Y127" i="5"/>
  <c r="X127" i="5"/>
  <c r="W127" i="5"/>
  <c r="V127" i="5"/>
  <c r="U127" i="5"/>
  <c r="T127" i="5"/>
  <c r="S127" i="5"/>
  <c r="R127" i="5"/>
  <c r="Q127" i="5"/>
  <c r="P127" i="5"/>
  <c r="O127" i="5"/>
  <c r="N127" i="5"/>
  <c r="M127" i="5"/>
  <c r="L127" i="5"/>
  <c r="K127" i="5"/>
  <c r="J127" i="5"/>
  <c r="I127" i="5"/>
  <c r="H127" i="5"/>
  <c r="G127" i="5"/>
  <c r="F127" i="5"/>
  <c r="S157" i="2"/>
  <c r="T157" i="2"/>
  <c r="T84" i="2"/>
  <c r="T67" i="2"/>
  <c r="U84" i="2"/>
  <c r="U67" i="2"/>
  <c r="W118" i="4"/>
  <c r="V118" i="4"/>
  <c r="U118" i="4"/>
  <c r="T118" i="4"/>
  <c r="S118" i="4"/>
  <c r="R118" i="4"/>
  <c r="Q118" i="4"/>
  <c r="P118" i="4"/>
  <c r="O118" i="4"/>
  <c r="N118" i="4"/>
  <c r="M118" i="4"/>
  <c r="L118" i="4"/>
  <c r="W117" i="4"/>
  <c r="V117" i="4"/>
  <c r="U117" i="4"/>
  <c r="T117" i="4"/>
  <c r="S117" i="4"/>
  <c r="R117" i="4"/>
  <c r="Q117" i="4"/>
  <c r="P117" i="4"/>
  <c r="O117" i="4"/>
  <c r="N117" i="4"/>
  <c r="M117" i="4"/>
  <c r="L117" i="4"/>
  <c r="W116" i="4"/>
  <c r="V116" i="4"/>
  <c r="U116" i="4"/>
  <c r="T116" i="4"/>
  <c r="S116" i="4"/>
  <c r="R116" i="4"/>
  <c r="Q116" i="4"/>
  <c r="P116" i="4"/>
  <c r="O116" i="4"/>
  <c r="N116" i="4"/>
  <c r="M116" i="4"/>
  <c r="L116" i="4"/>
  <c r="W115" i="4"/>
  <c r="V115" i="4"/>
  <c r="U115" i="4"/>
  <c r="T115" i="4"/>
  <c r="S115" i="4"/>
  <c r="R115" i="4"/>
  <c r="Q115" i="4"/>
  <c r="P115" i="4"/>
  <c r="O115" i="4"/>
  <c r="N115" i="4"/>
  <c r="M115" i="4"/>
  <c r="L115" i="4"/>
  <c r="W114" i="4"/>
  <c r="V114" i="4"/>
  <c r="U114" i="4"/>
  <c r="T114" i="4"/>
  <c r="S114" i="4"/>
  <c r="R114" i="4"/>
  <c r="Q114" i="4"/>
  <c r="P114" i="4"/>
  <c r="O114" i="4"/>
  <c r="N114" i="4"/>
  <c r="M114" i="4"/>
  <c r="L114" i="4"/>
  <c r="W112" i="4"/>
  <c r="V112" i="4"/>
  <c r="U112" i="4"/>
  <c r="T112" i="4"/>
  <c r="S112" i="4"/>
  <c r="R112" i="4"/>
  <c r="P112" i="4"/>
  <c r="O112" i="4"/>
  <c r="N112" i="4"/>
  <c r="M112" i="4"/>
  <c r="L112" i="4"/>
  <c r="P55" i="2"/>
  <c r="W96" i="4"/>
  <c r="V96" i="4"/>
  <c r="U96" i="4"/>
  <c r="T96" i="4"/>
  <c r="S96" i="4"/>
  <c r="R96" i="4"/>
  <c r="Q96" i="4"/>
  <c r="W93" i="4"/>
  <c r="V93" i="4"/>
  <c r="U93" i="4"/>
  <c r="T93" i="4"/>
  <c r="S93" i="4"/>
  <c r="R93" i="4"/>
  <c r="Q93" i="4"/>
  <c r="W88" i="4"/>
  <c r="W91" i="4" s="1"/>
  <c r="V88" i="4"/>
  <c r="V91" i="4" s="1"/>
  <c r="U88" i="4"/>
  <c r="U91" i="4" s="1"/>
  <c r="T88" i="4"/>
  <c r="T91" i="4" s="1"/>
  <c r="S88" i="4"/>
  <c r="S91" i="4" s="1"/>
  <c r="R88" i="4"/>
  <c r="R91" i="4" s="1"/>
  <c r="Q88" i="4"/>
  <c r="Q91" i="4" s="1"/>
  <c r="P91" i="4"/>
  <c r="W83" i="4"/>
  <c r="W86" i="4" s="1"/>
  <c r="V83" i="4"/>
  <c r="V86" i="4" s="1"/>
  <c r="U83" i="4"/>
  <c r="U86" i="4" s="1"/>
  <c r="T83" i="4"/>
  <c r="T86" i="4" s="1"/>
  <c r="S83" i="4"/>
  <c r="S86" i="4" s="1"/>
  <c r="R83" i="4"/>
  <c r="R86" i="4" s="1"/>
  <c r="Q83" i="4"/>
  <c r="Q86" i="4" s="1"/>
  <c r="P86" i="4"/>
  <c r="O86" i="4"/>
  <c r="N86" i="4"/>
  <c r="M86" i="4"/>
  <c r="L86" i="4"/>
  <c r="W78" i="4"/>
  <c r="W81" i="4" s="1"/>
  <c r="V78" i="4"/>
  <c r="V81" i="4" s="1"/>
  <c r="U78" i="4"/>
  <c r="U81" i="4" s="1"/>
  <c r="T78" i="4"/>
  <c r="T81" i="4" s="1"/>
  <c r="S78" i="4"/>
  <c r="S81" i="4" s="1"/>
  <c r="R78" i="4"/>
  <c r="R81" i="4" s="1"/>
  <c r="Q78" i="4"/>
  <c r="Q81" i="4" s="1"/>
  <c r="P81" i="4"/>
  <c r="O81" i="4"/>
  <c r="N81" i="4"/>
  <c r="M81" i="4"/>
  <c r="L81" i="4"/>
  <c r="W73" i="4"/>
  <c r="W75" i="4" s="1"/>
  <c r="V73" i="4"/>
  <c r="V75" i="4" s="1"/>
  <c r="U73" i="4"/>
  <c r="U75" i="4" s="1"/>
  <c r="T73" i="4"/>
  <c r="T75" i="4" s="1"/>
  <c r="S73" i="4"/>
  <c r="S75" i="4" s="1"/>
  <c r="R73" i="4"/>
  <c r="R75" i="4" s="1"/>
  <c r="Q73" i="4"/>
  <c r="Q75" i="4" s="1"/>
  <c r="W30" i="4"/>
  <c r="V30" i="4"/>
  <c r="U30" i="4"/>
  <c r="T30" i="4"/>
  <c r="S30" i="4"/>
  <c r="R30" i="4"/>
  <c r="Q30" i="4"/>
  <c r="P30" i="4"/>
  <c r="W17" i="4"/>
  <c r="W19" i="4" s="1"/>
  <c r="V17" i="4"/>
  <c r="V19" i="4" s="1"/>
  <c r="U17" i="4"/>
  <c r="U19" i="4" s="1"/>
  <c r="T17" i="4"/>
  <c r="T19" i="4" s="1"/>
  <c r="S17" i="4"/>
  <c r="S19" i="4" s="1"/>
  <c r="R17" i="4"/>
  <c r="R19" i="4" s="1"/>
  <c r="Q17" i="4"/>
  <c r="Q19" i="4" s="1"/>
  <c r="P17" i="4"/>
  <c r="P19" i="4" s="1"/>
  <c r="O17" i="4"/>
  <c r="O19" i="4" s="1"/>
  <c r="N17" i="4"/>
  <c r="N19" i="4" s="1"/>
  <c r="M17" i="4"/>
  <c r="M19" i="4" s="1"/>
  <c r="L17" i="4"/>
  <c r="L19" i="4" s="1"/>
  <c r="S9" i="4"/>
  <c r="S11" i="4" s="1"/>
  <c r="W9" i="4"/>
  <c r="W11" i="4" s="1"/>
  <c r="V9" i="4"/>
  <c r="V11" i="4" s="1"/>
  <c r="U9" i="4"/>
  <c r="U11" i="4" s="1"/>
  <c r="T9" i="4"/>
  <c r="T11" i="4" s="1"/>
  <c r="R9" i="4"/>
  <c r="R11" i="4" s="1"/>
  <c r="Q9" i="4"/>
  <c r="Q11" i="4" s="1"/>
  <c r="P9" i="4"/>
  <c r="P11" i="4" s="1"/>
  <c r="O9" i="4"/>
  <c r="O11" i="4" s="1"/>
  <c r="N9" i="4"/>
  <c r="N11" i="4" s="1"/>
  <c r="M9" i="4"/>
  <c r="M11" i="4" s="1"/>
  <c r="L9" i="4"/>
  <c r="L11" i="4" s="1"/>
  <c r="U157" i="2"/>
  <c r="R144" i="2"/>
  <c r="L137" i="2"/>
  <c r="L172" i="2" s="1"/>
  <c r="V84" i="2"/>
  <c r="R84" i="2"/>
  <c r="R67" i="2"/>
  <c r="V67" i="2"/>
  <c r="V72" i="2" s="1"/>
  <c r="AB156" i="4"/>
  <c r="AF156" i="4"/>
  <c r="X56" i="9" s="1"/>
  <c r="AF145" i="4"/>
  <c r="AG141" i="4" s="1"/>
  <c r="AG145" i="4" s="1"/>
  <c r="AH141" i="4" s="1"/>
  <c r="AH145" i="4" s="1"/>
  <c r="AE145" i="4"/>
  <c r="AD145" i="4"/>
  <c r="AC145" i="4"/>
  <c r="AB145" i="4"/>
  <c r="AA145" i="4"/>
  <c r="Z145" i="4"/>
  <c r="Y145" i="4"/>
  <c r="X145" i="4"/>
  <c r="W145" i="4"/>
  <c r="V145" i="4"/>
  <c r="U145" i="4"/>
  <c r="T145" i="4"/>
  <c r="S145" i="4"/>
  <c r="R145" i="4"/>
  <c r="Q145" i="4"/>
  <c r="P145" i="4"/>
  <c r="O145" i="4"/>
  <c r="N145" i="4"/>
  <c r="M145" i="4"/>
  <c r="L145" i="4"/>
  <c r="AG153" i="4"/>
  <c r="AG155" i="4" s="1"/>
  <c r="AF153" i="4"/>
  <c r="AF155" i="4" s="1"/>
  <c r="AE153" i="4"/>
  <c r="AE155" i="4" s="1"/>
  <c r="AD153" i="4"/>
  <c r="AD155" i="4" s="1"/>
  <c r="AC153" i="4"/>
  <c r="AC155" i="4" s="1"/>
  <c r="AB153" i="4"/>
  <c r="AB155" i="4" s="1"/>
  <c r="AA153" i="4"/>
  <c r="AA155" i="4" s="1"/>
  <c r="Z153" i="4"/>
  <c r="Z155" i="4" s="1"/>
  <c r="Y153" i="4"/>
  <c r="Y155" i="4" s="1"/>
  <c r="X153" i="4"/>
  <c r="X155" i="4" s="1"/>
  <c r="W153" i="4"/>
  <c r="W155" i="4" s="1"/>
  <c r="V153" i="4"/>
  <c r="V155" i="4" s="1"/>
  <c r="U153" i="4"/>
  <c r="U155" i="4" s="1"/>
  <c r="T153" i="4"/>
  <c r="T155" i="4" s="1"/>
  <c r="S153" i="4"/>
  <c r="S155" i="4" s="1"/>
  <c r="R153" i="4"/>
  <c r="R155" i="4" s="1"/>
  <c r="Q153" i="4"/>
  <c r="Q155" i="4" s="1"/>
  <c r="P153" i="4"/>
  <c r="P155" i="4" s="1"/>
  <c r="O153" i="4"/>
  <c r="O155" i="4" s="1"/>
  <c r="N153" i="4"/>
  <c r="N155" i="4" s="1"/>
  <c r="M153" i="4"/>
  <c r="M155" i="4" s="1"/>
  <c r="L153" i="4"/>
  <c r="L155" i="4" s="1"/>
  <c r="I153" i="4"/>
  <c r="I155" i="4" s="1"/>
  <c r="H153" i="4"/>
  <c r="H155" i="4" s="1"/>
  <c r="I145" i="4"/>
  <c r="H145" i="4"/>
  <c r="G145" i="4"/>
  <c r="H136" i="4"/>
  <c r="I136" i="4"/>
  <c r="E92" i="9"/>
  <c r="D92" i="9"/>
  <c r="E53" i="9"/>
  <c r="D53" i="9"/>
  <c r="D39" i="9"/>
  <c r="E42" i="9"/>
  <c r="D42" i="9"/>
  <c r="E110" i="9"/>
  <c r="D110" i="9"/>
  <c r="E119" i="9"/>
  <c r="D119" i="9"/>
  <c r="E49" i="9"/>
  <c r="D49" i="9"/>
  <c r="Y137" i="9"/>
  <c r="AC138" i="9" s="1"/>
  <c r="X137" i="9"/>
  <c r="AB138" i="9" s="1"/>
  <c r="W137" i="9"/>
  <c r="AA138" i="9" s="1"/>
  <c r="V137" i="9"/>
  <c r="Z138" i="9" s="1"/>
  <c r="U137" i="9"/>
  <c r="T137" i="9"/>
  <c r="S137" i="9"/>
  <c r="R137" i="9"/>
  <c r="Q137" i="9"/>
  <c r="P137" i="9"/>
  <c r="O137" i="9"/>
  <c r="N137" i="9"/>
  <c r="M137" i="9"/>
  <c r="L137" i="9"/>
  <c r="K137" i="9"/>
  <c r="J137" i="9"/>
  <c r="I137" i="9"/>
  <c r="H137" i="9"/>
  <c r="G137" i="9"/>
  <c r="F137" i="9"/>
  <c r="E137" i="9"/>
  <c r="D137" i="9"/>
  <c r="X140" i="9"/>
  <c r="W140" i="9"/>
  <c r="V140" i="9"/>
  <c r="U140" i="9"/>
  <c r="T140" i="9"/>
  <c r="S140" i="9"/>
  <c r="R140" i="9"/>
  <c r="Q140" i="9"/>
  <c r="P140" i="9"/>
  <c r="O140" i="9"/>
  <c r="N140" i="9"/>
  <c r="M140" i="9"/>
  <c r="L140" i="9"/>
  <c r="K140" i="9"/>
  <c r="J140" i="9"/>
  <c r="I140" i="9"/>
  <c r="H140" i="9"/>
  <c r="G140" i="9"/>
  <c r="F140" i="9"/>
  <c r="E140" i="9"/>
  <c r="D140" i="9"/>
  <c r="C140" i="9"/>
  <c r="Y140" i="9"/>
  <c r="Q139" i="9"/>
  <c r="P139" i="9"/>
  <c r="O139" i="9"/>
  <c r="N139" i="9"/>
  <c r="M139" i="9"/>
  <c r="L139" i="9"/>
  <c r="K139" i="9"/>
  <c r="J139" i="9"/>
  <c r="I139" i="9"/>
  <c r="H139" i="9"/>
  <c r="G139" i="9"/>
  <c r="F139" i="9"/>
  <c r="E139" i="9"/>
  <c r="D139" i="9"/>
  <c r="E154" i="9"/>
  <c r="E151" i="9"/>
  <c r="D154" i="9"/>
  <c r="D151" i="9"/>
  <c r="D153" i="9" s="1"/>
  <c r="L91" i="2" l="1"/>
  <c r="L108" i="2" s="1"/>
  <c r="P72" i="2"/>
  <c r="P81" i="2" s="1"/>
  <c r="E153" i="9"/>
  <c r="L23" i="2"/>
  <c r="L46" i="2" s="1"/>
  <c r="L56" i="2" s="1"/>
  <c r="AE156" i="4"/>
  <c r="W56" i="9" s="1"/>
  <c r="T56" i="9"/>
  <c r="P158" i="2"/>
  <c r="K23" i="2"/>
  <c r="K46" i="2" s="1"/>
  <c r="K56" i="2" s="1"/>
  <c r="L27" i="2"/>
  <c r="E51" i="9"/>
  <c r="Q13" i="2"/>
  <c r="R72" i="4"/>
  <c r="Q108" i="2"/>
  <c r="Q109" i="2" s="1"/>
  <c r="K27" i="2"/>
  <c r="L158" i="2"/>
  <c r="L160" i="2" s="1"/>
  <c r="E160" i="5"/>
  <c r="E161" i="5" s="1"/>
  <c r="E162" i="5" s="1"/>
  <c r="E165" i="5" s="1"/>
  <c r="L72" i="2"/>
  <c r="L81" i="2" s="1"/>
  <c r="E70" i="5"/>
  <c r="E75" i="5" s="1"/>
  <c r="E84" i="5" s="1"/>
  <c r="E112" i="5" s="1"/>
  <c r="K108" i="2"/>
  <c r="K109" i="2" s="1"/>
  <c r="L167" i="2"/>
  <c r="L171" i="2" s="1"/>
  <c r="L173" i="2" s="1"/>
  <c r="M108" i="2"/>
  <c r="M109" i="2" s="1"/>
  <c r="N108" i="2"/>
  <c r="N109" i="2" s="1"/>
  <c r="O108" i="2"/>
  <c r="O109" i="2" s="1"/>
  <c r="P91" i="2"/>
  <c r="P108" i="2" s="1"/>
  <c r="Q119" i="4"/>
  <c r="M119" i="4"/>
  <c r="Q72" i="4"/>
  <c r="P13" i="2"/>
  <c r="O119" i="4"/>
  <c r="W119" i="4"/>
  <c r="P119" i="4"/>
  <c r="R119" i="4"/>
  <c r="T119" i="4"/>
  <c r="N119" i="4"/>
  <c r="S119" i="4"/>
  <c r="L119" i="4"/>
  <c r="U119" i="4"/>
  <c r="V119" i="4"/>
  <c r="X138" i="9"/>
  <c r="V138" i="9"/>
  <c r="W138" i="9"/>
  <c r="Y138" i="9"/>
  <c r="P109" i="2" l="1"/>
  <c r="L28" i="2"/>
  <c r="L30" i="2" s="1"/>
  <c r="L32" i="2" s="1"/>
  <c r="K28" i="2"/>
  <c r="K30" i="2" s="1"/>
  <c r="K32" i="2" s="1"/>
  <c r="L109" i="2"/>
  <c r="E166" i="5"/>
  <c r="F164" i="5"/>
  <c r="K137" i="2"/>
  <c r="K160" i="2" l="1"/>
  <c r="K163" i="2" s="1"/>
  <c r="K172" i="2"/>
  <c r="K167" i="2"/>
  <c r="K171" i="2" s="1"/>
  <c r="K173" i="2" s="1"/>
  <c r="K164" i="2" l="1"/>
  <c r="L162" i="2"/>
  <c r="L163" i="2" s="1"/>
  <c r="AE137" i="9" l="1"/>
  <c r="AF137" i="9" s="1"/>
  <c r="L164" i="2"/>
  <c r="M162" i="2"/>
  <c r="AE139" i="9" l="1"/>
  <c r="AE135" i="9"/>
  <c r="AE155" i="5" s="1"/>
  <c r="AF139" i="9"/>
  <c r="AE138" i="9"/>
  <c r="AF135" i="9" l="1"/>
  <c r="AF155" i="5" s="1"/>
  <c r="AF138" i="9"/>
  <c r="AG137" i="9"/>
  <c r="AG139" i="9" s="1"/>
  <c r="AG138" i="9" l="1"/>
  <c r="AG135" i="9"/>
  <c r="AG155" i="5" s="1"/>
  <c r="AH137" i="9"/>
  <c r="AH139" i="9" s="1"/>
  <c r="AH138" i="9" l="1"/>
  <c r="AI137" i="9"/>
  <c r="AI139" i="9" s="1"/>
  <c r="AH135" i="9"/>
  <c r="AH155" i="5" s="1"/>
  <c r="AI138" i="9" l="1"/>
  <c r="AI135" i="9"/>
  <c r="AI155" i="5" s="1"/>
  <c r="E145" i="9"/>
  <c r="E135" i="9"/>
  <c r="E144" i="9"/>
  <c r="E130" i="9"/>
  <c r="E131" i="9" s="1"/>
  <c r="E143" i="9"/>
  <c r="E134" i="9"/>
  <c r="E129" i="9"/>
  <c r="D145" i="9"/>
  <c r="D135" i="9"/>
  <c r="D144" i="9"/>
  <c r="D130" i="9"/>
  <c r="D131" i="9" s="1"/>
  <c r="D143" i="9"/>
  <c r="D134" i="9"/>
  <c r="D129" i="9"/>
  <c r="E123" i="9"/>
  <c r="E122" i="9"/>
  <c r="E114" i="9"/>
  <c r="E113" i="9"/>
  <c r="E107" i="9"/>
  <c r="E98" i="9"/>
  <c r="E90" i="9"/>
  <c r="E88" i="9"/>
  <c r="E82" i="9"/>
  <c r="E80" i="9"/>
  <c r="E77" i="9"/>
  <c r="E76" i="9"/>
  <c r="E74" i="9"/>
  <c r="E73" i="9"/>
  <c r="D123" i="9"/>
  <c r="D122" i="9"/>
  <c r="D114" i="9"/>
  <c r="D113" i="9"/>
  <c r="D107" i="9"/>
  <c r="D98" i="9"/>
  <c r="D90" i="9"/>
  <c r="D88" i="9"/>
  <c r="D82" i="9"/>
  <c r="D80" i="9"/>
  <c r="D77" i="9"/>
  <c r="D76" i="9"/>
  <c r="D74" i="9"/>
  <c r="D73" i="9"/>
  <c r="E63" i="9"/>
  <c r="F57" i="9" s="1"/>
  <c r="E61" i="9"/>
  <c r="E47" i="9"/>
  <c r="E39" i="9"/>
  <c r="D63" i="9"/>
  <c r="E57" i="9" s="1"/>
  <c r="D61" i="9"/>
  <c r="D47" i="9"/>
  <c r="E31" i="9"/>
  <c r="E27" i="9"/>
  <c r="E23" i="9"/>
  <c r="E19" i="9"/>
  <c r="E16" i="9"/>
  <c r="E15" i="9"/>
  <c r="E9" i="9"/>
  <c r="D31" i="9"/>
  <c r="D27" i="9"/>
  <c r="D23" i="9"/>
  <c r="D19" i="9"/>
  <c r="D16" i="9"/>
  <c r="D15" i="9"/>
  <c r="D9" i="9"/>
  <c r="E5" i="9"/>
  <c r="E36" i="9" s="1"/>
  <c r="D5" i="9"/>
  <c r="D36" i="9" s="1"/>
  <c r="E81" i="9" l="1"/>
  <c r="E83" i="9"/>
  <c r="E78" i="9"/>
  <c r="E75" i="9" s="1"/>
  <c r="D78" i="9"/>
  <c r="D75" i="9" s="1"/>
  <c r="D91" i="9"/>
  <c r="D89" i="9" s="1"/>
  <c r="E45" i="9"/>
  <c r="E46" i="9" s="1"/>
  <c r="E91" i="9"/>
  <c r="E89" i="9" s="1"/>
  <c r="E157" i="9"/>
  <c r="D157" i="9"/>
  <c r="D136" i="9"/>
  <c r="E136" i="9"/>
  <c r="E141" i="9"/>
  <c r="E148" i="9"/>
  <c r="D148" i="9"/>
  <c r="D132" i="9"/>
  <c r="E132" i="9"/>
  <c r="E55" i="9"/>
  <c r="D124" i="9"/>
  <c r="E112" i="9"/>
  <c r="D112" i="9"/>
  <c r="E124" i="9"/>
  <c r="E13" i="9"/>
  <c r="E60" i="9"/>
  <c r="D60" i="9"/>
  <c r="D62" i="9" s="1"/>
  <c r="D13" i="9"/>
  <c r="E69" i="9" s="1"/>
  <c r="E59" i="9" l="1"/>
  <c r="E17" i="9"/>
  <c r="D17" i="9"/>
  <c r="D159" i="9"/>
  <c r="E159" i="9" s="1"/>
  <c r="D50" i="9"/>
  <c r="E93" i="9"/>
  <c r="E50" i="9"/>
  <c r="E94" i="9"/>
  <c r="D97" i="9"/>
  <c r="E108" i="9" s="1"/>
  <c r="E97" i="9"/>
  <c r="E115" i="9"/>
  <c r="E120" i="9"/>
  <c r="D115" i="9"/>
  <c r="D120" i="9"/>
  <c r="E62" i="9"/>
  <c r="E116" i="9"/>
  <c r="E99" i="9" l="1"/>
  <c r="D99" i="9"/>
  <c r="AK3" i="9"/>
  <c r="W3" i="9"/>
  <c r="AA3" i="9" s="1"/>
  <c r="V3" i="9"/>
  <c r="Z3" i="9" s="1"/>
  <c r="AD3" i="9" s="1"/>
  <c r="U3" i="9"/>
  <c r="Y3" i="9" s="1"/>
  <c r="AC3" i="9" s="1"/>
  <c r="T3" i="9"/>
  <c r="X3" i="9" s="1"/>
  <c r="AB3" i="9" s="1"/>
  <c r="W2" i="9"/>
  <c r="V2" i="9"/>
  <c r="U2" i="9"/>
  <c r="Y2" i="9" s="1"/>
  <c r="T2" i="9"/>
  <c r="X2" i="9" s="1"/>
  <c r="AM196" i="6"/>
  <c r="AL196" i="6"/>
  <c r="AK196" i="6"/>
  <c r="AM212" i="6"/>
  <c r="AL212" i="6"/>
  <c r="AK212" i="6"/>
  <c r="AM207" i="6"/>
  <c r="AL207" i="6"/>
  <c r="AK207" i="6"/>
  <c r="AM202" i="6"/>
  <c r="AL202" i="6"/>
  <c r="AK202" i="6"/>
  <c r="AM141" i="6"/>
  <c r="AL141" i="6"/>
  <c r="AK141" i="6"/>
  <c r="AO138" i="6"/>
  <c r="AN138" i="6"/>
  <c r="AM138" i="6"/>
  <c r="AL138" i="6"/>
  <c r="AK138" i="6"/>
  <c r="AO66" i="6"/>
  <c r="AN66" i="6"/>
  <c r="AM66" i="6"/>
  <c r="AL66" i="6"/>
  <c r="AK66" i="6"/>
  <c r="AO178" i="6"/>
  <c r="AN178" i="6"/>
  <c r="X89" i="10" s="1"/>
  <c r="AM178" i="6"/>
  <c r="AL178" i="6"/>
  <c r="AK178" i="6"/>
  <c r="AO117" i="6"/>
  <c r="AN117" i="6"/>
  <c r="X69" i="10" s="1"/>
  <c r="AM117" i="6"/>
  <c r="AL117" i="6"/>
  <c r="AK117" i="6"/>
  <c r="AO112" i="6"/>
  <c r="AN112" i="6"/>
  <c r="X81" i="10" s="1"/>
  <c r="AM112" i="6"/>
  <c r="AL112" i="6"/>
  <c r="AA2" i="9" l="1"/>
  <c r="AE2" i="9" s="1"/>
  <c r="AI2" i="9" s="1"/>
  <c r="AB2" i="9"/>
  <c r="AF2" i="9" s="1"/>
  <c r="AC2" i="9"/>
  <c r="AG2" i="9" s="1"/>
  <c r="Y81" i="10"/>
  <c r="AP113" i="6"/>
  <c r="Y69" i="10"/>
  <c r="AP118" i="6"/>
  <c r="Y89" i="10"/>
  <c r="AP179" i="6"/>
  <c r="AL197" i="6"/>
  <c r="Z2" i="9"/>
  <c r="AD2" i="9" s="1"/>
  <c r="AH2" i="9" s="1"/>
  <c r="AM197" i="6"/>
  <c r="AL208" i="6"/>
  <c r="S60" i="8"/>
  <c r="K60" i="8"/>
  <c r="L60" i="8" s="1"/>
  <c r="AL203" i="6"/>
  <c r="AK181" i="6"/>
  <c r="AK156" i="6" s="1"/>
  <c r="AL181" i="6"/>
  <c r="AL156" i="6" s="1"/>
  <c r="AM181" i="6"/>
  <c r="AM156" i="6" s="1"/>
  <c r="AL213" i="6"/>
  <c r="AM213" i="6"/>
  <c r="AO179" i="6"/>
  <c r="AM208" i="6"/>
  <c r="AL142" i="6"/>
  <c r="AM179" i="6"/>
  <c r="AM118" i="6"/>
  <c r="AM142" i="6"/>
  <c r="AO118" i="6"/>
  <c r="AL179" i="6"/>
  <c r="AL118" i="6"/>
  <c r="AN179" i="6"/>
  <c r="AM113" i="6"/>
  <c r="AN118" i="6"/>
  <c r="AO113" i="6"/>
  <c r="AN113" i="6"/>
  <c r="AE3" i="9"/>
  <c r="AF3" i="9"/>
  <c r="AG3" i="9"/>
  <c r="AL4" i="9"/>
  <c r="AM203" i="6"/>
  <c r="AG4" i="9" l="1"/>
  <c r="AF4" i="9"/>
  <c r="I6" i="7" s="1"/>
  <c r="AE4" i="9"/>
  <c r="AI3" i="9"/>
  <c r="AI4" i="9" s="1"/>
  <c r="AH3" i="9"/>
  <c r="AH4" i="9" s="1"/>
  <c r="AL3" i="9"/>
  <c r="AM4" i="9"/>
  <c r="AM3" i="9" l="1"/>
  <c r="AN4" i="9"/>
  <c r="AO4" i="9" l="1"/>
  <c r="AN3" i="9"/>
  <c r="AO3" i="9" l="1"/>
  <c r="AP4" i="9"/>
  <c r="AP3" i="9" s="1"/>
  <c r="AQ3" i="9" s="1"/>
  <c r="AR3" i="9" l="1"/>
  <c r="AR58" i="9" s="1"/>
  <c r="AQ85" i="9"/>
  <c r="AQ137" i="9"/>
  <c r="AQ58" i="9"/>
  <c r="AQ4" i="9"/>
  <c r="AS3" i="9" l="1"/>
  <c r="AS4" i="9" s="1"/>
  <c r="AR59" i="9"/>
  <c r="AR137" i="9"/>
  <c r="AS137" i="9" s="1"/>
  <c r="AR136" i="9"/>
  <c r="AR135" i="9"/>
  <c r="AR148" i="9"/>
  <c r="AR85" i="9"/>
  <c r="AR4" i="9"/>
  <c r="AR138" i="9" l="1"/>
  <c r="AS138" i="9"/>
  <c r="AS135" i="9"/>
  <c r="AS155" i="5" s="1"/>
  <c r="J78" i="12" s="1"/>
  <c r="F54" i="2"/>
  <c r="E54" i="2"/>
  <c r="F52" i="2"/>
  <c r="E52" i="2"/>
  <c r="F47" i="2"/>
  <c r="E47" i="2"/>
  <c r="D47" i="2"/>
  <c r="AM16" i="6"/>
  <c r="AL16" i="6"/>
  <c r="AK16" i="6"/>
  <c r="AM11" i="6"/>
  <c r="AL11" i="6"/>
  <c r="AK11" i="6"/>
  <c r="AM9" i="6"/>
  <c r="AL9" i="6"/>
  <c r="AK9" i="6"/>
  <c r="Y212" i="6"/>
  <c r="AC213" i="6" s="1"/>
  <c r="X212" i="6"/>
  <c r="W212" i="6"/>
  <c r="V212" i="6"/>
  <c r="U212" i="6"/>
  <c r="T212" i="6"/>
  <c r="S212" i="6"/>
  <c r="R212" i="6"/>
  <c r="Q212" i="6"/>
  <c r="P212" i="6"/>
  <c r="O212" i="6"/>
  <c r="N212" i="6"/>
  <c r="M212" i="6"/>
  <c r="L212" i="6"/>
  <c r="K212" i="6"/>
  <c r="J212" i="6"/>
  <c r="I212" i="6"/>
  <c r="H212" i="6"/>
  <c r="G212" i="6"/>
  <c r="F212" i="6"/>
  <c r="E212" i="6"/>
  <c r="D212" i="6"/>
  <c r="Y202" i="6"/>
  <c r="AC203" i="6" s="1"/>
  <c r="X202" i="6"/>
  <c r="AB203" i="6" s="1"/>
  <c r="W202" i="6"/>
  <c r="AA203" i="6" s="1"/>
  <c r="V202" i="6"/>
  <c r="Z203" i="6" s="1"/>
  <c r="U202" i="6"/>
  <c r="T202" i="6"/>
  <c r="S202" i="6"/>
  <c r="R202" i="6"/>
  <c r="Q202" i="6"/>
  <c r="P202" i="6"/>
  <c r="O202" i="6"/>
  <c r="N202" i="6"/>
  <c r="M202" i="6"/>
  <c r="L202" i="6"/>
  <c r="K202" i="6"/>
  <c r="J202" i="6"/>
  <c r="I202" i="6"/>
  <c r="H202" i="6"/>
  <c r="G202" i="6"/>
  <c r="F202" i="6"/>
  <c r="E202" i="6"/>
  <c r="Y207" i="6"/>
  <c r="AC208" i="6" s="1"/>
  <c r="X207" i="6"/>
  <c r="AB208" i="6" s="1"/>
  <c r="W207" i="6"/>
  <c r="AA208" i="6" s="1"/>
  <c r="V207" i="6"/>
  <c r="Z208" i="6" s="1"/>
  <c r="U207" i="6"/>
  <c r="T207" i="6"/>
  <c r="S207" i="6"/>
  <c r="R207" i="6"/>
  <c r="Q207" i="6"/>
  <c r="P207" i="6"/>
  <c r="O207" i="6"/>
  <c r="N207" i="6"/>
  <c r="M207" i="6"/>
  <c r="L207" i="6"/>
  <c r="K207" i="6"/>
  <c r="J207" i="6"/>
  <c r="I207" i="6"/>
  <c r="H207" i="6"/>
  <c r="G207" i="6"/>
  <c r="F207" i="6"/>
  <c r="E207" i="6"/>
  <c r="D207" i="6"/>
  <c r="D202" i="6"/>
  <c r="Y196" i="6"/>
  <c r="X196" i="6"/>
  <c r="AB197" i="6" s="1"/>
  <c r="W196" i="6"/>
  <c r="AA197" i="6" s="1"/>
  <c r="V196" i="6"/>
  <c r="Z197" i="6" s="1"/>
  <c r="U196" i="6"/>
  <c r="T196" i="6"/>
  <c r="S196" i="6"/>
  <c r="R196" i="6"/>
  <c r="Q196" i="6"/>
  <c r="P196" i="6"/>
  <c r="O196" i="6"/>
  <c r="N196" i="6"/>
  <c r="M196" i="6"/>
  <c r="L196" i="6"/>
  <c r="K196" i="6"/>
  <c r="J196" i="6"/>
  <c r="I196" i="6"/>
  <c r="H196" i="6"/>
  <c r="G196" i="6"/>
  <c r="F196" i="6"/>
  <c r="E196" i="6"/>
  <c r="D196" i="6"/>
  <c r="Y184" i="6"/>
  <c r="X184" i="6"/>
  <c r="AB185" i="6" s="1"/>
  <c r="W184" i="6"/>
  <c r="AA185" i="6" s="1"/>
  <c r="V184" i="6"/>
  <c r="Z185" i="6" s="1"/>
  <c r="U184" i="6"/>
  <c r="T184" i="6"/>
  <c r="S184" i="6"/>
  <c r="R184" i="6"/>
  <c r="Q184" i="6"/>
  <c r="P184" i="6"/>
  <c r="J184" i="6"/>
  <c r="I184" i="6"/>
  <c r="H184" i="6"/>
  <c r="G184" i="6"/>
  <c r="F184" i="6"/>
  <c r="E184" i="6"/>
  <c r="D184" i="6"/>
  <c r="D188" i="6"/>
  <c r="E188" i="6"/>
  <c r="F188" i="6"/>
  <c r="G188" i="6"/>
  <c r="H188" i="6"/>
  <c r="I188" i="6"/>
  <c r="J188" i="6"/>
  <c r="K188" i="6"/>
  <c r="L188" i="6"/>
  <c r="M188" i="6"/>
  <c r="N188" i="6"/>
  <c r="O188" i="6"/>
  <c r="Y16" i="6"/>
  <c r="X16" i="6"/>
  <c r="W16" i="6"/>
  <c r="V16" i="6"/>
  <c r="U16" i="6"/>
  <c r="T16" i="6"/>
  <c r="S16" i="6"/>
  <c r="R16" i="6"/>
  <c r="Q16" i="6"/>
  <c r="P16" i="6"/>
  <c r="O16" i="6"/>
  <c r="N16" i="6"/>
  <c r="M16" i="6"/>
  <c r="L16" i="6"/>
  <c r="K16" i="6"/>
  <c r="J16" i="6"/>
  <c r="I16" i="6"/>
  <c r="H16" i="6"/>
  <c r="G16" i="6"/>
  <c r="F16" i="6"/>
  <c r="E16" i="6"/>
  <c r="Y14" i="6"/>
  <c r="X14" i="6"/>
  <c r="W14" i="6"/>
  <c r="V14" i="6"/>
  <c r="U14" i="6"/>
  <c r="T14" i="6"/>
  <c r="S14" i="6"/>
  <c r="R14" i="6"/>
  <c r="Q14" i="6"/>
  <c r="P14" i="6"/>
  <c r="O14" i="6"/>
  <c r="N14" i="6"/>
  <c r="M14" i="6"/>
  <c r="L14" i="6"/>
  <c r="K14" i="6"/>
  <c r="J14" i="6"/>
  <c r="I14" i="6"/>
  <c r="Y13" i="6"/>
  <c r="X13" i="6"/>
  <c r="W13" i="6"/>
  <c r="V13" i="6"/>
  <c r="U13" i="6"/>
  <c r="T13" i="6"/>
  <c r="S13" i="6"/>
  <c r="R13" i="6"/>
  <c r="Q13" i="6"/>
  <c r="P13" i="6"/>
  <c r="O13" i="6"/>
  <c r="N13" i="6"/>
  <c r="M13" i="6"/>
  <c r="L13" i="6"/>
  <c r="K13" i="6"/>
  <c r="J13" i="6"/>
  <c r="I13" i="6"/>
  <c r="H13" i="6"/>
  <c r="G13" i="6"/>
  <c r="F13" i="6"/>
  <c r="E13" i="6"/>
  <c r="Y12" i="6"/>
  <c r="X12" i="6"/>
  <c r="W12" i="6"/>
  <c r="V12" i="6"/>
  <c r="U12" i="6"/>
  <c r="T12" i="6"/>
  <c r="S12" i="6"/>
  <c r="R12" i="6"/>
  <c r="Q12" i="6"/>
  <c r="P12" i="6"/>
  <c r="J12" i="6"/>
  <c r="I12" i="6"/>
  <c r="H12" i="6"/>
  <c r="G12" i="6"/>
  <c r="F12" i="6"/>
  <c r="E12" i="6"/>
  <c r="Y11" i="6"/>
  <c r="X11" i="6"/>
  <c r="W11" i="6"/>
  <c r="V11" i="6"/>
  <c r="U11" i="6"/>
  <c r="T11" i="6"/>
  <c r="S11" i="6"/>
  <c r="R11" i="6"/>
  <c r="Q11" i="6"/>
  <c r="P11" i="6"/>
  <c r="O11" i="6"/>
  <c r="N11" i="6"/>
  <c r="M11" i="6"/>
  <c r="L11" i="6"/>
  <c r="K11" i="6"/>
  <c r="J11" i="6"/>
  <c r="I11" i="6"/>
  <c r="H11" i="6"/>
  <c r="G11" i="6"/>
  <c r="F11" i="6"/>
  <c r="E11" i="6"/>
  <c r="Y9" i="6"/>
  <c r="X9" i="6"/>
  <c r="W9" i="6"/>
  <c r="V9" i="6"/>
  <c r="U9" i="6"/>
  <c r="T9" i="6"/>
  <c r="S9" i="6"/>
  <c r="R9" i="6"/>
  <c r="Q9" i="6"/>
  <c r="P9" i="6"/>
  <c r="O9" i="6"/>
  <c r="N9" i="6"/>
  <c r="M9" i="6"/>
  <c r="L9" i="6"/>
  <c r="K9" i="6"/>
  <c r="J9" i="6"/>
  <c r="I9" i="6"/>
  <c r="H9" i="6"/>
  <c r="G9" i="6"/>
  <c r="F9" i="6"/>
  <c r="E9" i="6"/>
  <c r="D16" i="6"/>
  <c r="D13" i="6"/>
  <c r="D12" i="6"/>
  <c r="D11" i="6"/>
  <c r="D9" i="6"/>
  <c r="Z198" i="6" l="1"/>
  <c r="AC197" i="6"/>
  <c r="Z186" i="6"/>
  <c r="AC185" i="6"/>
  <c r="AA213" i="6"/>
  <c r="AB213" i="6"/>
  <c r="G215" i="6"/>
  <c r="H216" i="6"/>
  <c r="H215" i="6"/>
  <c r="D215" i="6"/>
  <c r="E215" i="6"/>
  <c r="F215" i="6"/>
  <c r="Z213" i="6"/>
  <c r="X186" i="6"/>
  <c r="S203" i="6"/>
  <c r="W203" i="6"/>
  <c r="U213" i="6"/>
  <c r="K213" i="6"/>
  <c r="H213" i="6"/>
  <c r="P213" i="6"/>
  <c r="X213" i="6"/>
  <c r="H6" i="9"/>
  <c r="P15" i="6"/>
  <c r="P6" i="9" s="1"/>
  <c r="X15" i="6"/>
  <c r="X6" i="9" s="1"/>
  <c r="X208" i="6"/>
  <c r="V197" i="6"/>
  <c r="U208" i="6"/>
  <c r="T213" i="6"/>
  <c r="W186" i="6"/>
  <c r="Q198" i="6"/>
  <c r="Y198" i="6"/>
  <c r="I213" i="6"/>
  <c r="I208" i="6"/>
  <c r="M208" i="6"/>
  <c r="H203" i="6"/>
  <c r="X203" i="6"/>
  <c r="I203" i="6"/>
  <c r="J203" i="6"/>
  <c r="J213" i="6"/>
  <c r="P6" i="6"/>
  <c r="D6" i="9"/>
  <c r="Y213" i="6"/>
  <c r="Q203" i="6"/>
  <c r="Y203" i="6"/>
  <c r="R203" i="6"/>
  <c r="S213" i="6"/>
  <c r="K203" i="6"/>
  <c r="R198" i="6"/>
  <c r="L213" i="6"/>
  <c r="O203" i="6"/>
  <c r="N197" i="6"/>
  <c r="N15" i="6"/>
  <c r="N6" i="9" s="1"/>
  <c r="F6" i="9"/>
  <c r="P208" i="6"/>
  <c r="L208" i="6"/>
  <c r="T208" i="6"/>
  <c r="Y208" i="6"/>
  <c r="S208" i="6"/>
  <c r="L203" i="6"/>
  <c r="O198" i="6"/>
  <c r="W198" i="6"/>
  <c r="P203" i="6"/>
  <c r="M213" i="6"/>
  <c r="Q208" i="6"/>
  <c r="V186" i="6"/>
  <c r="P198" i="6"/>
  <c r="X198" i="6"/>
  <c r="Q213" i="6"/>
  <c r="E6" i="9"/>
  <c r="T203" i="6"/>
  <c r="J208" i="6"/>
  <c r="R208" i="6"/>
  <c r="M203" i="6"/>
  <c r="U203" i="6"/>
  <c r="R213" i="6"/>
  <c r="N213" i="6"/>
  <c r="V213" i="6"/>
  <c r="O208" i="6"/>
  <c r="W208" i="6"/>
  <c r="O213" i="6"/>
  <c r="W213" i="6"/>
  <c r="Y186" i="6"/>
  <c r="O197" i="6"/>
  <c r="S198" i="6"/>
  <c r="K208" i="6"/>
  <c r="H208" i="6"/>
  <c r="N203" i="6"/>
  <c r="V203" i="6"/>
  <c r="N208" i="6"/>
  <c r="V208" i="6"/>
  <c r="J185" i="6"/>
  <c r="P197" i="6"/>
  <c r="T186" i="6"/>
  <c r="U186" i="6"/>
  <c r="W185" i="6"/>
  <c r="H185" i="6"/>
  <c r="X185" i="6"/>
  <c r="I185" i="6"/>
  <c r="Y185" i="6"/>
  <c r="H197" i="6"/>
  <c r="I197" i="6"/>
  <c r="T185" i="6"/>
  <c r="J197" i="6"/>
  <c r="R197" i="6"/>
  <c r="R186" i="6"/>
  <c r="L198" i="6"/>
  <c r="T198" i="6"/>
  <c r="X197" i="6"/>
  <c r="Y197" i="6"/>
  <c r="Q186" i="6"/>
  <c r="U185" i="6"/>
  <c r="K197" i="6"/>
  <c r="S197" i="6"/>
  <c r="S186" i="6"/>
  <c r="M198" i="6"/>
  <c r="U198" i="6"/>
  <c r="Q197" i="6"/>
  <c r="S6" i="6"/>
  <c r="L15" i="6"/>
  <c r="L6" i="9" s="1"/>
  <c r="T15" i="6"/>
  <c r="T6" i="9" s="1"/>
  <c r="V185" i="6"/>
  <c r="L197" i="6"/>
  <c r="T197" i="6"/>
  <c r="N198" i="6"/>
  <c r="V198" i="6"/>
  <c r="W197" i="6"/>
  <c r="M197" i="6"/>
  <c r="U197" i="6"/>
  <c r="X6" i="6"/>
  <c r="AB7" i="6" s="1"/>
  <c r="I15" i="6"/>
  <c r="I6" i="9" s="1"/>
  <c r="Q15" i="6"/>
  <c r="Q6" i="9" s="1"/>
  <c r="Y15" i="6"/>
  <c r="Y6" i="9" s="1"/>
  <c r="AB14" i="9" s="1"/>
  <c r="I6" i="6"/>
  <c r="I216" i="6" s="1"/>
  <c r="Q6" i="6"/>
  <c r="Y6" i="6"/>
  <c r="AC7" i="6" s="1"/>
  <c r="M15" i="6"/>
  <c r="M6" i="9" s="1"/>
  <c r="U15" i="6"/>
  <c r="U6" i="9" s="1"/>
  <c r="H17" i="6"/>
  <c r="K15" i="6"/>
  <c r="K6" i="9" s="1"/>
  <c r="S15" i="6"/>
  <c r="S6" i="9" s="1"/>
  <c r="V15" i="6"/>
  <c r="V6" i="9" s="1"/>
  <c r="E17" i="6"/>
  <c r="U6" i="6"/>
  <c r="F17" i="6"/>
  <c r="V6" i="6"/>
  <c r="Z7" i="6" s="1"/>
  <c r="T6" i="6"/>
  <c r="G6" i="9"/>
  <c r="O15" i="6"/>
  <c r="O6" i="9" s="1"/>
  <c r="W15" i="6"/>
  <c r="W6" i="9" s="1"/>
  <c r="J15" i="6"/>
  <c r="J6" i="9" s="1"/>
  <c r="R15" i="6"/>
  <c r="R6" i="9" s="1"/>
  <c r="W6" i="6"/>
  <c r="AA216" i="6" s="1"/>
  <c r="J6" i="6"/>
  <c r="J216" i="6" s="1"/>
  <c r="R6" i="6"/>
  <c r="G17" i="6"/>
  <c r="U216" i="6" l="1"/>
  <c r="AB216" i="6"/>
  <c r="AA14" i="9"/>
  <c r="W216" i="6"/>
  <c r="AA7" i="6"/>
  <c r="T216" i="6"/>
  <c r="J215" i="6"/>
  <c r="I215" i="6"/>
  <c r="X216" i="6"/>
  <c r="V215" i="6"/>
  <c r="Y216" i="6"/>
  <c r="V216" i="6"/>
  <c r="S215" i="6"/>
  <c r="W215" i="6"/>
  <c r="X215" i="6"/>
  <c r="Y215" i="6"/>
  <c r="P215" i="6"/>
  <c r="T215" i="6"/>
  <c r="U215" i="6"/>
  <c r="R215" i="6"/>
  <c r="Q215" i="6"/>
  <c r="Z216" i="6"/>
  <c r="Z14" i="9"/>
  <c r="F214" i="6"/>
  <c r="F8" i="6"/>
  <c r="E214" i="6"/>
  <c r="E8" i="6"/>
  <c r="I17" i="6"/>
  <c r="I8" i="6" s="1"/>
  <c r="G214" i="6"/>
  <c r="G8" i="6"/>
  <c r="H214" i="6"/>
  <c r="H8" i="6"/>
  <c r="U17" i="6"/>
  <c r="U7" i="6"/>
  <c r="Q17" i="6"/>
  <c r="S204" i="6"/>
  <c r="S205" i="6" s="1"/>
  <c r="W17" i="6"/>
  <c r="AA18" i="6" s="1"/>
  <c r="W7" i="6"/>
  <c r="P204" i="6"/>
  <c r="P205" i="6" s="1"/>
  <c r="Y17" i="6"/>
  <c r="Y7" i="6"/>
  <c r="T7" i="6"/>
  <c r="V17" i="6"/>
  <c r="Z18" i="6" s="1"/>
  <c r="V7" i="6"/>
  <c r="X17" i="6"/>
  <c r="X7" i="6"/>
  <c r="S17" i="6"/>
  <c r="P17" i="6"/>
  <c r="Q204" i="6"/>
  <c r="Q205" i="6" s="1"/>
  <c r="G204" i="6"/>
  <c r="G205" i="6" s="1"/>
  <c r="I204" i="6"/>
  <c r="I205" i="6" s="1"/>
  <c r="J17" i="6"/>
  <c r="J204" i="6"/>
  <c r="J205" i="6" s="1"/>
  <c r="T17" i="6"/>
  <c r="T204" i="6"/>
  <c r="T205" i="6" s="1"/>
  <c r="H204" i="6"/>
  <c r="H205" i="6" s="1"/>
  <c r="E204" i="6"/>
  <c r="E205" i="6" s="1"/>
  <c r="V204" i="6"/>
  <c r="V205" i="6" s="1"/>
  <c r="D17" i="6"/>
  <c r="D204" i="6"/>
  <c r="D205" i="6" s="1"/>
  <c r="F204" i="6"/>
  <c r="F205" i="6" s="1"/>
  <c r="W204" i="6"/>
  <c r="W205" i="6" s="1"/>
  <c r="R17" i="6"/>
  <c r="R10" i="6" s="1"/>
  <c r="R204" i="6"/>
  <c r="R205" i="6" s="1"/>
  <c r="U204" i="6"/>
  <c r="U205" i="6" s="1"/>
  <c r="Y204" i="6"/>
  <c r="X204" i="6"/>
  <c r="X205" i="6" s="1"/>
  <c r="Y8" i="6" l="1"/>
  <c r="AC18" i="6"/>
  <c r="X8" i="6"/>
  <c r="AB18" i="6"/>
  <c r="T8" i="6"/>
  <c r="T10" i="6"/>
  <c r="P8" i="6"/>
  <c r="P10" i="6"/>
  <c r="Q214" i="6"/>
  <c r="Q10" i="6"/>
  <c r="U18" i="6"/>
  <c r="U10" i="6"/>
  <c r="Y214" i="6"/>
  <c r="Y10" i="6"/>
  <c r="X214" i="6"/>
  <c r="X10" i="6"/>
  <c r="V214" i="6"/>
  <c r="V10" i="6"/>
  <c r="I214" i="6"/>
  <c r="I10" i="6"/>
  <c r="J214" i="6"/>
  <c r="J10" i="6"/>
  <c r="S8" i="6"/>
  <c r="S10" i="6"/>
  <c r="W8" i="6"/>
  <c r="W10" i="6"/>
  <c r="R8" i="6"/>
  <c r="Q8" i="6"/>
  <c r="U214" i="6"/>
  <c r="D214" i="6"/>
  <c r="D8" i="6"/>
  <c r="J8" i="6"/>
  <c r="U8" i="6"/>
  <c r="V8" i="6"/>
  <c r="W18" i="6"/>
  <c r="W214" i="6"/>
  <c r="Y18" i="6"/>
  <c r="V18" i="6"/>
  <c r="T214" i="6"/>
  <c r="T18" i="6"/>
  <c r="X18" i="6"/>
  <c r="S214" i="6"/>
  <c r="R214" i="6"/>
  <c r="P214" i="6"/>
  <c r="Y205" i="6"/>
  <c r="AE205" i="6" l="1"/>
  <c r="AF205" i="6"/>
  <c r="AE184" i="6"/>
  <c r="AE186" i="6" l="1"/>
  <c r="AE12" i="6"/>
  <c r="AE8" i="5" s="1"/>
  <c r="Y7" i="11" s="1"/>
  <c r="AF184" i="6"/>
  <c r="AH205" i="6" l="1"/>
  <c r="AF186" i="6"/>
  <c r="AF12" i="6"/>
  <c r="AF8" i="5" s="1"/>
  <c r="AA7" i="11" s="1"/>
  <c r="AG184" i="6"/>
  <c r="AI205" i="6" l="1"/>
  <c r="AG186" i="6"/>
  <c r="AG12" i="6"/>
  <c r="AG8" i="5" s="1"/>
  <c r="AB7" i="11" s="1"/>
  <c r="AI184" i="6"/>
  <c r="AI12" i="6" s="1"/>
  <c r="AI8" i="5" s="1"/>
  <c r="AD7" i="11" s="1"/>
  <c r="AH184" i="6"/>
  <c r="AH186" i="6" l="1"/>
  <c r="AH12" i="6"/>
  <c r="AH8" i="5" s="1"/>
  <c r="AC7" i="11" s="1"/>
  <c r="AI186" i="6"/>
  <c r="Y190" i="6" l="1"/>
  <c r="AC191" i="6" s="1"/>
  <c r="X190" i="6"/>
  <c r="AB191" i="6" s="1"/>
  <c r="W190" i="6"/>
  <c r="AA191" i="6" s="1"/>
  <c r="V190" i="6"/>
  <c r="Z191" i="6" s="1"/>
  <c r="U190" i="6"/>
  <c r="T190" i="6"/>
  <c r="S190" i="6"/>
  <c r="R190" i="6"/>
  <c r="Q190" i="6"/>
  <c r="P190" i="6"/>
  <c r="O190" i="6"/>
  <c r="N190" i="6"/>
  <c r="M190" i="6"/>
  <c r="L190" i="6"/>
  <c r="K190" i="6"/>
  <c r="J190" i="6"/>
  <c r="I190" i="6"/>
  <c r="H190" i="6"/>
  <c r="G190" i="6"/>
  <c r="F190" i="6"/>
  <c r="E190" i="6"/>
  <c r="D190" i="6"/>
  <c r="Y178" i="6"/>
  <c r="AC179" i="6" s="1"/>
  <c r="X178" i="6"/>
  <c r="W178" i="6"/>
  <c r="V178" i="6"/>
  <c r="U178" i="6"/>
  <c r="H89" i="10" s="1"/>
  <c r="T178" i="6"/>
  <c r="G89" i="10" s="1"/>
  <c r="S178" i="6"/>
  <c r="F89" i="10" s="1"/>
  <c r="R178" i="6"/>
  <c r="E89" i="10" s="1"/>
  <c r="Q178" i="6"/>
  <c r="D89" i="10" s="1"/>
  <c r="P178" i="6"/>
  <c r="C89" i="10" s="1"/>
  <c r="O178" i="6"/>
  <c r="N178" i="6"/>
  <c r="M178" i="6"/>
  <c r="L178" i="6"/>
  <c r="K178" i="6"/>
  <c r="J178" i="6"/>
  <c r="I178" i="6"/>
  <c r="H178" i="6"/>
  <c r="G178" i="6"/>
  <c r="F178" i="6"/>
  <c r="E178" i="6"/>
  <c r="D178" i="6"/>
  <c r="Y138" i="6"/>
  <c r="X138" i="6"/>
  <c r="W138" i="6"/>
  <c r="V138" i="6"/>
  <c r="U138" i="6"/>
  <c r="T138" i="6"/>
  <c r="S138" i="6"/>
  <c r="R138" i="6"/>
  <c r="Q138" i="6"/>
  <c r="P138" i="6"/>
  <c r="O138" i="6"/>
  <c r="N138" i="6"/>
  <c r="M138" i="6"/>
  <c r="L138" i="6"/>
  <c r="K138" i="6"/>
  <c r="J138" i="6"/>
  <c r="I138" i="6"/>
  <c r="H138" i="6"/>
  <c r="G138" i="6"/>
  <c r="F138" i="6"/>
  <c r="E138" i="6"/>
  <c r="D138" i="6"/>
  <c r="Y169" i="6"/>
  <c r="X169" i="6"/>
  <c r="W169" i="6"/>
  <c r="V169" i="6"/>
  <c r="U169" i="6"/>
  <c r="T169" i="6"/>
  <c r="S169" i="6"/>
  <c r="R169" i="6"/>
  <c r="Q169" i="6"/>
  <c r="P169" i="6"/>
  <c r="O169" i="6"/>
  <c r="N169" i="6"/>
  <c r="M169" i="6"/>
  <c r="L169" i="6"/>
  <c r="K169" i="6"/>
  <c r="J169" i="6"/>
  <c r="I169" i="6"/>
  <c r="H169" i="6"/>
  <c r="G169" i="6"/>
  <c r="F169" i="6"/>
  <c r="E169" i="6"/>
  <c r="Y165" i="6"/>
  <c r="X165" i="6"/>
  <c r="AB166" i="6" s="1"/>
  <c r="W165" i="6"/>
  <c r="AA166" i="6" s="1"/>
  <c r="V165" i="6"/>
  <c r="Z166" i="6" s="1"/>
  <c r="U165" i="6"/>
  <c r="T165" i="6"/>
  <c r="S165" i="6"/>
  <c r="R165" i="6"/>
  <c r="Q165" i="6"/>
  <c r="P165" i="6"/>
  <c r="O165" i="6"/>
  <c r="N165" i="6"/>
  <c r="M165" i="6"/>
  <c r="L165" i="6"/>
  <c r="K165" i="6"/>
  <c r="J165" i="6"/>
  <c r="I165" i="6"/>
  <c r="H165" i="6"/>
  <c r="G165" i="6"/>
  <c r="F165" i="6"/>
  <c r="E165" i="6"/>
  <c r="D169" i="6"/>
  <c r="D165" i="6"/>
  <c r="Y145" i="6"/>
  <c r="AC146" i="6" s="1"/>
  <c r="X145" i="6"/>
  <c r="W145" i="6"/>
  <c r="V145" i="6"/>
  <c r="U145" i="6"/>
  <c r="H85" i="10" s="1"/>
  <c r="T145" i="6"/>
  <c r="G85" i="10" s="1"/>
  <c r="S145" i="6"/>
  <c r="F85" i="10" s="1"/>
  <c r="R145" i="6"/>
  <c r="E85" i="10" s="1"/>
  <c r="Q145" i="6"/>
  <c r="D85" i="10" s="1"/>
  <c r="P145" i="6"/>
  <c r="C85" i="10" s="1"/>
  <c r="O145" i="6"/>
  <c r="N145" i="6"/>
  <c r="M145" i="6"/>
  <c r="L145" i="6"/>
  <c r="K145" i="6"/>
  <c r="J145" i="6"/>
  <c r="I145" i="6"/>
  <c r="H145" i="6"/>
  <c r="G145" i="6"/>
  <c r="F145" i="6"/>
  <c r="E145" i="6"/>
  <c r="Y147" i="6"/>
  <c r="AC148" i="6" s="1"/>
  <c r="X147" i="6"/>
  <c r="AB148" i="6" s="1"/>
  <c r="W147" i="6"/>
  <c r="AA148" i="6" s="1"/>
  <c r="V147" i="6"/>
  <c r="Z148" i="6" s="1"/>
  <c r="U147" i="6"/>
  <c r="T147" i="6"/>
  <c r="S147" i="6"/>
  <c r="R147" i="6"/>
  <c r="Q147" i="6"/>
  <c r="P147" i="6"/>
  <c r="O147" i="6"/>
  <c r="N147" i="6"/>
  <c r="M147" i="6"/>
  <c r="L147" i="6"/>
  <c r="K147" i="6"/>
  <c r="J147" i="6"/>
  <c r="I147" i="6"/>
  <c r="H147" i="6"/>
  <c r="G147" i="6"/>
  <c r="F147" i="6"/>
  <c r="E147" i="6"/>
  <c r="D147" i="6"/>
  <c r="D145" i="6"/>
  <c r="Y151" i="6"/>
  <c r="X151" i="6"/>
  <c r="W151" i="6"/>
  <c r="V151" i="6"/>
  <c r="U151" i="6"/>
  <c r="T151" i="6"/>
  <c r="S151" i="6"/>
  <c r="R151" i="6"/>
  <c r="Q151" i="6"/>
  <c r="P151" i="6"/>
  <c r="O151" i="6"/>
  <c r="N151" i="6"/>
  <c r="M151" i="6"/>
  <c r="L151" i="6"/>
  <c r="K151" i="6"/>
  <c r="J151" i="6"/>
  <c r="I151" i="6"/>
  <c r="H151" i="6"/>
  <c r="G151" i="6"/>
  <c r="F151" i="6"/>
  <c r="E151" i="6"/>
  <c r="D151" i="6"/>
  <c r="Y66" i="6"/>
  <c r="X66" i="6"/>
  <c r="W66" i="6"/>
  <c r="V66" i="6"/>
  <c r="U66" i="6"/>
  <c r="T66" i="6"/>
  <c r="S66" i="6"/>
  <c r="R66" i="6"/>
  <c r="Q66" i="6"/>
  <c r="P66" i="6"/>
  <c r="O66" i="6"/>
  <c r="N66" i="6"/>
  <c r="M66" i="6"/>
  <c r="L66" i="6"/>
  <c r="K66" i="6"/>
  <c r="J66" i="6"/>
  <c r="I66" i="6"/>
  <c r="H66" i="6"/>
  <c r="G66" i="6"/>
  <c r="F66" i="6"/>
  <c r="E66" i="6"/>
  <c r="D66" i="6"/>
  <c r="Y141" i="6"/>
  <c r="AC142" i="6" s="1"/>
  <c r="X141" i="6"/>
  <c r="W141" i="6"/>
  <c r="V141" i="6"/>
  <c r="U141" i="6"/>
  <c r="T141" i="6"/>
  <c r="S141" i="6"/>
  <c r="R141" i="6"/>
  <c r="Q141" i="6"/>
  <c r="P141" i="6"/>
  <c r="O141" i="6"/>
  <c r="O181" i="6" s="1"/>
  <c r="O156" i="6" s="1"/>
  <c r="N141" i="6"/>
  <c r="M141" i="6"/>
  <c r="M181" i="6" s="1"/>
  <c r="M156" i="6" s="1"/>
  <c r="L141" i="6"/>
  <c r="L181" i="6" s="1"/>
  <c r="L156" i="6" s="1"/>
  <c r="K141" i="6"/>
  <c r="K181" i="6" s="1"/>
  <c r="K156" i="6" s="1"/>
  <c r="J141" i="6"/>
  <c r="J181" i="6" s="1"/>
  <c r="J156" i="6" s="1"/>
  <c r="I141" i="6"/>
  <c r="H141" i="6"/>
  <c r="G141" i="6"/>
  <c r="F141" i="6"/>
  <c r="E141" i="6"/>
  <c r="D141" i="6"/>
  <c r="P181" i="6" l="1"/>
  <c r="P156" i="6" s="1"/>
  <c r="P157" i="6" s="1"/>
  <c r="T181" i="6"/>
  <c r="T156" i="6" s="1"/>
  <c r="T157" i="6" s="1"/>
  <c r="N181" i="6"/>
  <c r="N156" i="6" s="1"/>
  <c r="N159" i="6" s="1"/>
  <c r="U181" i="6"/>
  <c r="U156" i="6" s="1"/>
  <c r="U157" i="6" s="1"/>
  <c r="I181" i="6"/>
  <c r="I156" i="6" s="1"/>
  <c r="I159" i="6" s="1"/>
  <c r="R181" i="6"/>
  <c r="R156" i="6" s="1"/>
  <c r="R157" i="6" s="1"/>
  <c r="Q181" i="6"/>
  <c r="Q156" i="6" s="1"/>
  <c r="Q157" i="6" s="1"/>
  <c r="S181" i="6"/>
  <c r="S156" i="6" s="1"/>
  <c r="S159" i="6" s="1"/>
  <c r="K85" i="10"/>
  <c r="AB146" i="6"/>
  <c r="Z167" i="6"/>
  <c r="AH167" i="6" s="1"/>
  <c r="AC166" i="6"/>
  <c r="K89" i="10"/>
  <c r="AB179" i="6"/>
  <c r="J85" i="10"/>
  <c r="AA146" i="6"/>
  <c r="J89" i="10"/>
  <c r="AA179" i="6"/>
  <c r="X181" i="6"/>
  <c r="X156" i="6" s="1"/>
  <c r="X159" i="6" s="1"/>
  <c r="AB160" i="6" s="1"/>
  <c r="AB142" i="6"/>
  <c r="W181" i="6"/>
  <c r="W156" i="6" s="1"/>
  <c r="W159" i="6" s="1"/>
  <c r="AA160" i="6" s="1"/>
  <c r="AA142" i="6"/>
  <c r="Z146" i="6"/>
  <c r="I85" i="10"/>
  <c r="Z179" i="6"/>
  <c r="I89" i="10"/>
  <c r="Z149" i="6"/>
  <c r="Z150" i="6" s="1"/>
  <c r="Z175" i="6" s="1"/>
  <c r="L85" i="10"/>
  <c r="Z180" i="6"/>
  <c r="L89" i="10"/>
  <c r="V181" i="6"/>
  <c r="V156" i="6" s="1"/>
  <c r="V159" i="6" s="1"/>
  <c r="Z160" i="6" s="1"/>
  <c r="Z142" i="6"/>
  <c r="Y181" i="6"/>
  <c r="Y156" i="6" s="1"/>
  <c r="Y159" i="6" s="1"/>
  <c r="AC160" i="6" s="1"/>
  <c r="Z143" i="6"/>
  <c r="O159" i="6"/>
  <c r="K159" i="6"/>
  <c r="M159" i="6"/>
  <c r="L159" i="6"/>
  <c r="J159" i="6"/>
  <c r="H171" i="6"/>
  <c r="P171" i="6"/>
  <c r="P174" i="6" s="1"/>
  <c r="X167" i="6"/>
  <c r="Q167" i="6"/>
  <c r="W180" i="6"/>
  <c r="G192" i="6"/>
  <c r="G209" i="6" s="1"/>
  <c r="G210" i="6" s="1"/>
  <c r="U167" i="6"/>
  <c r="T171" i="6"/>
  <c r="T174" i="6" s="1"/>
  <c r="L171" i="6"/>
  <c r="U171" i="6"/>
  <c r="U174" i="6" s="1"/>
  <c r="W167" i="6"/>
  <c r="E171" i="6"/>
  <c r="P191" i="6"/>
  <c r="F192" i="6"/>
  <c r="F209" i="6" s="1"/>
  <c r="F210" i="6" s="1"/>
  <c r="M171" i="6"/>
  <c r="J191" i="6"/>
  <c r="X180" i="6"/>
  <c r="J189" i="6"/>
  <c r="R167" i="6"/>
  <c r="K179" i="6"/>
  <c r="M191" i="6"/>
  <c r="D192" i="6"/>
  <c r="D209" i="6" s="1"/>
  <c r="D210" i="6" s="1"/>
  <c r="D171" i="6"/>
  <c r="O191" i="6"/>
  <c r="K191" i="6"/>
  <c r="S191" i="6"/>
  <c r="L191" i="6"/>
  <c r="T191" i="6"/>
  <c r="R191" i="6"/>
  <c r="U191" i="6"/>
  <c r="N191" i="6"/>
  <c r="V191" i="6"/>
  <c r="W191" i="6"/>
  <c r="E192" i="6"/>
  <c r="E209" i="6" s="1"/>
  <c r="E210" i="6" s="1"/>
  <c r="H191" i="6"/>
  <c r="X191" i="6"/>
  <c r="I191" i="6"/>
  <c r="Q191" i="6"/>
  <c r="Y191" i="6"/>
  <c r="S167" i="6"/>
  <c r="S171" i="6"/>
  <c r="S174" i="6" s="1"/>
  <c r="T167" i="6"/>
  <c r="K189" i="6"/>
  <c r="K166" i="6"/>
  <c r="S166" i="6"/>
  <c r="N179" i="6"/>
  <c r="H179" i="6"/>
  <c r="P179" i="6"/>
  <c r="P152" i="6"/>
  <c r="S179" i="6"/>
  <c r="L179" i="6"/>
  <c r="Y167" i="6"/>
  <c r="L192" i="6"/>
  <c r="L189" i="6"/>
  <c r="R152" i="6"/>
  <c r="F171" i="6"/>
  <c r="N171" i="6"/>
  <c r="M179" i="6"/>
  <c r="U179" i="6"/>
  <c r="M192" i="6"/>
  <c r="M209" i="6" s="1"/>
  <c r="M210" i="6" s="1"/>
  <c r="M189" i="6"/>
  <c r="N192" i="6"/>
  <c r="N189" i="6"/>
  <c r="O192" i="6"/>
  <c r="O209" i="6" s="1"/>
  <c r="O210" i="6" s="1"/>
  <c r="O189" i="6"/>
  <c r="J192" i="6"/>
  <c r="H192" i="6"/>
  <c r="H189" i="6"/>
  <c r="K192" i="6"/>
  <c r="V167" i="6"/>
  <c r="I192" i="6"/>
  <c r="I189" i="6"/>
  <c r="W179" i="6"/>
  <c r="V180" i="6"/>
  <c r="S180" i="6"/>
  <c r="L166" i="6"/>
  <c r="T166" i="6"/>
  <c r="U180" i="6"/>
  <c r="Q168" i="6"/>
  <c r="Y168" i="6"/>
  <c r="P168" i="6"/>
  <c r="R168" i="6"/>
  <c r="I179" i="6"/>
  <c r="Q180" i="6"/>
  <c r="J179" i="6"/>
  <c r="R180" i="6"/>
  <c r="T168" i="6"/>
  <c r="O179" i="6"/>
  <c r="U168" i="6"/>
  <c r="T180" i="6"/>
  <c r="T179" i="6"/>
  <c r="V179" i="6"/>
  <c r="X179" i="6"/>
  <c r="G171" i="6"/>
  <c r="O171" i="6"/>
  <c r="W171" i="6"/>
  <c r="AA172" i="6" s="1"/>
  <c r="Q179" i="6"/>
  <c r="Y179" i="6"/>
  <c r="R179" i="6"/>
  <c r="Y180" i="6"/>
  <c r="V168" i="6"/>
  <c r="S168" i="6"/>
  <c r="I171" i="6"/>
  <c r="Q171" i="6"/>
  <c r="Y171" i="6"/>
  <c r="AC172" i="6" s="1"/>
  <c r="W168" i="6"/>
  <c r="X168" i="6"/>
  <c r="J166" i="6"/>
  <c r="J146" i="6"/>
  <c r="V171" i="6"/>
  <c r="Z172" i="6" s="1"/>
  <c r="R149" i="6"/>
  <c r="R150" i="6" s="1"/>
  <c r="R175" i="6" s="1"/>
  <c r="K149" i="6"/>
  <c r="R166" i="6"/>
  <c r="K171" i="6"/>
  <c r="X171" i="6"/>
  <c r="AB172" i="6" s="1"/>
  <c r="Q152" i="6"/>
  <c r="Y152" i="6"/>
  <c r="S149" i="6"/>
  <c r="S150" i="6" s="1"/>
  <c r="S175" i="6" s="1"/>
  <c r="J148" i="6"/>
  <c r="V148" i="6"/>
  <c r="J171" i="6"/>
  <c r="R171" i="6"/>
  <c r="L149" i="6"/>
  <c r="T149" i="6"/>
  <c r="T150" i="6" s="1"/>
  <c r="T175" i="6" s="1"/>
  <c r="N166" i="6"/>
  <c r="I166" i="6"/>
  <c r="S152" i="6"/>
  <c r="L148" i="6"/>
  <c r="T148" i="6"/>
  <c r="K146" i="6"/>
  <c r="O149" i="6"/>
  <c r="W146" i="6"/>
  <c r="V149" i="6"/>
  <c r="V150" i="6" s="1"/>
  <c r="V175" i="6" s="1"/>
  <c r="Y166" i="6"/>
  <c r="Y148" i="6"/>
  <c r="Q148" i="6"/>
  <c r="U148" i="6"/>
  <c r="L146" i="6"/>
  <c r="T146" i="6"/>
  <c r="V166" i="6"/>
  <c r="X146" i="6"/>
  <c r="Q166" i="6"/>
  <c r="R148" i="6"/>
  <c r="V152" i="6"/>
  <c r="Z153" i="6" s="1"/>
  <c r="M146" i="6"/>
  <c r="W152" i="6"/>
  <c r="AA153" i="6" s="1"/>
  <c r="Y149" i="6"/>
  <c r="Y150" i="6" s="1"/>
  <c r="Y175" i="6" s="1"/>
  <c r="T152" i="6"/>
  <c r="X166" i="6"/>
  <c r="M148" i="6"/>
  <c r="J149" i="6"/>
  <c r="U152" i="6"/>
  <c r="O166" i="6"/>
  <c r="W166" i="6"/>
  <c r="N148" i="6"/>
  <c r="P166" i="6"/>
  <c r="H166" i="6"/>
  <c r="H149" i="6"/>
  <c r="Q149" i="6"/>
  <c r="Q150" i="6" s="1"/>
  <c r="Q175" i="6" s="1"/>
  <c r="P146" i="6"/>
  <c r="I148" i="6"/>
  <c r="X149" i="6"/>
  <c r="X150" i="6" s="1"/>
  <c r="X175" i="6" s="1"/>
  <c r="I149" i="6"/>
  <c r="I146" i="6"/>
  <c r="Q146" i="6"/>
  <c r="Y146" i="6"/>
  <c r="X152" i="6"/>
  <c r="AB153" i="6" s="1"/>
  <c r="M166" i="6"/>
  <c r="U166" i="6"/>
  <c r="P149" i="6"/>
  <c r="U146" i="6"/>
  <c r="H146" i="6"/>
  <c r="F149" i="6"/>
  <c r="N149" i="6"/>
  <c r="O146" i="6"/>
  <c r="S146" i="6"/>
  <c r="R146" i="6"/>
  <c r="E149" i="6"/>
  <c r="M149" i="6"/>
  <c r="U149" i="6"/>
  <c r="U150" i="6" s="1"/>
  <c r="U175" i="6" s="1"/>
  <c r="P148" i="6"/>
  <c r="G149" i="6"/>
  <c r="W149" i="6"/>
  <c r="W150" i="6" s="1"/>
  <c r="W175" i="6" s="1"/>
  <c r="K148" i="6"/>
  <c r="S148" i="6"/>
  <c r="N146" i="6"/>
  <c r="V146" i="6"/>
  <c r="O148" i="6"/>
  <c r="W148" i="6"/>
  <c r="X148" i="6"/>
  <c r="H148" i="6"/>
  <c r="I142" i="6"/>
  <c r="Q143" i="6"/>
  <c r="M142" i="6"/>
  <c r="U143" i="6"/>
  <c r="L143" i="6"/>
  <c r="T143" i="6"/>
  <c r="N143" i="6"/>
  <c r="O143" i="6"/>
  <c r="H142" i="6"/>
  <c r="P143" i="6"/>
  <c r="X143" i="6"/>
  <c r="R143" i="6"/>
  <c r="K142" i="6"/>
  <c r="S143" i="6"/>
  <c r="U142" i="6"/>
  <c r="M143" i="6"/>
  <c r="J142" i="6"/>
  <c r="L142" i="6"/>
  <c r="T142" i="6"/>
  <c r="N142" i="6"/>
  <c r="V142" i="6"/>
  <c r="V143" i="6"/>
  <c r="O142" i="6"/>
  <c r="W142" i="6"/>
  <c r="W143" i="6"/>
  <c r="P142" i="6"/>
  <c r="X142" i="6"/>
  <c r="Q142" i="6"/>
  <c r="Y142" i="6"/>
  <c r="Y143" i="6"/>
  <c r="R142" i="6"/>
  <c r="S142" i="6"/>
  <c r="P159" i="6" l="1"/>
  <c r="P160" i="6" s="1"/>
  <c r="T159" i="6"/>
  <c r="X160" i="6" s="1"/>
  <c r="U159" i="6"/>
  <c r="Y160" i="6" s="1"/>
  <c r="R159" i="6"/>
  <c r="V160" i="6" s="1"/>
  <c r="S157" i="6"/>
  <c r="Q159" i="6"/>
  <c r="Q160" i="6" s="1"/>
  <c r="W157" i="6"/>
  <c r="AA158" i="6" s="1"/>
  <c r="X157" i="6"/>
  <c r="AB158" i="6" s="1"/>
  <c r="Z154" i="6"/>
  <c r="AC153" i="6"/>
  <c r="Y157" i="6"/>
  <c r="AC158" i="6" s="1"/>
  <c r="O160" i="6"/>
  <c r="V157" i="6"/>
  <c r="Z158" i="6" s="1"/>
  <c r="H172" i="6"/>
  <c r="M160" i="6"/>
  <c r="Z176" i="6"/>
  <c r="Z173" i="6"/>
  <c r="AH173" i="6" s="1"/>
  <c r="S160" i="6"/>
  <c r="N160" i="6"/>
  <c r="W160" i="6"/>
  <c r="U158" i="6"/>
  <c r="T158" i="6"/>
  <c r="L172" i="6"/>
  <c r="T172" i="6"/>
  <c r="L199" i="6"/>
  <c r="L209" i="6"/>
  <c r="L210" i="6" s="1"/>
  <c r="I199" i="6"/>
  <c r="I209" i="6"/>
  <c r="I210" i="6" s="1"/>
  <c r="H199" i="6"/>
  <c r="H209" i="6"/>
  <c r="H210" i="6" s="1"/>
  <c r="J199" i="6"/>
  <c r="J209" i="6"/>
  <c r="J210" i="6" s="1"/>
  <c r="N199" i="6"/>
  <c r="N209" i="6"/>
  <c r="N210" i="6" s="1"/>
  <c r="U176" i="6"/>
  <c r="K199" i="6"/>
  <c r="K209" i="6"/>
  <c r="K210" i="6" s="1"/>
  <c r="O199" i="6"/>
  <c r="M199" i="6"/>
  <c r="D194" i="6"/>
  <c r="D199" i="6"/>
  <c r="F194" i="6"/>
  <c r="F199" i="6"/>
  <c r="G194" i="6"/>
  <c r="G199" i="6"/>
  <c r="E194" i="6"/>
  <c r="E199" i="6"/>
  <c r="P172" i="6"/>
  <c r="U173" i="6"/>
  <c r="I172" i="6"/>
  <c r="W172" i="6"/>
  <c r="Q154" i="6"/>
  <c r="N193" i="6"/>
  <c r="K193" i="6"/>
  <c r="J193" i="6"/>
  <c r="L193" i="6"/>
  <c r="I193" i="6"/>
  <c r="N172" i="6"/>
  <c r="H193" i="6"/>
  <c r="H194" i="6"/>
  <c r="O193" i="6"/>
  <c r="M193" i="6"/>
  <c r="T176" i="6"/>
  <c r="S172" i="6"/>
  <c r="T173" i="6"/>
  <c r="K172" i="6"/>
  <c r="J172" i="6"/>
  <c r="M172" i="6"/>
  <c r="Y173" i="6"/>
  <c r="Y174" i="6"/>
  <c r="X174" i="6"/>
  <c r="X173" i="6"/>
  <c r="R174" i="6"/>
  <c r="S173" i="6"/>
  <c r="R173" i="6"/>
  <c r="U172" i="6"/>
  <c r="Q173" i="6"/>
  <c r="Q174" i="6"/>
  <c r="R154" i="6"/>
  <c r="V173" i="6"/>
  <c r="V174" i="6"/>
  <c r="W174" i="6"/>
  <c r="W173" i="6"/>
  <c r="Q172" i="6"/>
  <c r="Q176" i="6"/>
  <c r="R176" i="6"/>
  <c r="Y172" i="6"/>
  <c r="O172" i="6"/>
  <c r="X176" i="6"/>
  <c r="Y176" i="6"/>
  <c r="W176" i="6"/>
  <c r="V176" i="6"/>
  <c r="S176" i="6"/>
  <c r="V172" i="6"/>
  <c r="R172" i="6"/>
  <c r="S154" i="6"/>
  <c r="Y154" i="6"/>
  <c r="Y153" i="6"/>
  <c r="V153" i="6"/>
  <c r="W153" i="6"/>
  <c r="X172" i="6"/>
  <c r="W154" i="6"/>
  <c r="U154" i="6"/>
  <c r="U153" i="6"/>
  <c r="V154" i="6"/>
  <c r="T154" i="6"/>
  <c r="T153" i="6"/>
  <c r="X154" i="6"/>
  <c r="X153" i="6"/>
  <c r="T160" i="6" l="1"/>
  <c r="R160" i="6"/>
  <c r="U160" i="6"/>
  <c r="W158" i="6"/>
  <c r="X158" i="6"/>
  <c r="Y158" i="6"/>
  <c r="V158" i="6"/>
  <c r="AG14" i="6"/>
  <c r="AG57" i="5" s="1"/>
  <c r="AE14" i="6"/>
  <c r="AE57" i="5" s="1"/>
  <c r="AF14" i="6" l="1"/>
  <c r="AF57" i="5" s="1"/>
  <c r="AH14" i="6"/>
  <c r="AH57" i="5" s="1"/>
  <c r="AI14" i="6"/>
  <c r="AI57" i="5" s="1"/>
  <c r="Q89" i="10"/>
  <c r="AE165" i="6" l="1"/>
  <c r="AE169" i="6" s="1"/>
  <c r="AE178" i="6"/>
  <c r="R89" i="10" s="1"/>
  <c r="AE166" i="6" l="1"/>
  <c r="AF165" i="6"/>
  <c r="AF169" i="6" s="1"/>
  <c r="AE171" i="6"/>
  <c r="AE176" i="6" s="1"/>
  <c r="AF178" i="6"/>
  <c r="S89" i="10" s="1"/>
  <c r="AE179" i="6"/>
  <c r="AF166" i="6" l="1"/>
  <c r="AG165" i="6"/>
  <c r="AG166" i="6" s="1"/>
  <c r="X6" i="11"/>
  <c r="AD156" i="6"/>
  <c r="Q85" i="10"/>
  <c r="AE145" i="6"/>
  <c r="AF171" i="6"/>
  <c r="AE172" i="6"/>
  <c r="AG178" i="6"/>
  <c r="T89" i="10" s="1"/>
  <c r="AF179" i="6"/>
  <c r="AH165" i="6" l="1"/>
  <c r="AH169" i="6" s="1"/>
  <c r="AG169" i="6"/>
  <c r="AD157" i="6"/>
  <c r="AD158" i="6" s="1"/>
  <c r="AD159" i="6"/>
  <c r="AD160" i="6" s="1"/>
  <c r="R85" i="10"/>
  <c r="AF145" i="6"/>
  <c r="AF176" i="6"/>
  <c r="AE147" i="6"/>
  <c r="AE148" i="6" s="1"/>
  <c r="AE174" i="6"/>
  <c r="AE181" i="6"/>
  <c r="AE168" i="6"/>
  <c r="AE146" i="6"/>
  <c r="AE141" i="6"/>
  <c r="AG171" i="6"/>
  <c r="AG145" i="6" s="1"/>
  <c r="AF172" i="6"/>
  <c r="AH178" i="6"/>
  <c r="U89" i="10" s="1"/>
  <c r="AG179" i="6"/>
  <c r="AI165" i="6" l="1"/>
  <c r="AI169" i="6" s="1"/>
  <c r="AH166" i="6"/>
  <c r="S85" i="10"/>
  <c r="T85" i="10"/>
  <c r="AF168" i="6"/>
  <c r="AF181" i="6"/>
  <c r="AF146" i="6"/>
  <c r="AF147" i="6"/>
  <c r="AF148" i="6" s="1"/>
  <c r="AF174" i="6"/>
  <c r="AF141" i="6"/>
  <c r="AF11" i="6" s="1"/>
  <c r="AF7" i="5" s="1"/>
  <c r="AA6" i="11" s="1"/>
  <c r="AG181" i="6"/>
  <c r="AE11" i="6"/>
  <c r="AE7" i="5" s="1"/>
  <c r="Y6" i="11" s="1"/>
  <c r="AE143" i="6"/>
  <c r="AE142" i="6"/>
  <c r="AG146" i="6"/>
  <c r="AG147" i="6"/>
  <c r="AG148" i="6" s="1"/>
  <c r="AG168" i="6"/>
  <c r="AG141" i="6"/>
  <c r="AH171" i="6"/>
  <c r="AH145" i="6" s="1"/>
  <c r="AG174" i="6"/>
  <c r="AG172" i="6"/>
  <c r="AI178" i="6"/>
  <c r="V89" i="10" s="1"/>
  <c r="AH179" i="6"/>
  <c r="AI166" i="6" l="1"/>
  <c r="U85" i="10"/>
  <c r="AF143" i="6"/>
  <c r="AF142" i="6"/>
  <c r="AG11" i="6"/>
  <c r="AG7" i="5" s="1"/>
  <c r="AB6" i="11" s="1"/>
  <c r="AH141" i="6"/>
  <c r="AH181" i="6"/>
  <c r="AH168" i="6"/>
  <c r="AH146" i="6"/>
  <c r="AH147" i="6"/>
  <c r="AG142" i="6"/>
  <c r="AG143" i="6"/>
  <c r="AI179" i="6"/>
  <c r="AI171" i="6"/>
  <c r="AI176" i="6" s="1"/>
  <c r="AH174" i="6"/>
  <c r="AH172" i="6"/>
  <c r="AH142" i="6" l="1"/>
  <c r="AH143" i="6"/>
  <c r="AH11" i="6"/>
  <c r="AH7" i="5" s="1"/>
  <c r="AC6" i="11" s="1"/>
  <c r="AI145" i="6"/>
  <c r="AH148" i="6"/>
  <c r="AI172" i="6"/>
  <c r="V85" i="10" l="1"/>
  <c r="AI168" i="6"/>
  <c r="AI146" i="6"/>
  <c r="AI174" i="6"/>
  <c r="AI147" i="6"/>
  <c r="AI148" i="6" s="1"/>
  <c r="AI141" i="6"/>
  <c r="AI181" i="6"/>
  <c r="Y117" i="6"/>
  <c r="AC118" i="6" s="1"/>
  <c r="X117" i="6"/>
  <c r="W117" i="6"/>
  <c r="V117" i="6"/>
  <c r="U117" i="6"/>
  <c r="H69" i="10" s="1"/>
  <c r="T117" i="6"/>
  <c r="G69" i="10" s="1"/>
  <c r="S117" i="6"/>
  <c r="R117" i="6"/>
  <c r="Q117" i="6"/>
  <c r="P117" i="6"/>
  <c r="O117" i="6"/>
  <c r="N117" i="6"/>
  <c r="M117" i="6"/>
  <c r="L117" i="6"/>
  <c r="K117" i="6"/>
  <c r="J117" i="6"/>
  <c r="I117" i="6"/>
  <c r="H117" i="6"/>
  <c r="H120" i="6" s="1"/>
  <c r="H67" i="6" s="1"/>
  <c r="G117" i="6"/>
  <c r="G120" i="6" s="1"/>
  <c r="G67" i="6" s="1"/>
  <c r="F117" i="6"/>
  <c r="F120" i="6" s="1"/>
  <c r="F67" i="6" s="1"/>
  <c r="E117" i="6"/>
  <c r="E120" i="6" s="1"/>
  <c r="E67" i="6" s="1"/>
  <c r="Y112" i="6"/>
  <c r="AC113" i="6" s="1"/>
  <c r="X112" i="6"/>
  <c r="W112" i="6"/>
  <c r="V112" i="6"/>
  <c r="U112" i="6"/>
  <c r="H81" i="10" s="1"/>
  <c r="T112" i="6"/>
  <c r="G81" i="10" s="1"/>
  <c r="S112" i="6"/>
  <c r="R112" i="6"/>
  <c r="Q112" i="6"/>
  <c r="P112" i="6"/>
  <c r="O112" i="6"/>
  <c r="N112" i="6"/>
  <c r="M112" i="6"/>
  <c r="L112" i="6"/>
  <c r="K112" i="6"/>
  <c r="J112" i="6"/>
  <c r="I112" i="6"/>
  <c r="H112" i="6"/>
  <c r="H115" i="6" s="1"/>
  <c r="G112" i="6"/>
  <c r="G115" i="6" s="1"/>
  <c r="F112" i="6"/>
  <c r="F115" i="6" s="1"/>
  <c r="E112" i="6"/>
  <c r="E115" i="6" s="1"/>
  <c r="D117" i="6"/>
  <c r="D120" i="6" s="1"/>
  <c r="D67" i="6" s="1"/>
  <c r="D112" i="6"/>
  <c r="D115" i="6" s="1"/>
  <c r="O107" i="6"/>
  <c r="N107" i="6"/>
  <c r="M107" i="6"/>
  <c r="L107" i="6"/>
  <c r="K107" i="6"/>
  <c r="J107" i="6"/>
  <c r="I107" i="6"/>
  <c r="H107" i="6"/>
  <c r="G107" i="6"/>
  <c r="F107" i="6"/>
  <c r="E107" i="6"/>
  <c r="D107" i="6"/>
  <c r="Y101" i="6"/>
  <c r="AC102" i="6" s="1"/>
  <c r="X101" i="6"/>
  <c r="AB102" i="6" s="1"/>
  <c r="W101" i="6"/>
  <c r="AA102" i="6" s="1"/>
  <c r="V101" i="6"/>
  <c r="Z102" i="6" s="1"/>
  <c r="U101" i="6"/>
  <c r="T101" i="6"/>
  <c r="S101" i="6"/>
  <c r="R101" i="6"/>
  <c r="Q101" i="6"/>
  <c r="P101" i="6"/>
  <c r="O101" i="6"/>
  <c r="N101" i="6"/>
  <c r="M101" i="6"/>
  <c r="L101" i="6"/>
  <c r="K101" i="6"/>
  <c r="J101" i="6"/>
  <c r="I101" i="6"/>
  <c r="H101" i="6"/>
  <c r="G101" i="6"/>
  <c r="F101" i="6"/>
  <c r="E101" i="6"/>
  <c r="D101" i="6"/>
  <c r="Y92" i="6"/>
  <c r="AC93" i="6" s="1"/>
  <c r="X92" i="6"/>
  <c r="AB93" i="6" s="1"/>
  <c r="W92" i="6"/>
  <c r="AA93" i="6" s="1"/>
  <c r="V92" i="6"/>
  <c r="Z93" i="6" s="1"/>
  <c r="U92" i="6"/>
  <c r="T92" i="6"/>
  <c r="S92" i="6"/>
  <c r="R92" i="6"/>
  <c r="Q92" i="6"/>
  <c r="P92" i="6"/>
  <c r="O92" i="6"/>
  <c r="N92" i="6"/>
  <c r="M92" i="6"/>
  <c r="L92" i="6"/>
  <c r="K92" i="6"/>
  <c r="J92" i="6"/>
  <c r="I92" i="6"/>
  <c r="H92" i="6"/>
  <c r="G92" i="6"/>
  <c r="F92" i="6"/>
  <c r="E92" i="6"/>
  <c r="D92" i="6"/>
  <c r="M113" i="6" l="1"/>
  <c r="D81" i="10"/>
  <c r="Q113" i="6"/>
  <c r="K69" i="10"/>
  <c r="AB118" i="6"/>
  <c r="N113" i="6"/>
  <c r="E81" i="10"/>
  <c r="R113" i="6"/>
  <c r="O113" i="6"/>
  <c r="F81" i="10"/>
  <c r="S113" i="6"/>
  <c r="J81" i="10"/>
  <c r="AA113" i="6"/>
  <c r="C81" i="10"/>
  <c r="P113" i="6"/>
  <c r="K81" i="10"/>
  <c r="AB113" i="6"/>
  <c r="J69" i="10"/>
  <c r="AA118" i="6"/>
  <c r="AI11" i="6"/>
  <c r="AI7" i="5" s="1"/>
  <c r="AD6" i="11" s="1"/>
  <c r="Z118" i="6"/>
  <c r="I69" i="10"/>
  <c r="C69" i="10"/>
  <c r="P118" i="6"/>
  <c r="Z113" i="6"/>
  <c r="I81" i="10"/>
  <c r="D69" i="10"/>
  <c r="Q118" i="6"/>
  <c r="Z119" i="6"/>
  <c r="L69" i="10"/>
  <c r="E69" i="10"/>
  <c r="R118" i="6"/>
  <c r="F69" i="10"/>
  <c r="S118" i="6"/>
  <c r="Z114" i="6"/>
  <c r="L81" i="10"/>
  <c r="Z108" i="6"/>
  <c r="Z109" i="6" s="1"/>
  <c r="Z103" i="6"/>
  <c r="AF92" i="6"/>
  <c r="AG92" i="6"/>
  <c r="AH92" i="6"/>
  <c r="AE92" i="6"/>
  <c r="AI92" i="6" s="1"/>
  <c r="AI142" i="6"/>
  <c r="AI143" i="6"/>
  <c r="V93" i="6"/>
  <c r="V103" i="6"/>
  <c r="W93" i="6"/>
  <c r="S103" i="6"/>
  <c r="Y93" i="6"/>
  <c r="U93" i="6"/>
  <c r="Y103" i="6"/>
  <c r="X93" i="6"/>
  <c r="T103" i="6"/>
  <c r="U103" i="6"/>
  <c r="U119" i="6"/>
  <c r="X103" i="6"/>
  <c r="R103" i="6"/>
  <c r="W103" i="6"/>
  <c r="T113" i="6"/>
  <c r="U102" i="6"/>
  <c r="V102" i="6"/>
  <c r="W102" i="6"/>
  <c r="X102" i="6"/>
  <c r="Y102" i="6"/>
  <c r="S119" i="6"/>
  <c r="Q114" i="6"/>
  <c r="Y114" i="6"/>
  <c r="T119" i="6"/>
  <c r="W118" i="6"/>
  <c r="X119" i="6"/>
  <c r="V119" i="6"/>
  <c r="T114" i="6"/>
  <c r="Q108" i="6"/>
  <c r="Y108" i="6"/>
  <c r="U114" i="6"/>
  <c r="V114" i="6"/>
  <c r="Q119" i="6"/>
  <c r="Y119" i="6"/>
  <c r="R119" i="6"/>
  <c r="X118" i="6"/>
  <c r="W119" i="6"/>
  <c r="S114" i="6"/>
  <c r="W114" i="6"/>
  <c r="U113" i="6"/>
  <c r="Y118" i="6"/>
  <c r="AG118" i="6" s="1"/>
  <c r="AH118" i="6" s="1"/>
  <c r="AI118" i="6" s="1"/>
  <c r="X114" i="6"/>
  <c r="R114" i="6"/>
  <c r="T118" i="6"/>
  <c r="U118" i="6"/>
  <c r="V118" i="6"/>
  <c r="V113" i="6"/>
  <c r="T108" i="6"/>
  <c r="W113" i="6"/>
  <c r="X113" i="6"/>
  <c r="Y113" i="6"/>
  <c r="U108" i="6"/>
  <c r="R108" i="6"/>
  <c r="P108" i="6"/>
  <c r="X108" i="6"/>
  <c r="V108" i="6"/>
  <c r="W108" i="6"/>
  <c r="S108" i="6"/>
  <c r="AH117" i="6" l="1"/>
  <c r="U69" i="10" s="1"/>
  <c r="AG117" i="6" l="1"/>
  <c r="T69" i="10" s="1"/>
  <c r="AF117" i="6"/>
  <c r="S69" i="10" s="1"/>
  <c r="Q69" i="10"/>
  <c r="AE117" i="6"/>
  <c r="AE119" i="6" s="1"/>
  <c r="AH119" i="6" l="1"/>
  <c r="AG119" i="6"/>
  <c r="AF119" i="6"/>
  <c r="AI117" i="6"/>
  <c r="R69" i="10"/>
  <c r="Y77" i="6"/>
  <c r="X77" i="6"/>
  <c r="AB78" i="6" s="1"/>
  <c r="W77" i="6"/>
  <c r="V77" i="6"/>
  <c r="AH77" i="6" s="1"/>
  <c r="U77" i="6"/>
  <c r="T77" i="6"/>
  <c r="S77" i="6"/>
  <c r="R77" i="6"/>
  <c r="Q77" i="6"/>
  <c r="P77" i="6"/>
  <c r="O77" i="6"/>
  <c r="N77" i="6"/>
  <c r="M77" i="6"/>
  <c r="L77" i="6"/>
  <c r="Y72" i="6"/>
  <c r="AC73" i="6" s="1"/>
  <c r="X72" i="6"/>
  <c r="AB73" i="6" s="1"/>
  <c r="W72" i="6"/>
  <c r="AA73" i="6" s="1"/>
  <c r="V72" i="6"/>
  <c r="Z73" i="6" s="1"/>
  <c r="U72" i="6"/>
  <c r="T72" i="6"/>
  <c r="S72" i="6"/>
  <c r="R72" i="6"/>
  <c r="Q72" i="6"/>
  <c r="P72" i="6"/>
  <c r="O72" i="6"/>
  <c r="N72" i="6"/>
  <c r="M72" i="6"/>
  <c r="L72" i="6"/>
  <c r="K72" i="6"/>
  <c r="J72" i="6"/>
  <c r="I72" i="6"/>
  <c r="H72" i="6"/>
  <c r="G72" i="6"/>
  <c r="F72" i="6"/>
  <c r="E72" i="6"/>
  <c r="D72" i="6"/>
  <c r="Y62" i="6"/>
  <c r="X62" i="6"/>
  <c r="W62" i="6"/>
  <c r="V62" i="6"/>
  <c r="U62" i="6"/>
  <c r="T62" i="6"/>
  <c r="S62" i="6"/>
  <c r="R62" i="6"/>
  <c r="Q62" i="6"/>
  <c r="P62" i="6"/>
  <c r="O62" i="6"/>
  <c r="N62" i="6"/>
  <c r="M62" i="6"/>
  <c r="L62" i="6"/>
  <c r="K62" i="6"/>
  <c r="J62" i="6"/>
  <c r="I62" i="6"/>
  <c r="H62" i="6"/>
  <c r="G62" i="6"/>
  <c r="F62" i="6"/>
  <c r="E62" i="6"/>
  <c r="D62" i="6"/>
  <c r="Y38" i="6"/>
  <c r="Y20" i="6" s="1"/>
  <c r="AC21" i="6" s="1"/>
  <c r="X38" i="6"/>
  <c r="W38" i="6"/>
  <c r="V38" i="6"/>
  <c r="U38" i="6"/>
  <c r="U20" i="6" s="1"/>
  <c r="T38" i="6"/>
  <c r="T20" i="6" s="1"/>
  <c r="S38" i="6"/>
  <c r="S20" i="6" s="1"/>
  <c r="R38" i="6"/>
  <c r="R20" i="6" s="1"/>
  <c r="Q38" i="6"/>
  <c r="Q20" i="6" s="1"/>
  <c r="P38" i="6"/>
  <c r="P20" i="6" s="1"/>
  <c r="O38" i="6"/>
  <c r="O20" i="6" s="1"/>
  <c r="N38" i="6"/>
  <c r="N20" i="6" s="1"/>
  <c r="M38" i="6"/>
  <c r="M20" i="6" s="1"/>
  <c r="L38" i="6"/>
  <c r="L20" i="6" s="1"/>
  <c r="K38" i="6"/>
  <c r="K20" i="6" s="1"/>
  <c r="J38" i="6"/>
  <c r="J20" i="6" s="1"/>
  <c r="I38" i="6"/>
  <c r="I20" i="6" s="1"/>
  <c r="H38" i="6"/>
  <c r="H20" i="6" s="1"/>
  <c r="G38" i="6"/>
  <c r="G20" i="6" s="1"/>
  <c r="F38" i="6"/>
  <c r="F20" i="6" s="1"/>
  <c r="E38" i="6"/>
  <c r="E20" i="6" s="1"/>
  <c r="Y37" i="6"/>
  <c r="X37" i="6"/>
  <c r="W37" i="6"/>
  <c r="V37" i="6"/>
  <c r="Z49" i="6" s="1"/>
  <c r="U37" i="6"/>
  <c r="T37" i="6"/>
  <c r="S37" i="6"/>
  <c r="R37" i="6"/>
  <c r="Q37" i="6"/>
  <c r="P37" i="6"/>
  <c r="O37" i="6"/>
  <c r="N37" i="6"/>
  <c r="M37" i="6"/>
  <c r="L37" i="6"/>
  <c r="K37" i="6"/>
  <c r="J37" i="6"/>
  <c r="I37" i="6"/>
  <c r="H37" i="6"/>
  <c r="G37" i="6"/>
  <c r="F37" i="6"/>
  <c r="E37" i="6"/>
  <c r="Y36" i="6"/>
  <c r="L65" i="10" s="1"/>
  <c r="X36" i="6"/>
  <c r="W36" i="6"/>
  <c r="V36" i="6"/>
  <c r="U36" i="6"/>
  <c r="H65" i="10" s="1"/>
  <c r="T36" i="6"/>
  <c r="G65" i="10" s="1"/>
  <c r="S36" i="6"/>
  <c r="F65" i="10" s="1"/>
  <c r="R36" i="6"/>
  <c r="E65" i="10" s="1"/>
  <c r="Q36" i="6"/>
  <c r="P36" i="6"/>
  <c r="C65" i="10" s="1"/>
  <c r="O36" i="6"/>
  <c r="N36" i="6"/>
  <c r="M36" i="6"/>
  <c r="L36" i="6"/>
  <c r="K36" i="6"/>
  <c r="J36" i="6"/>
  <c r="I36" i="6"/>
  <c r="H36" i="6"/>
  <c r="G36" i="6"/>
  <c r="F36" i="6"/>
  <c r="E36" i="6"/>
  <c r="D38" i="6"/>
  <c r="D20" i="6" s="1"/>
  <c r="D37" i="6"/>
  <c r="D36" i="6"/>
  <c r="AM25" i="6"/>
  <c r="AL25" i="6"/>
  <c r="AL115" i="6" s="1"/>
  <c r="AL67" i="6" s="1"/>
  <c r="AK25" i="6"/>
  <c r="Y25" i="6"/>
  <c r="AC26" i="6" s="1"/>
  <c r="X25" i="6"/>
  <c r="AB26" i="6" s="1"/>
  <c r="W25" i="6"/>
  <c r="AA26" i="6" s="1"/>
  <c r="V25" i="6"/>
  <c r="U25" i="6"/>
  <c r="T25" i="6"/>
  <c r="S25" i="6"/>
  <c r="R25" i="6"/>
  <c r="Q25" i="6"/>
  <c r="P25" i="6"/>
  <c r="O25" i="6"/>
  <c r="N25" i="6"/>
  <c r="M25" i="6"/>
  <c r="L25" i="6"/>
  <c r="K25" i="6"/>
  <c r="J25" i="6"/>
  <c r="I25" i="6"/>
  <c r="AK3" i="6"/>
  <c r="W3" i="6"/>
  <c r="AA3" i="6" s="1"/>
  <c r="V3" i="6"/>
  <c r="Z3" i="6" s="1"/>
  <c r="U3" i="6"/>
  <c r="Y3" i="6" s="1"/>
  <c r="AC3" i="6" s="1"/>
  <c r="T3" i="6"/>
  <c r="X3" i="6" s="1"/>
  <c r="W2" i="6"/>
  <c r="V2" i="6"/>
  <c r="U2" i="6"/>
  <c r="Y2" i="6" s="1"/>
  <c r="AC2" i="6" s="1"/>
  <c r="AG2" i="6" s="1"/>
  <c r="T2" i="6"/>
  <c r="X2" i="6" s="1"/>
  <c r="W40" i="6" l="1"/>
  <c r="AA49" i="6"/>
  <c r="AB49" i="6"/>
  <c r="X40" i="6"/>
  <c r="AB51" i="6" s="1"/>
  <c r="Y40" i="6"/>
  <c r="X20" i="6"/>
  <c r="AB21" i="6" s="1"/>
  <c r="AB50" i="6"/>
  <c r="Z63" i="6"/>
  <c r="AH62" i="6"/>
  <c r="J65" i="10"/>
  <c r="AA48" i="6"/>
  <c r="AA63" i="6"/>
  <c r="AA78" i="6"/>
  <c r="AE77" i="6"/>
  <c r="AI77" i="6" s="1"/>
  <c r="AA2" i="6"/>
  <c r="AE2" i="6" s="1"/>
  <c r="AI2" i="6" s="1"/>
  <c r="N22" i="6"/>
  <c r="AB63" i="6"/>
  <c r="AF62" i="6"/>
  <c r="K65" i="10"/>
  <c r="AB48" i="6"/>
  <c r="AB2" i="6"/>
  <c r="AF2" i="6" s="1"/>
  <c r="AB3" i="6"/>
  <c r="AF3" i="6" s="1"/>
  <c r="W20" i="6"/>
  <c r="AA21" i="6" s="1"/>
  <c r="AA50" i="6"/>
  <c r="AC63" i="6"/>
  <c r="AG62" i="6"/>
  <c r="AC78" i="6"/>
  <c r="AG77" i="6"/>
  <c r="T115" i="6"/>
  <c r="AM115" i="6"/>
  <c r="AM67" i="6" s="1"/>
  <c r="AM68" i="6" s="1"/>
  <c r="W115" i="6"/>
  <c r="X115" i="6"/>
  <c r="Q115" i="6"/>
  <c r="R115" i="6"/>
  <c r="U115" i="6"/>
  <c r="S115" i="6"/>
  <c r="P63" i="6"/>
  <c r="O22" i="6"/>
  <c r="O21" i="6"/>
  <c r="Q63" i="6"/>
  <c r="Q48" i="6"/>
  <c r="D65" i="10"/>
  <c r="C93" i="10"/>
  <c r="P21" i="6"/>
  <c r="P22" i="6"/>
  <c r="D93" i="10"/>
  <c r="Q21" i="6"/>
  <c r="Q22" i="6"/>
  <c r="L93" i="10"/>
  <c r="Y21" i="6"/>
  <c r="Z22" i="6"/>
  <c r="E93" i="10"/>
  <c r="R21" i="6"/>
  <c r="R22" i="6"/>
  <c r="F93" i="10"/>
  <c r="S22" i="6"/>
  <c r="S21" i="6"/>
  <c r="Z48" i="6"/>
  <c r="I65" i="10"/>
  <c r="Q49" i="6"/>
  <c r="L22" i="6"/>
  <c r="G93" i="10"/>
  <c r="T22" i="6"/>
  <c r="T21" i="6"/>
  <c r="F90" i="6"/>
  <c r="F94" i="6" s="1"/>
  <c r="N63" i="6"/>
  <c r="X73" i="6"/>
  <c r="R49" i="6"/>
  <c r="M22" i="6"/>
  <c r="H93" i="10"/>
  <c r="U21" i="6"/>
  <c r="U22" i="6"/>
  <c r="G90" i="6"/>
  <c r="G97" i="6" s="1"/>
  <c r="V69" i="10"/>
  <c r="AI119" i="6"/>
  <c r="Z50" i="6"/>
  <c r="V20" i="6"/>
  <c r="Z78" i="6"/>
  <c r="AF77" i="6"/>
  <c r="Z56" i="6"/>
  <c r="Z74" i="6"/>
  <c r="Z75" i="6" s="1"/>
  <c r="Z55" i="6"/>
  <c r="Z64" i="6"/>
  <c r="Z65" i="6" s="1"/>
  <c r="Z28" i="6"/>
  <c r="AD29" i="6" s="1"/>
  <c r="V115" i="6"/>
  <c r="Z26" i="6"/>
  <c r="Z79" i="6"/>
  <c r="Z80" i="6" s="1"/>
  <c r="Z57" i="6"/>
  <c r="Y115" i="6"/>
  <c r="Z27" i="6"/>
  <c r="Z2" i="6"/>
  <c r="AD2" i="6" s="1"/>
  <c r="AH2" i="6" s="1"/>
  <c r="O63" i="6"/>
  <c r="R63" i="6"/>
  <c r="S63" i="6"/>
  <c r="T63" i="6"/>
  <c r="N90" i="6"/>
  <c r="V90" i="6"/>
  <c r="Z91" i="6" s="1"/>
  <c r="O90" i="6"/>
  <c r="W90" i="6"/>
  <c r="AA91" i="6" s="1"/>
  <c r="J56" i="6"/>
  <c r="M57" i="6"/>
  <c r="N57" i="6"/>
  <c r="I115" i="6"/>
  <c r="I28" i="6"/>
  <c r="O48" i="6"/>
  <c r="O55" i="6"/>
  <c r="P28" i="6"/>
  <c r="K28" i="6"/>
  <c r="K120" i="6" s="1"/>
  <c r="K67" i="6" s="1"/>
  <c r="K115" i="6"/>
  <c r="L115" i="6"/>
  <c r="L28" i="6"/>
  <c r="L120" i="6" s="1"/>
  <c r="L67" i="6" s="1"/>
  <c r="L56" i="6"/>
  <c r="L49" i="6"/>
  <c r="O57" i="6"/>
  <c r="S49" i="6"/>
  <c r="M115" i="6"/>
  <c r="M28" i="6"/>
  <c r="M120" i="6" s="1"/>
  <c r="M67" i="6" s="1"/>
  <c r="J55" i="6"/>
  <c r="R48" i="6"/>
  <c r="M56" i="6"/>
  <c r="M49" i="6"/>
  <c r="P57" i="6"/>
  <c r="P50" i="6"/>
  <c r="P48" i="6"/>
  <c r="P55" i="6"/>
  <c r="N115" i="6"/>
  <c r="N28" i="6"/>
  <c r="N120" i="6" s="1"/>
  <c r="N67" i="6" s="1"/>
  <c r="K55" i="6"/>
  <c r="S48" i="6"/>
  <c r="N56" i="6"/>
  <c r="N49" i="6"/>
  <c r="Q50" i="6"/>
  <c r="J27" i="6"/>
  <c r="J115" i="6"/>
  <c r="J28" i="6"/>
  <c r="J120" i="6" s="1"/>
  <c r="J67" i="6" s="1"/>
  <c r="O115" i="6"/>
  <c r="O28" i="6"/>
  <c r="O120" i="6" s="1"/>
  <c r="O67" i="6" s="1"/>
  <c r="L55" i="6"/>
  <c r="L48" i="6"/>
  <c r="O49" i="6"/>
  <c r="O56" i="6"/>
  <c r="R50" i="6"/>
  <c r="N55" i="6"/>
  <c r="N48" i="6"/>
  <c r="K56" i="6"/>
  <c r="P115" i="6"/>
  <c r="M55" i="6"/>
  <c r="M48" i="6"/>
  <c r="P49" i="6"/>
  <c r="P56" i="6"/>
  <c r="S50" i="6"/>
  <c r="K27" i="6"/>
  <c r="AM26" i="6"/>
  <c r="AL26" i="6"/>
  <c r="D90" i="6"/>
  <c r="D94" i="6" s="1"/>
  <c r="L90" i="6"/>
  <c r="K90" i="6"/>
  <c r="S90" i="6"/>
  <c r="T90" i="6"/>
  <c r="E90" i="6"/>
  <c r="M90" i="6"/>
  <c r="H90" i="6"/>
  <c r="I90" i="6"/>
  <c r="Q90" i="6"/>
  <c r="Y90" i="6"/>
  <c r="AC91" i="6" s="1"/>
  <c r="X90" i="6"/>
  <c r="J90" i="6"/>
  <c r="R90" i="6"/>
  <c r="R97" i="6" s="1"/>
  <c r="P90" i="6"/>
  <c r="U90" i="6"/>
  <c r="U97" i="6" s="1"/>
  <c r="Q55" i="6"/>
  <c r="W57" i="6"/>
  <c r="V73" i="6"/>
  <c r="U63" i="6"/>
  <c r="W73" i="6"/>
  <c r="U73" i="6"/>
  <c r="W78" i="6"/>
  <c r="R57" i="6"/>
  <c r="X78" i="6"/>
  <c r="W63" i="6"/>
  <c r="Y73" i="6"/>
  <c r="V63" i="6"/>
  <c r="X63" i="6"/>
  <c r="Y63" i="6"/>
  <c r="U78" i="6"/>
  <c r="Y78" i="6"/>
  <c r="V78" i="6"/>
  <c r="L27" i="6"/>
  <c r="M27" i="6"/>
  <c r="M26" i="6"/>
  <c r="U26" i="6"/>
  <c r="U27" i="6"/>
  <c r="S27" i="6"/>
  <c r="S26" i="6"/>
  <c r="T26" i="6"/>
  <c r="T27" i="6"/>
  <c r="N27" i="6"/>
  <c r="N26" i="6"/>
  <c r="V27" i="6"/>
  <c r="V26" i="6"/>
  <c r="Q28" i="6"/>
  <c r="Q120" i="6" s="1"/>
  <c r="Q67" i="6" s="1"/>
  <c r="Q69" i="6" s="1"/>
  <c r="W27" i="6"/>
  <c r="W26" i="6"/>
  <c r="R27" i="6"/>
  <c r="R26" i="6"/>
  <c r="O26" i="6"/>
  <c r="O27" i="6"/>
  <c r="Y55" i="6"/>
  <c r="X27" i="6"/>
  <c r="X26" i="6"/>
  <c r="U56" i="6"/>
  <c r="X57" i="6"/>
  <c r="P27" i="6"/>
  <c r="P26" i="6"/>
  <c r="Q26" i="6"/>
  <c r="Q27" i="6"/>
  <c r="Y27" i="6"/>
  <c r="Y26" i="6"/>
  <c r="S55" i="6"/>
  <c r="V56" i="6"/>
  <c r="Q57" i="6"/>
  <c r="S57" i="6"/>
  <c r="Y57" i="6"/>
  <c r="T48" i="6"/>
  <c r="T55" i="6"/>
  <c r="W49" i="6"/>
  <c r="W56" i="6"/>
  <c r="U55" i="6"/>
  <c r="X49" i="6"/>
  <c r="X56" i="6"/>
  <c r="V48" i="6"/>
  <c r="V55" i="6"/>
  <c r="Q56" i="6"/>
  <c r="Y49" i="6"/>
  <c r="Y56" i="6"/>
  <c r="T57" i="6"/>
  <c r="W55" i="6"/>
  <c r="R56" i="6"/>
  <c r="U57" i="6"/>
  <c r="X55" i="6"/>
  <c r="S56" i="6"/>
  <c r="V57" i="6"/>
  <c r="T56" i="6"/>
  <c r="R55" i="6"/>
  <c r="V28" i="6"/>
  <c r="V120" i="6" s="1"/>
  <c r="V67" i="6" s="1"/>
  <c r="U48" i="6"/>
  <c r="T50" i="6"/>
  <c r="W48" i="6"/>
  <c r="U50" i="6"/>
  <c r="Y28" i="6"/>
  <c r="X48" i="6"/>
  <c r="V50" i="6"/>
  <c r="Y48" i="6"/>
  <c r="T49" i="6"/>
  <c r="W50" i="6"/>
  <c r="U49" i="6"/>
  <c r="X50" i="6"/>
  <c r="V49" i="6"/>
  <c r="Y50" i="6"/>
  <c r="R28" i="6"/>
  <c r="R120" i="6" s="1"/>
  <c r="R67" i="6" s="1"/>
  <c r="R69" i="6" s="1"/>
  <c r="O79" i="6"/>
  <c r="O80" i="6" s="1"/>
  <c r="W79" i="6"/>
  <c r="W80" i="6" s="1"/>
  <c r="U28" i="6"/>
  <c r="U120" i="6" s="1"/>
  <c r="U67" i="6" s="1"/>
  <c r="X28" i="6"/>
  <c r="S79" i="6"/>
  <c r="S80" i="6" s="1"/>
  <c r="W28" i="6"/>
  <c r="S28" i="6"/>
  <c r="S120" i="6" s="1"/>
  <c r="S67" i="6" s="1"/>
  <c r="S69" i="6" s="1"/>
  <c r="T28" i="6"/>
  <c r="T120" i="6" s="1"/>
  <c r="T67" i="6" s="1"/>
  <c r="T69" i="6" s="1"/>
  <c r="G74" i="6"/>
  <c r="G75" i="6" s="1"/>
  <c r="O74" i="6"/>
  <c r="O75" i="6" s="1"/>
  <c r="W74" i="6"/>
  <c r="W75" i="6" s="1"/>
  <c r="L79" i="6"/>
  <c r="L80" i="6" s="1"/>
  <c r="T79" i="6"/>
  <c r="T80" i="6" s="1"/>
  <c r="Q79" i="6"/>
  <c r="Q80" i="6" s="1"/>
  <c r="M79" i="6"/>
  <c r="M80" i="6" s="1"/>
  <c r="U79" i="6"/>
  <c r="U80" i="6" s="1"/>
  <c r="N79" i="6"/>
  <c r="N80" i="6" s="1"/>
  <c r="V79" i="6"/>
  <c r="V80" i="6" s="1"/>
  <c r="P79" i="6"/>
  <c r="P80" i="6" s="1"/>
  <c r="X79" i="6"/>
  <c r="X80" i="6" s="1"/>
  <c r="Y79" i="6"/>
  <c r="Y80" i="6" s="1"/>
  <c r="R79" i="6"/>
  <c r="R80" i="6" s="1"/>
  <c r="L74" i="6"/>
  <c r="L75" i="6" s="1"/>
  <c r="T74" i="6"/>
  <c r="T75" i="6" s="1"/>
  <c r="J64" i="6"/>
  <c r="R64" i="6"/>
  <c r="R65" i="6" s="1"/>
  <c r="F74" i="6"/>
  <c r="F75" i="6" s="1"/>
  <c r="N74" i="6"/>
  <c r="N75" i="6" s="1"/>
  <c r="V74" i="6"/>
  <c r="V75" i="6" s="1"/>
  <c r="H74" i="6"/>
  <c r="H75" i="6" s="1"/>
  <c r="P74" i="6"/>
  <c r="P75" i="6" s="1"/>
  <c r="X74" i="6"/>
  <c r="X75" i="6" s="1"/>
  <c r="I41" i="6"/>
  <c r="Q41" i="6"/>
  <c r="D73" i="10" s="1"/>
  <c r="Y41" i="6"/>
  <c r="Z126" i="6" s="1"/>
  <c r="K74" i="6"/>
  <c r="K75" i="6" s="1"/>
  <c r="S74" i="6"/>
  <c r="S75" i="6" s="1"/>
  <c r="E74" i="6"/>
  <c r="E75" i="6" s="1"/>
  <c r="M74" i="6"/>
  <c r="M75" i="6" s="1"/>
  <c r="U74" i="6"/>
  <c r="U75" i="6" s="1"/>
  <c r="J74" i="6"/>
  <c r="J75" i="6" s="1"/>
  <c r="R74" i="6"/>
  <c r="R75" i="6" s="1"/>
  <c r="I74" i="6"/>
  <c r="I75" i="6" s="1"/>
  <c r="Q74" i="6"/>
  <c r="Q75" i="6" s="1"/>
  <c r="Y74" i="6"/>
  <c r="Y75" i="6" s="1"/>
  <c r="E64" i="6"/>
  <c r="D41" i="6"/>
  <c r="L64" i="6"/>
  <c r="T64" i="6"/>
  <c r="T65" i="6" s="1"/>
  <c r="F64" i="6"/>
  <c r="N64" i="6"/>
  <c r="U64" i="6"/>
  <c r="U65" i="6" s="1"/>
  <c r="M64" i="6"/>
  <c r="W64" i="6"/>
  <c r="W65" i="6" s="1"/>
  <c r="H64" i="6"/>
  <c r="P64" i="6"/>
  <c r="X64" i="6"/>
  <c r="X65" i="6" s="1"/>
  <c r="I64" i="6"/>
  <c r="Q64" i="6"/>
  <c r="Q65" i="6" s="1"/>
  <c r="Y64" i="6"/>
  <c r="Y65" i="6" s="1"/>
  <c r="J41" i="6"/>
  <c r="R41" i="6"/>
  <c r="E73" i="10" s="1"/>
  <c r="E40" i="6"/>
  <c r="M40" i="6"/>
  <c r="U40" i="6"/>
  <c r="D40" i="6"/>
  <c r="F40" i="6"/>
  <c r="N40" i="6"/>
  <c r="V40" i="6"/>
  <c r="Z51" i="6" s="1"/>
  <c r="G41" i="6"/>
  <c r="O41" i="6"/>
  <c r="W41" i="6"/>
  <c r="O40" i="6"/>
  <c r="H41" i="6"/>
  <c r="P41" i="6"/>
  <c r="C73" i="10" s="1"/>
  <c r="X41" i="6"/>
  <c r="AA51" i="6"/>
  <c r="G64" i="6"/>
  <c r="O64" i="6"/>
  <c r="G40" i="6"/>
  <c r="S64" i="6"/>
  <c r="S65" i="6" s="1"/>
  <c r="J40" i="6"/>
  <c r="R40" i="6"/>
  <c r="K64" i="6"/>
  <c r="K40" i="6"/>
  <c r="S40" i="6"/>
  <c r="L40" i="6"/>
  <c r="T40" i="6"/>
  <c r="V64" i="6"/>
  <c r="V65" i="6" s="1"/>
  <c r="H40" i="6"/>
  <c r="P40" i="6"/>
  <c r="K41" i="6"/>
  <c r="S41" i="6"/>
  <c r="F73" i="10" s="1"/>
  <c r="I40" i="6"/>
  <c r="Q40" i="6"/>
  <c r="L41" i="6"/>
  <c r="T41" i="6"/>
  <c r="G73" i="10" s="1"/>
  <c r="E41" i="6"/>
  <c r="M41" i="6"/>
  <c r="U41" i="6"/>
  <c r="H73" i="10" s="1"/>
  <c r="F41" i="6"/>
  <c r="N41" i="6"/>
  <c r="V41" i="6"/>
  <c r="AC4" i="6"/>
  <c r="AG3" i="6"/>
  <c r="AG4" i="6" s="1"/>
  <c r="AD3" i="6"/>
  <c r="AE3" i="6"/>
  <c r="AL4" i="6"/>
  <c r="Y160" i="5"/>
  <c r="X160" i="5"/>
  <c r="W160" i="5"/>
  <c r="V160" i="5"/>
  <c r="U160" i="5"/>
  <c r="T160" i="5"/>
  <c r="S160" i="5"/>
  <c r="R160" i="5"/>
  <c r="Q160" i="5"/>
  <c r="P160" i="5"/>
  <c r="O160" i="5"/>
  <c r="N160" i="5"/>
  <c r="M160" i="5"/>
  <c r="L160" i="5"/>
  <c r="K160" i="5"/>
  <c r="J160" i="5"/>
  <c r="I160" i="5"/>
  <c r="H160" i="5"/>
  <c r="G160" i="5"/>
  <c r="F160" i="5"/>
  <c r="Y157" i="5"/>
  <c r="X157" i="5"/>
  <c r="W157" i="5"/>
  <c r="V157" i="5"/>
  <c r="U157" i="5"/>
  <c r="T157" i="5"/>
  <c r="S157" i="5"/>
  <c r="R157" i="5"/>
  <c r="Q157" i="5"/>
  <c r="P157" i="5"/>
  <c r="O157" i="5"/>
  <c r="N157" i="5"/>
  <c r="M157" i="5"/>
  <c r="L157" i="5"/>
  <c r="K157" i="5"/>
  <c r="J157" i="5"/>
  <c r="I157" i="5"/>
  <c r="H157" i="5"/>
  <c r="G157" i="5"/>
  <c r="F157" i="5"/>
  <c r="Y156" i="5"/>
  <c r="Y145" i="9" s="1"/>
  <c r="X156" i="5"/>
  <c r="X145" i="9" s="1"/>
  <c r="W156" i="5"/>
  <c r="W145" i="9" s="1"/>
  <c r="V156" i="5"/>
  <c r="V145" i="9" s="1"/>
  <c r="U156" i="5"/>
  <c r="U145" i="9" s="1"/>
  <c r="T156" i="5"/>
  <c r="T145" i="9" s="1"/>
  <c r="S156" i="5"/>
  <c r="S145" i="9" s="1"/>
  <c r="R156" i="5"/>
  <c r="R145" i="9" s="1"/>
  <c r="Q156" i="5"/>
  <c r="Q145" i="9" s="1"/>
  <c r="P156" i="5"/>
  <c r="P145" i="9" s="1"/>
  <c r="O156" i="5"/>
  <c r="O145" i="9" s="1"/>
  <c r="N156" i="5"/>
  <c r="N145" i="9" s="1"/>
  <c r="M156" i="5"/>
  <c r="M145" i="9" s="1"/>
  <c r="L156" i="5"/>
  <c r="L145" i="9" s="1"/>
  <c r="K156" i="5"/>
  <c r="K145" i="9" s="1"/>
  <c r="J156" i="5"/>
  <c r="J145" i="9" s="1"/>
  <c r="I156" i="5"/>
  <c r="I145" i="9" s="1"/>
  <c r="H156" i="5"/>
  <c r="H145" i="9" s="1"/>
  <c r="G156" i="5"/>
  <c r="G145" i="9" s="1"/>
  <c r="F156" i="5"/>
  <c r="F145" i="9" s="1"/>
  <c r="Y155" i="5"/>
  <c r="Y135" i="9" s="1"/>
  <c r="Y136" i="9" s="1"/>
  <c r="X155" i="5"/>
  <c r="X135" i="9" s="1"/>
  <c r="W155" i="5"/>
  <c r="W135" i="9" s="1"/>
  <c r="W136" i="9" s="1"/>
  <c r="V155" i="5"/>
  <c r="V135" i="9" s="1"/>
  <c r="V136" i="9" s="1"/>
  <c r="U155" i="5"/>
  <c r="U135" i="9" s="1"/>
  <c r="U136" i="9" s="1"/>
  <c r="T155" i="5"/>
  <c r="T135" i="9" s="1"/>
  <c r="T136" i="9" s="1"/>
  <c r="S155" i="5"/>
  <c r="S135" i="9" s="1"/>
  <c r="S136" i="9" s="1"/>
  <c r="R155" i="5"/>
  <c r="R135" i="9" s="1"/>
  <c r="R136" i="9" s="1"/>
  <c r="Q155" i="5"/>
  <c r="Q135" i="9" s="1"/>
  <c r="Q136" i="9" s="1"/>
  <c r="P155" i="5"/>
  <c r="P135" i="9" s="1"/>
  <c r="P136" i="9" s="1"/>
  <c r="O155" i="5"/>
  <c r="O135" i="9" s="1"/>
  <c r="O136" i="9" s="1"/>
  <c r="N155" i="5"/>
  <c r="N135" i="9" s="1"/>
  <c r="N136" i="9" s="1"/>
  <c r="M155" i="5"/>
  <c r="M135" i="9" s="1"/>
  <c r="M136" i="9" s="1"/>
  <c r="L155" i="5"/>
  <c r="L135" i="9" s="1"/>
  <c r="L136" i="9" s="1"/>
  <c r="K155" i="5"/>
  <c r="K135" i="9" s="1"/>
  <c r="K136" i="9" s="1"/>
  <c r="J155" i="5"/>
  <c r="J135" i="9" s="1"/>
  <c r="J136" i="9" s="1"/>
  <c r="I155" i="5"/>
  <c r="I135" i="9" s="1"/>
  <c r="I136" i="9" s="1"/>
  <c r="H155" i="5"/>
  <c r="H135" i="9" s="1"/>
  <c r="H136" i="9" s="1"/>
  <c r="G155" i="5"/>
  <c r="G135" i="9" s="1"/>
  <c r="G136" i="9" s="1"/>
  <c r="F155" i="5"/>
  <c r="F135" i="9" s="1"/>
  <c r="F136" i="9" s="1"/>
  <c r="Y153" i="5"/>
  <c r="Y82" i="9" s="1"/>
  <c r="X153" i="5"/>
  <c r="X82" i="9" s="1"/>
  <c r="W153" i="5"/>
  <c r="W82" i="9" s="1"/>
  <c r="V153" i="5"/>
  <c r="V82" i="9" s="1"/>
  <c r="U153" i="5"/>
  <c r="U82" i="9" s="1"/>
  <c r="T153" i="5"/>
  <c r="T82" i="9" s="1"/>
  <c r="S153" i="5"/>
  <c r="S82" i="9" s="1"/>
  <c r="R153" i="5"/>
  <c r="R82" i="9" s="1"/>
  <c r="Q153" i="5"/>
  <c r="Q82" i="9" s="1"/>
  <c r="P153" i="5"/>
  <c r="P82" i="9" s="1"/>
  <c r="O153" i="5"/>
  <c r="O82" i="9" s="1"/>
  <c r="N153" i="5"/>
  <c r="N82" i="9" s="1"/>
  <c r="M153" i="5"/>
  <c r="M82" i="9" s="1"/>
  <c r="L153" i="5"/>
  <c r="L82" i="9" s="1"/>
  <c r="K153" i="5"/>
  <c r="K82" i="9" s="1"/>
  <c r="J153" i="5"/>
  <c r="J82" i="9" s="1"/>
  <c r="I153" i="5"/>
  <c r="I82" i="9" s="1"/>
  <c r="H153" i="5"/>
  <c r="H82" i="9" s="1"/>
  <c r="G153" i="5"/>
  <c r="G82" i="9" s="1"/>
  <c r="F153" i="5"/>
  <c r="F82" i="9" s="1"/>
  <c r="F83" i="9" s="1"/>
  <c r="Y152" i="5"/>
  <c r="Y86" i="9" s="1"/>
  <c r="X152" i="5"/>
  <c r="X86" i="9" s="1"/>
  <c r="W152" i="5"/>
  <c r="W86" i="9" s="1"/>
  <c r="V152" i="5"/>
  <c r="V86" i="9" s="1"/>
  <c r="U152" i="5"/>
  <c r="U86" i="9" s="1"/>
  <c r="T152" i="5"/>
  <c r="T86" i="9" s="1"/>
  <c r="S152" i="5"/>
  <c r="S86" i="9" s="1"/>
  <c r="R152" i="5"/>
  <c r="R86" i="9" s="1"/>
  <c r="Q152" i="5"/>
  <c r="Q86" i="9" s="1"/>
  <c r="P152" i="5"/>
  <c r="P86" i="9" s="1"/>
  <c r="O152" i="5"/>
  <c r="O86" i="9" s="1"/>
  <c r="N152" i="5"/>
  <c r="N86" i="9" s="1"/>
  <c r="M152" i="5"/>
  <c r="M86" i="9" s="1"/>
  <c r="L152" i="5"/>
  <c r="L86" i="9" s="1"/>
  <c r="K152" i="5"/>
  <c r="K86" i="9" s="1"/>
  <c r="J152" i="5"/>
  <c r="J86" i="9" s="1"/>
  <c r="I152" i="5"/>
  <c r="I86" i="9" s="1"/>
  <c r="H152" i="5"/>
  <c r="H86" i="9" s="1"/>
  <c r="G152" i="5"/>
  <c r="G86" i="9" s="1"/>
  <c r="F152" i="5"/>
  <c r="F86" i="9" s="1"/>
  <c r="Y151" i="5"/>
  <c r="Y92" i="9" s="1"/>
  <c r="X151" i="5"/>
  <c r="X92" i="9" s="1"/>
  <c r="W151" i="5"/>
  <c r="W92" i="9" s="1"/>
  <c r="V151" i="5"/>
  <c r="V92" i="9" s="1"/>
  <c r="U151" i="5"/>
  <c r="U92" i="9" s="1"/>
  <c r="T151" i="5"/>
  <c r="T92" i="9" s="1"/>
  <c r="S151" i="5"/>
  <c r="S92" i="9" s="1"/>
  <c r="R151" i="5"/>
  <c r="R92" i="9" s="1"/>
  <c r="Q151" i="5"/>
  <c r="Q92" i="9" s="1"/>
  <c r="P151" i="5"/>
  <c r="P92" i="9" s="1"/>
  <c r="O151" i="5"/>
  <c r="O92" i="9" s="1"/>
  <c r="N151" i="5"/>
  <c r="N92" i="9" s="1"/>
  <c r="M151" i="5"/>
  <c r="M92" i="9" s="1"/>
  <c r="L151" i="5"/>
  <c r="L92" i="9" s="1"/>
  <c r="K151" i="5"/>
  <c r="K92" i="9" s="1"/>
  <c r="J151" i="5"/>
  <c r="J92" i="9" s="1"/>
  <c r="I151" i="5"/>
  <c r="I92" i="9" s="1"/>
  <c r="H151" i="5"/>
  <c r="H92" i="9" s="1"/>
  <c r="G151" i="5"/>
  <c r="G92" i="9" s="1"/>
  <c r="F151" i="5"/>
  <c r="F92" i="9" s="1"/>
  <c r="F93" i="9" s="1"/>
  <c r="Y150" i="5"/>
  <c r="Y80" i="9" s="1"/>
  <c r="X150" i="5"/>
  <c r="X80" i="9" s="1"/>
  <c r="W150" i="5"/>
  <c r="W80" i="9" s="1"/>
  <c r="V150" i="5"/>
  <c r="V80" i="9" s="1"/>
  <c r="U150" i="5"/>
  <c r="U80" i="9" s="1"/>
  <c r="T150" i="5"/>
  <c r="T80" i="9" s="1"/>
  <c r="S150" i="5"/>
  <c r="S80" i="9" s="1"/>
  <c r="R150" i="5"/>
  <c r="R80" i="9" s="1"/>
  <c r="Q150" i="5"/>
  <c r="Q80" i="9" s="1"/>
  <c r="P150" i="5"/>
  <c r="P80" i="9" s="1"/>
  <c r="O150" i="5"/>
  <c r="O80" i="9" s="1"/>
  <c r="N150" i="5"/>
  <c r="N80" i="9" s="1"/>
  <c r="M150" i="5"/>
  <c r="M80" i="9" s="1"/>
  <c r="L150" i="5"/>
  <c r="L80" i="9" s="1"/>
  <c r="K150" i="5"/>
  <c r="K80" i="9" s="1"/>
  <c r="J150" i="5"/>
  <c r="J80" i="9" s="1"/>
  <c r="I150" i="5"/>
  <c r="I80" i="9" s="1"/>
  <c r="H150" i="5"/>
  <c r="H80" i="9" s="1"/>
  <c r="G150" i="5"/>
  <c r="G80" i="9" s="1"/>
  <c r="F150" i="5"/>
  <c r="F80" i="9" s="1"/>
  <c r="F81" i="9" s="1"/>
  <c r="Y147" i="5"/>
  <c r="X147" i="5"/>
  <c r="W147" i="5"/>
  <c r="V147" i="5"/>
  <c r="U147" i="5"/>
  <c r="T147" i="5"/>
  <c r="S147" i="5"/>
  <c r="R147" i="5"/>
  <c r="Q147" i="5"/>
  <c r="P147" i="5"/>
  <c r="O147" i="5"/>
  <c r="N147" i="5"/>
  <c r="M147" i="5"/>
  <c r="L147" i="5"/>
  <c r="K147" i="5"/>
  <c r="J147" i="5"/>
  <c r="I147" i="5"/>
  <c r="H147" i="5"/>
  <c r="G147" i="5"/>
  <c r="F147" i="5"/>
  <c r="Y146" i="5"/>
  <c r="X146" i="5"/>
  <c r="W146" i="5"/>
  <c r="V146" i="5"/>
  <c r="U146" i="5"/>
  <c r="T146" i="5"/>
  <c r="S146" i="5"/>
  <c r="R146" i="5"/>
  <c r="Q146" i="5"/>
  <c r="P146" i="5"/>
  <c r="O146" i="5"/>
  <c r="N146" i="5"/>
  <c r="M146" i="5"/>
  <c r="L146" i="5"/>
  <c r="K146" i="5"/>
  <c r="J146" i="5"/>
  <c r="I146" i="5"/>
  <c r="H146" i="5"/>
  <c r="G146" i="5"/>
  <c r="F146" i="5"/>
  <c r="Y145" i="5"/>
  <c r="X145" i="5"/>
  <c r="W145" i="5"/>
  <c r="V145" i="5"/>
  <c r="U145" i="5"/>
  <c r="T145" i="5"/>
  <c r="S145" i="5"/>
  <c r="R145" i="5"/>
  <c r="Q145" i="5"/>
  <c r="P145" i="5"/>
  <c r="O145" i="5"/>
  <c r="N145" i="5"/>
  <c r="M145" i="5"/>
  <c r="L145" i="5"/>
  <c r="K145" i="5"/>
  <c r="J145" i="5"/>
  <c r="I145" i="5"/>
  <c r="H145" i="5"/>
  <c r="G145" i="5"/>
  <c r="F145" i="5"/>
  <c r="Y144" i="5"/>
  <c r="Y171" i="5" s="1"/>
  <c r="X144" i="5"/>
  <c r="X171" i="5" s="1"/>
  <c r="W144" i="5"/>
  <c r="W171" i="5" s="1"/>
  <c r="V144" i="5"/>
  <c r="V171" i="5" s="1"/>
  <c r="U144" i="5"/>
  <c r="U171" i="5" s="1"/>
  <c r="T144" i="5"/>
  <c r="T171" i="5" s="1"/>
  <c r="S144" i="5"/>
  <c r="S171" i="5" s="1"/>
  <c r="R144" i="5"/>
  <c r="R171" i="5" s="1"/>
  <c r="Q144" i="5"/>
  <c r="Q171" i="5" s="1"/>
  <c r="P144" i="5"/>
  <c r="P171" i="5" s="1"/>
  <c r="O144" i="5"/>
  <c r="O171" i="5" s="1"/>
  <c r="N144" i="5"/>
  <c r="N171" i="5" s="1"/>
  <c r="M144" i="5"/>
  <c r="M171" i="5" s="1"/>
  <c r="L144" i="5"/>
  <c r="L171" i="5" s="1"/>
  <c r="K144" i="5"/>
  <c r="K171" i="5" s="1"/>
  <c r="J144" i="5"/>
  <c r="J171" i="5" s="1"/>
  <c r="I144" i="5"/>
  <c r="I171" i="5" s="1"/>
  <c r="H144" i="5"/>
  <c r="H171" i="5" s="1"/>
  <c r="G144" i="5"/>
  <c r="G171" i="5" s="1"/>
  <c r="F144" i="5"/>
  <c r="F171" i="5" s="1"/>
  <c r="Y143" i="5"/>
  <c r="Y53" i="9" s="1"/>
  <c r="X143" i="5"/>
  <c r="X53" i="9" s="1"/>
  <c r="W143" i="5"/>
  <c r="W53" i="9" s="1"/>
  <c r="V143" i="5"/>
  <c r="V53" i="9" s="1"/>
  <c r="U143" i="5"/>
  <c r="U53" i="9" s="1"/>
  <c r="T143" i="5"/>
  <c r="T53" i="9" s="1"/>
  <c r="S143" i="5"/>
  <c r="S53" i="9" s="1"/>
  <c r="R143" i="5"/>
  <c r="R53" i="9" s="1"/>
  <c r="Q143" i="5"/>
  <c r="Q53" i="9" s="1"/>
  <c r="P143" i="5"/>
  <c r="P53" i="9" s="1"/>
  <c r="O143" i="5"/>
  <c r="O53" i="9" s="1"/>
  <c r="N143" i="5"/>
  <c r="N53" i="9" s="1"/>
  <c r="M143" i="5"/>
  <c r="M53" i="9" s="1"/>
  <c r="L143" i="5"/>
  <c r="L53" i="9" s="1"/>
  <c r="K143" i="5"/>
  <c r="K53" i="9" s="1"/>
  <c r="J143" i="5"/>
  <c r="J53" i="9" s="1"/>
  <c r="I143" i="5"/>
  <c r="I53" i="9" s="1"/>
  <c r="H143" i="5"/>
  <c r="H53" i="9" s="1"/>
  <c r="G143" i="5"/>
  <c r="G53" i="9" s="1"/>
  <c r="F143" i="5"/>
  <c r="F53" i="9" s="1"/>
  <c r="F55" i="9" s="1"/>
  <c r="Y142" i="5"/>
  <c r="X142" i="5"/>
  <c r="X42" i="9" s="1"/>
  <c r="W142" i="5"/>
  <c r="W42" i="9" s="1"/>
  <c r="V142" i="5"/>
  <c r="V42" i="9" s="1"/>
  <c r="U142" i="5"/>
  <c r="U42" i="9" s="1"/>
  <c r="T142" i="5"/>
  <c r="S142" i="5"/>
  <c r="R142" i="5"/>
  <c r="R42" i="9" s="1"/>
  <c r="Q142" i="5"/>
  <c r="Q42" i="9" s="1"/>
  <c r="P142" i="5"/>
  <c r="O142" i="5"/>
  <c r="N142" i="5"/>
  <c r="N42" i="9" s="1"/>
  <c r="M142" i="5"/>
  <c r="M42" i="9" s="1"/>
  <c r="L142" i="5"/>
  <c r="K142" i="5"/>
  <c r="J142" i="5"/>
  <c r="I142" i="5"/>
  <c r="H142" i="5"/>
  <c r="H42" i="9" s="1"/>
  <c r="G142" i="5"/>
  <c r="G42" i="9" s="1"/>
  <c r="F142" i="5"/>
  <c r="F42" i="9" s="1"/>
  <c r="Y139" i="5"/>
  <c r="X139" i="5"/>
  <c r="W139" i="5"/>
  <c r="V139" i="5"/>
  <c r="U139" i="5"/>
  <c r="T139" i="5"/>
  <c r="S139" i="5"/>
  <c r="R139" i="5"/>
  <c r="Q139" i="5"/>
  <c r="P139" i="5"/>
  <c r="O139" i="5"/>
  <c r="N139" i="5"/>
  <c r="M139" i="5"/>
  <c r="L139" i="5"/>
  <c r="K139" i="5"/>
  <c r="J139" i="5"/>
  <c r="I139" i="5"/>
  <c r="H139" i="5"/>
  <c r="G139" i="5"/>
  <c r="F139" i="5"/>
  <c r="Y138" i="5"/>
  <c r="X138" i="5"/>
  <c r="W138" i="5"/>
  <c r="V138" i="5"/>
  <c r="U138" i="5"/>
  <c r="T138" i="5"/>
  <c r="S138" i="5"/>
  <c r="R138" i="5"/>
  <c r="Q138" i="5"/>
  <c r="P138" i="5"/>
  <c r="O138" i="5"/>
  <c r="N138" i="5"/>
  <c r="M138" i="5"/>
  <c r="L138" i="5"/>
  <c r="K138" i="5"/>
  <c r="J138" i="5"/>
  <c r="I138" i="5"/>
  <c r="H138" i="5"/>
  <c r="G138" i="5"/>
  <c r="F138" i="5"/>
  <c r="Y137" i="5"/>
  <c r="X137" i="5"/>
  <c r="W137" i="5"/>
  <c r="V137" i="5"/>
  <c r="U137" i="5"/>
  <c r="T137" i="5"/>
  <c r="S137" i="5"/>
  <c r="R137" i="5"/>
  <c r="Q137" i="5"/>
  <c r="P137" i="5"/>
  <c r="O137" i="5"/>
  <c r="N137" i="5"/>
  <c r="M137" i="5"/>
  <c r="L137" i="5"/>
  <c r="K137" i="5"/>
  <c r="J137" i="5"/>
  <c r="I137" i="5"/>
  <c r="H137" i="5"/>
  <c r="G137" i="5"/>
  <c r="F137" i="5"/>
  <c r="Y136" i="5"/>
  <c r="X136" i="5"/>
  <c r="W136" i="5"/>
  <c r="V136" i="5"/>
  <c r="U136" i="5"/>
  <c r="T136" i="5"/>
  <c r="S136" i="5"/>
  <c r="R136" i="5"/>
  <c r="Q136" i="5"/>
  <c r="P136" i="5"/>
  <c r="O136" i="5"/>
  <c r="N136" i="5"/>
  <c r="M136" i="5"/>
  <c r="L136" i="5"/>
  <c r="K136" i="5"/>
  <c r="J136" i="5"/>
  <c r="I136" i="5"/>
  <c r="H136" i="5"/>
  <c r="G136" i="5"/>
  <c r="F136" i="5"/>
  <c r="Y135" i="5"/>
  <c r="X135" i="5"/>
  <c r="W135" i="5"/>
  <c r="V135" i="5"/>
  <c r="U135" i="5"/>
  <c r="T135" i="5"/>
  <c r="S135" i="5"/>
  <c r="R135" i="5"/>
  <c r="Q135" i="5"/>
  <c r="P135" i="5"/>
  <c r="O135" i="5"/>
  <c r="N135" i="5"/>
  <c r="M135" i="5"/>
  <c r="L135" i="5"/>
  <c r="K135" i="5"/>
  <c r="J135" i="5"/>
  <c r="I135" i="5"/>
  <c r="H135" i="5"/>
  <c r="G135" i="5"/>
  <c r="F135" i="5"/>
  <c r="Y134" i="5"/>
  <c r="X134" i="5"/>
  <c r="W134" i="5"/>
  <c r="V134" i="5"/>
  <c r="U134" i="5"/>
  <c r="T134" i="5"/>
  <c r="S134" i="5"/>
  <c r="R134" i="5"/>
  <c r="Q134" i="5"/>
  <c r="P134" i="5"/>
  <c r="O134" i="5"/>
  <c r="N134" i="5"/>
  <c r="M134" i="5"/>
  <c r="L134" i="5"/>
  <c r="K134" i="5"/>
  <c r="J134" i="5"/>
  <c r="I134" i="5"/>
  <c r="H134" i="5"/>
  <c r="G134" i="5"/>
  <c r="F134" i="5"/>
  <c r="Y133" i="5"/>
  <c r="X133" i="5"/>
  <c r="W133" i="5"/>
  <c r="V133" i="5"/>
  <c r="U133" i="5"/>
  <c r="T133" i="5"/>
  <c r="S133" i="5"/>
  <c r="R133" i="5"/>
  <c r="Q133" i="5"/>
  <c r="P133" i="5"/>
  <c r="O133" i="5"/>
  <c r="N133" i="5"/>
  <c r="M133" i="5"/>
  <c r="L133" i="5"/>
  <c r="K133" i="5"/>
  <c r="J133" i="5"/>
  <c r="I133" i="5"/>
  <c r="H133" i="5"/>
  <c r="G133" i="5"/>
  <c r="F133" i="5"/>
  <c r="Y132" i="5"/>
  <c r="X132" i="5"/>
  <c r="W132" i="5"/>
  <c r="V132" i="5"/>
  <c r="U132" i="5"/>
  <c r="T132" i="5"/>
  <c r="S132" i="5"/>
  <c r="R132" i="5"/>
  <c r="Q132" i="5"/>
  <c r="P132" i="5"/>
  <c r="O132" i="5"/>
  <c r="N132" i="5"/>
  <c r="M132" i="5"/>
  <c r="L132" i="5"/>
  <c r="K132" i="5"/>
  <c r="J132" i="5"/>
  <c r="I132" i="5"/>
  <c r="H132" i="5"/>
  <c r="G132" i="5"/>
  <c r="F132" i="5"/>
  <c r="Y131" i="5"/>
  <c r="X131" i="5"/>
  <c r="W131" i="5"/>
  <c r="V131" i="5"/>
  <c r="U131" i="5"/>
  <c r="T131" i="5"/>
  <c r="S131" i="5"/>
  <c r="R131" i="5"/>
  <c r="Q131" i="5"/>
  <c r="P131" i="5"/>
  <c r="O131" i="5"/>
  <c r="N131" i="5"/>
  <c r="M131" i="5"/>
  <c r="L131" i="5"/>
  <c r="K131" i="5"/>
  <c r="J131" i="5"/>
  <c r="I131" i="5"/>
  <c r="H131" i="5"/>
  <c r="G131" i="5"/>
  <c r="F131" i="5"/>
  <c r="Y129" i="5"/>
  <c r="X129" i="5"/>
  <c r="W129" i="5"/>
  <c r="V129" i="5"/>
  <c r="U129" i="5"/>
  <c r="T129" i="5"/>
  <c r="S129" i="5"/>
  <c r="R129" i="5"/>
  <c r="Q129" i="5"/>
  <c r="P129" i="5"/>
  <c r="O129" i="5"/>
  <c r="N129" i="5"/>
  <c r="M129" i="5"/>
  <c r="L129" i="5"/>
  <c r="K129" i="5"/>
  <c r="J129" i="5"/>
  <c r="I129" i="5"/>
  <c r="H129" i="5"/>
  <c r="G129" i="5"/>
  <c r="F129" i="5"/>
  <c r="Y128" i="5"/>
  <c r="X128" i="5"/>
  <c r="W128" i="5"/>
  <c r="V128" i="5"/>
  <c r="U128" i="5"/>
  <c r="T128" i="5"/>
  <c r="S128" i="5"/>
  <c r="R128" i="5"/>
  <c r="Q128" i="5"/>
  <c r="P128" i="5"/>
  <c r="O128" i="5"/>
  <c r="N128" i="5"/>
  <c r="M128" i="5"/>
  <c r="L128" i="5"/>
  <c r="K128" i="5"/>
  <c r="J128" i="5"/>
  <c r="I128" i="5"/>
  <c r="H128" i="5"/>
  <c r="G128" i="5"/>
  <c r="F128" i="5"/>
  <c r="Y126" i="5"/>
  <c r="X126" i="5"/>
  <c r="W126" i="5"/>
  <c r="V126" i="5"/>
  <c r="U126" i="5"/>
  <c r="T126" i="5"/>
  <c r="S126" i="5"/>
  <c r="R126" i="5"/>
  <c r="Q126" i="5"/>
  <c r="P126" i="5"/>
  <c r="O126" i="5"/>
  <c r="N126" i="5"/>
  <c r="M126" i="5"/>
  <c r="L126" i="5"/>
  <c r="K126" i="5"/>
  <c r="J126" i="5"/>
  <c r="I126" i="5"/>
  <c r="H126" i="5"/>
  <c r="G126" i="5"/>
  <c r="F126" i="5"/>
  <c r="Y125" i="5"/>
  <c r="Y35" i="9" s="1"/>
  <c r="X125" i="5"/>
  <c r="X35" i="9" s="1"/>
  <c r="W125" i="5"/>
  <c r="W35" i="9" s="1"/>
  <c r="V125" i="5"/>
  <c r="V35" i="9" s="1"/>
  <c r="U125" i="5"/>
  <c r="U35" i="9" s="1"/>
  <c r="T125" i="5"/>
  <c r="T35" i="9" s="1"/>
  <c r="S125" i="5"/>
  <c r="S35" i="9" s="1"/>
  <c r="R125" i="5"/>
  <c r="R35" i="9" s="1"/>
  <c r="Q125" i="5"/>
  <c r="Q35" i="9" s="1"/>
  <c r="P125" i="5"/>
  <c r="P35" i="9" s="1"/>
  <c r="O125" i="5"/>
  <c r="O35" i="9" s="1"/>
  <c r="N125" i="5"/>
  <c r="N35" i="9" s="1"/>
  <c r="M125" i="5"/>
  <c r="M35" i="9" s="1"/>
  <c r="L125" i="5"/>
  <c r="L35" i="9" s="1"/>
  <c r="K125" i="5"/>
  <c r="K35" i="9" s="1"/>
  <c r="J125" i="5"/>
  <c r="J35" i="9" s="1"/>
  <c r="I125" i="5"/>
  <c r="I35" i="9" s="1"/>
  <c r="H125" i="5"/>
  <c r="H35" i="9" s="1"/>
  <c r="G125" i="5"/>
  <c r="G35" i="9" s="1"/>
  <c r="F125" i="5"/>
  <c r="F35" i="9" s="1"/>
  <c r="Y124" i="5"/>
  <c r="X124" i="5"/>
  <c r="W124" i="5"/>
  <c r="V124" i="5"/>
  <c r="U124" i="5"/>
  <c r="T124" i="5"/>
  <c r="S124" i="5"/>
  <c r="R124" i="5"/>
  <c r="Q124" i="5"/>
  <c r="P124" i="5"/>
  <c r="O124" i="5"/>
  <c r="N124" i="5"/>
  <c r="M124" i="5"/>
  <c r="L124" i="5"/>
  <c r="K124" i="5"/>
  <c r="J124" i="5"/>
  <c r="I124" i="5"/>
  <c r="H124" i="5"/>
  <c r="G124" i="5"/>
  <c r="F124" i="5"/>
  <c r="Y123" i="5"/>
  <c r="Y130" i="9" s="1"/>
  <c r="X123" i="5"/>
  <c r="X130" i="9" s="1"/>
  <c r="W123" i="5"/>
  <c r="W130" i="9" s="1"/>
  <c r="V123" i="5"/>
  <c r="V130" i="9" s="1"/>
  <c r="U123" i="5"/>
  <c r="U130" i="9" s="1"/>
  <c r="T123" i="5"/>
  <c r="T130" i="9" s="1"/>
  <c r="S123" i="5"/>
  <c r="S130" i="9" s="1"/>
  <c r="R123" i="5"/>
  <c r="R130" i="9" s="1"/>
  <c r="Q123" i="5"/>
  <c r="Q130" i="9" s="1"/>
  <c r="P123" i="5"/>
  <c r="P130" i="9" s="1"/>
  <c r="O123" i="5"/>
  <c r="O130" i="9" s="1"/>
  <c r="N123" i="5"/>
  <c r="N130" i="9" s="1"/>
  <c r="M123" i="5"/>
  <c r="M130" i="9" s="1"/>
  <c r="L123" i="5"/>
  <c r="L130" i="9" s="1"/>
  <c r="K123" i="5"/>
  <c r="K130" i="9" s="1"/>
  <c r="J123" i="5"/>
  <c r="J130" i="9" s="1"/>
  <c r="I123" i="5"/>
  <c r="I130" i="9" s="1"/>
  <c r="H123" i="5"/>
  <c r="H130" i="9" s="1"/>
  <c r="G123" i="5"/>
  <c r="G130" i="9" s="1"/>
  <c r="F123" i="5"/>
  <c r="F130" i="9" s="1"/>
  <c r="Y122" i="5"/>
  <c r="Y39" i="9" s="1"/>
  <c r="X122" i="5"/>
  <c r="X39" i="9" s="1"/>
  <c r="W122" i="5"/>
  <c r="W39" i="9" s="1"/>
  <c r="V122" i="5"/>
  <c r="V39" i="9" s="1"/>
  <c r="U122" i="5"/>
  <c r="U39" i="9" s="1"/>
  <c r="T122" i="5"/>
  <c r="T39" i="9" s="1"/>
  <c r="S122" i="5"/>
  <c r="S39" i="9" s="1"/>
  <c r="R122" i="5"/>
  <c r="R39" i="9" s="1"/>
  <c r="Q122" i="5"/>
  <c r="Q39" i="9" s="1"/>
  <c r="P122" i="5"/>
  <c r="P39" i="9" s="1"/>
  <c r="O122" i="5"/>
  <c r="O39" i="9" s="1"/>
  <c r="N122" i="5"/>
  <c r="N39" i="9" s="1"/>
  <c r="M122" i="5"/>
  <c r="M39" i="9" s="1"/>
  <c r="L122" i="5"/>
  <c r="L39" i="9" s="1"/>
  <c r="K122" i="5"/>
  <c r="K39" i="9" s="1"/>
  <c r="J122" i="5"/>
  <c r="J39" i="9" s="1"/>
  <c r="I122" i="5"/>
  <c r="I39" i="9" s="1"/>
  <c r="H122" i="5"/>
  <c r="H39" i="9" s="1"/>
  <c r="G122" i="5"/>
  <c r="G39" i="9" s="1"/>
  <c r="F122" i="5"/>
  <c r="F39" i="9" s="1"/>
  <c r="Y116" i="5"/>
  <c r="X116" i="5"/>
  <c r="W116" i="5"/>
  <c r="V116" i="5"/>
  <c r="U116" i="5"/>
  <c r="T116" i="5"/>
  <c r="S116" i="5"/>
  <c r="R116" i="5"/>
  <c r="Q116" i="5"/>
  <c r="P116" i="5"/>
  <c r="O116" i="5"/>
  <c r="N116" i="5"/>
  <c r="M116" i="5"/>
  <c r="L116" i="5"/>
  <c r="K116" i="5"/>
  <c r="J116" i="5"/>
  <c r="I116" i="5"/>
  <c r="H116" i="5"/>
  <c r="G116" i="5"/>
  <c r="F116" i="5"/>
  <c r="Y115" i="5"/>
  <c r="X115" i="5"/>
  <c r="W115" i="5"/>
  <c r="V115" i="5"/>
  <c r="U115" i="5"/>
  <c r="T115" i="5"/>
  <c r="S115" i="5"/>
  <c r="R115" i="5"/>
  <c r="Q115" i="5"/>
  <c r="P115" i="5"/>
  <c r="O115" i="5"/>
  <c r="N115" i="5"/>
  <c r="M115" i="5"/>
  <c r="L115" i="5"/>
  <c r="K115" i="5"/>
  <c r="J115" i="5"/>
  <c r="I115" i="5"/>
  <c r="H115" i="5"/>
  <c r="G115" i="5"/>
  <c r="F115" i="5"/>
  <c r="Y114" i="5"/>
  <c r="X114" i="5"/>
  <c r="W114" i="5"/>
  <c r="V114" i="5"/>
  <c r="U114" i="5"/>
  <c r="T114" i="5"/>
  <c r="S114" i="5"/>
  <c r="R114" i="5"/>
  <c r="Q114" i="5"/>
  <c r="P114" i="5"/>
  <c r="O114" i="5"/>
  <c r="N114" i="5"/>
  <c r="M114" i="5"/>
  <c r="L114" i="5"/>
  <c r="K114" i="5"/>
  <c r="J114" i="5"/>
  <c r="I114" i="5"/>
  <c r="H114" i="5"/>
  <c r="G114" i="5"/>
  <c r="F114" i="5"/>
  <c r="Y109" i="5"/>
  <c r="Y143" i="9" s="1"/>
  <c r="Z148" i="9" s="1"/>
  <c r="X109" i="5"/>
  <c r="X143" i="9" s="1"/>
  <c r="W109" i="5"/>
  <c r="W143" i="9" s="1"/>
  <c r="V109" i="5"/>
  <c r="V143" i="9" s="1"/>
  <c r="U109" i="5"/>
  <c r="U143" i="9" s="1"/>
  <c r="T109" i="5"/>
  <c r="T143" i="9" s="1"/>
  <c r="S109" i="5"/>
  <c r="S143" i="9" s="1"/>
  <c r="R109" i="5"/>
  <c r="R143" i="9" s="1"/>
  <c r="Q109" i="5"/>
  <c r="Q143" i="9" s="1"/>
  <c r="P109" i="5"/>
  <c r="P143" i="9" s="1"/>
  <c r="O109" i="5"/>
  <c r="O143" i="9" s="1"/>
  <c r="N109" i="5"/>
  <c r="N143" i="9" s="1"/>
  <c r="M109" i="5"/>
  <c r="M143" i="9" s="1"/>
  <c r="L109" i="5"/>
  <c r="L143" i="9" s="1"/>
  <c r="K109" i="5"/>
  <c r="K143" i="9" s="1"/>
  <c r="J109" i="5"/>
  <c r="J143" i="9" s="1"/>
  <c r="I109" i="5"/>
  <c r="I143" i="9" s="1"/>
  <c r="H109" i="5"/>
  <c r="H143" i="9" s="1"/>
  <c r="G109" i="5"/>
  <c r="G143" i="9" s="1"/>
  <c r="F109" i="5"/>
  <c r="F143" i="9" s="1"/>
  <c r="Y108" i="5"/>
  <c r="AE108" i="5" s="1"/>
  <c r="AF108" i="5" s="1"/>
  <c r="AG108" i="5" s="1"/>
  <c r="AH108" i="5" s="1"/>
  <c r="AI108" i="5" s="1"/>
  <c r="X108" i="5"/>
  <c r="W108" i="5"/>
  <c r="V108" i="5"/>
  <c r="U108" i="5"/>
  <c r="T108" i="5"/>
  <c r="S108" i="5"/>
  <c r="R108" i="5"/>
  <c r="Q108" i="5"/>
  <c r="P108" i="5"/>
  <c r="O108" i="5"/>
  <c r="N108" i="5"/>
  <c r="M108" i="5"/>
  <c r="L108" i="5"/>
  <c r="K108" i="5"/>
  <c r="J108" i="5"/>
  <c r="I108" i="5"/>
  <c r="H108" i="5"/>
  <c r="G108" i="5"/>
  <c r="F108" i="5"/>
  <c r="Y107" i="5"/>
  <c r="Y134" i="9" s="1"/>
  <c r="Z141" i="9" s="1"/>
  <c r="X107" i="5"/>
  <c r="X134" i="9" s="1"/>
  <c r="W107" i="5"/>
  <c r="W134" i="9" s="1"/>
  <c r="V107" i="5"/>
  <c r="V134" i="9" s="1"/>
  <c r="U107" i="5"/>
  <c r="U134" i="9" s="1"/>
  <c r="T107" i="5"/>
  <c r="T134" i="9" s="1"/>
  <c r="S107" i="5"/>
  <c r="S134" i="9" s="1"/>
  <c r="R107" i="5"/>
  <c r="R134" i="9" s="1"/>
  <c r="Q107" i="5"/>
  <c r="Q134" i="9" s="1"/>
  <c r="P107" i="5"/>
  <c r="P134" i="9" s="1"/>
  <c r="O107" i="5"/>
  <c r="O134" i="9" s="1"/>
  <c r="N107" i="5"/>
  <c r="N134" i="9" s="1"/>
  <c r="M107" i="5"/>
  <c r="M134" i="9" s="1"/>
  <c r="L107" i="5"/>
  <c r="L134" i="9" s="1"/>
  <c r="K107" i="5"/>
  <c r="K134" i="9" s="1"/>
  <c r="J107" i="5"/>
  <c r="J134" i="9" s="1"/>
  <c r="I107" i="5"/>
  <c r="I134" i="9" s="1"/>
  <c r="H107" i="5"/>
  <c r="H134" i="9" s="1"/>
  <c r="G107" i="5"/>
  <c r="G134" i="9" s="1"/>
  <c r="F107" i="5"/>
  <c r="F134" i="9" s="1"/>
  <c r="F141" i="9" s="1"/>
  <c r="Y106" i="5"/>
  <c r="Y129" i="9" s="1"/>
  <c r="Z132" i="9" s="1"/>
  <c r="X106" i="5"/>
  <c r="X129" i="9" s="1"/>
  <c r="W106" i="5"/>
  <c r="W129" i="9" s="1"/>
  <c r="V106" i="5"/>
  <c r="V129" i="9" s="1"/>
  <c r="U106" i="5"/>
  <c r="U129" i="9" s="1"/>
  <c r="T106" i="5"/>
  <c r="T129" i="9" s="1"/>
  <c r="S106" i="5"/>
  <c r="S129" i="9" s="1"/>
  <c r="R106" i="5"/>
  <c r="R129" i="9" s="1"/>
  <c r="Q106" i="5"/>
  <c r="Q129" i="9" s="1"/>
  <c r="P106" i="5"/>
  <c r="P129" i="9" s="1"/>
  <c r="O106" i="5"/>
  <c r="O129" i="9" s="1"/>
  <c r="N106" i="5"/>
  <c r="N129" i="9" s="1"/>
  <c r="M106" i="5"/>
  <c r="M129" i="9" s="1"/>
  <c r="L106" i="5"/>
  <c r="L129" i="9" s="1"/>
  <c r="K106" i="5"/>
  <c r="K129" i="9" s="1"/>
  <c r="J106" i="5"/>
  <c r="J129" i="9" s="1"/>
  <c r="I106" i="5"/>
  <c r="I129" i="9" s="1"/>
  <c r="H106" i="5"/>
  <c r="H129" i="9" s="1"/>
  <c r="G106" i="5"/>
  <c r="G129" i="9" s="1"/>
  <c r="F106" i="5"/>
  <c r="F129" i="9" s="1"/>
  <c r="Y105" i="5"/>
  <c r="X105" i="5"/>
  <c r="W105" i="5"/>
  <c r="V105" i="5"/>
  <c r="U105" i="5"/>
  <c r="T105" i="5"/>
  <c r="S105" i="5"/>
  <c r="R105" i="5"/>
  <c r="Q105" i="5"/>
  <c r="P105" i="5"/>
  <c r="O105" i="5"/>
  <c r="N105" i="5"/>
  <c r="M105" i="5"/>
  <c r="L105" i="5"/>
  <c r="K105" i="5"/>
  <c r="J105" i="5"/>
  <c r="I105" i="5"/>
  <c r="H105" i="5"/>
  <c r="G105" i="5"/>
  <c r="F105" i="5"/>
  <c r="Y103" i="5"/>
  <c r="X103" i="5"/>
  <c r="W103" i="5"/>
  <c r="V103" i="5"/>
  <c r="U103" i="5"/>
  <c r="T103" i="5"/>
  <c r="S103" i="5"/>
  <c r="R103" i="5"/>
  <c r="Q103" i="5"/>
  <c r="P103" i="5"/>
  <c r="O103" i="5"/>
  <c r="N103" i="5"/>
  <c r="M103" i="5"/>
  <c r="L103" i="5"/>
  <c r="K103" i="5"/>
  <c r="J103" i="5"/>
  <c r="I103" i="5"/>
  <c r="H103" i="5"/>
  <c r="G103" i="5"/>
  <c r="F103" i="5"/>
  <c r="Y101" i="5"/>
  <c r="AE101" i="5" s="1"/>
  <c r="AF101" i="5" s="1"/>
  <c r="AG101" i="5" s="1"/>
  <c r="AH101" i="5" s="1"/>
  <c r="AI101" i="5" s="1"/>
  <c r="X101" i="5"/>
  <c r="W101" i="5"/>
  <c r="V101" i="5"/>
  <c r="U101" i="5"/>
  <c r="T101" i="5"/>
  <c r="S101" i="5"/>
  <c r="R101" i="5"/>
  <c r="Q101" i="5"/>
  <c r="P101" i="5"/>
  <c r="O101" i="5"/>
  <c r="N101" i="5"/>
  <c r="M101" i="5"/>
  <c r="L101" i="5"/>
  <c r="K101" i="5"/>
  <c r="J101" i="5"/>
  <c r="I101" i="5"/>
  <c r="H101" i="5"/>
  <c r="G101" i="5"/>
  <c r="F101" i="5"/>
  <c r="Y100" i="5"/>
  <c r="X100" i="5"/>
  <c r="W100" i="5"/>
  <c r="V100" i="5"/>
  <c r="U100" i="5"/>
  <c r="T100" i="5"/>
  <c r="S100" i="5"/>
  <c r="R100" i="5"/>
  <c r="Q100" i="5"/>
  <c r="P100" i="5"/>
  <c r="O100" i="5"/>
  <c r="N100" i="5"/>
  <c r="M100" i="5"/>
  <c r="L100" i="5"/>
  <c r="K100" i="5"/>
  <c r="J100" i="5"/>
  <c r="I100" i="5"/>
  <c r="H100" i="5"/>
  <c r="G100" i="5"/>
  <c r="F100" i="5"/>
  <c r="Y99" i="5"/>
  <c r="Y114" i="9" s="1"/>
  <c r="X99" i="5"/>
  <c r="X114" i="9" s="1"/>
  <c r="W99" i="5"/>
  <c r="W114" i="9" s="1"/>
  <c r="V99" i="5"/>
  <c r="V114" i="9" s="1"/>
  <c r="U99" i="5"/>
  <c r="U114" i="9" s="1"/>
  <c r="T99" i="5"/>
  <c r="T114" i="9" s="1"/>
  <c r="S99" i="5"/>
  <c r="S114" i="9" s="1"/>
  <c r="R99" i="5"/>
  <c r="R114" i="9" s="1"/>
  <c r="Q99" i="5"/>
  <c r="Q114" i="9" s="1"/>
  <c r="P99" i="5"/>
  <c r="P114" i="9" s="1"/>
  <c r="O99" i="5"/>
  <c r="O114" i="9" s="1"/>
  <c r="N99" i="5"/>
  <c r="N114" i="9" s="1"/>
  <c r="M99" i="5"/>
  <c r="M114" i="9" s="1"/>
  <c r="L99" i="5"/>
  <c r="L114" i="9" s="1"/>
  <c r="K99" i="5"/>
  <c r="K114" i="9" s="1"/>
  <c r="J99" i="5"/>
  <c r="J114" i="9" s="1"/>
  <c r="I99" i="5"/>
  <c r="I114" i="9" s="1"/>
  <c r="H99" i="5"/>
  <c r="H114" i="9" s="1"/>
  <c r="G99" i="5"/>
  <c r="G114" i="9" s="1"/>
  <c r="F99" i="5"/>
  <c r="F114" i="9" s="1"/>
  <c r="Y98" i="5"/>
  <c r="X98" i="5"/>
  <c r="W98" i="5"/>
  <c r="V98" i="5"/>
  <c r="U98" i="5"/>
  <c r="T98" i="5"/>
  <c r="S98" i="5"/>
  <c r="R98" i="5"/>
  <c r="Q98" i="5"/>
  <c r="P98" i="5"/>
  <c r="O98" i="5"/>
  <c r="N98" i="5"/>
  <c r="M98" i="5"/>
  <c r="L98" i="5"/>
  <c r="K98" i="5"/>
  <c r="J98" i="5"/>
  <c r="I98" i="5"/>
  <c r="H98" i="5"/>
  <c r="G98" i="5"/>
  <c r="F98" i="5"/>
  <c r="Y97" i="5"/>
  <c r="X97" i="5"/>
  <c r="W97" i="5"/>
  <c r="V97" i="5"/>
  <c r="U97" i="5"/>
  <c r="T97" i="5"/>
  <c r="S97" i="5"/>
  <c r="R97" i="5"/>
  <c r="Q97" i="5"/>
  <c r="P97" i="5"/>
  <c r="O97" i="5"/>
  <c r="N97" i="5"/>
  <c r="M97" i="5"/>
  <c r="L97" i="5"/>
  <c r="K97" i="5"/>
  <c r="K110" i="9" s="1"/>
  <c r="J97" i="5"/>
  <c r="J110" i="9" s="1"/>
  <c r="I97" i="5"/>
  <c r="I110" i="9" s="1"/>
  <c r="H97" i="5"/>
  <c r="H110" i="9" s="1"/>
  <c r="G97" i="5"/>
  <c r="G110" i="9" s="1"/>
  <c r="F97" i="5"/>
  <c r="F110" i="9" s="1"/>
  <c r="Y96" i="5"/>
  <c r="X96" i="5"/>
  <c r="W96" i="5"/>
  <c r="V96" i="5"/>
  <c r="U96" i="5"/>
  <c r="T96" i="5"/>
  <c r="S96" i="5"/>
  <c r="R96" i="5"/>
  <c r="Q96" i="5"/>
  <c r="P96" i="5"/>
  <c r="O96" i="5"/>
  <c r="N96" i="5"/>
  <c r="M96" i="5"/>
  <c r="L96" i="5"/>
  <c r="K96" i="5"/>
  <c r="J96" i="5"/>
  <c r="I96" i="5"/>
  <c r="H96" i="5"/>
  <c r="G96" i="5"/>
  <c r="F96" i="5"/>
  <c r="Y95" i="5"/>
  <c r="X95" i="5"/>
  <c r="W95" i="5"/>
  <c r="V95" i="5"/>
  <c r="U95" i="5"/>
  <c r="T95" i="5"/>
  <c r="S95" i="5"/>
  <c r="R95" i="5"/>
  <c r="Q95" i="5"/>
  <c r="P95" i="5"/>
  <c r="O95" i="5"/>
  <c r="N95" i="5"/>
  <c r="M95" i="5"/>
  <c r="L95" i="5"/>
  <c r="K95" i="5"/>
  <c r="J95" i="5"/>
  <c r="I95" i="5"/>
  <c r="H95" i="5"/>
  <c r="G95" i="5"/>
  <c r="F95" i="5"/>
  <c r="Y93" i="5"/>
  <c r="AE93" i="5" s="1"/>
  <c r="AF93" i="5" s="1"/>
  <c r="AG93" i="5" s="1"/>
  <c r="AH93" i="5" s="1"/>
  <c r="AI93" i="5" s="1"/>
  <c r="X93" i="5"/>
  <c r="W93" i="5"/>
  <c r="V93" i="5"/>
  <c r="U93" i="5"/>
  <c r="T93" i="5"/>
  <c r="S93" i="5"/>
  <c r="R93" i="5"/>
  <c r="Q93" i="5"/>
  <c r="P93" i="5"/>
  <c r="O93" i="5"/>
  <c r="N93" i="5"/>
  <c r="M93" i="5"/>
  <c r="L93" i="5"/>
  <c r="K93" i="5"/>
  <c r="J93" i="5"/>
  <c r="I93" i="5"/>
  <c r="H93" i="5"/>
  <c r="G93" i="5"/>
  <c r="F93" i="5"/>
  <c r="Y92" i="5"/>
  <c r="X92" i="5"/>
  <c r="W92" i="5"/>
  <c r="V92" i="5"/>
  <c r="U92" i="5"/>
  <c r="T92" i="5"/>
  <c r="S92" i="5"/>
  <c r="R92" i="5"/>
  <c r="Q92" i="5"/>
  <c r="P92" i="5"/>
  <c r="O92" i="5"/>
  <c r="N92" i="5"/>
  <c r="M92" i="5"/>
  <c r="L92" i="5"/>
  <c r="K92" i="5"/>
  <c r="J92" i="5"/>
  <c r="I92" i="5"/>
  <c r="H92" i="5"/>
  <c r="G92" i="5"/>
  <c r="F92" i="5"/>
  <c r="Y91" i="5"/>
  <c r="Y113" i="9" s="1"/>
  <c r="X91" i="5"/>
  <c r="X113" i="9" s="1"/>
  <c r="W91" i="5"/>
  <c r="W113" i="9" s="1"/>
  <c r="V91" i="5"/>
  <c r="V113" i="9" s="1"/>
  <c r="U91" i="5"/>
  <c r="U113" i="9" s="1"/>
  <c r="T91" i="5"/>
  <c r="T113" i="9" s="1"/>
  <c r="S91" i="5"/>
  <c r="S113" i="9" s="1"/>
  <c r="R91" i="5"/>
  <c r="R113" i="9" s="1"/>
  <c r="Q91" i="5"/>
  <c r="Q113" i="9" s="1"/>
  <c r="P91" i="5"/>
  <c r="P113" i="9" s="1"/>
  <c r="O91" i="5"/>
  <c r="O113" i="9" s="1"/>
  <c r="N91" i="5"/>
  <c r="N113" i="9" s="1"/>
  <c r="M91" i="5"/>
  <c r="M113" i="9" s="1"/>
  <c r="L91" i="5"/>
  <c r="L113" i="9" s="1"/>
  <c r="K91" i="5"/>
  <c r="K113" i="9" s="1"/>
  <c r="J91" i="5"/>
  <c r="J113" i="9" s="1"/>
  <c r="I91" i="5"/>
  <c r="I113" i="9" s="1"/>
  <c r="H91" i="5"/>
  <c r="H113" i="9" s="1"/>
  <c r="G91" i="5"/>
  <c r="G113" i="9" s="1"/>
  <c r="F91" i="5"/>
  <c r="F113" i="9" s="1"/>
  <c r="Y90" i="5"/>
  <c r="Y31" i="9" s="1"/>
  <c r="X90" i="5"/>
  <c r="X31" i="9" s="1"/>
  <c r="W90" i="5"/>
  <c r="W31" i="9" s="1"/>
  <c r="V90" i="5"/>
  <c r="V31" i="9" s="1"/>
  <c r="U90" i="5"/>
  <c r="U31" i="9" s="1"/>
  <c r="T90" i="5"/>
  <c r="T31" i="9" s="1"/>
  <c r="S90" i="5"/>
  <c r="S31" i="9" s="1"/>
  <c r="R90" i="5"/>
  <c r="R31" i="9" s="1"/>
  <c r="Q90" i="5"/>
  <c r="Q31" i="9" s="1"/>
  <c r="P90" i="5"/>
  <c r="P31" i="9" s="1"/>
  <c r="O90" i="5"/>
  <c r="O31" i="9" s="1"/>
  <c r="N90" i="5"/>
  <c r="N31" i="9" s="1"/>
  <c r="M90" i="5"/>
  <c r="M31" i="9" s="1"/>
  <c r="L90" i="5"/>
  <c r="L31" i="9" s="1"/>
  <c r="K90" i="5"/>
  <c r="K31" i="9" s="1"/>
  <c r="J90" i="5"/>
  <c r="J31" i="9" s="1"/>
  <c r="I90" i="5"/>
  <c r="I31" i="9" s="1"/>
  <c r="H90" i="5"/>
  <c r="H31" i="9" s="1"/>
  <c r="G90" i="5"/>
  <c r="G31" i="9" s="1"/>
  <c r="F90" i="5"/>
  <c r="F31" i="9" s="1"/>
  <c r="Y89" i="5"/>
  <c r="Y74" i="9" s="1"/>
  <c r="X89" i="5"/>
  <c r="X74" i="9" s="1"/>
  <c r="W89" i="5"/>
  <c r="W74" i="9" s="1"/>
  <c r="V89" i="5"/>
  <c r="V74" i="9" s="1"/>
  <c r="U89" i="5"/>
  <c r="U74" i="9" s="1"/>
  <c r="T89" i="5"/>
  <c r="T74" i="9" s="1"/>
  <c r="S89" i="5"/>
  <c r="S74" i="9" s="1"/>
  <c r="R89" i="5"/>
  <c r="R74" i="9" s="1"/>
  <c r="Q89" i="5"/>
  <c r="Q74" i="9" s="1"/>
  <c r="P89" i="5"/>
  <c r="P74" i="9" s="1"/>
  <c r="O89" i="5"/>
  <c r="O74" i="9" s="1"/>
  <c r="N89" i="5"/>
  <c r="N74" i="9" s="1"/>
  <c r="M89" i="5"/>
  <c r="M74" i="9" s="1"/>
  <c r="L89" i="5"/>
  <c r="L74" i="9" s="1"/>
  <c r="K89" i="5"/>
  <c r="K74" i="9" s="1"/>
  <c r="J89" i="5"/>
  <c r="J74" i="9" s="1"/>
  <c r="I89" i="5"/>
  <c r="I74" i="9" s="1"/>
  <c r="H89" i="5"/>
  <c r="H74" i="9" s="1"/>
  <c r="G89" i="5"/>
  <c r="G74" i="9" s="1"/>
  <c r="F89" i="5"/>
  <c r="F74" i="9" s="1"/>
  <c r="Y88" i="5"/>
  <c r="X88" i="5"/>
  <c r="W88" i="5"/>
  <c r="V88" i="5"/>
  <c r="U88" i="5"/>
  <c r="T88" i="5"/>
  <c r="S88" i="5"/>
  <c r="R88" i="5"/>
  <c r="Q88" i="5"/>
  <c r="P88" i="5"/>
  <c r="O88" i="5"/>
  <c r="N88" i="5"/>
  <c r="M88" i="5"/>
  <c r="L88" i="5"/>
  <c r="K88" i="5"/>
  <c r="J88" i="5"/>
  <c r="I88" i="5"/>
  <c r="H88" i="5"/>
  <c r="G88" i="5"/>
  <c r="F88" i="5"/>
  <c r="Y87" i="5"/>
  <c r="X87" i="5"/>
  <c r="W87" i="5"/>
  <c r="V87" i="5"/>
  <c r="U87" i="5"/>
  <c r="T87" i="5"/>
  <c r="S87" i="5"/>
  <c r="R87" i="5"/>
  <c r="Q87" i="5"/>
  <c r="P87" i="5"/>
  <c r="O87" i="5"/>
  <c r="N87" i="5"/>
  <c r="M87" i="5"/>
  <c r="L87" i="5"/>
  <c r="K87" i="5"/>
  <c r="K27" i="9" s="1"/>
  <c r="J87" i="5"/>
  <c r="J27" i="9" s="1"/>
  <c r="I87" i="5"/>
  <c r="I27" i="9" s="1"/>
  <c r="H87" i="5"/>
  <c r="H27" i="9" s="1"/>
  <c r="G87" i="5"/>
  <c r="G27" i="9" s="1"/>
  <c r="F87" i="5"/>
  <c r="F27" i="9" s="1"/>
  <c r="Y83" i="5"/>
  <c r="X83" i="5"/>
  <c r="X67" i="9" s="1"/>
  <c r="W83" i="5"/>
  <c r="W67" i="9" s="1"/>
  <c r="V83" i="5"/>
  <c r="V67" i="9" s="1"/>
  <c r="U83" i="5"/>
  <c r="U67" i="9" s="1"/>
  <c r="T83" i="5"/>
  <c r="T67" i="9" s="1"/>
  <c r="S83" i="5"/>
  <c r="S67" i="9" s="1"/>
  <c r="R83" i="5"/>
  <c r="R67" i="9" s="1"/>
  <c r="Q83" i="5"/>
  <c r="Q67" i="9" s="1"/>
  <c r="P83" i="5"/>
  <c r="P67" i="9" s="1"/>
  <c r="O83" i="5"/>
  <c r="O67" i="9" s="1"/>
  <c r="N83" i="5"/>
  <c r="N67" i="9" s="1"/>
  <c r="M83" i="5"/>
  <c r="M67" i="9" s="1"/>
  <c r="L83" i="5"/>
  <c r="L67" i="9" s="1"/>
  <c r="K83" i="5"/>
  <c r="K67" i="9" s="1"/>
  <c r="J83" i="5"/>
  <c r="J67" i="9" s="1"/>
  <c r="I83" i="5"/>
  <c r="I67" i="9" s="1"/>
  <c r="H83" i="5"/>
  <c r="H67" i="9" s="1"/>
  <c r="G83" i="5"/>
  <c r="G67" i="9" s="1"/>
  <c r="F83" i="5"/>
  <c r="F67" i="9" s="1"/>
  <c r="Y82" i="5"/>
  <c r="Y16" i="9" s="1"/>
  <c r="X82" i="5"/>
  <c r="X16" i="9" s="1"/>
  <c r="W82" i="5"/>
  <c r="W16" i="9" s="1"/>
  <c r="V82" i="5"/>
  <c r="V16" i="9" s="1"/>
  <c r="U82" i="5"/>
  <c r="U16" i="9" s="1"/>
  <c r="T82" i="5"/>
  <c r="T16" i="9" s="1"/>
  <c r="S82" i="5"/>
  <c r="S16" i="9" s="1"/>
  <c r="R82" i="5"/>
  <c r="R16" i="9" s="1"/>
  <c r="Q82" i="5"/>
  <c r="Q16" i="9" s="1"/>
  <c r="P82" i="5"/>
  <c r="P16" i="9" s="1"/>
  <c r="O82" i="5"/>
  <c r="O16" i="9" s="1"/>
  <c r="N82" i="5"/>
  <c r="N16" i="9" s="1"/>
  <c r="M82" i="5"/>
  <c r="M16" i="9" s="1"/>
  <c r="L82" i="5"/>
  <c r="L16" i="9" s="1"/>
  <c r="K82" i="5"/>
  <c r="K16" i="9" s="1"/>
  <c r="J82" i="5"/>
  <c r="J16" i="9" s="1"/>
  <c r="I82" i="5"/>
  <c r="I16" i="9" s="1"/>
  <c r="H82" i="5"/>
  <c r="H16" i="9" s="1"/>
  <c r="G82" i="5"/>
  <c r="G16" i="9" s="1"/>
  <c r="F82" i="5"/>
  <c r="F16" i="9" s="1"/>
  <c r="Y81" i="5"/>
  <c r="X81" i="5"/>
  <c r="W81" i="5"/>
  <c r="V81" i="5"/>
  <c r="U81" i="5"/>
  <c r="T81" i="5"/>
  <c r="S81" i="5"/>
  <c r="R81" i="5"/>
  <c r="Q81" i="5"/>
  <c r="P81" i="5"/>
  <c r="O81" i="5"/>
  <c r="N81" i="5"/>
  <c r="M81" i="5"/>
  <c r="L81" i="5"/>
  <c r="K81" i="5"/>
  <c r="K63" i="9" s="1"/>
  <c r="L57" i="9" s="1"/>
  <c r="J81" i="5"/>
  <c r="J63" i="9" s="1"/>
  <c r="K57" i="9" s="1"/>
  <c r="I81" i="5"/>
  <c r="I63" i="9" s="1"/>
  <c r="J57" i="9" s="1"/>
  <c r="H81" i="5"/>
  <c r="H63" i="9" s="1"/>
  <c r="I57" i="9" s="1"/>
  <c r="G81" i="5"/>
  <c r="G63" i="9" s="1"/>
  <c r="H57" i="9" s="1"/>
  <c r="F81" i="5"/>
  <c r="F63" i="9" s="1"/>
  <c r="G57" i="9" s="1"/>
  <c r="Y80" i="5"/>
  <c r="R38" i="11" s="1"/>
  <c r="X80" i="5"/>
  <c r="Q38" i="11" s="1"/>
  <c r="W80" i="5"/>
  <c r="O38" i="11" s="1"/>
  <c r="V80" i="5"/>
  <c r="N38" i="11" s="1"/>
  <c r="U80" i="5"/>
  <c r="M38" i="11" s="1"/>
  <c r="T80" i="5"/>
  <c r="L38" i="11" s="1"/>
  <c r="S80" i="5"/>
  <c r="J38" i="11" s="1"/>
  <c r="R80" i="5"/>
  <c r="I38" i="11" s="1"/>
  <c r="Q80" i="5"/>
  <c r="H38" i="11" s="1"/>
  <c r="P80" i="5"/>
  <c r="G38" i="11" s="1"/>
  <c r="O80" i="5"/>
  <c r="E38" i="11" s="1"/>
  <c r="N80" i="5"/>
  <c r="D38" i="11" s="1"/>
  <c r="M80" i="5"/>
  <c r="C38" i="11" s="1"/>
  <c r="L80" i="5"/>
  <c r="B38" i="11" s="1"/>
  <c r="K80" i="5"/>
  <c r="K61" i="9" s="1"/>
  <c r="J80" i="5"/>
  <c r="J61" i="9" s="1"/>
  <c r="I80" i="5"/>
  <c r="I61" i="9" s="1"/>
  <c r="H80" i="5"/>
  <c r="H61" i="9" s="1"/>
  <c r="G80" i="5"/>
  <c r="G61" i="9" s="1"/>
  <c r="F80" i="5"/>
  <c r="F61" i="9" s="1"/>
  <c r="Y79" i="5"/>
  <c r="R37" i="11" s="1"/>
  <c r="X79" i="5"/>
  <c r="Q37" i="11" s="1"/>
  <c r="W79" i="5"/>
  <c r="O37" i="11" s="1"/>
  <c r="V79" i="5"/>
  <c r="N37" i="11" s="1"/>
  <c r="U79" i="5"/>
  <c r="M37" i="11" s="1"/>
  <c r="T79" i="5"/>
  <c r="L37" i="11" s="1"/>
  <c r="S79" i="5"/>
  <c r="J37" i="11" s="1"/>
  <c r="R79" i="5"/>
  <c r="I37" i="11" s="1"/>
  <c r="Q79" i="5"/>
  <c r="H37" i="11" s="1"/>
  <c r="P79" i="5"/>
  <c r="G37" i="11" s="1"/>
  <c r="O79" i="5"/>
  <c r="E37" i="11" s="1"/>
  <c r="N79" i="5"/>
  <c r="D37" i="11" s="1"/>
  <c r="M79" i="5"/>
  <c r="C37" i="11" s="1"/>
  <c r="L79" i="5"/>
  <c r="B37" i="11" s="1"/>
  <c r="K79" i="5"/>
  <c r="J79" i="5"/>
  <c r="I79" i="5"/>
  <c r="H79" i="5"/>
  <c r="G79" i="5"/>
  <c r="F79" i="5"/>
  <c r="Y78" i="5"/>
  <c r="R36" i="11" s="1"/>
  <c r="X78" i="5"/>
  <c r="Q36" i="11" s="1"/>
  <c r="W78" i="5"/>
  <c r="O36" i="11" s="1"/>
  <c r="V78" i="5"/>
  <c r="N36" i="11" s="1"/>
  <c r="U78" i="5"/>
  <c r="M36" i="11" s="1"/>
  <c r="T78" i="5"/>
  <c r="L36" i="11" s="1"/>
  <c r="S78" i="5"/>
  <c r="J36" i="11" s="1"/>
  <c r="R78" i="5"/>
  <c r="I36" i="11" s="1"/>
  <c r="Q78" i="5"/>
  <c r="H36" i="11" s="1"/>
  <c r="P78" i="5"/>
  <c r="G36" i="11" s="1"/>
  <c r="O78" i="5"/>
  <c r="E36" i="11" s="1"/>
  <c r="N78" i="5"/>
  <c r="D36" i="11" s="1"/>
  <c r="M78" i="5"/>
  <c r="C36" i="11" s="1"/>
  <c r="L78" i="5"/>
  <c r="B36" i="11" s="1"/>
  <c r="K78" i="5"/>
  <c r="K49" i="9" s="1"/>
  <c r="J78" i="5"/>
  <c r="J49" i="9" s="1"/>
  <c r="I78" i="5"/>
  <c r="I49" i="9" s="1"/>
  <c r="H78" i="5"/>
  <c r="H49" i="9" s="1"/>
  <c r="G78" i="5"/>
  <c r="G49" i="9" s="1"/>
  <c r="F78" i="5"/>
  <c r="F49" i="9" s="1"/>
  <c r="Y77" i="5"/>
  <c r="R35" i="11" s="1"/>
  <c r="X77" i="5"/>
  <c r="Q35" i="11" s="1"/>
  <c r="W77" i="5"/>
  <c r="O35" i="11" s="1"/>
  <c r="V77" i="5"/>
  <c r="N35" i="11" s="1"/>
  <c r="U77" i="5"/>
  <c r="M35" i="11" s="1"/>
  <c r="T77" i="5"/>
  <c r="L35" i="11" s="1"/>
  <c r="S77" i="5"/>
  <c r="J35" i="11" s="1"/>
  <c r="R77" i="5"/>
  <c r="I35" i="11" s="1"/>
  <c r="Q77" i="5"/>
  <c r="H35" i="11" s="1"/>
  <c r="P77" i="5"/>
  <c r="G35" i="11" s="1"/>
  <c r="O77" i="5"/>
  <c r="E35" i="11" s="1"/>
  <c r="N77" i="5"/>
  <c r="D35" i="11" s="1"/>
  <c r="M77" i="5"/>
  <c r="C35" i="11" s="1"/>
  <c r="L77" i="5"/>
  <c r="B35" i="11" s="1"/>
  <c r="K77" i="5"/>
  <c r="K119" i="9" s="1"/>
  <c r="J77" i="5"/>
  <c r="J119" i="9" s="1"/>
  <c r="I77" i="5"/>
  <c r="I119" i="9" s="1"/>
  <c r="H77" i="5"/>
  <c r="H119" i="9" s="1"/>
  <c r="G77" i="5"/>
  <c r="G119" i="9" s="1"/>
  <c r="F77" i="5"/>
  <c r="F119" i="9" s="1"/>
  <c r="Y76" i="5"/>
  <c r="R34" i="11" s="1"/>
  <c r="X76" i="5"/>
  <c r="Q34" i="11" s="1"/>
  <c r="W76" i="5"/>
  <c r="O34" i="11" s="1"/>
  <c r="V76" i="5"/>
  <c r="N34" i="11" s="1"/>
  <c r="U76" i="5"/>
  <c r="M34" i="11" s="1"/>
  <c r="T76" i="5"/>
  <c r="L34" i="11" s="1"/>
  <c r="S76" i="5"/>
  <c r="J34" i="11" s="1"/>
  <c r="R76" i="5"/>
  <c r="I34" i="11" s="1"/>
  <c r="Q76" i="5"/>
  <c r="H34" i="11" s="1"/>
  <c r="P76" i="5"/>
  <c r="G34" i="11" s="1"/>
  <c r="O76" i="5"/>
  <c r="E34" i="11" s="1"/>
  <c r="N76" i="5"/>
  <c r="D34" i="11" s="1"/>
  <c r="M76" i="5"/>
  <c r="C34" i="11" s="1"/>
  <c r="L76" i="5"/>
  <c r="B34" i="11" s="1"/>
  <c r="K76" i="5"/>
  <c r="K47" i="9" s="1"/>
  <c r="J76" i="5"/>
  <c r="J47" i="9" s="1"/>
  <c r="I76" i="5"/>
  <c r="I47" i="9" s="1"/>
  <c r="H76" i="5"/>
  <c r="H47" i="9" s="1"/>
  <c r="G76" i="5"/>
  <c r="G47" i="9" s="1"/>
  <c r="F76" i="5"/>
  <c r="F47" i="9" s="1"/>
  <c r="Y74" i="5"/>
  <c r="X74" i="5"/>
  <c r="X66" i="9" s="1"/>
  <c r="W74" i="5"/>
  <c r="W66" i="9" s="1"/>
  <c r="V74" i="5"/>
  <c r="V66" i="9" s="1"/>
  <c r="U74" i="5"/>
  <c r="U66" i="9" s="1"/>
  <c r="T74" i="5"/>
  <c r="T66" i="9" s="1"/>
  <c r="S74" i="5"/>
  <c r="S66" i="9" s="1"/>
  <c r="R74" i="5"/>
  <c r="R66" i="9" s="1"/>
  <c r="Q74" i="5"/>
  <c r="Q66" i="9" s="1"/>
  <c r="P74" i="5"/>
  <c r="P66" i="9" s="1"/>
  <c r="O74" i="5"/>
  <c r="O66" i="9" s="1"/>
  <c r="N74" i="5"/>
  <c r="N66" i="9" s="1"/>
  <c r="M74" i="5"/>
  <c r="M66" i="9" s="1"/>
  <c r="L74" i="5"/>
  <c r="L66" i="9" s="1"/>
  <c r="K74" i="5"/>
  <c r="K66" i="9" s="1"/>
  <c r="J74" i="5"/>
  <c r="J66" i="9" s="1"/>
  <c r="I74" i="5"/>
  <c r="I66" i="9" s="1"/>
  <c r="H74" i="5"/>
  <c r="H66" i="9" s="1"/>
  <c r="G74" i="5"/>
  <c r="G66" i="9" s="1"/>
  <c r="F74" i="5"/>
  <c r="F66" i="9" s="1"/>
  <c r="Y73" i="5"/>
  <c r="Y23" i="9" s="1"/>
  <c r="X73" i="5"/>
  <c r="X23" i="9" s="1"/>
  <c r="W73" i="5"/>
  <c r="W23" i="9" s="1"/>
  <c r="V73" i="5"/>
  <c r="V23" i="9" s="1"/>
  <c r="U73" i="5"/>
  <c r="U23" i="9" s="1"/>
  <c r="T73" i="5"/>
  <c r="T23" i="9" s="1"/>
  <c r="S73" i="5"/>
  <c r="S23" i="9" s="1"/>
  <c r="R73" i="5"/>
  <c r="R23" i="9" s="1"/>
  <c r="Q73" i="5"/>
  <c r="Q23" i="9" s="1"/>
  <c r="P73" i="5"/>
  <c r="P23" i="9" s="1"/>
  <c r="O73" i="5"/>
  <c r="O23" i="9" s="1"/>
  <c r="N73" i="5"/>
  <c r="N23" i="9" s="1"/>
  <c r="M73" i="5"/>
  <c r="M23" i="9" s="1"/>
  <c r="L73" i="5"/>
  <c r="L23" i="9" s="1"/>
  <c r="K73" i="5"/>
  <c r="K23" i="9" s="1"/>
  <c r="J73" i="5"/>
  <c r="J23" i="9" s="1"/>
  <c r="I73" i="5"/>
  <c r="I23" i="9" s="1"/>
  <c r="H73" i="5"/>
  <c r="H23" i="9" s="1"/>
  <c r="G73" i="5"/>
  <c r="G23" i="9" s="1"/>
  <c r="F73" i="5"/>
  <c r="F23" i="9" s="1"/>
  <c r="Y72" i="5"/>
  <c r="Y19" i="9" s="1"/>
  <c r="X72" i="5"/>
  <c r="X19" i="9" s="1"/>
  <c r="W72" i="5"/>
  <c r="W19" i="9" s="1"/>
  <c r="V72" i="5"/>
  <c r="V19" i="9" s="1"/>
  <c r="U72" i="5"/>
  <c r="U19" i="9" s="1"/>
  <c r="T72" i="5"/>
  <c r="T19" i="9" s="1"/>
  <c r="S72" i="5"/>
  <c r="S19" i="9" s="1"/>
  <c r="R72" i="5"/>
  <c r="R19" i="9" s="1"/>
  <c r="Q72" i="5"/>
  <c r="Q19" i="9" s="1"/>
  <c r="P72" i="5"/>
  <c r="P19" i="9" s="1"/>
  <c r="O72" i="5"/>
  <c r="O19" i="9" s="1"/>
  <c r="N72" i="5"/>
  <c r="N19" i="9" s="1"/>
  <c r="M72" i="5"/>
  <c r="M19" i="9" s="1"/>
  <c r="L72" i="5"/>
  <c r="L19" i="9" s="1"/>
  <c r="K72" i="5"/>
  <c r="K19" i="9" s="1"/>
  <c r="J72" i="5"/>
  <c r="J19" i="9" s="1"/>
  <c r="I72" i="5"/>
  <c r="I19" i="9" s="1"/>
  <c r="H72" i="5"/>
  <c r="H19" i="9" s="1"/>
  <c r="G72" i="5"/>
  <c r="G19" i="9" s="1"/>
  <c r="F72" i="5"/>
  <c r="F19" i="9" s="1"/>
  <c r="Y71" i="5"/>
  <c r="Y15" i="9" s="1"/>
  <c r="X71" i="5"/>
  <c r="X15" i="9" s="1"/>
  <c r="W71" i="5"/>
  <c r="W15" i="9" s="1"/>
  <c r="V71" i="5"/>
  <c r="V15" i="9" s="1"/>
  <c r="U71" i="5"/>
  <c r="U15" i="9" s="1"/>
  <c r="T71" i="5"/>
  <c r="T15" i="9" s="1"/>
  <c r="S71" i="5"/>
  <c r="S15" i="9" s="1"/>
  <c r="R71" i="5"/>
  <c r="R15" i="9" s="1"/>
  <c r="Q71" i="5"/>
  <c r="Q15" i="9" s="1"/>
  <c r="P71" i="5"/>
  <c r="P15" i="9" s="1"/>
  <c r="O71" i="5"/>
  <c r="O15" i="9" s="1"/>
  <c r="N71" i="5"/>
  <c r="N15" i="9" s="1"/>
  <c r="M71" i="5"/>
  <c r="M15" i="9" s="1"/>
  <c r="L71" i="5"/>
  <c r="L15" i="9" s="1"/>
  <c r="K71" i="5"/>
  <c r="K15" i="9" s="1"/>
  <c r="J71" i="5"/>
  <c r="J15" i="9" s="1"/>
  <c r="I71" i="5"/>
  <c r="I15" i="9" s="1"/>
  <c r="H71" i="5"/>
  <c r="H15" i="9" s="1"/>
  <c r="G71" i="5"/>
  <c r="G15" i="9" s="1"/>
  <c r="F71" i="5"/>
  <c r="F15" i="9" s="1"/>
  <c r="Y70" i="5"/>
  <c r="Y9" i="9" s="1"/>
  <c r="X70" i="5"/>
  <c r="X9" i="9" s="1"/>
  <c r="W70" i="5"/>
  <c r="W9" i="9" s="1"/>
  <c r="V70" i="5"/>
  <c r="V9" i="9" s="1"/>
  <c r="U70" i="5"/>
  <c r="U9" i="9" s="1"/>
  <c r="T70" i="5"/>
  <c r="T9" i="9" s="1"/>
  <c r="S70" i="5"/>
  <c r="S9" i="9" s="1"/>
  <c r="R70" i="5"/>
  <c r="R9" i="9" s="1"/>
  <c r="Q70" i="5"/>
  <c r="Q9" i="9" s="1"/>
  <c r="P70" i="5"/>
  <c r="P9" i="9" s="1"/>
  <c r="O70" i="5"/>
  <c r="O9" i="9" s="1"/>
  <c r="N70" i="5"/>
  <c r="N9" i="9" s="1"/>
  <c r="M70" i="5"/>
  <c r="M9" i="9" s="1"/>
  <c r="L70" i="5"/>
  <c r="L9" i="9" s="1"/>
  <c r="K70" i="5"/>
  <c r="K9" i="9" s="1"/>
  <c r="J70" i="5"/>
  <c r="J9" i="9" s="1"/>
  <c r="I70" i="5"/>
  <c r="I9" i="9" s="1"/>
  <c r="H70" i="5"/>
  <c r="H9" i="9" s="1"/>
  <c r="G70" i="5"/>
  <c r="G9" i="9" s="1"/>
  <c r="F70" i="5"/>
  <c r="F9" i="9" s="1"/>
  <c r="Y69" i="5"/>
  <c r="W8" i="14" s="1"/>
  <c r="X69" i="5"/>
  <c r="W69" i="5"/>
  <c r="V69" i="5"/>
  <c r="U69" i="5"/>
  <c r="T69" i="5"/>
  <c r="S69" i="5"/>
  <c r="R69" i="5"/>
  <c r="Q69" i="5"/>
  <c r="P69" i="5"/>
  <c r="O69" i="5"/>
  <c r="N69" i="5"/>
  <c r="M69" i="5"/>
  <c r="L69" i="5"/>
  <c r="K69" i="5"/>
  <c r="J69" i="5"/>
  <c r="I69" i="5"/>
  <c r="H69" i="5"/>
  <c r="G69" i="5"/>
  <c r="F69" i="5"/>
  <c r="Y57" i="5"/>
  <c r="X57" i="5"/>
  <c r="W57" i="5"/>
  <c r="V57" i="5"/>
  <c r="U57" i="5"/>
  <c r="T57" i="5"/>
  <c r="S57" i="5"/>
  <c r="R57" i="5"/>
  <c r="Q57" i="5"/>
  <c r="P57" i="5"/>
  <c r="O57" i="5"/>
  <c r="N57" i="5"/>
  <c r="M57" i="5"/>
  <c r="L57" i="5"/>
  <c r="K57" i="5"/>
  <c r="J57" i="5"/>
  <c r="I57" i="5"/>
  <c r="H57" i="5"/>
  <c r="G57" i="5"/>
  <c r="Y54" i="5"/>
  <c r="X54" i="5"/>
  <c r="W54" i="5"/>
  <c r="V54" i="5"/>
  <c r="U54" i="5"/>
  <c r="T54" i="5"/>
  <c r="S54" i="5"/>
  <c r="R54" i="5"/>
  <c r="Q54" i="5"/>
  <c r="P54" i="5"/>
  <c r="O54" i="5"/>
  <c r="N54" i="5"/>
  <c r="M54" i="5"/>
  <c r="L54" i="5"/>
  <c r="K54" i="5"/>
  <c r="J54" i="5"/>
  <c r="I54" i="5"/>
  <c r="G54" i="5"/>
  <c r="Y52" i="5"/>
  <c r="X52" i="5"/>
  <c r="W52" i="5"/>
  <c r="V52" i="5"/>
  <c r="U52" i="5"/>
  <c r="T52" i="5"/>
  <c r="S52" i="5"/>
  <c r="R52" i="5"/>
  <c r="Q52" i="5"/>
  <c r="P52" i="5"/>
  <c r="O52" i="5"/>
  <c r="N52" i="5"/>
  <c r="M52" i="5"/>
  <c r="L52" i="5"/>
  <c r="K52" i="5"/>
  <c r="J52" i="5"/>
  <c r="I52" i="5"/>
  <c r="H52" i="5"/>
  <c r="G52" i="5"/>
  <c r="Y50" i="5"/>
  <c r="X50" i="5"/>
  <c r="W50" i="5"/>
  <c r="V50" i="5"/>
  <c r="U50" i="5"/>
  <c r="T50" i="5"/>
  <c r="S50" i="5"/>
  <c r="R50" i="5"/>
  <c r="Q50" i="5"/>
  <c r="P50" i="5"/>
  <c r="O50" i="5"/>
  <c r="N50" i="5"/>
  <c r="M50" i="5"/>
  <c r="L50" i="5"/>
  <c r="K50" i="5"/>
  <c r="J50" i="5"/>
  <c r="I50" i="5"/>
  <c r="H50" i="5"/>
  <c r="G50" i="5"/>
  <c r="Y49" i="5"/>
  <c r="X49" i="5"/>
  <c r="W49" i="5"/>
  <c r="V49" i="5"/>
  <c r="U49" i="5"/>
  <c r="T49" i="5"/>
  <c r="S49" i="5"/>
  <c r="R49" i="5"/>
  <c r="Q49" i="5"/>
  <c r="P49" i="5"/>
  <c r="O49" i="5"/>
  <c r="N49" i="5"/>
  <c r="M49" i="5"/>
  <c r="L49" i="5"/>
  <c r="K49" i="5"/>
  <c r="J49" i="5"/>
  <c r="I49" i="5"/>
  <c r="H49" i="5"/>
  <c r="G49" i="5"/>
  <c r="Y48" i="5"/>
  <c r="X48" i="5"/>
  <c r="W48" i="5"/>
  <c r="V48" i="5"/>
  <c r="U48" i="5"/>
  <c r="T48" i="5"/>
  <c r="S48" i="5"/>
  <c r="R48" i="5"/>
  <c r="Q48" i="5"/>
  <c r="P48" i="5"/>
  <c r="O48" i="5"/>
  <c r="N48" i="5"/>
  <c r="M48" i="5"/>
  <c r="L48" i="5"/>
  <c r="K48" i="5"/>
  <c r="J48" i="5"/>
  <c r="I48" i="5"/>
  <c r="H48" i="5"/>
  <c r="G48" i="5"/>
  <c r="F57" i="5"/>
  <c r="F54" i="5"/>
  <c r="F52" i="5"/>
  <c r="F50" i="5"/>
  <c r="F49" i="5"/>
  <c r="F48" i="5"/>
  <c r="Y39" i="5"/>
  <c r="R27" i="11" s="1"/>
  <c r="X39" i="5"/>
  <c r="Q27" i="11" s="1"/>
  <c r="W39" i="5"/>
  <c r="O27" i="11" s="1"/>
  <c r="V39" i="5"/>
  <c r="N27" i="11" s="1"/>
  <c r="U39" i="5"/>
  <c r="M27" i="11" s="1"/>
  <c r="T39" i="5"/>
  <c r="L27" i="11" s="1"/>
  <c r="S39" i="5"/>
  <c r="J27" i="11" s="1"/>
  <c r="R39" i="5"/>
  <c r="I27" i="11" s="1"/>
  <c r="Q39" i="5"/>
  <c r="H27" i="11" s="1"/>
  <c r="P39" i="5"/>
  <c r="G27" i="11" s="1"/>
  <c r="O39" i="5"/>
  <c r="E27" i="11" s="1"/>
  <c r="N39" i="5"/>
  <c r="D27" i="11" s="1"/>
  <c r="M39" i="5"/>
  <c r="C27" i="11" s="1"/>
  <c r="L39" i="5"/>
  <c r="B27" i="11" s="1"/>
  <c r="K39" i="5"/>
  <c r="K154" i="9" s="1"/>
  <c r="J39" i="5"/>
  <c r="J154" i="9" s="1"/>
  <c r="I39" i="5"/>
  <c r="I154" i="9" s="1"/>
  <c r="H154" i="9"/>
  <c r="G154" i="9"/>
  <c r="F154" i="9"/>
  <c r="Y38" i="5"/>
  <c r="R26" i="11" s="1"/>
  <c r="X38" i="5"/>
  <c r="Q26" i="11" s="1"/>
  <c r="W38" i="5"/>
  <c r="O26" i="11" s="1"/>
  <c r="V38" i="5"/>
  <c r="N26" i="11" s="1"/>
  <c r="U38" i="5"/>
  <c r="M26" i="11" s="1"/>
  <c r="T38" i="5"/>
  <c r="L26" i="11" s="1"/>
  <c r="S38" i="5"/>
  <c r="J26" i="11" s="1"/>
  <c r="R38" i="5"/>
  <c r="I26" i="11" s="1"/>
  <c r="Q38" i="5"/>
  <c r="H26" i="11" s="1"/>
  <c r="P38" i="5"/>
  <c r="G26" i="11" s="1"/>
  <c r="O38" i="5"/>
  <c r="E26" i="11" s="1"/>
  <c r="N38" i="5"/>
  <c r="D26" i="11" s="1"/>
  <c r="M38" i="5"/>
  <c r="C26" i="11" s="1"/>
  <c r="L38" i="5"/>
  <c r="B26" i="11" s="1"/>
  <c r="K38" i="5"/>
  <c r="K151" i="9" s="1"/>
  <c r="J38" i="5"/>
  <c r="J151" i="9" s="1"/>
  <c r="I38" i="5"/>
  <c r="I151" i="9" s="1"/>
  <c r="H151" i="9"/>
  <c r="G151" i="9"/>
  <c r="F151" i="9"/>
  <c r="F153" i="9" s="1"/>
  <c r="AM39" i="5"/>
  <c r="F27" i="11" s="1"/>
  <c r="AL39" i="5"/>
  <c r="AL154" i="9" s="1"/>
  <c r="AK39" i="5"/>
  <c r="AK154" i="9" s="1"/>
  <c r="AM38" i="5"/>
  <c r="F26" i="11" s="1"/>
  <c r="AL38" i="5"/>
  <c r="AL151" i="9" s="1"/>
  <c r="AK38" i="5"/>
  <c r="AK151" i="9" s="1"/>
  <c r="P8" i="5"/>
  <c r="G7" i="11" s="1"/>
  <c r="Q8" i="5"/>
  <c r="H7" i="11" s="1"/>
  <c r="R8" i="5"/>
  <c r="I7" i="11" s="1"/>
  <c r="S8" i="5"/>
  <c r="J7" i="11" s="1"/>
  <c r="T8" i="5"/>
  <c r="L7" i="11" s="1"/>
  <c r="U8" i="5"/>
  <c r="M7" i="11" s="1"/>
  <c r="V8" i="5"/>
  <c r="N7" i="11" s="1"/>
  <c r="W8" i="5"/>
  <c r="O7" i="11" s="1"/>
  <c r="X8" i="5"/>
  <c r="Q7" i="11" s="1"/>
  <c r="Y8" i="5"/>
  <c r="R7" i="11" s="1"/>
  <c r="Y31" i="5"/>
  <c r="X31" i="5"/>
  <c r="W31" i="5"/>
  <c r="V31" i="5"/>
  <c r="U31" i="5"/>
  <c r="T31" i="5"/>
  <c r="S31" i="5"/>
  <c r="R31" i="5"/>
  <c r="Q31" i="5"/>
  <c r="P31" i="5"/>
  <c r="O31" i="5"/>
  <c r="N31" i="5"/>
  <c r="M31" i="5"/>
  <c r="L31" i="5"/>
  <c r="K31" i="5"/>
  <c r="J31" i="5"/>
  <c r="I31" i="5"/>
  <c r="H31" i="5"/>
  <c r="G31" i="5"/>
  <c r="F31" i="5"/>
  <c r="Y29" i="5"/>
  <c r="R21" i="11" s="1"/>
  <c r="X29" i="5"/>
  <c r="Q21" i="11" s="1"/>
  <c r="W29" i="5"/>
  <c r="O21" i="11" s="1"/>
  <c r="V29" i="5"/>
  <c r="N21" i="11" s="1"/>
  <c r="U29" i="5"/>
  <c r="M21" i="11" s="1"/>
  <c r="T29" i="5"/>
  <c r="L21" i="11" s="1"/>
  <c r="S29" i="5"/>
  <c r="J21" i="11" s="1"/>
  <c r="R29" i="5"/>
  <c r="I21" i="11" s="1"/>
  <c r="Q29" i="5"/>
  <c r="H21" i="11" s="1"/>
  <c r="P29" i="5"/>
  <c r="G21" i="11" s="1"/>
  <c r="O29" i="5"/>
  <c r="E21" i="11" s="1"/>
  <c r="N29" i="5"/>
  <c r="D21" i="11" s="1"/>
  <c r="M29" i="5"/>
  <c r="C21" i="11" s="1"/>
  <c r="L29" i="5"/>
  <c r="B21" i="11" s="1"/>
  <c r="K29" i="5"/>
  <c r="K123" i="9" s="1"/>
  <c r="J29" i="5"/>
  <c r="J123" i="9" s="1"/>
  <c r="I29" i="5"/>
  <c r="I123" i="9" s="1"/>
  <c r="H29" i="5"/>
  <c r="H123" i="9" s="1"/>
  <c r="G29" i="5"/>
  <c r="G123" i="9" s="1"/>
  <c r="F29" i="5"/>
  <c r="F123" i="9" s="1"/>
  <c r="Y26" i="5"/>
  <c r="X26" i="5"/>
  <c r="W26" i="5"/>
  <c r="V26" i="5"/>
  <c r="U26" i="5"/>
  <c r="T26" i="5"/>
  <c r="S26" i="5"/>
  <c r="R26" i="5"/>
  <c r="Q26" i="5"/>
  <c r="P26" i="5"/>
  <c r="O26" i="5"/>
  <c r="N26" i="5"/>
  <c r="M26" i="5"/>
  <c r="L26" i="5"/>
  <c r="K26" i="5"/>
  <c r="J26" i="5"/>
  <c r="I26" i="5"/>
  <c r="H26" i="5"/>
  <c r="G26" i="5"/>
  <c r="F26" i="5"/>
  <c r="Y25" i="5"/>
  <c r="Y107" i="9" s="1"/>
  <c r="X25" i="5"/>
  <c r="X107" i="9" s="1"/>
  <c r="W25" i="5"/>
  <c r="W107" i="9" s="1"/>
  <c r="V25" i="5"/>
  <c r="V107" i="9" s="1"/>
  <c r="U25" i="5"/>
  <c r="U107" i="9" s="1"/>
  <c r="T25" i="5"/>
  <c r="T107" i="9" s="1"/>
  <c r="S25" i="5"/>
  <c r="S107" i="9" s="1"/>
  <c r="R25" i="5"/>
  <c r="R107" i="9" s="1"/>
  <c r="Q25" i="5"/>
  <c r="Q107" i="9" s="1"/>
  <c r="P25" i="5"/>
  <c r="P107" i="9" s="1"/>
  <c r="O25" i="5"/>
  <c r="O107" i="9" s="1"/>
  <c r="N25" i="5"/>
  <c r="N107" i="9" s="1"/>
  <c r="M25" i="5"/>
  <c r="M107" i="9" s="1"/>
  <c r="L25" i="5"/>
  <c r="L107" i="9" s="1"/>
  <c r="K25" i="5"/>
  <c r="K107" i="9" s="1"/>
  <c r="J25" i="5"/>
  <c r="J107" i="9" s="1"/>
  <c r="I25" i="5"/>
  <c r="I107" i="9" s="1"/>
  <c r="Y21" i="5"/>
  <c r="R16" i="11" s="1"/>
  <c r="X21" i="5"/>
  <c r="Q16" i="11" s="1"/>
  <c r="W21" i="5"/>
  <c r="O16" i="11" s="1"/>
  <c r="V21" i="5"/>
  <c r="N16" i="11" s="1"/>
  <c r="U21" i="5"/>
  <c r="M16" i="11" s="1"/>
  <c r="T21" i="5"/>
  <c r="L16" i="11" s="1"/>
  <c r="S21" i="5"/>
  <c r="J16" i="11" s="1"/>
  <c r="R21" i="5"/>
  <c r="I16" i="11" s="1"/>
  <c r="Q21" i="5"/>
  <c r="H16" i="11" s="1"/>
  <c r="P21" i="5"/>
  <c r="G16" i="11" s="1"/>
  <c r="O21" i="5"/>
  <c r="E16" i="11" s="1"/>
  <c r="N21" i="5"/>
  <c r="D16" i="11" s="1"/>
  <c r="M21" i="5"/>
  <c r="C16" i="11" s="1"/>
  <c r="L21" i="5"/>
  <c r="B16" i="11" s="1"/>
  <c r="K21" i="5"/>
  <c r="K47" i="5" s="1"/>
  <c r="J21" i="5"/>
  <c r="J47" i="5" s="1"/>
  <c r="I21" i="5"/>
  <c r="I47" i="5" s="1"/>
  <c r="H21" i="5"/>
  <c r="H47" i="5" s="1"/>
  <c r="G21" i="5"/>
  <c r="G47" i="5" s="1"/>
  <c r="F21" i="5"/>
  <c r="F47" i="5" s="1"/>
  <c r="Y20" i="5"/>
  <c r="Y53" i="5" s="1"/>
  <c r="X20" i="5"/>
  <c r="X53" i="5" s="1"/>
  <c r="W20" i="5"/>
  <c r="W53" i="5" s="1"/>
  <c r="V20" i="5"/>
  <c r="V53" i="5" s="1"/>
  <c r="U20" i="5"/>
  <c r="U53" i="5" s="1"/>
  <c r="T20" i="5"/>
  <c r="T53" i="5" s="1"/>
  <c r="S20" i="5"/>
  <c r="S53" i="5" s="1"/>
  <c r="R20" i="5"/>
  <c r="R53" i="5" s="1"/>
  <c r="Q20" i="5"/>
  <c r="Q53" i="5" s="1"/>
  <c r="P20" i="5"/>
  <c r="P53" i="5" s="1"/>
  <c r="O20" i="5"/>
  <c r="O53" i="5" s="1"/>
  <c r="N20" i="5"/>
  <c r="N53" i="5" s="1"/>
  <c r="M20" i="5"/>
  <c r="M53" i="5" s="1"/>
  <c r="L20" i="5"/>
  <c r="L53" i="5" s="1"/>
  <c r="K20" i="5"/>
  <c r="K53" i="5" s="1"/>
  <c r="J20" i="5"/>
  <c r="J53" i="5" s="1"/>
  <c r="I20" i="5"/>
  <c r="I53" i="5" s="1"/>
  <c r="H20" i="5"/>
  <c r="H53" i="5" s="1"/>
  <c r="G20" i="5"/>
  <c r="G53" i="5" s="1"/>
  <c r="F20" i="5"/>
  <c r="F53" i="5" s="1"/>
  <c r="Y19" i="5"/>
  <c r="X19" i="5"/>
  <c r="W19" i="5"/>
  <c r="V19" i="5"/>
  <c r="U19" i="5"/>
  <c r="T19" i="5"/>
  <c r="S19" i="5"/>
  <c r="R19" i="5"/>
  <c r="Q19" i="5"/>
  <c r="P19" i="5"/>
  <c r="O19" i="5"/>
  <c r="N19" i="5"/>
  <c r="M19" i="5"/>
  <c r="L19" i="5"/>
  <c r="K19" i="5"/>
  <c r="K51" i="5" s="1"/>
  <c r="J19" i="5"/>
  <c r="J51" i="5" s="1"/>
  <c r="I19" i="5"/>
  <c r="I51" i="5" s="1"/>
  <c r="H19" i="5"/>
  <c r="H51" i="5" s="1"/>
  <c r="G19" i="5"/>
  <c r="G51" i="5" s="1"/>
  <c r="F19" i="5"/>
  <c r="F51" i="5" s="1"/>
  <c r="Y18" i="5"/>
  <c r="R15" i="11" s="1"/>
  <c r="X18" i="5"/>
  <c r="Q15" i="11" s="1"/>
  <c r="W18" i="5"/>
  <c r="O15" i="11" s="1"/>
  <c r="V18" i="5"/>
  <c r="N15" i="11" s="1"/>
  <c r="U18" i="5"/>
  <c r="M15" i="11" s="1"/>
  <c r="T18" i="5"/>
  <c r="L15" i="11" s="1"/>
  <c r="S18" i="5"/>
  <c r="J15" i="11" s="1"/>
  <c r="R18" i="5"/>
  <c r="I15" i="11" s="1"/>
  <c r="Q18" i="5"/>
  <c r="H15" i="11" s="1"/>
  <c r="P18" i="5"/>
  <c r="G15" i="11" s="1"/>
  <c r="O18" i="5"/>
  <c r="E15" i="11" s="1"/>
  <c r="N18" i="5"/>
  <c r="D15" i="11" s="1"/>
  <c r="M18" i="5"/>
  <c r="C15" i="11" s="1"/>
  <c r="L18" i="5"/>
  <c r="B15" i="11" s="1"/>
  <c r="K18" i="5"/>
  <c r="J18" i="5"/>
  <c r="I18" i="5"/>
  <c r="H18" i="5"/>
  <c r="G18" i="5"/>
  <c r="F18" i="5"/>
  <c r="Y17" i="5"/>
  <c r="R14" i="11" s="1"/>
  <c r="X17" i="5"/>
  <c r="Q14" i="11" s="1"/>
  <c r="W17" i="5"/>
  <c r="O14" i="11" s="1"/>
  <c r="V17" i="5"/>
  <c r="N14" i="11" s="1"/>
  <c r="U17" i="5"/>
  <c r="M14" i="11" s="1"/>
  <c r="T17" i="5"/>
  <c r="L14" i="11" s="1"/>
  <c r="S17" i="5"/>
  <c r="J14" i="11" s="1"/>
  <c r="R17" i="5"/>
  <c r="I14" i="11" s="1"/>
  <c r="Q17" i="5"/>
  <c r="H14" i="11" s="1"/>
  <c r="P17" i="5"/>
  <c r="G14" i="11" s="1"/>
  <c r="O17" i="5"/>
  <c r="E14" i="11" s="1"/>
  <c r="N17" i="5"/>
  <c r="D14" i="11" s="1"/>
  <c r="M17" i="5"/>
  <c r="C14" i="11" s="1"/>
  <c r="L17" i="5"/>
  <c r="B14" i="11" s="1"/>
  <c r="K17" i="5"/>
  <c r="J17" i="5"/>
  <c r="I17" i="5"/>
  <c r="H17" i="5"/>
  <c r="G17" i="5"/>
  <c r="F17" i="5"/>
  <c r="Y16" i="5"/>
  <c r="R13" i="11" s="1"/>
  <c r="X16" i="5"/>
  <c r="Q13" i="11" s="1"/>
  <c r="W16" i="5"/>
  <c r="O13" i="11" s="1"/>
  <c r="V16" i="5"/>
  <c r="N13" i="11" s="1"/>
  <c r="U16" i="5"/>
  <c r="M13" i="11" s="1"/>
  <c r="T16" i="5"/>
  <c r="L13" i="11" s="1"/>
  <c r="S16" i="5"/>
  <c r="J13" i="11" s="1"/>
  <c r="R16" i="5"/>
  <c r="I13" i="11" s="1"/>
  <c r="Q16" i="5"/>
  <c r="H13" i="11" s="1"/>
  <c r="P16" i="5"/>
  <c r="G13" i="11" s="1"/>
  <c r="O16" i="5"/>
  <c r="E13" i="11" s="1"/>
  <c r="N16" i="5"/>
  <c r="D13" i="11" s="1"/>
  <c r="M16" i="5"/>
  <c r="C13" i="11" s="1"/>
  <c r="L16" i="5"/>
  <c r="B13" i="11" s="1"/>
  <c r="K16" i="5"/>
  <c r="J16" i="5"/>
  <c r="I16" i="5"/>
  <c r="H16" i="5"/>
  <c r="G16" i="5"/>
  <c r="F16" i="5"/>
  <c r="Y13" i="5"/>
  <c r="R10" i="11" s="1"/>
  <c r="X13" i="5"/>
  <c r="Q10" i="11" s="1"/>
  <c r="W13" i="5"/>
  <c r="O10" i="11" s="1"/>
  <c r="V13" i="5"/>
  <c r="N10" i="11" s="1"/>
  <c r="U13" i="5"/>
  <c r="M10" i="11" s="1"/>
  <c r="T13" i="5"/>
  <c r="L10" i="11" s="1"/>
  <c r="S13" i="5"/>
  <c r="J10" i="11" s="1"/>
  <c r="R13" i="5"/>
  <c r="I10" i="11" s="1"/>
  <c r="Q13" i="5"/>
  <c r="H10" i="11" s="1"/>
  <c r="P13" i="5"/>
  <c r="G10" i="11" s="1"/>
  <c r="O13" i="5"/>
  <c r="E10" i="11" s="1"/>
  <c r="N13" i="5"/>
  <c r="D10" i="11" s="1"/>
  <c r="M13" i="5"/>
  <c r="C10" i="11" s="1"/>
  <c r="L13" i="5"/>
  <c r="B10" i="11" s="1"/>
  <c r="K13" i="5"/>
  <c r="J13" i="5"/>
  <c r="I13" i="5"/>
  <c r="H13" i="5"/>
  <c r="G13" i="5"/>
  <c r="F13" i="5"/>
  <c r="Y12" i="5"/>
  <c r="R9" i="11" s="1"/>
  <c r="X12" i="5"/>
  <c r="Q9" i="11" s="1"/>
  <c r="W12" i="5"/>
  <c r="O9" i="11" s="1"/>
  <c r="V12" i="5"/>
  <c r="N9" i="11" s="1"/>
  <c r="U12" i="5"/>
  <c r="M9" i="11" s="1"/>
  <c r="T12" i="5"/>
  <c r="L9" i="11" s="1"/>
  <c r="S12" i="5"/>
  <c r="J9" i="11" s="1"/>
  <c r="R12" i="5"/>
  <c r="I9" i="11" s="1"/>
  <c r="Q12" i="5"/>
  <c r="H9" i="11" s="1"/>
  <c r="P12" i="5"/>
  <c r="G9" i="11" s="1"/>
  <c r="O12" i="5"/>
  <c r="E9" i="11" s="1"/>
  <c r="N12" i="5"/>
  <c r="D9" i="11" s="1"/>
  <c r="M12" i="5"/>
  <c r="C9" i="11" s="1"/>
  <c r="L12" i="5"/>
  <c r="B9" i="11" s="1"/>
  <c r="K12" i="5"/>
  <c r="J12" i="5"/>
  <c r="I12" i="5"/>
  <c r="H12" i="5"/>
  <c r="G12" i="5"/>
  <c r="F12" i="5"/>
  <c r="H11" i="5"/>
  <c r="G11" i="5"/>
  <c r="F11" i="5"/>
  <c r="Y10" i="5"/>
  <c r="X10" i="5"/>
  <c r="W10" i="5"/>
  <c r="V10" i="5"/>
  <c r="U10" i="5"/>
  <c r="T10" i="5"/>
  <c r="S10" i="5"/>
  <c r="R10" i="5"/>
  <c r="Q10" i="5"/>
  <c r="P10" i="5"/>
  <c r="O10" i="5"/>
  <c r="N10" i="5"/>
  <c r="M10" i="5"/>
  <c r="L10" i="5"/>
  <c r="K10" i="5"/>
  <c r="J10" i="5"/>
  <c r="I10" i="5"/>
  <c r="H10" i="5"/>
  <c r="G10" i="5"/>
  <c r="F10" i="5"/>
  <c r="Y9" i="5"/>
  <c r="X9" i="5"/>
  <c r="W9" i="5"/>
  <c r="V9" i="5"/>
  <c r="U9" i="5"/>
  <c r="T9" i="5"/>
  <c r="S9" i="5"/>
  <c r="R9" i="5"/>
  <c r="Q9" i="5"/>
  <c r="P9" i="5"/>
  <c r="O9" i="5"/>
  <c r="N9" i="5"/>
  <c r="M9" i="5"/>
  <c r="L9" i="5"/>
  <c r="K9" i="5"/>
  <c r="J9" i="5"/>
  <c r="I9" i="5"/>
  <c r="H9" i="5"/>
  <c r="G9" i="5"/>
  <c r="F9" i="5"/>
  <c r="Y7" i="5"/>
  <c r="R6" i="11" s="1"/>
  <c r="X7" i="5"/>
  <c r="Q6" i="11" s="1"/>
  <c r="W7" i="5"/>
  <c r="O6" i="11" s="1"/>
  <c r="V7" i="5"/>
  <c r="N6" i="11" s="1"/>
  <c r="U7" i="5"/>
  <c r="M6" i="11" s="1"/>
  <c r="T7" i="5"/>
  <c r="L6" i="11" s="1"/>
  <c r="S7" i="5"/>
  <c r="J6" i="11" s="1"/>
  <c r="R7" i="5"/>
  <c r="I6" i="11" s="1"/>
  <c r="Q7" i="5"/>
  <c r="H6" i="11" s="1"/>
  <c r="P7" i="5"/>
  <c r="G6" i="11" s="1"/>
  <c r="O7" i="5"/>
  <c r="E6" i="11" s="1"/>
  <c r="N7" i="5"/>
  <c r="D6" i="11" s="1"/>
  <c r="M7" i="5"/>
  <c r="C6" i="11" s="1"/>
  <c r="L7" i="5"/>
  <c r="B6" i="11" s="1"/>
  <c r="K7" i="5"/>
  <c r="J7" i="5"/>
  <c r="I7" i="5"/>
  <c r="H7" i="5"/>
  <c r="G7" i="5"/>
  <c r="F7" i="5"/>
  <c r="Y6" i="5"/>
  <c r="R5" i="11" s="1"/>
  <c r="X6" i="5"/>
  <c r="Q5" i="11" s="1"/>
  <c r="W6" i="5"/>
  <c r="O5" i="11" s="1"/>
  <c r="V6" i="5"/>
  <c r="N5" i="11" s="1"/>
  <c r="U6" i="5"/>
  <c r="M5" i="11" s="1"/>
  <c r="T6" i="5"/>
  <c r="L5" i="11" s="1"/>
  <c r="S6" i="5"/>
  <c r="J5" i="11" s="1"/>
  <c r="R6" i="5"/>
  <c r="I5" i="11" s="1"/>
  <c r="Q6" i="5"/>
  <c r="H5" i="11" s="1"/>
  <c r="P6" i="5"/>
  <c r="G5" i="11" s="1"/>
  <c r="O6" i="5"/>
  <c r="E5" i="11" s="1"/>
  <c r="N6" i="5"/>
  <c r="D5" i="11" s="1"/>
  <c r="M6" i="5"/>
  <c r="C5" i="11" s="1"/>
  <c r="L6" i="5"/>
  <c r="B5" i="11" s="1"/>
  <c r="K6" i="5"/>
  <c r="J6" i="5"/>
  <c r="I6" i="5"/>
  <c r="H6" i="5"/>
  <c r="G6" i="5"/>
  <c r="F6" i="5"/>
  <c r="AM31" i="5"/>
  <c r="AL31" i="5"/>
  <c r="AK31" i="5"/>
  <c r="AM29" i="5"/>
  <c r="AL29" i="5"/>
  <c r="AK29" i="5"/>
  <c r="AK123" i="9" s="1"/>
  <c r="AM26" i="5"/>
  <c r="AL26" i="5"/>
  <c r="AK26" i="5"/>
  <c r="AK25" i="5"/>
  <c r="AK107" i="9" s="1"/>
  <c r="AM21" i="5"/>
  <c r="F16" i="11" s="1"/>
  <c r="AL21" i="5"/>
  <c r="AK21" i="5"/>
  <c r="AM20" i="5"/>
  <c r="AM53" i="5" s="1"/>
  <c r="AL20" i="5"/>
  <c r="AL53" i="5" s="1"/>
  <c r="AK20" i="5"/>
  <c r="AK53" i="5" s="1"/>
  <c r="AM19" i="5"/>
  <c r="AL19" i="5"/>
  <c r="AL51" i="5" s="1"/>
  <c r="AK19" i="5"/>
  <c r="AK51" i="5" s="1"/>
  <c r="AM18" i="5"/>
  <c r="F15" i="11" s="1"/>
  <c r="AL18" i="5"/>
  <c r="AK18" i="5"/>
  <c r="AM17" i="5"/>
  <c r="F14" i="11" s="1"/>
  <c r="AL17" i="5"/>
  <c r="AK17" i="5"/>
  <c r="AM16" i="5"/>
  <c r="F13" i="11" s="1"/>
  <c r="AL16" i="5"/>
  <c r="AK16" i="5"/>
  <c r="AM13" i="5"/>
  <c r="F10" i="11" s="1"/>
  <c r="AL13" i="5"/>
  <c r="AK13" i="5"/>
  <c r="AM12" i="5"/>
  <c r="F9" i="11" s="1"/>
  <c r="AL12" i="5"/>
  <c r="AK12" i="5"/>
  <c r="AO10" i="5"/>
  <c r="AN10" i="5"/>
  <c r="AM10" i="5"/>
  <c r="AL10" i="5"/>
  <c r="AK10" i="5"/>
  <c r="AO9" i="5"/>
  <c r="AN9" i="5"/>
  <c r="AM9" i="5"/>
  <c r="AL9" i="5"/>
  <c r="AK9" i="5"/>
  <c r="AM7" i="5"/>
  <c r="F6" i="11" s="1"/>
  <c r="AL7" i="5"/>
  <c r="AK7" i="5"/>
  <c r="AM6" i="5"/>
  <c r="F5" i="11" s="1"/>
  <c r="AL6" i="5"/>
  <c r="AK6" i="5"/>
  <c r="AL4" i="5"/>
  <c r="W3" i="5"/>
  <c r="AA3" i="5" s="1"/>
  <c r="V3" i="5"/>
  <c r="Z3" i="5" s="1"/>
  <c r="U3" i="5"/>
  <c r="Y3" i="5" s="1"/>
  <c r="AC3" i="5" s="1"/>
  <c r="T3" i="5"/>
  <c r="X3" i="5" s="1"/>
  <c r="AB3" i="5" s="1"/>
  <c r="W2" i="5"/>
  <c r="V2" i="5"/>
  <c r="U2" i="5"/>
  <c r="Y2" i="5" s="1"/>
  <c r="AC2" i="5" s="1"/>
  <c r="AG2" i="5" s="1"/>
  <c r="T2" i="5"/>
  <c r="X2" i="5" s="1"/>
  <c r="X35" i="4"/>
  <c r="Y35" i="4"/>
  <c r="Q107" i="6" s="1"/>
  <c r="Q109" i="6" s="1"/>
  <c r="AF35" i="4"/>
  <c r="X107" i="6" s="1"/>
  <c r="AE35" i="4"/>
  <c r="W107" i="6" s="1"/>
  <c r="W109" i="6" s="1"/>
  <c r="AD35" i="4"/>
  <c r="V107" i="6" s="1"/>
  <c r="V109" i="6" s="1"/>
  <c r="AC35" i="4"/>
  <c r="U107" i="6" s="1"/>
  <c r="U109" i="6" s="1"/>
  <c r="AB35" i="4"/>
  <c r="T107" i="6" s="1"/>
  <c r="T109" i="6" s="1"/>
  <c r="AA35" i="4"/>
  <c r="S107" i="6" s="1"/>
  <c r="S109" i="6" s="1"/>
  <c r="Z35" i="4"/>
  <c r="R107" i="6" s="1"/>
  <c r="R109" i="6" s="1"/>
  <c r="AG118" i="4"/>
  <c r="AF118" i="4"/>
  <c r="AE118" i="4"/>
  <c r="AD118" i="4"/>
  <c r="AC118" i="4"/>
  <c r="AB118" i="4"/>
  <c r="AA118" i="4"/>
  <c r="Z118" i="4"/>
  <c r="Y118" i="4"/>
  <c r="X118" i="4"/>
  <c r="AG117" i="4"/>
  <c r="AF117" i="4"/>
  <c r="AE117" i="4"/>
  <c r="AD117" i="4"/>
  <c r="AC117" i="4"/>
  <c r="AB117" i="4"/>
  <c r="AA117" i="4"/>
  <c r="Z117" i="4"/>
  <c r="Y117" i="4"/>
  <c r="X117" i="4"/>
  <c r="AG116" i="4"/>
  <c r="AF116" i="4"/>
  <c r="AE116" i="4"/>
  <c r="AD116" i="4"/>
  <c r="AC116" i="4"/>
  <c r="AB116" i="4"/>
  <c r="AA116" i="4"/>
  <c r="Z116" i="4"/>
  <c r="Y116" i="4"/>
  <c r="X116" i="4"/>
  <c r="AG115" i="4"/>
  <c r="AF115" i="4"/>
  <c r="AE115" i="4"/>
  <c r="AD115" i="4"/>
  <c r="AC115" i="4"/>
  <c r="AB115" i="4"/>
  <c r="AA115" i="4"/>
  <c r="Z115" i="4"/>
  <c r="Y115" i="4"/>
  <c r="X115" i="4"/>
  <c r="AG114" i="4"/>
  <c r="AF114" i="4"/>
  <c r="AE114" i="4"/>
  <c r="AD114" i="4"/>
  <c r="AC114" i="4"/>
  <c r="AB114" i="4"/>
  <c r="AA114" i="4"/>
  <c r="Z114" i="4"/>
  <c r="Y114" i="4"/>
  <c r="X114" i="4"/>
  <c r="AG112" i="4"/>
  <c r="AF112" i="4"/>
  <c r="AE112" i="4"/>
  <c r="AD112" i="4"/>
  <c r="AC112" i="4"/>
  <c r="AB112" i="4"/>
  <c r="AA112" i="4"/>
  <c r="Z112" i="4"/>
  <c r="Y112" i="4"/>
  <c r="X112" i="4"/>
  <c r="X73" i="4"/>
  <c r="Y73" i="4"/>
  <c r="Z73" i="4"/>
  <c r="AA73" i="4"/>
  <c r="AB73" i="4"/>
  <c r="AC73" i="4"/>
  <c r="AD73" i="4"/>
  <c r="AE73" i="4"/>
  <c r="AF73" i="4"/>
  <c r="AG73" i="4"/>
  <c r="X78" i="4"/>
  <c r="Y78" i="4"/>
  <c r="Y81" i="4" s="1"/>
  <c r="Z78" i="4"/>
  <c r="Z81" i="4" s="1"/>
  <c r="AA78" i="4"/>
  <c r="AA81" i="4" s="1"/>
  <c r="AB78" i="4"/>
  <c r="AB81" i="4" s="1"/>
  <c r="AC78" i="4"/>
  <c r="AC81" i="4" s="1"/>
  <c r="AD78" i="4"/>
  <c r="AD81" i="4" s="1"/>
  <c r="AE78" i="4"/>
  <c r="AE81" i="4" s="1"/>
  <c r="AF78" i="4"/>
  <c r="AF81" i="4" s="1"/>
  <c r="AG78" i="4"/>
  <c r="AG81" i="4" s="1"/>
  <c r="X83" i="4"/>
  <c r="Y83" i="4"/>
  <c r="Y86" i="4" s="1"/>
  <c r="Z83" i="4"/>
  <c r="Z86" i="4" s="1"/>
  <c r="AA83" i="4"/>
  <c r="AA86" i="4" s="1"/>
  <c r="AB83" i="4"/>
  <c r="AB86" i="4" s="1"/>
  <c r="AC83" i="4"/>
  <c r="AC86" i="4" s="1"/>
  <c r="AD83" i="4"/>
  <c r="AD86" i="4" s="1"/>
  <c r="AE83" i="4"/>
  <c r="AE86" i="4" s="1"/>
  <c r="AF83" i="4"/>
  <c r="AF86" i="4" s="1"/>
  <c r="AG83" i="4"/>
  <c r="AG86" i="4" s="1"/>
  <c r="X88" i="4"/>
  <c r="Y88" i="4"/>
  <c r="Y91" i="4" s="1"/>
  <c r="Z88" i="4"/>
  <c r="Z91" i="4" s="1"/>
  <c r="AA88" i="4"/>
  <c r="AA91" i="4" s="1"/>
  <c r="AB88" i="4"/>
  <c r="AB91" i="4" s="1"/>
  <c r="AC88" i="4"/>
  <c r="AC91" i="4" s="1"/>
  <c r="AD88" i="4"/>
  <c r="AD91" i="4" s="1"/>
  <c r="AE88" i="4"/>
  <c r="AE91" i="4" s="1"/>
  <c r="AF88" i="4"/>
  <c r="AG88" i="4"/>
  <c r="AG91" i="4" s="1"/>
  <c r="X93" i="4"/>
  <c r="Y93" i="4"/>
  <c r="Z93" i="4"/>
  <c r="AA93" i="4"/>
  <c r="AB93" i="4"/>
  <c r="AC93" i="4"/>
  <c r="AD93" i="4"/>
  <c r="AE93" i="4"/>
  <c r="AF93" i="4"/>
  <c r="AG93" i="4"/>
  <c r="X96" i="4"/>
  <c r="Y96" i="4"/>
  <c r="Z96" i="4"/>
  <c r="AA96" i="4"/>
  <c r="AB96" i="4"/>
  <c r="AC96" i="4"/>
  <c r="AD96" i="4"/>
  <c r="AE96" i="4"/>
  <c r="AF96" i="4"/>
  <c r="AG96" i="4"/>
  <c r="Z104" i="4"/>
  <c r="AA104" i="4"/>
  <c r="S139" i="9" s="1"/>
  <c r="AB104" i="4"/>
  <c r="T139" i="9" s="1"/>
  <c r="AC104" i="4"/>
  <c r="U139" i="9" s="1"/>
  <c r="AD104" i="4"/>
  <c r="V139" i="9" s="1"/>
  <c r="AE104" i="4"/>
  <c r="W139" i="9" s="1"/>
  <c r="AF104" i="4"/>
  <c r="X139" i="9" s="1"/>
  <c r="AG104" i="4"/>
  <c r="Y139" i="9" s="1"/>
  <c r="X108" i="4"/>
  <c r="Y108" i="4"/>
  <c r="Z108" i="4"/>
  <c r="Z109" i="4" s="1"/>
  <c r="AA108" i="4"/>
  <c r="AB108" i="4"/>
  <c r="AC108" i="4"/>
  <c r="AD108" i="4"/>
  <c r="AE108" i="4"/>
  <c r="AF108" i="4"/>
  <c r="AG108" i="4"/>
  <c r="K88" i="8"/>
  <c r="J88" i="8"/>
  <c r="I88" i="8"/>
  <c r="K16" i="8"/>
  <c r="J16" i="8"/>
  <c r="I16" i="8"/>
  <c r="J8" i="8"/>
  <c r="I8" i="8"/>
  <c r="K8" i="8"/>
  <c r="AG51" i="4"/>
  <c r="AF51" i="4"/>
  <c r="AE51" i="4"/>
  <c r="AD51" i="4"/>
  <c r="AC51" i="4"/>
  <c r="AB51" i="4"/>
  <c r="AA51" i="4"/>
  <c r="Z51" i="4"/>
  <c r="Y51" i="4"/>
  <c r="X51" i="4"/>
  <c r="AG41" i="4"/>
  <c r="AF41" i="4"/>
  <c r="AE41" i="4"/>
  <c r="AD41" i="4"/>
  <c r="AC41" i="4"/>
  <c r="AB41" i="4"/>
  <c r="AA41" i="4"/>
  <c r="Z41" i="4"/>
  <c r="Y41" i="4"/>
  <c r="X41" i="4"/>
  <c r="AG35" i="4"/>
  <c r="Y107" i="6" s="1"/>
  <c r="Y109" i="6" s="1"/>
  <c r="AG17" i="4"/>
  <c r="AG19" i="4" s="1"/>
  <c r="AF17" i="4"/>
  <c r="AF19" i="4" s="1"/>
  <c r="AE17" i="4"/>
  <c r="AE19" i="4" s="1"/>
  <c r="AD17" i="4"/>
  <c r="AD19" i="4" s="1"/>
  <c r="AC17" i="4"/>
  <c r="AC19" i="4" s="1"/>
  <c r="AB17" i="4"/>
  <c r="AB19" i="4" s="1"/>
  <c r="AA17" i="4"/>
  <c r="AA19" i="4" s="1"/>
  <c r="Z17" i="4"/>
  <c r="Z19" i="4" s="1"/>
  <c r="Y17" i="4"/>
  <c r="Y19" i="4" s="1"/>
  <c r="X17" i="4"/>
  <c r="X19" i="4" s="1"/>
  <c r="AG9" i="4"/>
  <c r="AG11" i="4" s="1"/>
  <c r="AF9" i="4"/>
  <c r="AF11" i="4" s="1"/>
  <c r="AE9" i="4"/>
  <c r="AE11" i="4" s="1"/>
  <c r="AD9" i="4"/>
  <c r="AD11" i="4" s="1"/>
  <c r="AC9" i="4"/>
  <c r="AC11" i="4" s="1"/>
  <c r="AB9" i="4"/>
  <c r="AB11" i="4" s="1"/>
  <c r="AA9" i="4"/>
  <c r="AA11" i="4" s="1"/>
  <c r="Z9" i="4"/>
  <c r="Z11" i="4" s="1"/>
  <c r="Y9" i="4"/>
  <c r="Y11" i="4" s="1"/>
  <c r="X9" i="4"/>
  <c r="X11" i="4" s="1"/>
  <c r="O55" i="2"/>
  <c r="H54" i="5" s="1"/>
  <c r="Q47" i="2"/>
  <c r="P47" i="2"/>
  <c r="O47" i="2"/>
  <c r="N47" i="2"/>
  <c r="M47" i="2"/>
  <c r="F65" i="9" l="1"/>
  <c r="Q65" i="9"/>
  <c r="M65" i="9"/>
  <c r="U65" i="9"/>
  <c r="K59" i="6"/>
  <c r="L65" i="9"/>
  <c r="S65" i="9"/>
  <c r="X65" i="9"/>
  <c r="J65" i="9"/>
  <c r="V65" i="9"/>
  <c r="N65" i="9"/>
  <c r="T65" i="9"/>
  <c r="R65" i="9"/>
  <c r="H65" i="9"/>
  <c r="G65" i="9"/>
  <c r="K65" i="9"/>
  <c r="I65" i="9"/>
  <c r="J13" i="9"/>
  <c r="J14" i="9" s="1"/>
  <c r="O13" i="9"/>
  <c r="O14" i="9" s="1"/>
  <c r="V13" i="9"/>
  <c r="V17" i="9" s="1"/>
  <c r="Q13" i="9"/>
  <c r="Q14" i="9" s="1"/>
  <c r="I13" i="9"/>
  <c r="I14" i="9" s="1"/>
  <c r="Y13" i="9"/>
  <c r="Z69" i="9" s="1"/>
  <c r="S13" i="9"/>
  <c r="S14" i="9" s="1"/>
  <c r="U13" i="9"/>
  <c r="U14" i="9" s="1"/>
  <c r="J9" i="8"/>
  <c r="K13" i="9"/>
  <c r="K14" i="9" s="1"/>
  <c r="H13" i="9"/>
  <c r="H17" i="9" s="1"/>
  <c r="X13" i="9"/>
  <c r="X17" i="9" s="1"/>
  <c r="W65" i="9"/>
  <c r="P65" i="9"/>
  <c r="H17" i="11"/>
  <c r="Q51" i="6"/>
  <c r="Y22" i="6"/>
  <c r="AI62" i="6"/>
  <c r="AE36" i="6"/>
  <c r="AD4" i="6"/>
  <c r="AA128" i="6"/>
  <c r="AD127" i="6"/>
  <c r="R17" i="11"/>
  <c r="D39" i="11"/>
  <c r="N39" i="11"/>
  <c r="I43" i="11"/>
  <c r="D47" i="11"/>
  <c r="F13" i="9"/>
  <c r="F17" i="9" s="1"/>
  <c r="I17" i="11"/>
  <c r="H8" i="11"/>
  <c r="H11" i="11" s="1"/>
  <c r="R8" i="11"/>
  <c r="R11" i="11" s="1"/>
  <c r="N47" i="11"/>
  <c r="I8" i="11"/>
  <c r="I11" i="11" s="1"/>
  <c r="J17" i="11"/>
  <c r="E39" i="11"/>
  <c r="O39" i="11"/>
  <c r="J43" i="11"/>
  <c r="G43" i="11"/>
  <c r="Q43" i="11"/>
  <c r="G8" i="11"/>
  <c r="G11" i="11" s="1"/>
  <c r="Q8" i="11"/>
  <c r="Q11" i="11" s="1"/>
  <c r="P13" i="9"/>
  <c r="P14" i="9" s="1"/>
  <c r="N8" i="11"/>
  <c r="N11" i="11" s="1"/>
  <c r="G39" i="11"/>
  <c r="Q39" i="11"/>
  <c r="B43" i="11"/>
  <c r="L43" i="11"/>
  <c r="G47" i="11"/>
  <c r="Q47" i="11"/>
  <c r="H39" i="11"/>
  <c r="R39" i="11"/>
  <c r="C43" i="11"/>
  <c r="M43" i="11"/>
  <c r="H47" i="11"/>
  <c r="R47" i="11"/>
  <c r="B17" i="11"/>
  <c r="L17" i="11"/>
  <c r="J39" i="11"/>
  <c r="E43" i="11"/>
  <c r="O43" i="11"/>
  <c r="J47" i="11"/>
  <c r="C39" i="11"/>
  <c r="M39" i="11"/>
  <c r="H43" i="11"/>
  <c r="R43" i="11"/>
  <c r="K3" i="14"/>
  <c r="C41" i="11"/>
  <c r="S3" i="14"/>
  <c r="M41" i="11"/>
  <c r="K4" i="14"/>
  <c r="C42" i="11"/>
  <c r="S4" i="14"/>
  <c r="M42" i="11"/>
  <c r="O6" i="14"/>
  <c r="H45" i="11"/>
  <c r="W6" i="14"/>
  <c r="R45" i="11"/>
  <c r="C47" i="11"/>
  <c r="M47" i="11"/>
  <c r="O7" i="14"/>
  <c r="H46" i="11"/>
  <c r="W7" i="14"/>
  <c r="R46" i="11"/>
  <c r="L3" i="14"/>
  <c r="D41" i="11"/>
  <c r="T3" i="14"/>
  <c r="N41" i="11"/>
  <c r="L4" i="14"/>
  <c r="D42" i="11"/>
  <c r="T4" i="14"/>
  <c r="N42" i="11"/>
  <c r="P6" i="14"/>
  <c r="I45" i="11"/>
  <c r="P7" i="14"/>
  <c r="I46" i="11"/>
  <c r="AC30" i="14"/>
  <c r="F21" i="11"/>
  <c r="M8" i="11"/>
  <c r="M11" i="11" s="1"/>
  <c r="M3" i="14"/>
  <c r="E41" i="11"/>
  <c r="U3" i="14"/>
  <c r="O41" i="11"/>
  <c r="M4" i="14"/>
  <c r="E42" i="11"/>
  <c r="U4" i="14"/>
  <c r="O42" i="11"/>
  <c r="Q6" i="14"/>
  <c r="J45" i="11"/>
  <c r="E47" i="11"/>
  <c r="O47" i="11"/>
  <c r="Q7" i="14"/>
  <c r="J46" i="11"/>
  <c r="N3" i="14"/>
  <c r="G41" i="11"/>
  <c r="V3" i="14"/>
  <c r="Q41" i="11"/>
  <c r="N4" i="14"/>
  <c r="G42" i="11"/>
  <c r="V4" i="14"/>
  <c r="Q42" i="11"/>
  <c r="J6" i="14"/>
  <c r="B45" i="11"/>
  <c r="R6" i="14"/>
  <c r="L45" i="11"/>
  <c r="J7" i="14"/>
  <c r="B46" i="11"/>
  <c r="R7" i="14"/>
  <c r="L46" i="11"/>
  <c r="C17" i="11"/>
  <c r="M17" i="11"/>
  <c r="W4" i="14"/>
  <c r="R42" i="11"/>
  <c r="F17" i="11"/>
  <c r="D17" i="11"/>
  <c r="N17" i="11"/>
  <c r="I39" i="11"/>
  <c r="D43" i="11"/>
  <c r="N43" i="11"/>
  <c r="P3" i="14"/>
  <c r="I41" i="11"/>
  <c r="P4" i="14"/>
  <c r="I42" i="11"/>
  <c r="L6" i="14"/>
  <c r="D45" i="11"/>
  <c r="T6" i="14"/>
  <c r="N45" i="11"/>
  <c r="I47" i="11"/>
  <c r="L7" i="14"/>
  <c r="D46" i="11"/>
  <c r="T7" i="14"/>
  <c r="N46" i="11"/>
  <c r="L8" i="11"/>
  <c r="L11" i="11" s="1"/>
  <c r="O3" i="14"/>
  <c r="H41" i="11"/>
  <c r="W3" i="14"/>
  <c r="R41" i="11"/>
  <c r="O4" i="14"/>
  <c r="H42" i="11"/>
  <c r="K6" i="14"/>
  <c r="C45" i="11"/>
  <c r="S6" i="14"/>
  <c r="M45" i="11"/>
  <c r="K7" i="14"/>
  <c r="C46" i="11"/>
  <c r="S7" i="14"/>
  <c r="M46" i="11"/>
  <c r="E17" i="11"/>
  <c r="O17" i="11"/>
  <c r="Q3" i="14"/>
  <c r="J41" i="11"/>
  <c r="Q4" i="14"/>
  <c r="J42" i="11"/>
  <c r="M6" i="14"/>
  <c r="E45" i="11"/>
  <c r="U6" i="14"/>
  <c r="O45" i="11"/>
  <c r="M7" i="14"/>
  <c r="E46" i="11"/>
  <c r="U7" i="14"/>
  <c r="O46" i="11"/>
  <c r="O8" i="11"/>
  <c r="O11" i="11" s="1"/>
  <c r="J8" i="11"/>
  <c r="J11" i="11" s="1"/>
  <c r="G17" i="11"/>
  <c r="Q17" i="11"/>
  <c r="B39" i="11"/>
  <c r="L39" i="11"/>
  <c r="J3" i="14"/>
  <c r="B41" i="11"/>
  <c r="R3" i="14"/>
  <c r="L41" i="11"/>
  <c r="J4" i="14"/>
  <c r="B42" i="11"/>
  <c r="R4" i="14"/>
  <c r="L42" i="11"/>
  <c r="N6" i="14"/>
  <c r="G45" i="11"/>
  <c r="V6" i="14"/>
  <c r="Q45" i="11"/>
  <c r="B47" i="11"/>
  <c r="L47" i="11"/>
  <c r="N7" i="14"/>
  <c r="G46" i="11"/>
  <c r="V7" i="14"/>
  <c r="Q46" i="11"/>
  <c r="G94" i="6"/>
  <c r="F97" i="6"/>
  <c r="X21" i="6"/>
  <c r="K93" i="10"/>
  <c r="N13" i="9"/>
  <c r="N17" i="9" s="1"/>
  <c r="J93" i="10"/>
  <c r="W126" i="6"/>
  <c r="AA127" i="6" s="1"/>
  <c r="X22" i="6"/>
  <c r="W21" i="6"/>
  <c r="AA2" i="5"/>
  <c r="AE2" i="5" s="1"/>
  <c r="AI2" i="5" s="1"/>
  <c r="AB2" i="5"/>
  <c r="AF2" i="5" s="1"/>
  <c r="H153" i="9"/>
  <c r="I153" i="9"/>
  <c r="AF4" i="6"/>
  <c r="I126" i="6"/>
  <c r="N126" i="6"/>
  <c r="K126" i="6"/>
  <c r="J126" i="6"/>
  <c r="W120" i="6"/>
  <c r="W67" i="6" s="1"/>
  <c r="W68" i="6" s="1"/>
  <c r="AA29" i="6"/>
  <c r="O126" i="6"/>
  <c r="F126" i="6"/>
  <c r="K73" i="10"/>
  <c r="AB52" i="6"/>
  <c r="J73" i="10"/>
  <c r="AA52" i="6"/>
  <c r="Y120" i="6"/>
  <c r="Y67" i="6" s="1"/>
  <c r="Y69" i="6" s="1"/>
  <c r="AC29" i="6"/>
  <c r="X97" i="6"/>
  <c r="AB98" i="6" s="1"/>
  <c r="AB91" i="6"/>
  <c r="P126" i="6"/>
  <c r="M126" i="6"/>
  <c r="H126" i="6"/>
  <c r="X120" i="6"/>
  <c r="X67" i="6" s="1"/>
  <c r="X68" i="6" s="1"/>
  <c r="AB29" i="6"/>
  <c r="Z120" i="6"/>
  <c r="Z67" i="6" s="1"/>
  <c r="AA30" i="6"/>
  <c r="R13" i="9"/>
  <c r="R14" i="9" s="1"/>
  <c r="AF91" i="4"/>
  <c r="Y126" i="6"/>
  <c r="Z128" i="6" s="1"/>
  <c r="S126" i="6"/>
  <c r="T126" i="6"/>
  <c r="Q126" i="6"/>
  <c r="L126" i="6"/>
  <c r="X126" i="6"/>
  <c r="U126" i="6"/>
  <c r="G126" i="6"/>
  <c r="E126" i="6"/>
  <c r="R126" i="6"/>
  <c r="V126" i="6"/>
  <c r="K153" i="9"/>
  <c r="O65" i="9"/>
  <c r="I93" i="10"/>
  <c r="V21" i="6"/>
  <c r="V22" i="6"/>
  <c r="Z21" i="6"/>
  <c r="Z59" i="6"/>
  <c r="L73" i="10"/>
  <c r="W22" i="6"/>
  <c r="Z52" i="6"/>
  <c r="I73" i="10"/>
  <c r="J153" i="9"/>
  <c r="AL123" i="9"/>
  <c r="AB30" i="14"/>
  <c r="G153" i="9"/>
  <c r="W13" i="9"/>
  <c r="W17" i="9" s="1"/>
  <c r="Z2" i="5"/>
  <c r="AD2" i="5" s="1"/>
  <c r="AH2" i="5" s="1"/>
  <c r="U68" i="6"/>
  <c r="G130" i="6"/>
  <c r="U69" i="6"/>
  <c r="S68" i="6"/>
  <c r="I194" i="6"/>
  <c r="I120" i="6"/>
  <c r="I67" i="6" s="1"/>
  <c r="I69" i="6" s="1"/>
  <c r="J69" i="6"/>
  <c r="R68" i="6"/>
  <c r="L69" i="6"/>
  <c r="K69" i="6"/>
  <c r="P31" i="6"/>
  <c r="P33" i="6" s="1"/>
  <c r="P120" i="6"/>
  <c r="P67" i="6" s="1"/>
  <c r="P69" i="6" s="1"/>
  <c r="M13" i="9"/>
  <c r="M14" i="9" s="1"/>
  <c r="Z31" i="6"/>
  <c r="Z194" i="6"/>
  <c r="AH194" i="6" s="1"/>
  <c r="Z29" i="6"/>
  <c r="Z30" i="6"/>
  <c r="Z58" i="6"/>
  <c r="Z87" i="6"/>
  <c r="V68" i="6"/>
  <c r="V69" i="6"/>
  <c r="K9" i="8"/>
  <c r="L9" i="8"/>
  <c r="G41" i="5"/>
  <c r="K42" i="5"/>
  <c r="N98" i="9"/>
  <c r="L8" i="14"/>
  <c r="R76" i="9"/>
  <c r="P5" i="14"/>
  <c r="M98" i="9"/>
  <c r="K8" i="14"/>
  <c r="U98" i="9"/>
  <c r="S8" i="14"/>
  <c r="I73" i="9"/>
  <c r="G3" i="14"/>
  <c r="I88" i="9"/>
  <c r="G4" i="14"/>
  <c r="I76" i="9"/>
  <c r="G5" i="14"/>
  <c r="Q76" i="9"/>
  <c r="O5" i="14"/>
  <c r="Y76" i="9"/>
  <c r="W5" i="14"/>
  <c r="F98" i="9"/>
  <c r="D8" i="14"/>
  <c r="F90" i="9"/>
  <c r="D7" i="14"/>
  <c r="G98" i="9"/>
  <c r="E8" i="14"/>
  <c r="O98" i="9"/>
  <c r="M8" i="14"/>
  <c r="W98" i="9"/>
  <c r="U8" i="14"/>
  <c r="K73" i="9"/>
  <c r="I3" i="14"/>
  <c r="K88" i="9"/>
  <c r="I4" i="14"/>
  <c r="K76" i="9"/>
  <c r="I5" i="14"/>
  <c r="S76" i="9"/>
  <c r="Q5" i="14"/>
  <c r="G77" i="9"/>
  <c r="E6" i="14"/>
  <c r="G90" i="9"/>
  <c r="E7" i="14"/>
  <c r="J88" i="9"/>
  <c r="H4" i="14"/>
  <c r="H98" i="9"/>
  <c r="F8" i="14"/>
  <c r="P98" i="9"/>
  <c r="N8" i="14"/>
  <c r="X98" i="9"/>
  <c r="V8" i="14"/>
  <c r="L76" i="9"/>
  <c r="J5" i="14"/>
  <c r="T76" i="9"/>
  <c r="R5" i="14"/>
  <c r="H77" i="9"/>
  <c r="F6" i="14"/>
  <c r="H90" i="9"/>
  <c r="F7" i="14"/>
  <c r="J76" i="9"/>
  <c r="H5" i="14"/>
  <c r="M76" i="9"/>
  <c r="K5" i="14"/>
  <c r="U76" i="9"/>
  <c r="S5" i="14"/>
  <c r="I77" i="9"/>
  <c r="G6" i="14"/>
  <c r="I90" i="9"/>
  <c r="G7" i="14"/>
  <c r="I98" i="9"/>
  <c r="G8" i="14"/>
  <c r="Q98" i="9"/>
  <c r="O8" i="14"/>
  <c r="J98" i="9"/>
  <c r="H8" i="14"/>
  <c r="R98" i="9"/>
  <c r="P8" i="14"/>
  <c r="F73" i="9"/>
  <c r="D3" i="14"/>
  <c r="F88" i="9"/>
  <c r="D4" i="14"/>
  <c r="F76" i="9"/>
  <c r="D5" i="14"/>
  <c r="N76" i="9"/>
  <c r="L5" i="14"/>
  <c r="V76" i="9"/>
  <c r="T5" i="14"/>
  <c r="J77" i="9"/>
  <c r="H6" i="14"/>
  <c r="J90" i="9"/>
  <c r="H7" i="14"/>
  <c r="V98" i="9"/>
  <c r="T8" i="14"/>
  <c r="F77" i="9"/>
  <c r="D6" i="14"/>
  <c r="K98" i="9"/>
  <c r="I8" i="14"/>
  <c r="S98" i="9"/>
  <c r="Q8" i="14"/>
  <c r="G73" i="9"/>
  <c r="E3" i="14"/>
  <c r="G88" i="9"/>
  <c r="E4" i="14"/>
  <c r="G76" i="9"/>
  <c r="E5" i="14"/>
  <c r="O76" i="9"/>
  <c r="M5" i="14"/>
  <c r="W76" i="9"/>
  <c r="U5" i="14"/>
  <c r="K77" i="9"/>
  <c r="I6" i="14"/>
  <c r="K90" i="9"/>
  <c r="I7" i="14"/>
  <c r="J73" i="9"/>
  <c r="H3" i="14"/>
  <c r="L98" i="9"/>
  <c r="J8" i="14"/>
  <c r="T98" i="9"/>
  <c r="R8" i="14"/>
  <c r="H73" i="9"/>
  <c r="F3" i="14"/>
  <c r="H88" i="9"/>
  <c r="F4" i="14"/>
  <c r="H76" i="9"/>
  <c r="F5" i="14"/>
  <c r="P76" i="9"/>
  <c r="N5" i="14"/>
  <c r="X76" i="9"/>
  <c r="V5" i="14"/>
  <c r="O87" i="6"/>
  <c r="P94" i="6"/>
  <c r="P97" i="6"/>
  <c r="M94" i="6"/>
  <c r="M97" i="6"/>
  <c r="E94" i="6"/>
  <c r="E97" i="6"/>
  <c r="V94" i="6"/>
  <c r="Z95" i="6" s="1"/>
  <c r="V97" i="6"/>
  <c r="J94" i="6"/>
  <c r="J97" i="6"/>
  <c r="T94" i="6"/>
  <c r="T97" i="6"/>
  <c r="N94" i="6"/>
  <c r="N97" i="6"/>
  <c r="S94" i="6"/>
  <c r="S97" i="6"/>
  <c r="Y94" i="6"/>
  <c r="Y97" i="6"/>
  <c r="K94" i="6"/>
  <c r="K97" i="6"/>
  <c r="Q94" i="6"/>
  <c r="Q97" i="6"/>
  <c r="L94" i="6"/>
  <c r="L97" i="6"/>
  <c r="I94" i="6"/>
  <c r="I97" i="6"/>
  <c r="W94" i="6"/>
  <c r="W97" i="6"/>
  <c r="AA98" i="6" s="1"/>
  <c r="H94" i="6"/>
  <c r="H97" i="6"/>
  <c r="O94" i="6"/>
  <c r="O97" i="6"/>
  <c r="L87" i="6"/>
  <c r="H41" i="5"/>
  <c r="L42" i="5"/>
  <c r="T42" i="5"/>
  <c r="L172" i="5"/>
  <c r="L68" i="9"/>
  <c r="T172" i="5"/>
  <c r="T68" i="9"/>
  <c r="M42" i="5"/>
  <c r="U42" i="5"/>
  <c r="Y66" i="9"/>
  <c r="Y67" i="9"/>
  <c r="M172" i="5"/>
  <c r="M68" i="9"/>
  <c r="U172" i="5"/>
  <c r="U68" i="9"/>
  <c r="AK42" i="5"/>
  <c r="F42" i="5"/>
  <c r="N42" i="5"/>
  <c r="V42" i="5"/>
  <c r="F172" i="5"/>
  <c r="F68" i="9"/>
  <c r="F69" i="9" s="1"/>
  <c r="N172" i="5"/>
  <c r="N68" i="9"/>
  <c r="V172" i="5"/>
  <c r="V68" i="9"/>
  <c r="AL42" i="5"/>
  <c r="G42" i="5"/>
  <c r="O42" i="5"/>
  <c r="W42" i="5"/>
  <c r="G172" i="5"/>
  <c r="G68" i="9"/>
  <c r="O172" i="5"/>
  <c r="O68" i="9"/>
  <c r="W172" i="5"/>
  <c r="W68" i="9"/>
  <c r="K172" i="5"/>
  <c r="K68" i="9"/>
  <c r="AM42" i="5"/>
  <c r="H42" i="5"/>
  <c r="P42" i="5"/>
  <c r="X42" i="5"/>
  <c r="H172" i="5"/>
  <c r="H68" i="9"/>
  <c r="P172" i="5"/>
  <c r="P68" i="9"/>
  <c r="X172" i="5"/>
  <c r="X68" i="9"/>
  <c r="S172" i="5"/>
  <c r="S68" i="9"/>
  <c r="I42" i="5"/>
  <c r="Q42" i="5"/>
  <c r="Y42" i="5"/>
  <c r="I172" i="5"/>
  <c r="I68" i="9"/>
  <c r="Q172" i="5"/>
  <c r="Q68" i="9"/>
  <c r="Y172" i="5"/>
  <c r="Y68" i="9"/>
  <c r="S42" i="5"/>
  <c r="F41" i="5"/>
  <c r="J42" i="5"/>
  <c r="R42" i="5"/>
  <c r="J172" i="5"/>
  <c r="J68" i="9"/>
  <c r="R172" i="5"/>
  <c r="R68" i="9"/>
  <c r="J130" i="6"/>
  <c r="N130" i="6" s="1"/>
  <c r="R130" i="6" s="1"/>
  <c r="V130" i="6" s="1"/>
  <c r="Z130" i="6" s="1"/>
  <c r="F130" i="6"/>
  <c r="I130" i="6"/>
  <c r="M130" i="6" s="1"/>
  <c r="Q130" i="6" s="1"/>
  <c r="U130" i="6" s="1"/>
  <c r="Y130" i="6" s="1"/>
  <c r="AC130" i="6" s="1"/>
  <c r="E130" i="6"/>
  <c r="D130" i="6"/>
  <c r="H130" i="6"/>
  <c r="I87" i="6"/>
  <c r="I58" i="6"/>
  <c r="K87" i="6"/>
  <c r="E87" i="6"/>
  <c r="N87" i="6"/>
  <c r="F87" i="6"/>
  <c r="J87" i="6"/>
  <c r="G87" i="6"/>
  <c r="M87" i="6"/>
  <c r="M69" i="6"/>
  <c r="Q68" i="6"/>
  <c r="O69" i="6"/>
  <c r="O68" i="6"/>
  <c r="N69" i="6"/>
  <c r="N68" i="6"/>
  <c r="Q52" i="6"/>
  <c r="R51" i="6"/>
  <c r="J58" i="6"/>
  <c r="S29" i="6"/>
  <c r="R29" i="6"/>
  <c r="I51" i="9"/>
  <c r="K23" i="8"/>
  <c r="I23" i="8"/>
  <c r="J23" i="8"/>
  <c r="AM136" i="9"/>
  <c r="AO136" i="9"/>
  <c r="AL152" i="9"/>
  <c r="AK136" i="9"/>
  <c r="J59" i="6"/>
  <c r="AH9" i="11"/>
  <c r="AH6" i="11"/>
  <c r="AH15" i="11"/>
  <c r="AM51" i="5"/>
  <c r="V47" i="5"/>
  <c r="U123" i="9"/>
  <c r="U151" i="9"/>
  <c r="R110" i="9"/>
  <c r="V90" i="9"/>
  <c r="AH5" i="11"/>
  <c r="O51" i="5"/>
  <c r="W51" i="5"/>
  <c r="O47" i="5"/>
  <c r="W47" i="5"/>
  <c r="N123" i="9"/>
  <c r="V123" i="9"/>
  <c r="N151" i="9"/>
  <c r="V151" i="9"/>
  <c r="R154" i="9"/>
  <c r="O47" i="9"/>
  <c r="W47" i="9"/>
  <c r="S119" i="9"/>
  <c r="O49" i="9"/>
  <c r="W49" i="9"/>
  <c r="O61" i="9"/>
  <c r="W61" i="9"/>
  <c r="X55" i="9" s="1"/>
  <c r="S63" i="9"/>
  <c r="T57" i="9" s="1"/>
  <c r="O27" i="9"/>
  <c r="W27" i="9"/>
  <c r="S73" i="9"/>
  <c r="S88" i="9"/>
  <c r="O77" i="9"/>
  <c r="W77" i="9"/>
  <c r="S110" i="9"/>
  <c r="O90" i="9"/>
  <c r="W90" i="9"/>
  <c r="V47" i="9"/>
  <c r="V49" i="9"/>
  <c r="R63" i="9"/>
  <c r="S57" i="9" s="1"/>
  <c r="N90" i="9"/>
  <c r="AF3" i="5"/>
  <c r="P51" i="5"/>
  <c r="X51" i="5"/>
  <c r="P47" i="5"/>
  <c r="X47" i="5"/>
  <c r="O123" i="9"/>
  <c r="W123" i="9"/>
  <c r="O151" i="9"/>
  <c r="W151" i="9"/>
  <c r="AA152" i="9" s="1"/>
  <c r="S154" i="9"/>
  <c r="P47" i="9"/>
  <c r="X47" i="9"/>
  <c r="L119" i="9"/>
  <c r="T119" i="9"/>
  <c r="P49" i="9"/>
  <c r="X49" i="9"/>
  <c r="P61" i="9"/>
  <c r="Q55" i="9" s="1"/>
  <c r="X61" i="9"/>
  <c r="Y55" i="9" s="1"/>
  <c r="L63" i="9"/>
  <c r="M57" i="9" s="1"/>
  <c r="T63" i="9"/>
  <c r="U57" i="9" s="1"/>
  <c r="P27" i="9"/>
  <c r="X27" i="9"/>
  <c r="L73" i="9"/>
  <c r="T73" i="9"/>
  <c r="L88" i="9"/>
  <c r="T88" i="9"/>
  <c r="P77" i="9"/>
  <c r="X77" i="9"/>
  <c r="L110" i="9"/>
  <c r="T110" i="9"/>
  <c r="P90" i="9"/>
  <c r="X90" i="9"/>
  <c r="V51" i="5"/>
  <c r="Q154" i="9"/>
  <c r="V27" i="9"/>
  <c r="AG3" i="5"/>
  <c r="AG4" i="5" s="1"/>
  <c r="Q51" i="5"/>
  <c r="Y51" i="5"/>
  <c r="Q47" i="5"/>
  <c r="Y47" i="5"/>
  <c r="P123" i="9"/>
  <c r="X123" i="9"/>
  <c r="P151" i="9"/>
  <c r="X151" i="9"/>
  <c r="AB152" i="9" s="1"/>
  <c r="L154" i="9"/>
  <c r="T154" i="9"/>
  <c r="Y98" i="9"/>
  <c r="Q47" i="9"/>
  <c r="Y47" i="9"/>
  <c r="Z45" i="9" s="1"/>
  <c r="Z46" i="9" s="1"/>
  <c r="M119" i="9"/>
  <c r="U119" i="9"/>
  <c r="Q49" i="9"/>
  <c r="Y49" i="9"/>
  <c r="Z51" i="9" s="1"/>
  <c r="Q61" i="9"/>
  <c r="R55" i="9" s="1"/>
  <c r="Y61" i="9"/>
  <c r="Z55" i="9" s="1"/>
  <c r="M63" i="9"/>
  <c r="N57" i="9" s="1"/>
  <c r="U63" i="9"/>
  <c r="V57" i="9" s="1"/>
  <c r="Q27" i="9"/>
  <c r="Y27" i="9"/>
  <c r="M73" i="9"/>
  <c r="U73" i="9"/>
  <c r="M88" i="9"/>
  <c r="U88" i="9"/>
  <c r="Q77" i="9"/>
  <c r="Y77" i="9"/>
  <c r="M110" i="9"/>
  <c r="U110" i="9"/>
  <c r="Q90" i="9"/>
  <c r="Y90" i="9"/>
  <c r="N47" i="5"/>
  <c r="M123" i="9"/>
  <c r="AM154" i="9"/>
  <c r="V61" i="9"/>
  <c r="W55" i="9" s="1"/>
  <c r="R88" i="9"/>
  <c r="AD3" i="5"/>
  <c r="AH10" i="11"/>
  <c r="AK47" i="5"/>
  <c r="AK45" i="9"/>
  <c r="R51" i="5"/>
  <c r="R47" i="5"/>
  <c r="Q123" i="9"/>
  <c r="Y123" i="9"/>
  <c r="Q151" i="9"/>
  <c r="Y151" i="9"/>
  <c r="M154" i="9"/>
  <c r="U154" i="9"/>
  <c r="R47" i="9"/>
  <c r="N119" i="9"/>
  <c r="V119" i="9"/>
  <c r="R49" i="9"/>
  <c r="R61" i="9"/>
  <c r="S55" i="9" s="1"/>
  <c r="N63" i="9"/>
  <c r="O57" i="9" s="1"/>
  <c r="V63" i="9"/>
  <c r="W57" i="9" s="1"/>
  <c r="R27" i="9"/>
  <c r="N73" i="9"/>
  <c r="V73" i="9"/>
  <c r="N88" i="9"/>
  <c r="V88" i="9"/>
  <c r="R77" i="9"/>
  <c r="N110" i="9"/>
  <c r="V110" i="9"/>
  <c r="R90" i="9"/>
  <c r="N51" i="5"/>
  <c r="M151" i="9"/>
  <c r="N47" i="9"/>
  <c r="AE3" i="5"/>
  <c r="AL47" i="5"/>
  <c r="AL45" i="9"/>
  <c r="AM123" i="9"/>
  <c r="S51" i="5"/>
  <c r="S47" i="5"/>
  <c r="R123" i="9"/>
  <c r="AM151" i="9"/>
  <c r="AM152" i="9" s="1"/>
  <c r="R151" i="9"/>
  <c r="N154" i="9"/>
  <c r="V154" i="9"/>
  <c r="S47" i="9"/>
  <c r="O119" i="9"/>
  <c r="W119" i="9"/>
  <c r="S49" i="9"/>
  <c r="S61" i="9"/>
  <c r="T55" i="9" s="1"/>
  <c r="O63" i="9"/>
  <c r="P57" i="9" s="1"/>
  <c r="W63" i="9"/>
  <c r="X57" i="9" s="1"/>
  <c r="S27" i="9"/>
  <c r="O73" i="9"/>
  <c r="W73" i="9"/>
  <c r="O88" i="9"/>
  <c r="W88" i="9"/>
  <c r="S77" i="9"/>
  <c r="O110" i="9"/>
  <c r="W110" i="9"/>
  <c r="S90" i="9"/>
  <c r="Y154" i="9"/>
  <c r="N49" i="9"/>
  <c r="N27" i="9"/>
  <c r="N77" i="9"/>
  <c r="AM47" i="5"/>
  <c r="AM45" i="9"/>
  <c r="L51" i="5"/>
  <c r="T51" i="5"/>
  <c r="L47" i="5"/>
  <c r="T47" i="5"/>
  <c r="S123" i="9"/>
  <c r="AK155" i="9"/>
  <c r="S151" i="9"/>
  <c r="O154" i="9"/>
  <c r="W154" i="9"/>
  <c r="L47" i="9"/>
  <c r="T47" i="9"/>
  <c r="P119" i="9"/>
  <c r="X119" i="9"/>
  <c r="L49" i="9"/>
  <c r="L51" i="9" s="1"/>
  <c r="T49" i="9"/>
  <c r="L61" i="9"/>
  <c r="M55" i="9" s="1"/>
  <c r="T61" i="9"/>
  <c r="U55" i="9" s="1"/>
  <c r="P63" i="9"/>
  <c r="Q57" i="9" s="1"/>
  <c r="X63" i="9"/>
  <c r="Y57" i="9" s="1"/>
  <c r="L27" i="9"/>
  <c r="T27" i="9"/>
  <c r="P73" i="9"/>
  <c r="X73" i="9"/>
  <c r="P88" i="9"/>
  <c r="X88" i="9"/>
  <c r="L77" i="9"/>
  <c r="T77" i="9"/>
  <c r="P110" i="9"/>
  <c r="X110" i="9"/>
  <c r="L90" i="9"/>
  <c r="T90" i="9"/>
  <c r="AL136" i="9"/>
  <c r="AN136" i="9"/>
  <c r="R119" i="9"/>
  <c r="N61" i="9"/>
  <c r="O55" i="9" s="1"/>
  <c r="R73" i="9"/>
  <c r="V77" i="9"/>
  <c r="M51" i="5"/>
  <c r="U51" i="5"/>
  <c r="M47" i="5"/>
  <c r="U47" i="5"/>
  <c r="L123" i="9"/>
  <c r="T123" i="9"/>
  <c r="AL155" i="9"/>
  <c r="L151" i="9"/>
  <c r="L153" i="9" s="1"/>
  <c r="T151" i="9"/>
  <c r="P154" i="9"/>
  <c r="X154" i="9"/>
  <c r="M47" i="9"/>
  <c r="U47" i="9"/>
  <c r="Q119" i="9"/>
  <c r="M49" i="9"/>
  <c r="U49" i="9"/>
  <c r="M61" i="9"/>
  <c r="N55" i="9" s="1"/>
  <c r="U61" i="9"/>
  <c r="Q63" i="9"/>
  <c r="R57" i="9" s="1"/>
  <c r="Y63" i="9"/>
  <c r="Z57" i="9" s="1"/>
  <c r="M27" i="9"/>
  <c r="U27" i="9"/>
  <c r="Q73" i="9"/>
  <c r="Y73" i="9"/>
  <c r="Q88" i="9"/>
  <c r="Y88" i="9"/>
  <c r="M77" i="9"/>
  <c r="U77" i="9"/>
  <c r="Q110" i="9"/>
  <c r="Y110" i="9"/>
  <c r="M90" i="9"/>
  <c r="U90" i="9"/>
  <c r="T29" i="6"/>
  <c r="S52" i="6"/>
  <c r="X136" i="9"/>
  <c r="AP136" i="9" s="1"/>
  <c r="J51" i="9"/>
  <c r="K51" i="9"/>
  <c r="G51" i="9"/>
  <c r="F51" i="9"/>
  <c r="H51" i="9"/>
  <c r="F45" i="9"/>
  <c r="F46" i="9" s="1"/>
  <c r="F112" i="9"/>
  <c r="F116" i="9" s="1"/>
  <c r="N112" i="9"/>
  <c r="N115" i="9" s="1"/>
  <c r="V112" i="9"/>
  <c r="S132" i="9"/>
  <c r="W141" i="9"/>
  <c r="H45" i="9"/>
  <c r="H46" i="9" s="1"/>
  <c r="G45" i="9"/>
  <c r="G46" i="9" s="1"/>
  <c r="N59" i="6"/>
  <c r="N52" i="6"/>
  <c r="M58" i="6"/>
  <c r="M51" i="6"/>
  <c r="O30" i="6"/>
  <c r="O29" i="6"/>
  <c r="O194" i="6"/>
  <c r="P51" i="6"/>
  <c r="P58" i="6"/>
  <c r="P104" i="6"/>
  <c r="P59" i="6"/>
  <c r="P52" i="6"/>
  <c r="L59" i="6"/>
  <c r="L52" i="6"/>
  <c r="L51" i="6"/>
  <c r="O52" i="6"/>
  <c r="O59" i="6"/>
  <c r="L30" i="6"/>
  <c r="L194" i="6"/>
  <c r="S51" i="6"/>
  <c r="R52" i="6"/>
  <c r="Q29" i="6"/>
  <c r="Q30" i="6"/>
  <c r="J30" i="6"/>
  <c r="J194" i="6"/>
  <c r="M59" i="6"/>
  <c r="M52" i="6"/>
  <c r="N51" i="6"/>
  <c r="N58" i="6"/>
  <c r="N30" i="6"/>
  <c r="N29" i="6"/>
  <c r="N194" i="6"/>
  <c r="K30" i="6"/>
  <c r="K194" i="6"/>
  <c r="P30" i="6"/>
  <c r="P29" i="6"/>
  <c r="M30" i="6"/>
  <c r="M29" i="6"/>
  <c r="M194" i="6"/>
  <c r="O58" i="6"/>
  <c r="L58" i="6"/>
  <c r="K58" i="6"/>
  <c r="O51" i="6"/>
  <c r="G141" i="9"/>
  <c r="F60" i="9"/>
  <c r="F59" i="9" s="1"/>
  <c r="G13" i="9"/>
  <c r="L13" i="9"/>
  <c r="Q112" i="9"/>
  <c r="Q115" i="9" s="1"/>
  <c r="Y112" i="9"/>
  <c r="I132" i="9"/>
  <c r="Q132" i="9"/>
  <c r="Y132" i="9"/>
  <c r="M141" i="9"/>
  <c r="U141" i="9"/>
  <c r="L112" i="9"/>
  <c r="L115" i="9" s="1"/>
  <c r="T112" i="9"/>
  <c r="R141" i="9"/>
  <c r="W132" i="9"/>
  <c r="J60" i="9"/>
  <c r="J112" i="9"/>
  <c r="J115" i="9" s="1"/>
  <c r="R112" i="9"/>
  <c r="R115" i="9" s="1"/>
  <c r="H60" i="9"/>
  <c r="H112" i="9"/>
  <c r="H115" i="9" s="1"/>
  <c r="P112" i="9"/>
  <c r="X112" i="9"/>
  <c r="T13" i="9"/>
  <c r="M132" i="9"/>
  <c r="U132" i="9"/>
  <c r="I141" i="9"/>
  <c r="H132" i="9"/>
  <c r="X132" i="9"/>
  <c r="T141" i="9"/>
  <c r="K60" i="9"/>
  <c r="K112" i="9"/>
  <c r="K120" i="9" s="1"/>
  <c r="S112" i="9"/>
  <c r="S115" i="9" s="1"/>
  <c r="H8" i="5"/>
  <c r="U112" i="9"/>
  <c r="M112" i="9"/>
  <c r="M115" i="9" s="1"/>
  <c r="F131" i="9"/>
  <c r="V131" i="9"/>
  <c r="F157" i="9"/>
  <c r="V157" i="9"/>
  <c r="T132" i="9"/>
  <c r="H141" i="9"/>
  <c r="X141" i="9"/>
  <c r="G131" i="9"/>
  <c r="W131" i="9"/>
  <c r="S170" i="5"/>
  <c r="F59" i="10" s="1"/>
  <c r="S42" i="9"/>
  <c r="G55" i="9"/>
  <c r="G157" i="9"/>
  <c r="W157" i="9"/>
  <c r="J155" i="9"/>
  <c r="Y119" i="9"/>
  <c r="Q141" i="9"/>
  <c r="Y141" i="9"/>
  <c r="H131" i="9"/>
  <c r="P131" i="9"/>
  <c r="X131" i="9"/>
  <c r="T170" i="5"/>
  <c r="G59" i="10" s="1"/>
  <c r="T42" i="9"/>
  <c r="H55" i="9"/>
  <c r="H157" i="9"/>
  <c r="P157" i="9"/>
  <c r="X157" i="9"/>
  <c r="F132" i="9"/>
  <c r="V132" i="9"/>
  <c r="Q131" i="9"/>
  <c r="Y131" i="9"/>
  <c r="Q157" i="9"/>
  <c r="Y157" i="9"/>
  <c r="Y161" i="9" s="1"/>
  <c r="G60" i="9"/>
  <c r="G112" i="9"/>
  <c r="G120" i="9" s="1"/>
  <c r="O112" i="9"/>
  <c r="O115" i="9" s="1"/>
  <c r="W112" i="9"/>
  <c r="G132" i="9"/>
  <c r="K141" i="9"/>
  <c r="S141" i="9"/>
  <c r="R131" i="9"/>
  <c r="R157" i="9"/>
  <c r="S131" i="9"/>
  <c r="S157" i="9"/>
  <c r="S161" i="9" s="1"/>
  <c r="T131" i="9"/>
  <c r="P170" i="5"/>
  <c r="C59" i="10" s="1"/>
  <c r="P42" i="9"/>
  <c r="T157" i="9"/>
  <c r="T161" i="9" s="1"/>
  <c r="R132" i="9"/>
  <c r="V141" i="9"/>
  <c r="U131" i="9"/>
  <c r="Y170" i="5"/>
  <c r="L59" i="10" s="1"/>
  <c r="Y42" i="9"/>
  <c r="U157" i="9"/>
  <c r="U161" i="9" s="1"/>
  <c r="L141" i="9"/>
  <c r="L132" i="9"/>
  <c r="K155" i="9"/>
  <c r="N132" i="9"/>
  <c r="J141" i="9"/>
  <c r="I131" i="9"/>
  <c r="I55" i="9"/>
  <c r="I157" i="9"/>
  <c r="I146" i="9"/>
  <c r="O132" i="9"/>
  <c r="P132" i="9"/>
  <c r="J131" i="9"/>
  <c r="J55" i="9"/>
  <c r="J146" i="9"/>
  <c r="J157" i="9"/>
  <c r="K131" i="9"/>
  <c r="O170" i="5"/>
  <c r="O42" i="9"/>
  <c r="K55" i="9"/>
  <c r="K157" i="9"/>
  <c r="K146" i="9"/>
  <c r="L170" i="5"/>
  <c r="L42" i="9"/>
  <c r="I60" i="9"/>
  <c r="I112" i="9"/>
  <c r="I120" i="9" s="1"/>
  <c r="L131" i="9"/>
  <c r="L55" i="9"/>
  <c r="L157" i="9"/>
  <c r="J132" i="9"/>
  <c r="N141" i="9"/>
  <c r="M131" i="9"/>
  <c r="I170" i="5"/>
  <c r="I42" i="9"/>
  <c r="I45" i="9" s="1"/>
  <c r="I46" i="9" s="1"/>
  <c r="M157" i="9"/>
  <c r="K17" i="9"/>
  <c r="K132" i="9"/>
  <c r="P141" i="9"/>
  <c r="O141" i="9"/>
  <c r="N131" i="9"/>
  <c r="J170" i="5"/>
  <c r="J42" i="9"/>
  <c r="J45" i="9" s="1"/>
  <c r="J46" i="9" s="1"/>
  <c r="N157" i="9"/>
  <c r="I155" i="9"/>
  <c r="O131" i="9"/>
  <c r="K170" i="5"/>
  <c r="K42" i="9"/>
  <c r="K45" i="9" s="1"/>
  <c r="K46" i="9" s="1"/>
  <c r="O157" i="9"/>
  <c r="W58" i="6"/>
  <c r="X109" i="6"/>
  <c r="R139" i="9"/>
  <c r="X86" i="4"/>
  <c r="P107" i="6"/>
  <c r="P109" i="6" s="1"/>
  <c r="X81" i="4"/>
  <c r="X91" i="4"/>
  <c r="Z75" i="4"/>
  <c r="R188" i="6"/>
  <c r="AG75" i="4"/>
  <c r="Y188" i="6"/>
  <c r="AC189" i="6" s="1"/>
  <c r="Y75" i="4"/>
  <c r="Q188" i="6"/>
  <c r="AF75" i="4"/>
  <c r="X188" i="6"/>
  <c r="AB189" i="6" s="1"/>
  <c r="X75" i="4"/>
  <c r="P188" i="6"/>
  <c r="AE75" i="4"/>
  <c r="W188" i="6"/>
  <c r="AA189" i="6" s="1"/>
  <c r="AD75" i="4"/>
  <c r="V188" i="6"/>
  <c r="Z189" i="6" s="1"/>
  <c r="AC75" i="4"/>
  <c r="U188" i="6"/>
  <c r="AB75" i="4"/>
  <c r="T188" i="6"/>
  <c r="AA75" i="4"/>
  <c r="S188" i="6"/>
  <c r="Q31" i="6"/>
  <c r="W91" i="6"/>
  <c r="Y91" i="6"/>
  <c r="U94" i="6"/>
  <c r="U91" i="6"/>
  <c r="X94" i="6"/>
  <c r="AB95" i="6" s="1"/>
  <c r="X91" i="6"/>
  <c r="V91" i="6"/>
  <c r="R94" i="6"/>
  <c r="AG78" i="6"/>
  <c r="U59" i="6"/>
  <c r="S58" i="6"/>
  <c r="S31" i="6"/>
  <c r="S32" i="6" s="1"/>
  <c r="S30" i="6"/>
  <c r="Y30" i="6"/>
  <c r="Y29" i="6"/>
  <c r="W31" i="6"/>
  <c r="AA32" i="6" s="1"/>
  <c r="W30" i="6"/>
  <c r="W29" i="6"/>
  <c r="U31" i="6"/>
  <c r="U30" i="6"/>
  <c r="U29" i="6"/>
  <c r="Y31" i="6"/>
  <c r="AC32" i="6" s="1"/>
  <c r="V31" i="6"/>
  <c r="V30" i="6"/>
  <c r="V29" i="6"/>
  <c r="AE78" i="6"/>
  <c r="Q58" i="6"/>
  <c r="W59" i="6"/>
  <c r="X31" i="6"/>
  <c r="X30" i="6"/>
  <c r="X29" i="6"/>
  <c r="R31" i="6"/>
  <c r="R32" i="6" s="1"/>
  <c r="R30" i="6"/>
  <c r="T31" i="6"/>
  <c r="T30" i="6"/>
  <c r="T58" i="6"/>
  <c r="S104" i="6"/>
  <c r="S59" i="6"/>
  <c r="R104" i="6"/>
  <c r="R59" i="6"/>
  <c r="V51" i="6"/>
  <c r="V58" i="6"/>
  <c r="X51" i="6"/>
  <c r="X58" i="6"/>
  <c r="X59" i="6"/>
  <c r="T59" i="6"/>
  <c r="R58" i="6"/>
  <c r="Y59" i="6"/>
  <c r="Q104" i="6"/>
  <c r="Q59" i="6"/>
  <c r="V59" i="6"/>
  <c r="Y51" i="6"/>
  <c r="Y58" i="6"/>
  <c r="U58" i="6"/>
  <c r="X104" i="6"/>
  <c r="AB105" i="6" s="1"/>
  <c r="X52" i="6"/>
  <c r="T104" i="6"/>
  <c r="T52" i="6"/>
  <c r="Y104" i="6"/>
  <c r="Y52" i="6"/>
  <c r="V104" i="6"/>
  <c r="Z105" i="6" s="1"/>
  <c r="V52" i="6"/>
  <c r="U87" i="6"/>
  <c r="U51" i="6"/>
  <c r="T51" i="6"/>
  <c r="W104" i="6"/>
  <c r="AA105" i="6" s="1"/>
  <c r="W52" i="6"/>
  <c r="U104" i="6"/>
  <c r="U52" i="6"/>
  <c r="W87" i="6"/>
  <c r="AE87" i="6" s="1"/>
  <c r="W51" i="6"/>
  <c r="P87" i="6"/>
  <c r="R87" i="6"/>
  <c r="S87" i="6"/>
  <c r="V87" i="6"/>
  <c r="X87" i="6"/>
  <c r="AB88" i="6" s="1"/>
  <c r="Y87" i="6"/>
  <c r="Q87" i="6"/>
  <c r="T87" i="6"/>
  <c r="AH3" i="6"/>
  <c r="AH4" i="6" s="1"/>
  <c r="AI3" i="6"/>
  <c r="AI4" i="6" s="1"/>
  <c r="AE4" i="6"/>
  <c r="AL3" i="6"/>
  <c r="AM4" i="6"/>
  <c r="J161" i="5"/>
  <c r="R161" i="5"/>
  <c r="I55" i="11" s="1"/>
  <c r="Q148" i="5"/>
  <c r="H54" i="11" s="1"/>
  <c r="I161" i="5"/>
  <c r="Q161" i="5"/>
  <c r="H55" i="11" s="1"/>
  <c r="K161" i="5"/>
  <c r="S161" i="5"/>
  <c r="J55" i="11" s="1"/>
  <c r="F148" i="5"/>
  <c r="N148" i="5"/>
  <c r="D54" i="11" s="1"/>
  <c r="V148" i="5"/>
  <c r="N54" i="11" s="1"/>
  <c r="F161" i="5"/>
  <c r="N161" i="5"/>
  <c r="D55" i="11" s="1"/>
  <c r="V161" i="5"/>
  <c r="N55" i="11" s="1"/>
  <c r="Y161" i="5"/>
  <c r="R55" i="11" s="1"/>
  <c r="L8" i="5"/>
  <c r="B7" i="11" s="1"/>
  <c r="B8" i="11" s="1"/>
  <c r="B11" i="11" s="1"/>
  <c r="I22" i="5"/>
  <c r="Q22" i="5"/>
  <c r="Y22" i="5"/>
  <c r="L27" i="5"/>
  <c r="B19" i="11" s="1"/>
  <c r="T27" i="5"/>
  <c r="L19" i="11" s="1"/>
  <c r="M75" i="5"/>
  <c r="C33" i="11" s="1"/>
  <c r="U75" i="5"/>
  <c r="M33" i="11" s="1"/>
  <c r="M94" i="5"/>
  <c r="U94" i="5"/>
  <c r="I110" i="5"/>
  <c r="Q110" i="5"/>
  <c r="H49" i="11" s="1"/>
  <c r="Y110" i="5"/>
  <c r="R49" i="11" s="1"/>
  <c r="L161" i="5"/>
  <c r="B55" i="11" s="1"/>
  <c r="T161" i="5"/>
  <c r="L55" i="11" s="1"/>
  <c r="R148" i="5"/>
  <c r="I54" i="11" s="1"/>
  <c r="I94" i="5"/>
  <c r="AK8" i="5"/>
  <c r="AK11" i="5" s="1"/>
  <c r="AK14" i="5" s="1"/>
  <c r="AK5" i="9" s="1"/>
  <c r="M148" i="5"/>
  <c r="C54" i="11" s="1"/>
  <c r="U148" i="5"/>
  <c r="M54" i="11" s="1"/>
  <c r="M161" i="5"/>
  <c r="C55" i="11" s="1"/>
  <c r="U161" i="5"/>
  <c r="M55" i="11" s="1"/>
  <c r="N170" i="5"/>
  <c r="M170" i="5"/>
  <c r="H22" i="5"/>
  <c r="P22" i="5"/>
  <c r="X22" i="5"/>
  <c r="K27" i="5"/>
  <c r="S27" i="5"/>
  <c r="J19" i="11" s="1"/>
  <c r="L94" i="5"/>
  <c r="T94" i="5"/>
  <c r="H110" i="5"/>
  <c r="P110" i="5"/>
  <c r="G49" i="11" s="1"/>
  <c r="X110" i="5"/>
  <c r="Q49" i="11" s="1"/>
  <c r="U170" i="5"/>
  <c r="H59" i="10" s="1"/>
  <c r="AK22" i="5"/>
  <c r="U11" i="5"/>
  <c r="M8" i="5"/>
  <c r="C7" i="11" s="1"/>
  <c r="C8" i="11" s="1"/>
  <c r="C11" i="11" s="1"/>
  <c r="J22" i="5"/>
  <c r="R22" i="5"/>
  <c r="M27" i="5"/>
  <c r="C19" i="11" s="1"/>
  <c r="U27" i="5"/>
  <c r="M19" i="11" s="1"/>
  <c r="F75" i="5"/>
  <c r="F84" i="5" s="1"/>
  <c r="N75" i="5"/>
  <c r="D33" i="11" s="1"/>
  <c r="V75" i="5"/>
  <c r="N33" i="11" s="1"/>
  <c r="G148" i="5"/>
  <c r="O148" i="5"/>
  <c r="E54" i="11" s="1"/>
  <c r="W148" i="5"/>
  <c r="O54" i="11" s="1"/>
  <c r="G161" i="5"/>
  <c r="O161" i="5"/>
  <c r="E55" i="11" s="1"/>
  <c r="W161" i="5"/>
  <c r="O55" i="11" s="1"/>
  <c r="F170" i="5"/>
  <c r="V170" i="5"/>
  <c r="I59" i="10" s="1"/>
  <c r="V11" i="5"/>
  <c r="F8" i="5"/>
  <c r="N8" i="5"/>
  <c r="D7" i="11" s="1"/>
  <c r="D8" i="11" s="1"/>
  <c r="D11" i="11" s="1"/>
  <c r="K22" i="5"/>
  <c r="S22" i="5"/>
  <c r="N27" i="5"/>
  <c r="D19" i="11" s="1"/>
  <c r="V27" i="5"/>
  <c r="N19" i="11" s="1"/>
  <c r="H148" i="5"/>
  <c r="P148" i="5"/>
  <c r="G54" i="11" s="1"/>
  <c r="X148" i="5"/>
  <c r="Q54" i="11" s="1"/>
  <c r="H161" i="5"/>
  <c r="P161" i="5"/>
  <c r="G55" i="11" s="1"/>
  <c r="X161" i="5"/>
  <c r="Q55" i="11" s="1"/>
  <c r="G170" i="5"/>
  <c r="W170" i="5"/>
  <c r="J59" i="10" s="1"/>
  <c r="H170" i="5"/>
  <c r="X170" i="5"/>
  <c r="K59" i="10" s="1"/>
  <c r="I148" i="5"/>
  <c r="K148" i="5"/>
  <c r="L148" i="5"/>
  <c r="B54" i="11" s="1"/>
  <c r="T148" i="5"/>
  <c r="L54" i="11" s="1"/>
  <c r="Y148" i="5"/>
  <c r="R54" i="11" s="1"/>
  <c r="J148" i="5"/>
  <c r="Q170" i="5"/>
  <c r="D59" i="10" s="1"/>
  <c r="R170" i="5"/>
  <c r="E59" i="10" s="1"/>
  <c r="S148" i="5"/>
  <c r="J54" i="11" s="1"/>
  <c r="G8" i="5"/>
  <c r="O8" i="5"/>
  <c r="E7" i="11" s="1"/>
  <c r="E8" i="11" s="1"/>
  <c r="E11" i="11" s="1"/>
  <c r="L22" i="5"/>
  <c r="T22" i="5"/>
  <c r="O27" i="5"/>
  <c r="E19" i="11" s="1"/>
  <c r="W27" i="5"/>
  <c r="O19" i="11" s="1"/>
  <c r="J75" i="5"/>
  <c r="J84" i="5" s="1"/>
  <c r="R75" i="5"/>
  <c r="I33" i="11" s="1"/>
  <c r="J94" i="5"/>
  <c r="R94" i="5"/>
  <c r="F110" i="5"/>
  <c r="N110" i="5"/>
  <c r="D49" i="11" s="1"/>
  <c r="V110" i="5"/>
  <c r="N49" i="11" s="1"/>
  <c r="G22" i="5"/>
  <c r="O22" i="5"/>
  <c r="W22" i="5"/>
  <c r="K75" i="5"/>
  <c r="K84" i="5" s="1"/>
  <c r="S75" i="5"/>
  <c r="J33" i="11" s="1"/>
  <c r="K94" i="5"/>
  <c r="S94" i="5"/>
  <c r="G94" i="5"/>
  <c r="O94" i="5"/>
  <c r="G110" i="5"/>
  <c r="O110" i="5"/>
  <c r="E49" i="11" s="1"/>
  <c r="W110" i="5"/>
  <c r="O49" i="11" s="1"/>
  <c r="K110" i="5"/>
  <c r="T11" i="5"/>
  <c r="T14" i="5" s="1"/>
  <c r="G7" i="10" s="1"/>
  <c r="L110" i="5"/>
  <c r="B49" i="11" s="1"/>
  <c r="T110" i="5"/>
  <c r="L49" i="11" s="1"/>
  <c r="F14" i="5"/>
  <c r="F5" i="9" s="1"/>
  <c r="F36" i="9" s="1"/>
  <c r="AL8" i="5"/>
  <c r="AL11" i="5" s="1"/>
  <c r="AL14" i="5" s="1"/>
  <c r="C15" i="17" s="1"/>
  <c r="AL22" i="5"/>
  <c r="G14" i="5"/>
  <c r="G5" i="9" s="1"/>
  <c r="G36" i="9" s="1"/>
  <c r="H14" i="5"/>
  <c r="H5" i="9" s="1"/>
  <c r="H36" i="9" s="1"/>
  <c r="P11" i="5"/>
  <c r="X11" i="5"/>
  <c r="M22" i="5"/>
  <c r="U22" i="5"/>
  <c r="P27" i="5"/>
  <c r="G19" i="11" s="1"/>
  <c r="X27" i="5"/>
  <c r="Q19" i="11" s="1"/>
  <c r="F94" i="5"/>
  <c r="J110" i="5"/>
  <c r="R110" i="5"/>
  <c r="I49" i="11" s="1"/>
  <c r="W94" i="5"/>
  <c r="S110" i="5"/>
  <c r="J49" i="11" s="1"/>
  <c r="AM8" i="5"/>
  <c r="F7" i="11" s="1"/>
  <c r="F8" i="11" s="1"/>
  <c r="F11" i="11" s="1"/>
  <c r="AM22" i="5"/>
  <c r="W11" i="5"/>
  <c r="J102" i="5"/>
  <c r="R102" i="5"/>
  <c r="F102" i="5"/>
  <c r="N102" i="5"/>
  <c r="AK27" i="5"/>
  <c r="F22" i="5"/>
  <c r="I27" i="5"/>
  <c r="H75" i="5"/>
  <c r="H84" i="5" s="1"/>
  <c r="T102" i="5"/>
  <c r="P102" i="5"/>
  <c r="R11" i="5"/>
  <c r="J8" i="5"/>
  <c r="J11" i="5" s="1"/>
  <c r="J14" i="5" s="1"/>
  <c r="J5" i="9" s="1"/>
  <c r="J36" i="9" s="1"/>
  <c r="J27" i="5"/>
  <c r="R27" i="5"/>
  <c r="I19" i="11" s="1"/>
  <c r="I75" i="5"/>
  <c r="I84" i="5" s="1"/>
  <c r="Q75" i="5"/>
  <c r="H33" i="11" s="1"/>
  <c r="Y75" i="5"/>
  <c r="R33" i="11" s="1"/>
  <c r="M102" i="5"/>
  <c r="U102" i="5"/>
  <c r="I102" i="5"/>
  <c r="Q102" i="5"/>
  <c r="M110" i="5"/>
  <c r="C49" i="11" s="1"/>
  <c r="U110" i="5"/>
  <c r="M49" i="11" s="1"/>
  <c r="Q11" i="5"/>
  <c r="I8" i="5"/>
  <c r="I11" i="5" s="1"/>
  <c r="I14" i="5" s="1"/>
  <c r="V22" i="5"/>
  <c r="Q27" i="5"/>
  <c r="H19" i="11" s="1"/>
  <c r="P75" i="5"/>
  <c r="G33" i="11" s="1"/>
  <c r="L102" i="5"/>
  <c r="H102" i="5"/>
  <c r="S11" i="5"/>
  <c r="K8" i="5"/>
  <c r="K11" i="5" s="1"/>
  <c r="K14" i="5" s="1"/>
  <c r="K5" i="9" s="1"/>
  <c r="K36" i="9" s="1"/>
  <c r="Y11" i="5"/>
  <c r="N22" i="5"/>
  <c r="Y27" i="5"/>
  <c r="R19" i="11" s="1"/>
  <c r="X75" i="5"/>
  <c r="Q33" i="11" s="1"/>
  <c r="X102" i="5"/>
  <c r="N94" i="5"/>
  <c r="V94" i="5"/>
  <c r="L75" i="5"/>
  <c r="B33" i="11" s="1"/>
  <c r="T75" i="5"/>
  <c r="L33" i="11" s="1"/>
  <c r="H94" i="5"/>
  <c r="P94" i="5"/>
  <c r="X94" i="5"/>
  <c r="Q94" i="5"/>
  <c r="Y94" i="5"/>
  <c r="V102" i="5"/>
  <c r="G75" i="5"/>
  <c r="G84" i="5" s="1"/>
  <c r="O75" i="5"/>
  <c r="E33" i="11" s="1"/>
  <c r="W75" i="5"/>
  <c r="O33" i="11" s="1"/>
  <c r="K102" i="5"/>
  <c r="S102" i="5"/>
  <c r="G102" i="5"/>
  <c r="O102" i="5"/>
  <c r="W102" i="5"/>
  <c r="Y102" i="5"/>
  <c r="AK3" i="5"/>
  <c r="AM4" i="5"/>
  <c r="AL3" i="5"/>
  <c r="X119" i="4"/>
  <c r="AF119" i="4"/>
  <c r="Y119" i="4"/>
  <c r="AG119" i="4"/>
  <c r="AD119" i="4"/>
  <c r="AA109" i="4"/>
  <c r="AE119" i="4"/>
  <c r="Z119" i="4"/>
  <c r="AB119" i="4"/>
  <c r="AC119" i="4"/>
  <c r="AA119" i="4"/>
  <c r="Q27" i="2"/>
  <c r="P27" i="2"/>
  <c r="N25" i="2"/>
  <c r="G25" i="5" s="1"/>
  <c r="O25" i="2"/>
  <c r="M25" i="2"/>
  <c r="Q22" i="2"/>
  <c r="P22" i="2"/>
  <c r="O22" i="2"/>
  <c r="N22" i="2"/>
  <c r="M22" i="2"/>
  <c r="Q14" i="2"/>
  <c r="R76" i="4" s="1"/>
  <c r="R94" i="4" s="1"/>
  <c r="P14" i="2"/>
  <c r="Q76" i="4" s="1"/>
  <c r="Q94" i="4" s="1"/>
  <c r="O14" i="2"/>
  <c r="P76" i="4" s="1"/>
  <c r="N14" i="2"/>
  <c r="M14" i="2"/>
  <c r="U70" i="9" l="1"/>
  <c r="S17" i="9"/>
  <c r="H70" i="9"/>
  <c r="J17" i="9"/>
  <c r="O17" i="9"/>
  <c r="P69" i="9"/>
  <c r="Q17" i="9"/>
  <c r="K69" i="9"/>
  <c r="V14" i="9"/>
  <c r="I17" i="9"/>
  <c r="R69" i="9"/>
  <c r="J69" i="9"/>
  <c r="W69" i="9"/>
  <c r="U17" i="9"/>
  <c r="V69" i="9"/>
  <c r="T69" i="9"/>
  <c r="Y14" i="9"/>
  <c r="Y17" i="9"/>
  <c r="I69" i="9"/>
  <c r="L69" i="9"/>
  <c r="X14" i="9"/>
  <c r="Y69" i="9"/>
  <c r="L40" i="11"/>
  <c r="C40" i="11"/>
  <c r="F91" i="9"/>
  <c r="G93" i="9" s="1"/>
  <c r="H18" i="11"/>
  <c r="H20" i="11" s="1"/>
  <c r="H22" i="11" s="1"/>
  <c r="R18" i="11"/>
  <c r="R20" i="11" s="1"/>
  <c r="R22" i="11" s="1"/>
  <c r="B18" i="11"/>
  <c r="B20" i="11" s="1"/>
  <c r="B22" i="11" s="1"/>
  <c r="O69" i="9"/>
  <c r="N40" i="11"/>
  <c r="D40" i="11"/>
  <c r="H40" i="11"/>
  <c r="J40" i="11"/>
  <c r="E40" i="11"/>
  <c r="D18" i="11"/>
  <c r="D20" i="11" s="1"/>
  <c r="D22" i="11" s="1"/>
  <c r="AA33" i="6"/>
  <c r="AD32" i="6"/>
  <c r="Z132" i="6"/>
  <c r="Z134" i="6" s="1"/>
  <c r="AD130" i="6"/>
  <c r="AD132" i="6" s="1"/>
  <c r="AD134" i="6" s="1"/>
  <c r="AD135" i="6" s="1"/>
  <c r="AH87" i="6"/>
  <c r="AD88" i="6"/>
  <c r="Z69" i="6"/>
  <c r="AD70" i="6" s="1"/>
  <c r="AD68" i="6"/>
  <c r="Y70" i="6"/>
  <c r="T96" i="6"/>
  <c r="T68" i="6"/>
  <c r="O44" i="11"/>
  <c r="G69" i="9"/>
  <c r="O40" i="11"/>
  <c r="R40" i="11"/>
  <c r="N14" i="9"/>
  <c r="I18" i="11"/>
  <c r="I20" i="11" s="1"/>
  <c r="I22" i="11" s="1"/>
  <c r="F18" i="11"/>
  <c r="B40" i="11"/>
  <c r="J18" i="11"/>
  <c r="J20" i="11" s="1"/>
  <c r="J22" i="11" s="1"/>
  <c r="P17" i="9"/>
  <c r="G40" i="11"/>
  <c r="E18" i="11"/>
  <c r="E20" i="11" s="1"/>
  <c r="E22" i="11" s="1"/>
  <c r="Q69" i="9"/>
  <c r="L18" i="11"/>
  <c r="L20" i="11" s="1"/>
  <c r="L22" i="11" s="1"/>
  <c r="I40" i="11"/>
  <c r="Q40" i="11"/>
  <c r="W9" i="14"/>
  <c r="O48" i="11"/>
  <c r="H91" i="9"/>
  <c r="I93" i="9" s="1"/>
  <c r="D48" i="11"/>
  <c r="M44" i="11"/>
  <c r="L44" i="11"/>
  <c r="M18" i="11"/>
  <c r="M20" i="11" s="1"/>
  <c r="M22" i="11" s="1"/>
  <c r="M40" i="11"/>
  <c r="R81" i="9"/>
  <c r="P81" i="9"/>
  <c r="Q48" i="11"/>
  <c r="N18" i="11"/>
  <c r="N20" i="11" s="1"/>
  <c r="N22" i="11" s="1"/>
  <c r="E44" i="11"/>
  <c r="K91" i="9"/>
  <c r="L93" i="9" s="1"/>
  <c r="O18" i="11"/>
  <c r="O20" i="11" s="1"/>
  <c r="O22" i="11" s="1"/>
  <c r="R48" i="11"/>
  <c r="H48" i="11"/>
  <c r="C44" i="11"/>
  <c r="C18" i="11"/>
  <c r="C20" i="11" s="1"/>
  <c r="C22" i="11" s="1"/>
  <c r="C48" i="11"/>
  <c r="R44" i="11"/>
  <c r="I44" i="11"/>
  <c r="R17" i="9"/>
  <c r="P70" i="6"/>
  <c r="I48" i="11"/>
  <c r="S69" i="9"/>
  <c r="H44" i="11"/>
  <c r="N48" i="11"/>
  <c r="B48" i="11"/>
  <c r="L48" i="11"/>
  <c r="Q44" i="11"/>
  <c r="E48" i="11"/>
  <c r="M48" i="11"/>
  <c r="J48" i="11"/>
  <c r="Q18" i="11"/>
  <c r="Q20" i="11" s="1"/>
  <c r="Q22" i="11" s="1"/>
  <c r="D44" i="11"/>
  <c r="J83" i="9"/>
  <c r="J44" i="11"/>
  <c r="G44" i="11"/>
  <c r="W14" i="9"/>
  <c r="G48" i="11"/>
  <c r="B44" i="11"/>
  <c r="N44" i="11"/>
  <c r="G18" i="11"/>
  <c r="G20" i="11" s="1"/>
  <c r="G22" i="11" s="1"/>
  <c r="W128" i="6"/>
  <c r="J128" i="6"/>
  <c r="K128" i="6"/>
  <c r="W127" i="6"/>
  <c r="T127" i="6"/>
  <c r="I127" i="6"/>
  <c r="O127" i="6"/>
  <c r="U128" i="6"/>
  <c r="I128" i="6"/>
  <c r="N128" i="6"/>
  <c r="H83" i="9"/>
  <c r="I59" i="9"/>
  <c r="X69" i="9"/>
  <c r="M17" i="9"/>
  <c r="U70" i="6"/>
  <c r="Y68" i="6"/>
  <c r="K127" i="6"/>
  <c r="O128" i="6"/>
  <c r="P128" i="6"/>
  <c r="AL175" i="6"/>
  <c r="P68" i="6"/>
  <c r="X98" i="6"/>
  <c r="Z68" i="6"/>
  <c r="K130" i="6"/>
  <c r="O130" i="6" s="1"/>
  <c r="S130" i="6" s="1"/>
  <c r="W130" i="6" s="1"/>
  <c r="AA130" i="6" s="1"/>
  <c r="AA132" i="6" s="1"/>
  <c r="AA134" i="6" s="1"/>
  <c r="AA135" i="6" s="1"/>
  <c r="F78" i="9"/>
  <c r="F75" i="9" s="1"/>
  <c r="Q128" i="6"/>
  <c r="N127" i="6"/>
  <c r="M127" i="6"/>
  <c r="H128" i="6"/>
  <c r="J127" i="6"/>
  <c r="F128" i="6"/>
  <c r="X69" i="6"/>
  <c r="AB68" i="6"/>
  <c r="W69" i="6"/>
  <c r="AA68" i="6"/>
  <c r="W95" i="6"/>
  <c r="AA95" i="6"/>
  <c r="M96" i="6"/>
  <c r="AK175" i="6"/>
  <c r="Y98" i="6"/>
  <c r="AC98" i="6"/>
  <c r="AA88" i="6"/>
  <c r="Z96" i="6"/>
  <c r="AC95" i="6"/>
  <c r="G128" i="6"/>
  <c r="W83" i="9"/>
  <c r="G59" i="9"/>
  <c r="AK59" i="9" s="1"/>
  <c r="Q127" i="6"/>
  <c r="S127" i="6"/>
  <c r="S128" i="6"/>
  <c r="R153" i="9"/>
  <c r="V127" i="6"/>
  <c r="X127" i="6"/>
  <c r="AB127" i="6"/>
  <c r="R127" i="6"/>
  <c r="AB32" i="6"/>
  <c r="M68" i="6"/>
  <c r="R128" i="6"/>
  <c r="U127" i="6"/>
  <c r="AP157" i="9"/>
  <c r="V128" i="6"/>
  <c r="T128" i="6"/>
  <c r="AF4" i="5"/>
  <c r="L127" i="6"/>
  <c r="L128" i="6"/>
  <c r="P127" i="6"/>
  <c r="M128" i="6"/>
  <c r="Z127" i="6"/>
  <c r="X128" i="6"/>
  <c r="Y128" i="6"/>
  <c r="Y127" i="6"/>
  <c r="AE98" i="5"/>
  <c r="AF98" i="5" s="1"/>
  <c r="AG98" i="5" s="1"/>
  <c r="AH98" i="5" s="1"/>
  <c r="AI98" i="5" s="1"/>
  <c r="V153" i="9"/>
  <c r="T153" i="9"/>
  <c r="G83" i="9"/>
  <c r="R9" i="14"/>
  <c r="P95" i="6"/>
  <c r="J96" i="6"/>
  <c r="N153" i="9"/>
  <c r="O152" i="9"/>
  <c r="O153" i="9"/>
  <c r="W153" i="9"/>
  <c r="K59" i="9"/>
  <c r="S14" i="5"/>
  <c r="F7" i="10" s="1"/>
  <c r="F11" i="10"/>
  <c r="U14" i="5"/>
  <c r="H7" i="10" s="1"/>
  <c r="H11" i="10"/>
  <c r="R146" i="9"/>
  <c r="U146" i="9"/>
  <c r="U153" i="9"/>
  <c r="Y14" i="5"/>
  <c r="L7" i="10" s="1"/>
  <c r="L11" i="10"/>
  <c r="V14" i="5"/>
  <c r="I7" i="10" s="1"/>
  <c r="I11" i="10"/>
  <c r="X153" i="9"/>
  <c r="S153" i="9"/>
  <c r="M146" i="9"/>
  <c r="M153" i="9"/>
  <c r="Y153" i="9"/>
  <c r="Z153" i="9"/>
  <c r="P153" i="9"/>
  <c r="W14" i="5"/>
  <c r="J7" i="10" s="1"/>
  <c r="J11" i="10"/>
  <c r="X14" i="5"/>
  <c r="K7" i="10" s="1"/>
  <c r="K11" i="10"/>
  <c r="W146" i="9"/>
  <c r="Q14" i="5"/>
  <c r="D7" i="10" s="1"/>
  <c r="D11" i="10"/>
  <c r="R14" i="5"/>
  <c r="E7" i="10" s="1"/>
  <c r="E11" i="10"/>
  <c r="P14" i="5"/>
  <c r="C7" i="10" s="1"/>
  <c r="C11" i="10"/>
  <c r="T41" i="5"/>
  <c r="G11" i="10"/>
  <c r="Q146" i="9"/>
  <c r="Q153" i="9"/>
  <c r="N69" i="9"/>
  <c r="X146" i="9"/>
  <c r="Y146" i="9"/>
  <c r="G78" i="9"/>
  <c r="G75" i="9" s="1"/>
  <c r="H59" i="9"/>
  <c r="J59" i="9"/>
  <c r="H81" i="9"/>
  <c r="U78" i="9"/>
  <c r="U75" i="9" s="1"/>
  <c r="Y81" i="9"/>
  <c r="W152" i="9"/>
  <c r="G81" i="9"/>
  <c r="P78" i="9"/>
  <c r="P75" i="9" s="1"/>
  <c r="S83" i="9"/>
  <c r="X162" i="9"/>
  <c r="O146" i="9"/>
  <c r="V162" i="9"/>
  <c r="R162" i="9"/>
  <c r="R161" i="9"/>
  <c r="U162" i="9"/>
  <c r="S162" i="9"/>
  <c r="W162" i="9"/>
  <c r="V161" i="9"/>
  <c r="W161" i="9"/>
  <c r="T162" i="9"/>
  <c r="Y162" i="9"/>
  <c r="X161" i="9"/>
  <c r="Q98" i="6"/>
  <c r="O70" i="6"/>
  <c r="P32" i="6"/>
  <c r="T32" i="6"/>
  <c r="W96" i="6"/>
  <c r="R95" i="6"/>
  <c r="N70" i="6"/>
  <c r="V70" i="6"/>
  <c r="N98" i="6"/>
  <c r="N96" i="6"/>
  <c r="T98" i="6"/>
  <c r="M95" i="6"/>
  <c r="M9" i="14"/>
  <c r="L9" i="14"/>
  <c r="N83" i="9"/>
  <c r="Q78" i="9"/>
  <c r="Q75" i="9" s="1"/>
  <c r="U83" i="9"/>
  <c r="Q83" i="9"/>
  <c r="P83" i="9"/>
  <c r="I91" i="9"/>
  <c r="J93" i="9" s="1"/>
  <c r="Z33" i="6"/>
  <c r="Z32" i="6"/>
  <c r="Z122" i="6"/>
  <c r="V98" i="6"/>
  <c r="Z98" i="6"/>
  <c r="AK132" i="6"/>
  <c r="AK134" i="6"/>
  <c r="Z88" i="6"/>
  <c r="O78" i="9"/>
  <c r="O75" i="9" s="1"/>
  <c r="V146" i="9"/>
  <c r="Z152" i="9"/>
  <c r="G91" i="9"/>
  <c r="H93" i="9" s="1"/>
  <c r="Z83" i="9"/>
  <c r="Z81" i="9"/>
  <c r="V70" i="9"/>
  <c r="H78" i="9"/>
  <c r="H75" i="9" s="1"/>
  <c r="J78" i="9"/>
  <c r="J75" i="9" s="1"/>
  <c r="J91" i="9"/>
  <c r="K93" i="9" s="1"/>
  <c r="Y115" i="9"/>
  <c r="Z116" i="9"/>
  <c r="K24" i="8"/>
  <c r="L24" i="8"/>
  <c r="J24" i="8"/>
  <c r="O9" i="14"/>
  <c r="N9" i="14"/>
  <c r="T9" i="14"/>
  <c r="K9" i="14"/>
  <c r="V9" i="14"/>
  <c r="S9" i="14"/>
  <c r="Q96" i="6"/>
  <c r="W98" i="6"/>
  <c r="Q9" i="14"/>
  <c r="P9" i="14"/>
  <c r="U105" i="6"/>
  <c r="K96" i="6"/>
  <c r="T95" i="6"/>
  <c r="L81" i="9"/>
  <c r="X83" i="9"/>
  <c r="U9" i="14"/>
  <c r="E9" i="14"/>
  <c r="J9" i="14"/>
  <c r="X51" i="9"/>
  <c r="Q70" i="9"/>
  <c r="H9" i="14"/>
  <c r="O81" i="9"/>
  <c r="I78" i="9"/>
  <c r="I75" i="9" s="1"/>
  <c r="N70" i="9"/>
  <c r="K83" i="9"/>
  <c r="K81" i="9"/>
  <c r="AH14" i="11"/>
  <c r="I83" i="9"/>
  <c r="J81" i="9"/>
  <c r="K78" i="9"/>
  <c r="K75" i="9" s="1"/>
  <c r="O155" i="9"/>
  <c r="N91" i="9"/>
  <c r="O93" i="9" s="1"/>
  <c r="T83" i="9"/>
  <c r="D9" i="14"/>
  <c r="P70" i="9"/>
  <c r="G9" i="14"/>
  <c r="I81" i="9"/>
  <c r="L83" i="9"/>
  <c r="W91" i="9"/>
  <c r="X93" i="9" s="1"/>
  <c r="Q41" i="5"/>
  <c r="F9" i="14"/>
  <c r="M81" i="9"/>
  <c r="T70" i="9"/>
  <c r="AH13" i="11"/>
  <c r="I9" i="14"/>
  <c r="AG130" i="6"/>
  <c r="P96" i="6"/>
  <c r="O95" i="6"/>
  <c r="S95" i="6"/>
  <c r="U98" i="6"/>
  <c r="N95" i="6"/>
  <c r="O96" i="6"/>
  <c r="S70" i="6"/>
  <c r="Q95" i="6"/>
  <c r="R98" i="6"/>
  <c r="M98" i="6"/>
  <c r="O98" i="6"/>
  <c r="S98" i="6"/>
  <c r="P98" i="6"/>
  <c r="L96" i="6"/>
  <c r="R91" i="9"/>
  <c r="R89" i="9" s="1"/>
  <c r="W41" i="5"/>
  <c r="R41" i="5"/>
  <c r="M69" i="9"/>
  <c r="I70" i="9"/>
  <c r="X41" i="5"/>
  <c r="V41" i="5"/>
  <c r="L70" i="9"/>
  <c r="R70" i="9"/>
  <c r="I41" i="5"/>
  <c r="X70" i="9"/>
  <c r="AK41" i="5"/>
  <c r="J70" i="9"/>
  <c r="J41" i="5"/>
  <c r="P41" i="5"/>
  <c r="T120" i="9"/>
  <c r="M91" i="9"/>
  <c r="N93" i="9" s="1"/>
  <c r="Q60" i="9"/>
  <c r="Q62" i="9" s="1"/>
  <c r="F70" i="9"/>
  <c r="T91" i="9"/>
  <c r="U93" i="9" s="1"/>
  <c r="X60" i="9"/>
  <c r="W70" i="9"/>
  <c r="U41" i="5"/>
  <c r="S41" i="5"/>
  <c r="O70" i="9"/>
  <c r="S70" i="9"/>
  <c r="Y65" i="9"/>
  <c r="Y41" i="5"/>
  <c r="AL41" i="5"/>
  <c r="M70" i="9"/>
  <c r="H69" i="9"/>
  <c r="K70" i="9"/>
  <c r="K41" i="5"/>
  <c r="U69" i="9"/>
  <c r="G70" i="9"/>
  <c r="T105" i="6"/>
  <c r="W105" i="6"/>
  <c r="X105" i="6"/>
  <c r="V105" i="6"/>
  <c r="Y105" i="6"/>
  <c r="T70" i="6"/>
  <c r="R70" i="6"/>
  <c r="Q70" i="6"/>
  <c r="AL40" i="6"/>
  <c r="V152" i="9"/>
  <c r="V155" i="9"/>
  <c r="V51" i="9"/>
  <c r="R51" i="9"/>
  <c r="T14" i="9"/>
  <c r="L14" i="9"/>
  <c r="T81" i="9"/>
  <c r="X78" i="9"/>
  <c r="X75" i="9" s="1"/>
  <c r="Y45" i="9"/>
  <c r="Y46" i="9" s="1"/>
  <c r="Y83" i="9"/>
  <c r="X152" i="9"/>
  <c r="U45" i="9"/>
  <c r="U46" i="9" s="1"/>
  <c r="S152" i="9"/>
  <c r="S146" i="9"/>
  <c r="L155" i="9"/>
  <c r="Y91" i="9"/>
  <c r="Y50" i="9" s="1"/>
  <c r="U60" i="9"/>
  <c r="T146" i="9"/>
  <c r="T155" i="9"/>
  <c r="L91" i="9"/>
  <c r="M93" i="9" s="1"/>
  <c r="P60" i="9"/>
  <c r="S60" i="9"/>
  <c r="T45" i="9"/>
  <c r="T46" i="9" s="1"/>
  <c r="W155" i="9"/>
  <c r="X45" i="9"/>
  <c r="X46" i="9" s="1"/>
  <c r="V60" i="9"/>
  <c r="V45" i="9"/>
  <c r="V46" i="9" s="1"/>
  <c r="O60" i="9"/>
  <c r="N155" i="9"/>
  <c r="V91" i="9"/>
  <c r="W93" i="9" s="1"/>
  <c r="N51" i="9"/>
  <c r="S155" i="9"/>
  <c r="V78" i="9"/>
  <c r="V75" i="9" s="1"/>
  <c r="X155" i="9"/>
  <c r="R83" i="9"/>
  <c r="R45" i="9"/>
  <c r="R46" i="9" s="1"/>
  <c r="Q91" i="9"/>
  <c r="R93" i="9" s="1"/>
  <c r="X91" i="9"/>
  <c r="Y93" i="9" s="1"/>
  <c r="W51" i="9"/>
  <c r="W45" i="9"/>
  <c r="W46" i="9" s="1"/>
  <c r="M78" i="9"/>
  <c r="M75" i="9" s="1"/>
  <c r="N146" i="9"/>
  <c r="N152" i="9"/>
  <c r="O45" i="9"/>
  <c r="O46" i="9" s="1"/>
  <c r="N45" i="9"/>
  <c r="N46" i="9" s="1"/>
  <c r="P55" i="9"/>
  <c r="W78" i="9"/>
  <c r="W75" i="9" s="1"/>
  <c r="R152" i="9"/>
  <c r="T78" i="9"/>
  <c r="T75" i="9" s="1"/>
  <c r="O91" i="9"/>
  <c r="P93" i="9" s="1"/>
  <c r="O51" i="9"/>
  <c r="R155" i="9"/>
  <c r="V120" i="9"/>
  <c r="X81" i="9"/>
  <c r="V81" i="9"/>
  <c r="N60" i="9"/>
  <c r="U81" i="9"/>
  <c r="U155" i="9"/>
  <c r="S45" i="9"/>
  <c r="S46" i="9" s="1"/>
  <c r="Q155" i="9"/>
  <c r="M60" i="9"/>
  <c r="U152" i="9"/>
  <c r="R60" i="9"/>
  <c r="R78" i="9"/>
  <c r="R75" i="9" s="1"/>
  <c r="S81" i="9"/>
  <c r="S91" i="9"/>
  <c r="T93" i="9" s="1"/>
  <c r="T51" i="9"/>
  <c r="U91" i="9"/>
  <c r="V93" i="9" s="1"/>
  <c r="Y60" i="9"/>
  <c r="P155" i="9"/>
  <c r="L78" i="9"/>
  <c r="L75" i="9" s="1"/>
  <c r="Q51" i="9"/>
  <c r="Q45" i="9"/>
  <c r="Q46" i="9" s="1"/>
  <c r="P45" i="9"/>
  <c r="P46" i="9" s="1"/>
  <c r="N78" i="9"/>
  <c r="N75" i="9" s="1"/>
  <c r="P51" i="9"/>
  <c r="M83" i="9"/>
  <c r="V83" i="9"/>
  <c r="U120" i="9"/>
  <c r="Q81" i="9"/>
  <c r="S78" i="9"/>
  <c r="S75" i="9" s="1"/>
  <c r="T152" i="9"/>
  <c r="P91" i="9"/>
  <c r="Q93" i="9" s="1"/>
  <c r="L60" i="9"/>
  <c r="L59" i="9" s="1"/>
  <c r="L45" i="9"/>
  <c r="L46" i="9" s="1"/>
  <c r="AN157" i="9"/>
  <c r="O83" i="9"/>
  <c r="P146" i="9"/>
  <c r="Y51" i="9"/>
  <c r="AO157" i="9"/>
  <c r="T5" i="9"/>
  <c r="T36" i="9" s="1"/>
  <c r="AM11" i="5"/>
  <c r="V84" i="5"/>
  <c r="W60" i="9"/>
  <c r="V55" i="9"/>
  <c r="M45" i="9"/>
  <c r="M46" i="9" s="1"/>
  <c r="U51" i="9"/>
  <c r="M51" i="9"/>
  <c r="AH3" i="5"/>
  <c r="AH4" i="5" s="1"/>
  <c r="X6" i="14"/>
  <c r="T60" i="9"/>
  <c r="N81" i="9"/>
  <c r="AH16" i="11"/>
  <c r="M11" i="5"/>
  <c r="N84" i="5"/>
  <c r="X84" i="5"/>
  <c r="P84" i="5"/>
  <c r="AM157" i="9"/>
  <c r="Y152" i="9"/>
  <c r="AL157" i="9"/>
  <c r="Y155" i="9"/>
  <c r="X120" i="9"/>
  <c r="AF120" i="9" s="1"/>
  <c r="W84" i="5"/>
  <c r="P152" i="9"/>
  <c r="L146" i="9"/>
  <c r="P120" i="9"/>
  <c r="W81" i="9"/>
  <c r="AI3" i="5"/>
  <c r="AI4" i="5" s="1"/>
  <c r="AE4" i="5"/>
  <c r="S51" i="9"/>
  <c r="AL5" i="9"/>
  <c r="C15" i="7"/>
  <c r="O84" i="5"/>
  <c r="T84" i="5"/>
  <c r="S84" i="5"/>
  <c r="O11" i="5"/>
  <c r="L11" i="5"/>
  <c r="M155" i="9"/>
  <c r="L84" i="5"/>
  <c r="Y84" i="5"/>
  <c r="N11" i="5"/>
  <c r="U84" i="5"/>
  <c r="Q152" i="9"/>
  <c r="AM155" i="9"/>
  <c r="AH17" i="11"/>
  <c r="F159" i="9"/>
  <c r="G159" i="9" s="1"/>
  <c r="H159" i="9" s="1"/>
  <c r="I159" i="9" s="1"/>
  <c r="J159" i="9" s="1"/>
  <c r="K159" i="9" s="1"/>
  <c r="L159" i="9" s="1"/>
  <c r="M159" i="9" s="1"/>
  <c r="N159" i="9" s="1"/>
  <c r="O159" i="9" s="1"/>
  <c r="P159" i="9" s="1"/>
  <c r="Q159" i="9" s="1"/>
  <c r="R159" i="9" s="1"/>
  <c r="S159" i="9" s="1"/>
  <c r="T159" i="9" s="1"/>
  <c r="U159" i="9" s="1"/>
  <c r="V159" i="9" s="1"/>
  <c r="W159" i="9" s="1"/>
  <c r="X159" i="9" s="1"/>
  <c r="Y159" i="9" s="1"/>
  <c r="Z159" i="9" s="1"/>
  <c r="AA159" i="9" s="1"/>
  <c r="AB159" i="9" s="1"/>
  <c r="AK157" i="9"/>
  <c r="Q84" i="5"/>
  <c r="R84" i="5"/>
  <c r="M84" i="5"/>
  <c r="M152" i="9"/>
  <c r="Y78" i="9"/>
  <c r="Y75" i="9" s="1"/>
  <c r="AH21" i="11"/>
  <c r="N120" i="9"/>
  <c r="V115" i="9"/>
  <c r="F120" i="9"/>
  <c r="F115" i="9"/>
  <c r="W116" i="9"/>
  <c r="T115" i="9"/>
  <c r="R120" i="9"/>
  <c r="H62" i="9"/>
  <c r="Q120" i="9"/>
  <c r="H120" i="9"/>
  <c r="W120" i="9"/>
  <c r="AI120" i="9" s="1"/>
  <c r="L120" i="9"/>
  <c r="M120" i="9"/>
  <c r="O120" i="9"/>
  <c r="F62" i="9"/>
  <c r="S120" i="9"/>
  <c r="J120" i="9"/>
  <c r="K62" i="9"/>
  <c r="J62" i="9"/>
  <c r="Y120" i="9"/>
  <c r="G17" i="9"/>
  <c r="T116" i="9"/>
  <c r="AK36" i="6"/>
  <c r="AK37" i="6"/>
  <c r="AK38" i="6"/>
  <c r="AK169" i="6"/>
  <c r="AK28" i="6"/>
  <c r="AK176" i="6"/>
  <c r="AK62" i="6"/>
  <c r="AK87" i="6"/>
  <c r="AK101" i="6"/>
  <c r="AK94" i="6"/>
  <c r="AK77" i="6"/>
  <c r="AL176" i="6"/>
  <c r="AL28" i="6"/>
  <c r="AL87" i="6"/>
  <c r="AL31" i="6"/>
  <c r="AL169" i="6"/>
  <c r="AL92" i="6"/>
  <c r="AL101" i="6"/>
  <c r="AL77" i="6"/>
  <c r="AL37" i="6"/>
  <c r="AL38" i="6"/>
  <c r="AL62" i="6"/>
  <c r="AL69" i="6" s="1"/>
  <c r="AL36" i="6"/>
  <c r="AK31" i="6"/>
  <c r="AK40" i="6"/>
  <c r="Q32" i="6"/>
  <c r="Q33" i="6"/>
  <c r="AL94" i="6"/>
  <c r="AK92" i="6"/>
  <c r="Y116" i="9"/>
  <c r="R116" i="9"/>
  <c r="Q116" i="9"/>
  <c r="L17" i="9"/>
  <c r="N116" i="9"/>
  <c r="U116" i="9"/>
  <c r="I116" i="9"/>
  <c r="H116" i="9"/>
  <c r="H117" i="9" s="1"/>
  <c r="T17" i="9"/>
  <c r="M116" i="9"/>
  <c r="L116" i="9"/>
  <c r="K115" i="9"/>
  <c r="P116" i="9"/>
  <c r="K116" i="9"/>
  <c r="J116" i="9"/>
  <c r="X115" i="9"/>
  <c r="P115" i="9"/>
  <c r="S116" i="9"/>
  <c r="V116" i="9"/>
  <c r="O116" i="9"/>
  <c r="U115" i="9"/>
  <c r="X116" i="9"/>
  <c r="W115" i="9"/>
  <c r="H20" i="9"/>
  <c r="H21" i="9" s="1"/>
  <c r="G24" i="9"/>
  <c r="G25" i="9" s="1"/>
  <c r="G54" i="9"/>
  <c r="H32" i="9"/>
  <c r="H33" i="9" s="1"/>
  <c r="H10" i="9"/>
  <c r="H11" i="9" s="1"/>
  <c r="G28" i="9"/>
  <c r="G29" i="9" s="1"/>
  <c r="G43" i="9"/>
  <c r="G20" i="9"/>
  <c r="G21" i="9" s="1"/>
  <c r="H43" i="9"/>
  <c r="G32" i="9"/>
  <c r="G33" i="9" s="1"/>
  <c r="G27" i="5"/>
  <c r="G107" i="9"/>
  <c r="G115" i="9"/>
  <c r="G116" i="9"/>
  <c r="G117" i="9" s="1"/>
  <c r="G10" i="9"/>
  <c r="G11" i="9" s="1"/>
  <c r="H28" i="9"/>
  <c r="H29" i="9" s="1"/>
  <c r="G62" i="9"/>
  <c r="H54" i="9"/>
  <c r="H24" i="9"/>
  <c r="H25" i="9" s="1"/>
  <c r="I23" i="5"/>
  <c r="I43" i="5" s="1"/>
  <c r="I5" i="9"/>
  <c r="I62" i="9"/>
  <c r="I115" i="9"/>
  <c r="AB109" i="4"/>
  <c r="AC109" i="4" s="1"/>
  <c r="AD109" i="4" s="1"/>
  <c r="AE109" i="4" s="1"/>
  <c r="AF109" i="4" s="1"/>
  <c r="AG109" i="4" s="1"/>
  <c r="AH109" i="4" s="1"/>
  <c r="AI109" i="4" s="1"/>
  <c r="AF78" i="6"/>
  <c r="Q122" i="6"/>
  <c r="Q192" i="6"/>
  <c r="Q189" i="6"/>
  <c r="W192" i="6"/>
  <c r="AA193" i="6" s="1"/>
  <c r="W189" i="6"/>
  <c r="U192" i="6"/>
  <c r="U189" i="6"/>
  <c r="Y192" i="6"/>
  <c r="AC193" i="6" s="1"/>
  <c r="Y189" i="6"/>
  <c r="P192" i="6"/>
  <c r="P189" i="6"/>
  <c r="S189" i="6"/>
  <c r="S192" i="6"/>
  <c r="V189" i="6"/>
  <c r="V192" i="6"/>
  <c r="Z193" i="6" s="1"/>
  <c r="X192" i="6"/>
  <c r="AB193" i="6" s="1"/>
  <c r="X189" i="6"/>
  <c r="R189" i="6"/>
  <c r="R192" i="6"/>
  <c r="T192" i="6"/>
  <c r="T189" i="6"/>
  <c r="X95" i="6"/>
  <c r="X96" i="6"/>
  <c r="U95" i="6"/>
  <c r="U96" i="6"/>
  <c r="V96" i="6"/>
  <c r="V95" i="6"/>
  <c r="R96" i="6"/>
  <c r="S96" i="6"/>
  <c r="Y96" i="6"/>
  <c r="AF63" i="6"/>
  <c r="AG63" i="6"/>
  <c r="Y95" i="6"/>
  <c r="Y88" i="6"/>
  <c r="X88" i="6"/>
  <c r="V88" i="6"/>
  <c r="AE63" i="6"/>
  <c r="U88" i="6"/>
  <c r="W88" i="6"/>
  <c r="W122" i="6"/>
  <c r="AA123" i="6" s="1"/>
  <c r="W33" i="6"/>
  <c r="W32" i="6"/>
  <c r="T122" i="6"/>
  <c r="T33" i="6"/>
  <c r="X122" i="6"/>
  <c r="AB123" i="6" s="1"/>
  <c r="X33" i="6"/>
  <c r="X32" i="6"/>
  <c r="V122" i="6"/>
  <c r="V33" i="6"/>
  <c r="V32" i="6"/>
  <c r="AH78" i="6"/>
  <c r="Y122" i="6"/>
  <c r="Y33" i="6"/>
  <c r="Y32" i="6"/>
  <c r="U122" i="6"/>
  <c r="U33" i="6"/>
  <c r="U32" i="6"/>
  <c r="AI78" i="6"/>
  <c r="R122" i="6"/>
  <c r="R33" i="6"/>
  <c r="S122" i="6"/>
  <c r="S33" i="6"/>
  <c r="AN4" i="6"/>
  <c r="AM3" i="6"/>
  <c r="AM175" i="6" s="1"/>
  <c r="S111" i="5"/>
  <c r="I111" i="5"/>
  <c r="I112" i="5" s="1"/>
  <c r="G23" i="5"/>
  <c r="G43" i="5" s="1"/>
  <c r="J111" i="5"/>
  <c r="J112" i="5" s="1"/>
  <c r="K23" i="5"/>
  <c r="K43" i="5" s="1"/>
  <c r="H23" i="5"/>
  <c r="H43" i="5" s="1"/>
  <c r="L111" i="5"/>
  <c r="O111" i="5"/>
  <c r="J23" i="5"/>
  <c r="J43" i="5" s="1"/>
  <c r="K111" i="5"/>
  <c r="K112" i="5" s="1"/>
  <c r="P111" i="5"/>
  <c r="T111" i="5"/>
  <c r="Q111" i="5"/>
  <c r="T23" i="5"/>
  <c r="X111" i="5"/>
  <c r="AK23" i="5"/>
  <c r="AK43" i="5" s="1"/>
  <c r="F111" i="5"/>
  <c r="F112" i="5" s="1"/>
  <c r="W111" i="5"/>
  <c r="M111" i="5"/>
  <c r="G111" i="5"/>
  <c r="G112" i="5" s="1"/>
  <c r="N111" i="5"/>
  <c r="AL23" i="5"/>
  <c r="C18" i="17" s="1"/>
  <c r="C19" i="17" s="1"/>
  <c r="U111" i="5"/>
  <c r="R111" i="5"/>
  <c r="N23" i="2"/>
  <c r="N46" i="2" s="1"/>
  <c r="N56" i="2" s="1"/>
  <c r="V111" i="5"/>
  <c r="H111" i="5"/>
  <c r="H112" i="5" s="1"/>
  <c r="F23" i="5"/>
  <c r="F43" i="5" s="1"/>
  <c r="Y111" i="5"/>
  <c r="N27" i="2"/>
  <c r="O23" i="2"/>
  <c r="O46" i="2" s="1"/>
  <c r="O56" i="2" s="1"/>
  <c r="P23" i="2"/>
  <c r="P46" i="2" s="1"/>
  <c r="P56" i="2" s="1"/>
  <c r="M27" i="2"/>
  <c r="F25" i="5"/>
  <c r="Q23" i="2"/>
  <c r="Q46" i="2" s="1"/>
  <c r="Q56" i="2" s="1"/>
  <c r="O27" i="2"/>
  <c r="H25" i="5"/>
  <c r="M23" i="2"/>
  <c r="M46" i="2" s="1"/>
  <c r="M56" i="2" s="1"/>
  <c r="AN4" i="5"/>
  <c r="AM3" i="5"/>
  <c r="F89" i="9" l="1"/>
  <c r="F97" i="9"/>
  <c r="G108" i="9" s="1"/>
  <c r="F94" i="9"/>
  <c r="F50" i="9"/>
  <c r="K89" i="9"/>
  <c r="L130" i="6"/>
  <c r="P130" i="6" s="1"/>
  <c r="T130" i="6" s="1"/>
  <c r="X130" i="6" s="1"/>
  <c r="AB130" i="6" s="1"/>
  <c r="AB132" i="6" s="1"/>
  <c r="AB134" i="6" s="1"/>
  <c r="AB135" i="6" s="1"/>
  <c r="K97" i="9"/>
  <c r="L108" i="9" s="1"/>
  <c r="K50" i="9"/>
  <c r="O50" i="11"/>
  <c r="O51" i="11" s="1"/>
  <c r="AI87" i="6"/>
  <c r="AE40" i="6"/>
  <c r="K132" i="6"/>
  <c r="K134" i="6" s="1"/>
  <c r="AL134" i="6" s="1"/>
  <c r="AL135" i="6" s="1"/>
  <c r="Z70" i="6"/>
  <c r="AA124" i="6"/>
  <c r="AD123" i="6"/>
  <c r="AJ109" i="4"/>
  <c r="AK109" i="4" s="1"/>
  <c r="AL109" i="4" s="1"/>
  <c r="H50" i="9"/>
  <c r="H97" i="9"/>
  <c r="I108" i="9" s="1"/>
  <c r="H89" i="9"/>
  <c r="D50" i="11"/>
  <c r="D51" i="11" s="1"/>
  <c r="R50" i="11"/>
  <c r="R51" i="11" s="1"/>
  <c r="C50" i="11"/>
  <c r="C51" i="11" s="1"/>
  <c r="H50" i="11"/>
  <c r="H51" i="11" s="1"/>
  <c r="M50" i="11"/>
  <c r="M51" i="11" s="1"/>
  <c r="Q50" i="11"/>
  <c r="Q51" i="11" s="1"/>
  <c r="U5" i="9"/>
  <c r="U36" i="9" s="1"/>
  <c r="N50" i="11"/>
  <c r="N51" i="11" s="1"/>
  <c r="E50" i="11"/>
  <c r="E51" i="11" s="1"/>
  <c r="B50" i="11"/>
  <c r="B51" i="11" s="1"/>
  <c r="L50" i="11"/>
  <c r="L51" i="11" s="1"/>
  <c r="G50" i="11"/>
  <c r="G51" i="11" s="1"/>
  <c r="I50" i="11"/>
  <c r="I51" i="11" s="1"/>
  <c r="J50" i="11"/>
  <c r="J51" i="11" s="1"/>
  <c r="R23" i="5"/>
  <c r="R28" i="5" s="1"/>
  <c r="R122" i="9" s="1"/>
  <c r="R124" i="9" s="1"/>
  <c r="S97" i="9"/>
  <c r="S99" i="9" s="1"/>
  <c r="U23" i="5"/>
  <c r="U46" i="5" s="1"/>
  <c r="U56" i="5" s="1"/>
  <c r="M29" i="11" s="1"/>
  <c r="W5" i="9"/>
  <c r="W36" i="9" s="1"/>
  <c r="W23" i="5"/>
  <c r="W46" i="5" s="1"/>
  <c r="W56" i="5" s="1"/>
  <c r="R5" i="9"/>
  <c r="R36" i="9" s="1"/>
  <c r="S5" i="9"/>
  <c r="S36" i="9" s="1"/>
  <c r="AA70" i="6"/>
  <c r="W70" i="6"/>
  <c r="AB70" i="6"/>
  <c r="X70" i="6"/>
  <c r="G89" i="9"/>
  <c r="G94" i="9"/>
  <c r="G95" i="9" s="1"/>
  <c r="X5" i="9"/>
  <c r="X36" i="9" s="1"/>
  <c r="G97" i="9"/>
  <c r="G99" i="9" s="1"/>
  <c r="G50" i="9"/>
  <c r="X23" i="5"/>
  <c r="K15" i="10" s="1"/>
  <c r="K19" i="10" s="1"/>
  <c r="H94" i="9"/>
  <c r="H95" i="9" s="1"/>
  <c r="P5" i="9"/>
  <c r="P36" i="9" s="1"/>
  <c r="P23" i="5"/>
  <c r="C15" i="10" s="1"/>
  <c r="T97" i="9"/>
  <c r="U108" i="9" s="1"/>
  <c r="O112" i="5"/>
  <c r="S23" i="5"/>
  <c r="F15" i="10" s="1"/>
  <c r="T94" i="9"/>
  <c r="I50" i="9"/>
  <c r="Z135" i="6"/>
  <c r="AD136" i="6" s="1"/>
  <c r="Z6" i="14"/>
  <c r="Z5" i="14"/>
  <c r="Z4" i="14"/>
  <c r="Z3" i="14"/>
  <c r="Z8" i="14"/>
  <c r="Z7" i="14"/>
  <c r="C43" i="7"/>
  <c r="L9" i="7"/>
  <c r="Y97" i="9"/>
  <c r="Z108" i="9" s="1"/>
  <c r="Y5" i="9"/>
  <c r="S59" i="9"/>
  <c r="O89" i="9"/>
  <c r="Y23" i="5"/>
  <c r="L15" i="10" s="1"/>
  <c r="L19" i="10" s="1"/>
  <c r="AG81" i="9"/>
  <c r="AH81" i="9" s="1"/>
  <c r="AI81" i="9" s="1"/>
  <c r="Q5" i="9"/>
  <c r="Q36" i="9" s="1"/>
  <c r="AE151" i="9"/>
  <c r="Q23" i="5"/>
  <c r="Q46" i="5" s="1"/>
  <c r="Q56" i="5" s="1"/>
  <c r="H29" i="11" s="1"/>
  <c r="T59" i="9"/>
  <c r="V5" i="9"/>
  <c r="V36" i="9" s="1"/>
  <c r="AF151" i="9"/>
  <c r="V23" i="5"/>
  <c r="V43" i="5" s="1"/>
  <c r="W50" i="9"/>
  <c r="U62" i="9"/>
  <c r="U59" i="9"/>
  <c r="W62" i="9"/>
  <c r="W59" i="9"/>
  <c r="M62" i="9"/>
  <c r="M59" i="9"/>
  <c r="N62" i="9"/>
  <c r="N59" i="9"/>
  <c r="Q59" i="9"/>
  <c r="P62" i="9"/>
  <c r="P59" i="9"/>
  <c r="Y59" i="9"/>
  <c r="Z59" i="9"/>
  <c r="O59" i="9"/>
  <c r="S50" i="9"/>
  <c r="S89" i="9"/>
  <c r="R62" i="9"/>
  <c r="R59" i="9"/>
  <c r="V62" i="9"/>
  <c r="V59" i="9"/>
  <c r="X62" i="9"/>
  <c r="X59" i="9"/>
  <c r="K43" i="9"/>
  <c r="I36" i="9"/>
  <c r="I97" i="9"/>
  <c r="J108" i="9" s="1"/>
  <c r="I89" i="9"/>
  <c r="N89" i="9"/>
  <c r="W97" i="9"/>
  <c r="X108" i="9" s="1"/>
  <c r="N50" i="9"/>
  <c r="U112" i="5"/>
  <c r="N97" i="9"/>
  <c r="O108" i="9" s="1"/>
  <c r="O50" i="9"/>
  <c r="X112" i="5"/>
  <c r="J94" i="9"/>
  <c r="J95" i="9" s="1"/>
  <c r="Q89" i="9"/>
  <c r="J50" i="9"/>
  <c r="Q50" i="9"/>
  <c r="R97" i="9"/>
  <c r="S108" i="9" s="1"/>
  <c r="Q97" i="9"/>
  <c r="Q99" i="9" s="1"/>
  <c r="Q94" i="9"/>
  <c r="L62" i="9"/>
  <c r="P97" i="9"/>
  <c r="Q108" i="9" s="1"/>
  <c r="K94" i="9"/>
  <c r="K95" i="9" s="1"/>
  <c r="M89" i="9"/>
  <c r="J97" i="9"/>
  <c r="K108" i="9" s="1"/>
  <c r="P89" i="9"/>
  <c r="P50" i="9"/>
  <c r="J89" i="9"/>
  <c r="I94" i="9"/>
  <c r="I95" i="9" s="1"/>
  <c r="N94" i="9"/>
  <c r="W89" i="9"/>
  <c r="Z124" i="6"/>
  <c r="Z123" i="6"/>
  <c r="AK135" i="6"/>
  <c r="Y89" i="9"/>
  <c r="Z94" i="9"/>
  <c r="Z93" i="9"/>
  <c r="Y70" i="9"/>
  <c r="Z70" i="9"/>
  <c r="Y62" i="9"/>
  <c r="AE130" i="6"/>
  <c r="AF130" i="6"/>
  <c r="AH130" i="6"/>
  <c r="M97" i="9"/>
  <c r="N108" i="9" s="1"/>
  <c r="R50" i="9"/>
  <c r="O94" i="9"/>
  <c r="S93" i="9"/>
  <c r="S94" i="9"/>
  <c r="O97" i="9"/>
  <c r="P108" i="9" s="1"/>
  <c r="AL61" i="5"/>
  <c r="AL43" i="5"/>
  <c r="P94" i="9"/>
  <c r="M50" i="9"/>
  <c r="G15" i="10"/>
  <c r="G19" i="10" s="1"/>
  <c r="T43" i="5"/>
  <c r="R94" i="9"/>
  <c r="T50" i="9"/>
  <c r="M14" i="5"/>
  <c r="M41" i="5"/>
  <c r="L14" i="5"/>
  <c r="L41" i="5"/>
  <c r="T112" i="5"/>
  <c r="T89" i="9"/>
  <c r="O14" i="5"/>
  <c r="O41" i="5"/>
  <c r="AM14" i="5"/>
  <c r="AM5" i="9" s="1"/>
  <c r="AM41" i="5"/>
  <c r="N14" i="5"/>
  <c r="N41" i="5"/>
  <c r="AL48" i="6"/>
  <c r="AL88" i="6"/>
  <c r="O62" i="9"/>
  <c r="L94" i="9"/>
  <c r="L50" i="9"/>
  <c r="L89" i="9"/>
  <c r="L97" i="9"/>
  <c r="M108" i="9" s="1"/>
  <c r="M94" i="9"/>
  <c r="V89" i="9"/>
  <c r="V94" i="9"/>
  <c r="V50" i="9"/>
  <c r="V97" i="9"/>
  <c r="W108" i="9" s="1"/>
  <c r="S62" i="9"/>
  <c r="W94" i="9"/>
  <c r="X97" i="9"/>
  <c r="Y108" i="9" s="1"/>
  <c r="X94" i="9"/>
  <c r="Y94" i="9"/>
  <c r="X50" i="9"/>
  <c r="X89" i="9"/>
  <c r="AN159" i="9"/>
  <c r="AO159" i="9" s="1"/>
  <c r="AP159" i="9" s="1"/>
  <c r="U89" i="9"/>
  <c r="T62" i="9"/>
  <c r="N112" i="5"/>
  <c r="U97" i="9"/>
  <c r="V108" i="9" s="1"/>
  <c r="U94" i="9"/>
  <c r="U50" i="9"/>
  <c r="AK46" i="5"/>
  <c r="AK61" i="5"/>
  <c r="I28" i="5"/>
  <c r="I30" i="5" s="1"/>
  <c r="I32" i="5" s="1"/>
  <c r="I61" i="5"/>
  <c r="V112" i="5"/>
  <c r="J46" i="5"/>
  <c r="J56" i="5" s="1"/>
  <c r="J61" i="5"/>
  <c r="I46" i="5"/>
  <c r="I56" i="5" s="1"/>
  <c r="I63" i="5" s="1"/>
  <c r="T46" i="5"/>
  <c r="T56" i="5" s="1"/>
  <c r="L29" i="11" s="1"/>
  <c r="T61" i="5"/>
  <c r="H46" i="5"/>
  <c r="H56" i="5" s="1"/>
  <c r="H61" i="5"/>
  <c r="S112" i="5"/>
  <c r="G46" i="5"/>
  <c r="G56" i="5" s="1"/>
  <c r="G58" i="5" s="1"/>
  <c r="G61" i="5"/>
  <c r="M112" i="5"/>
  <c r="Q112" i="5"/>
  <c r="K46" i="5"/>
  <c r="K56" i="5" s="1"/>
  <c r="K58" i="5" s="1"/>
  <c r="K61" i="5"/>
  <c r="Y112" i="5"/>
  <c r="W112" i="5"/>
  <c r="P112" i="5"/>
  <c r="F46" i="5"/>
  <c r="F56" i="5" s="1"/>
  <c r="F58" i="5" s="1"/>
  <c r="F61" i="5"/>
  <c r="L112" i="5"/>
  <c r="AH7" i="11"/>
  <c r="AL46" i="5"/>
  <c r="C18" i="7"/>
  <c r="C21" i="7" s="1"/>
  <c r="R112" i="5"/>
  <c r="AL59" i="9"/>
  <c r="AL93" i="6"/>
  <c r="AL78" i="6"/>
  <c r="AL72" i="6"/>
  <c r="AM176" i="6"/>
  <c r="AM28" i="6"/>
  <c r="AM29" i="6" s="1"/>
  <c r="AM87" i="6"/>
  <c r="AM88" i="6" s="1"/>
  <c r="AM31" i="6"/>
  <c r="AM169" i="6"/>
  <c r="AM92" i="6"/>
  <c r="AM93" i="6" s="1"/>
  <c r="AM101" i="6"/>
  <c r="AM38" i="6"/>
  <c r="AM37" i="6"/>
  <c r="AM77" i="6"/>
  <c r="AM62" i="6"/>
  <c r="AM69" i="6" s="1"/>
  <c r="AM70" i="6" s="1"/>
  <c r="AM36" i="6"/>
  <c r="AM48" i="6" s="1"/>
  <c r="AM40" i="6"/>
  <c r="AM51" i="6" s="1"/>
  <c r="AM94" i="6"/>
  <c r="AM95" i="6" s="1"/>
  <c r="AL102" i="6"/>
  <c r="AK72" i="6"/>
  <c r="AL32" i="6"/>
  <c r="AL95" i="6"/>
  <c r="AK41" i="6"/>
  <c r="AL50" i="6"/>
  <c r="AL49" i="6"/>
  <c r="AL41" i="6"/>
  <c r="AL29" i="6"/>
  <c r="AL63" i="6"/>
  <c r="AL51" i="6"/>
  <c r="Q122" i="4"/>
  <c r="Q123" i="4" s="1"/>
  <c r="O122" i="4"/>
  <c r="O123" i="4" s="1"/>
  <c r="P122" i="4"/>
  <c r="P123" i="4" s="1"/>
  <c r="Q59" i="2"/>
  <c r="Q58" i="2"/>
  <c r="O59" i="2"/>
  <c r="P58" i="2"/>
  <c r="P59" i="2"/>
  <c r="N58" i="2"/>
  <c r="R122" i="4"/>
  <c r="R123" i="4" s="1"/>
  <c r="H27" i="5"/>
  <c r="H28" i="5" s="1"/>
  <c r="H107" i="9"/>
  <c r="J43" i="9"/>
  <c r="F27" i="5"/>
  <c r="F28" i="5" s="1"/>
  <c r="F107" i="9"/>
  <c r="F108" i="9" s="1"/>
  <c r="I43" i="9"/>
  <c r="K54" i="9"/>
  <c r="I24" i="9"/>
  <c r="I25" i="9" s="1"/>
  <c r="I28" i="9"/>
  <c r="I29" i="9" s="1"/>
  <c r="K117" i="9"/>
  <c r="I32" i="9"/>
  <c r="I33" i="9" s="1"/>
  <c r="J54" i="9"/>
  <c r="J28" i="9"/>
  <c r="J29" i="9" s="1"/>
  <c r="K28" i="9"/>
  <c r="K29" i="9" s="1"/>
  <c r="K32" i="9"/>
  <c r="K33" i="9" s="1"/>
  <c r="I10" i="9"/>
  <c r="I11" i="9" s="1"/>
  <c r="K24" i="9"/>
  <c r="K25" i="9" s="1"/>
  <c r="J10" i="9"/>
  <c r="J11" i="9" s="1"/>
  <c r="J32" i="9"/>
  <c r="J33" i="9" s="1"/>
  <c r="I54" i="9"/>
  <c r="K10" i="9"/>
  <c r="K11" i="9" s="1"/>
  <c r="J20" i="9"/>
  <c r="J21" i="9" s="1"/>
  <c r="I20" i="9"/>
  <c r="I21" i="9" s="1"/>
  <c r="K20" i="9"/>
  <c r="K21" i="9" s="1"/>
  <c r="J24" i="9"/>
  <c r="J25" i="9" s="1"/>
  <c r="I117" i="9"/>
  <c r="J117" i="9"/>
  <c r="R124" i="6"/>
  <c r="X199" i="6"/>
  <c r="X193" i="6"/>
  <c r="X209" i="6"/>
  <c r="X210" i="6" s="1"/>
  <c r="X194" i="6"/>
  <c r="Y199" i="6"/>
  <c r="AG199" i="6" s="1"/>
  <c r="Y209" i="6"/>
  <c r="AG209" i="6" s="1"/>
  <c r="Y193" i="6"/>
  <c r="Y194" i="6"/>
  <c r="V199" i="6"/>
  <c r="V193" i="6"/>
  <c r="V209" i="6"/>
  <c r="V210" i="6" s="1"/>
  <c r="V194" i="6"/>
  <c r="U193" i="6"/>
  <c r="U199" i="6"/>
  <c r="U209" i="6"/>
  <c r="U210" i="6" s="1"/>
  <c r="U194" i="6"/>
  <c r="S193" i="6"/>
  <c r="S199" i="6"/>
  <c r="S209" i="6"/>
  <c r="S210" i="6" s="1"/>
  <c r="S194" i="6"/>
  <c r="T209" i="6"/>
  <c r="T210" i="6" s="1"/>
  <c r="T193" i="6"/>
  <c r="T199" i="6"/>
  <c r="T194" i="6"/>
  <c r="W209" i="6"/>
  <c r="W210" i="6" s="1"/>
  <c r="W199" i="6"/>
  <c r="W193" i="6"/>
  <c r="W194" i="6"/>
  <c r="R193" i="6"/>
  <c r="R199" i="6"/>
  <c r="R209" i="6"/>
  <c r="R210" i="6" s="1"/>
  <c r="R194" i="6"/>
  <c r="P209" i="6"/>
  <c r="P210" i="6" s="1"/>
  <c r="P193" i="6"/>
  <c r="P194" i="6"/>
  <c r="P199" i="6"/>
  <c r="Q193" i="6"/>
  <c r="Q199" i="6"/>
  <c r="Q209" i="6"/>
  <c r="Q210" i="6" s="1"/>
  <c r="Q194" i="6"/>
  <c r="AH63" i="6"/>
  <c r="AI63" i="6"/>
  <c r="S124" i="6"/>
  <c r="AF122" i="6"/>
  <c r="V124" i="6"/>
  <c r="V123" i="6"/>
  <c r="W123" i="6"/>
  <c r="W124" i="6"/>
  <c r="U124" i="6"/>
  <c r="U123" i="6"/>
  <c r="AF87" i="6"/>
  <c r="AE88" i="6"/>
  <c r="Y124" i="6"/>
  <c r="Y123" i="6"/>
  <c r="X124" i="6"/>
  <c r="X123" i="6"/>
  <c r="T124" i="6"/>
  <c r="AO4" i="6"/>
  <c r="AN3" i="6"/>
  <c r="AN175" i="6" s="1"/>
  <c r="G28" i="5"/>
  <c r="J28" i="5"/>
  <c r="K28" i="5"/>
  <c r="T28" i="5"/>
  <c r="N59" i="2"/>
  <c r="N28" i="2"/>
  <c r="N30" i="2" s="1"/>
  <c r="Q28" i="2"/>
  <c r="Q30" i="2" s="1"/>
  <c r="AK28" i="5"/>
  <c r="M28" i="2"/>
  <c r="M30" i="2" s="1"/>
  <c r="P28" i="2"/>
  <c r="P30" i="2" s="1"/>
  <c r="O28" i="2"/>
  <c r="O30" i="2" s="1"/>
  <c r="O58" i="2"/>
  <c r="M58" i="2"/>
  <c r="M59" i="2"/>
  <c r="AO4" i="5"/>
  <c r="AN3" i="5"/>
  <c r="AN8" i="5" s="1"/>
  <c r="K7" i="11" s="1"/>
  <c r="AF27" i="2"/>
  <c r="AF22" i="2"/>
  <c r="AF11" i="2"/>
  <c r="F99" i="9" l="1"/>
  <c r="L132" i="6"/>
  <c r="L134" i="6" s="1"/>
  <c r="K99" i="9"/>
  <c r="R61" i="5"/>
  <c r="H99" i="9"/>
  <c r="R43" i="5"/>
  <c r="R46" i="5"/>
  <c r="R56" i="5" s="1"/>
  <c r="I29" i="11" s="1"/>
  <c r="E15" i="10"/>
  <c r="U28" i="5"/>
  <c r="U30" i="5" s="1"/>
  <c r="U32" i="5" s="1"/>
  <c r="U43" i="5"/>
  <c r="AF40" i="6"/>
  <c r="AL132" i="6"/>
  <c r="P28" i="5"/>
  <c r="P30" i="5" s="1"/>
  <c r="P32" i="5" s="1"/>
  <c r="P35" i="5" s="1"/>
  <c r="G24" i="11" s="1"/>
  <c r="P61" i="5"/>
  <c r="P43" i="5"/>
  <c r="W28" i="5"/>
  <c r="W30" i="5" s="1"/>
  <c r="W32" i="5" s="1"/>
  <c r="J39" i="10" s="1"/>
  <c r="J43" i="10" s="1"/>
  <c r="W43" i="5"/>
  <c r="W61" i="5"/>
  <c r="J15" i="10"/>
  <c r="J19" i="10" s="1"/>
  <c r="P46" i="5"/>
  <c r="P56" i="5" s="1"/>
  <c r="G29" i="11" s="1"/>
  <c r="U43" i="9"/>
  <c r="U24" i="9"/>
  <c r="U25" i="9" s="1"/>
  <c r="U95" i="9"/>
  <c r="U10" i="9"/>
  <c r="U11" i="9" s="1"/>
  <c r="U117" i="9"/>
  <c r="U28" i="9"/>
  <c r="U29" i="9" s="1"/>
  <c r="U32" i="9"/>
  <c r="U33" i="9" s="1"/>
  <c r="U20" i="9"/>
  <c r="U21" i="9" s="1"/>
  <c r="U54" i="9"/>
  <c r="T108" i="9"/>
  <c r="Z117" i="9"/>
  <c r="H15" i="10"/>
  <c r="H19" i="10" s="1"/>
  <c r="Y28" i="5"/>
  <c r="Y30" i="5" s="1"/>
  <c r="Y32" i="5" s="1"/>
  <c r="U61" i="5"/>
  <c r="AA63" i="5"/>
  <c r="O29" i="11"/>
  <c r="S28" i="5"/>
  <c r="S30" i="5" s="1"/>
  <c r="S32" i="5" s="1"/>
  <c r="S120" i="5" s="1"/>
  <c r="S140" i="5" s="1"/>
  <c r="J53" i="11" s="1"/>
  <c r="J56" i="11" s="1"/>
  <c r="D15" i="10"/>
  <c r="Q43" i="5"/>
  <c r="Q28" i="5"/>
  <c r="Q122" i="9" s="1"/>
  <c r="Q124" i="9" s="1"/>
  <c r="S61" i="5"/>
  <c r="Q61" i="5"/>
  <c r="S46" i="5"/>
  <c r="S56" i="5" s="1"/>
  <c r="S43" i="5"/>
  <c r="H108" i="9"/>
  <c r="P99" i="9"/>
  <c r="Y61" i="5"/>
  <c r="Y46" i="5"/>
  <c r="Y56" i="5" s="1"/>
  <c r="Y63" i="5" s="1"/>
  <c r="V43" i="9"/>
  <c r="W43" i="9"/>
  <c r="W24" i="9"/>
  <c r="W25" i="9" s="1"/>
  <c r="X28" i="5"/>
  <c r="X30" i="5" s="1"/>
  <c r="X32" i="5" s="1"/>
  <c r="K39" i="10" s="1"/>
  <c r="K43" i="10" s="1"/>
  <c r="Y24" i="9"/>
  <c r="Y25" i="9" s="1"/>
  <c r="I122" i="9"/>
  <c r="I124" i="9" s="1"/>
  <c r="X20" i="9"/>
  <c r="X21" i="9" s="1"/>
  <c r="W32" i="9"/>
  <c r="W33" i="9" s="1"/>
  <c r="V10" i="9"/>
  <c r="V11" i="9" s="1"/>
  <c r="V54" i="9"/>
  <c r="W10" i="9"/>
  <c r="W11" i="9" s="1"/>
  <c r="W28" i="9"/>
  <c r="W29" i="9" s="1"/>
  <c r="X54" i="9"/>
  <c r="X28" i="9"/>
  <c r="X29" i="9" s="1"/>
  <c r="T99" i="9"/>
  <c r="X95" i="9"/>
  <c r="W117" i="9"/>
  <c r="X32" i="9"/>
  <c r="X33" i="9" s="1"/>
  <c r="V28" i="9"/>
  <c r="V29" i="9" s="1"/>
  <c r="V20" i="9"/>
  <c r="V21" i="9" s="1"/>
  <c r="X43" i="9"/>
  <c r="X24" i="9"/>
  <c r="X25" i="9" s="1"/>
  <c r="X117" i="9"/>
  <c r="V117" i="9"/>
  <c r="V32" i="9"/>
  <c r="V33" i="9" s="1"/>
  <c r="V24" i="9"/>
  <c r="V25" i="9" s="1"/>
  <c r="X10" i="9"/>
  <c r="X11" i="9" s="1"/>
  <c r="W20" i="9"/>
  <c r="W21" i="9" s="1"/>
  <c r="W54" i="9"/>
  <c r="X46" i="5"/>
  <c r="X56" i="5" s="1"/>
  <c r="W95" i="9"/>
  <c r="V95" i="9"/>
  <c r="AO3" i="5"/>
  <c r="AO8" i="5" s="1"/>
  <c r="P7" i="11" s="1"/>
  <c r="AP4" i="5"/>
  <c r="AP3" i="5" s="1"/>
  <c r="AP8" i="5" s="1"/>
  <c r="U7" i="11" s="1"/>
  <c r="AO3" i="6"/>
  <c r="AO175" i="6" s="1"/>
  <c r="AP4" i="6"/>
  <c r="AP3" i="6" s="1"/>
  <c r="X43" i="5"/>
  <c r="X61" i="5"/>
  <c r="Y43" i="5"/>
  <c r="Y99" i="9"/>
  <c r="AM59" i="9"/>
  <c r="Y10" i="9"/>
  <c r="Y11" i="9" s="1"/>
  <c r="Y28" i="9"/>
  <c r="Y29" i="9" s="1"/>
  <c r="Z43" i="9"/>
  <c r="Y32" i="9"/>
  <c r="Y33" i="9" s="1"/>
  <c r="AP59" i="9"/>
  <c r="U63" i="5"/>
  <c r="AA20" i="9"/>
  <c r="AA21" i="9" s="1"/>
  <c r="AA28" i="9"/>
  <c r="AA29" i="9" s="1"/>
  <c r="Y36" i="9"/>
  <c r="AB43" i="9"/>
  <c r="AB54" i="9"/>
  <c r="AB32" i="9"/>
  <c r="AB33" i="9" s="1"/>
  <c r="AB20" i="9"/>
  <c r="AB21" i="9" s="1"/>
  <c r="AB24" i="9"/>
  <c r="AB25" i="9" s="1"/>
  <c r="AB10" i="9"/>
  <c r="AB11" i="9" s="1"/>
  <c r="AF11" i="9" s="1"/>
  <c r="AB28" i="9"/>
  <c r="AB29" i="9" s="1"/>
  <c r="AF29" i="9" s="1"/>
  <c r="AB95" i="9"/>
  <c r="AB117" i="9"/>
  <c r="AF117" i="9" s="1"/>
  <c r="AG117" i="9" s="1"/>
  <c r="T10" i="9"/>
  <c r="T11" i="9" s="1"/>
  <c r="S10" i="9"/>
  <c r="S11" i="9" s="1"/>
  <c r="R99" i="9"/>
  <c r="Z54" i="9"/>
  <c r="AA10" i="9"/>
  <c r="AA11" i="9" s="1"/>
  <c r="AE11" i="9" s="1"/>
  <c r="AI11" i="9" s="1"/>
  <c r="T32" i="9"/>
  <c r="T33" i="9" s="1"/>
  <c r="Y43" i="9"/>
  <c r="Y95" i="9"/>
  <c r="Z10" i="9"/>
  <c r="Z11" i="9" s="1"/>
  <c r="AA54" i="9"/>
  <c r="Y117" i="9"/>
  <c r="Z20" i="9"/>
  <c r="Z21" i="9" s="1"/>
  <c r="Z95" i="9"/>
  <c r="AA24" i="9"/>
  <c r="AA25" i="9" s="1"/>
  <c r="R108" i="9"/>
  <c r="T43" i="9"/>
  <c r="R30" i="5"/>
  <c r="R32" i="5" s="1"/>
  <c r="R35" i="5" s="1"/>
  <c r="I24" i="11" s="1"/>
  <c r="Z32" i="9"/>
  <c r="Z33" i="9" s="1"/>
  <c r="AA117" i="9"/>
  <c r="AA43" i="9"/>
  <c r="Z28" i="9"/>
  <c r="Z29" i="9" s="1"/>
  <c r="AA95" i="9"/>
  <c r="I58" i="5"/>
  <c r="I64" i="5" s="1"/>
  <c r="S43" i="9"/>
  <c r="Y54" i="9"/>
  <c r="Y20" i="9"/>
  <c r="Y21" i="9" s="1"/>
  <c r="Z24" i="9"/>
  <c r="Z25" i="9" s="1"/>
  <c r="AA32" i="9"/>
  <c r="AA33" i="9" s="1"/>
  <c r="Z9" i="14"/>
  <c r="E61" i="7"/>
  <c r="I7" i="7"/>
  <c r="I8" i="7" s="1"/>
  <c r="I11" i="7" s="1"/>
  <c r="G61" i="7"/>
  <c r="T28" i="9"/>
  <c r="T29" i="9" s="1"/>
  <c r="S24" i="9"/>
  <c r="S25" i="9" s="1"/>
  <c r="I15" i="10"/>
  <c r="I19" i="10" s="1"/>
  <c r="T24" i="9"/>
  <c r="T25" i="9" s="1"/>
  <c r="S28" i="9"/>
  <c r="S29" i="9" s="1"/>
  <c r="K63" i="5"/>
  <c r="AM23" i="5"/>
  <c r="AM43" i="5" s="1"/>
  <c r="D15" i="17"/>
  <c r="D16" i="17" s="1"/>
  <c r="T54" i="9"/>
  <c r="S32" i="9"/>
  <c r="S33" i="9" s="1"/>
  <c r="K64" i="5"/>
  <c r="S95" i="9"/>
  <c r="T117" i="9"/>
  <c r="S117" i="9"/>
  <c r="V28" i="5"/>
  <c r="V122" i="9" s="1"/>
  <c r="V124" i="9" s="1"/>
  <c r="T20" i="9"/>
  <c r="T21" i="9" s="1"/>
  <c r="S54" i="9"/>
  <c r="T95" i="9"/>
  <c r="V61" i="5"/>
  <c r="S20" i="9"/>
  <c r="S21" i="9" s="1"/>
  <c r="V46" i="5"/>
  <c r="V56" i="5" s="1"/>
  <c r="J63" i="5"/>
  <c r="Q58" i="5"/>
  <c r="H30" i="11" s="1"/>
  <c r="T59" i="5"/>
  <c r="T63" i="5"/>
  <c r="AI151" i="9"/>
  <c r="AI153" i="9" s="1"/>
  <c r="AE153" i="9"/>
  <c r="W99" i="9"/>
  <c r="AF153" i="9"/>
  <c r="H59" i="5"/>
  <c r="H63" i="5"/>
  <c r="I99" i="9"/>
  <c r="N99" i="9"/>
  <c r="T58" i="5"/>
  <c r="L30" i="11" s="1"/>
  <c r="J99" i="9"/>
  <c r="AM50" i="6"/>
  <c r="C42" i="7"/>
  <c r="AO59" i="9"/>
  <c r="AN59" i="9"/>
  <c r="AI130" i="6"/>
  <c r="L99" i="9"/>
  <c r="D15" i="7"/>
  <c r="D16" i="7" s="1"/>
  <c r="E17" i="14"/>
  <c r="E18" i="14" s="1"/>
  <c r="H102" i="9"/>
  <c r="O99" i="9"/>
  <c r="M99" i="9"/>
  <c r="K102" i="9"/>
  <c r="K103" i="9" s="1"/>
  <c r="V99" i="9"/>
  <c r="G59" i="5"/>
  <c r="H14" i="14"/>
  <c r="H15" i="14" s="1"/>
  <c r="I59" i="5"/>
  <c r="K59" i="5"/>
  <c r="F59" i="5"/>
  <c r="G14" i="14"/>
  <c r="G15" i="14" s="1"/>
  <c r="E14" i="14"/>
  <c r="E15" i="14" s="1"/>
  <c r="F14" i="14"/>
  <c r="F15" i="14" s="1"/>
  <c r="H58" i="5"/>
  <c r="I104" i="9" s="1"/>
  <c r="I14" i="14"/>
  <c r="I15" i="14" s="1"/>
  <c r="H23" i="10"/>
  <c r="H27" i="10" s="1"/>
  <c r="U58" i="5"/>
  <c r="M30" i="11" s="1"/>
  <c r="J59" i="5"/>
  <c r="AG70" i="9"/>
  <c r="AH70" i="9" s="1"/>
  <c r="AI70" i="9" s="1"/>
  <c r="AR70" i="9" s="1"/>
  <c r="O5" i="9"/>
  <c r="O36" i="9" s="1"/>
  <c r="O23" i="5"/>
  <c r="O43" i="5" s="1"/>
  <c r="L5" i="9"/>
  <c r="L36" i="9" s="1"/>
  <c r="L23" i="5"/>
  <c r="L43" i="5" s="1"/>
  <c r="J58" i="5"/>
  <c r="U59" i="5"/>
  <c r="X99" i="9"/>
  <c r="G23" i="10"/>
  <c r="G27" i="10" s="1"/>
  <c r="N5" i="9"/>
  <c r="N36" i="9" s="1"/>
  <c r="N23" i="5"/>
  <c r="N43" i="5" s="1"/>
  <c r="M5" i="9"/>
  <c r="M36" i="9" s="1"/>
  <c r="M23" i="5"/>
  <c r="M43" i="5" s="1"/>
  <c r="D23" i="10"/>
  <c r="D27" i="10" s="1"/>
  <c r="W59" i="5"/>
  <c r="J23" i="10"/>
  <c r="J27" i="10" s="1"/>
  <c r="M132" i="6"/>
  <c r="M134" i="6" s="1"/>
  <c r="M135" i="6" s="1"/>
  <c r="AG43" i="9"/>
  <c r="AH43" i="9" s="1"/>
  <c r="AI43" i="9" s="1"/>
  <c r="Y210" i="6"/>
  <c r="U99" i="9"/>
  <c r="W58" i="5"/>
  <c r="O30" i="11" s="1"/>
  <c r="I102" i="9"/>
  <c r="Q59" i="5"/>
  <c r="J102" i="9"/>
  <c r="M36" i="7"/>
  <c r="L36" i="7"/>
  <c r="G36" i="7"/>
  <c r="H36" i="7"/>
  <c r="I36" i="7"/>
  <c r="J36" i="7"/>
  <c r="K36" i="7"/>
  <c r="AH8" i="11"/>
  <c r="AI7" i="11"/>
  <c r="I144" i="9"/>
  <c r="I148" i="9" s="1"/>
  <c r="F60" i="5"/>
  <c r="G60" i="5"/>
  <c r="K60" i="5"/>
  <c r="AM32" i="6"/>
  <c r="AM122" i="6"/>
  <c r="AK90" i="6"/>
  <c r="AK97" i="6" s="1"/>
  <c r="AM63" i="6"/>
  <c r="AN184" i="6"/>
  <c r="AN169" i="6"/>
  <c r="AN152" i="6"/>
  <c r="AN153" i="6" s="1"/>
  <c r="AN176" i="6"/>
  <c r="AN92" i="6"/>
  <c r="AN93" i="6" s="1"/>
  <c r="AN101" i="6"/>
  <c r="AN77" i="6"/>
  <c r="AN38" i="6"/>
  <c r="AN37" i="6"/>
  <c r="AN36" i="6"/>
  <c r="AN62" i="6"/>
  <c r="AN40" i="6"/>
  <c r="AN51" i="6" s="1"/>
  <c r="AN28" i="6"/>
  <c r="AN29" i="6" s="1"/>
  <c r="AN31" i="6"/>
  <c r="AN94" i="6"/>
  <c r="AN95" i="6" s="1"/>
  <c r="AN87" i="6"/>
  <c r="AN88" i="6" s="1"/>
  <c r="AL52" i="6"/>
  <c r="AL104" i="6"/>
  <c r="AM78" i="6"/>
  <c r="AM72" i="6"/>
  <c r="AM73" i="6" s="1"/>
  <c r="AM49" i="6"/>
  <c r="AM41" i="6"/>
  <c r="AM126" i="6" s="1"/>
  <c r="AK104" i="6"/>
  <c r="AM108" i="6"/>
  <c r="AM102" i="6"/>
  <c r="AL73" i="6"/>
  <c r="AL90" i="6"/>
  <c r="AL97" i="6" s="1"/>
  <c r="O32" i="2"/>
  <c r="Q32" i="2"/>
  <c r="Q117" i="2" s="1"/>
  <c r="Q137" i="2" s="1"/>
  <c r="M32" i="2"/>
  <c r="M137" i="2" s="1"/>
  <c r="N32" i="2"/>
  <c r="P32" i="2"/>
  <c r="P39" i="2"/>
  <c r="P36" i="2"/>
  <c r="O137" i="2"/>
  <c r="Q60" i="2"/>
  <c r="P60" i="2"/>
  <c r="I120" i="5"/>
  <c r="I140" i="5" s="1"/>
  <c r="I169" i="5" s="1"/>
  <c r="I178" i="5" s="1"/>
  <c r="M60" i="2"/>
  <c r="Q124" i="4"/>
  <c r="Q125" i="4" s="1"/>
  <c r="O60" i="2"/>
  <c r="I35" i="5"/>
  <c r="N60" i="2"/>
  <c r="R124" i="4"/>
  <c r="R125" i="4" s="1"/>
  <c r="I36" i="5"/>
  <c r="H30" i="5"/>
  <c r="H32" i="5" s="1"/>
  <c r="H122" i="9"/>
  <c r="H124" i="9" s="1"/>
  <c r="AK30" i="5"/>
  <c r="AK32" i="5" s="1"/>
  <c r="AK122" i="9"/>
  <c r="AK124" i="9" s="1"/>
  <c r="F30" i="5"/>
  <c r="F32" i="5" s="1"/>
  <c r="F122" i="9"/>
  <c r="F124" i="9" s="1"/>
  <c r="T30" i="5"/>
  <c r="T32" i="5" s="1"/>
  <c r="T122" i="9"/>
  <c r="T124" i="9" s="1"/>
  <c r="G30" i="5"/>
  <c r="G32" i="5" s="1"/>
  <c r="G122" i="9"/>
  <c r="G124" i="9" s="1"/>
  <c r="K30" i="5"/>
  <c r="K32" i="5" s="1"/>
  <c r="K122" i="9"/>
  <c r="K124" i="9" s="1"/>
  <c r="J30" i="5"/>
  <c r="J32" i="5" s="1"/>
  <c r="J122" i="9"/>
  <c r="J124" i="9" s="1"/>
  <c r="AF72" i="6"/>
  <c r="AF88" i="6"/>
  <c r="AE72" i="6"/>
  <c r="AF14" i="2"/>
  <c r="AG76" i="4" s="1"/>
  <c r="AG94" i="4" s="1"/>
  <c r="AG72" i="4"/>
  <c r="V170" i="2"/>
  <c r="U170" i="2"/>
  <c r="T170" i="2"/>
  <c r="S170" i="2"/>
  <c r="R170" i="2"/>
  <c r="V169" i="2"/>
  <c r="U169" i="2"/>
  <c r="T169" i="2"/>
  <c r="S169" i="2"/>
  <c r="R169" i="2"/>
  <c r="V168" i="2"/>
  <c r="U168" i="2"/>
  <c r="T168" i="2"/>
  <c r="S168" i="2"/>
  <c r="R168" i="2"/>
  <c r="AF170" i="2"/>
  <c r="AE170" i="2"/>
  <c r="AD170" i="2"/>
  <c r="AC170" i="2"/>
  <c r="AB170" i="2"/>
  <c r="AA170" i="2"/>
  <c r="Z170" i="2"/>
  <c r="Y170" i="2"/>
  <c r="X170" i="2"/>
  <c r="W170" i="2"/>
  <c r="AF169" i="2"/>
  <c r="AE169" i="2"/>
  <c r="AD169" i="2"/>
  <c r="AC169" i="2"/>
  <c r="AB169" i="2"/>
  <c r="AA169" i="2"/>
  <c r="Z169" i="2"/>
  <c r="Y169" i="2"/>
  <c r="X169" i="2"/>
  <c r="W169" i="2"/>
  <c r="AF168" i="2"/>
  <c r="AE168" i="2"/>
  <c r="AD168" i="2"/>
  <c r="AC168" i="2"/>
  <c r="AB168" i="2"/>
  <c r="AA168" i="2"/>
  <c r="Z168" i="2"/>
  <c r="Y168" i="2"/>
  <c r="X168" i="2"/>
  <c r="W168" i="2"/>
  <c r="AF158" i="2"/>
  <c r="AF145" i="2"/>
  <c r="V145" i="2"/>
  <c r="U145" i="2"/>
  <c r="T145" i="2"/>
  <c r="S145" i="2"/>
  <c r="R145" i="2"/>
  <c r="V158" i="2"/>
  <c r="U158" i="2"/>
  <c r="T158" i="2"/>
  <c r="S158" i="2"/>
  <c r="R158" i="2"/>
  <c r="AE158" i="2"/>
  <c r="AD158" i="2"/>
  <c r="AC158" i="2"/>
  <c r="AB158" i="2"/>
  <c r="AA158" i="2"/>
  <c r="Z158" i="2"/>
  <c r="Y158" i="2"/>
  <c r="X158" i="2"/>
  <c r="W158" i="2"/>
  <c r="AE145" i="2"/>
  <c r="AD145" i="2"/>
  <c r="AC145" i="2"/>
  <c r="AB145" i="2"/>
  <c r="AA145" i="2"/>
  <c r="Z145" i="2"/>
  <c r="Y145" i="2"/>
  <c r="X145" i="2"/>
  <c r="W145" i="2"/>
  <c r="V99" i="2"/>
  <c r="U99" i="2"/>
  <c r="T99" i="2"/>
  <c r="S99" i="2"/>
  <c r="R99" i="2"/>
  <c r="V91" i="2"/>
  <c r="U91" i="2"/>
  <c r="T91" i="2"/>
  <c r="S91" i="2"/>
  <c r="R91" i="2"/>
  <c r="V81" i="2"/>
  <c r="U72" i="2"/>
  <c r="U81" i="2" s="1"/>
  <c r="T72" i="2"/>
  <c r="T81" i="2" s="1"/>
  <c r="S72" i="2"/>
  <c r="S81" i="2" s="1"/>
  <c r="R72" i="2"/>
  <c r="R81" i="2" s="1"/>
  <c r="W47" i="2"/>
  <c r="V47" i="2"/>
  <c r="U47" i="2"/>
  <c r="T47" i="2"/>
  <c r="S47" i="2"/>
  <c r="R47" i="2"/>
  <c r="AF47" i="2"/>
  <c r="AF52" i="2"/>
  <c r="AF54" i="2"/>
  <c r="V54" i="2"/>
  <c r="U54" i="2"/>
  <c r="T54" i="2"/>
  <c r="S54" i="2"/>
  <c r="R54" i="2"/>
  <c r="V52" i="2"/>
  <c r="U52" i="2"/>
  <c r="T52" i="2"/>
  <c r="S52" i="2"/>
  <c r="AE54" i="2"/>
  <c r="AD54" i="2"/>
  <c r="AC54" i="2"/>
  <c r="AB54" i="2"/>
  <c r="AA54" i="2"/>
  <c r="Z54" i="2"/>
  <c r="Y54" i="2"/>
  <c r="X54" i="2"/>
  <c r="W54" i="2"/>
  <c r="AE52" i="2"/>
  <c r="AD52" i="2"/>
  <c r="AC52" i="2"/>
  <c r="AB52" i="2"/>
  <c r="AA52" i="2"/>
  <c r="Z52" i="2"/>
  <c r="Y52" i="2"/>
  <c r="X52" i="2"/>
  <c r="W52" i="2"/>
  <c r="AE47" i="2"/>
  <c r="AD47" i="2"/>
  <c r="AC47" i="2"/>
  <c r="AB47" i="2"/>
  <c r="AA47" i="2"/>
  <c r="Z47" i="2"/>
  <c r="Y47" i="2"/>
  <c r="X47" i="2"/>
  <c r="V107" i="2"/>
  <c r="U107" i="2"/>
  <c r="T107" i="2"/>
  <c r="S107" i="2"/>
  <c r="R107" i="2"/>
  <c r="AF107" i="2"/>
  <c r="AE107" i="2"/>
  <c r="AD107" i="2"/>
  <c r="AC107" i="2"/>
  <c r="AB107" i="2"/>
  <c r="AA107" i="2"/>
  <c r="Z107" i="2"/>
  <c r="Y107" i="2"/>
  <c r="X107" i="2"/>
  <c r="W107" i="2"/>
  <c r="AF99" i="2"/>
  <c r="AE99" i="2"/>
  <c r="AD99" i="2"/>
  <c r="AC99" i="2"/>
  <c r="AB99" i="2"/>
  <c r="AA99" i="2"/>
  <c r="Z99" i="2"/>
  <c r="Y99" i="2"/>
  <c r="X99" i="2"/>
  <c r="W99" i="2"/>
  <c r="AF91" i="2"/>
  <c r="AE91" i="2"/>
  <c r="AD91" i="2"/>
  <c r="AC91" i="2"/>
  <c r="AB91" i="2"/>
  <c r="AA91" i="2"/>
  <c r="Z91" i="2"/>
  <c r="Y91" i="2"/>
  <c r="X91" i="2"/>
  <c r="W91" i="2"/>
  <c r="AF72" i="2"/>
  <c r="AF81" i="2" s="1"/>
  <c r="AE72" i="2"/>
  <c r="AE81" i="2" s="1"/>
  <c r="AD72" i="2"/>
  <c r="AD81" i="2" s="1"/>
  <c r="AC72" i="2"/>
  <c r="AC81" i="2" s="1"/>
  <c r="AB72" i="2"/>
  <c r="AB81" i="2" s="1"/>
  <c r="AA72" i="2"/>
  <c r="AA81" i="2" s="1"/>
  <c r="Z72" i="2"/>
  <c r="Z81" i="2" s="1"/>
  <c r="Y72" i="2"/>
  <c r="Y81" i="2" s="1"/>
  <c r="X72" i="2"/>
  <c r="X81" i="2" s="1"/>
  <c r="W72" i="2"/>
  <c r="W81" i="2" s="1"/>
  <c r="U122" i="9" l="1"/>
  <c r="U124" i="9" s="1"/>
  <c r="E23" i="10"/>
  <c r="E27" i="10" s="1"/>
  <c r="R59" i="5"/>
  <c r="P120" i="5"/>
  <c r="P140" i="5" s="1"/>
  <c r="G53" i="11" s="1"/>
  <c r="G56" i="11" s="1"/>
  <c r="R58" i="5"/>
  <c r="I30" i="11" s="1"/>
  <c r="R14" i="14"/>
  <c r="R15" i="14" s="1"/>
  <c r="P144" i="9"/>
  <c r="P148" i="9" s="1"/>
  <c r="C39" i="10"/>
  <c r="C43" i="10" s="1"/>
  <c r="H103" i="9"/>
  <c r="W35" i="5"/>
  <c r="O24" i="11" s="1"/>
  <c r="W36" i="5"/>
  <c r="O25" i="11" s="1"/>
  <c r="W144" i="9"/>
  <c r="W148" i="9" s="1"/>
  <c r="W120" i="5"/>
  <c r="W140" i="5" s="1"/>
  <c r="O53" i="11" s="1"/>
  <c r="O56" i="11" s="1"/>
  <c r="P36" i="5"/>
  <c r="G25" i="11" s="1"/>
  <c r="L23" i="10"/>
  <c r="L27" i="10" s="1"/>
  <c r="P122" i="9"/>
  <c r="P124" i="9" s="1"/>
  <c r="W122" i="9"/>
  <c r="W124" i="9" s="1"/>
  <c r="AE21" i="9"/>
  <c r="Y59" i="5"/>
  <c r="Y58" i="5"/>
  <c r="R30" i="11" s="1"/>
  <c r="Y122" i="9"/>
  <c r="Y124" i="9" s="1"/>
  <c r="AO92" i="6"/>
  <c r="AO93" i="6" s="1"/>
  <c r="P58" i="5"/>
  <c r="G30" i="11" s="1"/>
  <c r="P59" i="5"/>
  <c r="C23" i="10"/>
  <c r="C27" i="10" s="1"/>
  <c r="S102" i="9"/>
  <c r="S103" i="9" s="1"/>
  <c r="F23" i="10"/>
  <c r="F27" i="10" s="1"/>
  <c r="U102" i="9"/>
  <c r="U103" i="9" s="1"/>
  <c r="W63" i="5"/>
  <c r="AE29" i="9"/>
  <c r="AI29" i="9" s="1"/>
  <c r="Q30" i="5"/>
  <c r="Q32" i="5" s="1"/>
  <c r="Q144" i="9" s="1"/>
  <c r="Q148" i="9" s="1"/>
  <c r="Q14" i="14"/>
  <c r="Q15" i="14" s="1"/>
  <c r="S59" i="5"/>
  <c r="T102" i="9"/>
  <c r="T103" i="9" s="1"/>
  <c r="S14" i="14"/>
  <c r="S15" i="14" s="1"/>
  <c r="S35" i="5"/>
  <c r="J24" i="11" s="1"/>
  <c r="S36" i="5"/>
  <c r="J25" i="11" s="1"/>
  <c r="S122" i="9"/>
  <c r="S124" i="9" s="1"/>
  <c r="F39" i="10"/>
  <c r="F43" i="10" s="1"/>
  <c r="S144" i="9"/>
  <c r="S148" i="9" s="1"/>
  <c r="V63" i="5"/>
  <c r="N29" i="11"/>
  <c r="AC63" i="5"/>
  <c r="R29" i="11"/>
  <c r="X59" i="5"/>
  <c r="Q29" i="11"/>
  <c r="Z14" i="14"/>
  <c r="Z15" i="14" s="1"/>
  <c r="AB102" i="9"/>
  <c r="AB103" i="9" s="1"/>
  <c r="S58" i="5"/>
  <c r="J29" i="11"/>
  <c r="AO94" i="6"/>
  <c r="AO95" i="6" s="1"/>
  <c r="AO28" i="6"/>
  <c r="AO29" i="6" s="1"/>
  <c r="AO101" i="6"/>
  <c r="AO108" i="6" s="1"/>
  <c r="AO40" i="6"/>
  <c r="AO51" i="6" s="1"/>
  <c r="AO176" i="6"/>
  <c r="AO62" i="6"/>
  <c r="AO63" i="6" s="1"/>
  <c r="AO152" i="6"/>
  <c r="AO153" i="6" s="1"/>
  <c r="AO77" i="6"/>
  <c r="AO78" i="6" s="1"/>
  <c r="AO169" i="6"/>
  <c r="AO184" i="6"/>
  <c r="AO185" i="6" s="1"/>
  <c r="AO31" i="6"/>
  <c r="AO32" i="6" s="1"/>
  <c r="AO36" i="6"/>
  <c r="Y65" i="10" s="1"/>
  <c r="AO37" i="6"/>
  <c r="AO49" i="6" s="1"/>
  <c r="AO87" i="6"/>
  <c r="AO88" i="6" s="1"/>
  <c r="AO38" i="6"/>
  <c r="AO50" i="6" s="1"/>
  <c r="X144" i="9"/>
  <c r="X148" i="9" s="1"/>
  <c r="X120" i="5"/>
  <c r="X140" i="5" s="1"/>
  <c r="Q53" i="11" s="1"/>
  <c r="Q56" i="11" s="1"/>
  <c r="R120" i="5"/>
  <c r="R140" i="5" s="1"/>
  <c r="I53" i="11" s="1"/>
  <c r="I56" i="11" s="1"/>
  <c r="E39" i="10"/>
  <c r="E43" i="10" s="1"/>
  <c r="X35" i="5"/>
  <c r="Q24" i="11" s="1"/>
  <c r="X122" i="9"/>
  <c r="X124" i="9" s="1"/>
  <c r="V30" i="5"/>
  <c r="V32" i="5" s="1"/>
  <c r="U11" i="14" s="1"/>
  <c r="U12" i="14" s="1"/>
  <c r="X36" i="5"/>
  <c r="Q25" i="11" s="1"/>
  <c r="Y14" i="14"/>
  <c r="Y15" i="14" s="1"/>
  <c r="X63" i="5"/>
  <c r="AA102" i="9"/>
  <c r="AA103" i="9" s="1"/>
  <c r="R144" i="9"/>
  <c r="R148" i="9" s="1"/>
  <c r="R36" i="5"/>
  <c r="I25" i="11" s="1"/>
  <c r="Z102" i="9"/>
  <c r="Z103" i="9" s="1"/>
  <c r="K23" i="10"/>
  <c r="K27" i="10" s="1"/>
  <c r="AB63" i="5"/>
  <c r="X58" i="5"/>
  <c r="AP87" i="6"/>
  <c r="AP94" i="6"/>
  <c r="AP37" i="6"/>
  <c r="AP175" i="6"/>
  <c r="AP169" i="6"/>
  <c r="AP77" i="6"/>
  <c r="AP36" i="6"/>
  <c r="Z65" i="10" s="1"/>
  <c r="AP62" i="6"/>
  <c r="AP40" i="6"/>
  <c r="AP184" i="6"/>
  <c r="AP92" i="6"/>
  <c r="AP38" i="6"/>
  <c r="AP101" i="6"/>
  <c r="AP152" i="6"/>
  <c r="AP28" i="6"/>
  <c r="AP176" i="6"/>
  <c r="AP31" i="6"/>
  <c r="AC48" i="6"/>
  <c r="AC64" i="6"/>
  <c r="AC65" i="6" s="1"/>
  <c r="AC55" i="6"/>
  <c r="AC57" i="6"/>
  <c r="AC79" i="6"/>
  <c r="AC80" i="6" s="1"/>
  <c r="AC50" i="6"/>
  <c r="W102" i="9"/>
  <c r="W103" i="9" s="1"/>
  <c r="U14" i="14"/>
  <c r="U15" i="14" s="1"/>
  <c r="Y102" i="9"/>
  <c r="Y103" i="9" s="1"/>
  <c r="V102" i="9"/>
  <c r="V103" i="9" s="1"/>
  <c r="I23" i="10"/>
  <c r="I27" i="10" s="1"/>
  <c r="V14" i="14"/>
  <c r="V15" i="14" s="1"/>
  <c r="X102" i="9"/>
  <c r="X103" i="9" s="1"/>
  <c r="I103" i="9"/>
  <c r="I105" i="9"/>
  <c r="Q60" i="5"/>
  <c r="T60" i="5"/>
  <c r="I60" i="5"/>
  <c r="L104" i="9"/>
  <c r="L105" i="9" s="1"/>
  <c r="Z100" i="9"/>
  <c r="Z101" i="9" s="1"/>
  <c r="AB100" i="9"/>
  <c r="AB101" i="9" s="1"/>
  <c r="Z11" i="14"/>
  <c r="Z12" i="14" s="1"/>
  <c r="T14" i="14"/>
  <c r="T15" i="14" s="1"/>
  <c r="V58" i="5"/>
  <c r="Y11" i="14"/>
  <c r="Y12" i="14" s="1"/>
  <c r="AA100" i="9"/>
  <c r="AA101" i="9" s="1"/>
  <c r="V59" i="5"/>
  <c r="W14" i="14"/>
  <c r="W15" i="14" s="1"/>
  <c r="AA64" i="5"/>
  <c r="AS70" i="9"/>
  <c r="D18" i="7"/>
  <c r="D21" i="7" s="1"/>
  <c r="AM46" i="5"/>
  <c r="D18" i="17"/>
  <c r="D19" i="17" s="1"/>
  <c r="AM61" i="5"/>
  <c r="Z63" i="5"/>
  <c r="AN48" i="6"/>
  <c r="X65" i="10"/>
  <c r="J60" i="5"/>
  <c r="J64" i="5"/>
  <c r="H31" i="10"/>
  <c r="H35" i="10" s="1"/>
  <c r="U64" i="5"/>
  <c r="J31" i="10"/>
  <c r="J35" i="10" s="1"/>
  <c r="G31" i="10"/>
  <c r="G35" i="10" s="1"/>
  <c r="D31" i="10"/>
  <c r="D35" i="10" s="1"/>
  <c r="J103" i="9"/>
  <c r="K104" i="9"/>
  <c r="K105" i="9" s="1"/>
  <c r="H64" i="5"/>
  <c r="E62" i="7"/>
  <c r="E65" i="7" s="1"/>
  <c r="G62" i="7"/>
  <c r="J104" i="9"/>
  <c r="J105" i="9" s="1"/>
  <c r="H60" i="5"/>
  <c r="AQ3" i="5"/>
  <c r="AK7" i="11"/>
  <c r="AL98" i="6"/>
  <c r="AN50" i="6"/>
  <c r="AQ3" i="6"/>
  <c r="AQ218" i="6" s="1"/>
  <c r="H19" i="7" s="1"/>
  <c r="M95" i="9"/>
  <c r="U60" i="5"/>
  <c r="G39" i="10"/>
  <c r="G43" i="10" s="1"/>
  <c r="I11" i="14"/>
  <c r="I12" i="14" s="1"/>
  <c r="W60" i="5"/>
  <c r="I17" i="14"/>
  <c r="I18" i="14" s="1"/>
  <c r="J120" i="5"/>
  <c r="J140" i="5" s="1"/>
  <c r="J169" i="5" s="1"/>
  <c r="G11" i="14"/>
  <c r="G12" i="14" s="1"/>
  <c r="E11" i="14"/>
  <c r="E12" i="14" s="1"/>
  <c r="F11" i="14"/>
  <c r="F12" i="14" s="1"/>
  <c r="S11" i="14"/>
  <c r="S12" i="14" s="1"/>
  <c r="H17" i="14"/>
  <c r="H18" i="14" s="1"/>
  <c r="H11" i="14"/>
  <c r="H12" i="14" s="1"/>
  <c r="F17" i="14"/>
  <c r="F18" i="14" s="1"/>
  <c r="G17" i="14"/>
  <c r="G18" i="14" s="1"/>
  <c r="AL91" i="6"/>
  <c r="M46" i="5"/>
  <c r="M56" i="5" s="1"/>
  <c r="C29" i="11" s="1"/>
  <c r="M61" i="5"/>
  <c r="M28" i="5"/>
  <c r="O46" i="5"/>
  <c r="O56" i="5" s="1"/>
  <c r="E29" i="11" s="1"/>
  <c r="O61" i="5"/>
  <c r="O28" i="5"/>
  <c r="M32" i="9"/>
  <c r="M33" i="9" s="1"/>
  <c r="M10" i="9"/>
  <c r="M11" i="9" s="1"/>
  <c r="M43" i="9"/>
  <c r="M28" i="9"/>
  <c r="M29" i="9" s="1"/>
  <c r="M54" i="9"/>
  <c r="M24" i="9"/>
  <c r="M25" i="9" s="1"/>
  <c r="M20" i="9"/>
  <c r="M21" i="9" s="1"/>
  <c r="N43" i="9"/>
  <c r="O28" i="9"/>
  <c r="O29" i="9" s="1"/>
  <c r="N32" i="9"/>
  <c r="N33" i="9" s="1"/>
  <c r="O32" i="9"/>
  <c r="O33" i="9" s="1"/>
  <c r="O117" i="9"/>
  <c r="L95" i="9"/>
  <c r="O43" i="9"/>
  <c r="O95" i="9"/>
  <c r="N10" i="9"/>
  <c r="N11" i="9" s="1"/>
  <c r="M117" i="9"/>
  <c r="N20" i="9"/>
  <c r="N21" i="9" s="1"/>
  <c r="N24" i="9"/>
  <c r="N25" i="9" s="1"/>
  <c r="N95" i="9"/>
  <c r="L10" i="9"/>
  <c r="L11" i="9" s="1"/>
  <c r="L24" i="9"/>
  <c r="L25" i="9" s="1"/>
  <c r="L28" i="9"/>
  <c r="L29" i="9" s="1"/>
  <c r="L20" i="9"/>
  <c r="L21" i="9" s="1"/>
  <c r="L32" i="9"/>
  <c r="L33" i="9" s="1"/>
  <c r="N28" i="9"/>
  <c r="N29" i="9" s="1"/>
  <c r="O10" i="9"/>
  <c r="O11" i="9" s="1"/>
  <c r="L117" i="9"/>
  <c r="L54" i="9"/>
  <c r="L43" i="9"/>
  <c r="N54" i="9"/>
  <c r="O24" i="9"/>
  <c r="O25" i="9" s="1"/>
  <c r="O20" i="9"/>
  <c r="O21" i="9" s="1"/>
  <c r="N117" i="9"/>
  <c r="O54" i="9"/>
  <c r="U35" i="5"/>
  <c r="M24" i="11" s="1"/>
  <c r="H39" i="10"/>
  <c r="H43" i="10" s="1"/>
  <c r="P24" i="9"/>
  <c r="P25" i="9" s="1"/>
  <c r="P20" i="9"/>
  <c r="P21" i="9" s="1"/>
  <c r="P54" i="9"/>
  <c r="P32" i="9"/>
  <c r="P33" i="9" s="1"/>
  <c r="P28" i="9"/>
  <c r="P29" i="9" s="1"/>
  <c r="P95" i="9"/>
  <c r="P117" i="9"/>
  <c r="P10" i="9"/>
  <c r="P11" i="9" s="1"/>
  <c r="P43" i="9"/>
  <c r="R32" i="9"/>
  <c r="R33" i="9" s="1"/>
  <c r="R117" i="9"/>
  <c r="R20" i="9"/>
  <c r="R21" i="9" s="1"/>
  <c r="R54" i="9"/>
  <c r="R10" i="9"/>
  <c r="R11" i="9" s="1"/>
  <c r="R28" i="9"/>
  <c r="R29" i="9" s="1"/>
  <c r="R24" i="9"/>
  <c r="R25" i="9" s="1"/>
  <c r="R43" i="9"/>
  <c r="R95" i="9"/>
  <c r="N28" i="5"/>
  <c r="N46" i="5"/>
  <c r="N56" i="5" s="1"/>
  <c r="D29" i="11" s="1"/>
  <c r="N61" i="5"/>
  <c r="Q43" i="9"/>
  <c r="Q95" i="9"/>
  <c r="Q28" i="9"/>
  <c r="Q29" i="9" s="1"/>
  <c r="Q10" i="9"/>
  <c r="Q11" i="9" s="1"/>
  <c r="Q32" i="9"/>
  <c r="Q33" i="9" s="1"/>
  <c r="Q20" i="9"/>
  <c r="Q21" i="9" s="1"/>
  <c r="Q117" i="9"/>
  <c r="Q54" i="9"/>
  <c r="Q24" i="9"/>
  <c r="Q25" i="9" s="1"/>
  <c r="Y120" i="5"/>
  <c r="Y140" i="5" s="1"/>
  <c r="R53" i="11" s="1"/>
  <c r="R56" i="11" s="1"/>
  <c r="L39" i="10"/>
  <c r="L43" i="10" s="1"/>
  <c r="L28" i="5"/>
  <c r="L46" i="5"/>
  <c r="L56" i="5" s="1"/>
  <c r="B29" i="11" s="1"/>
  <c r="L61" i="5"/>
  <c r="N132" i="6"/>
  <c r="N134" i="6" s="1"/>
  <c r="N135" i="6" s="1"/>
  <c r="AL105" i="6"/>
  <c r="AN63" i="6"/>
  <c r="U120" i="5"/>
  <c r="U140" i="5" s="1"/>
  <c r="M53" i="11" s="1"/>
  <c r="M56" i="11" s="1"/>
  <c r="J36" i="5"/>
  <c r="AK36" i="5"/>
  <c r="AK100" i="9"/>
  <c r="AH11" i="11"/>
  <c r="X37" i="11"/>
  <c r="AJ7" i="11"/>
  <c r="J100" i="9"/>
  <c r="J101" i="9" s="1"/>
  <c r="I100" i="9"/>
  <c r="I101" i="9" s="1"/>
  <c r="H100" i="9"/>
  <c r="H101" i="9" s="1"/>
  <c r="U144" i="9"/>
  <c r="U148" i="9" s="1"/>
  <c r="K35" i="5"/>
  <c r="K100" i="9"/>
  <c r="K101" i="9" s="1"/>
  <c r="U100" i="9"/>
  <c r="U101" i="9" s="1"/>
  <c r="AM90" i="6"/>
  <c r="AN41" i="6"/>
  <c r="X73" i="10" s="1"/>
  <c r="AN49" i="6"/>
  <c r="AN78" i="6"/>
  <c r="AN72" i="6"/>
  <c r="AM104" i="6"/>
  <c r="AM105" i="6" s="1"/>
  <c r="AM52" i="6"/>
  <c r="AN32" i="6"/>
  <c r="AN122" i="6"/>
  <c r="AN123" i="6" s="1"/>
  <c r="AN108" i="6"/>
  <c r="AN102" i="6"/>
  <c r="AK120" i="5"/>
  <c r="Q160" i="2"/>
  <c r="Q172" i="2"/>
  <c r="Q167" i="2"/>
  <c r="Q171" i="2" s="1"/>
  <c r="Q173" i="2" s="1"/>
  <c r="O160" i="2"/>
  <c r="O167" i="2"/>
  <c r="O171" i="2" s="1"/>
  <c r="O173" i="2" s="1"/>
  <c r="O172" i="2"/>
  <c r="M160" i="2"/>
  <c r="M163" i="2" s="1"/>
  <c r="N162" i="2" s="1"/>
  <c r="M167" i="2"/>
  <c r="M171" i="2" s="1"/>
  <c r="M173" i="2" s="1"/>
  <c r="M172" i="2"/>
  <c r="K36" i="5"/>
  <c r="U36" i="5"/>
  <c r="M25" i="11" s="1"/>
  <c r="P120" i="4"/>
  <c r="P121" i="4" s="1"/>
  <c r="O120" i="4"/>
  <c r="O121" i="4" s="1"/>
  <c r="Y35" i="5"/>
  <c r="R24" i="11" s="1"/>
  <c r="P38" i="2"/>
  <c r="P35" i="2"/>
  <c r="Q35" i="2"/>
  <c r="Q38" i="2"/>
  <c r="Q120" i="4"/>
  <c r="Q121" i="4" s="1"/>
  <c r="R120" i="4"/>
  <c r="R121" i="4" s="1"/>
  <c r="N137" i="2"/>
  <c r="P117" i="2"/>
  <c r="P137" i="2" s="1"/>
  <c r="I162" i="5"/>
  <c r="S169" i="5"/>
  <c r="S178" i="5" s="1"/>
  <c r="S162" i="5"/>
  <c r="F140" i="5"/>
  <c r="F144" i="9"/>
  <c r="F148" i="9" s="1"/>
  <c r="G140" i="5"/>
  <c r="G144" i="9"/>
  <c r="G148" i="9" s="1"/>
  <c r="AK35" i="5"/>
  <c r="AK144" i="9"/>
  <c r="Y36" i="5"/>
  <c r="R25" i="11" s="1"/>
  <c r="Y144" i="9"/>
  <c r="Y148" i="9" s="1"/>
  <c r="H140" i="5"/>
  <c r="H144" i="9"/>
  <c r="H148" i="9" s="1"/>
  <c r="T120" i="5"/>
  <c r="T140" i="5" s="1"/>
  <c r="L53" i="11" s="1"/>
  <c r="L56" i="11" s="1"/>
  <c r="T144" i="9"/>
  <c r="T148" i="9" s="1"/>
  <c r="T35" i="5"/>
  <c r="L24" i="11" s="1"/>
  <c r="T36" i="5"/>
  <c r="L25" i="11" s="1"/>
  <c r="J35" i="5"/>
  <c r="J144" i="9"/>
  <c r="J148" i="9" s="1"/>
  <c r="K120" i="5"/>
  <c r="K140" i="5" s="1"/>
  <c r="K144" i="9"/>
  <c r="K148" i="9" s="1"/>
  <c r="Q65" i="10"/>
  <c r="AE73" i="6"/>
  <c r="AE90" i="6"/>
  <c r="AE94" i="6" s="1"/>
  <c r="AF73" i="6"/>
  <c r="AF90" i="6"/>
  <c r="AF94" i="6" s="1"/>
  <c r="AH72" i="6"/>
  <c r="AH88" i="6"/>
  <c r="AI72" i="6"/>
  <c r="AI88" i="6"/>
  <c r="U108" i="2"/>
  <c r="U109" i="2" s="1"/>
  <c r="AF23" i="2"/>
  <c r="I173" i="5"/>
  <c r="I174" i="5"/>
  <c r="V108" i="2"/>
  <c r="V109" i="2" s="1"/>
  <c r="R108" i="2"/>
  <c r="R109" i="2" s="1"/>
  <c r="AA108" i="2"/>
  <c r="AA109" i="2" s="1"/>
  <c r="T108" i="2"/>
  <c r="T109" i="2" s="1"/>
  <c r="AC108" i="2"/>
  <c r="AC109" i="2" s="1"/>
  <c r="AD108" i="2"/>
  <c r="AD109" i="2" s="1"/>
  <c r="Y108" i="2"/>
  <c r="Y109" i="2" s="1"/>
  <c r="W108" i="2"/>
  <c r="W109" i="2" s="1"/>
  <c r="AE108" i="2"/>
  <c r="AE109" i="2" s="1"/>
  <c r="X108" i="2"/>
  <c r="X109" i="2" s="1"/>
  <c r="AB108" i="2"/>
  <c r="AB109" i="2" s="1"/>
  <c r="Z108" i="2"/>
  <c r="Z109" i="2" s="1"/>
  <c r="S108" i="2"/>
  <c r="S109" i="2" s="1"/>
  <c r="AF108" i="2"/>
  <c r="AF109" i="2" s="1"/>
  <c r="E31" i="10" l="1"/>
  <c r="E35" i="10" s="1"/>
  <c r="R60" i="5"/>
  <c r="P169" i="5"/>
  <c r="P162" i="5"/>
  <c r="V104" i="9"/>
  <c r="V105" i="9" s="1"/>
  <c r="J47" i="10"/>
  <c r="C47" i="10"/>
  <c r="W162" i="5"/>
  <c r="W169" i="5"/>
  <c r="W178" i="5" s="1"/>
  <c r="R11" i="14"/>
  <c r="R12" i="14" s="1"/>
  <c r="D39" i="10"/>
  <c r="D43" i="10" s="1"/>
  <c r="T100" i="9"/>
  <c r="T101" i="9" s="1"/>
  <c r="Q11" i="14"/>
  <c r="Q12" i="14" s="1"/>
  <c r="S100" i="9"/>
  <c r="S101" i="9" s="1"/>
  <c r="T64" i="5"/>
  <c r="Y60" i="5"/>
  <c r="AC104" i="9"/>
  <c r="Y17" i="14"/>
  <c r="Y18" i="14" s="1"/>
  <c r="Y64" i="5"/>
  <c r="L31" i="10"/>
  <c r="L35" i="10" s="1"/>
  <c r="Z17" i="14"/>
  <c r="Z18" i="14" s="1"/>
  <c r="AC64" i="5"/>
  <c r="C31" i="10"/>
  <c r="C35" i="10" s="1"/>
  <c r="P60" i="5"/>
  <c r="AP93" i="6"/>
  <c r="Q120" i="5"/>
  <c r="Q140" i="5" s="1"/>
  <c r="H53" i="11" s="1"/>
  <c r="H56" i="11" s="1"/>
  <c r="Q36" i="5"/>
  <c r="H25" i="11" s="1"/>
  <c r="Q35" i="5"/>
  <c r="H24" i="11" s="1"/>
  <c r="C16" i="15"/>
  <c r="C39" i="15" s="1"/>
  <c r="AP63" i="6"/>
  <c r="J162" i="5"/>
  <c r="F47" i="10"/>
  <c r="X100" i="9"/>
  <c r="X101" i="9" s="1"/>
  <c r="I39" i="10"/>
  <c r="I43" i="10" s="1"/>
  <c r="AP88" i="6"/>
  <c r="AP102" i="6"/>
  <c r="AP51" i="6"/>
  <c r="AP153" i="6"/>
  <c r="AO72" i="6"/>
  <c r="AO90" i="6" s="1"/>
  <c r="AO48" i="6"/>
  <c r="AP48" i="6"/>
  <c r="AP95" i="6"/>
  <c r="E47" i="10"/>
  <c r="R162" i="5"/>
  <c r="R169" i="5"/>
  <c r="R178" i="5" s="1"/>
  <c r="X169" i="5"/>
  <c r="X173" i="5" s="1"/>
  <c r="X158" i="9" s="1"/>
  <c r="X162" i="5"/>
  <c r="K47" i="10"/>
  <c r="Q17" i="14"/>
  <c r="Q18" i="14" s="1"/>
  <c r="R17" i="14"/>
  <c r="R18" i="14" s="1"/>
  <c r="W64" i="5"/>
  <c r="T104" i="9"/>
  <c r="T105" i="9" s="1"/>
  <c r="S17" i="14"/>
  <c r="S18" i="14" s="1"/>
  <c r="U104" i="9"/>
  <c r="U105" i="9" s="1"/>
  <c r="X64" i="5"/>
  <c r="Q30" i="11"/>
  <c r="V60" i="5"/>
  <c r="N30" i="11"/>
  <c r="J30" i="11"/>
  <c r="F31" i="10"/>
  <c r="F35" i="10" s="1"/>
  <c r="S60" i="5"/>
  <c r="AO102" i="6"/>
  <c r="AO41" i="6"/>
  <c r="AO52" i="6" s="1"/>
  <c r="AP185" i="6"/>
  <c r="AO122" i="6"/>
  <c r="AO123" i="6" s="1"/>
  <c r="AP49" i="6"/>
  <c r="AQ147" i="6"/>
  <c r="AP50" i="6"/>
  <c r="AP32" i="6"/>
  <c r="Y100" i="9"/>
  <c r="Y101" i="9" s="1"/>
  <c r="AQ116" i="5"/>
  <c r="AQ55" i="5"/>
  <c r="V36" i="5"/>
  <c r="N25" i="11" s="1"/>
  <c r="T11" i="14"/>
  <c r="T12" i="14" s="1"/>
  <c r="V144" i="9"/>
  <c r="V148" i="9" s="1"/>
  <c r="V120" i="5"/>
  <c r="V140" i="5" s="1"/>
  <c r="N53" i="11" s="1"/>
  <c r="N56" i="11" s="1"/>
  <c r="V35" i="5"/>
  <c r="N24" i="11" s="1"/>
  <c r="W100" i="9"/>
  <c r="W101" i="9" s="1"/>
  <c r="V100" i="9"/>
  <c r="V101" i="9" s="1"/>
  <c r="W11" i="14"/>
  <c r="W12" i="14" s="1"/>
  <c r="V11" i="14"/>
  <c r="V12" i="14" s="1"/>
  <c r="AA104" i="9"/>
  <c r="AA105" i="9" s="1"/>
  <c r="AB104" i="9"/>
  <c r="AB105" i="9" s="1"/>
  <c r="X60" i="5"/>
  <c r="AB64" i="5"/>
  <c r="K31" i="10"/>
  <c r="K35" i="10" s="1"/>
  <c r="AQ4" i="6"/>
  <c r="AP108" i="6"/>
  <c r="AP72" i="6"/>
  <c r="AP90" i="6" s="1"/>
  <c r="AP97" i="6" s="1"/>
  <c r="AP29" i="6"/>
  <c r="AP41" i="6"/>
  <c r="AQ92" i="6"/>
  <c r="AQ93" i="6" s="1"/>
  <c r="AQ77" i="6"/>
  <c r="AQ78" i="6" s="1"/>
  <c r="AQ62" i="6"/>
  <c r="D8" i="20" s="1"/>
  <c r="AP122" i="6"/>
  <c r="AP78" i="6"/>
  <c r="AE96" i="6"/>
  <c r="AC120" i="6"/>
  <c r="AC67" i="6" s="1"/>
  <c r="AC194" i="6"/>
  <c r="AG194" i="6" s="1"/>
  <c r="Z64" i="5"/>
  <c r="V17" i="14"/>
  <c r="V18" i="14" s="1"/>
  <c r="V64" i="5"/>
  <c r="T17" i="14"/>
  <c r="T18" i="14" s="1"/>
  <c r="I31" i="10"/>
  <c r="I35" i="10" s="1"/>
  <c r="Y104" i="9"/>
  <c r="Y105" i="9" s="1"/>
  <c r="Z104" i="9"/>
  <c r="Z105" i="9" s="1"/>
  <c r="U17" i="14"/>
  <c r="U18" i="14" s="1"/>
  <c r="W17" i="14"/>
  <c r="W18" i="14" s="1"/>
  <c r="W104" i="9"/>
  <c r="W105" i="9" s="1"/>
  <c r="X104" i="9"/>
  <c r="X105" i="9" s="1"/>
  <c r="AR3" i="5"/>
  <c r="AR26" i="5" s="1"/>
  <c r="AS26" i="5" s="1"/>
  <c r="AQ19" i="5"/>
  <c r="AQ128" i="5"/>
  <c r="AQ53" i="5"/>
  <c r="AQ139" i="5"/>
  <c r="AQ115" i="5"/>
  <c r="AQ93" i="5"/>
  <c r="AQ51" i="5"/>
  <c r="AQ127" i="5"/>
  <c r="AQ105" i="5"/>
  <c r="AQ98" i="5"/>
  <c r="AQ101" i="5"/>
  <c r="Q93" i="10"/>
  <c r="I175" i="5"/>
  <c r="I176" i="5"/>
  <c r="L63" i="5"/>
  <c r="P63" i="5"/>
  <c r="M63" i="5"/>
  <c r="Q63" i="5"/>
  <c r="N63" i="5"/>
  <c r="R63" i="5"/>
  <c r="P14" i="14"/>
  <c r="P15" i="14" s="1"/>
  <c r="O63" i="5"/>
  <c r="S63" i="5"/>
  <c r="J174" i="5"/>
  <c r="J178" i="5"/>
  <c r="G65" i="7"/>
  <c r="Y169" i="5"/>
  <c r="Y174" i="5" s="1"/>
  <c r="P173" i="5"/>
  <c r="G59" i="11" s="1"/>
  <c r="P178" i="5"/>
  <c r="Y162" i="5"/>
  <c r="AQ57" i="5"/>
  <c r="AQ20" i="5"/>
  <c r="AQ7" i="5"/>
  <c r="AQ54" i="5"/>
  <c r="AQ146" i="5"/>
  <c r="H72" i="12" s="1"/>
  <c r="AQ124" i="5"/>
  <c r="AQ160" i="5"/>
  <c r="AQ52" i="5"/>
  <c r="AQ50" i="5"/>
  <c r="AQ4" i="5"/>
  <c r="AQ31" i="5"/>
  <c r="AQ129" i="5"/>
  <c r="AQ157" i="5"/>
  <c r="AQ126" i="5"/>
  <c r="J173" i="5"/>
  <c r="AQ147" i="5"/>
  <c r="AQ154" i="5"/>
  <c r="AQ48" i="5"/>
  <c r="AQ108" i="5"/>
  <c r="AQ103" i="5"/>
  <c r="AQ114" i="5"/>
  <c r="AQ26" i="5"/>
  <c r="AQ8" i="5"/>
  <c r="Z7" i="11" s="1"/>
  <c r="AR3" i="6"/>
  <c r="AR218" i="6" s="1"/>
  <c r="I19" i="7" s="1"/>
  <c r="AQ141" i="6"/>
  <c r="AQ11" i="6" s="1"/>
  <c r="AQ152" i="6"/>
  <c r="AQ171" i="6"/>
  <c r="AQ165" i="6"/>
  <c r="C15" i="15"/>
  <c r="C38" i="15" s="1"/>
  <c r="AQ184" i="6"/>
  <c r="AQ12" i="6" s="1"/>
  <c r="AQ151" i="6"/>
  <c r="AQ169" i="6"/>
  <c r="AE95" i="6"/>
  <c r="AF96" i="6"/>
  <c r="AF95" i="6"/>
  <c r="N14" i="14"/>
  <c r="N15" i="14" s="1"/>
  <c r="O14" i="14"/>
  <c r="O15" i="14" s="1"/>
  <c r="M14" i="14"/>
  <c r="M15" i="14" s="1"/>
  <c r="L14" i="14"/>
  <c r="L15" i="14" s="1"/>
  <c r="K14" i="14"/>
  <c r="K15" i="14" s="1"/>
  <c r="J14" i="14"/>
  <c r="J15" i="14" s="1"/>
  <c r="AE91" i="6"/>
  <c r="AE97" i="6"/>
  <c r="AE98" i="6" s="1"/>
  <c r="AM91" i="6"/>
  <c r="AM97" i="6"/>
  <c r="AM98" i="6" s="1"/>
  <c r="AF91" i="6"/>
  <c r="AF97" i="6"/>
  <c r="AF98" i="6" s="1"/>
  <c r="M30" i="5"/>
  <c r="M32" i="5" s="1"/>
  <c r="M122" i="9"/>
  <c r="M124" i="9" s="1"/>
  <c r="N30" i="5"/>
  <c r="N32" i="5" s="1"/>
  <c r="N122" i="9"/>
  <c r="N124" i="9" s="1"/>
  <c r="O59" i="5"/>
  <c r="R102" i="9"/>
  <c r="R103" i="9" s="1"/>
  <c r="O58" i="5"/>
  <c r="E30" i="11" s="1"/>
  <c r="G47" i="10"/>
  <c r="L59" i="5"/>
  <c r="O102" i="9"/>
  <c r="O103" i="9" s="1"/>
  <c r="M102" i="9"/>
  <c r="M103" i="9" s="1"/>
  <c r="N102" i="9"/>
  <c r="N103" i="9" s="1"/>
  <c r="L102" i="9"/>
  <c r="L103" i="9" s="1"/>
  <c r="L58" i="5"/>
  <c r="B30" i="11" s="1"/>
  <c r="M58" i="5"/>
  <c r="C30" i="11" s="1"/>
  <c r="M59" i="5"/>
  <c r="P102" i="9"/>
  <c r="P103" i="9" s="1"/>
  <c r="L47" i="10"/>
  <c r="L122" i="9"/>
  <c r="L124" i="9" s="1"/>
  <c r="L30" i="5"/>
  <c r="L32" i="5" s="1"/>
  <c r="P174" i="5"/>
  <c r="H47" i="10"/>
  <c r="O30" i="5"/>
  <c r="O32" i="5" s="1"/>
  <c r="P11" i="14" s="1"/>
  <c r="P12" i="14" s="1"/>
  <c r="O122" i="9"/>
  <c r="O124" i="9" s="1"/>
  <c r="N58" i="5"/>
  <c r="D30" i="11" s="1"/>
  <c r="N59" i="5"/>
  <c r="Q102" i="9"/>
  <c r="Q103" i="9" s="1"/>
  <c r="O132" i="6"/>
  <c r="O134" i="6" s="1"/>
  <c r="O135" i="6" s="1"/>
  <c r="K38" i="8"/>
  <c r="U169" i="5"/>
  <c r="U178" i="5" s="1"/>
  <c r="U162" i="5"/>
  <c r="AH18" i="11"/>
  <c r="AE79" i="5"/>
  <c r="Y37" i="11" s="1"/>
  <c r="AN73" i="6"/>
  <c r="AN90" i="6"/>
  <c r="AN104" i="6"/>
  <c r="AN105" i="6" s="1"/>
  <c r="AN52" i="6"/>
  <c r="P160" i="2"/>
  <c r="P172" i="2"/>
  <c r="P167" i="2"/>
  <c r="P171" i="2" s="1"/>
  <c r="P173" i="2" s="1"/>
  <c r="N160" i="2"/>
  <c r="N163" i="2" s="1"/>
  <c r="N164" i="2" s="1"/>
  <c r="N167" i="2"/>
  <c r="N171" i="2" s="1"/>
  <c r="N173" i="2" s="1"/>
  <c r="N172" i="2"/>
  <c r="M164" i="2"/>
  <c r="F169" i="5"/>
  <c r="F178" i="5" s="1"/>
  <c r="F162" i="5"/>
  <c r="F165" i="5" s="1"/>
  <c r="G169" i="5"/>
  <c r="G178" i="5" s="1"/>
  <c r="G162" i="5"/>
  <c r="X26" i="11"/>
  <c r="T169" i="5"/>
  <c r="T178" i="5" s="1"/>
  <c r="T162" i="5"/>
  <c r="W173" i="5"/>
  <c r="S174" i="5"/>
  <c r="S173" i="5"/>
  <c r="H169" i="5"/>
  <c r="H178" i="5" s="1"/>
  <c r="H162" i="5"/>
  <c r="K169" i="5"/>
  <c r="K178" i="5" s="1"/>
  <c r="K162" i="5"/>
  <c r="AH73" i="6"/>
  <c r="AH90" i="6"/>
  <c r="AH94" i="6" s="1"/>
  <c r="AI73" i="6"/>
  <c r="AI90" i="6"/>
  <c r="AI94" i="6" s="1"/>
  <c r="AE38" i="6"/>
  <c r="AF28" i="2"/>
  <c r="AF30" i="2" s="1"/>
  <c r="AF32" i="2" s="1"/>
  <c r="AJ120" i="4" s="1"/>
  <c r="AJ121" i="4" s="1"/>
  <c r="AF46" i="2"/>
  <c r="AF56" i="2" s="1"/>
  <c r="X27" i="2"/>
  <c r="Y27" i="2"/>
  <c r="Z27" i="2"/>
  <c r="AA27" i="2"/>
  <c r="AB27" i="2"/>
  <c r="AC27" i="2"/>
  <c r="AD27" i="2"/>
  <c r="AE27" i="2"/>
  <c r="W27" i="2"/>
  <c r="V27" i="2"/>
  <c r="U27" i="2"/>
  <c r="T27" i="2"/>
  <c r="S27" i="2"/>
  <c r="R27" i="2"/>
  <c r="AE22" i="2"/>
  <c r="AD22" i="2"/>
  <c r="AC22" i="2"/>
  <c r="AB22" i="2"/>
  <c r="AA22" i="2"/>
  <c r="Z22" i="2"/>
  <c r="Y22" i="2"/>
  <c r="X22" i="2"/>
  <c r="W22" i="2"/>
  <c r="V22" i="2"/>
  <c r="U22" i="2"/>
  <c r="T22" i="2"/>
  <c r="S22" i="2"/>
  <c r="R22" i="2"/>
  <c r="V8" i="2"/>
  <c r="AE11" i="2"/>
  <c r="AD11" i="2"/>
  <c r="AC11" i="2"/>
  <c r="AB11" i="2"/>
  <c r="AA11" i="2"/>
  <c r="Z11" i="2"/>
  <c r="Y11" i="2"/>
  <c r="X11" i="2"/>
  <c r="W11" i="2"/>
  <c r="W174" i="5" l="1"/>
  <c r="R173" i="5"/>
  <c r="R176" i="5" s="1"/>
  <c r="R174" i="5"/>
  <c r="D47" i="10"/>
  <c r="Q162" i="5"/>
  <c r="Q169" i="5"/>
  <c r="Q178" i="5" s="1"/>
  <c r="Z17" i="11"/>
  <c r="AL17" i="11" s="1"/>
  <c r="X175" i="5"/>
  <c r="K51" i="10"/>
  <c r="K55" i="10" s="1"/>
  <c r="X178" i="5"/>
  <c r="AO104" i="6"/>
  <c r="AO105" i="6" s="1"/>
  <c r="AO73" i="6"/>
  <c r="AR152" i="6"/>
  <c r="AR62" i="6"/>
  <c r="AR63" i="6" s="1"/>
  <c r="Y73" i="10"/>
  <c r="AP52" i="6"/>
  <c r="Q59" i="11"/>
  <c r="X176" i="5"/>
  <c r="X174" i="5"/>
  <c r="AP123" i="6"/>
  <c r="S176" i="5"/>
  <c r="J59" i="11"/>
  <c r="AL7" i="11"/>
  <c r="W176" i="5"/>
  <c r="O59" i="11"/>
  <c r="Z6" i="11"/>
  <c r="AL6" i="11" s="1"/>
  <c r="AR184" i="6"/>
  <c r="AR185" i="6" s="1"/>
  <c r="AQ94" i="6"/>
  <c r="AQ95" i="6" s="1"/>
  <c r="P175" i="5"/>
  <c r="AR4" i="5"/>
  <c r="I47" i="10"/>
  <c r="AR116" i="5"/>
  <c r="AR57" i="5"/>
  <c r="AR48" i="5"/>
  <c r="AR126" i="5"/>
  <c r="AR55" i="5"/>
  <c r="AR31" i="5"/>
  <c r="AR19" i="5"/>
  <c r="AR51" i="5"/>
  <c r="AR50" i="5"/>
  <c r="AR115" i="5"/>
  <c r="AR20" i="5"/>
  <c r="AR128" i="5"/>
  <c r="AR54" i="5"/>
  <c r="AR52" i="5"/>
  <c r="AR127" i="5"/>
  <c r="AR7" i="5"/>
  <c r="AR139" i="5"/>
  <c r="AR53" i="5"/>
  <c r="AR155" i="5"/>
  <c r="I78" i="12" s="1"/>
  <c r="AR160" i="5"/>
  <c r="AR129" i="5"/>
  <c r="AR146" i="5"/>
  <c r="I72" i="12" s="1"/>
  <c r="AR124" i="5"/>
  <c r="AS124" i="5" s="1"/>
  <c r="AR108" i="5"/>
  <c r="AS108" i="5" s="1"/>
  <c r="AR157" i="5"/>
  <c r="V162" i="5"/>
  <c r="V169" i="5"/>
  <c r="V178" i="5" s="1"/>
  <c r="AS3" i="5"/>
  <c r="AR147" i="5"/>
  <c r="AR114" i="5"/>
  <c r="AR105" i="5"/>
  <c r="AR98" i="5"/>
  <c r="AR101" i="5"/>
  <c r="AS101" i="5" s="1"/>
  <c r="AR93" i="5"/>
  <c r="AS93" i="5" s="1"/>
  <c r="AR103" i="5"/>
  <c r="AR154" i="5"/>
  <c r="AR8" i="5"/>
  <c r="AE7" i="11" s="1"/>
  <c r="AR169" i="6"/>
  <c r="AS3" i="6"/>
  <c r="AS94" i="6" s="1"/>
  <c r="AR141" i="6"/>
  <c r="AR142" i="6" s="1"/>
  <c r="AR165" i="6"/>
  <c r="AR166" i="6" s="1"/>
  <c r="AS166" i="6" s="1"/>
  <c r="AR151" i="6"/>
  <c r="AR4" i="6"/>
  <c r="AR147" i="6"/>
  <c r="AR148" i="6" s="1"/>
  <c r="AR190" i="6"/>
  <c r="AR14" i="6" s="1"/>
  <c r="AR92" i="6"/>
  <c r="AR93" i="6" s="1"/>
  <c r="AP73" i="6"/>
  <c r="AR77" i="6"/>
  <c r="AR78" i="6" s="1"/>
  <c r="AR171" i="6"/>
  <c r="AP91" i="6"/>
  <c r="Z73" i="10"/>
  <c r="AP104" i="6"/>
  <c r="AC68" i="6"/>
  <c r="AC69" i="6"/>
  <c r="AC70" i="6" s="1"/>
  <c r="AF58" i="2"/>
  <c r="AJ122" i="4"/>
  <c r="AJ123" i="4" s="1"/>
  <c r="AQ63" i="6"/>
  <c r="O38" i="8"/>
  <c r="AE55" i="6"/>
  <c r="R65" i="10"/>
  <c r="AF36" i="6"/>
  <c r="S65" i="10" s="1"/>
  <c r="L64" i="5"/>
  <c r="P64" i="5"/>
  <c r="C51" i="10"/>
  <c r="C55" i="10" s="1"/>
  <c r="P176" i="5"/>
  <c r="P17" i="14"/>
  <c r="P18" i="14" s="1"/>
  <c r="O64" i="5"/>
  <c r="S64" i="5"/>
  <c r="N64" i="5"/>
  <c r="R64" i="5"/>
  <c r="J175" i="5"/>
  <c r="J176" i="5"/>
  <c r="M64" i="5"/>
  <c r="Q64" i="5"/>
  <c r="U174" i="5"/>
  <c r="U173" i="5"/>
  <c r="M59" i="11" s="1"/>
  <c r="Y173" i="5"/>
  <c r="Y178" i="5"/>
  <c r="AQ185" i="6"/>
  <c r="E51" i="10"/>
  <c r="E55" i="10" s="1"/>
  <c r="R158" i="9"/>
  <c r="J51" i="10"/>
  <c r="J55" i="10" s="1"/>
  <c r="W158" i="9"/>
  <c r="F51" i="10"/>
  <c r="F55" i="10" s="1"/>
  <c r="S158" i="9"/>
  <c r="O17" i="14"/>
  <c r="O18" i="14" s="1"/>
  <c r="AQ38" i="6"/>
  <c r="AQ20" i="6" s="1"/>
  <c r="AA93" i="10" s="1"/>
  <c r="AE20" i="6"/>
  <c r="AE48" i="6"/>
  <c r="AE120" i="6"/>
  <c r="AE28" i="6"/>
  <c r="AE29" i="6" s="1"/>
  <c r="AM132" i="6"/>
  <c r="AQ36" i="6"/>
  <c r="AI96" i="6"/>
  <c r="AI95" i="6"/>
  <c r="AH95" i="6"/>
  <c r="N11" i="14"/>
  <c r="N12" i="14" s="1"/>
  <c r="N17" i="14"/>
  <c r="N18" i="14" s="1"/>
  <c r="O11" i="14"/>
  <c r="O12" i="14" s="1"/>
  <c r="M11" i="14"/>
  <c r="M12" i="14" s="1"/>
  <c r="J11" i="14"/>
  <c r="J12" i="14" s="1"/>
  <c r="L11" i="14"/>
  <c r="L12" i="14" s="1"/>
  <c r="K11" i="14"/>
  <c r="K12" i="14" s="1"/>
  <c r="M17" i="14"/>
  <c r="M18" i="14" s="1"/>
  <c r="L17" i="14"/>
  <c r="L18" i="14" s="1"/>
  <c r="K17" i="14"/>
  <c r="K18" i="14" s="1"/>
  <c r="J17" i="14"/>
  <c r="J18" i="14" s="1"/>
  <c r="AH91" i="6"/>
  <c r="AH97" i="6"/>
  <c r="AH98" i="6" s="1"/>
  <c r="D33" i="8"/>
  <c r="E33" i="8" s="1"/>
  <c r="AO97" i="6"/>
  <c r="AP98" i="6" s="1"/>
  <c r="AN91" i="6"/>
  <c r="AN97" i="6"/>
  <c r="AN98" i="6" s="1"/>
  <c r="AI91" i="6"/>
  <c r="AI97" i="6"/>
  <c r="AI98" i="6" s="1"/>
  <c r="K39" i="8"/>
  <c r="L38" i="8"/>
  <c r="L39" i="8" s="1"/>
  <c r="O35" i="5"/>
  <c r="E24" i="11" s="1"/>
  <c r="O36" i="5"/>
  <c r="E25" i="11" s="1"/>
  <c r="R100" i="9"/>
  <c r="R101" i="9" s="1"/>
  <c r="O120" i="5"/>
  <c r="O140" i="5" s="1"/>
  <c r="E53" i="11" s="1"/>
  <c r="E56" i="11" s="1"/>
  <c r="O144" i="9"/>
  <c r="O148" i="9" s="1"/>
  <c r="N60" i="5"/>
  <c r="R104" i="9"/>
  <c r="R105" i="9" s="1"/>
  <c r="S104" i="9"/>
  <c r="S105" i="9" s="1"/>
  <c r="O60" i="5"/>
  <c r="M60" i="5"/>
  <c r="Q104" i="9"/>
  <c r="Q105" i="9" s="1"/>
  <c r="Q100" i="9"/>
  <c r="Q101" i="9" s="1"/>
  <c r="N35" i="5"/>
  <c r="D24" i="11" s="1"/>
  <c r="N120" i="5"/>
  <c r="N140" i="5" s="1"/>
  <c r="D53" i="11" s="1"/>
  <c r="D56" i="11" s="1"/>
  <c r="N144" i="9"/>
  <c r="N148" i="9" s="1"/>
  <c r="N36" i="5"/>
  <c r="D25" i="11" s="1"/>
  <c r="L35" i="5"/>
  <c r="B24" i="11" s="1"/>
  <c r="L100" i="9"/>
  <c r="L101" i="9" s="1"/>
  <c r="M100" i="9"/>
  <c r="M101" i="9" s="1"/>
  <c r="L120" i="5"/>
  <c r="L140" i="5" s="1"/>
  <c r="B53" i="11" s="1"/>
  <c r="B56" i="11" s="1"/>
  <c r="L36" i="5"/>
  <c r="B25" i="11" s="1"/>
  <c r="L144" i="9"/>
  <c r="L148" i="9" s="1"/>
  <c r="O100" i="9"/>
  <c r="O101" i="9" s="1"/>
  <c r="N100" i="9"/>
  <c r="N101" i="9" s="1"/>
  <c r="P104" i="9"/>
  <c r="P105" i="9" s="1"/>
  <c r="O104" i="9"/>
  <c r="O105" i="9" s="1"/>
  <c r="N104" i="9"/>
  <c r="N105" i="9" s="1"/>
  <c r="L60" i="5"/>
  <c r="M104" i="9"/>
  <c r="M105" i="9" s="1"/>
  <c r="M120" i="5"/>
  <c r="M140" i="5" s="1"/>
  <c r="C53" i="11" s="1"/>
  <c r="C56" i="11" s="1"/>
  <c r="M144" i="9"/>
  <c r="M148" i="9" s="1"/>
  <c r="M35" i="5"/>
  <c r="C24" i="11" s="1"/>
  <c r="M36" i="5"/>
  <c r="C25" i="11" s="1"/>
  <c r="P100" i="9"/>
  <c r="P101" i="9" s="1"/>
  <c r="P132" i="6"/>
  <c r="S175" i="5"/>
  <c r="AF79" i="5"/>
  <c r="AA37" i="11" s="1"/>
  <c r="AQ79" i="5"/>
  <c r="Z37" i="11" s="1"/>
  <c r="W175" i="5"/>
  <c r="R175" i="5"/>
  <c r="AO91" i="6"/>
  <c r="G164" i="5"/>
  <c r="G165" i="5" s="1"/>
  <c r="F166" i="5"/>
  <c r="O162" i="2"/>
  <c r="O163" i="2" s="1"/>
  <c r="H173" i="5"/>
  <c r="H174" i="5"/>
  <c r="F174" i="5"/>
  <c r="F173" i="5"/>
  <c r="G173" i="5"/>
  <c r="G174" i="5"/>
  <c r="AE145" i="9"/>
  <c r="T174" i="5"/>
  <c r="T173" i="5"/>
  <c r="AE38" i="5"/>
  <c r="Y26" i="11" s="1"/>
  <c r="K174" i="5"/>
  <c r="K173" i="5"/>
  <c r="V11" i="2"/>
  <c r="O184" i="6"/>
  <c r="O12" i="6"/>
  <c r="O6" i="6" s="1"/>
  <c r="AE57" i="6"/>
  <c r="AF38" i="6"/>
  <c r="AF20" i="6" s="1"/>
  <c r="AE50" i="6"/>
  <c r="AF59" i="2"/>
  <c r="AF35" i="2"/>
  <c r="AF38" i="2"/>
  <c r="AF117" i="2"/>
  <c r="AF137" i="2" s="1"/>
  <c r="AD14" i="2"/>
  <c r="AE76" i="4" s="1"/>
  <c r="AE94" i="4" s="1"/>
  <c r="AE72" i="4"/>
  <c r="AB14" i="2"/>
  <c r="AC76" i="4" s="1"/>
  <c r="AC94" i="4" s="1"/>
  <c r="AC72" i="4"/>
  <c r="X14" i="2"/>
  <c r="Y76" i="4" s="1"/>
  <c r="Y94" i="4" s="1"/>
  <c r="Y72" i="4"/>
  <c r="AC14" i="2"/>
  <c r="AD76" i="4" s="1"/>
  <c r="AD94" i="4" s="1"/>
  <c r="AD72" i="4"/>
  <c r="AE14" i="2"/>
  <c r="AF76" i="4" s="1"/>
  <c r="AF94" i="4" s="1"/>
  <c r="AF72" i="4"/>
  <c r="Z14" i="2"/>
  <c r="AA76" i="4" s="1"/>
  <c r="AA94" i="4" s="1"/>
  <c r="AA72" i="4"/>
  <c r="W14" i="2"/>
  <c r="X76" i="4" s="1"/>
  <c r="X72" i="4"/>
  <c r="Y14" i="2"/>
  <c r="Z72" i="4"/>
  <c r="AA14" i="2"/>
  <c r="AB76" i="4" s="1"/>
  <c r="AB94" i="4" s="1"/>
  <c r="AB72" i="4"/>
  <c r="I59" i="11" l="1"/>
  <c r="Q173" i="5"/>
  <c r="H59" i="11" s="1"/>
  <c r="Q174" i="5"/>
  <c r="AP105" i="6"/>
  <c r="AE17" i="11"/>
  <c r="AM17" i="11" s="1"/>
  <c r="AS92" i="6"/>
  <c r="AS62" i="6"/>
  <c r="AS4" i="5"/>
  <c r="AS134" i="6"/>
  <c r="AS4" i="6"/>
  <c r="AS152" i="6"/>
  <c r="AS132" i="6"/>
  <c r="AS151" i="6"/>
  <c r="AR12" i="6"/>
  <c r="AR11" i="6"/>
  <c r="V174" i="5"/>
  <c r="AS98" i="5"/>
  <c r="AE6" i="11"/>
  <c r="AM6" i="11" s="1"/>
  <c r="V173" i="5"/>
  <c r="V175" i="5" s="1"/>
  <c r="T176" i="5"/>
  <c r="L59" i="11"/>
  <c r="Y176" i="5"/>
  <c r="R59" i="11"/>
  <c r="AM7" i="11"/>
  <c r="AF60" i="2"/>
  <c r="AJ124" i="4"/>
  <c r="AJ125" i="4" s="1"/>
  <c r="U175" i="5"/>
  <c r="AS165" i="6"/>
  <c r="AS169" i="6" s="1"/>
  <c r="AS185" i="6"/>
  <c r="O39" i="8"/>
  <c r="P38" i="8"/>
  <c r="AF120" i="6"/>
  <c r="AG36" i="6"/>
  <c r="T65" i="10" s="1"/>
  <c r="AF48" i="6"/>
  <c r="AF28" i="6"/>
  <c r="AF29" i="6" s="1"/>
  <c r="AF55" i="6"/>
  <c r="AQ48" i="6"/>
  <c r="AA65" i="10"/>
  <c r="AE22" i="6"/>
  <c r="R93" i="10"/>
  <c r="AE21" i="6"/>
  <c r="O215" i="6"/>
  <c r="S216" i="6"/>
  <c r="AF22" i="6"/>
  <c r="S93" i="10"/>
  <c r="AF21" i="6"/>
  <c r="K175" i="5"/>
  <c r="K176" i="5"/>
  <c r="F175" i="5"/>
  <c r="F176" i="5"/>
  <c r="H51" i="10"/>
  <c r="H55" i="10" s="1"/>
  <c r="U176" i="5"/>
  <c r="H175" i="5"/>
  <c r="H176" i="5"/>
  <c r="U158" i="9"/>
  <c r="G175" i="5"/>
  <c r="G176" i="5"/>
  <c r="L51" i="10"/>
  <c r="L55" i="10" s="1"/>
  <c r="Y158" i="9"/>
  <c r="Y175" i="5"/>
  <c r="G51" i="10"/>
  <c r="G55" i="10" s="1"/>
  <c r="T158" i="9"/>
  <c r="AQ50" i="6"/>
  <c r="AE30" i="6"/>
  <c r="C12" i="15"/>
  <c r="C35" i="15" s="1"/>
  <c r="P134" i="6"/>
  <c r="AO98" i="6"/>
  <c r="D34" i="8"/>
  <c r="L169" i="5"/>
  <c r="L178" i="5" s="1"/>
  <c r="L162" i="5"/>
  <c r="M162" i="5"/>
  <c r="M169" i="5"/>
  <c r="M178" i="5" s="1"/>
  <c r="O162" i="5"/>
  <c r="O169" i="5"/>
  <c r="O178" i="5" s="1"/>
  <c r="N169" i="5"/>
  <c r="N178" i="5" s="1"/>
  <c r="N162" i="5"/>
  <c r="Q132" i="6"/>
  <c r="Q134" i="6" s="1"/>
  <c r="Q135" i="6" s="1"/>
  <c r="Q136" i="6" s="1"/>
  <c r="S7" i="6"/>
  <c r="I33" i="8"/>
  <c r="F33" i="8"/>
  <c r="E34" i="8"/>
  <c r="T175" i="5"/>
  <c r="H24" i="12"/>
  <c r="AL37" i="11"/>
  <c r="AG79" i="5"/>
  <c r="AB37" i="11" s="1"/>
  <c r="AS14" i="6"/>
  <c r="AS57" i="5" s="1"/>
  <c r="O164" i="2"/>
  <c r="P162" i="2"/>
  <c r="P163" i="2" s="1"/>
  <c r="G166" i="5"/>
  <c r="H164" i="5"/>
  <c r="H165" i="5" s="1"/>
  <c r="V14" i="2"/>
  <c r="W72" i="4"/>
  <c r="AF145" i="9"/>
  <c r="AE157" i="9"/>
  <c r="AE156" i="5"/>
  <c r="AF38" i="5"/>
  <c r="AA26" i="11" s="1"/>
  <c r="O17" i="6"/>
  <c r="O204" i="6"/>
  <c r="O205" i="6" s="1"/>
  <c r="P186" i="6"/>
  <c r="S185" i="6"/>
  <c r="X94" i="4"/>
  <c r="AF57" i="6"/>
  <c r="AG38" i="6"/>
  <c r="AG20" i="6" s="1"/>
  <c r="AF50" i="6"/>
  <c r="X23" i="2"/>
  <c r="X28" i="2" s="1"/>
  <c r="X30" i="2" s="1"/>
  <c r="X32" i="2" s="1"/>
  <c r="AF172" i="2"/>
  <c r="AF167" i="2"/>
  <c r="AF171" i="2" s="1"/>
  <c r="AF173" i="2" s="1"/>
  <c r="AF160" i="2"/>
  <c r="Z23" i="2"/>
  <c r="Z46" i="2" s="1"/>
  <c r="Z56" i="2" s="1"/>
  <c r="Z59" i="2" s="1"/>
  <c r="AB23" i="2"/>
  <c r="AB46" i="2" s="1"/>
  <c r="AB56" i="2" s="1"/>
  <c r="AB58" i="2" s="1"/>
  <c r="AA23" i="2"/>
  <c r="AA28" i="2" s="1"/>
  <c r="AA30" i="2" s="1"/>
  <c r="AA32" i="2" s="1"/>
  <c r="W23" i="2"/>
  <c r="W46" i="2" s="1"/>
  <c r="W56" i="2" s="1"/>
  <c r="AD23" i="2"/>
  <c r="AD46" i="2" s="1"/>
  <c r="AD56" i="2" s="1"/>
  <c r="AC23" i="2"/>
  <c r="AC28" i="2" s="1"/>
  <c r="AC30" i="2" s="1"/>
  <c r="AC32" i="2" s="1"/>
  <c r="Y23" i="2"/>
  <c r="Z76" i="4"/>
  <c r="Z94" i="4" s="1"/>
  <c r="AE23" i="2"/>
  <c r="AE46" i="2" s="1"/>
  <c r="AE56" i="2" s="1"/>
  <c r="AI122" i="4" s="1"/>
  <c r="F37" i="2"/>
  <c r="E37" i="2"/>
  <c r="F40" i="2"/>
  <c r="E40" i="2"/>
  <c r="F22" i="2"/>
  <c r="D22" i="2"/>
  <c r="E22" i="2"/>
  <c r="D27" i="2"/>
  <c r="E25" i="2"/>
  <c r="F25" i="2"/>
  <c r="F8" i="2"/>
  <c r="E8" i="2"/>
  <c r="D8" i="2"/>
  <c r="T8" i="2"/>
  <c r="S8" i="2"/>
  <c r="R8" i="2"/>
  <c r="U8" i="2"/>
  <c r="Q176" i="5" l="1"/>
  <c r="D51" i="10"/>
  <c r="D55" i="10" s="1"/>
  <c r="Q175" i="5"/>
  <c r="I51" i="10"/>
  <c r="I55" i="10" s="1"/>
  <c r="V176" i="5"/>
  <c r="N59" i="11"/>
  <c r="V158" i="9"/>
  <c r="P39" i="8"/>
  <c r="Q38" i="8"/>
  <c r="Q39" i="8" s="1"/>
  <c r="AI123" i="4"/>
  <c r="AS184" i="6"/>
  <c r="AS12" i="6" s="1"/>
  <c r="AS8" i="5" s="1"/>
  <c r="AG55" i="6"/>
  <c r="AG48" i="6"/>
  <c r="AH36" i="6"/>
  <c r="U65" i="10" s="1"/>
  <c r="AF30" i="6"/>
  <c r="AG120" i="6"/>
  <c r="AG28" i="6"/>
  <c r="AG29" i="6" s="1"/>
  <c r="AD58" i="2"/>
  <c r="AH122" i="4"/>
  <c r="AH123" i="4" s="1"/>
  <c r="AG22" i="6"/>
  <c r="T93" i="10"/>
  <c r="AG21" i="6"/>
  <c r="AS77" i="6"/>
  <c r="AE162" i="9"/>
  <c r="AE161" i="9"/>
  <c r="P135" i="6"/>
  <c r="X46" i="2"/>
  <c r="X56" i="2" s="1"/>
  <c r="X58" i="2" s="1"/>
  <c r="X60" i="2" s="1"/>
  <c r="O8" i="6"/>
  <c r="O10" i="6"/>
  <c r="M174" i="5"/>
  <c r="M173" i="5"/>
  <c r="N173" i="5"/>
  <c r="N174" i="5"/>
  <c r="L174" i="5"/>
  <c r="L173" i="5"/>
  <c r="O174" i="5"/>
  <c r="O173" i="5"/>
  <c r="R132" i="6"/>
  <c r="O214" i="6"/>
  <c r="S18" i="6"/>
  <c r="G33" i="8"/>
  <c r="G34" i="8" s="1"/>
  <c r="F34" i="8"/>
  <c r="J33" i="8"/>
  <c r="I34" i="8"/>
  <c r="AH79" i="5"/>
  <c r="AC37" i="11" s="1"/>
  <c r="AF157" i="9"/>
  <c r="I164" i="5"/>
  <c r="I165" i="5" s="1"/>
  <c r="H166" i="5"/>
  <c r="P164" i="2"/>
  <c r="Q162" i="2"/>
  <c r="Q163" i="2" s="1"/>
  <c r="AF156" i="5"/>
  <c r="W76" i="4"/>
  <c r="W94" i="4" s="1"/>
  <c r="V23" i="2"/>
  <c r="D11" i="2"/>
  <c r="D14" i="2" s="1"/>
  <c r="D23" i="2" s="1"/>
  <c r="AK12" i="6"/>
  <c r="AK6" i="6" s="1"/>
  <c r="AK215" i="6" s="1"/>
  <c r="E11" i="2"/>
  <c r="AL12" i="6"/>
  <c r="AL6" i="6" s="1"/>
  <c r="AL215" i="6" s="1"/>
  <c r="E4" i="2"/>
  <c r="F11" i="2"/>
  <c r="AM12" i="6"/>
  <c r="AM6" i="6" s="1"/>
  <c r="R11" i="2"/>
  <c r="S72" i="4" s="1"/>
  <c r="K184" i="6"/>
  <c r="K12" i="6"/>
  <c r="K6" i="6" s="1"/>
  <c r="U11" i="2"/>
  <c r="V72" i="4" s="1"/>
  <c r="N184" i="6"/>
  <c r="N12" i="6"/>
  <c r="N6" i="6" s="1"/>
  <c r="S11" i="2"/>
  <c r="L184" i="6"/>
  <c r="L12" i="6"/>
  <c r="L6" i="6" s="1"/>
  <c r="T11" i="2"/>
  <c r="M184" i="6"/>
  <c r="M12" i="6"/>
  <c r="M6" i="6" s="1"/>
  <c r="AE192" i="6"/>
  <c r="AG57" i="6"/>
  <c r="AH38" i="6"/>
  <c r="AH20" i="6" s="1"/>
  <c r="AG50" i="6"/>
  <c r="Z28" i="2"/>
  <c r="Z30" i="2" s="1"/>
  <c r="Z32" i="2" s="1"/>
  <c r="Z35" i="2" s="1"/>
  <c r="AA46" i="2"/>
  <c r="AA56" i="2" s="1"/>
  <c r="AA59" i="2" s="1"/>
  <c r="W28" i="2"/>
  <c r="W30" i="2" s="1"/>
  <c r="W32" i="2" s="1"/>
  <c r="W117" i="2" s="1"/>
  <c r="W137" i="2" s="1"/>
  <c r="AB28" i="2"/>
  <c r="AB30" i="2" s="1"/>
  <c r="AB32" i="2" s="1"/>
  <c r="AB117" i="2" s="1"/>
  <c r="AB137" i="2" s="1"/>
  <c r="Z58" i="2"/>
  <c r="Z60" i="2" s="1"/>
  <c r="AC35" i="2"/>
  <c r="AC38" i="2"/>
  <c r="AC117" i="2"/>
  <c r="AC137" i="2" s="1"/>
  <c r="AA117" i="2"/>
  <c r="AA137" i="2" s="1"/>
  <c r="AA35" i="2"/>
  <c r="AA38" i="2"/>
  <c r="F27" i="2"/>
  <c r="AM25" i="5"/>
  <c r="E27" i="2"/>
  <c r="AL25" i="5"/>
  <c r="AE28" i="2"/>
  <c r="AE30" i="2" s="1"/>
  <c r="AE32" i="2" s="1"/>
  <c r="AI120" i="4" s="1"/>
  <c r="X35" i="2"/>
  <c r="X38" i="2"/>
  <c r="X117" i="2"/>
  <c r="X137" i="2" s="1"/>
  <c r="AC46" i="2"/>
  <c r="AC56" i="2" s="1"/>
  <c r="AG122" i="4" s="1"/>
  <c r="AG123" i="4" s="1"/>
  <c r="AD28" i="2"/>
  <c r="AD30" i="2" s="1"/>
  <c r="AD32" i="2" s="1"/>
  <c r="AB60" i="2"/>
  <c r="AB59" i="2"/>
  <c r="Y46" i="2"/>
  <c r="Y56" i="2" s="1"/>
  <c r="Y28" i="2"/>
  <c r="Y30" i="2" s="1"/>
  <c r="Y32" i="2" s="1"/>
  <c r="AD59" i="2"/>
  <c r="AE58" i="2"/>
  <c r="AE59" i="2"/>
  <c r="W59" i="2"/>
  <c r="W58" i="2"/>
  <c r="AE3" i="4"/>
  <c r="AI3" i="4" s="1"/>
  <c r="AD3" i="4"/>
  <c r="AC3" i="4"/>
  <c r="AG3" i="4" s="1"/>
  <c r="AK3" i="4" s="1"/>
  <c r="AB3" i="4"/>
  <c r="AE2" i="4"/>
  <c r="AI2" i="4" s="1"/>
  <c r="AD2" i="4"/>
  <c r="AC2" i="4"/>
  <c r="AG2" i="4" s="1"/>
  <c r="AK2" i="4" s="1"/>
  <c r="AB2" i="4"/>
  <c r="AF2" i="4" s="1"/>
  <c r="AJ2" i="4" s="1"/>
  <c r="M176" i="5" l="1"/>
  <c r="C59" i="11"/>
  <c r="O176" i="5"/>
  <c r="E59" i="11"/>
  <c r="L176" i="5"/>
  <c r="B59" i="11"/>
  <c r="N176" i="5"/>
  <c r="D59" i="11"/>
  <c r="AI121" i="4"/>
  <c r="AE60" i="2"/>
  <c r="AI124" i="4"/>
  <c r="AH120" i="6"/>
  <c r="AI36" i="6"/>
  <c r="AI120" i="6" s="1"/>
  <c r="AH55" i="6"/>
  <c r="AH48" i="6"/>
  <c r="AH28" i="6"/>
  <c r="AH29" i="6" s="1"/>
  <c r="AG30" i="6"/>
  <c r="AH120" i="4"/>
  <c r="AH121" i="4" s="1"/>
  <c r="X59" i="2"/>
  <c r="AD60" i="2"/>
  <c r="AH124" i="4"/>
  <c r="AH125" i="4" s="1"/>
  <c r="N216" i="6"/>
  <c r="N215" i="6"/>
  <c r="R216" i="6"/>
  <c r="AM216" i="6"/>
  <c r="AM215" i="6"/>
  <c r="M215" i="6"/>
  <c r="M216" i="6"/>
  <c r="Q216" i="6"/>
  <c r="K216" i="6"/>
  <c r="K215" i="6"/>
  <c r="O216" i="6"/>
  <c r="AH22" i="6"/>
  <c r="U93" i="10"/>
  <c r="AH21" i="6"/>
  <c r="L215" i="6"/>
  <c r="L216" i="6"/>
  <c r="P216" i="6"/>
  <c r="K61" i="8"/>
  <c r="AF162" i="9"/>
  <c r="AF161" i="9"/>
  <c r="R134" i="6"/>
  <c r="U14" i="2"/>
  <c r="U23" i="2" s="1"/>
  <c r="U46" i="2" s="1"/>
  <c r="U56" i="2" s="1"/>
  <c r="AB35" i="2"/>
  <c r="E14" i="2"/>
  <c r="F72" i="4"/>
  <c r="F14" i="2"/>
  <c r="G72" i="4"/>
  <c r="AL204" i="6"/>
  <c r="AL205" i="6" s="1"/>
  <c r="AK204" i="6"/>
  <c r="AK205" i="6" s="1"/>
  <c r="O7" i="6"/>
  <c r="P7" i="6"/>
  <c r="N175" i="5"/>
  <c r="L175" i="5"/>
  <c r="M175" i="5"/>
  <c r="O175" i="5"/>
  <c r="S132" i="6"/>
  <c r="S134" i="6" s="1"/>
  <c r="S135" i="6" s="1"/>
  <c r="S136" i="6" s="1"/>
  <c r="N7" i="6"/>
  <c r="R7" i="6"/>
  <c r="M7" i="6"/>
  <c r="Q7" i="6"/>
  <c r="AM204" i="6"/>
  <c r="AM205" i="6" s="1"/>
  <c r="AM7" i="6"/>
  <c r="AE210" i="6"/>
  <c r="K33" i="8"/>
  <c r="J34" i="8"/>
  <c r="AI79" i="5"/>
  <c r="AD37" i="11" s="1"/>
  <c r="R162" i="2"/>
  <c r="Q164" i="2"/>
  <c r="J164" i="5"/>
  <c r="J165" i="5" s="1"/>
  <c r="I166" i="5"/>
  <c r="AB38" i="2"/>
  <c r="Z38" i="2"/>
  <c r="Z117" i="2"/>
  <c r="Z137" i="2" s="1"/>
  <c r="Z172" i="2" s="1"/>
  <c r="R14" i="2"/>
  <c r="S76" i="4" s="1"/>
  <c r="S14" i="2"/>
  <c r="T72" i="4"/>
  <c r="W38" i="2"/>
  <c r="W35" i="2"/>
  <c r="V28" i="2"/>
  <c r="V30" i="2" s="1"/>
  <c r="V32" i="2" s="1"/>
  <c r="Z120" i="4" s="1"/>
  <c r="Z121" i="4" s="1"/>
  <c r="V46" i="2"/>
  <c r="V56" i="2" s="1"/>
  <c r="Z122" i="4" s="1"/>
  <c r="Z123" i="4" s="1"/>
  <c r="AD120" i="4"/>
  <c r="AD121" i="4" s="1"/>
  <c r="T14" i="2"/>
  <c r="U72" i="4"/>
  <c r="F4" i="2"/>
  <c r="D28" i="2"/>
  <c r="D30" i="2" s="1"/>
  <c r="D32" i="2" s="1"/>
  <c r="D117" i="2" s="1"/>
  <c r="D46" i="2"/>
  <c r="AB122" i="4"/>
  <c r="AB123" i="4" s="1"/>
  <c r="AL27" i="5"/>
  <c r="AL28" i="5" s="1"/>
  <c r="AL107" i="9"/>
  <c r="AM27" i="5"/>
  <c r="F19" i="11" s="1"/>
  <c r="F20" i="11" s="1"/>
  <c r="F22" i="11" s="1"/>
  <c r="AM107" i="9"/>
  <c r="AH38" i="5"/>
  <c r="AC26" i="11" s="1"/>
  <c r="AM184" i="6"/>
  <c r="L186" i="6"/>
  <c r="L185" i="6"/>
  <c r="P185" i="6"/>
  <c r="N17" i="6"/>
  <c r="N204" i="6"/>
  <c r="N205" i="6" s="1"/>
  <c r="N186" i="6"/>
  <c r="R185" i="6"/>
  <c r="N185" i="6"/>
  <c r="O186" i="6"/>
  <c r="M17" i="6"/>
  <c r="M204" i="6"/>
  <c r="M205" i="6" s="1"/>
  <c r="M185" i="6"/>
  <c r="M186" i="6"/>
  <c r="Q185" i="6"/>
  <c r="K17" i="6"/>
  <c r="K204" i="6"/>
  <c r="K205" i="6" s="1"/>
  <c r="K185" i="6"/>
  <c r="AL184" i="6"/>
  <c r="AL185" i="6" s="1"/>
  <c r="O185" i="6"/>
  <c r="L17" i="6"/>
  <c r="L204" i="6"/>
  <c r="L205" i="6" s="1"/>
  <c r="AQ192" i="6"/>
  <c r="AF3" i="4"/>
  <c r="E115" i="4" s="1"/>
  <c r="AL107" i="6"/>
  <c r="AF192" i="6"/>
  <c r="AE207" i="6"/>
  <c r="AE196" i="6"/>
  <c r="AE193" i="6"/>
  <c r="AE188" i="6"/>
  <c r="AE189" i="6" s="1"/>
  <c r="AQ190" i="6" s="1"/>
  <c r="AE15" i="6"/>
  <c r="AI38" i="6"/>
  <c r="AH50" i="6"/>
  <c r="AH57" i="6"/>
  <c r="AA58" i="2"/>
  <c r="AA60" i="2" s="1"/>
  <c r="AD35" i="2"/>
  <c r="AD38" i="2"/>
  <c r="AD117" i="2"/>
  <c r="AD137" i="2" s="1"/>
  <c r="AD160" i="2" s="1"/>
  <c r="AD122" i="4"/>
  <c r="AD123" i="4" s="1"/>
  <c r="AF120" i="4"/>
  <c r="AF121" i="4" s="1"/>
  <c r="AE122" i="4"/>
  <c r="AE123" i="4" s="1"/>
  <c r="AE120" i="4"/>
  <c r="AE121" i="4" s="1"/>
  <c r="Y38" i="2"/>
  <c r="Y117" i="2"/>
  <c r="Y137" i="2" s="1"/>
  <c r="AC120" i="4"/>
  <c r="AC121" i="4" s="1"/>
  <c r="Y35" i="2"/>
  <c r="AC59" i="2"/>
  <c r="AE117" i="2"/>
  <c r="AE137" i="2" s="1"/>
  <c r="AE160" i="2" s="1"/>
  <c r="AE35" i="2"/>
  <c r="AE38" i="2"/>
  <c r="AB120" i="4"/>
  <c r="AB121" i="4" s="1"/>
  <c r="AA120" i="4"/>
  <c r="AC58" i="2"/>
  <c r="AC60" i="2" s="1"/>
  <c r="AG120" i="4"/>
  <c r="AG121" i="4" s="1"/>
  <c r="AF122" i="4"/>
  <c r="AF123" i="4" s="1"/>
  <c r="W60" i="2"/>
  <c r="AC122" i="4"/>
  <c r="AC123" i="4" s="1"/>
  <c r="Y59" i="2"/>
  <c r="Y58" i="2"/>
  <c r="AA124" i="4" s="1"/>
  <c r="AA122" i="4"/>
  <c r="AA172" i="2"/>
  <c r="AA167" i="2"/>
  <c r="AA171" i="2" s="1"/>
  <c r="AA173" i="2" s="1"/>
  <c r="AA160" i="2"/>
  <c r="W167" i="2"/>
  <c r="W171" i="2" s="1"/>
  <c r="W173" i="2" s="1"/>
  <c r="W172" i="2"/>
  <c r="W160" i="2"/>
  <c r="AB172" i="2"/>
  <c r="AB167" i="2"/>
  <c r="AB171" i="2" s="1"/>
  <c r="AB173" i="2" s="1"/>
  <c r="AB160" i="2"/>
  <c r="X167" i="2"/>
  <c r="X171" i="2" s="1"/>
  <c r="X173" i="2" s="1"/>
  <c r="X160" i="2"/>
  <c r="X172" i="2"/>
  <c r="AC167" i="2"/>
  <c r="AC171" i="2" s="1"/>
  <c r="AC173" i="2" s="1"/>
  <c r="AC160" i="2"/>
  <c r="AC172" i="2"/>
  <c r="AD2" i="2"/>
  <c r="AH2" i="2" s="1"/>
  <c r="AC2" i="2"/>
  <c r="AB2" i="2"/>
  <c r="AF2" i="2" s="1"/>
  <c r="AJ2" i="2" s="1"/>
  <c r="AA2" i="2"/>
  <c r="AE2" i="2" s="1"/>
  <c r="AI2" i="2" s="1"/>
  <c r="AD3" i="2"/>
  <c r="AH3" i="2" s="1"/>
  <c r="AC3" i="2"/>
  <c r="AB3" i="2"/>
  <c r="AF3" i="2" s="1"/>
  <c r="AJ3" i="2" s="1"/>
  <c r="AA3" i="2"/>
  <c r="D75" i="4" l="1"/>
  <c r="G16" i="4"/>
  <c r="D104" i="4"/>
  <c r="E106" i="4"/>
  <c r="H84" i="4"/>
  <c r="F106" i="4"/>
  <c r="H90" i="4"/>
  <c r="H56" i="4"/>
  <c r="D117" i="4"/>
  <c r="I93" i="4"/>
  <c r="H112" i="4"/>
  <c r="H116" i="4"/>
  <c r="H115" i="4"/>
  <c r="G56" i="4"/>
  <c r="H7" i="4"/>
  <c r="F16" i="4"/>
  <c r="F17" i="4" s="1"/>
  <c r="H18" i="4"/>
  <c r="AN147" i="6" s="1"/>
  <c r="E89" i="4"/>
  <c r="I108" i="4"/>
  <c r="I12" i="4"/>
  <c r="E116" i="4"/>
  <c r="F15" i="4"/>
  <c r="E34" i="4"/>
  <c r="E16" i="4"/>
  <c r="G15" i="4"/>
  <c r="I16" i="4"/>
  <c r="H118" i="4"/>
  <c r="G12" i="4"/>
  <c r="G35" i="4"/>
  <c r="AM107" i="6" s="1"/>
  <c r="AM109" i="6" s="1"/>
  <c r="F7" i="4"/>
  <c r="I96" i="4"/>
  <c r="F12" i="4"/>
  <c r="G84" i="4"/>
  <c r="G86" i="4" s="1"/>
  <c r="G50" i="4"/>
  <c r="E10" i="4"/>
  <c r="AK145" i="6" s="1"/>
  <c r="G108" i="4"/>
  <c r="H15" i="4"/>
  <c r="I59" i="4"/>
  <c r="E99" i="4"/>
  <c r="E72" i="4"/>
  <c r="H75" i="4"/>
  <c r="AN192" i="6" s="1"/>
  <c r="I7" i="4"/>
  <c r="E7" i="4"/>
  <c r="H114" i="4"/>
  <c r="E90" i="4"/>
  <c r="G8" i="4"/>
  <c r="H108" i="4"/>
  <c r="G115" i="4"/>
  <c r="I15" i="4"/>
  <c r="G20" i="4"/>
  <c r="G100" i="4"/>
  <c r="E83" i="4"/>
  <c r="I74" i="4"/>
  <c r="AO190" i="6" s="1"/>
  <c r="F49" i="4"/>
  <c r="AQ14" i="6"/>
  <c r="AR191" i="6"/>
  <c r="H106" i="4"/>
  <c r="H88" i="4"/>
  <c r="I109" i="4"/>
  <c r="I103" i="4"/>
  <c r="AO137" i="9" s="1"/>
  <c r="D35" i="4"/>
  <c r="G10" i="4"/>
  <c r="AM145" i="6" s="1"/>
  <c r="G7" i="4"/>
  <c r="G93" i="4"/>
  <c r="E20" i="4"/>
  <c r="F8" i="4"/>
  <c r="E12" i="4"/>
  <c r="H50" i="4"/>
  <c r="F34" i="4"/>
  <c r="E104" i="4"/>
  <c r="AK139" i="9" s="1"/>
  <c r="E88" i="4"/>
  <c r="H109" i="4"/>
  <c r="H93" i="4"/>
  <c r="H8" i="4"/>
  <c r="G18" i="4"/>
  <c r="AM147" i="6" s="1"/>
  <c r="AM159" i="6" s="1"/>
  <c r="I88" i="4"/>
  <c r="E15" i="4"/>
  <c r="H10" i="4"/>
  <c r="AN145" i="6" s="1"/>
  <c r="X85" i="10" s="1"/>
  <c r="I116" i="4"/>
  <c r="E76" i="4"/>
  <c r="E94" i="4" s="1"/>
  <c r="F20" i="4"/>
  <c r="E18" i="4"/>
  <c r="AK147" i="6" s="1"/>
  <c r="AK159" i="6" s="1"/>
  <c r="D80" i="4"/>
  <c r="D112" i="4"/>
  <c r="I39" i="4"/>
  <c r="H97" i="4"/>
  <c r="I97" i="4"/>
  <c r="H96" i="4"/>
  <c r="H35" i="4"/>
  <c r="AN107" i="6" s="1"/>
  <c r="AN109" i="6" s="1"/>
  <c r="F18" i="4"/>
  <c r="AL147" i="6" s="1"/>
  <c r="AL159" i="6" s="1"/>
  <c r="F10" i="4"/>
  <c r="AL145" i="6" s="1"/>
  <c r="E114" i="4"/>
  <c r="I18" i="4"/>
  <c r="AO147" i="6" s="1"/>
  <c r="H16" i="4"/>
  <c r="E8" i="4"/>
  <c r="G39" i="4"/>
  <c r="I40" i="4"/>
  <c r="E49" i="4"/>
  <c r="D97" i="4"/>
  <c r="F118" i="4"/>
  <c r="D79" i="4"/>
  <c r="G109" i="4"/>
  <c r="H49" i="4"/>
  <c r="H104" i="4"/>
  <c r="AN139" i="9" s="1"/>
  <c r="H117" i="4"/>
  <c r="H20" i="4"/>
  <c r="AN151" i="6" s="1"/>
  <c r="H12" i="4"/>
  <c r="I8" i="4"/>
  <c r="E35" i="4"/>
  <c r="AK107" i="6" s="1"/>
  <c r="D20" i="4"/>
  <c r="I10" i="4"/>
  <c r="AO145" i="6" s="1"/>
  <c r="E118" i="4"/>
  <c r="I20" i="4"/>
  <c r="AO151" i="6" s="1"/>
  <c r="I79" i="4"/>
  <c r="H100" i="4"/>
  <c r="G49" i="4"/>
  <c r="D88" i="4"/>
  <c r="D118" i="4"/>
  <c r="AJ3" i="4"/>
  <c r="J104" i="4" s="1"/>
  <c r="AP139" i="9" s="1"/>
  <c r="V76" i="4"/>
  <c r="V94" i="4" s="1"/>
  <c r="AI125" i="4"/>
  <c r="AI48" i="6"/>
  <c r="AR36" i="6"/>
  <c r="AB65" i="10" s="1"/>
  <c r="AI28" i="6"/>
  <c r="AQ28" i="6" s="1"/>
  <c r="AQ117" i="6" s="1"/>
  <c r="AI55" i="6"/>
  <c r="AH30" i="6"/>
  <c r="V65" i="10"/>
  <c r="G80" i="4"/>
  <c r="H74" i="4"/>
  <c r="AN190" i="6" s="1"/>
  <c r="I115" i="4"/>
  <c r="I106" i="4"/>
  <c r="I107" i="4" s="1"/>
  <c r="K62" i="8"/>
  <c r="L61" i="8"/>
  <c r="P60" i="8" s="1"/>
  <c r="AR38" i="6"/>
  <c r="AR20" i="6" s="1"/>
  <c r="AB93" i="10" s="1"/>
  <c r="AI20" i="6"/>
  <c r="AN132" i="6"/>
  <c r="R135" i="6"/>
  <c r="R136" i="6" s="1"/>
  <c r="AN134" i="6"/>
  <c r="AN135" i="6" s="1"/>
  <c r="G69" i="4"/>
  <c r="F80" i="4"/>
  <c r="H70" i="4"/>
  <c r="H69" i="4"/>
  <c r="F70" i="4"/>
  <c r="G70" i="4"/>
  <c r="F75" i="4"/>
  <c r="AL15" i="6" s="1"/>
  <c r="AL6" i="9" s="1"/>
  <c r="F74" i="4"/>
  <c r="AL190" i="6" s="1"/>
  <c r="F60" i="4"/>
  <c r="F99" i="4"/>
  <c r="I68" i="4"/>
  <c r="F97" i="4"/>
  <c r="F84" i="4"/>
  <c r="F86" i="4" s="1"/>
  <c r="I70" i="4"/>
  <c r="F69" i="4"/>
  <c r="F79" i="4"/>
  <c r="F55" i="4"/>
  <c r="I69" i="4"/>
  <c r="F68" i="4"/>
  <c r="F56" i="4"/>
  <c r="G68" i="4"/>
  <c r="F59" i="4"/>
  <c r="F89" i="4"/>
  <c r="H68" i="4"/>
  <c r="F100" i="4"/>
  <c r="F90" i="4"/>
  <c r="Z160" i="2"/>
  <c r="Z167" i="2"/>
  <c r="Z171" i="2" s="1"/>
  <c r="Z173" i="2" s="1"/>
  <c r="G76" i="4"/>
  <c r="F23" i="2"/>
  <c r="E23" i="2"/>
  <c r="F76" i="4"/>
  <c r="K8" i="6"/>
  <c r="K10" i="6"/>
  <c r="N8" i="6"/>
  <c r="N10" i="6"/>
  <c r="L8" i="6"/>
  <c r="L10" i="6"/>
  <c r="M8" i="6"/>
  <c r="M10" i="6"/>
  <c r="T132" i="6"/>
  <c r="M214" i="6"/>
  <c r="M18" i="6"/>
  <c r="Q18" i="6"/>
  <c r="K214" i="6"/>
  <c r="O18" i="6"/>
  <c r="L214" i="6"/>
  <c r="P18" i="6"/>
  <c r="N214" i="6"/>
  <c r="N18" i="6"/>
  <c r="R18" i="6"/>
  <c r="AF210" i="6"/>
  <c r="K34" i="8"/>
  <c r="L33" i="8"/>
  <c r="L34" i="8" s="1"/>
  <c r="AM28" i="5"/>
  <c r="AM30" i="5" s="1"/>
  <c r="AM32" i="5" s="1"/>
  <c r="AM100" i="9" s="1"/>
  <c r="AR79" i="5"/>
  <c r="AE37" i="11" s="1"/>
  <c r="F103" i="4"/>
  <c r="AL137" i="9" s="1"/>
  <c r="D40" i="4"/>
  <c r="I35" i="4"/>
  <c r="AO107" i="6" s="1"/>
  <c r="AO109" i="6" s="1"/>
  <c r="E79" i="4"/>
  <c r="I49" i="4"/>
  <c r="I75" i="4"/>
  <c r="AO15" i="6" s="1"/>
  <c r="AO6" i="9" s="1"/>
  <c r="E80" i="4"/>
  <c r="G118" i="4"/>
  <c r="G60" i="4"/>
  <c r="G103" i="4"/>
  <c r="AM137" i="9" s="1"/>
  <c r="E103" i="4"/>
  <c r="AK137" i="9" s="1"/>
  <c r="F116" i="4"/>
  <c r="H59" i="4"/>
  <c r="I118" i="4"/>
  <c r="G79" i="4"/>
  <c r="E75" i="4"/>
  <c r="E97" i="4"/>
  <c r="I56" i="4"/>
  <c r="D96" i="4"/>
  <c r="D109" i="4"/>
  <c r="G89" i="4"/>
  <c r="I34" i="4"/>
  <c r="E122" i="4"/>
  <c r="H80" i="4"/>
  <c r="D108" i="4"/>
  <c r="E50" i="4"/>
  <c r="I80" i="4"/>
  <c r="I104" i="4"/>
  <c r="AO139" i="9" s="1"/>
  <c r="G116" i="4"/>
  <c r="D76" i="4"/>
  <c r="D94" i="4" s="1"/>
  <c r="F114" i="4"/>
  <c r="G99" i="4"/>
  <c r="E112" i="4"/>
  <c r="D74" i="4"/>
  <c r="F112" i="4"/>
  <c r="E74" i="4"/>
  <c r="I90" i="4"/>
  <c r="E40" i="4"/>
  <c r="AK165" i="6" s="1"/>
  <c r="D50" i="4"/>
  <c r="D84" i="4"/>
  <c r="D39" i="4"/>
  <c r="G59" i="4"/>
  <c r="E84" i="4"/>
  <c r="E86" i="4" s="1"/>
  <c r="E108" i="4"/>
  <c r="I117" i="4"/>
  <c r="H79" i="4"/>
  <c r="I100" i="4"/>
  <c r="G114" i="4"/>
  <c r="H99" i="4"/>
  <c r="D116" i="4"/>
  <c r="G75" i="4"/>
  <c r="AM192" i="6" s="1"/>
  <c r="E96" i="4"/>
  <c r="E109" i="4"/>
  <c r="F40" i="4"/>
  <c r="I60" i="4"/>
  <c r="G88" i="4"/>
  <c r="E39" i="4"/>
  <c r="E120" i="4"/>
  <c r="D90" i="4"/>
  <c r="D103" i="4"/>
  <c r="F117" i="4"/>
  <c r="G97" i="4"/>
  <c r="G112" i="4"/>
  <c r="H60" i="4"/>
  <c r="H89" i="4"/>
  <c r="F109" i="4"/>
  <c r="E73" i="4"/>
  <c r="I89" i="4"/>
  <c r="G40" i="4"/>
  <c r="AM165" i="6" s="1"/>
  <c r="AM20" i="6" s="1"/>
  <c r="D49" i="4"/>
  <c r="D124" i="4"/>
  <c r="I84" i="4"/>
  <c r="G106" i="4"/>
  <c r="E117" i="4"/>
  <c r="F104" i="4"/>
  <c r="AL139" i="9" s="1"/>
  <c r="D122" i="4"/>
  <c r="I99" i="4"/>
  <c r="I114" i="4"/>
  <c r="D73" i="4"/>
  <c r="D115" i="4"/>
  <c r="G74" i="4"/>
  <c r="AM190" i="6" s="1"/>
  <c r="G96" i="4"/>
  <c r="E56" i="4"/>
  <c r="F50" i="4"/>
  <c r="D99" i="4"/>
  <c r="D89" i="4"/>
  <c r="H39" i="4"/>
  <c r="I50" i="4"/>
  <c r="G90" i="4"/>
  <c r="G34" i="4"/>
  <c r="E124" i="4"/>
  <c r="H34" i="4"/>
  <c r="E59" i="4"/>
  <c r="G104" i="4"/>
  <c r="AM139" i="9" s="1"/>
  <c r="G117" i="4"/>
  <c r="D78" i="4"/>
  <c r="D100" i="4"/>
  <c r="D120" i="4"/>
  <c r="E78" i="4"/>
  <c r="E100" i="4"/>
  <c r="I112" i="4"/>
  <c r="E55" i="4"/>
  <c r="H103" i="4"/>
  <c r="F108" i="4"/>
  <c r="G55" i="4"/>
  <c r="D83" i="4"/>
  <c r="F39" i="4"/>
  <c r="H55" i="4"/>
  <c r="H40" i="4"/>
  <c r="AN165" i="6" s="1"/>
  <c r="AN20" i="6" s="1"/>
  <c r="X93" i="10" s="1"/>
  <c r="I55" i="4"/>
  <c r="D38" i="2"/>
  <c r="R23" i="2"/>
  <c r="K164" i="5"/>
  <c r="K165" i="5" s="1"/>
  <c r="J166" i="5"/>
  <c r="S94" i="4"/>
  <c r="T23" i="2"/>
  <c r="U76" i="4"/>
  <c r="U94" i="4" s="1"/>
  <c r="D35" i="2"/>
  <c r="V58" i="2"/>
  <c r="V60" i="2" s="1"/>
  <c r="V59" i="2"/>
  <c r="V117" i="2"/>
  <c r="V137" i="2" s="1"/>
  <c r="V38" i="2"/>
  <c r="V35" i="2"/>
  <c r="U28" i="2"/>
  <c r="U30" i="2" s="1"/>
  <c r="U32" i="2" s="1"/>
  <c r="U35" i="2" s="1"/>
  <c r="S23" i="2"/>
  <c r="T76" i="4"/>
  <c r="D17" i="4"/>
  <c r="D19" i="4" s="1"/>
  <c r="G4" i="2"/>
  <c r="AD124" i="4"/>
  <c r="AD125" i="4" s="1"/>
  <c r="AE3" i="2"/>
  <c r="AI38" i="5"/>
  <c r="AD26" i="11" s="1"/>
  <c r="AI145" i="9"/>
  <c r="AL30" i="5"/>
  <c r="AL32" i="5" s="1"/>
  <c r="AL100" i="9" s="1"/>
  <c r="AL122" i="9"/>
  <c r="AL124" i="9" s="1"/>
  <c r="AQ196" i="6"/>
  <c r="AM185" i="6"/>
  <c r="AN185" i="6"/>
  <c r="D9" i="4"/>
  <c r="D11" i="4" s="1"/>
  <c r="AQ188" i="6"/>
  <c r="AQ15" i="6"/>
  <c r="D34" i="4"/>
  <c r="I120" i="4"/>
  <c r="X14" i="11"/>
  <c r="AQ207" i="6"/>
  <c r="AE13" i="6"/>
  <c r="AE12" i="5" s="1"/>
  <c r="Y9" i="11" s="1"/>
  <c r="AE6" i="9"/>
  <c r="AA121" i="4"/>
  <c r="H120" i="4"/>
  <c r="D114" i="4"/>
  <c r="AA123" i="4"/>
  <c r="H122" i="4"/>
  <c r="AE208" i="6"/>
  <c r="AE17" i="5"/>
  <c r="Y14" i="11" s="1"/>
  <c r="D106" i="4"/>
  <c r="F115" i="4"/>
  <c r="AA125" i="4"/>
  <c r="H124" i="4"/>
  <c r="X9" i="11"/>
  <c r="I122" i="4"/>
  <c r="AE16" i="6"/>
  <c r="AE13" i="5" s="1"/>
  <c r="Y10" i="11" s="1"/>
  <c r="AE198" i="6"/>
  <c r="AE197" i="6"/>
  <c r="AF207" i="6"/>
  <c r="AF188" i="6"/>
  <c r="AF189" i="6" s="1"/>
  <c r="AF196" i="6"/>
  <c r="AF15" i="6"/>
  <c r="AF193" i="6"/>
  <c r="AG192" i="6"/>
  <c r="AI50" i="6"/>
  <c r="AI57" i="6"/>
  <c r="AE124" i="4"/>
  <c r="AF124" i="4"/>
  <c r="AF125" i="4" s="1"/>
  <c r="AG124" i="4"/>
  <c r="AG125" i="4" s="1"/>
  <c r="AE172" i="2"/>
  <c r="AE167" i="2"/>
  <c r="AE171" i="2" s="1"/>
  <c r="AE173" i="2" s="1"/>
  <c r="Y160" i="2"/>
  <c r="Y172" i="2"/>
  <c r="Y167" i="2"/>
  <c r="Y171" i="2" s="1"/>
  <c r="Y173" i="2" s="1"/>
  <c r="AD167" i="2"/>
  <c r="AD171" i="2" s="1"/>
  <c r="AD173" i="2" s="1"/>
  <c r="AD172" i="2"/>
  <c r="U59" i="2"/>
  <c r="Y122" i="4"/>
  <c r="Y123" i="4" s="1"/>
  <c r="Y60" i="2"/>
  <c r="AC124" i="4"/>
  <c r="AC125" i="4" s="1"/>
  <c r="AB124" i="4"/>
  <c r="AB125" i="4" s="1"/>
  <c r="U58" i="2"/>
  <c r="G17" i="4" l="1"/>
  <c r="G19" i="4" s="1"/>
  <c r="AN15" i="6"/>
  <c r="AN6" i="9" s="1"/>
  <c r="AO14" i="6"/>
  <c r="AN14" i="6"/>
  <c r="F9" i="4"/>
  <c r="F11" i="4" s="1"/>
  <c r="G51" i="4"/>
  <c r="H51" i="4"/>
  <c r="H9" i="4"/>
  <c r="H11" i="4" s="1"/>
  <c r="D81" i="4"/>
  <c r="E51" i="4"/>
  <c r="F19" i="4"/>
  <c r="I9" i="4"/>
  <c r="I11" i="4" s="1"/>
  <c r="H91" i="4"/>
  <c r="E17" i="4"/>
  <c r="E19" i="4" s="1"/>
  <c r="G9" i="4"/>
  <c r="G11" i="4" s="1"/>
  <c r="H119" i="4"/>
  <c r="H121" i="4" s="1"/>
  <c r="I17" i="4"/>
  <c r="I19" i="4" s="1"/>
  <c r="E9" i="4"/>
  <c r="E11" i="4" s="1"/>
  <c r="F51" i="4"/>
  <c r="J56" i="4"/>
  <c r="H17" i="4"/>
  <c r="H19" i="4" s="1"/>
  <c r="Z124" i="4"/>
  <c r="Z125" i="4" s="1"/>
  <c r="E91" i="4"/>
  <c r="I41" i="4"/>
  <c r="AO165" i="6"/>
  <c r="AO20" i="6" s="1"/>
  <c r="AO21" i="6" s="1"/>
  <c r="D91" i="4"/>
  <c r="U117" i="2"/>
  <c r="U137" i="2" s="1"/>
  <c r="U160" i="2" s="1"/>
  <c r="U38" i="2"/>
  <c r="AM14" i="6"/>
  <c r="AL14" i="6"/>
  <c r="AL13" i="6" s="1"/>
  <c r="AL17" i="6" s="1"/>
  <c r="J69" i="4"/>
  <c r="G81" i="4"/>
  <c r="E81" i="4"/>
  <c r="AL192" i="6"/>
  <c r="AL188" i="6" s="1"/>
  <c r="F81" i="4"/>
  <c r="J50" i="4"/>
  <c r="J34" i="4"/>
  <c r="J122" i="4"/>
  <c r="J90" i="4"/>
  <c r="J70" i="4"/>
  <c r="J75" i="4"/>
  <c r="J15" i="4"/>
  <c r="J35" i="4"/>
  <c r="AP107" i="6" s="1"/>
  <c r="AP109" i="6" s="1"/>
  <c r="J109" i="4"/>
  <c r="J10" i="4"/>
  <c r="AP145" i="6" s="1"/>
  <c r="AP149" i="6" s="1"/>
  <c r="J55" i="4"/>
  <c r="J88" i="4"/>
  <c r="J106" i="4"/>
  <c r="J107" i="4" s="1"/>
  <c r="J114" i="4"/>
  <c r="J100" i="4"/>
  <c r="J99" i="4"/>
  <c r="J96" i="4"/>
  <c r="J8" i="4"/>
  <c r="J7" i="4"/>
  <c r="J112" i="4"/>
  <c r="J39" i="4"/>
  <c r="J20" i="4"/>
  <c r="AP151" i="6" s="1"/>
  <c r="J84" i="4"/>
  <c r="J18" i="4"/>
  <c r="AP147" i="6" s="1"/>
  <c r="AQ148" i="6" s="1"/>
  <c r="J93" i="4"/>
  <c r="J49" i="4"/>
  <c r="J79" i="4"/>
  <c r="J74" i="4"/>
  <c r="J118" i="4"/>
  <c r="J113" i="4"/>
  <c r="J103" i="4"/>
  <c r="J59" i="4"/>
  <c r="J116" i="4"/>
  <c r="J108" i="4"/>
  <c r="J117" i="4"/>
  <c r="J68" i="4"/>
  <c r="J97" i="4"/>
  <c r="J16" i="4"/>
  <c r="J12" i="4"/>
  <c r="J124" i="4"/>
  <c r="J120" i="4"/>
  <c r="J40" i="4"/>
  <c r="J89" i="4"/>
  <c r="J115" i="4"/>
  <c r="J60" i="4"/>
  <c r="J80" i="4"/>
  <c r="AR28" i="6"/>
  <c r="AR117" i="6" s="1"/>
  <c r="AB69" i="10" s="1"/>
  <c r="AI29" i="6"/>
  <c r="AI30" i="6"/>
  <c r="AM15" i="6"/>
  <c r="AM6" i="9" s="1"/>
  <c r="AO162" i="9"/>
  <c r="Y85" i="10"/>
  <c r="AQ194" i="6"/>
  <c r="AR48" i="6"/>
  <c r="AS36" i="6"/>
  <c r="AC65" i="10" s="1"/>
  <c r="E140" i="2"/>
  <c r="AL143" i="5" s="1"/>
  <c r="AL53" i="9" s="1"/>
  <c r="AL54" i="9" s="1"/>
  <c r="AI3" i="2"/>
  <c r="AQ29" i="6"/>
  <c r="L62" i="8"/>
  <c r="O60" i="8"/>
  <c r="AR50" i="6"/>
  <c r="AS38" i="6"/>
  <c r="AS20" i="6" s="1"/>
  <c r="AC93" i="10" s="1"/>
  <c r="F41" i="4"/>
  <c r="C53" i="17"/>
  <c r="C23" i="7"/>
  <c r="C24" i="7" s="1"/>
  <c r="C21" i="17"/>
  <c r="C22" i="17" s="1"/>
  <c r="D53" i="17"/>
  <c r="AI22" i="6"/>
  <c r="V93" i="10"/>
  <c r="AI21" i="6"/>
  <c r="C11" i="15"/>
  <c r="C34" i="15" s="1"/>
  <c r="AQ118" i="6"/>
  <c r="D10" i="20" s="1"/>
  <c r="AA69" i="10"/>
  <c r="AN21" i="6"/>
  <c r="AN22" i="6"/>
  <c r="AR21" i="6"/>
  <c r="AR22" i="6"/>
  <c r="T134" i="6"/>
  <c r="I105" i="4"/>
  <c r="AO192" i="6"/>
  <c r="AO140" i="9"/>
  <c r="F91" i="4"/>
  <c r="AN137" i="9"/>
  <c r="H105" i="4"/>
  <c r="E152" i="2"/>
  <c r="AL155" i="5" s="1"/>
  <c r="AL135" i="9" s="1"/>
  <c r="F157" i="2"/>
  <c r="AM160" i="5" s="1"/>
  <c r="D155" i="2"/>
  <c r="AK158" i="5" s="1"/>
  <c r="AK85" i="9" s="1"/>
  <c r="F151" i="2"/>
  <c r="AM154" i="5" s="1"/>
  <c r="E124" i="2"/>
  <c r="AL127" i="5" s="1"/>
  <c r="E46" i="2"/>
  <c r="E28" i="2"/>
  <c r="E30" i="2" s="1"/>
  <c r="D151" i="2"/>
  <c r="AK154" i="5" s="1"/>
  <c r="F153" i="2"/>
  <c r="AM156" i="5" s="1"/>
  <c r="AM145" i="9" s="1"/>
  <c r="E156" i="2"/>
  <c r="AL159" i="5" s="1"/>
  <c r="X4" i="14"/>
  <c r="D124" i="2"/>
  <c r="AK127" i="5" s="1"/>
  <c r="F154" i="2"/>
  <c r="AM157" i="5" s="1"/>
  <c r="D156" i="2"/>
  <c r="AK159" i="5" s="1"/>
  <c r="F155" i="2"/>
  <c r="AM158" i="5" s="1"/>
  <c r="AM85" i="9" s="1"/>
  <c r="E151" i="2"/>
  <c r="AL154" i="5" s="1"/>
  <c r="G124" i="2"/>
  <c r="AN127" i="5" s="1"/>
  <c r="G152" i="2"/>
  <c r="AN155" i="5" s="1"/>
  <c r="G154" i="2"/>
  <c r="AN157" i="5" s="1"/>
  <c r="G151" i="2"/>
  <c r="AN154" i="5" s="1"/>
  <c r="G156" i="2"/>
  <c r="AN159" i="5" s="1"/>
  <c r="G155" i="2"/>
  <c r="AN158" i="5" s="1"/>
  <c r="AN85" i="9" s="1"/>
  <c r="G153" i="2"/>
  <c r="AN156" i="5" s="1"/>
  <c r="E153" i="2"/>
  <c r="AL156" i="5" s="1"/>
  <c r="AL145" i="9" s="1"/>
  <c r="F156" i="2"/>
  <c r="AM159" i="5" s="1"/>
  <c r="F46" i="2"/>
  <c r="F28" i="2"/>
  <c r="F30" i="2" s="1"/>
  <c r="F124" i="2"/>
  <c r="AM127" i="5" s="1"/>
  <c r="E155" i="2"/>
  <c r="AL158" i="5" s="1"/>
  <c r="AL85" i="9" s="1"/>
  <c r="F152" i="2"/>
  <c r="AM155" i="5" s="1"/>
  <c r="AM135" i="9" s="1"/>
  <c r="E154" i="2"/>
  <c r="AL157" i="5" s="1"/>
  <c r="U132" i="6"/>
  <c r="U134" i="6" s="1"/>
  <c r="U135" i="6" s="1"/>
  <c r="U136" i="6" s="1"/>
  <c r="AE42" i="5"/>
  <c r="AG210" i="6"/>
  <c r="I24" i="12"/>
  <c r="AM37" i="11"/>
  <c r="AS79" i="5"/>
  <c r="AM122" i="9"/>
  <c r="AM124" i="9" s="1"/>
  <c r="AH19" i="11"/>
  <c r="AQ13" i="6"/>
  <c r="AQ6" i="9"/>
  <c r="D41" i="4"/>
  <c r="I51" i="4"/>
  <c r="E41" i="4"/>
  <c r="AL165" i="6"/>
  <c r="G41" i="4"/>
  <c r="I91" i="4"/>
  <c r="G91" i="4"/>
  <c r="G119" i="4"/>
  <c r="D51" i="4"/>
  <c r="AK15" i="6"/>
  <c r="AK6" i="9" s="1"/>
  <c r="AK14" i="6"/>
  <c r="I119" i="4"/>
  <c r="I121" i="4" s="1"/>
  <c r="D119" i="4"/>
  <c r="D123" i="4" s="1"/>
  <c r="D86" i="4"/>
  <c r="E119" i="4"/>
  <c r="E121" i="4" s="1"/>
  <c r="F119" i="4"/>
  <c r="H41" i="4"/>
  <c r="D74" i="2"/>
  <c r="AK77" i="5" s="1"/>
  <c r="AK119" i="9" s="1"/>
  <c r="E139" i="2"/>
  <c r="F96" i="4" s="1"/>
  <c r="D148" i="2"/>
  <c r="AK151" i="5" s="1"/>
  <c r="AK92" i="9" s="1"/>
  <c r="D78" i="2"/>
  <c r="AK81" i="5" s="1"/>
  <c r="AK63" i="9" s="1"/>
  <c r="AL57" i="9" s="1"/>
  <c r="K166" i="5"/>
  <c r="L164" i="5"/>
  <c r="B57" i="11" s="1"/>
  <c r="B58" i="11" s="1"/>
  <c r="D113" i="2"/>
  <c r="AK116" i="5" s="1"/>
  <c r="R46" i="2"/>
  <c r="R56" i="2" s="1"/>
  <c r="R28" i="2"/>
  <c r="R30" i="2" s="1"/>
  <c r="R32" i="2" s="1"/>
  <c r="Y120" i="4"/>
  <c r="Y121" i="4" s="1"/>
  <c r="D93" i="2"/>
  <c r="AK96" i="5" s="1"/>
  <c r="AK77" i="9" s="1"/>
  <c r="D96" i="2"/>
  <c r="AK99" i="5" s="1"/>
  <c r="AK114" i="9" s="1"/>
  <c r="AQ12" i="5"/>
  <c r="D119" i="2"/>
  <c r="AK122" i="5" s="1"/>
  <c r="AK39" i="9" s="1"/>
  <c r="D89" i="2"/>
  <c r="AK92" i="5" s="1"/>
  <c r="AK88" i="9" s="1"/>
  <c r="D152" i="2"/>
  <c r="AK155" i="5" s="1"/>
  <c r="AK135" i="9" s="1"/>
  <c r="D143" i="2"/>
  <c r="AK146" i="5" s="1"/>
  <c r="D125" i="2"/>
  <c r="AK128" i="5" s="1"/>
  <c r="D104" i="2"/>
  <c r="AK107" i="5" s="1"/>
  <c r="AK134" i="9" s="1"/>
  <c r="D140" i="2"/>
  <c r="AK143" i="5" s="1"/>
  <c r="AK53" i="9" s="1"/>
  <c r="AK54" i="9" s="1"/>
  <c r="D150" i="2"/>
  <c r="AK153" i="5" s="1"/>
  <c r="AK82" i="9" s="1"/>
  <c r="E150" i="2"/>
  <c r="AL153" i="5" s="1"/>
  <c r="AL82" i="9" s="1"/>
  <c r="E67" i="2"/>
  <c r="AL70" i="5" s="1"/>
  <c r="AL9" i="9" s="1"/>
  <c r="D86" i="2"/>
  <c r="AK89" i="5" s="1"/>
  <c r="AK74" i="9" s="1"/>
  <c r="D90" i="2"/>
  <c r="AK93" i="5" s="1"/>
  <c r="D120" i="2"/>
  <c r="AK123" i="5" s="1"/>
  <c r="AK130" i="9" s="1"/>
  <c r="AK131" i="9" s="1"/>
  <c r="D105" i="2"/>
  <c r="AK108" i="5" s="1"/>
  <c r="D142" i="2"/>
  <c r="AK145" i="5" s="1"/>
  <c r="D135" i="2"/>
  <c r="AK138" i="5" s="1"/>
  <c r="D112" i="2"/>
  <c r="AK115" i="5" s="1"/>
  <c r="E85" i="2"/>
  <c r="AL88" i="5" s="1"/>
  <c r="AL73" i="9" s="1"/>
  <c r="D111" i="2"/>
  <c r="AK114" i="5" s="1"/>
  <c r="D122" i="2"/>
  <c r="AK125" i="5" s="1"/>
  <c r="AK35" i="9" s="1"/>
  <c r="AK36" i="9" s="1"/>
  <c r="AK54" i="5"/>
  <c r="D80" i="2"/>
  <c r="AK83" i="5" s="1"/>
  <c r="AK67" i="9" s="1"/>
  <c r="D129" i="2"/>
  <c r="AK132" i="5" s="1"/>
  <c r="D153" i="2"/>
  <c r="AK156" i="5" s="1"/>
  <c r="AK145" i="9" s="1"/>
  <c r="D131" i="2"/>
  <c r="AK134" i="5" s="1"/>
  <c r="E88" i="2"/>
  <c r="AL91" i="5" s="1"/>
  <c r="AL113" i="9" s="1"/>
  <c r="D136" i="2"/>
  <c r="AK139" i="5" s="1"/>
  <c r="D103" i="2"/>
  <c r="AK106" i="5" s="1"/>
  <c r="AK129" i="9" s="1"/>
  <c r="D106" i="2"/>
  <c r="AK109" i="5" s="1"/>
  <c r="AK143" i="9" s="1"/>
  <c r="D68" i="2"/>
  <c r="AK71" i="5" s="1"/>
  <c r="AK15" i="9" s="1"/>
  <c r="D134" i="2"/>
  <c r="AK137" i="5" s="1"/>
  <c r="D139" i="2"/>
  <c r="AK142" i="5" s="1"/>
  <c r="AK42" i="9" s="1"/>
  <c r="AK43" i="9" s="1"/>
  <c r="D85" i="2"/>
  <c r="AK88" i="5" s="1"/>
  <c r="AK73" i="9" s="1"/>
  <c r="E113" i="2"/>
  <c r="AL116" i="5" s="1"/>
  <c r="E92" i="2"/>
  <c r="AL95" i="5" s="1"/>
  <c r="D133" i="2"/>
  <c r="AK136" i="5" s="1"/>
  <c r="D98" i="2"/>
  <c r="AK101" i="5" s="1"/>
  <c r="D75" i="2"/>
  <c r="AK78" i="5" s="1"/>
  <c r="AK49" i="9" s="1"/>
  <c r="D154" i="2"/>
  <c r="AK157" i="5" s="1"/>
  <c r="AK48" i="5"/>
  <c r="D144" i="2"/>
  <c r="AK147" i="5" s="1"/>
  <c r="D70" i="2"/>
  <c r="AK73" i="5" s="1"/>
  <c r="AK23" i="9" s="1"/>
  <c r="F142" i="2"/>
  <c r="F170" i="2" s="1"/>
  <c r="E105" i="2"/>
  <c r="AL108" i="5" s="1"/>
  <c r="D84" i="2"/>
  <c r="AK87" i="5" s="1"/>
  <c r="AK52" i="5"/>
  <c r="D95" i="2"/>
  <c r="AK98" i="5" s="1"/>
  <c r="D87" i="2"/>
  <c r="AK90" i="5" s="1"/>
  <c r="AK31" i="9" s="1"/>
  <c r="AK32" i="9" s="1"/>
  <c r="AK33" i="9" s="1"/>
  <c r="D130" i="2"/>
  <c r="AK133" i="5" s="1"/>
  <c r="D92" i="2"/>
  <c r="AK95" i="5" s="1"/>
  <c r="D121" i="2"/>
  <c r="AK124" i="5" s="1"/>
  <c r="D69" i="2"/>
  <c r="AK72" i="5" s="1"/>
  <c r="AK19" i="9" s="1"/>
  <c r="AK20" i="9" s="1"/>
  <c r="AK21" i="9" s="1"/>
  <c r="E125" i="2"/>
  <c r="AL128" i="5" s="1"/>
  <c r="D123" i="2"/>
  <c r="AK126" i="5" s="1"/>
  <c r="D100" i="2"/>
  <c r="AK103" i="5" s="1"/>
  <c r="D71" i="2"/>
  <c r="AK74" i="5" s="1"/>
  <c r="AK66" i="9" s="1"/>
  <c r="D132" i="2"/>
  <c r="AK135" i="5" s="1"/>
  <c r="D126" i="2"/>
  <c r="AK129" i="5" s="1"/>
  <c r="D77" i="2"/>
  <c r="AK80" i="5" s="1"/>
  <c r="AK61" i="9" s="1"/>
  <c r="D88" i="2"/>
  <c r="AK91" i="5" s="1"/>
  <c r="AK113" i="9" s="1"/>
  <c r="D141" i="2"/>
  <c r="D169" i="2" s="1"/>
  <c r="D147" i="2"/>
  <c r="AK150" i="5" s="1"/>
  <c r="E111" i="2"/>
  <c r="AL114" i="5" s="1"/>
  <c r="E77" i="2"/>
  <c r="AL80" i="5" s="1"/>
  <c r="AL61" i="9" s="1"/>
  <c r="AK49" i="5"/>
  <c r="D102" i="2"/>
  <c r="AK105" i="5" s="1"/>
  <c r="D97" i="2"/>
  <c r="AK100" i="5" s="1"/>
  <c r="AK90" i="9" s="1"/>
  <c r="F70" i="2"/>
  <c r="AM73" i="5" s="1"/>
  <c r="AM23" i="9" s="1"/>
  <c r="AM24" i="9" s="1"/>
  <c r="AM25" i="9" s="1"/>
  <c r="F74" i="2"/>
  <c r="AM77" i="5" s="1"/>
  <c r="F35" i="11" s="1"/>
  <c r="V167" i="2"/>
  <c r="V171" i="2" s="1"/>
  <c r="V173" i="2" s="1"/>
  <c r="V160" i="2"/>
  <c r="V172" i="2"/>
  <c r="D66" i="2"/>
  <c r="E74" i="2"/>
  <c r="AL77" i="5" s="1"/>
  <c r="AL119" i="9" s="1"/>
  <c r="E130" i="2"/>
  <c r="AL133" i="5" s="1"/>
  <c r="F147" i="2"/>
  <c r="AM150" i="5" s="1"/>
  <c r="T94" i="4"/>
  <c r="G94" i="4"/>
  <c r="S28" i="2"/>
  <c r="S30" i="2" s="1"/>
  <c r="S32" i="2" s="1"/>
  <c r="S46" i="2"/>
  <c r="S56" i="2" s="1"/>
  <c r="AK57" i="5"/>
  <c r="E80" i="2"/>
  <c r="AL83" i="5" s="1"/>
  <c r="AL67" i="9" s="1"/>
  <c r="E53" i="2"/>
  <c r="AL52" i="5" s="1"/>
  <c r="F129" i="2"/>
  <c r="AM132" i="5" s="1"/>
  <c r="E143" i="2"/>
  <c r="AL146" i="5" s="1"/>
  <c r="AK50" i="5"/>
  <c r="E95" i="2"/>
  <c r="AL98" i="5" s="1"/>
  <c r="AB27" i="14" s="1"/>
  <c r="E119" i="2"/>
  <c r="AL122" i="5" s="1"/>
  <c r="C26" i="7" s="1"/>
  <c r="F49" i="2"/>
  <c r="AM49" i="5" s="1"/>
  <c r="E84" i="2"/>
  <c r="AL87" i="5" s="1"/>
  <c r="D67" i="2"/>
  <c r="AK70" i="5" s="1"/>
  <c r="AK9" i="9" s="1"/>
  <c r="D94" i="2"/>
  <c r="AK97" i="5" s="1"/>
  <c r="AK110" i="9" s="1"/>
  <c r="E49" i="2"/>
  <c r="AL49" i="5" s="1"/>
  <c r="E132" i="2"/>
  <c r="AL135" i="5" s="1"/>
  <c r="F95" i="2"/>
  <c r="AM98" i="5" s="1"/>
  <c r="AC27" i="14" s="1"/>
  <c r="E144" i="2"/>
  <c r="AL147" i="5" s="1"/>
  <c r="D149" i="2"/>
  <c r="AK152" i="5" s="1"/>
  <c r="AK86" i="9" s="1"/>
  <c r="D128" i="2"/>
  <c r="AK131" i="5" s="1"/>
  <c r="D79" i="2"/>
  <c r="AK82" i="5" s="1"/>
  <c r="AK16" i="9" s="1"/>
  <c r="F48" i="2"/>
  <c r="AM48" i="5" s="1"/>
  <c r="F80" i="2"/>
  <c r="AM83" i="5" s="1"/>
  <c r="AM67" i="9" s="1"/>
  <c r="E102" i="2"/>
  <c r="AL105" i="5" s="1"/>
  <c r="T28" i="2"/>
  <c r="T30" i="2" s="1"/>
  <c r="T32" i="2" s="1"/>
  <c r="X120" i="4" s="1"/>
  <c r="X121" i="4" s="1"/>
  <c r="T46" i="2"/>
  <c r="T56" i="2" s="1"/>
  <c r="D157" i="2"/>
  <c r="AK160" i="5" s="1"/>
  <c r="D73" i="2"/>
  <c r="AK76" i="5" s="1"/>
  <c r="AK47" i="9" s="1"/>
  <c r="AL46" i="9" s="1"/>
  <c r="D76" i="2"/>
  <c r="AK79" i="5" s="1"/>
  <c r="F150" i="2"/>
  <c r="AM153" i="5" s="1"/>
  <c r="AM82" i="9" s="1"/>
  <c r="F77" i="2"/>
  <c r="AM80" i="5" s="1"/>
  <c r="F38" i="11" s="1"/>
  <c r="F140" i="2"/>
  <c r="AM143" i="5" s="1"/>
  <c r="F135" i="2"/>
  <c r="AM138" i="5" s="1"/>
  <c r="F132" i="2"/>
  <c r="AM135" i="5" s="1"/>
  <c r="F119" i="2"/>
  <c r="AM122" i="5" s="1"/>
  <c r="D26" i="7" s="1"/>
  <c r="F53" i="2"/>
  <c r="AM52" i="5" s="1"/>
  <c r="F86" i="2"/>
  <c r="AM89" i="5" s="1"/>
  <c r="AM74" i="9" s="1"/>
  <c r="F71" i="2"/>
  <c r="AM74" i="5" s="1"/>
  <c r="AM66" i="9" s="1"/>
  <c r="F68" i="2"/>
  <c r="AM71" i="5" s="1"/>
  <c r="AM15" i="9" s="1"/>
  <c r="F113" i="2"/>
  <c r="AM116" i="5" s="1"/>
  <c r="E148" i="2"/>
  <c r="AL151" i="5" s="1"/>
  <c r="AL92" i="9" s="1"/>
  <c r="E50" i="2"/>
  <c r="AL50" i="5" s="1"/>
  <c r="E55" i="2"/>
  <c r="AL54" i="5" s="1"/>
  <c r="E78" i="2"/>
  <c r="AL81" i="5" s="1"/>
  <c r="AL63" i="9" s="1"/>
  <c r="AM57" i="9" s="1"/>
  <c r="E131" i="2"/>
  <c r="AL134" i="5" s="1"/>
  <c r="E97" i="2"/>
  <c r="AL100" i="5" s="1"/>
  <c r="AL90" i="9" s="1"/>
  <c r="F67" i="2"/>
  <c r="AM70" i="5" s="1"/>
  <c r="AM9" i="9" s="1"/>
  <c r="F139" i="2"/>
  <c r="F125" i="2"/>
  <c r="AM128" i="5" s="1"/>
  <c r="F105" i="2"/>
  <c r="AM108" i="5" s="1"/>
  <c r="F92" i="2"/>
  <c r="F88" i="2"/>
  <c r="AM91" i="5" s="1"/>
  <c r="AM113" i="9" s="1"/>
  <c r="F85" i="2"/>
  <c r="AM88" i="5" s="1"/>
  <c r="E75" i="2"/>
  <c r="AL78" i="5" s="1"/>
  <c r="AL49" i="9" s="1"/>
  <c r="E136" i="2"/>
  <c r="AL139" i="5" s="1"/>
  <c r="E90" i="2"/>
  <c r="AL93" i="5" s="1"/>
  <c r="E96" i="2"/>
  <c r="AL99" i="5" s="1"/>
  <c r="AL114" i="9" s="1"/>
  <c r="E69" i="2"/>
  <c r="AL72" i="5" s="1"/>
  <c r="AL19" i="9" s="1"/>
  <c r="AL20" i="9" s="1"/>
  <c r="AL21" i="9" s="1"/>
  <c r="E121" i="2"/>
  <c r="AL124" i="5" s="1"/>
  <c r="AB43" i="14" s="1"/>
  <c r="E135" i="2"/>
  <c r="AL138" i="5" s="1"/>
  <c r="F79" i="2"/>
  <c r="AM82" i="5" s="1"/>
  <c r="AM16" i="9" s="1"/>
  <c r="F76" i="2"/>
  <c r="AM79" i="5" s="1"/>
  <c r="F112" i="2"/>
  <c r="AM115" i="5" s="1"/>
  <c r="F149" i="2"/>
  <c r="AM152" i="5" s="1"/>
  <c r="AM86" i="9" s="1"/>
  <c r="F134" i="2"/>
  <c r="AM137" i="5" s="1"/>
  <c r="F121" i="2"/>
  <c r="AM124" i="5" s="1"/>
  <c r="AC43" i="14" s="1"/>
  <c r="F102" i="2"/>
  <c r="F97" i="2"/>
  <c r="AM100" i="5" s="1"/>
  <c r="F46" i="11" s="1"/>
  <c r="F94" i="2"/>
  <c r="AM97" i="5" s="1"/>
  <c r="E98" i="2"/>
  <c r="AL101" i="5" s="1"/>
  <c r="E48" i="2"/>
  <c r="E73" i="2"/>
  <c r="AL76" i="5" s="1"/>
  <c r="AL47" i="9" s="1"/>
  <c r="AM46" i="9" s="1"/>
  <c r="E134" i="2"/>
  <c r="AL137" i="5" s="1"/>
  <c r="F90" i="2"/>
  <c r="AM93" i="5" s="1"/>
  <c r="F87" i="2"/>
  <c r="AM90" i="5" s="1"/>
  <c r="AM31" i="9" s="1"/>
  <c r="AM32" i="9" s="1"/>
  <c r="AM33" i="9" s="1"/>
  <c r="F73" i="2"/>
  <c r="AM76" i="5" s="1"/>
  <c r="F34" i="11" s="1"/>
  <c r="F69" i="2"/>
  <c r="AM72" i="5" s="1"/>
  <c r="AM19" i="9" s="1"/>
  <c r="AM20" i="9" s="1"/>
  <c r="AM21" i="9" s="1"/>
  <c r="F144" i="2"/>
  <c r="AM147" i="5" s="1"/>
  <c r="F131" i="2"/>
  <c r="AM134" i="5" s="1"/>
  <c r="F57" i="2"/>
  <c r="F123" i="2"/>
  <c r="AM126" i="5" s="1"/>
  <c r="F104" i="2"/>
  <c r="AM107" i="5" s="1"/>
  <c r="AM134" i="9" s="1"/>
  <c r="E103" i="2"/>
  <c r="AL106" i="5" s="1"/>
  <c r="AL129" i="9" s="1"/>
  <c r="E66" i="2"/>
  <c r="E133" i="2"/>
  <c r="AL136" i="5" s="1"/>
  <c r="E79" i="2"/>
  <c r="AL82" i="5" s="1"/>
  <c r="AL16" i="9" s="1"/>
  <c r="E87" i="2"/>
  <c r="AL90" i="5" s="1"/>
  <c r="AL31" i="9" s="1"/>
  <c r="AL32" i="9" s="1"/>
  <c r="AL33" i="9" s="1"/>
  <c r="E149" i="2"/>
  <c r="AL152" i="5" s="1"/>
  <c r="AL86" i="9" s="1"/>
  <c r="E129" i="2"/>
  <c r="AL132" i="5" s="1"/>
  <c r="E68" i="2"/>
  <c r="AL71" i="5" s="1"/>
  <c r="AL15" i="9" s="1"/>
  <c r="F50" i="2"/>
  <c r="AM50" i="5" s="1"/>
  <c r="F100" i="2"/>
  <c r="AM103" i="5" s="1"/>
  <c r="F96" i="2"/>
  <c r="AM99" i="5" s="1"/>
  <c r="AM114" i="9" s="1"/>
  <c r="F84" i="2"/>
  <c r="F78" i="2"/>
  <c r="AM81" i="5" s="1"/>
  <c r="F141" i="2"/>
  <c r="F128" i="2"/>
  <c r="AM131" i="5" s="1"/>
  <c r="F133" i="2"/>
  <c r="AM136" i="5" s="1"/>
  <c r="H4" i="2"/>
  <c r="I4" i="2" s="1"/>
  <c r="G97" i="2"/>
  <c r="AN100" i="5" s="1"/>
  <c r="K46" i="11" s="1"/>
  <c r="G88" i="2"/>
  <c r="AN91" i="5" s="1"/>
  <c r="AN113" i="9" s="1"/>
  <c r="G77" i="2"/>
  <c r="AN80" i="5" s="1"/>
  <c r="K38" i="11" s="1"/>
  <c r="G68" i="2"/>
  <c r="AN71" i="5" s="1"/>
  <c r="AN15" i="9" s="1"/>
  <c r="G148" i="2"/>
  <c r="AN151" i="5" s="1"/>
  <c r="AN92" i="9" s="1"/>
  <c r="G136" i="2"/>
  <c r="AN139" i="5" s="1"/>
  <c r="G128" i="2"/>
  <c r="AN131" i="5" s="1"/>
  <c r="G57" i="2"/>
  <c r="G29" i="2"/>
  <c r="AN29" i="5" s="1"/>
  <c r="G20" i="2"/>
  <c r="G16" i="2"/>
  <c r="H78" i="4" s="1"/>
  <c r="H81" i="4" s="1"/>
  <c r="G7" i="2"/>
  <c r="G102" i="2"/>
  <c r="G92" i="2"/>
  <c r="G80" i="2"/>
  <c r="AN83" i="5" s="1"/>
  <c r="AN67" i="9" s="1"/>
  <c r="G71" i="2"/>
  <c r="AN74" i="5" s="1"/>
  <c r="AN66" i="9" s="1"/>
  <c r="G111" i="2"/>
  <c r="AN114" i="5" s="1"/>
  <c r="G141" i="2"/>
  <c r="G131" i="2"/>
  <c r="AN134" i="5" s="1"/>
  <c r="G121" i="2"/>
  <c r="AN124" i="5" s="1"/>
  <c r="AD43" i="14" s="1"/>
  <c r="G105" i="2"/>
  <c r="AN108" i="5" s="1"/>
  <c r="G95" i="2"/>
  <c r="AN98" i="5" s="1"/>
  <c r="AD27" i="14" s="1"/>
  <c r="G86" i="2"/>
  <c r="AN89" i="5" s="1"/>
  <c r="AN74" i="9" s="1"/>
  <c r="G75" i="2"/>
  <c r="AN78" i="5" s="1"/>
  <c r="K36" i="11" s="1"/>
  <c r="G66" i="2"/>
  <c r="G157" i="2"/>
  <c r="AN160" i="5" s="1"/>
  <c r="G144" i="2"/>
  <c r="AN147" i="5" s="1"/>
  <c r="G134" i="2"/>
  <c r="AN137" i="5" s="1"/>
  <c r="G125" i="2"/>
  <c r="AN128" i="5" s="1"/>
  <c r="G49" i="2"/>
  <c r="AN49" i="5" s="1"/>
  <c r="G53" i="2"/>
  <c r="AN52" i="5" s="1"/>
  <c r="G26" i="2"/>
  <c r="AN26" i="5" s="1"/>
  <c r="G19" i="2"/>
  <c r="G13" i="2"/>
  <c r="G6" i="2"/>
  <c r="G98" i="2"/>
  <c r="AN101" i="5" s="1"/>
  <c r="G89" i="2"/>
  <c r="AN92" i="5" s="1"/>
  <c r="K42" i="11" s="1"/>
  <c r="G78" i="2"/>
  <c r="AN81" i="5" s="1"/>
  <c r="G69" i="2"/>
  <c r="AN72" i="5" s="1"/>
  <c r="AN19" i="9" s="1"/>
  <c r="G149" i="2"/>
  <c r="AN152" i="5" s="1"/>
  <c r="AN86" i="9" s="1"/>
  <c r="G139" i="2"/>
  <c r="G129" i="2"/>
  <c r="AN132" i="5" s="1"/>
  <c r="G119" i="2"/>
  <c r="AN122" i="5" s="1"/>
  <c r="E26" i="7" s="1"/>
  <c r="G103" i="2"/>
  <c r="AN106" i="5" s="1"/>
  <c r="AN129" i="9" s="1"/>
  <c r="G93" i="2"/>
  <c r="AN96" i="5" s="1"/>
  <c r="G84" i="2"/>
  <c r="G73" i="2"/>
  <c r="AN76" i="5" s="1"/>
  <c r="K34" i="11" s="1"/>
  <c r="G112" i="2"/>
  <c r="AN115" i="5" s="1"/>
  <c r="G142" i="2"/>
  <c r="G132" i="2"/>
  <c r="AN135" i="5" s="1"/>
  <c r="G122" i="2"/>
  <c r="AN125" i="5" s="1"/>
  <c r="AN35" i="9" s="1"/>
  <c r="G25" i="2"/>
  <c r="G18" i="2"/>
  <c r="G12" i="2"/>
  <c r="G106" i="2"/>
  <c r="AN109" i="5" s="1"/>
  <c r="AN143" i="9" s="1"/>
  <c r="G96" i="2"/>
  <c r="AN99" i="5" s="1"/>
  <c r="AN114" i="9" s="1"/>
  <c r="G87" i="2"/>
  <c r="AN90" i="5" s="1"/>
  <c r="AN31" i="9" s="1"/>
  <c r="G76" i="2"/>
  <c r="AN79" i="5" s="1"/>
  <c r="K37" i="11" s="1"/>
  <c r="G67" i="2"/>
  <c r="AN70" i="5" s="1"/>
  <c r="AN9" i="9" s="1"/>
  <c r="G147" i="2"/>
  <c r="G135" i="2"/>
  <c r="AN138" i="5" s="1"/>
  <c r="G126" i="2"/>
  <c r="AN129" i="5" s="1"/>
  <c r="G55" i="2"/>
  <c r="AN54" i="5" s="1"/>
  <c r="G100" i="2"/>
  <c r="AN103" i="5" s="1"/>
  <c r="G90" i="2"/>
  <c r="AN93" i="5" s="1"/>
  <c r="G79" i="2"/>
  <c r="AN82" i="5" s="1"/>
  <c r="AN16" i="9" s="1"/>
  <c r="G70" i="2"/>
  <c r="AN73" i="5" s="1"/>
  <c r="AN23" i="9" s="1"/>
  <c r="G150" i="2"/>
  <c r="AN153" i="5" s="1"/>
  <c r="AN82" i="9" s="1"/>
  <c r="G140" i="2"/>
  <c r="AN143" i="5" s="1"/>
  <c r="G130" i="2"/>
  <c r="AN133" i="5" s="1"/>
  <c r="G120" i="2"/>
  <c r="AN123" i="5" s="1"/>
  <c r="AN130" i="9" s="1"/>
  <c r="G50" i="2"/>
  <c r="AN50" i="5" s="1"/>
  <c r="G48" i="2"/>
  <c r="AN48" i="5" s="1"/>
  <c r="G31" i="2"/>
  <c r="AN31" i="5" s="1"/>
  <c r="G21" i="2"/>
  <c r="G17" i="2"/>
  <c r="H83" i="4" s="1"/>
  <c r="H86" i="4" s="1"/>
  <c r="G8" i="2"/>
  <c r="AN12" i="6" s="1"/>
  <c r="G104" i="2"/>
  <c r="AN107" i="5" s="1"/>
  <c r="AN134" i="9" s="1"/>
  <c r="G94" i="2"/>
  <c r="AN97" i="5" s="1"/>
  <c r="G85" i="2"/>
  <c r="AN88" i="5" s="1"/>
  <c r="G74" i="2"/>
  <c r="AN77" i="5" s="1"/>
  <c r="K35" i="11" s="1"/>
  <c r="G113" i="2"/>
  <c r="AN116" i="5" s="1"/>
  <c r="G143" i="2"/>
  <c r="AN146" i="5" s="1"/>
  <c r="E72" i="12" s="1"/>
  <c r="G133" i="2"/>
  <c r="AN136" i="5" s="1"/>
  <c r="G123" i="2"/>
  <c r="AN126" i="5" s="1"/>
  <c r="E122" i="2"/>
  <c r="E89" i="2"/>
  <c r="AL92" i="5" s="1"/>
  <c r="AL88" i="9" s="1"/>
  <c r="E128" i="2"/>
  <c r="AL131" i="5" s="1"/>
  <c r="E104" i="2"/>
  <c r="AL107" i="5" s="1"/>
  <c r="AL134" i="9" s="1"/>
  <c r="E112" i="2"/>
  <c r="AL115" i="5" s="1"/>
  <c r="E142" i="2"/>
  <c r="E71" i="2"/>
  <c r="AL74" i="5" s="1"/>
  <c r="AL66" i="9" s="1"/>
  <c r="F120" i="2"/>
  <c r="AM123" i="5" s="1"/>
  <c r="AM130" i="9" s="1"/>
  <c r="AM131" i="9" s="1"/>
  <c r="F55" i="2"/>
  <c r="AM54" i="5" s="1"/>
  <c r="F106" i="2"/>
  <c r="AM109" i="5" s="1"/>
  <c r="AM143" i="9" s="1"/>
  <c r="F93" i="2"/>
  <c r="AM96" i="5" s="1"/>
  <c r="F89" i="2"/>
  <c r="AM92" i="5" s="1"/>
  <c r="F42" i="11" s="1"/>
  <c r="F66" i="2"/>
  <c r="F136" i="2"/>
  <c r="AM139" i="5" s="1"/>
  <c r="F143" i="2"/>
  <c r="AM146" i="5" s="1"/>
  <c r="E120" i="2"/>
  <c r="AL123" i="5" s="1"/>
  <c r="AL130" i="9" s="1"/>
  <c r="AL131" i="9" s="1"/>
  <c r="E126" i="2"/>
  <c r="AL129" i="5" s="1"/>
  <c r="E93" i="2"/>
  <c r="AL96" i="5" s="1"/>
  <c r="AL77" i="9" s="1"/>
  <c r="E141" i="2"/>
  <c r="E123" i="2"/>
  <c r="AL126" i="5" s="1"/>
  <c r="E70" i="2"/>
  <c r="AL73" i="5" s="1"/>
  <c r="AL23" i="9" s="1"/>
  <c r="AL24" i="9" s="1"/>
  <c r="AL25" i="9" s="1"/>
  <c r="E76" i="2"/>
  <c r="AL79" i="5" s="1"/>
  <c r="E147" i="2"/>
  <c r="E86" i="2"/>
  <c r="AL89" i="5" s="1"/>
  <c r="AL74" i="9" s="1"/>
  <c r="F130" i="2"/>
  <c r="AM133" i="5" s="1"/>
  <c r="F126" i="2"/>
  <c r="AM129" i="5" s="1"/>
  <c r="F122" i="2"/>
  <c r="AM125" i="5" s="1"/>
  <c r="AM35" i="9" s="1"/>
  <c r="AM36" i="9" s="1"/>
  <c r="F103" i="2"/>
  <c r="AM106" i="5" s="1"/>
  <c r="AM129" i="9" s="1"/>
  <c r="F98" i="2"/>
  <c r="AM101" i="5" s="1"/>
  <c r="F75" i="2"/>
  <c r="AM78" i="5" s="1"/>
  <c r="F36" i="11" s="1"/>
  <c r="F111" i="2"/>
  <c r="AM114" i="5" s="1"/>
  <c r="F148" i="2"/>
  <c r="AM151" i="5" s="1"/>
  <c r="AM92" i="9" s="1"/>
  <c r="E100" i="2"/>
  <c r="AL103" i="5" s="1"/>
  <c r="E106" i="2"/>
  <c r="AL109" i="5" s="1"/>
  <c r="AL143" i="9" s="1"/>
  <c r="E157" i="2"/>
  <c r="AL160" i="5" s="1"/>
  <c r="E57" i="2"/>
  <c r="AL57" i="5" s="1"/>
  <c r="E94" i="2"/>
  <c r="AL97" i="5" s="1"/>
  <c r="AL110" i="9" s="1"/>
  <c r="AQ199" i="6"/>
  <c r="AQ16" i="6"/>
  <c r="AL120" i="5"/>
  <c r="AL144" i="9"/>
  <c r="AL36" i="5"/>
  <c r="AL35" i="5"/>
  <c r="AM120" i="5"/>
  <c r="AM144" i="9"/>
  <c r="AM36" i="5"/>
  <c r="AM35" i="5"/>
  <c r="AI157" i="9"/>
  <c r="AI156" i="5"/>
  <c r="AQ17" i="5"/>
  <c r="Z14" i="11" s="1"/>
  <c r="AL146" i="6"/>
  <c r="AL149" i="6"/>
  <c r="AL150" i="6" s="1"/>
  <c r="AK171" i="6"/>
  <c r="AQ209" i="6"/>
  <c r="AQ210" i="6" s="1"/>
  <c r="AF13" i="6"/>
  <c r="AF12" i="5" s="1"/>
  <c r="AA9" i="11" s="1"/>
  <c r="AF6" i="9"/>
  <c r="AL148" i="6"/>
  <c r="AN148" i="6"/>
  <c r="AM191" i="6"/>
  <c r="AM188" i="6"/>
  <c r="X10" i="11"/>
  <c r="AM148" i="6"/>
  <c r="AN191" i="6"/>
  <c r="AN188" i="6"/>
  <c r="AM146" i="6"/>
  <c r="AM171" i="6"/>
  <c r="AM149" i="6"/>
  <c r="AM150" i="6" s="1"/>
  <c r="AL191" i="6"/>
  <c r="AN168" i="6"/>
  <c r="AN149" i="6"/>
  <c r="AN150" i="6" s="1"/>
  <c r="AN171" i="6"/>
  <c r="AN146" i="6"/>
  <c r="AN194" i="6"/>
  <c r="AN193" i="6"/>
  <c r="AO168" i="6"/>
  <c r="AO13" i="6"/>
  <c r="AK168" i="6"/>
  <c r="AF208" i="6"/>
  <c r="AF17" i="5"/>
  <c r="AA14" i="11" s="1"/>
  <c r="AM168" i="6"/>
  <c r="AM199" i="6"/>
  <c r="AM194" i="6"/>
  <c r="AM209" i="6"/>
  <c r="AM210" i="6" s="1"/>
  <c r="AO191" i="6"/>
  <c r="AO148" i="6"/>
  <c r="AE125" i="4"/>
  <c r="I124" i="4"/>
  <c r="AO149" i="6"/>
  <c r="AO150" i="6" s="1"/>
  <c r="AO146" i="6"/>
  <c r="AH192" i="6"/>
  <c r="AI192" i="6"/>
  <c r="AG207" i="6"/>
  <c r="AG196" i="6"/>
  <c r="AG188" i="6"/>
  <c r="AG189" i="6" s="1"/>
  <c r="AG193" i="6"/>
  <c r="AG15" i="6"/>
  <c r="AF16" i="6"/>
  <c r="AF13" i="5" s="1"/>
  <c r="AA10" i="11" s="1"/>
  <c r="AF197" i="6"/>
  <c r="AF198" i="6"/>
  <c r="U60" i="2"/>
  <c r="Y124" i="4"/>
  <c r="Y125" i="4" s="1"/>
  <c r="U167" i="2"/>
  <c r="U171" i="2" s="1"/>
  <c r="U173" i="2" s="1"/>
  <c r="AN13" i="6" l="1"/>
  <c r="AO171" i="6"/>
  <c r="AO166" i="6"/>
  <c r="H125" i="4"/>
  <c r="U172" i="2"/>
  <c r="H123" i="4"/>
  <c r="I123" i="4"/>
  <c r="AL194" i="6"/>
  <c r="J17" i="4"/>
  <c r="J19" i="4" s="1"/>
  <c r="AM193" i="6"/>
  <c r="AL209" i="6"/>
  <c r="AL210" i="6" s="1"/>
  <c r="AL193" i="6"/>
  <c r="AL199" i="6"/>
  <c r="AR29" i="6"/>
  <c r="AP146" i="6"/>
  <c r="AD65" i="10"/>
  <c r="J51" i="4"/>
  <c r="AP150" i="6"/>
  <c r="AO22" i="6"/>
  <c r="AM13" i="6"/>
  <c r="AM17" i="6" s="1"/>
  <c r="AM8" i="6" s="1"/>
  <c r="AP148" i="6"/>
  <c r="J9" i="4"/>
  <c r="J11" i="4" s="1"/>
  <c r="J91" i="4"/>
  <c r="Z85" i="10"/>
  <c r="AP137" i="9"/>
  <c r="J105" i="4"/>
  <c r="AP15" i="6"/>
  <c r="AP6" i="9" s="1"/>
  <c r="AP192" i="6"/>
  <c r="AP165" i="6"/>
  <c r="AP171" i="6" s="1"/>
  <c r="J41" i="4"/>
  <c r="AP14" i="6"/>
  <c r="AP190" i="6"/>
  <c r="J119" i="4"/>
  <c r="J123" i="4" s="1"/>
  <c r="AS48" i="6"/>
  <c r="K39" i="11"/>
  <c r="AI39" i="11" s="1"/>
  <c r="K41" i="11"/>
  <c r="F41" i="11"/>
  <c r="F24" i="11"/>
  <c r="AH24" i="11" s="1"/>
  <c r="F25" i="11"/>
  <c r="AH25" i="11" s="1"/>
  <c r="F39" i="11"/>
  <c r="AH39" i="11" s="1"/>
  <c r="Z9" i="11"/>
  <c r="AL9" i="11" s="1"/>
  <c r="F37" i="11"/>
  <c r="AH37" i="11" s="1"/>
  <c r="F47" i="11"/>
  <c r="AH47" i="11" s="1"/>
  <c r="AD30" i="14"/>
  <c r="K21" i="11"/>
  <c r="K47" i="11"/>
  <c r="AI47" i="11" s="1"/>
  <c r="Y93" i="10"/>
  <c r="AS135" i="6"/>
  <c r="AS50" i="6"/>
  <c r="I106" i="2"/>
  <c r="AP109" i="5" s="1"/>
  <c r="AP143" i="9" s="1"/>
  <c r="I96" i="2"/>
  <c r="AP99" i="5" s="1"/>
  <c r="AP114" i="9" s="1"/>
  <c r="I87" i="2"/>
  <c r="AP90" i="5" s="1"/>
  <c r="AP31" i="9" s="1"/>
  <c r="I76" i="2"/>
  <c r="AP79" i="5" s="1"/>
  <c r="U37" i="11" s="1"/>
  <c r="I67" i="2"/>
  <c r="AP70" i="5" s="1"/>
  <c r="AP9" i="9" s="1"/>
  <c r="I151" i="2"/>
  <c r="AP154" i="5" s="1"/>
  <c r="I141" i="2"/>
  <c r="I131" i="2"/>
  <c r="AP134" i="5" s="1"/>
  <c r="I122" i="2"/>
  <c r="AP125" i="5" s="1"/>
  <c r="AP35" i="9" s="1"/>
  <c r="I52" i="2"/>
  <c r="I21" i="2"/>
  <c r="I8" i="2"/>
  <c r="AP12" i="6" s="1"/>
  <c r="I154" i="2"/>
  <c r="AP157" i="5" s="1"/>
  <c r="I55" i="2"/>
  <c r="AP54" i="5" s="1"/>
  <c r="I105" i="2"/>
  <c r="AP108" i="5" s="1"/>
  <c r="I95" i="2"/>
  <c r="AP98" i="5" s="1"/>
  <c r="I86" i="2"/>
  <c r="AP89" i="5" s="1"/>
  <c r="AP74" i="9" s="1"/>
  <c r="I75" i="2"/>
  <c r="AP78" i="5" s="1"/>
  <c r="I66" i="2"/>
  <c r="I150" i="2"/>
  <c r="AP153" i="5" s="1"/>
  <c r="AP82" i="9" s="1"/>
  <c r="I140" i="2"/>
  <c r="AP143" i="5" s="1"/>
  <c r="AP53" i="9" s="1"/>
  <c r="I130" i="2"/>
  <c r="AP133" i="5" s="1"/>
  <c r="I121" i="2"/>
  <c r="AP124" i="5" s="1"/>
  <c r="I50" i="2"/>
  <c r="AP50" i="5" s="1"/>
  <c r="I20" i="2"/>
  <c r="AP20" i="5" s="1"/>
  <c r="AP53" i="5" s="1"/>
  <c r="I7" i="2"/>
  <c r="I134" i="2"/>
  <c r="AP137" i="5" s="1"/>
  <c r="I88" i="2"/>
  <c r="AP91" i="5" s="1"/>
  <c r="AP113" i="9" s="1"/>
  <c r="I132" i="2"/>
  <c r="AP135" i="5" s="1"/>
  <c r="I25" i="2"/>
  <c r="I104" i="2"/>
  <c r="AP107" i="5" s="1"/>
  <c r="AP134" i="9" s="1"/>
  <c r="I94" i="2"/>
  <c r="AP97" i="5" s="1"/>
  <c r="I85" i="2"/>
  <c r="AP88" i="5" s="1"/>
  <c r="I74" i="2"/>
  <c r="AP77" i="5" s="1"/>
  <c r="I157" i="2"/>
  <c r="AP160" i="5" s="1"/>
  <c r="I149" i="2"/>
  <c r="AP152" i="5" s="1"/>
  <c r="AP86" i="9" s="1"/>
  <c r="I139" i="2"/>
  <c r="I129" i="2"/>
  <c r="AP132" i="5" s="1"/>
  <c r="I120" i="2"/>
  <c r="AP123" i="5" s="1"/>
  <c r="AP130" i="9" s="1"/>
  <c r="I49" i="2"/>
  <c r="AP49" i="5" s="1"/>
  <c r="I19" i="2"/>
  <c r="AP19" i="5" s="1"/>
  <c r="I6" i="2"/>
  <c r="I100" i="2"/>
  <c r="AP103" i="5" s="1"/>
  <c r="I111" i="2"/>
  <c r="AP114" i="5" s="1"/>
  <c r="I152" i="2"/>
  <c r="AP155" i="5" s="1"/>
  <c r="I142" i="2"/>
  <c r="I123" i="2"/>
  <c r="AP126" i="5" s="1"/>
  <c r="I12" i="2"/>
  <c r="I103" i="2"/>
  <c r="AP106" i="5" s="1"/>
  <c r="AP129" i="9" s="1"/>
  <c r="I93" i="2"/>
  <c r="AP96" i="5" s="1"/>
  <c r="I84" i="2"/>
  <c r="I73" i="2"/>
  <c r="AP76" i="5" s="1"/>
  <c r="I156" i="2"/>
  <c r="AP159" i="5" s="1"/>
  <c r="I148" i="2"/>
  <c r="AP151" i="5" s="1"/>
  <c r="AP92" i="9" s="1"/>
  <c r="I136" i="2"/>
  <c r="AP139" i="5" s="1"/>
  <c r="I128" i="2"/>
  <c r="AP131" i="5" s="1"/>
  <c r="I119" i="2"/>
  <c r="AP122" i="5" s="1"/>
  <c r="I48" i="2"/>
  <c r="AP48" i="5" s="1"/>
  <c r="I18" i="2"/>
  <c r="I90" i="2"/>
  <c r="AP93" i="5" s="1"/>
  <c r="I16" i="2"/>
  <c r="I68" i="2"/>
  <c r="AP71" i="5" s="1"/>
  <c r="AP15" i="9" s="1"/>
  <c r="I53" i="2"/>
  <c r="AP52" i="5" s="1"/>
  <c r="I102" i="2"/>
  <c r="I92" i="2"/>
  <c r="I80" i="2"/>
  <c r="AP83" i="5" s="1"/>
  <c r="AP67" i="9" s="1"/>
  <c r="I71" i="2"/>
  <c r="AP74" i="5" s="1"/>
  <c r="AP66" i="9" s="1"/>
  <c r="I155" i="2"/>
  <c r="AP158" i="5" s="1"/>
  <c r="AP85" i="9" s="1"/>
  <c r="I147" i="2"/>
  <c r="I135" i="2"/>
  <c r="AP138" i="5" s="1"/>
  <c r="I126" i="2"/>
  <c r="AP129" i="5" s="1"/>
  <c r="I57" i="2"/>
  <c r="I31" i="2"/>
  <c r="AP31" i="5" s="1"/>
  <c r="I17" i="2"/>
  <c r="I79" i="2"/>
  <c r="AP82" i="5" s="1"/>
  <c r="AP16" i="9" s="1"/>
  <c r="I144" i="2"/>
  <c r="AP147" i="5" s="1"/>
  <c r="I125" i="2"/>
  <c r="AP128" i="5" s="1"/>
  <c r="I113" i="2"/>
  <c r="AP116" i="5" s="1"/>
  <c r="I70" i="2"/>
  <c r="AP73" i="5" s="1"/>
  <c r="AP23" i="9" s="1"/>
  <c r="I29" i="2"/>
  <c r="AP29" i="5" s="1"/>
  <c r="U21" i="11" s="1"/>
  <c r="I77" i="2"/>
  <c r="AP80" i="5" s="1"/>
  <c r="U38" i="11" s="1"/>
  <c r="I112" i="2"/>
  <c r="AP115" i="5" s="1"/>
  <c r="I98" i="2"/>
  <c r="AP101" i="5" s="1"/>
  <c r="I89" i="2"/>
  <c r="AP92" i="5" s="1"/>
  <c r="I78" i="2"/>
  <c r="AP81" i="5" s="1"/>
  <c r="I69" i="2"/>
  <c r="AP72" i="5" s="1"/>
  <c r="AP19" i="9" s="1"/>
  <c r="I153" i="2"/>
  <c r="AP156" i="5" s="1"/>
  <c r="I143" i="2"/>
  <c r="AP146" i="5" s="1"/>
  <c r="G72" i="12" s="1"/>
  <c r="I133" i="2"/>
  <c r="AP136" i="5" s="1"/>
  <c r="I124" i="2"/>
  <c r="AP127" i="5" s="1"/>
  <c r="I54" i="2"/>
  <c r="I26" i="2"/>
  <c r="AP26" i="5" s="1"/>
  <c r="I13" i="2"/>
  <c r="I97" i="2"/>
  <c r="AP100" i="5" s="1"/>
  <c r="AC28" i="14"/>
  <c r="AO194" i="6"/>
  <c r="D121" i="4"/>
  <c r="E125" i="4"/>
  <c r="I125" i="4"/>
  <c r="D23" i="17"/>
  <c r="AD28" i="14"/>
  <c r="AS22" i="6"/>
  <c r="AS21" i="6"/>
  <c r="D24" i="17"/>
  <c r="E24" i="17"/>
  <c r="D23" i="7"/>
  <c r="D24" i="7" s="1"/>
  <c r="D21" i="17"/>
  <c r="D22" i="17" s="1"/>
  <c r="C23" i="17"/>
  <c r="AL142" i="5"/>
  <c r="C25" i="17" s="1"/>
  <c r="C26" i="17" s="1"/>
  <c r="E168" i="2"/>
  <c r="E23" i="17"/>
  <c r="AN140" i="9"/>
  <c r="AN162" i="9"/>
  <c r="AO193" i="6"/>
  <c r="AO188" i="6"/>
  <c r="AL168" i="6"/>
  <c r="AL20" i="6"/>
  <c r="AI162" i="9"/>
  <c r="AI161" i="9"/>
  <c r="T135" i="6"/>
  <c r="T136" i="6" s="1"/>
  <c r="AN65" i="9"/>
  <c r="D125" i="4"/>
  <c r="E123" i="4"/>
  <c r="AO138" i="9"/>
  <c r="AL125" i="5"/>
  <c r="C24" i="17" s="1"/>
  <c r="F93" i="4"/>
  <c r="F94" i="4" s="1"/>
  <c r="AN12" i="5"/>
  <c r="H73" i="4"/>
  <c r="H151" i="2"/>
  <c r="AO154" i="5" s="1"/>
  <c r="H150" i="2"/>
  <c r="AO153" i="5" s="1"/>
  <c r="AO82" i="9" s="1"/>
  <c r="H153" i="2"/>
  <c r="AO156" i="5" s="1"/>
  <c r="H124" i="2"/>
  <c r="AO127" i="5" s="1"/>
  <c r="H156" i="2"/>
  <c r="AO159" i="5" s="1"/>
  <c r="H155" i="2"/>
  <c r="AO158" i="5" s="1"/>
  <c r="AO85" i="9" s="1"/>
  <c r="H154" i="2"/>
  <c r="AO157" i="5" s="1"/>
  <c r="H152" i="2"/>
  <c r="AO155" i="5" s="1"/>
  <c r="E32" i="2"/>
  <c r="E36" i="2"/>
  <c r="E39" i="2"/>
  <c r="F36" i="2"/>
  <c r="F32" i="2"/>
  <c r="F39" i="2"/>
  <c r="X7" i="14"/>
  <c r="AL214" i="6"/>
  <c r="AL10" i="6"/>
  <c r="AL8" i="6"/>
  <c r="AM65" i="9"/>
  <c r="AL65" i="9"/>
  <c r="AK65" i="9"/>
  <c r="AK172" i="5"/>
  <c r="AK68" i="9"/>
  <c r="V132" i="6"/>
  <c r="V134" i="6" s="1"/>
  <c r="V135" i="6" s="1"/>
  <c r="Z136" i="6" s="1"/>
  <c r="AF42" i="5"/>
  <c r="AL14" i="11"/>
  <c r="AQ42" i="5"/>
  <c r="AI210" i="6"/>
  <c r="AH210" i="6"/>
  <c r="AG172" i="5"/>
  <c r="AE172" i="5"/>
  <c r="AL141" i="9"/>
  <c r="AN141" i="9"/>
  <c r="AM77" i="9"/>
  <c r="AN73" i="9"/>
  <c r="AN145" i="9"/>
  <c r="AN161" i="9" s="1"/>
  <c r="E80" i="12"/>
  <c r="AN135" i="9"/>
  <c r="E78" i="12"/>
  <c r="AI36" i="11"/>
  <c r="AN49" i="9"/>
  <c r="E114" i="12"/>
  <c r="AN90" i="9"/>
  <c r="AI46" i="11"/>
  <c r="AM53" i="9"/>
  <c r="AM54" i="9" s="1"/>
  <c r="AL39" i="9"/>
  <c r="AN61" i="9"/>
  <c r="AI38" i="11"/>
  <c r="E32" i="12"/>
  <c r="AN110" i="9"/>
  <c r="AN47" i="9"/>
  <c r="E28" i="12"/>
  <c r="AI34" i="11"/>
  <c r="AM47" i="9"/>
  <c r="AH34" i="11"/>
  <c r="AM110" i="9"/>
  <c r="J24" i="12"/>
  <c r="AH36" i="11"/>
  <c r="AM49" i="9"/>
  <c r="AN53" i="9"/>
  <c r="AN63" i="9"/>
  <c r="AO57" i="9" s="1"/>
  <c r="E26" i="12"/>
  <c r="E62" i="12"/>
  <c r="AL132" i="9"/>
  <c r="AM90" i="9"/>
  <c r="AH46" i="11"/>
  <c r="AM73" i="9"/>
  <c r="AL91" i="9"/>
  <c r="AL51" i="9"/>
  <c r="L165" i="5"/>
  <c r="M164" i="5" s="1"/>
  <c r="C57" i="11" s="1"/>
  <c r="C58" i="11" s="1"/>
  <c r="AN77" i="9"/>
  <c r="AN88" i="9"/>
  <c r="AI42" i="11"/>
  <c r="AM141" i="9"/>
  <c r="AM61" i="9"/>
  <c r="AH38" i="11"/>
  <c r="AH35" i="11"/>
  <c r="AM119" i="9"/>
  <c r="AH22" i="11"/>
  <c r="AH20" i="11"/>
  <c r="AM132" i="9"/>
  <c r="AN132" i="9"/>
  <c r="AI35" i="11"/>
  <c r="AN119" i="9"/>
  <c r="AM63" i="9"/>
  <c r="AN57" i="9" s="1"/>
  <c r="AM88" i="9"/>
  <c r="AH42" i="11"/>
  <c r="AI37" i="11"/>
  <c r="E24" i="12"/>
  <c r="AN39" i="9"/>
  <c r="AM39" i="9"/>
  <c r="AK91" i="9"/>
  <c r="AK50" i="9" s="1"/>
  <c r="AK13" i="6"/>
  <c r="AK17" i="6" s="1"/>
  <c r="AQ13" i="5"/>
  <c r="Z10" i="11" s="1"/>
  <c r="AK60" i="9"/>
  <c r="AK62" i="9" s="1"/>
  <c r="AL55" i="9"/>
  <c r="AK10" i="9"/>
  <c r="AK11" i="9" s="1"/>
  <c r="AM10" i="9"/>
  <c r="AM11" i="9" s="1"/>
  <c r="AL10" i="9"/>
  <c r="AL11" i="9" s="1"/>
  <c r="AL171" i="6"/>
  <c r="AM172" i="6" s="1"/>
  <c r="S122" i="4"/>
  <c r="R59" i="2"/>
  <c r="R58" i="2"/>
  <c r="R38" i="2"/>
  <c r="R117" i="2"/>
  <c r="R137" i="2" s="1"/>
  <c r="R35" i="2"/>
  <c r="S120" i="4"/>
  <c r="AM145" i="5"/>
  <c r="D25" i="7" s="1"/>
  <c r="AK69" i="5"/>
  <c r="AK98" i="9" s="1"/>
  <c r="AK112" i="9"/>
  <c r="AK115" i="9" s="1"/>
  <c r="AL112" i="9"/>
  <c r="D170" i="2"/>
  <c r="AK13" i="9"/>
  <c r="D107" i="2"/>
  <c r="AK144" i="5"/>
  <c r="AK171" i="5" s="1"/>
  <c r="AK110" i="5"/>
  <c r="D91" i="2"/>
  <c r="AK56" i="5"/>
  <c r="D145" i="2"/>
  <c r="AL60" i="9"/>
  <c r="AL62" i="9" s="1"/>
  <c r="D168" i="2"/>
  <c r="AK140" i="5"/>
  <c r="AK169" i="5" s="1"/>
  <c r="D56" i="2"/>
  <c r="D59" i="2" s="1"/>
  <c r="D99" i="2"/>
  <c r="D72" i="2"/>
  <c r="D81" i="2" s="1"/>
  <c r="D158" i="2"/>
  <c r="D137" i="2"/>
  <c r="D167" i="2" s="1"/>
  <c r="AR192" i="6"/>
  <c r="AR15" i="6" s="1"/>
  <c r="AR6" i="9" s="1"/>
  <c r="W122" i="4"/>
  <c r="S59" i="2"/>
  <c r="S58" i="2"/>
  <c r="V122" i="4"/>
  <c r="V123" i="4" s="1"/>
  <c r="U122" i="4"/>
  <c r="U123" i="4" s="1"/>
  <c r="T122" i="4"/>
  <c r="T123" i="4" s="1"/>
  <c r="W120" i="4"/>
  <c r="S117" i="2"/>
  <c r="S137" i="2" s="1"/>
  <c r="S38" i="2"/>
  <c r="S35" i="2"/>
  <c r="V120" i="4"/>
  <c r="V121" i="4" s="1"/>
  <c r="T120" i="4"/>
  <c r="T121" i="4" s="1"/>
  <c r="U120" i="4"/>
  <c r="U121" i="4" s="1"/>
  <c r="T58" i="2"/>
  <c r="T59" i="2"/>
  <c r="X122" i="4"/>
  <c r="X123" i="4" s="1"/>
  <c r="T35" i="2"/>
  <c r="T117" i="2"/>
  <c r="T137" i="2" s="1"/>
  <c r="T38" i="2"/>
  <c r="AL13" i="9"/>
  <c r="E158" i="2"/>
  <c r="AL150" i="5"/>
  <c r="G99" i="2"/>
  <c r="AN95" i="5"/>
  <c r="K45" i="11" s="1"/>
  <c r="AK170" i="5"/>
  <c r="F145" i="2"/>
  <c r="F168" i="2"/>
  <c r="AM142" i="5"/>
  <c r="D25" i="17" s="1"/>
  <c r="D26" i="17" s="1"/>
  <c r="E170" i="2"/>
  <c r="AL145" i="5"/>
  <c r="C25" i="7" s="1"/>
  <c r="AN9" i="6"/>
  <c r="AN25" i="6"/>
  <c r="AN6" i="5"/>
  <c r="K5" i="11" s="1"/>
  <c r="G11" i="2"/>
  <c r="G107" i="2"/>
  <c r="AN105" i="5"/>
  <c r="AN110" i="5" s="1"/>
  <c r="K49" i="11" s="1"/>
  <c r="F169" i="2"/>
  <c r="AM144" i="5"/>
  <c r="AM171" i="5" s="1"/>
  <c r="AL48" i="5"/>
  <c r="AL56" i="5" s="1"/>
  <c r="E56" i="2"/>
  <c r="AL110" i="5"/>
  <c r="F72" i="2"/>
  <c r="F81" i="2" s="1"/>
  <c r="AM69" i="5"/>
  <c r="AK76" i="9"/>
  <c r="AK102" i="5"/>
  <c r="G170" i="2"/>
  <c r="AN145" i="5"/>
  <c r="AN16" i="6"/>
  <c r="AN196" i="6"/>
  <c r="AN13" i="5"/>
  <c r="AN141" i="6"/>
  <c r="AN181" i="6" s="1"/>
  <c r="AN156" i="6" s="1"/>
  <c r="AN11" i="6"/>
  <c r="AN7" i="5"/>
  <c r="AN13" i="9"/>
  <c r="AN14" i="9" s="1"/>
  <c r="E107" i="2"/>
  <c r="E169" i="2"/>
  <c r="AL144" i="5"/>
  <c r="AL171" i="5" s="1"/>
  <c r="G168" i="2"/>
  <c r="G145" i="2"/>
  <c r="AN142" i="5"/>
  <c r="E25" i="17" s="1"/>
  <c r="G52" i="2"/>
  <c r="AN19" i="5"/>
  <c r="G169" i="2"/>
  <c r="AN144" i="5"/>
  <c r="AN171" i="5" s="1"/>
  <c r="AN202" i="6"/>
  <c r="AN203" i="6" s="1"/>
  <c r="AN16" i="5"/>
  <c r="K13" i="11" s="1"/>
  <c r="G22" i="2"/>
  <c r="AL76" i="9"/>
  <c r="AM83" i="9" s="1"/>
  <c r="AL102" i="5"/>
  <c r="E72" i="2"/>
  <c r="E81" i="2" s="1"/>
  <c r="AL69" i="5"/>
  <c r="AK27" i="9"/>
  <c r="AK28" i="9" s="1"/>
  <c r="AK29" i="9" s="1"/>
  <c r="AK94" i="5"/>
  <c r="G72" i="2"/>
  <c r="G81" i="2" s="1"/>
  <c r="AN69" i="5"/>
  <c r="G54" i="2"/>
  <c r="AN20" i="5"/>
  <c r="AN53" i="5" s="1"/>
  <c r="AN112" i="9"/>
  <c r="F91" i="2"/>
  <c r="AM87" i="5"/>
  <c r="E99" i="2"/>
  <c r="AL27" i="9"/>
  <c r="AL28" i="9" s="1"/>
  <c r="AL29" i="9" s="1"/>
  <c r="AL94" i="5"/>
  <c r="AM112" i="9"/>
  <c r="AN212" i="6"/>
  <c r="AN18" i="5"/>
  <c r="AN123" i="9"/>
  <c r="E91" i="2"/>
  <c r="F99" i="2"/>
  <c r="AM95" i="5"/>
  <c r="F45" i="11" s="1"/>
  <c r="AM80" i="9"/>
  <c r="AM161" i="5"/>
  <c r="AN207" i="6"/>
  <c r="AN17" i="5"/>
  <c r="K14" i="11" s="1"/>
  <c r="G158" i="2"/>
  <c r="AN150" i="5"/>
  <c r="AN25" i="5"/>
  <c r="E112" i="12" s="1"/>
  <c r="G27" i="2"/>
  <c r="G91" i="2"/>
  <c r="AN87" i="5"/>
  <c r="AN57" i="5"/>
  <c r="H102" i="2"/>
  <c r="H92" i="2"/>
  <c r="H80" i="2"/>
  <c r="AO83" i="5" s="1"/>
  <c r="AO67" i="9" s="1"/>
  <c r="H71" i="2"/>
  <c r="AO74" i="5" s="1"/>
  <c r="AO66" i="9" s="1"/>
  <c r="H111" i="2"/>
  <c r="AO114" i="5" s="1"/>
  <c r="H141" i="2"/>
  <c r="H131" i="2"/>
  <c r="AO134" i="5" s="1"/>
  <c r="H121" i="2"/>
  <c r="AO124" i="5" s="1"/>
  <c r="AE43" i="14" s="1"/>
  <c r="H49" i="2"/>
  <c r="AO49" i="5" s="1"/>
  <c r="H105" i="2"/>
  <c r="AO108" i="5" s="1"/>
  <c r="H95" i="2"/>
  <c r="AO98" i="5" s="1"/>
  <c r="AE27" i="14" s="1"/>
  <c r="AE28" i="14" s="1"/>
  <c r="H86" i="2"/>
  <c r="AO89" i="5" s="1"/>
  <c r="AO74" i="9" s="1"/>
  <c r="H75" i="2"/>
  <c r="AO78" i="5" s="1"/>
  <c r="P36" i="11" s="1"/>
  <c r="H66" i="2"/>
  <c r="H157" i="2"/>
  <c r="AO160" i="5" s="1"/>
  <c r="H144" i="2"/>
  <c r="AO147" i="5" s="1"/>
  <c r="H134" i="2"/>
  <c r="AO137" i="5" s="1"/>
  <c r="H125" i="2"/>
  <c r="AO128" i="5" s="1"/>
  <c r="H53" i="2"/>
  <c r="AO52" i="5" s="1"/>
  <c r="H6" i="2"/>
  <c r="H98" i="2"/>
  <c r="AO101" i="5" s="1"/>
  <c r="H89" i="2"/>
  <c r="AO92" i="5" s="1"/>
  <c r="P42" i="11" s="1"/>
  <c r="H78" i="2"/>
  <c r="AO81" i="5" s="1"/>
  <c r="H69" i="2"/>
  <c r="AO72" i="5" s="1"/>
  <c r="AO19" i="9" s="1"/>
  <c r="H149" i="2"/>
  <c r="AO152" i="5" s="1"/>
  <c r="AO86" i="9" s="1"/>
  <c r="H139" i="2"/>
  <c r="H129" i="2"/>
  <c r="AO132" i="5" s="1"/>
  <c r="H119" i="2"/>
  <c r="AO122" i="5" s="1"/>
  <c r="F26" i="7" s="1"/>
  <c r="H103" i="2"/>
  <c r="AO106" i="5" s="1"/>
  <c r="AO129" i="9" s="1"/>
  <c r="H93" i="2"/>
  <c r="AO96" i="5" s="1"/>
  <c r="H84" i="2"/>
  <c r="H73" i="2"/>
  <c r="AO76" i="5" s="1"/>
  <c r="P34" i="11" s="1"/>
  <c r="H112" i="2"/>
  <c r="AO115" i="5" s="1"/>
  <c r="H142" i="2"/>
  <c r="H132" i="2"/>
  <c r="AO135" i="5" s="1"/>
  <c r="H122" i="2"/>
  <c r="AO125" i="5" s="1"/>
  <c r="AO35" i="9" s="1"/>
  <c r="H25" i="2"/>
  <c r="H18" i="2"/>
  <c r="H12" i="2"/>
  <c r="H106" i="2"/>
  <c r="AO109" i="5" s="1"/>
  <c r="AO143" i="9" s="1"/>
  <c r="H96" i="2"/>
  <c r="AO99" i="5" s="1"/>
  <c r="AO114" i="9" s="1"/>
  <c r="H87" i="2"/>
  <c r="AO90" i="5" s="1"/>
  <c r="AO31" i="9" s="1"/>
  <c r="H76" i="2"/>
  <c r="AO79" i="5" s="1"/>
  <c r="P37" i="11" s="1"/>
  <c r="H67" i="2"/>
  <c r="AO70" i="5" s="1"/>
  <c r="AO9" i="9" s="1"/>
  <c r="H147" i="2"/>
  <c r="H135" i="2"/>
  <c r="AO138" i="5" s="1"/>
  <c r="H126" i="2"/>
  <c r="AO129" i="5" s="1"/>
  <c r="H55" i="2"/>
  <c r="AO54" i="5" s="1"/>
  <c r="H19" i="2"/>
  <c r="H100" i="2"/>
  <c r="AO103" i="5" s="1"/>
  <c r="H90" i="2"/>
  <c r="AO93" i="5" s="1"/>
  <c r="H79" i="2"/>
  <c r="AO82" i="5" s="1"/>
  <c r="AO16" i="9" s="1"/>
  <c r="H70" i="2"/>
  <c r="AO73" i="5" s="1"/>
  <c r="AO23" i="9" s="1"/>
  <c r="H140" i="2"/>
  <c r="AO143" i="5" s="1"/>
  <c r="H130" i="2"/>
  <c r="AO133" i="5" s="1"/>
  <c r="H120" i="2"/>
  <c r="AO123" i="5" s="1"/>
  <c r="AO130" i="9" s="1"/>
  <c r="H50" i="2"/>
  <c r="AO50" i="5" s="1"/>
  <c r="H48" i="2"/>
  <c r="AO48" i="5" s="1"/>
  <c r="H31" i="2"/>
  <c r="AO31" i="5" s="1"/>
  <c r="H21" i="2"/>
  <c r="H17" i="2"/>
  <c r="I83" i="4" s="1"/>
  <c r="I86" i="4" s="1"/>
  <c r="H8" i="2"/>
  <c r="AO12" i="6" s="1"/>
  <c r="H13" i="2"/>
  <c r="H104" i="2"/>
  <c r="AO107" i="5" s="1"/>
  <c r="AO134" i="9" s="1"/>
  <c r="H94" i="2"/>
  <c r="AO97" i="5" s="1"/>
  <c r="H85" i="2"/>
  <c r="AO88" i="5" s="1"/>
  <c r="H74" i="2"/>
  <c r="AO77" i="5" s="1"/>
  <c r="P35" i="11" s="1"/>
  <c r="H113" i="2"/>
  <c r="AO116" i="5" s="1"/>
  <c r="H143" i="2"/>
  <c r="AO146" i="5" s="1"/>
  <c r="F72" i="12" s="1"/>
  <c r="H133" i="2"/>
  <c r="AO136" i="5" s="1"/>
  <c r="H123" i="2"/>
  <c r="AO126" i="5" s="1"/>
  <c r="H26" i="2"/>
  <c r="AO26" i="5" s="1"/>
  <c r="H97" i="2"/>
  <c r="AO100" i="5" s="1"/>
  <c r="P46" i="11" s="1"/>
  <c r="H88" i="2"/>
  <c r="AO91" i="5" s="1"/>
  <c r="AO113" i="9" s="1"/>
  <c r="H77" i="2"/>
  <c r="AO80" i="5" s="1"/>
  <c r="P38" i="11" s="1"/>
  <c r="H68" i="2"/>
  <c r="AO71" i="5" s="1"/>
  <c r="AO15" i="9" s="1"/>
  <c r="H148" i="2"/>
  <c r="AO151" i="5" s="1"/>
  <c r="AO92" i="9" s="1"/>
  <c r="H136" i="2"/>
  <c r="AO139" i="5" s="1"/>
  <c r="H128" i="2"/>
  <c r="AO131" i="5" s="1"/>
  <c r="H57" i="2"/>
  <c r="H29" i="2"/>
  <c r="AO29" i="5" s="1"/>
  <c r="H20" i="2"/>
  <c r="H16" i="2"/>
  <c r="I78" i="4" s="1"/>
  <c r="I81" i="4" s="1"/>
  <c r="H7" i="2"/>
  <c r="F56" i="2"/>
  <c r="F59" i="2" s="1"/>
  <c r="F107" i="2"/>
  <c r="AM105" i="5"/>
  <c r="AM110" i="5" s="1"/>
  <c r="AK80" i="9"/>
  <c r="AK161" i="5"/>
  <c r="E145" i="2"/>
  <c r="AM140" i="5"/>
  <c r="F53" i="11" s="1"/>
  <c r="F158" i="2"/>
  <c r="G47" i="2"/>
  <c r="AN21" i="5"/>
  <c r="K16" i="11" s="1"/>
  <c r="AM57" i="5"/>
  <c r="AM56" i="5"/>
  <c r="F29" i="11" s="1"/>
  <c r="AM13" i="9"/>
  <c r="AN189" i="6"/>
  <c r="AM189" i="6"/>
  <c r="AM174" i="6"/>
  <c r="AG208" i="6"/>
  <c r="AG17" i="5"/>
  <c r="AB14" i="11" s="1"/>
  <c r="AK174" i="6"/>
  <c r="AO174" i="6"/>
  <c r="AO172" i="6"/>
  <c r="AL189" i="6"/>
  <c r="AG13" i="6"/>
  <c r="AG12" i="5" s="1"/>
  <c r="AB9" i="11" s="1"/>
  <c r="AG6" i="9"/>
  <c r="AR118" i="6"/>
  <c r="AN174" i="6"/>
  <c r="AN172" i="6"/>
  <c r="AG198" i="6"/>
  <c r="AG197" i="6"/>
  <c r="AG16" i="6"/>
  <c r="AG13" i="5" s="1"/>
  <c r="AB10" i="11" s="1"/>
  <c r="AI188" i="6"/>
  <c r="AI189" i="6" s="1"/>
  <c r="AI193" i="6"/>
  <c r="AI196" i="6"/>
  <c r="AI15" i="6"/>
  <c r="AH207" i="6"/>
  <c r="AH15" i="6"/>
  <c r="AH188" i="6"/>
  <c r="AH189" i="6" s="1"/>
  <c r="AH193" i="6"/>
  <c r="AH196" i="6"/>
  <c r="F48" i="11" l="1"/>
  <c r="AH48" i="11" s="1"/>
  <c r="U17" i="11"/>
  <c r="AK17" i="11" s="1"/>
  <c r="K48" i="11"/>
  <c r="AE65" i="10"/>
  <c r="AM10" i="6"/>
  <c r="AM18" i="6"/>
  <c r="AM214" i="6"/>
  <c r="AP13" i="6"/>
  <c r="J125" i="4"/>
  <c r="AP174" i="6"/>
  <c r="AP172" i="6"/>
  <c r="AQ191" i="6"/>
  <c r="AP191" i="6"/>
  <c r="AP140" i="9"/>
  <c r="AQ138" i="9"/>
  <c r="AP162" i="9"/>
  <c r="AP138" i="9"/>
  <c r="AP168" i="6"/>
  <c r="AP20" i="6"/>
  <c r="AQ166" i="6"/>
  <c r="AP166" i="6"/>
  <c r="AP188" i="6"/>
  <c r="AQ189" i="6" s="1"/>
  <c r="AP194" i="6"/>
  <c r="AQ193" i="6"/>
  <c r="AP193" i="6"/>
  <c r="J121" i="4"/>
  <c r="K10" i="11"/>
  <c r="AI10" i="11" s="1"/>
  <c r="P41" i="11"/>
  <c r="F43" i="11"/>
  <c r="F44" i="11" s="1"/>
  <c r="AE30" i="14"/>
  <c r="P21" i="11"/>
  <c r="P47" i="11"/>
  <c r="AJ47" i="11" s="1"/>
  <c r="K15" i="11"/>
  <c r="AI15" i="11" s="1"/>
  <c r="K17" i="11"/>
  <c r="AI17" i="11" s="1"/>
  <c r="K6" i="11"/>
  <c r="K8" i="11" s="1"/>
  <c r="F49" i="11"/>
  <c r="P39" i="11"/>
  <c r="AJ39" i="11" s="1"/>
  <c r="K43" i="11"/>
  <c r="K44" i="11" s="1"/>
  <c r="AI44" i="11" s="1"/>
  <c r="F55" i="11"/>
  <c r="AH55" i="11" s="1"/>
  <c r="K9" i="11"/>
  <c r="AI9" i="11" s="1"/>
  <c r="AP77" i="9"/>
  <c r="AP119" i="9"/>
  <c r="U35" i="11"/>
  <c r="AK35" i="11" s="1"/>
  <c r="AP49" i="9"/>
  <c r="U36" i="11"/>
  <c r="AP73" i="9"/>
  <c r="U41" i="11"/>
  <c r="AP110" i="9"/>
  <c r="U47" i="11"/>
  <c r="AP90" i="9"/>
  <c r="U46" i="11"/>
  <c r="U39" i="11"/>
  <c r="AK39" i="11" s="1"/>
  <c r="AP88" i="9"/>
  <c r="U42" i="11"/>
  <c r="AP47" i="9"/>
  <c r="U34" i="11"/>
  <c r="U82" i="8"/>
  <c r="AP112" i="9"/>
  <c r="AP115" i="9" s="1"/>
  <c r="C27" i="7"/>
  <c r="C28" i="7" s="1"/>
  <c r="AD93" i="10"/>
  <c r="AP132" i="9"/>
  <c r="AP13" i="9"/>
  <c r="AP14" i="9" s="1"/>
  <c r="AP145" i="9"/>
  <c r="G80" i="12"/>
  <c r="AP144" i="5"/>
  <c r="AP171" i="5" s="1"/>
  <c r="I169" i="2"/>
  <c r="AP145" i="5"/>
  <c r="I170" i="2"/>
  <c r="AP25" i="5"/>
  <c r="I27" i="2"/>
  <c r="AP105" i="5"/>
  <c r="AP110" i="5" s="1"/>
  <c r="U49" i="11" s="1"/>
  <c r="I107" i="2"/>
  <c r="AP196" i="6"/>
  <c r="AP13" i="5"/>
  <c r="U10" i="11" s="1"/>
  <c r="AP16" i="6"/>
  <c r="AP63" i="9"/>
  <c r="G26" i="12"/>
  <c r="AP150" i="5"/>
  <c r="I158" i="2"/>
  <c r="AP202" i="6"/>
  <c r="J78" i="4"/>
  <c r="J81" i="4" s="1"/>
  <c r="AP16" i="5"/>
  <c r="U13" i="11" s="1"/>
  <c r="I22" i="2"/>
  <c r="AP135" i="9"/>
  <c r="G78" i="12"/>
  <c r="AP142" i="5"/>
  <c r="G27" i="7" s="1"/>
  <c r="I168" i="2"/>
  <c r="I145" i="2"/>
  <c r="G24" i="12"/>
  <c r="AK37" i="11"/>
  <c r="AP57" i="5"/>
  <c r="AP65" i="9"/>
  <c r="AP18" i="5"/>
  <c r="AP212" i="6"/>
  <c r="AP87" i="5"/>
  <c r="U43" i="11" s="1"/>
  <c r="I91" i="2"/>
  <c r="AP69" i="5"/>
  <c r="I72" i="2"/>
  <c r="I81" i="2" s="1"/>
  <c r="AP21" i="5"/>
  <c r="U16" i="11" s="1"/>
  <c r="I47" i="2"/>
  <c r="AP123" i="9"/>
  <c r="J73" i="4"/>
  <c r="AP12" i="5"/>
  <c r="AP207" i="6"/>
  <c r="J83" i="4"/>
  <c r="J86" i="4" s="1"/>
  <c r="AP17" i="5"/>
  <c r="U14" i="11" s="1"/>
  <c r="AP9" i="6"/>
  <c r="AP25" i="6"/>
  <c r="AP6" i="5"/>
  <c r="U5" i="11" s="1"/>
  <c r="I11" i="2"/>
  <c r="AP11" i="6"/>
  <c r="AP141" i="6"/>
  <c r="AP7" i="5"/>
  <c r="AP61" i="9"/>
  <c r="AK38" i="11"/>
  <c r="AP95" i="5"/>
  <c r="U45" i="11" s="1"/>
  <c r="I99" i="2"/>
  <c r="G26" i="7"/>
  <c r="AP39" i="9"/>
  <c r="AP51" i="5"/>
  <c r="AL170" i="5"/>
  <c r="AL42" i="9"/>
  <c r="AL43" i="9" s="1"/>
  <c r="AL140" i="5"/>
  <c r="AL169" i="5" s="1"/>
  <c r="AL178" i="5" s="1"/>
  <c r="C29" i="17"/>
  <c r="C31" i="17" s="1"/>
  <c r="AO141" i="9"/>
  <c r="AP141" i="9"/>
  <c r="AN68" i="9"/>
  <c r="AN69" i="9" s="1"/>
  <c r="E25" i="7"/>
  <c r="AO189" i="6"/>
  <c r="F24" i="17"/>
  <c r="F23" i="17"/>
  <c r="AN115" i="6"/>
  <c r="AN67" i="6" s="1"/>
  <c r="AN68" i="6" s="1"/>
  <c r="AN126" i="6"/>
  <c r="D29" i="17"/>
  <c r="D31" i="17" s="1"/>
  <c r="AN213" i="6"/>
  <c r="AK174" i="5"/>
  <c r="AK178" i="5"/>
  <c r="AL35" i="9"/>
  <c r="AL36" i="9" s="1"/>
  <c r="L166" i="5"/>
  <c r="AM63" i="5"/>
  <c r="AM21" i="6"/>
  <c r="AM22" i="6"/>
  <c r="AO65" i="9"/>
  <c r="V136" i="6"/>
  <c r="E117" i="2"/>
  <c r="E137" i="2" s="1"/>
  <c r="E167" i="2" s="1"/>
  <c r="E171" i="2" s="1"/>
  <c r="E173" i="2" s="1"/>
  <c r="E38" i="2"/>
  <c r="E35" i="2"/>
  <c r="G14" i="2"/>
  <c r="H76" i="4" s="1"/>
  <c r="H94" i="4" s="1"/>
  <c r="H72" i="4"/>
  <c r="AO12" i="5"/>
  <c r="I73" i="4"/>
  <c r="F117" i="2"/>
  <c r="F137" i="2" s="1"/>
  <c r="F160" i="2" s="1"/>
  <c r="F35" i="2"/>
  <c r="F38" i="2"/>
  <c r="AK214" i="6"/>
  <c r="AK10" i="6"/>
  <c r="AK8" i="6"/>
  <c r="AM172" i="5"/>
  <c r="AM68" i="9"/>
  <c r="AM69" i="9" s="1"/>
  <c r="AI14" i="11"/>
  <c r="AN42" i="5"/>
  <c r="AM55" i="9"/>
  <c r="AL172" i="5"/>
  <c r="AL68" i="9"/>
  <c r="AL69" i="9" s="1"/>
  <c r="W132" i="6"/>
  <c r="W134" i="6" s="1"/>
  <c r="W135" i="6" s="1"/>
  <c r="AA136" i="6" s="1"/>
  <c r="AG42" i="5"/>
  <c r="AI207" i="6"/>
  <c r="AI208" i="6" s="1"/>
  <c r="AN159" i="6"/>
  <c r="AN160" i="6" s="1"/>
  <c r="AN157" i="6"/>
  <c r="AL172" i="6"/>
  <c r="AL174" i="6"/>
  <c r="AQ145" i="5"/>
  <c r="AQ172" i="5" s="1"/>
  <c r="AK89" i="9"/>
  <c r="AF172" i="5"/>
  <c r="AN91" i="9"/>
  <c r="AO93" i="9" s="1"/>
  <c r="AL93" i="9"/>
  <c r="AM81" i="9"/>
  <c r="AL116" i="9"/>
  <c r="AL117" i="9" s="1"/>
  <c r="AM60" i="9"/>
  <c r="AM62" i="9" s="1"/>
  <c r="AL94" i="9"/>
  <c r="AL95" i="9" s="1"/>
  <c r="AN60" i="9"/>
  <c r="AN62" i="9" s="1"/>
  <c r="AK75" i="5"/>
  <c r="AK84" i="5" s="1"/>
  <c r="AN116" i="9"/>
  <c r="AN55" i="9"/>
  <c r="AM93" i="9"/>
  <c r="AN51" i="9"/>
  <c r="AI45" i="11"/>
  <c r="AH45" i="11"/>
  <c r="AO77" i="9"/>
  <c r="AJ35" i="11"/>
  <c r="AO119" i="9"/>
  <c r="AO132" i="9"/>
  <c r="AJ36" i="11"/>
  <c r="AO49" i="9"/>
  <c r="AO135" i="9"/>
  <c r="F78" i="12"/>
  <c r="AN172" i="5"/>
  <c r="E74" i="12"/>
  <c r="AL59" i="5"/>
  <c r="AL102" i="9"/>
  <c r="AL50" i="9"/>
  <c r="AM120" i="9"/>
  <c r="AH41" i="11"/>
  <c r="AL115" i="9"/>
  <c r="AN120" i="9"/>
  <c r="F114" i="12"/>
  <c r="AO90" i="9"/>
  <c r="AJ46" i="11"/>
  <c r="AO73" i="9"/>
  <c r="AJ37" i="11"/>
  <c r="F24" i="12"/>
  <c r="AO39" i="9"/>
  <c r="AM116" i="9"/>
  <c r="AM117" i="9" s="1"/>
  <c r="AN51" i="5"/>
  <c r="AL89" i="9"/>
  <c r="AN115" i="9"/>
  <c r="AO61" i="9"/>
  <c r="AP55" i="9" s="1"/>
  <c r="AJ38" i="11"/>
  <c r="AM59" i="5"/>
  <c r="AH29" i="11"/>
  <c r="AM102" i="9"/>
  <c r="F32" i="12"/>
  <c r="AO110" i="9"/>
  <c r="AI21" i="11"/>
  <c r="AI41" i="11"/>
  <c r="E66" i="12"/>
  <c r="E27" i="7"/>
  <c r="AN42" i="9"/>
  <c r="AI49" i="11"/>
  <c r="E34" i="12"/>
  <c r="D27" i="7"/>
  <c r="AM42" i="9"/>
  <c r="AM43" i="9" s="1"/>
  <c r="AM91" i="9"/>
  <c r="AK120" i="9"/>
  <c r="F62" i="12"/>
  <c r="AO145" i="9"/>
  <c r="AO161" i="9" s="1"/>
  <c r="F80" i="12"/>
  <c r="AN47" i="5"/>
  <c r="E104" i="12"/>
  <c r="AI16" i="11"/>
  <c r="AN45" i="9"/>
  <c r="AN46" i="9" s="1"/>
  <c r="AK58" i="5"/>
  <c r="AK102" i="9"/>
  <c r="M165" i="5"/>
  <c r="M166" i="5" s="1"/>
  <c r="AL120" i="9"/>
  <c r="AM51" i="9"/>
  <c r="AO88" i="9"/>
  <c r="AJ42" i="11"/>
  <c r="AO53" i="9"/>
  <c r="AO55" i="9" s="1"/>
  <c r="AO47" i="9"/>
  <c r="AJ34" i="11"/>
  <c r="F28" i="12"/>
  <c r="E94" i="12"/>
  <c r="AI13" i="11"/>
  <c r="AN131" i="9"/>
  <c r="AO63" i="9"/>
  <c r="AP57" i="9" s="1"/>
  <c r="F26" i="12"/>
  <c r="AI5" i="11"/>
  <c r="AM115" i="9"/>
  <c r="AL10" i="11"/>
  <c r="AM169" i="5"/>
  <c r="AK78" i="9"/>
  <c r="AK75" i="9" s="1"/>
  <c r="AL83" i="9"/>
  <c r="AL78" i="9"/>
  <c r="AL75" i="9" s="1"/>
  <c r="AL17" i="9"/>
  <c r="AL14" i="9"/>
  <c r="AM17" i="9"/>
  <c r="AM14" i="9"/>
  <c r="AK17" i="9"/>
  <c r="R167" i="2"/>
  <c r="R171" i="2" s="1"/>
  <c r="R173" i="2" s="1"/>
  <c r="R160" i="2"/>
  <c r="R163" i="2" s="1"/>
  <c r="R172" i="2"/>
  <c r="R60" i="2"/>
  <c r="S124" i="4"/>
  <c r="S121" i="4"/>
  <c r="F120" i="4"/>
  <c r="F121" i="4" s="1"/>
  <c r="S123" i="4"/>
  <c r="F122" i="4"/>
  <c r="F123" i="4" s="1"/>
  <c r="D108" i="2"/>
  <c r="D109" i="2" s="1"/>
  <c r="AK148" i="5"/>
  <c r="AK162" i="5" s="1"/>
  <c r="AK165" i="5" s="1"/>
  <c r="AK173" i="5"/>
  <c r="AK111" i="5"/>
  <c r="AK59" i="5"/>
  <c r="AR193" i="6"/>
  <c r="AR194" i="6"/>
  <c r="AS194" i="6" s="1"/>
  <c r="D171" i="2"/>
  <c r="D173" i="2" s="1"/>
  <c r="D172" i="2"/>
  <c r="D160" i="2"/>
  <c r="D163" i="2" s="1"/>
  <c r="AN6" i="6"/>
  <c r="AN216" i="6" s="1"/>
  <c r="AR188" i="6"/>
  <c r="AR189" i="6" s="1"/>
  <c r="AN11" i="5"/>
  <c r="X11" i="10" s="1"/>
  <c r="AL148" i="5"/>
  <c r="T172" i="2"/>
  <c r="T167" i="2"/>
  <c r="T171" i="2" s="1"/>
  <c r="T173" i="2" s="1"/>
  <c r="T160" i="2"/>
  <c r="S60" i="2"/>
  <c r="W124" i="4"/>
  <c r="V124" i="4"/>
  <c r="V125" i="4" s="1"/>
  <c r="T124" i="4"/>
  <c r="T125" i="4" s="1"/>
  <c r="U124" i="4"/>
  <c r="U125" i="4" s="1"/>
  <c r="T60" i="2"/>
  <c r="X124" i="4"/>
  <c r="X125" i="4" s="1"/>
  <c r="W123" i="4"/>
  <c r="G122" i="4"/>
  <c r="G123" i="4" s="1"/>
  <c r="S160" i="2"/>
  <c r="S167" i="2"/>
  <c r="S171" i="2" s="1"/>
  <c r="S173" i="2" s="1"/>
  <c r="S172" i="2"/>
  <c r="AL58" i="5"/>
  <c r="W121" i="4"/>
  <c r="G120" i="4"/>
  <c r="G121" i="4" s="1"/>
  <c r="AO112" i="9"/>
  <c r="F108" i="2"/>
  <c r="F109" i="2" s="1"/>
  <c r="AO13" i="9"/>
  <c r="AO57" i="5"/>
  <c r="AO9" i="6"/>
  <c r="AO25" i="6"/>
  <c r="AO6" i="5"/>
  <c r="P5" i="11" s="1"/>
  <c r="H11" i="2"/>
  <c r="AM98" i="9"/>
  <c r="AM75" i="5"/>
  <c r="F33" i="11" s="1"/>
  <c r="F40" i="11" s="1"/>
  <c r="H52" i="2"/>
  <c r="AO19" i="5"/>
  <c r="H170" i="2"/>
  <c r="AO145" i="5"/>
  <c r="AM27" i="9"/>
  <c r="AM28" i="9" s="1"/>
  <c r="AM29" i="9" s="1"/>
  <c r="AM94" i="5"/>
  <c r="E108" i="2"/>
  <c r="E109" i="2" s="1"/>
  <c r="AN197" i="6"/>
  <c r="AN199" i="6"/>
  <c r="G108" i="2"/>
  <c r="G109" i="2" s="1"/>
  <c r="AO196" i="6"/>
  <c r="AO16" i="6"/>
  <c r="AO13" i="5"/>
  <c r="H168" i="2"/>
  <c r="H145" i="2"/>
  <c r="AO142" i="5"/>
  <c r="AN107" i="9"/>
  <c r="AN27" i="5"/>
  <c r="AM58" i="5"/>
  <c r="F30" i="11" s="1"/>
  <c r="H99" i="2"/>
  <c r="AO95" i="5"/>
  <c r="P45" i="11" s="1"/>
  <c r="AN80" i="9"/>
  <c r="AN161" i="5"/>
  <c r="K55" i="11" s="1"/>
  <c r="AN148" i="5"/>
  <c r="K54" i="11" s="1"/>
  <c r="AN170" i="5"/>
  <c r="X59" i="10" s="1"/>
  <c r="AL111" i="5"/>
  <c r="AM170" i="5"/>
  <c r="AM148" i="5"/>
  <c r="F54" i="11" s="1"/>
  <c r="AN76" i="9"/>
  <c r="AN102" i="5"/>
  <c r="F58" i="2"/>
  <c r="F60" i="2" s="1"/>
  <c r="AO11" i="6"/>
  <c r="AO141" i="6"/>
  <c r="AO7" i="5"/>
  <c r="AO207" i="6"/>
  <c r="AO17" i="5"/>
  <c r="P14" i="11" s="1"/>
  <c r="AO212" i="6"/>
  <c r="AO18" i="5"/>
  <c r="H107" i="2"/>
  <c r="AO105" i="5"/>
  <c r="AO110" i="5" s="1"/>
  <c r="P49" i="11" s="1"/>
  <c r="AM76" i="9"/>
  <c r="AM102" i="5"/>
  <c r="AN17" i="9"/>
  <c r="E58" i="2"/>
  <c r="E60" i="2" s="1"/>
  <c r="E59" i="2"/>
  <c r="AN26" i="6"/>
  <c r="AO202" i="6"/>
  <c r="AO16" i="5"/>
  <c r="P13" i="11" s="1"/>
  <c r="H22" i="2"/>
  <c r="H47" i="2"/>
  <c r="AO21" i="5"/>
  <c r="P16" i="11" s="1"/>
  <c r="H158" i="2"/>
  <c r="AO150" i="5"/>
  <c r="AO25" i="5"/>
  <c r="F112" i="12" s="1"/>
  <c r="H27" i="2"/>
  <c r="H91" i="2"/>
  <c r="AO87" i="5"/>
  <c r="AN22" i="5"/>
  <c r="AL80" i="9"/>
  <c r="AL81" i="9" s="1"/>
  <c r="AL161" i="5"/>
  <c r="H54" i="2"/>
  <c r="AO20" i="5"/>
  <c r="AO53" i="5" s="1"/>
  <c r="H72" i="2"/>
  <c r="H81" i="2" s="1"/>
  <c r="AO69" i="5"/>
  <c r="H169" i="2"/>
  <c r="AO144" i="5"/>
  <c r="AO171" i="5" s="1"/>
  <c r="AN208" i="6"/>
  <c r="AN209" i="6"/>
  <c r="AN210" i="6" s="1"/>
  <c r="AN98" i="9"/>
  <c r="AN75" i="5"/>
  <c r="K33" i="11" s="1"/>
  <c r="K40" i="11" s="1"/>
  <c r="AL98" i="9"/>
  <c r="AL75" i="5"/>
  <c r="AL84" i="5" s="1"/>
  <c r="AO123" i="9"/>
  <c r="AN27" i="9"/>
  <c r="AN94" i="5"/>
  <c r="AN142" i="6"/>
  <c r="AR196" i="6"/>
  <c r="AR199" i="6" s="1"/>
  <c r="AS199" i="6" s="1"/>
  <c r="AH208" i="6"/>
  <c r="AH17" i="5"/>
  <c r="AC14" i="11" s="1"/>
  <c r="AI13" i="6"/>
  <c r="AI12" i="5" s="1"/>
  <c r="AD9" i="11" s="1"/>
  <c r="AI6" i="9"/>
  <c r="AR13" i="6"/>
  <c r="AS117" i="6"/>
  <c r="AC69" i="10" s="1"/>
  <c r="AH13" i="6"/>
  <c r="AH12" i="5" s="1"/>
  <c r="AC9" i="11" s="1"/>
  <c r="AH6" i="9"/>
  <c r="AI198" i="6"/>
  <c r="AI197" i="6"/>
  <c r="AI16" i="6"/>
  <c r="AI13" i="5" s="1"/>
  <c r="AD10" i="11" s="1"/>
  <c r="AH16" i="6"/>
  <c r="AH13" i="5" s="1"/>
  <c r="AC10" i="11" s="1"/>
  <c r="AH198" i="6"/>
  <c r="AH197" i="6"/>
  <c r="F56" i="11" l="1"/>
  <c r="Z93" i="10"/>
  <c r="AQ21" i="6"/>
  <c r="AQ22" i="6"/>
  <c r="AP22" i="6"/>
  <c r="AP21" i="6"/>
  <c r="AP189" i="6"/>
  <c r="G23" i="2"/>
  <c r="G46" i="2" s="1"/>
  <c r="G56" i="2" s="1"/>
  <c r="G58" i="2" s="1"/>
  <c r="G60" i="2" s="1"/>
  <c r="G66" i="12"/>
  <c r="G25" i="17"/>
  <c r="I17" i="8"/>
  <c r="J17" i="8" s="1"/>
  <c r="J18" i="8" s="1"/>
  <c r="P48" i="11"/>
  <c r="AJ48" i="11" s="1"/>
  <c r="F167" i="2"/>
  <c r="F171" i="2" s="1"/>
  <c r="F173" i="2" s="1"/>
  <c r="F172" i="2"/>
  <c r="K11" i="11"/>
  <c r="K18" i="11" s="1"/>
  <c r="K50" i="11"/>
  <c r="K51" i="11" s="1"/>
  <c r="P17" i="11"/>
  <c r="AJ17" i="11" s="1"/>
  <c r="AI43" i="11"/>
  <c r="AH43" i="11"/>
  <c r="K19" i="11"/>
  <c r="AI19" i="11" s="1"/>
  <c r="AI6" i="11"/>
  <c r="P15" i="11"/>
  <c r="AJ15" i="11" s="1"/>
  <c r="C31" i="7"/>
  <c r="C33" i="7" s="1"/>
  <c r="P6" i="11"/>
  <c r="AJ6" i="11" s="1"/>
  <c r="P10" i="11"/>
  <c r="AJ10" i="11" s="1"/>
  <c r="F50" i="11"/>
  <c r="F51" i="11" s="1"/>
  <c r="P43" i="11"/>
  <c r="P44" i="11" s="1"/>
  <c r="P9" i="11"/>
  <c r="AJ9" i="11" s="1"/>
  <c r="AH49" i="11"/>
  <c r="U9" i="11"/>
  <c r="AK9" i="11" s="1"/>
  <c r="AP91" i="9"/>
  <c r="AP50" i="9" s="1"/>
  <c r="U15" i="11"/>
  <c r="AK15" i="11" s="1"/>
  <c r="U48" i="11"/>
  <c r="U6" i="11"/>
  <c r="U8" i="11" s="1"/>
  <c r="U44" i="11"/>
  <c r="AP120" i="9"/>
  <c r="AK47" i="11"/>
  <c r="AP197" i="6"/>
  <c r="AP203" i="6"/>
  <c r="AE93" i="10"/>
  <c r="AL174" i="5"/>
  <c r="AL173" i="5"/>
  <c r="AL175" i="5" s="1"/>
  <c r="AP26" i="6"/>
  <c r="AN69" i="6"/>
  <c r="AN70" i="6" s="1"/>
  <c r="AP208" i="6"/>
  <c r="AP60" i="9"/>
  <c r="AP62" i="9" s="1"/>
  <c r="AP17" i="9"/>
  <c r="AP22" i="5"/>
  <c r="AK13" i="11"/>
  <c r="G94" i="12"/>
  <c r="AP181" i="6"/>
  <c r="AP156" i="6" s="1"/>
  <c r="AQ142" i="6"/>
  <c r="AP45" i="9"/>
  <c r="AP46" i="9" s="1"/>
  <c r="AP47" i="5"/>
  <c r="AK10" i="11"/>
  <c r="AP209" i="6"/>
  <c r="AP210" i="6" s="1"/>
  <c r="AQ208" i="6"/>
  <c r="AP199" i="6"/>
  <c r="AQ197" i="6"/>
  <c r="AP75" i="5"/>
  <c r="AP98" i="9"/>
  <c r="I108" i="2"/>
  <c r="I109" i="2" s="1"/>
  <c r="AP42" i="5"/>
  <c r="AK14" i="11"/>
  <c r="AN70" i="9"/>
  <c r="I14" i="2"/>
  <c r="J72" i="4"/>
  <c r="AP148" i="5"/>
  <c r="AP42" i="9"/>
  <c r="AP170" i="5"/>
  <c r="Z59" i="10" s="1"/>
  <c r="AP161" i="5"/>
  <c r="U55" i="11" s="1"/>
  <c r="AP80" i="9"/>
  <c r="AP131" i="9"/>
  <c r="AP76" i="9"/>
  <c r="AP78" i="9" s="1"/>
  <c r="AP75" i="9" s="1"/>
  <c r="AP102" i="5"/>
  <c r="AP11" i="5"/>
  <c r="Q67" i="8" s="1"/>
  <c r="AP27" i="9"/>
  <c r="AP94" i="5"/>
  <c r="AP115" i="6"/>
  <c r="AP67" i="6" s="1"/>
  <c r="AP69" i="6" s="1"/>
  <c r="AP126" i="6"/>
  <c r="Z77" i="10" s="1"/>
  <c r="AP107" i="9"/>
  <c r="AP27" i="5"/>
  <c r="U19" i="11" s="1"/>
  <c r="AP68" i="9"/>
  <c r="AP70" i="9" s="1"/>
  <c r="AP172" i="5"/>
  <c r="I89" i="8" s="1"/>
  <c r="G74" i="12"/>
  <c r="AP6" i="6"/>
  <c r="G25" i="7"/>
  <c r="AP146" i="9"/>
  <c r="AP161" i="9"/>
  <c r="E29" i="7"/>
  <c r="AL112" i="5"/>
  <c r="AP213" i="6"/>
  <c r="AO51" i="9"/>
  <c r="AP51" i="9"/>
  <c r="D28" i="7"/>
  <c r="D29" i="7"/>
  <c r="AO116" i="9"/>
  <c r="AP116" i="9"/>
  <c r="AO181" i="6"/>
  <c r="AO156" i="6" s="1"/>
  <c r="AO157" i="6" s="1"/>
  <c r="AP142" i="6"/>
  <c r="AO68" i="9"/>
  <c r="AO69" i="9" s="1"/>
  <c r="F25" i="7"/>
  <c r="D17" i="8"/>
  <c r="D18" i="8" s="1"/>
  <c r="F25" i="17"/>
  <c r="AN127" i="6"/>
  <c r="X77" i="10"/>
  <c r="E172" i="2"/>
  <c r="E160" i="2"/>
  <c r="AO115" i="6"/>
  <c r="AO67" i="6" s="1"/>
  <c r="AO126" i="6"/>
  <c r="AN215" i="6"/>
  <c r="AM174" i="5"/>
  <c r="AM178" i="5"/>
  <c r="AK175" i="5"/>
  <c r="AK176" i="5"/>
  <c r="D31" i="7"/>
  <c r="AF65" i="10"/>
  <c r="AM173" i="5"/>
  <c r="AM64" i="5"/>
  <c r="AK112" i="5"/>
  <c r="AO132" i="6"/>
  <c r="AO134" i="6"/>
  <c r="AO135" i="6" s="1"/>
  <c r="AM70" i="9"/>
  <c r="AK97" i="9"/>
  <c r="AK99" i="9" s="1"/>
  <c r="AL70" i="9"/>
  <c r="H14" i="2"/>
  <c r="I76" i="4" s="1"/>
  <c r="I94" i="4" s="1"/>
  <c r="I72" i="4"/>
  <c r="W136" i="6"/>
  <c r="AR207" i="6"/>
  <c r="AR208" i="6" s="1"/>
  <c r="AI17" i="5"/>
  <c r="AD14" i="11" s="1"/>
  <c r="AJ14" i="11"/>
  <c r="AO42" i="5"/>
  <c r="AJ5" i="11"/>
  <c r="S54" i="8"/>
  <c r="AO14" i="9"/>
  <c r="Y132" i="6"/>
  <c r="Y134" i="6" s="1"/>
  <c r="Y135" i="6" s="1"/>
  <c r="X132" i="6"/>
  <c r="AN14" i="5"/>
  <c r="AN41" i="5"/>
  <c r="AN17" i="6"/>
  <c r="AN7" i="6"/>
  <c r="AH42" i="5"/>
  <c r="G32" i="12"/>
  <c r="H74" i="12"/>
  <c r="G23" i="17"/>
  <c r="AI172" i="5"/>
  <c r="AK34" i="11"/>
  <c r="AN94" i="9"/>
  <c r="AN50" i="9"/>
  <c r="AN89" i="9"/>
  <c r="AO91" i="9"/>
  <c r="AL97" i="9"/>
  <c r="AL99" i="9" s="1"/>
  <c r="AO60" i="9"/>
  <c r="AO62" i="9" s="1"/>
  <c r="N164" i="5"/>
  <c r="AJ45" i="11"/>
  <c r="AM162" i="5"/>
  <c r="AH54" i="11"/>
  <c r="AJ41" i="11"/>
  <c r="AO120" i="9"/>
  <c r="AM60" i="5"/>
  <c r="AH30" i="11"/>
  <c r="AM104" i="9"/>
  <c r="AI8" i="11"/>
  <c r="F94" i="12"/>
  <c r="AJ13" i="11"/>
  <c r="AN84" i="5"/>
  <c r="E42" i="12"/>
  <c r="F34" i="12"/>
  <c r="E82" i="12"/>
  <c r="AI54" i="11"/>
  <c r="AH44" i="11"/>
  <c r="AO172" i="5"/>
  <c r="F74" i="12"/>
  <c r="AI55" i="11"/>
  <c r="E76" i="12"/>
  <c r="AO51" i="5"/>
  <c r="AL60" i="5"/>
  <c r="AL104" i="9"/>
  <c r="AM94" i="9"/>
  <c r="AM95" i="9" s="1"/>
  <c r="AN93" i="9"/>
  <c r="AM50" i="9"/>
  <c r="AM89" i="9"/>
  <c r="AO115" i="9"/>
  <c r="AJ21" i="11"/>
  <c r="AO47" i="5"/>
  <c r="F104" i="12"/>
  <c r="AJ16" i="11"/>
  <c r="AO45" i="9"/>
  <c r="AO46" i="9" s="1"/>
  <c r="F66" i="12"/>
  <c r="F27" i="7"/>
  <c r="F29" i="7" s="1"/>
  <c r="AO42" i="9"/>
  <c r="AM84" i="5"/>
  <c r="AK60" i="5"/>
  <c r="AK104" i="9"/>
  <c r="AO131" i="9"/>
  <c r="AI48" i="11"/>
  <c r="AH53" i="11"/>
  <c r="AN78" i="9"/>
  <c r="AN75" i="9" s="1"/>
  <c r="AM78" i="9"/>
  <c r="AM75" i="9" s="1"/>
  <c r="AN83" i="9"/>
  <c r="AO83" i="9"/>
  <c r="AN81" i="9"/>
  <c r="D164" i="2"/>
  <c r="E162" i="2"/>
  <c r="AN204" i="6"/>
  <c r="AN205" i="6" s="1"/>
  <c r="F124" i="4"/>
  <c r="F125" i="4" s="1"/>
  <c r="S125" i="4"/>
  <c r="R164" i="2"/>
  <c r="S162" i="2"/>
  <c r="S163" i="2" s="1"/>
  <c r="AK166" i="5"/>
  <c r="AL164" i="5"/>
  <c r="AL162" i="5"/>
  <c r="AR12" i="5"/>
  <c r="AM111" i="5"/>
  <c r="W125" i="4"/>
  <c r="G124" i="4"/>
  <c r="G125" i="4" s="1"/>
  <c r="AO17" i="9"/>
  <c r="AO6" i="6"/>
  <c r="AN111" i="5"/>
  <c r="AO80" i="9"/>
  <c r="AO81" i="9" s="1"/>
  <c r="AO161" i="5"/>
  <c r="P55" i="11" s="1"/>
  <c r="AO98" i="9"/>
  <c r="AO75" i="5"/>
  <c r="P33" i="11" s="1"/>
  <c r="P40" i="11" s="1"/>
  <c r="AO76" i="9"/>
  <c r="AP83" i="9" s="1"/>
  <c r="AO102" i="5"/>
  <c r="AO197" i="6"/>
  <c r="AO199" i="6"/>
  <c r="AO11" i="5"/>
  <c r="Y11" i="10" s="1"/>
  <c r="AO142" i="6"/>
  <c r="H108" i="2"/>
  <c r="H109" i="2" s="1"/>
  <c r="AO26" i="6"/>
  <c r="AO27" i="9"/>
  <c r="AO94" i="5"/>
  <c r="AO22" i="5"/>
  <c r="AO213" i="6"/>
  <c r="AO148" i="5"/>
  <c r="P54" i="11" s="1"/>
  <c r="AO170" i="5"/>
  <c r="Y59" i="10" s="1"/>
  <c r="AO203" i="6"/>
  <c r="AR197" i="6"/>
  <c r="AO107" i="9"/>
  <c r="AO27" i="5"/>
  <c r="AO208" i="6"/>
  <c r="AO209" i="6"/>
  <c r="AO210" i="6" s="1"/>
  <c r="AR16" i="6"/>
  <c r="AD69" i="10"/>
  <c r="AS28" i="6"/>
  <c r="AR13" i="5"/>
  <c r="G28" i="2" l="1"/>
  <c r="G30" i="2" s="1"/>
  <c r="G32" i="2" s="1"/>
  <c r="G38" i="2" s="1"/>
  <c r="K17" i="8"/>
  <c r="K18" i="8" s="1"/>
  <c r="AL176" i="5"/>
  <c r="G59" i="2"/>
  <c r="AI50" i="11"/>
  <c r="AF93" i="10"/>
  <c r="I18" i="8"/>
  <c r="K20" i="11"/>
  <c r="K22" i="11" s="1"/>
  <c r="P8" i="11"/>
  <c r="P11" i="11" s="1"/>
  <c r="P18" i="11" s="1"/>
  <c r="H23" i="2"/>
  <c r="H28" i="2" s="1"/>
  <c r="H30" i="2" s="1"/>
  <c r="H32" i="2" s="1"/>
  <c r="H38" i="2" s="1"/>
  <c r="E163" i="2"/>
  <c r="F162" i="2" s="1"/>
  <c r="F163" i="2" s="1"/>
  <c r="F164" i="2" s="1"/>
  <c r="P50" i="11"/>
  <c r="P51" i="11" s="1"/>
  <c r="AJ44" i="11"/>
  <c r="N165" i="5"/>
  <c r="O164" i="5" s="1"/>
  <c r="D57" i="11"/>
  <c r="D58" i="11" s="1"/>
  <c r="P19" i="11"/>
  <c r="AJ19" i="11" s="1"/>
  <c r="AE9" i="11"/>
  <c r="AM9" i="11" s="1"/>
  <c r="AM176" i="5"/>
  <c r="F59" i="11"/>
  <c r="AH59" i="11" s="1"/>
  <c r="AP89" i="9"/>
  <c r="AP97" i="9" s="1"/>
  <c r="AP99" i="9" s="1"/>
  <c r="AO159" i="6"/>
  <c r="AO160" i="6" s="1"/>
  <c r="AE10" i="11"/>
  <c r="AM10" i="11" s="1"/>
  <c r="U11" i="11"/>
  <c r="U18" i="11" s="1"/>
  <c r="U20" i="11" s="1"/>
  <c r="U22" i="11" s="1"/>
  <c r="AJ43" i="11"/>
  <c r="AK6" i="11"/>
  <c r="AP68" i="6"/>
  <c r="U50" i="11"/>
  <c r="G82" i="12"/>
  <c r="U54" i="11"/>
  <c r="AK54" i="11" s="1"/>
  <c r="AP84" i="5"/>
  <c r="U33" i="11"/>
  <c r="U40" i="11" s="1"/>
  <c r="AP216" i="6"/>
  <c r="AP111" i="5"/>
  <c r="AP69" i="9"/>
  <c r="AP132" i="6"/>
  <c r="AK5" i="11"/>
  <c r="P67" i="8"/>
  <c r="Z11" i="10"/>
  <c r="N67" i="8"/>
  <c r="O67" i="8"/>
  <c r="O48" i="8" s="1"/>
  <c r="AP159" i="6"/>
  <c r="AP157" i="6"/>
  <c r="AP158" i="6" s="1"/>
  <c r="AP204" i="6"/>
  <c r="AP205" i="6" s="1"/>
  <c r="AP17" i="6"/>
  <c r="AP8" i="6" s="1"/>
  <c r="AP215" i="6"/>
  <c r="J89" i="8"/>
  <c r="I90" i="8"/>
  <c r="AP41" i="5"/>
  <c r="AP127" i="6"/>
  <c r="J76" i="4"/>
  <c r="J94" i="4" s="1"/>
  <c r="I23" i="2"/>
  <c r="AP14" i="5"/>
  <c r="AM175" i="5"/>
  <c r="AO70" i="9"/>
  <c r="AO69" i="6"/>
  <c r="AO70" i="6" s="1"/>
  <c r="AO68" i="6"/>
  <c r="AO50" i="9"/>
  <c r="AP93" i="9"/>
  <c r="AP94" i="9"/>
  <c r="AO216" i="6"/>
  <c r="AP7" i="6"/>
  <c r="L68" i="8" s="1"/>
  <c r="AP81" i="9"/>
  <c r="G29" i="7"/>
  <c r="E17" i="8"/>
  <c r="F17" i="8" s="1"/>
  <c r="AO136" i="6"/>
  <c r="L17" i="8"/>
  <c r="L18" i="8" s="1"/>
  <c r="AO158" i="6"/>
  <c r="C55" i="17"/>
  <c r="X7" i="10"/>
  <c r="E15" i="17"/>
  <c r="AO127" i="6"/>
  <c r="Y77" i="10"/>
  <c r="AO215" i="6"/>
  <c r="AO94" i="9"/>
  <c r="AO89" i="9"/>
  <c r="AL108" i="9"/>
  <c r="AM134" i="6"/>
  <c r="AM135" i="6" s="1"/>
  <c r="X134" i="6"/>
  <c r="AP134" i="6" s="1"/>
  <c r="AP135" i="6" s="1"/>
  <c r="AP136" i="6" s="1"/>
  <c r="D33" i="7"/>
  <c r="AR209" i="6"/>
  <c r="Y136" i="6"/>
  <c r="E15" i="7"/>
  <c r="E16" i="7" s="1"/>
  <c r="AN214" i="6"/>
  <c r="AN10" i="6"/>
  <c r="AN8" i="6"/>
  <c r="AR17" i="5"/>
  <c r="AI42" i="5"/>
  <c r="AH56" i="11"/>
  <c r="E90" i="12"/>
  <c r="AN23" i="5"/>
  <c r="AN5" i="9"/>
  <c r="E92" i="12"/>
  <c r="AO14" i="5"/>
  <c r="AO41" i="5"/>
  <c r="AO204" i="6"/>
  <c r="AO205" i="6" s="1"/>
  <c r="AO7" i="6"/>
  <c r="AN18" i="6"/>
  <c r="AK36" i="11"/>
  <c r="AN97" i="9"/>
  <c r="AN99" i="9" s="1"/>
  <c r="E44" i="12" s="1"/>
  <c r="G28" i="12"/>
  <c r="AM108" i="9"/>
  <c r="AM97" i="9"/>
  <c r="AN108" i="9" s="1"/>
  <c r="AH40" i="11"/>
  <c r="AH33" i="11"/>
  <c r="AO84" i="5"/>
  <c r="F42" i="12"/>
  <c r="AM112" i="5"/>
  <c r="AJ49" i="11"/>
  <c r="AJ55" i="11"/>
  <c r="F76" i="12"/>
  <c r="AH50" i="11"/>
  <c r="AI33" i="11"/>
  <c r="AI11" i="11"/>
  <c r="E22" i="12"/>
  <c r="AN112" i="5"/>
  <c r="F82" i="12"/>
  <c r="AJ54" i="11"/>
  <c r="AK42" i="11"/>
  <c r="AK46" i="11"/>
  <c r="AE69" i="10"/>
  <c r="AO78" i="9"/>
  <c r="AO75" i="9" s="1"/>
  <c r="AK103" i="9"/>
  <c r="AK105" i="9"/>
  <c r="AK101" i="9"/>
  <c r="AL101" i="9"/>
  <c r="AL103" i="9"/>
  <c r="AL105" i="9"/>
  <c r="AL165" i="5"/>
  <c r="AM164" i="5" s="1"/>
  <c r="F57" i="11" s="1"/>
  <c r="F58" i="11" s="1"/>
  <c r="T162" i="2"/>
  <c r="T163" i="2" s="1"/>
  <c r="T164" i="2" s="1"/>
  <c r="S164" i="2"/>
  <c r="AN38" i="5"/>
  <c r="K26" i="11" s="1"/>
  <c r="AN39" i="5"/>
  <c r="K27" i="11" s="1"/>
  <c r="AO17" i="6"/>
  <c r="AO111" i="5"/>
  <c r="AO39" i="5"/>
  <c r="P27" i="11" s="1"/>
  <c r="AO38" i="5"/>
  <c r="P26" i="11" s="1"/>
  <c r="AS29" i="6"/>
  <c r="AS192" i="6"/>
  <c r="E91" i="12"/>
  <c r="E93" i="12"/>
  <c r="G117" i="2" l="1"/>
  <c r="G137" i="2" s="1"/>
  <c r="G172" i="2" s="1"/>
  <c r="G35" i="2"/>
  <c r="H117" i="2"/>
  <c r="H137" i="2" s="1"/>
  <c r="H167" i="2" s="1"/>
  <c r="H171" i="2" s="1"/>
  <c r="H173" i="2" s="1"/>
  <c r="H35" i="2"/>
  <c r="H46" i="2"/>
  <c r="H56" i="2" s="1"/>
  <c r="H58" i="2" s="1"/>
  <c r="H60" i="2" s="1"/>
  <c r="P20" i="11"/>
  <c r="P22" i="11" s="1"/>
  <c r="E164" i="2"/>
  <c r="G162" i="2"/>
  <c r="AS209" i="6"/>
  <c r="N166" i="5"/>
  <c r="AJ50" i="11"/>
  <c r="AP160" i="6"/>
  <c r="O165" i="5"/>
  <c r="P164" i="5" s="1"/>
  <c r="E57" i="11"/>
  <c r="E58" i="11" s="1"/>
  <c r="AE14" i="11"/>
  <c r="AM14" i="11" s="1"/>
  <c r="U51" i="11"/>
  <c r="AP112" i="5"/>
  <c r="AJ8" i="11"/>
  <c r="E18" i="8"/>
  <c r="AP214" i="6"/>
  <c r="AP10" i="6"/>
  <c r="J90" i="8"/>
  <c r="K89" i="8"/>
  <c r="P48" i="8"/>
  <c r="P71" i="8"/>
  <c r="Z7" i="10"/>
  <c r="AP23" i="5"/>
  <c r="AP5" i="9"/>
  <c r="G90" i="12"/>
  <c r="G15" i="17"/>
  <c r="G26" i="17" s="1"/>
  <c r="G15" i="7"/>
  <c r="G28" i="7" s="1"/>
  <c r="I28" i="2"/>
  <c r="I30" i="2" s="1"/>
  <c r="I32" i="2" s="1"/>
  <c r="I46" i="2"/>
  <c r="I56" i="2" s="1"/>
  <c r="AK11" i="11"/>
  <c r="AK8" i="11"/>
  <c r="AP70" i="6"/>
  <c r="AO10" i="6"/>
  <c r="AP18" i="6"/>
  <c r="Y7" i="10"/>
  <c r="F15" i="17"/>
  <c r="AN28" i="5"/>
  <c r="AN30" i="5" s="1"/>
  <c r="AN32" i="5" s="1"/>
  <c r="X39" i="10" s="1"/>
  <c r="X43" i="10" s="1"/>
  <c r="E18" i="17"/>
  <c r="E19" i="17" s="1"/>
  <c r="E16" i="17"/>
  <c r="E26" i="17"/>
  <c r="C54" i="17"/>
  <c r="AN95" i="9"/>
  <c r="AN36" i="9"/>
  <c r="AK43" i="11"/>
  <c r="AR210" i="6"/>
  <c r="AO97" i="9"/>
  <c r="AM136" i="6"/>
  <c r="AN136" i="6"/>
  <c r="X135" i="6"/>
  <c r="AB136" i="6" s="1"/>
  <c r="AN32" i="9"/>
  <c r="AN33" i="9" s="1"/>
  <c r="AN24" i="9"/>
  <c r="AN25" i="9" s="1"/>
  <c r="AN20" i="9"/>
  <c r="AN21" i="9" s="1"/>
  <c r="AN10" i="9"/>
  <c r="AN11" i="9" s="1"/>
  <c r="AN54" i="9"/>
  <c r="AN43" i="9"/>
  <c r="U162" i="2"/>
  <c r="U163" i="2" s="1"/>
  <c r="U164" i="2" s="1"/>
  <c r="AM99" i="9"/>
  <c r="AM101" i="9" s="1"/>
  <c r="E28" i="7"/>
  <c r="AO23" i="5"/>
  <c r="F92" i="12"/>
  <c r="AN117" i="9"/>
  <c r="AO8" i="6"/>
  <c r="AN28" i="9"/>
  <c r="AN29" i="9" s="1"/>
  <c r="AR42" i="5"/>
  <c r="X15" i="10"/>
  <c r="X19" i="10" s="1"/>
  <c r="AN43" i="5"/>
  <c r="E18" i="7"/>
  <c r="E21" i="7" s="1"/>
  <c r="E108" i="12"/>
  <c r="AN61" i="5"/>
  <c r="F90" i="12"/>
  <c r="E106" i="12"/>
  <c r="AN46" i="5"/>
  <c r="AN56" i="5" s="1"/>
  <c r="K29" i="11" s="1"/>
  <c r="AO5" i="9"/>
  <c r="G17" i="8"/>
  <c r="G18" i="8" s="1"/>
  <c r="F18" i="8"/>
  <c r="F15" i="7"/>
  <c r="F28" i="7" s="1"/>
  <c r="G92" i="12"/>
  <c r="AO214" i="6"/>
  <c r="AO18" i="6"/>
  <c r="AO108" i="9"/>
  <c r="AH172" i="5"/>
  <c r="AR145" i="5"/>
  <c r="AO151" i="9"/>
  <c r="AP152" i="9" s="1"/>
  <c r="F150" i="12"/>
  <c r="F156" i="12"/>
  <c r="AO154" i="9"/>
  <c r="E30" i="12"/>
  <c r="AJ33" i="11"/>
  <c r="F22" i="12"/>
  <c r="AO112" i="5"/>
  <c r="E156" i="12"/>
  <c r="AN154" i="9"/>
  <c r="AI18" i="11"/>
  <c r="AN151" i="9"/>
  <c r="AN152" i="9" s="1"/>
  <c r="E150" i="12"/>
  <c r="AJ11" i="11"/>
  <c r="AI40" i="11"/>
  <c r="AM165" i="5"/>
  <c r="AM166" i="5" s="1"/>
  <c r="AL166" i="5"/>
  <c r="AS193" i="6"/>
  <c r="AS15" i="6"/>
  <c r="AS6" i="9" s="1"/>
  <c r="AS188" i="6"/>
  <c r="AS189" i="6" s="1"/>
  <c r="AS196" i="6"/>
  <c r="E107" i="12"/>
  <c r="G91" i="12"/>
  <c r="F91" i="12"/>
  <c r="E109" i="12"/>
  <c r="G93" i="12"/>
  <c r="F93" i="12"/>
  <c r="G160" i="2" l="1"/>
  <c r="G167" i="2"/>
  <c r="G171" i="2" s="1"/>
  <c r="G173" i="2" s="1"/>
  <c r="H172" i="2"/>
  <c r="H160" i="2"/>
  <c r="H59" i="2"/>
  <c r="O166" i="5"/>
  <c r="AS207" i="6"/>
  <c r="AS208" i="6" s="1"/>
  <c r="V162" i="2"/>
  <c r="V163" i="2" s="1"/>
  <c r="V164" i="2" s="1"/>
  <c r="P165" i="5"/>
  <c r="P166" i="5" s="1"/>
  <c r="G57" i="11"/>
  <c r="G58" i="11" s="1"/>
  <c r="AP32" i="9"/>
  <c r="AP33" i="9" s="1"/>
  <c r="AP36" i="9"/>
  <c r="AP10" i="9"/>
  <c r="AP11" i="9" s="1"/>
  <c r="AP24" i="9"/>
  <c r="AP25" i="9" s="1"/>
  <c r="AP20" i="9"/>
  <c r="AP21" i="9" s="1"/>
  <c r="AP54" i="9"/>
  <c r="AP28" i="9"/>
  <c r="AP29" i="9" s="1"/>
  <c r="AP117" i="9"/>
  <c r="AP43" i="9"/>
  <c r="AP95" i="9"/>
  <c r="Z15" i="10"/>
  <c r="Z19" i="10" s="1"/>
  <c r="AP43" i="5"/>
  <c r="AP46" i="5"/>
  <c r="AP56" i="5" s="1"/>
  <c r="U29" i="11" s="1"/>
  <c r="AP61" i="5"/>
  <c r="AP28" i="5"/>
  <c r="I59" i="2"/>
  <c r="I58" i="2"/>
  <c r="I60" i="2" s="1"/>
  <c r="K90" i="8"/>
  <c r="L89" i="8"/>
  <c r="L90" i="8" s="1"/>
  <c r="I117" i="2"/>
  <c r="I137" i="2" s="1"/>
  <c r="I38" i="2"/>
  <c r="I35" i="2"/>
  <c r="AN122" i="9"/>
  <c r="AN124" i="9" s="1"/>
  <c r="E23" i="7" s="1"/>
  <c r="E24" i="7" s="1"/>
  <c r="D55" i="17"/>
  <c r="AS210" i="6"/>
  <c r="AO99" i="9"/>
  <c r="F44" i="12" s="1"/>
  <c r="AP108" i="9"/>
  <c r="E110" i="12"/>
  <c r="F16" i="17"/>
  <c r="G16" i="17"/>
  <c r="F26" i="17"/>
  <c r="AO43" i="5"/>
  <c r="F18" i="17"/>
  <c r="F19" i="17" s="1"/>
  <c r="AF69" i="10"/>
  <c r="AO95" i="9"/>
  <c r="AO36" i="9"/>
  <c r="X23" i="10"/>
  <c r="X27" i="10" s="1"/>
  <c r="AN63" i="5"/>
  <c r="AO61" i="5"/>
  <c r="C14" i="15"/>
  <c r="C19" i="15" s="1"/>
  <c r="C42" i="15" s="1"/>
  <c r="AO32" i="9"/>
  <c r="AO33" i="9" s="1"/>
  <c r="AO117" i="9"/>
  <c r="AO24" i="9"/>
  <c r="AO25" i="9" s="1"/>
  <c r="AO28" i="9"/>
  <c r="AO29" i="9" s="1"/>
  <c r="AO43" i="9"/>
  <c r="X136" i="6"/>
  <c r="AO20" i="9"/>
  <c r="AO21" i="9" s="1"/>
  <c r="AM103" i="9"/>
  <c r="AM105" i="9"/>
  <c r="AN102" i="9"/>
  <c r="AN103" i="9" s="1"/>
  <c r="E98" i="12"/>
  <c r="AI29" i="11"/>
  <c r="E96" i="12"/>
  <c r="AN58" i="5"/>
  <c r="Y15" i="10"/>
  <c r="Y19" i="10" s="1"/>
  <c r="AO46" i="5"/>
  <c r="AO56" i="5" s="1"/>
  <c r="P29" i="11" s="1"/>
  <c r="AO28" i="5"/>
  <c r="AO30" i="5" s="1"/>
  <c r="AO32" i="5" s="1"/>
  <c r="Y39" i="10" s="1"/>
  <c r="Y43" i="10" s="1"/>
  <c r="F18" i="7"/>
  <c r="F21" i="7" s="1"/>
  <c r="G16" i="7"/>
  <c r="F108" i="12"/>
  <c r="F16" i="7"/>
  <c r="F106" i="12"/>
  <c r="AN59" i="5"/>
  <c r="AO10" i="9"/>
  <c r="AO11" i="9" s="1"/>
  <c r="AO54" i="9"/>
  <c r="AR172" i="5"/>
  <c r="I74" i="12"/>
  <c r="AN164" i="5"/>
  <c r="K57" i="11" s="1"/>
  <c r="AN155" i="9"/>
  <c r="AO155" i="9"/>
  <c r="AJ18" i="11"/>
  <c r="F30" i="12"/>
  <c r="AO152" i="9"/>
  <c r="AO146" i="9"/>
  <c r="AI20" i="11"/>
  <c r="AI22" i="11"/>
  <c r="AJ40" i="11"/>
  <c r="E116" i="12"/>
  <c r="E138" i="12"/>
  <c r="AN100" i="9"/>
  <c r="AN101" i="9" s="1"/>
  <c r="AH57" i="11"/>
  <c r="AH58" i="11"/>
  <c r="AN120" i="5"/>
  <c r="AN144" i="9"/>
  <c r="AN36" i="5"/>
  <c r="K25" i="11" s="1"/>
  <c r="AN35" i="5"/>
  <c r="AS13" i="6"/>
  <c r="AS12" i="5" s="1"/>
  <c r="AS197" i="6"/>
  <c r="AS16" i="6"/>
  <c r="AS13" i="5" s="1"/>
  <c r="E117" i="12"/>
  <c r="E99" i="12"/>
  <c r="F107" i="12"/>
  <c r="E139" i="12"/>
  <c r="F109" i="12"/>
  <c r="E111" i="12"/>
  <c r="E97" i="12"/>
  <c r="W162" i="2" l="1"/>
  <c r="W163" i="2" s="1"/>
  <c r="AS17" i="5"/>
  <c r="AS42" i="5" s="1"/>
  <c r="K24" i="11"/>
  <c r="AI24" i="11" s="1"/>
  <c r="X31" i="10"/>
  <c r="X35" i="10" s="1"/>
  <c r="K30" i="11"/>
  <c r="AI30" i="11" s="1"/>
  <c r="AP63" i="5"/>
  <c r="E21" i="17"/>
  <c r="E22" i="17" s="1"/>
  <c r="E29" i="17" s="1"/>
  <c r="E31" i="17" s="1"/>
  <c r="AP122" i="9"/>
  <c r="AP124" i="9" s="1"/>
  <c r="AP30" i="5"/>
  <c r="AP32" i="5" s="1"/>
  <c r="I172" i="2"/>
  <c r="I167" i="2"/>
  <c r="I171" i="2" s="1"/>
  <c r="I173" i="2" s="1"/>
  <c r="I160" i="2"/>
  <c r="Z23" i="10"/>
  <c r="Z27" i="10" s="1"/>
  <c r="AP102" i="9"/>
  <c r="AP103" i="9" s="1"/>
  <c r="AP59" i="5"/>
  <c r="AP58" i="5"/>
  <c r="U30" i="11" s="1"/>
  <c r="D54" i="17"/>
  <c r="C37" i="15"/>
  <c r="F110" i="12"/>
  <c r="E31" i="7"/>
  <c r="E32" i="7" s="1"/>
  <c r="AN60" i="5"/>
  <c r="AN104" i="9"/>
  <c r="AN105" i="9" s="1"/>
  <c r="AN64" i="5"/>
  <c r="Y23" i="10"/>
  <c r="Y27" i="10" s="1"/>
  <c r="AO63" i="5"/>
  <c r="AI57" i="11"/>
  <c r="X47" i="10"/>
  <c r="C3" i="16"/>
  <c r="AO122" i="9"/>
  <c r="AO124" i="9" s="1"/>
  <c r="F96" i="12"/>
  <c r="AO58" i="5"/>
  <c r="P30" i="11" s="1"/>
  <c r="AO102" i="9"/>
  <c r="AO103" i="9" s="1"/>
  <c r="AO59" i="5"/>
  <c r="F98" i="12"/>
  <c r="AJ29" i="11"/>
  <c r="AS172" i="5"/>
  <c r="S89" i="8" s="1"/>
  <c r="S90" i="8" s="1"/>
  <c r="AJ20" i="11"/>
  <c r="AJ22" i="11"/>
  <c r="E122" i="12"/>
  <c r="E154" i="12"/>
  <c r="E17" i="12"/>
  <c r="AI25" i="11"/>
  <c r="AN140" i="5"/>
  <c r="E60" i="12"/>
  <c r="F116" i="12"/>
  <c r="F138" i="12"/>
  <c r="AO100" i="9"/>
  <c r="AO101" i="9" s="1"/>
  <c r="G163" i="2"/>
  <c r="AO120" i="5"/>
  <c r="AO144" i="9"/>
  <c r="AO35" i="5"/>
  <c r="AO36" i="5"/>
  <c r="P25" i="11" s="1"/>
  <c r="F139" i="12"/>
  <c r="F97" i="12"/>
  <c r="E61" i="12"/>
  <c r="E18" i="12"/>
  <c r="F111" i="12"/>
  <c r="E155" i="12"/>
  <c r="F99" i="12"/>
  <c r="E123" i="12"/>
  <c r="F117" i="12"/>
  <c r="AN169" i="5" l="1"/>
  <c r="AN178" i="5" s="1"/>
  <c r="K53" i="11"/>
  <c r="K56" i="11" s="1"/>
  <c r="K58" i="11" s="1"/>
  <c r="P24" i="11"/>
  <c r="AJ24" i="11" s="1"/>
  <c r="E30" i="17"/>
  <c r="AP36" i="5"/>
  <c r="Z39" i="10"/>
  <c r="Z43" i="10" s="1"/>
  <c r="AP120" i="5"/>
  <c r="AP140" i="5" s="1"/>
  <c r="U53" i="11" s="1"/>
  <c r="U56" i="11" s="1"/>
  <c r="AP144" i="9"/>
  <c r="AP35" i="5"/>
  <c r="U24" i="11" s="1"/>
  <c r="AP100" i="9"/>
  <c r="AP101" i="9" s="1"/>
  <c r="Z31" i="10"/>
  <c r="Z35" i="10" s="1"/>
  <c r="AP104" i="9"/>
  <c r="AP105" i="9" s="1"/>
  <c r="AP60" i="5"/>
  <c r="L49" i="8" s="1"/>
  <c r="E33" i="7"/>
  <c r="Y31" i="10"/>
  <c r="Y35" i="10" s="1"/>
  <c r="AP64" i="5"/>
  <c r="F23" i="7"/>
  <c r="F24" i="7" s="1"/>
  <c r="F31" i="7" s="1"/>
  <c r="F32" i="7" s="1"/>
  <c r="F21" i="17"/>
  <c r="F22" i="17" s="1"/>
  <c r="F29" i="17" s="1"/>
  <c r="D46" i="8"/>
  <c r="D47" i="8" s="1"/>
  <c r="AO64" i="5"/>
  <c r="AO104" i="9"/>
  <c r="AO105" i="9" s="1"/>
  <c r="AJ30" i="11"/>
  <c r="AO60" i="5"/>
  <c r="Y47" i="10"/>
  <c r="D3" i="16"/>
  <c r="D4" i="16" s="1"/>
  <c r="AN162" i="5"/>
  <c r="AN165" i="5" s="1"/>
  <c r="AN166" i="5" s="1"/>
  <c r="F122" i="12"/>
  <c r="E64" i="12"/>
  <c r="F154" i="12"/>
  <c r="F17" i="12"/>
  <c r="AJ25" i="11"/>
  <c r="E20" i="12"/>
  <c r="E124" i="12"/>
  <c r="AO140" i="5"/>
  <c r="P53" i="11" s="1"/>
  <c r="P56" i="11" s="1"/>
  <c r="F60" i="12"/>
  <c r="X162" i="2"/>
  <c r="X163" i="2" s="1"/>
  <c r="W164" i="2"/>
  <c r="G164" i="2"/>
  <c r="H162" i="2"/>
  <c r="H163" i="2" s="1"/>
  <c r="Q164" i="5"/>
  <c r="H57" i="11" s="1"/>
  <c r="H58" i="11" s="1"/>
  <c r="F155" i="12"/>
  <c r="F123" i="12"/>
  <c r="E65" i="12"/>
  <c r="F61" i="12"/>
  <c r="E21" i="12"/>
  <c r="E125" i="12"/>
  <c r="F18" i="12"/>
  <c r="AN173" i="5" l="1"/>
  <c r="K59" i="11" s="1"/>
  <c r="AI59" i="11" s="1"/>
  <c r="AN174" i="5"/>
  <c r="Z47" i="10"/>
  <c r="U25" i="11"/>
  <c r="AP169" i="5"/>
  <c r="AP162" i="5"/>
  <c r="H164" i="2"/>
  <c r="I162" i="2"/>
  <c r="I163" i="2" s="1"/>
  <c r="I164" i="2" s="1"/>
  <c r="F33" i="7"/>
  <c r="F30" i="17"/>
  <c r="F31" i="17"/>
  <c r="E46" i="8"/>
  <c r="E47" i="8" s="1"/>
  <c r="AO164" i="5"/>
  <c r="P57" i="11" s="1"/>
  <c r="P58" i="11" s="1"/>
  <c r="AO169" i="5"/>
  <c r="D10" i="8"/>
  <c r="Q165" i="5"/>
  <c r="Q166" i="5" s="1"/>
  <c r="AO162" i="5"/>
  <c r="F20" i="12"/>
  <c r="F64" i="12"/>
  <c r="AI53" i="11"/>
  <c r="F124" i="12"/>
  <c r="X164" i="2"/>
  <c r="Y162" i="2"/>
  <c r="Y163" i="2" s="1"/>
  <c r="F21" i="12"/>
  <c r="E71" i="12"/>
  <c r="F125" i="12"/>
  <c r="F65" i="12"/>
  <c r="AN158" i="9" l="1"/>
  <c r="E70" i="12"/>
  <c r="AN175" i="5"/>
  <c r="AN176" i="5"/>
  <c r="X51" i="10"/>
  <c r="X55" i="10" s="1"/>
  <c r="AP173" i="5"/>
  <c r="U59" i="11" s="1"/>
  <c r="AP174" i="5"/>
  <c r="AP178" i="5"/>
  <c r="AO174" i="5"/>
  <c r="AO178" i="5"/>
  <c r="F46" i="8"/>
  <c r="G46" i="8" s="1"/>
  <c r="G47" i="8" s="1"/>
  <c r="R164" i="5"/>
  <c r="AO173" i="5"/>
  <c r="AO165" i="5"/>
  <c r="D11" i="8"/>
  <c r="E10" i="8"/>
  <c r="AI56" i="11"/>
  <c r="AJ53" i="11"/>
  <c r="Y164" i="2"/>
  <c r="Z162" i="2"/>
  <c r="Z163" i="2" s="1"/>
  <c r="AO176" i="5" l="1"/>
  <c r="P59" i="11"/>
  <c r="AJ59" i="11" s="1"/>
  <c r="R165" i="5"/>
  <c r="R166" i="5" s="1"/>
  <c r="I57" i="11"/>
  <c r="I58" i="11" s="1"/>
  <c r="AP176" i="5"/>
  <c r="AP175" i="5"/>
  <c r="AP158" i="9"/>
  <c r="Z51" i="10"/>
  <c r="Z55" i="10" s="1"/>
  <c r="F47" i="8"/>
  <c r="AP164" i="5"/>
  <c r="AO166" i="5"/>
  <c r="Y51" i="10"/>
  <c r="Y55" i="10" s="1"/>
  <c r="AO158" i="9"/>
  <c r="AO175" i="5"/>
  <c r="D25" i="8"/>
  <c r="E25" i="8" s="1"/>
  <c r="F70" i="12"/>
  <c r="F10" i="8"/>
  <c r="E11" i="8"/>
  <c r="AJ56" i="11"/>
  <c r="Z164" i="2"/>
  <c r="AA162" i="2"/>
  <c r="AA163" i="2" s="1"/>
  <c r="F71" i="12"/>
  <c r="S164" i="5" l="1"/>
  <c r="J57" i="11" s="1"/>
  <c r="J58" i="11" s="1"/>
  <c r="AI58" i="11" s="1"/>
  <c r="AP165" i="5"/>
  <c r="AP166" i="5" s="1"/>
  <c r="U57" i="11"/>
  <c r="U58" i="11" s="1"/>
  <c r="D26" i="8"/>
  <c r="F25" i="8"/>
  <c r="E26" i="8"/>
  <c r="G10" i="8"/>
  <c r="G11" i="8" s="1"/>
  <c r="F11" i="8"/>
  <c r="AA164" i="2"/>
  <c r="AB162" i="2"/>
  <c r="AB163" i="2" s="1"/>
  <c r="S165" i="5" l="1"/>
  <c r="T164" i="5" s="1"/>
  <c r="T165" i="5" s="1"/>
  <c r="U164" i="5" s="1"/>
  <c r="M57" i="11" s="1"/>
  <c r="M58" i="11" s="1"/>
  <c r="G25" i="8"/>
  <c r="G26" i="8" s="1"/>
  <c r="F26" i="8"/>
  <c r="AC162" i="2"/>
  <c r="AC163" i="2" s="1"/>
  <c r="AB164" i="2"/>
  <c r="S166" i="5" l="1"/>
  <c r="L57" i="11"/>
  <c r="L58" i="11" s="1"/>
  <c r="U165" i="5"/>
  <c r="U166" i="5" s="1"/>
  <c r="T166" i="5"/>
  <c r="AD162" i="2"/>
  <c r="AD163" i="2" s="1"/>
  <c r="AC164" i="2"/>
  <c r="AJ57" i="11" l="1"/>
  <c r="V164" i="5"/>
  <c r="N57" i="11" s="1"/>
  <c r="N58" i="11" s="1"/>
  <c r="AE162" i="2"/>
  <c r="AE163" i="2" s="1"/>
  <c r="AD164" i="2"/>
  <c r="V165" i="5" l="1"/>
  <c r="W164" i="5" s="1"/>
  <c r="O57" i="11" s="1"/>
  <c r="O58" i="11" s="1"/>
  <c r="AF162" i="2"/>
  <c r="AF163" i="2" s="1"/>
  <c r="AE164" i="2"/>
  <c r="AG176" i="6"/>
  <c r="V166" i="5" l="1"/>
  <c r="AF164" i="2"/>
  <c r="AG162" i="2"/>
  <c r="AG163" i="2" s="1"/>
  <c r="W165" i="5"/>
  <c r="AJ58" i="11"/>
  <c r="AH176" i="6"/>
  <c r="AG164" i="2" l="1"/>
  <c r="AH162" i="2"/>
  <c r="AH163" i="2" s="1"/>
  <c r="AQ176" i="6"/>
  <c r="X164" i="5"/>
  <c r="Q57" i="11" s="1"/>
  <c r="Q58" i="11" s="1"/>
  <c r="W166" i="5"/>
  <c r="AR176" i="6"/>
  <c r="AQ172" i="6"/>
  <c r="AQ145" i="6"/>
  <c r="AH164" i="2" l="1"/>
  <c r="AI162" i="2"/>
  <c r="AI163" i="2" s="1"/>
  <c r="AQ168" i="6"/>
  <c r="AA85" i="10"/>
  <c r="X165" i="5"/>
  <c r="AQ178" i="6"/>
  <c r="AA89" i="10" s="1"/>
  <c r="AQ174" i="6"/>
  <c r="AQ146" i="6"/>
  <c r="AR172" i="6"/>
  <c r="AS172" i="6" s="1"/>
  <c r="AR145" i="6"/>
  <c r="AB85" i="10" s="1"/>
  <c r="AI164" i="2" l="1"/>
  <c r="AJ162" i="2"/>
  <c r="AJ163" i="2" s="1"/>
  <c r="AK57" i="11"/>
  <c r="X166" i="5"/>
  <c r="Y164" i="5"/>
  <c r="R57" i="11" s="1"/>
  <c r="R58" i="11" s="1"/>
  <c r="AR168" i="6"/>
  <c r="AQ179" i="6"/>
  <c r="AQ181" i="6"/>
  <c r="AS171" i="6"/>
  <c r="AS145" i="6" s="1"/>
  <c r="AS147" i="6" s="1"/>
  <c r="AS148" i="6" s="1"/>
  <c r="AR178" i="6"/>
  <c r="AB89" i="10" s="1"/>
  <c r="AR174" i="6"/>
  <c r="AR146" i="6"/>
  <c r="AJ164" i="2" l="1"/>
  <c r="AK162" i="2"/>
  <c r="AK163" i="2" s="1"/>
  <c r="AK164" i="2" s="1"/>
  <c r="AS181" i="6"/>
  <c r="AC85" i="10"/>
  <c r="Y165" i="5"/>
  <c r="Z164" i="5" s="1"/>
  <c r="AR179" i="6"/>
  <c r="AR181" i="6"/>
  <c r="AS176" i="6"/>
  <c r="AS168" i="6"/>
  <c r="AS146" i="6"/>
  <c r="AS174" i="6"/>
  <c r="Z165" i="5" l="1"/>
  <c r="AA164" i="5" s="1"/>
  <c r="S57" i="11"/>
  <c r="S58" i="11" s="1"/>
  <c r="AS179" i="6"/>
  <c r="Y166" i="5"/>
  <c r="Z166" i="5" l="1"/>
  <c r="AA165" i="5"/>
  <c r="AA166" i="5" s="1"/>
  <c r="T57" i="11"/>
  <c r="T58" i="11" s="1"/>
  <c r="AS178" i="6"/>
  <c r="AD89" i="10" s="1"/>
  <c r="AD85" i="10"/>
  <c r="AB164" i="5" l="1"/>
  <c r="V57" i="11" s="1"/>
  <c r="V58" i="11" s="1"/>
  <c r="AE89" i="10"/>
  <c r="AC89" i="10"/>
  <c r="AS141" i="6"/>
  <c r="AS142" i="6" s="1"/>
  <c r="AE85" i="10"/>
  <c r="AB165" i="5" l="1"/>
  <c r="AF89" i="10"/>
  <c r="AS11" i="6"/>
  <c r="AF85" i="10"/>
  <c r="AB166" i="5" l="1"/>
  <c r="AC164" i="5"/>
  <c r="AS7" i="5"/>
  <c r="AC165" i="5" l="1"/>
  <c r="W57" i="11"/>
  <c r="W58" i="11" s="1"/>
  <c r="G62" i="12"/>
  <c r="AC166" i="5" l="1"/>
  <c r="AD164" i="5"/>
  <c r="G24" i="17"/>
  <c r="G104" i="12"/>
  <c r="G18" i="17" l="1"/>
  <c r="G19" i="17" s="1"/>
  <c r="X14" i="14"/>
  <c r="AK16" i="11"/>
  <c r="G108" i="12"/>
  <c r="G106" i="12"/>
  <c r="G18" i="7"/>
  <c r="G21" i="7" s="1"/>
  <c r="G109" i="12"/>
  <c r="G107" i="12"/>
  <c r="X17" i="14" l="1"/>
  <c r="G98" i="12"/>
  <c r="AK29" i="11"/>
  <c r="G96" i="12"/>
  <c r="G110" i="12"/>
  <c r="AK18" i="11"/>
  <c r="H119" i="12"/>
  <c r="H141" i="12"/>
  <c r="G111" i="12"/>
  <c r="G99" i="12"/>
  <c r="G97" i="12"/>
  <c r="AK30" i="11" l="1"/>
  <c r="I46" i="8"/>
  <c r="J46" i="8" s="1"/>
  <c r="H147" i="12"/>
  <c r="I119" i="12"/>
  <c r="I141" i="12"/>
  <c r="I47" i="8" l="1"/>
  <c r="K46" i="8"/>
  <c r="J47" i="8"/>
  <c r="I147" i="12"/>
  <c r="J119" i="12"/>
  <c r="J141" i="12"/>
  <c r="K47" i="8" l="1"/>
  <c r="L46" i="8"/>
  <c r="J147" i="12"/>
  <c r="L47" i="8" l="1"/>
  <c r="N44" i="8"/>
  <c r="X11" i="14" l="1"/>
  <c r="X3" i="14" l="1"/>
  <c r="AK44" i="11" l="1"/>
  <c r="AK41" i="11"/>
  <c r="G112" i="12" l="1"/>
  <c r="X5" i="14" l="1"/>
  <c r="C56" i="17" l="1"/>
  <c r="AK19" i="11"/>
  <c r="I77" i="8"/>
  <c r="G114" i="12"/>
  <c r="AK20" i="11"/>
  <c r="G23" i="7" l="1"/>
  <c r="G24" i="7" s="1"/>
  <c r="G31" i="7" s="1"/>
  <c r="G32" i="7" s="1"/>
  <c r="G21" i="17"/>
  <c r="G22" i="17" s="1"/>
  <c r="G29" i="17" s="1"/>
  <c r="I78" i="8"/>
  <c r="J77" i="8"/>
  <c r="AK21" i="11"/>
  <c r="G116" i="12"/>
  <c r="G138" i="12"/>
  <c r="AK22" i="11"/>
  <c r="G139" i="12"/>
  <c r="G117" i="12"/>
  <c r="G37" i="7" l="1"/>
  <c r="G33" i="7"/>
  <c r="G31" i="17"/>
  <c r="G30" i="17"/>
  <c r="G35" i="17"/>
  <c r="E3" i="16"/>
  <c r="E4" i="16" s="1"/>
  <c r="G150" i="12"/>
  <c r="G17" i="12"/>
  <c r="AK25" i="11"/>
  <c r="G154" i="12"/>
  <c r="G122" i="12"/>
  <c r="C12" i="16"/>
  <c r="C21" i="16" s="1"/>
  <c r="J78" i="8"/>
  <c r="K77" i="8"/>
  <c r="G60" i="12"/>
  <c r="AK24" i="11"/>
  <c r="G155" i="12"/>
  <c r="G123" i="12"/>
  <c r="G18" i="12"/>
  <c r="G61" i="12"/>
  <c r="K78" i="8" l="1"/>
  <c r="L77" i="8"/>
  <c r="L78" i="8" s="1"/>
  <c r="X8" i="14"/>
  <c r="X9" i="14" s="1"/>
  <c r="G156" i="12"/>
  <c r="I10" i="8"/>
  <c r="G64" i="12"/>
  <c r="G124" i="12"/>
  <c r="G34" i="12"/>
  <c r="G152" i="12"/>
  <c r="G20" i="12"/>
  <c r="G21" i="12"/>
  <c r="G125" i="12"/>
  <c r="G65" i="12"/>
  <c r="X15" i="14" l="1"/>
  <c r="X18" i="14"/>
  <c r="X12" i="14"/>
  <c r="AK53" i="11"/>
  <c r="AK49" i="11"/>
  <c r="J10" i="8"/>
  <c r="I11" i="8"/>
  <c r="I25" i="8" l="1"/>
  <c r="AK59" i="11"/>
  <c r="G70" i="12"/>
  <c r="J11" i="8"/>
  <c r="K10" i="8"/>
  <c r="G71" i="12"/>
  <c r="K11" i="8" l="1"/>
  <c r="L10" i="8"/>
  <c r="L11" i="8" s="1"/>
  <c r="I26" i="8"/>
  <c r="J25" i="8"/>
  <c r="J26" i="8" l="1"/>
  <c r="K25" i="8"/>
  <c r="K26" i="8" l="1"/>
  <c r="L25" i="8"/>
  <c r="L26" i="8" l="1"/>
  <c r="N23" i="8"/>
  <c r="D56" i="17" l="1"/>
  <c r="AK45" i="11" l="1"/>
  <c r="G76" i="12"/>
  <c r="AQ164" i="5"/>
  <c r="Z57" i="11" s="1"/>
  <c r="AK50" i="11"/>
  <c r="AK48" i="11"/>
  <c r="AK55" i="11" l="1"/>
  <c r="AL57" i="11"/>
  <c r="AK56" i="11" l="1"/>
  <c r="AK58" i="11"/>
  <c r="G42" i="12" l="1"/>
  <c r="G44" i="12"/>
  <c r="AK40" i="11" l="1"/>
  <c r="AK33" i="11"/>
  <c r="G22" i="12"/>
  <c r="G30" i="12" l="1"/>
  <c r="T90" i="10" l="1"/>
  <c r="R90" i="10" l="1"/>
  <c r="S90" i="10" l="1"/>
  <c r="V90" i="10" l="1"/>
  <c r="Q90" i="10" l="1"/>
  <c r="U90" i="10" l="1"/>
  <c r="T86" i="10" l="1"/>
  <c r="R86" i="10" l="1"/>
  <c r="U86" i="10" l="1"/>
  <c r="Q86" i="10" l="1"/>
  <c r="S86" i="10" l="1"/>
  <c r="V86" i="10" l="1"/>
  <c r="U94" i="10" l="1"/>
  <c r="R94" i="10" l="1"/>
  <c r="T94" i="10" l="1"/>
  <c r="V94" i="10" l="1"/>
  <c r="S94" i="10" l="1"/>
  <c r="Q94" i="10" l="1"/>
  <c r="Q70" i="10" l="1"/>
  <c r="T70" i="10" l="1"/>
  <c r="U70" i="10" l="1"/>
  <c r="S70" i="10" l="1"/>
  <c r="R70" i="10" l="1"/>
  <c r="V70" i="10" l="1"/>
  <c r="S66" i="10" l="1"/>
  <c r="R66" i="10" l="1"/>
  <c r="V66" i="10" l="1"/>
  <c r="U66" i="10" l="1"/>
  <c r="Q66" i="10" l="1"/>
  <c r="T66" i="10" l="1"/>
  <c r="AF42" i="10" l="1"/>
  <c r="AF66" i="10"/>
  <c r="AF18" i="10"/>
  <c r="AF70" i="10" l="1"/>
  <c r="AF54" i="10"/>
  <c r="AF26" i="10"/>
  <c r="AF90" i="10" l="1"/>
  <c r="AF34" i="10"/>
  <c r="AF86" i="10" l="1"/>
  <c r="AF94" i="10" l="1"/>
  <c r="T34" i="10" l="1"/>
  <c r="T54" i="10"/>
  <c r="R34" i="10" l="1"/>
  <c r="R54" i="10"/>
  <c r="Q34" i="10" l="1"/>
  <c r="Q54" i="10"/>
  <c r="U34" i="10" l="1"/>
  <c r="U54" i="10"/>
  <c r="V34" i="10" l="1"/>
  <c r="V54" i="10"/>
  <c r="S34" i="10" l="1"/>
  <c r="S54" i="10"/>
  <c r="AB90" i="10" l="1"/>
  <c r="AE90" i="10" l="1"/>
  <c r="AC90" i="10" l="1"/>
  <c r="AA90" i="10" l="1"/>
  <c r="AD90" i="10" l="1"/>
  <c r="AD86" i="10" l="1"/>
  <c r="AA86" i="10" l="1"/>
  <c r="AB86" i="10" l="1"/>
  <c r="AE86" i="10" l="1"/>
  <c r="AC86" i="10" l="1"/>
  <c r="AE94" i="10" l="1"/>
  <c r="AA94" i="10" l="1"/>
  <c r="AC94" i="10" l="1"/>
  <c r="AD94" i="10" l="1"/>
  <c r="AB94" i="10" l="1"/>
  <c r="AB70" i="10" l="1"/>
  <c r="AC70" i="10" l="1"/>
  <c r="AA70" i="10" l="1"/>
  <c r="AE70" i="10" l="1"/>
  <c r="AD70" i="10" l="1"/>
  <c r="AE66" i="10" l="1"/>
  <c r="AA66" i="10" l="1"/>
  <c r="AB66" i="10" l="1"/>
  <c r="AC66" i="10" l="1"/>
  <c r="S18" i="10" l="1"/>
  <c r="T18" i="10"/>
  <c r="I56" i="17"/>
  <c r="AD66" i="10"/>
  <c r="AC18" i="10" l="1"/>
  <c r="I55" i="7"/>
  <c r="I53" i="17"/>
  <c r="G64" i="17"/>
  <c r="E64" i="17"/>
  <c r="I56" i="7"/>
  <c r="E64" i="7" s="1"/>
  <c r="I54" i="17"/>
  <c r="I58" i="7"/>
  <c r="U18" i="10"/>
  <c r="Q18" i="10"/>
  <c r="AA34" i="10"/>
  <c r="AA54" i="10"/>
  <c r="AA26" i="10"/>
  <c r="AA42" i="10"/>
  <c r="AA18" i="10"/>
  <c r="U42" i="10"/>
  <c r="U26" i="10"/>
  <c r="S26" i="10"/>
  <c r="S42" i="10"/>
  <c r="AC42" i="10"/>
  <c r="T26" i="10"/>
  <c r="T42" i="10"/>
  <c r="E62" i="17" l="1"/>
  <c r="G62" i="17"/>
  <c r="G64" i="7"/>
  <c r="G66" i="7"/>
  <c r="E66" i="7"/>
  <c r="AB34" i="10"/>
  <c r="AB54" i="10"/>
  <c r="Q42" i="10"/>
  <c r="Q26" i="10"/>
  <c r="AC26" i="10"/>
  <c r="AC34" i="10" l="1"/>
  <c r="AC54" i="10"/>
  <c r="AD34" i="10" l="1"/>
  <c r="AD54" i="10"/>
  <c r="AE34" i="10" l="1"/>
  <c r="AE54" i="10"/>
  <c r="AD18" i="10" l="1"/>
  <c r="AE18" i="10"/>
  <c r="R18" i="10"/>
  <c r="AB18" i="10"/>
  <c r="V18" i="10" l="1"/>
  <c r="R42" i="10" l="1"/>
  <c r="R26" i="10"/>
  <c r="V26" i="10"/>
  <c r="V42" i="10"/>
  <c r="AE26" i="10"/>
  <c r="AE42" i="10"/>
  <c r="AB42" i="10"/>
  <c r="AB26" i="10"/>
  <c r="AD42" i="10"/>
  <c r="AD26" i="10"/>
  <c r="J74" i="12" l="1"/>
  <c r="AG123" i="6" l="1"/>
  <c r="AH123" i="6" s="1"/>
  <c r="AI123" i="6" s="1"/>
  <c r="AC214" i="6"/>
  <c r="AG214" i="6" s="1"/>
  <c r="AC132" i="6"/>
  <c r="AC134" i="6" s="1"/>
  <c r="AC56" i="6"/>
  <c r="AC49" i="6"/>
  <c r="AC52" i="6"/>
  <c r="AC59" i="6"/>
  <c r="AC104" i="6"/>
  <c r="AC105" i="6" s="1"/>
  <c r="AC126" i="6"/>
  <c r="AD128" i="6" s="1"/>
  <c r="AC204" i="6"/>
  <c r="AC122" i="6"/>
  <c r="AC216" i="6"/>
  <c r="AC215" i="6"/>
  <c r="AC58" i="6"/>
  <c r="AC51" i="6"/>
  <c r="AC115" i="6"/>
  <c r="AQ87" i="6"/>
  <c r="AC205" i="6" l="1"/>
  <c r="AG204" i="6"/>
  <c r="AG205" i="6" s="1"/>
  <c r="AC124" i="6"/>
  <c r="AD124" i="6"/>
  <c r="AC88" i="6"/>
  <c r="AG87" i="6"/>
  <c r="AQ88" i="6"/>
  <c r="AC135" i="6"/>
  <c r="AC136" i="6" s="1"/>
  <c r="AC123" i="6"/>
  <c r="AG122" i="6"/>
  <c r="AG124" i="6" s="1"/>
  <c r="Q73" i="10"/>
  <c r="Q74" i="10" s="1"/>
  <c r="AC128" i="6"/>
  <c r="AC127" i="6"/>
  <c r="AG88" i="6" l="1"/>
  <c r="AG40" i="6"/>
  <c r="AR87" i="6"/>
  <c r="AG72" i="6"/>
  <c r="AE104" i="6"/>
  <c r="AF105" i="6"/>
  <c r="AE122" i="6"/>
  <c r="E53" i="17"/>
  <c r="C55" i="7"/>
  <c r="AH40" i="6" l="1"/>
  <c r="AG90" i="6"/>
  <c r="AG73" i="6"/>
  <c r="AR88" i="6"/>
  <c r="AS87" i="6"/>
  <c r="AS72" i="6" s="1"/>
  <c r="AI122" i="6"/>
  <c r="AE124" i="6"/>
  <c r="AF124" i="6"/>
  <c r="AH122" i="6"/>
  <c r="AH124" i="6" s="1"/>
  <c r="AG105" i="6"/>
  <c r="AF104" i="6"/>
  <c r="AI40" i="6" l="1"/>
  <c r="AI124" i="6"/>
  <c r="AG97" i="6"/>
  <c r="AG98" i="6" s="1"/>
  <c r="AG94" i="6"/>
  <c r="AG91" i="6"/>
  <c r="AH105" i="6"/>
  <c r="AG104" i="6"/>
  <c r="AG95" i="6" l="1"/>
  <c r="AH96" i="6"/>
  <c r="AR94" i="6"/>
  <c r="AR95" i="6" s="1"/>
  <c r="AG96" i="6"/>
  <c r="AS90" i="6"/>
  <c r="AI105" i="6"/>
  <c r="AI104" i="6" s="1"/>
  <c r="AH104" i="6"/>
  <c r="AS97" i="6" l="1"/>
  <c r="Q81" i="10"/>
  <c r="Q82" i="10" s="1"/>
  <c r="Q77" i="10"/>
  <c r="Q78" i="10" s="1"/>
  <c r="X5" i="11" l="1"/>
  <c r="X8" i="11" s="1"/>
  <c r="X11" i="11" s="1"/>
  <c r="Q11" i="10" l="1"/>
  <c r="Q12" i="10" s="1"/>
  <c r="X13" i="11"/>
  <c r="X15" i="11" l="1"/>
  <c r="Q7" i="10"/>
  <c r="Q8" i="10" s="1"/>
  <c r="F53" i="17"/>
  <c r="G53" i="17" s="1"/>
  <c r="D55" i="7"/>
  <c r="C58" i="7" l="1"/>
  <c r="C56" i="7"/>
  <c r="E55" i="17"/>
  <c r="C57" i="7"/>
  <c r="AA3" i="14"/>
  <c r="AC119" i="9"/>
  <c r="AC9" i="9"/>
  <c r="AC10" i="9" s="1"/>
  <c r="AC11" i="9" s="1"/>
  <c r="AG11" i="9" s="1"/>
  <c r="E54" i="17"/>
  <c r="AC67" i="9"/>
  <c r="AC92" i="9"/>
  <c r="AC93" i="9" s="1"/>
  <c r="AA8" i="14"/>
  <c r="AC98" i="9"/>
  <c r="X57" i="11"/>
  <c r="AC107" i="9"/>
  <c r="AC108" i="9" s="1"/>
  <c r="AC122" i="9"/>
  <c r="AA6" i="14"/>
  <c r="AA7" i="14"/>
  <c r="AA4" i="14"/>
  <c r="AC27" i="9"/>
  <c r="AC28" i="9" s="1"/>
  <c r="AC29" i="9" s="1"/>
  <c r="AG29" i="9" s="1"/>
  <c r="E56" i="17"/>
  <c r="AC76" i="9"/>
  <c r="AA5" i="14"/>
  <c r="AC129" i="9"/>
  <c r="AD132" i="9" s="1"/>
  <c r="AC35" i="9"/>
  <c r="AC114" i="9"/>
  <c r="AC130" i="9"/>
  <c r="AC131" i="9" s="1"/>
  <c r="AC143" i="9"/>
  <c r="AA17" i="14"/>
  <c r="AC23" i="9"/>
  <c r="AC24" i="9" s="1"/>
  <c r="AC25" i="9" s="1"/>
  <c r="AC113" i="9"/>
  <c r="AC63" i="9"/>
  <c r="AD57" i="9" s="1"/>
  <c r="AE57" i="9" s="1"/>
  <c r="AF57" i="9" s="1"/>
  <c r="AG57" i="9" s="1"/>
  <c r="AH57" i="9" s="1"/>
  <c r="AI57" i="9" s="1"/>
  <c r="AC154" i="9"/>
  <c r="AC80" i="9"/>
  <c r="AC19" i="9"/>
  <c r="AC20" i="9" s="1"/>
  <c r="AC21" i="9" s="1"/>
  <c r="AC16" i="9"/>
  <c r="AA11" i="14"/>
  <c r="AC144" i="9"/>
  <c r="AC100" i="9"/>
  <c r="AC66" i="9"/>
  <c r="AC102" i="9"/>
  <c r="AA14" i="14"/>
  <c r="AC39" i="9"/>
  <c r="AC61" i="9"/>
  <c r="AD55" i="9" s="1"/>
  <c r="AC77" i="9"/>
  <c r="AC31" i="9"/>
  <c r="AC32" i="9" s="1"/>
  <c r="AC33" i="9" s="1"/>
  <c r="AC53" i="9"/>
  <c r="AC54" i="9" s="1"/>
  <c r="AC134" i="9"/>
  <c r="AC49" i="9"/>
  <c r="AD51" i="9" s="1"/>
  <c r="AC74" i="9"/>
  <c r="AC151" i="9"/>
  <c r="AC88" i="9"/>
  <c r="AC82" i="9"/>
  <c r="AC73" i="9"/>
  <c r="AC90" i="9"/>
  <c r="AC15" i="9"/>
  <c r="AC123" i="9"/>
  <c r="AC135" i="9"/>
  <c r="AC136" i="9" s="1"/>
  <c r="AQ136" i="9" s="1"/>
  <c r="AQ155" i="5"/>
  <c r="H78" i="12" s="1"/>
  <c r="AC47" i="9"/>
  <c r="AD45" i="9" s="1"/>
  <c r="AD46" i="9" s="1"/>
  <c r="AC86" i="9"/>
  <c r="AC42" i="9"/>
  <c r="AC110" i="9"/>
  <c r="AC145" i="9"/>
  <c r="AC65" i="9" l="1"/>
  <c r="AD70" i="9" s="1"/>
  <c r="AC141" i="9"/>
  <c r="AD141" i="9"/>
  <c r="AE77" i="9"/>
  <c r="AE96" i="5" s="1"/>
  <c r="AD83" i="9"/>
  <c r="AD81" i="9"/>
  <c r="AC152" i="9"/>
  <c r="AD153" i="9"/>
  <c r="AC112" i="9"/>
  <c r="AC91" i="9"/>
  <c r="AC94" i="9" s="1"/>
  <c r="AC95" i="9" s="1"/>
  <c r="AC124" i="9"/>
  <c r="AQ135" i="9"/>
  <c r="AC146" i="9"/>
  <c r="AG146" i="9" s="1"/>
  <c r="AC60" i="9"/>
  <c r="AC13" i="9"/>
  <c r="AC55" i="9"/>
  <c r="AC157" i="9"/>
  <c r="AC159" i="9" s="1"/>
  <c r="AD159" i="9" s="1"/>
  <c r="AC45" i="9"/>
  <c r="AE131" i="9"/>
  <c r="AF131" i="9" s="1"/>
  <c r="AA9" i="14"/>
  <c r="AA18" i="14" s="1"/>
  <c r="AE74" i="9"/>
  <c r="AE55" i="9"/>
  <c r="AC51" i="9"/>
  <c r="AC43" i="9"/>
  <c r="AC78" i="9"/>
  <c r="AC75" i="9" s="1"/>
  <c r="AC155" i="9"/>
  <c r="AC153" i="9"/>
  <c r="AC83" i="9"/>
  <c r="AC132" i="9"/>
  <c r="AC36" i="9"/>
  <c r="AG151" i="9"/>
  <c r="AC81" i="9"/>
  <c r="AC148" i="9"/>
  <c r="AE110" i="9"/>
  <c r="AQ77" i="9" l="1"/>
  <c r="AF77" i="9"/>
  <c r="AC97" i="9"/>
  <c r="AC50" i="9"/>
  <c r="AC89" i="9"/>
  <c r="AC70" i="9"/>
  <c r="AC116" i="9"/>
  <c r="AC117" i="9" s="1"/>
  <c r="AD116" i="9"/>
  <c r="AD117" i="9" s="1"/>
  <c r="AH117" i="9" s="1"/>
  <c r="AC17" i="9"/>
  <c r="AE17" i="9" s="1"/>
  <c r="AD69" i="9"/>
  <c r="AE69" i="9" s="1"/>
  <c r="AF69" i="9" s="1"/>
  <c r="AG69" i="9" s="1"/>
  <c r="AH69" i="9" s="1"/>
  <c r="AI69" i="9" s="1"/>
  <c r="AC120" i="9"/>
  <c r="AG120" i="9" s="1"/>
  <c r="AC99" i="9"/>
  <c r="AC103" i="9" s="1"/>
  <c r="AD108" i="9"/>
  <c r="AC59" i="9"/>
  <c r="AD59" i="9"/>
  <c r="AC115" i="9"/>
  <c r="AD93" i="9"/>
  <c r="AE93" i="9" s="1"/>
  <c r="AF93" i="9" s="1"/>
  <c r="AD94" i="9"/>
  <c r="AD95" i="9" s="1"/>
  <c r="AE95" i="9" s="1"/>
  <c r="AC46" i="9"/>
  <c r="AE46" i="9" s="1"/>
  <c r="AC62" i="9"/>
  <c r="AE62" i="9" s="1"/>
  <c r="AC14" i="9"/>
  <c r="AC158" i="9"/>
  <c r="AC162" i="9"/>
  <c r="AC161" i="9"/>
  <c r="AA15" i="14"/>
  <c r="AA12" i="14"/>
  <c r="AE134" i="9"/>
  <c r="X41" i="11"/>
  <c r="AG131" i="9"/>
  <c r="AF55" i="9"/>
  <c r="AF96" i="5"/>
  <c r="AG77" i="9"/>
  <c r="AE89" i="5"/>
  <c r="AQ89" i="5" s="1"/>
  <c r="AF74" i="9"/>
  <c r="AQ74" i="9"/>
  <c r="AQ96" i="5"/>
  <c r="AG145" i="9"/>
  <c r="X47" i="11"/>
  <c r="AE115" i="9"/>
  <c r="AE86" i="9"/>
  <c r="AH146" i="9"/>
  <c r="AH145" i="9" s="1"/>
  <c r="AE81" i="9"/>
  <c r="AE50" i="9"/>
  <c r="AG38" i="5"/>
  <c r="AB26" i="11" s="1"/>
  <c r="AH153" i="9"/>
  <c r="AG153" i="9"/>
  <c r="AE83" i="9"/>
  <c r="X35" i="11"/>
  <c r="AE89" i="9"/>
  <c r="AQ110" i="9"/>
  <c r="AE97" i="5"/>
  <c r="AF110" i="9"/>
  <c r="X27" i="11"/>
  <c r="AE155" i="9"/>
  <c r="AQ70" i="9"/>
  <c r="AQ59" i="9" l="1"/>
  <c r="AC105" i="9"/>
  <c r="AE108" i="9"/>
  <c r="AF108" i="9" s="1"/>
  <c r="AG108" i="9" s="1"/>
  <c r="AC101" i="9"/>
  <c r="AE117" i="9"/>
  <c r="AI117" i="9" s="1"/>
  <c r="X38" i="11"/>
  <c r="AE92" i="9"/>
  <c r="AQ92" i="9" s="1"/>
  <c r="AQ93" i="9" s="1"/>
  <c r="AQ156" i="5"/>
  <c r="AQ145" i="9"/>
  <c r="AF89" i="5"/>
  <c r="AG74" i="9"/>
  <c r="AH131" i="9"/>
  <c r="AE154" i="9"/>
  <c r="AE39" i="5" s="1"/>
  <c r="Y27" i="11" s="1"/>
  <c r="AF155" i="9"/>
  <c r="AH156" i="5"/>
  <c r="AH157" i="9"/>
  <c r="AF115" i="9"/>
  <c r="AF46" i="9"/>
  <c r="AG96" i="5"/>
  <c r="AH77" i="9"/>
  <c r="AE45" i="9"/>
  <c r="AF83" i="9"/>
  <c r="AG93" i="9"/>
  <c r="AE152" i="5"/>
  <c r="AQ152" i="5" s="1"/>
  <c r="AF86" i="9"/>
  <c r="AQ86" i="9"/>
  <c r="AE107" i="5"/>
  <c r="AQ107" i="5" s="1"/>
  <c r="AF134" i="9"/>
  <c r="AQ134" i="9"/>
  <c r="C44" i="17"/>
  <c r="AG110" i="9"/>
  <c r="AF97" i="5"/>
  <c r="AR145" i="9"/>
  <c r="AG157" i="9"/>
  <c r="AG156" i="5"/>
  <c r="AG55" i="9"/>
  <c r="AQ97" i="5"/>
  <c r="AE144" i="5"/>
  <c r="AF89" i="9"/>
  <c r="AE80" i="9"/>
  <c r="X19" i="11"/>
  <c r="AF62" i="9"/>
  <c r="AF95" i="9"/>
  <c r="AF50" i="9"/>
  <c r="AE73" i="9"/>
  <c r="AH108" i="9" l="1"/>
  <c r="AI108" i="9" s="1"/>
  <c r="X42" i="11"/>
  <c r="AB4" i="14"/>
  <c r="AE53" i="9"/>
  <c r="AE56" i="9"/>
  <c r="AQ56" i="9" s="1"/>
  <c r="AQ57" i="9" s="1"/>
  <c r="AQ45" i="9"/>
  <c r="AR156" i="5"/>
  <c r="I80" i="12" s="1"/>
  <c r="AE150" i="5"/>
  <c r="AQ150" i="5" s="1"/>
  <c r="AQ80" i="9"/>
  <c r="AQ81" i="9" s="1"/>
  <c r="AG50" i="9"/>
  <c r="AF107" i="5"/>
  <c r="AG134" i="9"/>
  <c r="AF152" i="5"/>
  <c r="AG86" i="9"/>
  <c r="AG97" i="5"/>
  <c r="AH110" i="9"/>
  <c r="AG46" i="9"/>
  <c r="AF154" i="9"/>
  <c r="AF39" i="5" s="1"/>
  <c r="AA27" i="11" s="1"/>
  <c r="AG155" i="9"/>
  <c r="X45" i="11"/>
  <c r="AG162" i="9"/>
  <c r="AR157" i="9"/>
  <c r="AR161" i="9" s="1"/>
  <c r="X36" i="11"/>
  <c r="Q59" i="10"/>
  <c r="Q60" i="10" s="1"/>
  <c r="X54" i="11"/>
  <c r="AG161" i="9"/>
  <c r="AH96" i="5"/>
  <c r="AI77" i="9"/>
  <c r="AG115" i="9"/>
  <c r="H80" i="12"/>
  <c r="AG95" i="9"/>
  <c r="AQ73" i="9"/>
  <c r="AE88" i="5"/>
  <c r="Y41" i="11" s="1"/>
  <c r="AF73" i="9"/>
  <c r="AG62" i="9"/>
  <c r="AG89" i="9"/>
  <c r="AH162" i="9"/>
  <c r="AI131" i="9"/>
  <c r="AE159" i="9"/>
  <c r="AF159" i="9" s="1"/>
  <c r="AG159" i="9" s="1"/>
  <c r="AH159" i="9" s="1"/>
  <c r="AI159" i="9" s="1"/>
  <c r="AQ157" i="9"/>
  <c r="AH93" i="9"/>
  <c r="AE171" i="5"/>
  <c r="AQ144" i="5"/>
  <c r="AQ171" i="5" s="1"/>
  <c r="AH55" i="9"/>
  <c r="AG83" i="9"/>
  <c r="X34" i="11"/>
  <c r="AF144" i="5"/>
  <c r="AE82" i="9"/>
  <c r="AE76" i="9" s="1"/>
  <c r="AD47" i="5"/>
  <c r="AH161" i="9"/>
  <c r="AG89" i="5"/>
  <c r="AH74" i="9"/>
  <c r="AE143" i="5" l="1"/>
  <c r="AQ53" i="9"/>
  <c r="AQ55" i="9" s="1"/>
  <c r="X46" i="11"/>
  <c r="X48" i="11" s="1"/>
  <c r="AB7" i="14"/>
  <c r="X16" i="11"/>
  <c r="X18" i="11" s="1"/>
  <c r="X20" i="11" s="1"/>
  <c r="AQ39" i="9"/>
  <c r="AE39" i="9"/>
  <c r="AE122" i="5" s="1"/>
  <c r="AE60" i="9"/>
  <c r="AE61" i="9" s="1"/>
  <c r="AF80" i="9"/>
  <c r="AQ76" i="9"/>
  <c r="AQ78" i="9" s="1"/>
  <c r="AQ75" i="9" s="1"/>
  <c r="AE95" i="5"/>
  <c r="Y45" i="11" s="1"/>
  <c r="AE78" i="9"/>
  <c r="AF82" i="9"/>
  <c r="AQ159" i="9"/>
  <c r="AR159" i="9" s="1"/>
  <c r="AQ162" i="9"/>
  <c r="AQ46" i="9"/>
  <c r="AR77" i="9"/>
  <c r="AS77" i="9" s="1"/>
  <c r="AI96" i="5"/>
  <c r="AH97" i="5"/>
  <c r="AI110" i="9"/>
  <c r="AF171" i="5"/>
  <c r="AH83" i="9"/>
  <c r="AG154" i="9"/>
  <c r="AG39" i="5" s="1"/>
  <c r="AB27" i="11" s="1"/>
  <c r="AH155" i="9"/>
  <c r="AH95" i="9"/>
  <c r="C46" i="7"/>
  <c r="AG152" i="5"/>
  <c r="AH86" i="9"/>
  <c r="AQ161" i="9"/>
  <c r="AH46" i="9"/>
  <c r="AQ143" i="5"/>
  <c r="AH89" i="9"/>
  <c r="AG107" i="5"/>
  <c r="AH134" i="9"/>
  <c r="AH50" i="9"/>
  <c r="AF88" i="5"/>
  <c r="AA41" i="11" s="1"/>
  <c r="AG73" i="9"/>
  <c r="AI55" i="9"/>
  <c r="AI93" i="9"/>
  <c r="AH62" i="9"/>
  <c r="AH115" i="9"/>
  <c r="AH89" i="5"/>
  <c r="AI74" i="9"/>
  <c r="AE153" i="5"/>
  <c r="AQ153" i="5" s="1"/>
  <c r="AQ82" i="9"/>
  <c r="AQ83" i="9" s="1"/>
  <c r="AQ88" i="5"/>
  <c r="Z41" i="11" s="1"/>
  <c r="AR162" i="9"/>
  <c r="AG144" i="5"/>
  <c r="AG171" i="5" s="1"/>
  <c r="AQ60" i="9" l="1"/>
  <c r="AD46" i="5"/>
  <c r="AD56" i="5" s="1"/>
  <c r="AD102" i="9" s="1"/>
  <c r="AD103" i="9" s="1"/>
  <c r="AD43" i="5"/>
  <c r="AD61" i="5"/>
  <c r="AD28" i="5"/>
  <c r="AH144" i="5"/>
  <c r="AH171" i="5" s="1"/>
  <c r="AQ61" i="9"/>
  <c r="AE80" i="5"/>
  <c r="Y38" i="11" s="1"/>
  <c r="AF53" i="9"/>
  <c r="F55" i="17"/>
  <c r="G55" i="17" s="1"/>
  <c r="D57" i="7"/>
  <c r="Q15" i="10"/>
  <c r="X21" i="11"/>
  <c r="X22" i="11" s="1"/>
  <c r="AI83" i="9"/>
  <c r="AI89" i="5"/>
  <c r="AR89" i="5" s="1"/>
  <c r="AR74" i="9"/>
  <c r="AS74" i="9" s="1"/>
  <c r="AI115" i="9"/>
  <c r="AE63" i="9"/>
  <c r="AI86" i="9"/>
  <c r="AI152" i="5" s="1"/>
  <c r="AH152" i="5"/>
  <c r="AF153" i="5"/>
  <c r="AI62" i="9"/>
  <c r="AE107" i="9"/>
  <c r="AE25" i="5" s="1"/>
  <c r="D13" i="20" s="1"/>
  <c r="AI46" i="9"/>
  <c r="AR96" i="5"/>
  <c r="AE75" i="9"/>
  <c r="AH107" i="5"/>
  <c r="AI134" i="9"/>
  <c r="AS96" i="5"/>
  <c r="AQ95" i="5"/>
  <c r="Z45" i="11" s="1"/>
  <c r="AI97" i="5"/>
  <c r="AR110" i="9"/>
  <c r="AS110" i="9" s="1"/>
  <c r="AI50" i="9"/>
  <c r="X55" i="11"/>
  <c r="AF76" i="9"/>
  <c r="AE21" i="5"/>
  <c r="D12" i="20" s="1"/>
  <c r="AQ122" i="5"/>
  <c r="AL41" i="11"/>
  <c r="AG88" i="5"/>
  <c r="AB41" i="11" s="1"/>
  <c r="AH73" i="9"/>
  <c r="AI89" i="9"/>
  <c r="AI95" i="9"/>
  <c r="AH154" i="9"/>
  <c r="AH39" i="5" s="1"/>
  <c r="AC27" i="11" s="1"/>
  <c r="AI155" i="9"/>
  <c r="AI154" i="9" s="1"/>
  <c r="AI39" i="5" s="1"/>
  <c r="AD27" i="11" s="1"/>
  <c r="AF150" i="5"/>
  <c r="AQ62" i="9" l="1"/>
  <c r="AD30" i="5"/>
  <c r="AD32" i="5" s="1"/>
  <c r="AD35" i="5" s="1"/>
  <c r="AD122" i="9"/>
  <c r="AD124" i="9" s="1"/>
  <c r="AD63" i="5"/>
  <c r="AD59" i="5"/>
  <c r="AD58" i="5"/>
  <c r="X29" i="11"/>
  <c r="AB14" i="14"/>
  <c r="AI144" i="5"/>
  <c r="AI171" i="5" s="1"/>
  <c r="Y16" i="11"/>
  <c r="AR86" i="9"/>
  <c r="AR152" i="5"/>
  <c r="AL45" i="11"/>
  <c r="AQ63" i="9"/>
  <c r="AE81" i="5"/>
  <c r="AF56" i="9"/>
  <c r="AQ80" i="5"/>
  <c r="Z38" i="11" s="1"/>
  <c r="AR134" i="9"/>
  <c r="AS134" i="9" s="1"/>
  <c r="AI107" i="5"/>
  <c r="AR107" i="5" s="1"/>
  <c r="AS89" i="5"/>
  <c r="Q16" i="10"/>
  <c r="Q19" i="10"/>
  <c r="Q20" i="10" s="1"/>
  <c r="AS97" i="5"/>
  <c r="H26" i="7"/>
  <c r="AE47" i="5"/>
  <c r="AQ47" i="5" s="1"/>
  <c r="AQ21" i="5"/>
  <c r="AE27" i="5"/>
  <c r="Y19" i="11" s="1"/>
  <c r="AQ25" i="5"/>
  <c r="AR97" i="5"/>
  <c r="AI73" i="9"/>
  <c r="AH88" i="5"/>
  <c r="AC41" i="11" s="1"/>
  <c r="AG80" i="9"/>
  <c r="AF95" i="5"/>
  <c r="AA45" i="11" s="1"/>
  <c r="AF78" i="9"/>
  <c r="AG82" i="9"/>
  <c r="AF143" i="5"/>
  <c r="AR144" i="5" l="1"/>
  <c r="AR171" i="5" s="1"/>
  <c r="AD120" i="5"/>
  <c r="AD140" i="5" s="1"/>
  <c r="AD169" i="5" s="1"/>
  <c r="AB11" i="14"/>
  <c r="AD36" i="5"/>
  <c r="X25" i="11" s="1"/>
  <c r="AE124" i="9"/>
  <c r="D21" i="18"/>
  <c r="D23" i="18" s="1"/>
  <c r="AD144" i="9"/>
  <c r="AD148" i="9" s="1"/>
  <c r="AQ148" i="9" s="1"/>
  <c r="AD100" i="9"/>
  <c r="AD101" i="9" s="1"/>
  <c r="AD64" i="5"/>
  <c r="AD60" i="5"/>
  <c r="AF60" i="9"/>
  <c r="AF61" i="9" s="1"/>
  <c r="AF63" i="9" s="1"/>
  <c r="Z16" i="11"/>
  <c r="AL38" i="11"/>
  <c r="AG76" i="9"/>
  <c r="AG95" i="5" s="1"/>
  <c r="AB45" i="11" s="1"/>
  <c r="AS144" i="5"/>
  <c r="AS171" i="5" s="1"/>
  <c r="AQ107" i="9"/>
  <c r="AQ108" i="9" s="1"/>
  <c r="H112" i="12"/>
  <c r="AQ27" i="5"/>
  <c r="Z19" i="11" s="1"/>
  <c r="D56" i="7"/>
  <c r="AB17" i="14"/>
  <c r="F54" i="17"/>
  <c r="G54" i="17" s="1"/>
  <c r="Q23" i="10"/>
  <c r="AQ81" i="5"/>
  <c r="AS107" i="5"/>
  <c r="AG150" i="5"/>
  <c r="AR73" i="9"/>
  <c r="AI88" i="5"/>
  <c r="AD41" i="11" s="1"/>
  <c r="AG153" i="5"/>
  <c r="AF75" i="9"/>
  <c r="H104" i="12"/>
  <c r="X24" i="11"/>
  <c r="Q39" i="10"/>
  <c r="H113" i="12"/>
  <c r="H105" i="12"/>
  <c r="AD162" i="5" l="1"/>
  <c r="AD165" i="5" s="1"/>
  <c r="AD166" i="5" s="1"/>
  <c r="AE166" i="5" s="1"/>
  <c r="AF166" i="5" s="1"/>
  <c r="AG166" i="5" s="1"/>
  <c r="AH166" i="5" s="1"/>
  <c r="AI166" i="5" s="1"/>
  <c r="AF124" i="9"/>
  <c r="E21" i="18"/>
  <c r="E23" i="18" s="1"/>
  <c r="AD173" i="5"/>
  <c r="AD158" i="9" s="1"/>
  <c r="AD178" i="5"/>
  <c r="AD174" i="5"/>
  <c r="Q101" i="8"/>
  <c r="Q102" i="8" s="1"/>
  <c r="X30" i="11"/>
  <c r="AH82" i="9"/>
  <c r="AH153" i="5" s="1"/>
  <c r="AH80" i="9"/>
  <c r="AH150" i="5" s="1"/>
  <c r="AG78" i="9"/>
  <c r="AL16" i="11"/>
  <c r="AS73" i="9"/>
  <c r="Q31" i="10"/>
  <c r="AE104" i="9"/>
  <c r="AF80" i="5"/>
  <c r="AA38" i="11" s="1"/>
  <c r="AG53" i="9"/>
  <c r="H26" i="12"/>
  <c r="AR88" i="5"/>
  <c r="AE41" i="11" s="1"/>
  <c r="AG56" i="9"/>
  <c r="AF81" i="5"/>
  <c r="Q27" i="10"/>
  <c r="Q28" i="10" s="1"/>
  <c r="Q24" i="10"/>
  <c r="Q47" i="10"/>
  <c r="Q48" i="10" s="1"/>
  <c r="F56" i="17"/>
  <c r="G56" i="17" s="1"/>
  <c r="D58" i="7"/>
  <c r="Q40" i="10"/>
  <c r="Q43" i="10"/>
  <c r="Q44" i="10" s="1"/>
  <c r="AG124" i="9" l="1"/>
  <c r="F21" i="18"/>
  <c r="F23" i="18" s="1"/>
  <c r="AD175" i="5"/>
  <c r="AD176" i="5"/>
  <c r="AG75" i="9"/>
  <c r="AH76" i="9"/>
  <c r="AI80" i="9" s="1"/>
  <c r="AM41" i="11"/>
  <c r="AG60" i="9"/>
  <c r="AG143" i="5"/>
  <c r="AL19" i="11"/>
  <c r="AS88" i="5"/>
  <c r="Q35" i="10"/>
  <c r="Q36" i="10" s="1"/>
  <c r="Q32" i="10"/>
  <c r="AH124" i="9" l="1"/>
  <c r="G21" i="18"/>
  <c r="G23" i="18" s="1"/>
  <c r="X49" i="11"/>
  <c r="AH95" i="5"/>
  <c r="AC45" i="11" s="1"/>
  <c r="AI82" i="9"/>
  <c r="AI153" i="5" s="1"/>
  <c r="AR153" i="5" s="1"/>
  <c r="AH78" i="9"/>
  <c r="AH75" i="9" s="1"/>
  <c r="AG61" i="9"/>
  <c r="AI150" i="5"/>
  <c r="AR80" i="9"/>
  <c r="AR81" i="9" s="1"/>
  <c r="AS81" i="9" s="1"/>
  <c r="AI124" i="9" l="1"/>
  <c r="I21" i="18" s="1"/>
  <c r="H21" i="18"/>
  <c r="H23" i="18" s="1"/>
  <c r="AI76" i="9"/>
  <c r="AR82" i="9"/>
  <c r="AR83" i="9" s="1"/>
  <c r="AS83" i="9" s="1"/>
  <c r="AR150" i="5"/>
  <c r="AG80" i="5"/>
  <c r="AB38" i="11" s="1"/>
  <c r="AH53" i="9"/>
  <c r="AG63" i="9"/>
  <c r="AR76" i="9"/>
  <c r="AI95" i="5"/>
  <c r="AD45" i="11" s="1"/>
  <c r="AI78" i="9"/>
  <c r="AS82" i="9" l="1"/>
  <c r="AS153" i="5" s="1"/>
  <c r="J21" i="18"/>
  <c r="I23" i="18"/>
  <c r="AS80" i="9"/>
  <c r="AS150" i="5" s="1"/>
  <c r="AI75" i="9"/>
  <c r="AH143" i="5"/>
  <c r="AR95" i="5"/>
  <c r="AE45" i="11" s="1"/>
  <c r="AR78" i="9"/>
  <c r="AR75" i="9" s="1"/>
  <c r="AG81" i="5"/>
  <c r="AH56" i="9"/>
  <c r="K21" i="18" l="1"/>
  <c r="J23" i="18"/>
  <c r="AS76" i="9"/>
  <c r="AS78" i="9" s="1"/>
  <c r="AS75" i="9" s="1"/>
  <c r="AH60" i="9"/>
  <c r="AH61" i="9" s="1"/>
  <c r="AS95" i="5" l="1"/>
  <c r="K23" i="18"/>
  <c r="L21" i="18"/>
  <c r="AH80" i="5"/>
  <c r="AC38" i="11" s="1"/>
  <c r="AI53" i="9"/>
  <c r="AH63" i="9"/>
  <c r="AM45" i="11"/>
  <c r="M21" i="18" l="1"/>
  <c r="L23" i="18"/>
  <c r="AH81" i="5"/>
  <c r="AI56" i="9"/>
  <c r="AI143" i="5"/>
  <c r="AR53" i="9"/>
  <c r="N21" i="18" l="1"/>
  <c r="M23" i="18"/>
  <c r="AR55" i="9"/>
  <c r="AS55" i="9" s="1"/>
  <c r="AR56" i="9"/>
  <c r="AR143" i="5"/>
  <c r="AI60" i="9"/>
  <c r="O21" i="18" l="1"/>
  <c r="N23" i="18"/>
  <c r="AR57" i="9"/>
  <c r="AS57" i="9" s="1"/>
  <c r="AR60" i="9"/>
  <c r="AI61" i="9"/>
  <c r="AI63" i="9" s="1"/>
  <c r="O23" i="18" l="1"/>
  <c r="P21" i="18"/>
  <c r="AR63" i="9"/>
  <c r="AS56" i="9" s="1"/>
  <c r="AI81" i="5"/>
  <c r="AI80" i="5"/>
  <c r="AD38" i="11" s="1"/>
  <c r="AR61" i="9"/>
  <c r="P23" i="18" l="1"/>
  <c r="Q21" i="18"/>
  <c r="AR80" i="5"/>
  <c r="AE38" i="11" s="1"/>
  <c r="AR62" i="9"/>
  <c r="AS62" i="9" s="1"/>
  <c r="AS53" i="9"/>
  <c r="AR81" i="5"/>
  <c r="Q23" i="18" l="1"/>
  <c r="R21" i="18"/>
  <c r="I26" i="12"/>
  <c r="AS143" i="5"/>
  <c r="AS60" i="9"/>
  <c r="AM38" i="11"/>
  <c r="S21" i="18" l="1"/>
  <c r="R23" i="18"/>
  <c r="AS61" i="9"/>
  <c r="T21" i="18" l="1"/>
  <c r="S23" i="18"/>
  <c r="AS80" i="5"/>
  <c r="AS63" i="9"/>
  <c r="T23" i="18" l="1"/>
  <c r="U21" i="18"/>
  <c r="AS81" i="5"/>
  <c r="J26" i="12" s="1"/>
  <c r="V21" i="18" l="1"/>
  <c r="U23" i="18"/>
  <c r="W21" i="18" l="1"/>
  <c r="V23" i="18"/>
  <c r="X21" i="18" l="1"/>
  <c r="W23" i="18"/>
  <c r="X23" i="18" l="1"/>
  <c r="Y21" i="18"/>
  <c r="Y23" i="18" s="1"/>
  <c r="AC75" i="6" l="1"/>
  <c r="AH11" i="9" l="1"/>
  <c r="AF17" i="9"/>
  <c r="AG17" i="9" s="1"/>
  <c r="AH17" i="9" s="1"/>
  <c r="AI17" i="9" s="1"/>
  <c r="X39" i="11"/>
  <c r="AH29" i="9"/>
  <c r="AE36" i="9"/>
  <c r="AF36" i="9" s="1"/>
  <c r="AF21" i="9"/>
  <c r="AE25" i="9"/>
  <c r="AE33" i="9"/>
  <c r="AF33" i="9" s="1"/>
  <c r="AE14" i="9"/>
  <c r="AF14" i="9" s="1"/>
  <c r="AE68" i="9"/>
  <c r="AE13" i="9" l="1"/>
  <c r="AE16" i="9" s="1"/>
  <c r="AE82" i="5" s="1"/>
  <c r="AF25" i="9"/>
  <c r="AG21" i="9"/>
  <c r="AF13" i="9"/>
  <c r="AG14" i="9"/>
  <c r="AQ68" i="9"/>
  <c r="AQ69" i="9" s="1"/>
  <c r="AE65" i="9"/>
  <c r="X43" i="11"/>
  <c r="X44" i="11" s="1"/>
  <c r="X50" i="11" s="1"/>
  <c r="AG33" i="9"/>
  <c r="AG36" i="9"/>
  <c r="AQ16" i="9" l="1"/>
  <c r="AF68" i="9"/>
  <c r="AF65" i="9" s="1"/>
  <c r="AE15" i="9"/>
  <c r="AE71" i="5" s="1"/>
  <c r="AG25" i="9"/>
  <c r="X53" i="11"/>
  <c r="AH14" i="9"/>
  <c r="AG13" i="9"/>
  <c r="AH21" i="9"/>
  <c r="AF16" i="9"/>
  <c r="AF82" i="5" s="1"/>
  <c r="AG68" i="9"/>
  <c r="AE66" i="9"/>
  <c r="AQ82" i="5"/>
  <c r="AH33" i="9"/>
  <c r="AH36" i="9"/>
  <c r="AQ15" i="9" l="1"/>
  <c r="AQ13" i="9" s="1"/>
  <c r="AQ14" i="9" s="1"/>
  <c r="AH25" i="9"/>
  <c r="AE74" i="5"/>
  <c r="AQ66" i="9"/>
  <c r="AI21" i="9"/>
  <c r="AH13" i="9"/>
  <c r="AI14" i="9"/>
  <c r="AI13" i="9" s="1"/>
  <c r="AG65" i="9"/>
  <c r="AF66" i="9"/>
  <c r="AF74" i="5" s="1"/>
  <c r="AI36" i="9"/>
  <c r="AQ71" i="5"/>
  <c r="AI33" i="9"/>
  <c r="AE164" i="5"/>
  <c r="AF15" i="9"/>
  <c r="AF71" i="5" s="1"/>
  <c r="AE67" i="9"/>
  <c r="AH68" i="9"/>
  <c r="AG16" i="9"/>
  <c r="AG82" i="5" s="1"/>
  <c r="X56" i="11"/>
  <c r="AQ17" i="9" l="1"/>
  <c r="AI25" i="9"/>
  <c r="AI16" i="9"/>
  <c r="AI15" i="9" s="1"/>
  <c r="AH16" i="9"/>
  <c r="AH82" i="5" s="1"/>
  <c r="AI68" i="9"/>
  <c r="Y57" i="11"/>
  <c r="AF67" i="9"/>
  <c r="AF83" i="5" s="1"/>
  <c r="AA39" i="11" s="1"/>
  <c r="AR68" i="9"/>
  <c r="AR69" i="9" s="1"/>
  <c r="AS69" i="9" s="1"/>
  <c r="AQ67" i="9"/>
  <c r="AQ65" i="9" s="1"/>
  <c r="AE83" i="5"/>
  <c r="AG15" i="9"/>
  <c r="AG71" i="5" s="1"/>
  <c r="AB8" i="14"/>
  <c r="AB9" i="14" s="1"/>
  <c r="AH65" i="9"/>
  <c r="AG66" i="9"/>
  <c r="AG74" i="5" s="1"/>
  <c r="AQ74" i="5"/>
  <c r="X58" i="11"/>
  <c r="Q51" i="10"/>
  <c r="X59" i="11"/>
  <c r="AH15" i="9" l="1"/>
  <c r="AH71" i="5" s="1"/>
  <c r="AI71" i="5"/>
  <c r="AR71" i="5" s="1"/>
  <c r="AR15" i="9"/>
  <c r="Q52" i="10"/>
  <c r="Q55" i="10"/>
  <c r="Q56" i="10" s="1"/>
  <c r="AH66" i="9"/>
  <c r="AH74" i="5" s="1"/>
  <c r="AI65" i="9"/>
  <c r="AB12" i="14"/>
  <c r="AB15" i="14"/>
  <c r="AB18" i="14"/>
  <c r="X33" i="11"/>
  <c r="X40" i="11" s="1"/>
  <c r="X51" i="11" s="1"/>
  <c r="AG67" i="9"/>
  <c r="AG83" i="5" s="1"/>
  <c r="AB39" i="11" s="1"/>
  <c r="AQ83" i="5"/>
  <c r="Z39" i="11" s="1"/>
  <c r="Y39" i="11"/>
  <c r="AR16" i="9"/>
  <c r="AI82" i="5"/>
  <c r="AR82" i="5" l="1"/>
  <c r="AI66" i="9"/>
  <c r="AI67" i="9" s="1"/>
  <c r="AR13" i="9"/>
  <c r="AL39" i="11"/>
  <c r="AH67" i="9"/>
  <c r="AH83" i="5" s="1"/>
  <c r="AC39" i="11" s="1"/>
  <c r="AR14" i="9" l="1"/>
  <c r="AS14" i="9" s="1"/>
  <c r="AS68" i="9"/>
  <c r="AI83" i="5"/>
  <c r="AR67" i="9"/>
  <c r="AI74" i="5"/>
  <c r="AR74" i="5" s="1"/>
  <c r="AR66" i="9"/>
  <c r="AR17" i="9"/>
  <c r="AS17" i="9" s="1"/>
  <c r="AR65" i="9" l="1"/>
  <c r="AS65" i="9" s="1"/>
  <c r="AS66" i="9" s="1"/>
  <c r="AR83" i="5"/>
  <c r="AE39" i="11" s="1"/>
  <c r="AD39" i="11"/>
  <c r="AS13" i="9"/>
  <c r="AS74" i="5" l="1"/>
  <c r="AS67" i="9"/>
  <c r="AS83" i="5" s="1"/>
  <c r="AS16" i="9"/>
  <c r="AS82" i="5" s="1"/>
  <c r="AM39" i="11"/>
  <c r="AS15" i="9" l="1"/>
  <c r="AS71" i="5" s="1"/>
  <c r="AE132" i="6" l="1"/>
  <c r="AQ132" i="6" s="1"/>
  <c r="AF132" i="6"/>
  <c r="AE58" i="6"/>
  <c r="AE51" i="6"/>
  <c r="AQ40" i="6"/>
  <c r="AQ51" i="6" s="1"/>
  <c r="AI51" i="6"/>
  <c r="AI58" i="6"/>
  <c r="AR40" i="6"/>
  <c r="AH58" i="6"/>
  <c r="AI132" i="6"/>
  <c r="AH51" i="6"/>
  <c r="AF58" i="6"/>
  <c r="AG132" i="6"/>
  <c r="AF51" i="6"/>
  <c r="AH132" i="6"/>
  <c r="AG58" i="6"/>
  <c r="AG51" i="6"/>
  <c r="AR132" i="6" l="1"/>
  <c r="AR51" i="6"/>
  <c r="AS40" i="6"/>
  <c r="AS51" i="6" l="1"/>
  <c r="AR84" i="6" l="1"/>
  <c r="AR72" i="6" s="1"/>
  <c r="AE39" i="6"/>
  <c r="AE37" i="6" s="1"/>
  <c r="AQ84" i="6"/>
  <c r="AE49" i="6" l="1"/>
  <c r="AE41" i="6"/>
  <c r="AE31" i="6"/>
  <c r="AE56" i="6"/>
  <c r="AQ37" i="6"/>
  <c r="D6" i="20"/>
  <c r="AQ72" i="6"/>
  <c r="AR90" i="6"/>
  <c r="AS73" i="6"/>
  <c r="AF39" i="6"/>
  <c r="AQ39" i="6"/>
  <c r="AS82" i="6"/>
  <c r="AQ73" i="6" l="1"/>
  <c r="AQ90" i="6"/>
  <c r="AR91" i="6" s="1"/>
  <c r="AQ31" i="6"/>
  <c r="AE25" i="6"/>
  <c r="AE32" i="6"/>
  <c r="AE134" i="6"/>
  <c r="AE33" i="6"/>
  <c r="AE52" i="6"/>
  <c r="R73" i="10"/>
  <c r="R74" i="10" s="1"/>
  <c r="AE101" i="6"/>
  <c r="AE59" i="6"/>
  <c r="AQ49" i="6"/>
  <c r="AQ41" i="6"/>
  <c r="AR73" i="6"/>
  <c r="AR97" i="6"/>
  <c r="AS91" i="6"/>
  <c r="AG39" i="6"/>
  <c r="AF37" i="6"/>
  <c r="AQ52" i="6" l="1"/>
  <c r="AA73" i="10"/>
  <c r="AA74" i="10" s="1"/>
  <c r="AE27" i="6"/>
  <c r="AE126" i="6"/>
  <c r="AE9" i="6"/>
  <c r="AE26" i="6"/>
  <c r="AQ122" i="6"/>
  <c r="AQ123" i="6" s="1"/>
  <c r="AQ32" i="6"/>
  <c r="AQ25" i="6"/>
  <c r="AE107" i="6"/>
  <c r="AQ107" i="6" s="1"/>
  <c r="AQ101" i="6"/>
  <c r="AE115" i="6"/>
  <c r="AE112" i="6" s="1"/>
  <c r="AE102" i="6"/>
  <c r="AE103" i="6"/>
  <c r="AQ91" i="6"/>
  <c r="O33" i="8"/>
  <c r="D7" i="20"/>
  <c r="AQ97" i="6"/>
  <c r="AQ98" i="6" s="1"/>
  <c r="AE135" i="6"/>
  <c r="AE136" i="6" s="1"/>
  <c r="AQ134" i="6"/>
  <c r="AQ135" i="6" s="1"/>
  <c r="AQ136" i="6" s="1"/>
  <c r="AS98" i="6"/>
  <c r="AF41" i="6"/>
  <c r="AF49" i="6"/>
  <c r="AF31" i="6"/>
  <c r="AF56" i="6"/>
  <c r="AH39" i="6"/>
  <c r="AG37" i="6"/>
  <c r="AG31" i="6" s="1"/>
  <c r="AR98" i="6" l="1"/>
  <c r="AE6" i="6"/>
  <c r="AE6" i="5"/>
  <c r="AE114" i="6"/>
  <c r="R81" i="10"/>
  <c r="R82" i="10" s="1"/>
  <c r="AE113" i="6"/>
  <c r="AE127" i="6"/>
  <c r="AE128" i="6"/>
  <c r="R77" i="10"/>
  <c r="R78" i="10" s="1"/>
  <c r="AQ102" i="6"/>
  <c r="AQ115" i="6"/>
  <c r="AQ112" i="6" s="1"/>
  <c r="AQ104" i="6"/>
  <c r="AQ105" i="6" s="1"/>
  <c r="AQ9" i="6"/>
  <c r="AQ26" i="6"/>
  <c r="AQ126" i="6"/>
  <c r="P33" i="8"/>
  <c r="O34" i="8"/>
  <c r="AG49" i="6"/>
  <c r="AG56" i="6"/>
  <c r="AG41" i="6"/>
  <c r="AI39" i="6"/>
  <c r="AH37" i="6"/>
  <c r="AH31" i="6" s="1"/>
  <c r="AG134" i="6"/>
  <c r="AG135" i="6" s="1"/>
  <c r="AG136" i="6" s="1"/>
  <c r="AG25" i="6"/>
  <c r="AG32" i="6"/>
  <c r="AG33" i="6"/>
  <c r="AF134" i="6"/>
  <c r="AF25" i="6"/>
  <c r="AF33" i="6"/>
  <c r="AF32" i="6"/>
  <c r="AF101" i="6"/>
  <c r="AF59" i="6"/>
  <c r="S73" i="10"/>
  <c r="S74" i="10" s="1"/>
  <c r="AF52" i="6"/>
  <c r="AQ127" i="6" l="1"/>
  <c r="AA77" i="10"/>
  <c r="AA78" i="10" s="1"/>
  <c r="P34" i="8"/>
  <c r="Q33" i="8"/>
  <c r="Q34" i="8" s="1"/>
  <c r="AQ6" i="6"/>
  <c r="AA81" i="10"/>
  <c r="AA82" i="10" s="1"/>
  <c r="AQ113" i="6"/>
  <c r="D9" i="20" s="1"/>
  <c r="O61" i="8"/>
  <c r="Y5" i="11"/>
  <c r="AQ6" i="5"/>
  <c r="AE11" i="5"/>
  <c r="AE202" i="6"/>
  <c r="AE7" i="6"/>
  <c r="AE17" i="6"/>
  <c r="AE8" i="6" s="1"/>
  <c r="AH134" i="6"/>
  <c r="AH135" i="6" s="1"/>
  <c r="AH136" i="6" s="1"/>
  <c r="AH32" i="6"/>
  <c r="AH25" i="6"/>
  <c r="AH33" i="6"/>
  <c r="AG26" i="6"/>
  <c r="AG27" i="6"/>
  <c r="AG126" i="6"/>
  <c r="AG9" i="6"/>
  <c r="AF27" i="6"/>
  <c r="AF26" i="6"/>
  <c r="AF126" i="6"/>
  <c r="AF9" i="6"/>
  <c r="AR39" i="6"/>
  <c r="AS39" i="6" s="1"/>
  <c r="AI37" i="6"/>
  <c r="AI31" i="6" s="1"/>
  <c r="AF135" i="6"/>
  <c r="AF136" i="6" s="1"/>
  <c r="AG52" i="6"/>
  <c r="AG101" i="6"/>
  <c r="AG59" i="6"/>
  <c r="T73" i="10"/>
  <c r="T74" i="10" s="1"/>
  <c r="AF102" i="6"/>
  <c r="AF103" i="6"/>
  <c r="AF107" i="6"/>
  <c r="AF115" i="6"/>
  <c r="AF112" i="6" s="1"/>
  <c r="AH49" i="6"/>
  <c r="AH56" i="6"/>
  <c r="AH41" i="6"/>
  <c r="AE16" i="5" l="1"/>
  <c r="AE203" i="6"/>
  <c r="AQ202" i="6"/>
  <c r="AQ17" i="6"/>
  <c r="N68" i="8"/>
  <c r="O68" i="8" s="1"/>
  <c r="AQ7" i="6"/>
  <c r="AE18" i="6"/>
  <c r="AE212" i="6"/>
  <c r="AE10" i="6"/>
  <c r="R11" i="10"/>
  <c r="R12" i="10" s="1"/>
  <c r="AE14" i="5"/>
  <c r="AQ11" i="5"/>
  <c r="Z5" i="11"/>
  <c r="Z8" i="11" s="1"/>
  <c r="Z11" i="11" s="1"/>
  <c r="Y8" i="11"/>
  <c r="P61" i="8"/>
  <c r="O62" i="8"/>
  <c r="AI32" i="6"/>
  <c r="AI33" i="6"/>
  <c r="AI134" i="6"/>
  <c r="AI25" i="6"/>
  <c r="AR31" i="6"/>
  <c r="AS37" i="6"/>
  <c r="AF6" i="6"/>
  <c r="AF6" i="5"/>
  <c r="AR37" i="6"/>
  <c r="AI41" i="6"/>
  <c r="AI49" i="6"/>
  <c r="AI56" i="6"/>
  <c r="AH59" i="6"/>
  <c r="AH52" i="6"/>
  <c r="AH101" i="6"/>
  <c r="AH115" i="6" s="1"/>
  <c r="AH112" i="6" s="1"/>
  <c r="U73" i="10"/>
  <c r="U74" i="10" s="1"/>
  <c r="AF127" i="6"/>
  <c r="AF128" i="6"/>
  <c r="S77" i="10"/>
  <c r="S78" i="10" s="1"/>
  <c r="AG115" i="6"/>
  <c r="AG112" i="6" s="1"/>
  <c r="AG102" i="6"/>
  <c r="AG107" i="6"/>
  <c r="AG103" i="6"/>
  <c r="AH9" i="6"/>
  <c r="AH126" i="6"/>
  <c r="AH27" i="6"/>
  <c r="AH26" i="6"/>
  <c r="AG6" i="6"/>
  <c r="AG6" i="5"/>
  <c r="AF114" i="6"/>
  <c r="S81" i="10"/>
  <c r="S82" i="10" s="1"/>
  <c r="AF113" i="6"/>
  <c r="AG128" i="6"/>
  <c r="T77" i="10"/>
  <c r="T78" i="10" s="1"/>
  <c r="AG127" i="6"/>
  <c r="AL5" i="11" l="1"/>
  <c r="Y11" i="11"/>
  <c r="AL8" i="11"/>
  <c r="AE215" i="6"/>
  <c r="AE213" i="6"/>
  <c r="AQ212" i="6"/>
  <c r="AE216" i="6"/>
  <c r="AE18" i="5"/>
  <c r="O69" i="8"/>
  <c r="P68" i="8"/>
  <c r="AQ14" i="5"/>
  <c r="AA11" i="10"/>
  <c r="AA12" i="10" s="1"/>
  <c r="P66" i="8"/>
  <c r="AQ8" i="6"/>
  <c r="AQ18" i="6"/>
  <c r="AQ10" i="6"/>
  <c r="E55" i="7"/>
  <c r="AE5" i="9"/>
  <c r="R7" i="10"/>
  <c r="R8" i="10" s="1"/>
  <c r="AQ204" i="6"/>
  <c r="AQ205" i="6" s="1"/>
  <c r="AQ203" i="6"/>
  <c r="P62" i="8"/>
  <c r="P63" i="8"/>
  <c r="Y13" i="11"/>
  <c r="AE41" i="5"/>
  <c r="AQ16" i="5"/>
  <c r="AG11" i="5"/>
  <c r="AB5" i="11"/>
  <c r="AB8" i="11" s="1"/>
  <c r="AB11" i="11" s="1"/>
  <c r="AF202" i="6"/>
  <c r="AF7" i="6"/>
  <c r="AF17" i="6"/>
  <c r="AF8" i="6" s="1"/>
  <c r="AG7" i="6"/>
  <c r="AG17" i="6"/>
  <c r="AG202" i="6"/>
  <c r="T81" i="10"/>
  <c r="T82" i="10" s="1"/>
  <c r="AG114" i="6"/>
  <c r="AG113" i="6"/>
  <c r="AS41" i="6"/>
  <c r="AS49" i="6"/>
  <c r="AR32" i="6"/>
  <c r="AR25" i="6"/>
  <c r="AR122" i="6"/>
  <c r="AH127" i="6"/>
  <c r="AH128" i="6"/>
  <c r="U77" i="10"/>
  <c r="U78" i="10" s="1"/>
  <c r="V73" i="10"/>
  <c r="V74" i="10" s="1"/>
  <c r="AI101" i="6"/>
  <c r="AI115" i="6" s="1"/>
  <c r="AI112" i="6" s="1"/>
  <c r="AI59" i="6"/>
  <c r="AI52" i="6"/>
  <c r="AI27" i="6"/>
  <c r="AI9" i="6"/>
  <c r="AI126" i="6"/>
  <c r="AI26" i="6"/>
  <c r="AH6" i="6"/>
  <c r="AH6" i="5"/>
  <c r="AR41" i="6"/>
  <c r="AR49" i="6"/>
  <c r="AI135" i="6"/>
  <c r="AI136" i="6" s="1"/>
  <c r="AR134" i="6"/>
  <c r="AR135" i="6" s="1"/>
  <c r="AH113" i="6"/>
  <c r="AH114" i="6"/>
  <c r="U81" i="10"/>
  <c r="U82" i="10" s="1"/>
  <c r="AH107" i="6"/>
  <c r="AH103" i="6"/>
  <c r="AH102" i="6"/>
  <c r="AA5" i="11"/>
  <c r="AF11" i="5"/>
  <c r="AQ215" i="6" l="1"/>
  <c r="AQ216" i="6"/>
  <c r="AQ213" i="6"/>
  <c r="AQ214" i="6"/>
  <c r="AQ41" i="5"/>
  <c r="H94" i="12"/>
  <c r="Z13" i="11"/>
  <c r="AE22" i="5"/>
  <c r="AE23" i="5" s="1"/>
  <c r="AE130" i="9"/>
  <c r="Y15" i="11"/>
  <c r="Y18" i="11" s="1"/>
  <c r="AQ18" i="5"/>
  <c r="Z15" i="11" s="1"/>
  <c r="AE35" i="9"/>
  <c r="AE31" i="9"/>
  <c r="AE27" i="9"/>
  <c r="AE23" i="9"/>
  <c r="AE9" i="9"/>
  <c r="AE19" i="9"/>
  <c r="AE54" i="9"/>
  <c r="AE116" i="9"/>
  <c r="AE112" i="9" s="1"/>
  <c r="AE42" i="9"/>
  <c r="AE94" i="9"/>
  <c r="AE91" i="9" s="1"/>
  <c r="H55" i="7"/>
  <c r="H90" i="12"/>
  <c r="H15" i="7"/>
  <c r="H16" i="7" s="1"/>
  <c r="AQ5" i="9"/>
  <c r="AQ54" i="9" s="1"/>
  <c r="AA7" i="10"/>
  <c r="AA8" i="10" s="1"/>
  <c r="H15" i="17"/>
  <c r="H16" i="17" s="1"/>
  <c r="H92" i="12"/>
  <c r="H53" i="17"/>
  <c r="P69" i="8"/>
  <c r="Q68" i="8"/>
  <c r="Q69" i="8" s="1"/>
  <c r="AL11" i="11"/>
  <c r="AI113" i="6"/>
  <c r="V81" i="10"/>
  <c r="V82" i="10" s="1"/>
  <c r="AI114" i="6"/>
  <c r="AS52" i="6"/>
  <c r="AC73" i="10"/>
  <c r="AC74" i="10" s="1"/>
  <c r="AG212" i="6"/>
  <c r="AG18" i="6"/>
  <c r="AG10" i="6"/>
  <c r="C10" i="15"/>
  <c r="AR136" i="6"/>
  <c r="V77" i="10"/>
  <c r="V78" i="10" s="1"/>
  <c r="AI127" i="6"/>
  <c r="AI128" i="6"/>
  <c r="AF14" i="5"/>
  <c r="S11" i="10"/>
  <c r="S12" i="10" s="1"/>
  <c r="AI6" i="6"/>
  <c r="AI6" i="5"/>
  <c r="AA8" i="11"/>
  <c r="AF212" i="6"/>
  <c r="AF18" i="6"/>
  <c r="AF10" i="6"/>
  <c r="AR123" i="6"/>
  <c r="AS123" i="6" s="1"/>
  <c r="AB73" i="10"/>
  <c r="AB74" i="10" s="1"/>
  <c r="AR52" i="6"/>
  <c r="AR26" i="6"/>
  <c r="AR126" i="6"/>
  <c r="AR9" i="6"/>
  <c r="AF203" i="6"/>
  <c r="AF16" i="5"/>
  <c r="AC5" i="11"/>
  <c r="AC8" i="11" s="1"/>
  <c r="AC11" i="11" s="1"/>
  <c r="AH11" i="5"/>
  <c r="AR101" i="6"/>
  <c r="AR104" i="6" s="1"/>
  <c r="AR105" i="6" s="1"/>
  <c r="AS105" i="6" s="1"/>
  <c r="AI102" i="6"/>
  <c r="AI103" i="6"/>
  <c r="AI107" i="6"/>
  <c r="AR107" i="6" s="1"/>
  <c r="AG8" i="6"/>
  <c r="AH202" i="6"/>
  <c r="AH17" i="6"/>
  <c r="AH7" i="6"/>
  <c r="AG203" i="6"/>
  <c r="AG16" i="5"/>
  <c r="T11" i="10"/>
  <c r="T12" i="10" s="1"/>
  <c r="AG14" i="5"/>
  <c r="H91" i="12"/>
  <c r="H95" i="12"/>
  <c r="H93" i="12"/>
  <c r="AQ22" i="5" l="1"/>
  <c r="AQ23" i="5" s="1"/>
  <c r="H18" i="17" s="1"/>
  <c r="H19" i="17" s="1"/>
  <c r="Z18" i="11"/>
  <c r="Z20" i="11" s="1"/>
  <c r="AF92" i="9"/>
  <c r="AE88" i="9"/>
  <c r="AE97" i="9"/>
  <c r="AF107" i="9" s="1"/>
  <c r="AF25" i="5" s="1"/>
  <c r="AF27" i="5" s="1"/>
  <c r="AA19" i="11" s="1"/>
  <c r="AE49" i="9"/>
  <c r="AQ31" i="9"/>
  <c r="AQ32" i="9" s="1"/>
  <c r="AQ33" i="9" s="1"/>
  <c r="AE32" i="9"/>
  <c r="AE90" i="5"/>
  <c r="AE87" i="5"/>
  <c r="AE28" i="9"/>
  <c r="AQ27" i="9"/>
  <c r="AQ28" i="9" s="1"/>
  <c r="AQ29" i="9" s="1"/>
  <c r="AQ42" i="9"/>
  <c r="AE142" i="5"/>
  <c r="AE47" i="9"/>
  <c r="AE125" i="5"/>
  <c r="AQ35" i="9"/>
  <c r="AQ36" i="9" s="1"/>
  <c r="AE73" i="5"/>
  <c r="AQ73" i="5" s="1"/>
  <c r="AQ23" i="9"/>
  <c r="AQ24" i="9" s="1"/>
  <c r="AQ25" i="9" s="1"/>
  <c r="AE24" i="9"/>
  <c r="AE114" i="9"/>
  <c r="AE119" i="9"/>
  <c r="AL13" i="11"/>
  <c r="AL15" i="11"/>
  <c r="Y20" i="11"/>
  <c r="AE20" i="9"/>
  <c r="AE72" i="5"/>
  <c r="AQ19" i="9"/>
  <c r="AQ20" i="9" s="1"/>
  <c r="AQ21" i="9" s="1"/>
  <c r="AQ130" i="9"/>
  <c r="AQ131" i="9" s="1"/>
  <c r="AE123" i="5"/>
  <c r="AE129" i="9"/>
  <c r="AQ9" i="9"/>
  <c r="AQ10" i="9" s="1"/>
  <c r="AQ11" i="9" s="1"/>
  <c r="AE10" i="9"/>
  <c r="AE70" i="5"/>
  <c r="R15" i="10"/>
  <c r="E57" i="7"/>
  <c r="AE46" i="5"/>
  <c r="AE61" i="5"/>
  <c r="AE28" i="5"/>
  <c r="AE122" i="9" s="1"/>
  <c r="AE123" i="9" s="1"/>
  <c r="AE29" i="5" s="1"/>
  <c r="AE43" i="5"/>
  <c r="AS122" i="6"/>
  <c r="AS31" i="6" s="1"/>
  <c r="AS104" i="6"/>
  <c r="AS101" i="6" s="1"/>
  <c r="AS115" i="6" s="1"/>
  <c r="AI202" i="6"/>
  <c r="AR202" i="6" s="1"/>
  <c r="AI17" i="6"/>
  <c r="AI8" i="6" s="1"/>
  <c r="AI7" i="6"/>
  <c r="AH203" i="6"/>
  <c r="AH16" i="5"/>
  <c r="AG5" i="9"/>
  <c r="AG35" i="9" s="1"/>
  <c r="AG125" i="5" s="1"/>
  <c r="AG132" i="5" s="1"/>
  <c r="T7" i="10"/>
  <c r="T8" i="10" s="1"/>
  <c r="AA13" i="11"/>
  <c r="AF41" i="5"/>
  <c r="AR6" i="6"/>
  <c r="AD5" i="11"/>
  <c r="AD8" i="11" s="1"/>
  <c r="AD11" i="11" s="1"/>
  <c r="AI11" i="5"/>
  <c r="AR6" i="5"/>
  <c r="AB77" i="10"/>
  <c r="AB78" i="10" s="1"/>
  <c r="AR127" i="6"/>
  <c r="AG213" i="6"/>
  <c r="AG18" i="5"/>
  <c r="AG215" i="6"/>
  <c r="AG216" i="6"/>
  <c r="AB13" i="11"/>
  <c r="AG41" i="5"/>
  <c r="AF215" i="6"/>
  <c r="AF216" i="6"/>
  <c r="AF213" i="6"/>
  <c r="AF18" i="5"/>
  <c r="AH14" i="5"/>
  <c r="U11" i="10"/>
  <c r="U12" i="10" s="1"/>
  <c r="AD73" i="10"/>
  <c r="AD74" i="10" s="1"/>
  <c r="C18" i="15"/>
  <c r="C21" i="15" s="1"/>
  <c r="C25" i="15" s="1"/>
  <c r="C18" i="16" s="1"/>
  <c r="C33" i="15"/>
  <c r="C41" i="15" s="1"/>
  <c r="C44" i="15" s="1"/>
  <c r="C48" i="15" s="1"/>
  <c r="AF5" i="9"/>
  <c r="F55" i="7"/>
  <c r="G55" i="7" s="1"/>
  <c r="S7" i="10"/>
  <c r="S8" i="10" s="1"/>
  <c r="AH212" i="6"/>
  <c r="AH18" i="6"/>
  <c r="AH10" i="6"/>
  <c r="AH8" i="6"/>
  <c r="AR102" i="6"/>
  <c r="AR115" i="6"/>
  <c r="AR112" i="6" s="1"/>
  <c r="AA11" i="11"/>
  <c r="AL20" i="11" l="1"/>
  <c r="AL18" i="11"/>
  <c r="AA15" i="10"/>
  <c r="AA19" i="10" s="1"/>
  <c r="AA20" i="10" s="1"/>
  <c r="AQ61" i="5"/>
  <c r="H108" i="12"/>
  <c r="H106" i="12"/>
  <c r="H110" i="12" s="1"/>
  <c r="AQ28" i="5"/>
  <c r="AQ122" i="9" s="1"/>
  <c r="H55" i="17"/>
  <c r="H57" i="7"/>
  <c r="H18" i="7"/>
  <c r="H20" i="7" s="1"/>
  <c r="H21" i="7" s="1"/>
  <c r="AQ43" i="5"/>
  <c r="AE49" i="5"/>
  <c r="AQ49" i="5" s="1"/>
  <c r="AQ123" i="5"/>
  <c r="AE76" i="5"/>
  <c r="AF45" i="9"/>
  <c r="AF39" i="9" s="1"/>
  <c r="AF122" i="5" s="1"/>
  <c r="AF21" i="5" s="1"/>
  <c r="AQ47" i="9"/>
  <c r="AE106" i="5"/>
  <c r="AQ129" i="9"/>
  <c r="AQ132" i="9" s="1"/>
  <c r="AQ46" i="5"/>
  <c r="AE77" i="5"/>
  <c r="AQ119" i="9"/>
  <c r="AQ142" i="5"/>
  <c r="AE148" i="5"/>
  <c r="Y54" i="11" s="1"/>
  <c r="AE170" i="5"/>
  <c r="R59" i="10" s="1"/>
  <c r="R60" i="10" s="1"/>
  <c r="AQ49" i="9"/>
  <c r="AE51" i="9"/>
  <c r="AE78" i="5"/>
  <c r="AE113" i="9"/>
  <c r="AE99" i="5"/>
  <c r="AQ114" i="9"/>
  <c r="AQ43" i="9"/>
  <c r="D14" i="20"/>
  <c r="R16" i="10"/>
  <c r="R19" i="10"/>
  <c r="R20" i="10" s="1"/>
  <c r="AQ72" i="5"/>
  <c r="AE133" i="5"/>
  <c r="AQ133" i="5" s="1"/>
  <c r="AE90" i="9"/>
  <c r="AQ88" i="9"/>
  <c r="AE92" i="5"/>
  <c r="AE132" i="5"/>
  <c r="AQ132" i="5" s="1"/>
  <c r="AQ125" i="5"/>
  <c r="AE131" i="5"/>
  <c r="AQ131" i="5" s="1"/>
  <c r="AQ70" i="5"/>
  <c r="AQ87" i="5"/>
  <c r="AE136" i="5"/>
  <c r="AQ136" i="5" s="1"/>
  <c r="AQ29" i="5"/>
  <c r="AE30" i="5"/>
  <c r="AE32" i="5" s="1"/>
  <c r="Y21" i="11"/>
  <c r="AQ90" i="5"/>
  <c r="AE138" i="5"/>
  <c r="AQ138" i="5" s="1"/>
  <c r="AH41" i="5"/>
  <c r="AC13" i="11"/>
  <c r="AE73" i="10"/>
  <c r="AE74" i="10" s="1"/>
  <c r="AS32" i="6"/>
  <c r="AS25" i="6"/>
  <c r="AF73" i="10"/>
  <c r="AF74" i="10" s="1"/>
  <c r="AR17" i="6"/>
  <c r="AR7" i="6"/>
  <c r="U7" i="10"/>
  <c r="U8" i="10" s="1"/>
  <c r="AH5" i="9"/>
  <c r="AH31" i="9" s="1"/>
  <c r="AE5" i="11"/>
  <c r="AR11" i="5"/>
  <c r="AI14" i="5"/>
  <c r="V11" i="10"/>
  <c r="V12" i="10" s="1"/>
  <c r="AF19" i="9"/>
  <c r="AG23" i="9"/>
  <c r="AF27" i="9"/>
  <c r="AG42" i="9"/>
  <c r="AG142" i="5" s="1"/>
  <c r="AG116" i="9"/>
  <c r="AF54" i="9"/>
  <c r="AF42" i="9"/>
  <c r="AF35" i="9"/>
  <c r="AG94" i="9"/>
  <c r="AF31" i="9"/>
  <c r="AG19" i="9"/>
  <c r="AF116" i="9"/>
  <c r="AF112" i="9" s="1"/>
  <c r="AF94" i="9"/>
  <c r="AF91" i="9" s="1"/>
  <c r="AG9" i="9"/>
  <c r="AF9" i="9"/>
  <c r="AF23" i="9"/>
  <c r="AG54" i="9"/>
  <c r="AG31" i="9"/>
  <c r="AG27" i="9"/>
  <c r="AI16" i="5"/>
  <c r="AI203" i="6"/>
  <c r="AI212" i="6"/>
  <c r="AI18" i="6"/>
  <c r="AI10" i="6"/>
  <c r="AA15" i="11"/>
  <c r="AF130" i="9"/>
  <c r="AH18" i="5"/>
  <c r="AH215" i="6"/>
  <c r="AH216" i="6"/>
  <c r="AH213" i="6"/>
  <c r="AS102" i="6"/>
  <c r="AS107" i="6"/>
  <c r="AR203" i="6"/>
  <c r="AR204" i="6"/>
  <c r="AS204" i="6" s="1"/>
  <c r="AB81" i="10"/>
  <c r="AB82" i="10" s="1"/>
  <c r="AR113" i="6"/>
  <c r="AB15" i="11"/>
  <c r="AG130" i="9"/>
  <c r="AG123" i="5" s="1"/>
  <c r="H111" i="12"/>
  <c r="H107" i="12"/>
  <c r="H109" i="12"/>
  <c r="AA16" i="10" l="1"/>
  <c r="AE56" i="5"/>
  <c r="AE58" i="5" s="1"/>
  <c r="AQ56" i="5"/>
  <c r="AQ102" i="9" s="1"/>
  <c r="AQ106" i="5"/>
  <c r="AE100" i="5"/>
  <c r="AQ90" i="9"/>
  <c r="AQ91" i="9" s="1"/>
  <c r="AQ94" i="9" s="1"/>
  <c r="AQ95" i="9" s="1"/>
  <c r="AQ51" i="9"/>
  <c r="H25" i="17"/>
  <c r="H26" i="17" s="1"/>
  <c r="AQ170" i="5"/>
  <c r="H27" i="7"/>
  <c r="AQ148" i="5"/>
  <c r="H66" i="12"/>
  <c r="AA16" i="11"/>
  <c r="AA18" i="11" s="1"/>
  <c r="AF47" i="5"/>
  <c r="AQ99" i="5"/>
  <c r="Y47" i="11"/>
  <c r="Y34" i="11"/>
  <c r="AQ76" i="5"/>
  <c r="Y22" i="11"/>
  <c r="AE91" i="5"/>
  <c r="AQ113" i="9"/>
  <c r="AQ112" i="9" s="1"/>
  <c r="AQ116" i="9" s="1"/>
  <c r="AQ117" i="9" s="1"/>
  <c r="AQ77" i="5"/>
  <c r="Z35" i="11" s="1"/>
  <c r="Y35" i="11"/>
  <c r="AE134" i="5"/>
  <c r="AQ134" i="5" s="1"/>
  <c r="H24" i="17"/>
  <c r="AQ92" i="5"/>
  <c r="Z42" i="11" s="1"/>
  <c r="Y42" i="11"/>
  <c r="AE120" i="5"/>
  <c r="AE35" i="5"/>
  <c r="AE144" i="9"/>
  <c r="AE143" i="9" s="1"/>
  <c r="AE36" i="5"/>
  <c r="AE100" i="9"/>
  <c r="R39" i="10"/>
  <c r="AE135" i="5"/>
  <c r="AQ135" i="5" s="1"/>
  <c r="Y36" i="11"/>
  <c r="AQ78" i="5"/>
  <c r="Z36" i="11" s="1"/>
  <c r="AQ123" i="9"/>
  <c r="AQ124" i="9" s="1"/>
  <c r="Z21" i="11"/>
  <c r="Z22" i="11" s="1"/>
  <c r="H114" i="12"/>
  <c r="O77" i="8"/>
  <c r="AQ30" i="5"/>
  <c r="AQ32" i="5" s="1"/>
  <c r="AF22" i="5"/>
  <c r="AF23" i="5" s="1"/>
  <c r="AH94" i="9"/>
  <c r="AH27" i="9"/>
  <c r="AH28" i="9" s="1"/>
  <c r="AH42" i="9"/>
  <c r="AH142" i="5" s="1"/>
  <c r="AH170" i="5" s="1"/>
  <c r="U59" i="10" s="1"/>
  <c r="U60" i="10" s="1"/>
  <c r="AH54" i="9"/>
  <c r="AG112" i="9"/>
  <c r="AG119" i="9" s="1"/>
  <c r="AG77" i="5" s="1"/>
  <c r="AH9" i="9"/>
  <c r="AH70" i="5" s="1"/>
  <c r="AH23" i="9"/>
  <c r="AH24" i="9" s="1"/>
  <c r="AH19" i="9"/>
  <c r="AH72" i="5" s="1"/>
  <c r="AC15" i="11"/>
  <c r="AH130" i="9"/>
  <c r="AH123" i="5" s="1"/>
  <c r="AG92" i="9"/>
  <c r="AF49" i="9"/>
  <c r="AF88" i="9"/>
  <c r="AF92" i="5" s="1"/>
  <c r="AA42" i="11" s="1"/>
  <c r="AF97" i="9"/>
  <c r="AG107" i="9" s="1"/>
  <c r="AG25" i="5" s="1"/>
  <c r="AF114" i="9"/>
  <c r="AF99" i="5" s="1"/>
  <c r="AA47" i="11" s="1"/>
  <c r="AF119" i="9"/>
  <c r="AF77" i="5" s="1"/>
  <c r="AG170" i="5"/>
  <c r="T59" i="10" s="1"/>
  <c r="T60" i="10" s="1"/>
  <c r="AG148" i="5"/>
  <c r="AB54" i="11" s="1"/>
  <c r="C6" i="15"/>
  <c r="C28" i="15" s="1"/>
  <c r="C52" i="15" s="1"/>
  <c r="AB11" i="10"/>
  <c r="AB12" i="10" s="1"/>
  <c r="AR14" i="5"/>
  <c r="AR8" i="6"/>
  <c r="AR18" i="6"/>
  <c r="AR10" i="6"/>
  <c r="AG70" i="5"/>
  <c r="AG10" i="9"/>
  <c r="AI41" i="5"/>
  <c r="AD13" i="11"/>
  <c r="AH90" i="5"/>
  <c r="AH32" i="9"/>
  <c r="AF123" i="5"/>
  <c r="AF129" i="9"/>
  <c r="AG87" i="5"/>
  <c r="AG28" i="9"/>
  <c r="AG72" i="5"/>
  <c r="AG20" i="9"/>
  <c r="AF87" i="5"/>
  <c r="AF28" i="9"/>
  <c r="AE8" i="11"/>
  <c r="AM5" i="11"/>
  <c r="AR16" i="5"/>
  <c r="AR205" i="6"/>
  <c r="AG32" i="9"/>
  <c r="AG90" i="5"/>
  <c r="AI5" i="9"/>
  <c r="V7" i="10"/>
  <c r="V8" i="10" s="1"/>
  <c r="AF32" i="9"/>
  <c r="AF90" i="5"/>
  <c r="AF138" i="5" s="1"/>
  <c r="AG24" i="9"/>
  <c r="AG73" i="5"/>
  <c r="AF20" i="9"/>
  <c r="AF72" i="5"/>
  <c r="AF133" i="5" s="1"/>
  <c r="AH116" i="9"/>
  <c r="AH35" i="9"/>
  <c r="AH125" i="5" s="1"/>
  <c r="AH132" i="5" s="1"/>
  <c r="AF24" i="9"/>
  <c r="AF73" i="5"/>
  <c r="AF125" i="5"/>
  <c r="AS9" i="6"/>
  <c r="AS26" i="6"/>
  <c r="AS126" i="6"/>
  <c r="AS112" i="6"/>
  <c r="AI213" i="6"/>
  <c r="AI18" i="5"/>
  <c r="AR18" i="5" s="1"/>
  <c r="AE15" i="11" s="1"/>
  <c r="AI215" i="6"/>
  <c r="AI216" i="6"/>
  <c r="AR212" i="6"/>
  <c r="AF10" i="9"/>
  <c r="AF70" i="5"/>
  <c r="AF142" i="5"/>
  <c r="AF47" i="9"/>
  <c r="H67" i="12"/>
  <c r="H115" i="12"/>
  <c r="R23" i="10" l="1"/>
  <c r="Y29" i="11"/>
  <c r="AE59" i="5"/>
  <c r="AE102" i="9"/>
  <c r="E56" i="7"/>
  <c r="AE63" i="5"/>
  <c r="AH148" i="5"/>
  <c r="AC54" i="11" s="1"/>
  <c r="H54" i="17"/>
  <c r="AA23" i="10"/>
  <c r="AA24" i="10" s="1"/>
  <c r="AQ58" i="5"/>
  <c r="AA31" i="10" s="1"/>
  <c r="AQ63" i="5"/>
  <c r="H56" i="7"/>
  <c r="AQ59" i="5"/>
  <c r="H96" i="12"/>
  <c r="H98" i="12"/>
  <c r="Z29" i="11"/>
  <c r="AL29" i="11" s="1"/>
  <c r="AL35" i="11"/>
  <c r="AQ89" i="9"/>
  <c r="AQ97" i="9" s="1"/>
  <c r="AQ50" i="9"/>
  <c r="AL22" i="11"/>
  <c r="AH112" i="9"/>
  <c r="AH119" i="9" s="1"/>
  <c r="AH77" i="5" s="1"/>
  <c r="AE64" i="5"/>
  <c r="AF104" i="9"/>
  <c r="Y30" i="11"/>
  <c r="AE60" i="5"/>
  <c r="R31" i="10"/>
  <c r="E58" i="7"/>
  <c r="R47" i="10"/>
  <c r="R48" i="10" s="1"/>
  <c r="AQ36" i="5"/>
  <c r="AQ39" i="5" s="1"/>
  <c r="Y25" i="11"/>
  <c r="AL21" i="11"/>
  <c r="H23" i="7"/>
  <c r="H24" i="7" s="1"/>
  <c r="H21" i="17"/>
  <c r="H22" i="17" s="1"/>
  <c r="AQ143" i="9"/>
  <c r="AE109" i="5"/>
  <c r="Z34" i="11"/>
  <c r="AL34" i="11" s="1"/>
  <c r="H28" i="12"/>
  <c r="AQ35" i="5"/>
  <c r="Z24" i="11" s="1"/>
  <c r="Y24" i="11"/>
  <c r="H82" i="12"/>
  <c r="Z54" i="11"/>
  <c r="AL54" i="11" s="1"/>
  <c r="Y43" i="11"/>
  <c r="Y44" i="11" s="1"/>
  <c r="AE137" i="5"/>
  <c r="AQ137" i="5" s="1"/>
  <c r="H23" i="17" s="1"/>
  <c r="AQ91" i="5"/>
  <c r="AE94" i="5"/>
  <c r="AQ120" i="9"/>
  <c r="H29" i="7"/>
  <c r="H28" i="7"/>
  <c r="AE151" i="5"/>
  <c r="Y46" i="11"/>
  <c r="AQ100" i="5"/>
  <c r="Z46" i="11" s="1"/>
  <c r="S15" i="10"/>
  <c r="AF46" i="5"/>
  <c r="AF61" i="5"/>
  <c r="AF28" i="5"/>
  <c r="AF122" i="9" s="1"/>
  <c r="AF123" i="9" s="1"/>
  <c r="AF29" i="5" s="1"/>
  <c r="F57" i="7"/>
  <c r="G57" i="7" s="1"/>
  <c r="AF43" i="5"/>
  <c r="R27" i="10"/>
  <c r="R28" i="10" s="1"/>
  <c r="R24" i="10"/>
  <c r="AL36" i="11"/>
  <c r="AL42" i="11"/>
  <c r="AA59" i="10"/>
  <c r="AA60" i="10" s="1"/>
  <c r="O17" i="8"/>
  <c r="AQ120" i="5"/>
  <c r="AQ144" i="9"/>
  <c r="H138" i="12"/>
  <c r="AQ100" i="9"/>
  <c r="AA39" i="10"/>
  <c r="H116" i="12"/>
  <c r="H32" i="12"/>
  <c r="Z47" i="11"/>
  <c r="P77" i="8"/>
  <c r="P78" i="8" s="1"/>
  <c r="O78" i="8"/>
  <c r="R40" i="10"/>
  <c r="R43" i="10"/>
  <c r="R44" i="10" s="1"/>
  <c r="AE102" i="5"/>
  <c r="AQ115" i="9"/>
  <c r="AG114" i="9"/>
  <c r="AG99" i="5" s="1"/>
  <c r="AB47" i="11" s="1"/>
  <c r="AH87" i="5"/>
  <c r="AH136" i="5" s="1"/>
  <c r="AH20" i="9"/>
  <c r="AH73" i="5"/>
  <c r="AH10" i="9"/>
  <c r="AF113" i="9"/>
  <c r="AF91" i="5" s="1"/>
  <c r="AF137" i="5" s="1"/>
  <c r="AF90" i="9"/>
  <c r="AF100" i="5" s="1"/>
  <c r="AF102" i="5" s="1"/>
  <c r="AH138" i="5"/>
  <c r="AH131" i="5"/>
  <c r="AG134" i="5"/>
  <c r="AB35" i="11"/>
  <c r="AR215" i="6"/>
  <c r="AR214" i="6"/>
  <c r="AS214" i="6" s="1"/>
  <c r="AR216" i="6"/>
  <c r="AR213" i="6"/>
  <c r="AI35" i="9"/>
  <c r="AI94" i="9"/>
  <c r="AI54" i="9"/>
  <c r="AI19" i="9"/>
  <c r="AI9" i="9"/>
  <c r="AI42" i="9"/>
  <c r="AI31" i="9"/>
  <c r="AI23" i="9"/>
  <c r="AI116" i="9"/>
  <c r="AI27" i="9"/>
  <c r="AS205" i="6"/>
  <c r="AG133" i="5"/>
  <c r="AH133" i="5"/>
  <c r="AG27" i="5"/>
  <c r="AB19" i="11" s="1"/>
  <c r="AF49" i="5"/>
  <c r="AF132" i="5"/>
  <c r="I94" i="12"/>
  <c r="AE13" i="11"/>
  <c r="AM13" i="11" s="1"/>
  <c r="AR41" i="5"/>
  <c r="AS113" i="6"/>
  <c r="S61" i="8"/>
  <c r="S62" i="8" s="1"/>
  <c r="AC81" i="10"/>
  <c r="AC82" i="10" s="1"/>
  <c r="AF134" i="5"/>
  <c r="AA35" i="11"/>
  <c r="AF51" i="9"/>
  <c r="AF78" i="5"/>
  <c r="AA36" i="11" s="1"/>
  <c r="AA20" i="11"/>
  <c r="AG45" i="9"/>
  <c r="AG47" i="9" s="1"/>
  <c r="AF76" i="5"/>
  <c r="AA34" i="11" s="1"/>
  <c r="AC77" i="10"/>
  <c r="AC78" i="10" s="1"/>
  <c r="AS127" i="6"/>
  <c r="AE11" i="11"/>
  <c r="AM11" i="11" s="1"/>
  <c r="AM8" i="11"/>
  <c r="AG91" i="9"/>
  <c r="AR5" i="9"/>
  <c r="AR54" i="9" s="1"/>
  <c r="I15" i="17"/>
  <c r="I16" i="17" s="1"/>
  <c r="AB7" i="10"/>
  <c r="AB8" i="10" s="1"/>
  <c r="I15" i="7"/>
  <c r="I16" i="7" s="1"/>
  <c r="I92" i="12"/>
  <c r="I90" i="12"/>
  <c r="AI130" i="9"/>
  <c r="AD15" i="11"/>
  <c r="AM15" i="11" s="1"/>
  <c r="AF170" i="5"/>
  <c r="S59" i="10" s="1"/>
  <c r="S60" i="10" s="1"/>
  <c r="AF148" i="5"/>
  <c r="AA54" i="11" s="1"/>
  <c r="AF131" i="5"/>
  <c r="AG131" i="5"/>
  <c r="AS6" i="6"/>
  <c r="AS6" i="5"/>
  <c r="AG138" i="5"/>
  <c r="AG136" i="5"/>
  <c r="AF136" i="5"/>
  <c r="AF106" i="5"/>
  <c r="AG129" i="9"/>
  <c r="H33" i="12"/>
  <c r="H117" i="12"/>
  <c r="H99" i="12"/>
  <c r="I93" i="12"/>
  <c r="I95" i="12"/>
  <c r="I91" i="12"/>
  <c r="H139" i="12"/>
  <c r="H97" i="12"/>
  <c r="H29" i="12"/>
  <c r="H83" i="12"/>
  <c r="AQ104" i="9" l="1"/>
  <c r="AA27" i="10"/>
  <c r="AA28" i="10" s="1"/>
  <c r="AH114" i="9"/>
  <c r="AH99" i="5" s="1"/>
  <c r="H25" i="7"/>
  <c r="H31" i="7" s="1"/>
  <c r="AE140" i="5"/>
  <c r="Y53" i="11" s="1"/>
  <c r="D11" i="20"/>
  <c r="AQ60" i="5"/>
  <c r="O49" i="8" s="1"/>
  <c r="P49" i="8" s="1"/>
  <c r="O46" i="8"/>
  <c r="P46" i="8" s="1"/>
  <c r="AI112" i="9"/>
  <c r="AI114" i="9" s="1"/>
  <c r="AI113" i="9" s="1"/>
  <c r="AQ64" i="5"/>
  <c r="AQ38" i="5"/>
  <c r="H150" i="12" s="1"/>
  <c r="Z30" i="11"/>
  <c r="AL30" i="11" s="1"/>
  <c r="H29" i="17"/>
  <c r="H30" i="17" s="1"/>
  <c r="Z48" i="11"/>
  <c r="H62" i="12"/>
  <c r="AL24" i="11"/>
  <c r="AQ102" i="5"/>
  <c r="AF94" i="5"/>
  <c r="AA32" i="10"/>
  <c r="AA35" i="10"/>
  <c r="AA36" i="10" s="1"/>
  <c r="H122" i="12"/>
  <c r="AL47" i="11"/>
  <c r="P17" i="8"/>
  <c r="O18" i="8"/>
  <c r="AQ151" i="5"/>
  <c r="AQ161" i="5" s="1"/>
  <c r="AE161" i="5"/>
  <c r="AA40" i="10"/>
  <c r="AA43" i="10"/>
  <c r="AA44" i="10" s="1"/>
  <c r="AF30" i="5"/>
  <c r="AF32" i="5" s="1"/>
  <c r="AA21" i="11"/>
  <c r="AA22" i="11" s="1"/>
  <c r="AQ109" i="5"/>
  <c r="AQ110" i="5" s="1"/>
  <c r="AE110" i="5"/>
  <c r="R35" i="10"/>
  <c r="R36" i="10" s="1"/>
  <c r="R32" i="10"/>
  <c r="AG113" i="9"/>
  <c r="AG91" i="5" s="1"/>
  <c r="AB43" i="11" s="1"/>
  <c r="H156" i="12"/>
  <c r="Z27" i="11"/>
  <c r="AQ154" i="9"/>
  <c r="Y48" i="11"/>
  <c r="AL46" i="11"/>
  <c r="S16" i="10"/>
  <c r="S19" i="10"/>
  <c r="S20" i="10" s="1"/>
  <c r="Z43" i="11"/>
  <c r="AQ94" i="5"/>
  <c r="Z25" i="11"/>
  <c r="AL25" i="11" s="1"/>
  <c r="H17" i="12"/>
  <c r="H56" i="17"/>
  <c r="AA47" i="10"/>
  <c r="AA48" i="10" s="1"/>
  <c r="H154" i="12"/>
  <c r="H58" i="7"/>
  <c r="H60" i="12"/>
  <c r="AQ140" i="5"/>
  <c r="AA43" i="11"/>
  <c r="AA44" i="11" s="1"/>
  <c r="AF151" i="5"/>
  <c r="AF161" i="5" s="1"/>
  <c r="AA46" i="11"/>
  <c r="AA48" i="11" s="1"/>
  <c r="AI142" i="5"/>
  <c r="AR42" i="9"/>
  <c r="AR43" i="9" s="1"/>
  <c r="AS43" i="9" s="1"/>
  <c r="AI123" i="5"/>
  <c r="AR123" i="5" s="1"/>
  <c r="AR130" i="9"/>
  <c r="AR131" i="9" s="1"/>
  <c r="AS131" i="9" s="1"/>
  <c r="AD77" i="10"/>
  <c r="AD78" i="10" s="1"/>
  <c r="AI70" i="5"/>
  <c r="AI10" i="9"/>
  <c r="AR9" i="9"/>
  <c r="AR10" i="9" s="1"/>
  <c r="AR11" i="9" s="1"/>
  <c r="AS11" i="9" s="1"/>
  <c r="AD81" i="10"/>
  <c r="AD82" i="10" s="1"/>
  <c r="AS202" i="6"/>
  <c r="AS7" i="6"/>
  <c r="AS17" i="6"/>
  <c r="AS8" i="6" s="1"/>
  <c r="AF135" i="5"/>
  <c r="AR19" i="9"/>
  <c r="AR20" i="9" s="1"/>
  <c r="AR21" i="9" s="1"/>
  <c r="AS21" i="9" s="1"/>
  <c r="AI20" i="9"/>
  <c r="AI72" i="5"/>
  <c r="AR31" i="9"/>
  <c r="AR32" i="9" s="1"/>
  <c r="AR33" i="9" s="1"/>
  <c r="AS33" i="9" s="1"/>
  <c r="AI90" i="5"/>
  <c r="AI32" i="9"/>
  <c r="S55" i="8"/>
  <c r="S56" i="8" s="1"/>
  <c r="AS11" i="5"/>
  <c r="AG76" i="5"/>
  <c r="AB34" i="11" s="1"/>
  <c r="AH45" i="9"/>
  <c r="AG97" i="9"/>
  <c r="AH107" i="9" s="1"/>
  <c r="AH25" i="5" s="1"/>
  <c r="AG49" i="9"/>
  <c r="AG88" i="9"/>
  <c r="AG92" i="5" s="1"/>
  <c r="AH92" i="9"/>
  <c r="AG49" i="5"/>
  <c r="AH49" i="5" s="1"/>
  <c r="AF56" i="5"/>
  <c r="AR27" i="9"/>
  <c r="AR28" i="9" s="1"/>
  <c r="AR29" i="9" s="1"/>
  <c r="AS29" i="9" s="1"/>
  <c r="AI28" i="9"/>
  <c r="AI87" i="5"/>
  <c r="AH129" i="9"/>
  <c r="AG106" i="5"/>
  <c r="AC47" i="11"/>
  <c r="AG39" i="9"/>
  <c r="AG122" i="5" s="1"/>
  <c r="AI125" i="5"/>
  <c r="AR35" i="9"/>
  <c r="AR36" i="9" s="1"/>
  <c r="AS36" i="9" s="1"/>
  <c r="AH134" i="5"/>
  <c r="AC35" i="11"/>
  <c r="AI73" i="5"/>
  <c r="AR73" i="5" s="1"/>
  <c r="AI24" i="9"/>
  <c r="AR23" i="9"/>
  <c r="AR24" i="9" s="1"/>
  <c r="AR25" i="9" s="1"/>
  <c r="AS25" i="9" s="1"/>
  <c r="H63" i="12"/>
  <c r="H61" i="12"/>
  <c r="H157" i="12"/>
  <c r="H18" i="12"/>
  <c r="H123" i="12"/>
  <c r="H151" i="12"/>
  <c r="H155" i="12"/>
  <c r="AI119" i="9" l="1"/>
  <c r="AR119" i="9" s="1"/>
  <c r="AE169" i="5"/>
  <c r="AE178" i="5" s="1"/>
  <c r="AH113" i="9"/>
  <c r="AH91" i="5" s="1"/>
  <c r="AH137" i="5" s="1"/>
  <c r="H37" i="7"/>
  <c r="H32" i="7"/>
  <c r="H33" i="7"/>
  <c r="AL48" i="11"/>
  <c r="N46" i="8"/>
  <c r="O47" i="8"/>
  <c r="AQ151" i="9"/>
  <c r="AQ152" i="9" s="1"/>
  <c r="H31" i="17"/>
  <c r="H35" i="17"/>
  <c r="Z26" i="11"/>
  <c r="AG137" i="5"/>
  <c r="S39" i="10"/>
  <c r="AF144" i="9"/>
  <c r="AF143" i="9" s="1"/>
  <c r="AF109" i="5" s="1"/>
  <c r="AF110" i="5" s="1"/>
  <c r="AA49" i="11" s="1"/>
  <c r="AA50" i="11" s="1"/>
  <c r="AF35" i="5"/>
  <c r="AA24" i="11" s="1"/>
  <c r="AF120" i="5"/>
  <c r="AF140" i="5" s="1"/>
  <c r="AF169" i="5" s="1"/>
  <c r="AF36" i="5"/>
  <c r="AF100" i="9"/>
  <c r="H124" i="12"/>
  <c r="H20" i="12"/>
  <c r="H152" i="12"/>
  <c r="Y55" i="11"/>
  <c r="Y56" i="11" s="1"/>
  <c r="AE162" i="5"/>
  <c r="AE165" i="5" s="1"/>
  <c r="H64" i="12"/>
  <c r="AQ169" i="5"/>
  <c r="Z53" i="11"/>
  <c r="O10" i="8"/>
  <c r="Y49" i="11"/>
  <c r="AE111" i="5"/>
  <c r="Z55" i="11"/>
  <c r="H76" i="12"/>
  <c r="AQ162" i="5"/>
  <c r="AQ165" i="5" s="1"/>
  <c r="P47" i="8"/>
  <c r="Q46" i="8"/>
  <c r="Q47" i="8" s="1"/>
  <c r="H34" i="12"/>
  <c r="Z49" i="11"/>
  <c r="AQ111" i="5"/>
  <c r="AL43" i="11"/>
  <c r="Z44" i="11"/>
  <c r="AL44" i="11" s="1"/>
  <c r="P18" i="8"/>
  <c r="Q17" i="8"/>
  <c r="Q18" i="8" s="1"/>
  <c r="AI49" i="5"/>
  <c r="AR49" i="5" s="1"/>
  <c r="AG90" i="9"/>
  <c r="AG100" i="5" s="1"/>
  <c r="AG102" i="5" s="1"/>
  <c r="AH27" i="5"/>
  <c r="S23" i="10"/>
  <c r="AF59" i="5"/>
  <c r="AF63" i="5"/>
  <c r="AF58" i="5"/>
  <c r="AF102" i="9"/>
  <c r="AA29" i="11"/>
  <c r="F56" i="7"/>
  <c r="G56" i="7" s="1"/>
  <c r="AF81" i="10"/>
  <c r="AF82" i="10" s="1"/>
  <c r="AE81" i="10"/>
  <c r="AE82" i="10" s="1"/>
  <c r="AR72" i="5"/>
  <c r="AI133" i="5"/>
  <c r="AR133" i="5" s="1"/>
  <c r="AI91" i="5"/>
  <c r="AD43" i="11" s="1"/>
  <c r="AR113" i="9"/>
  <c r="AC11" i="10"/>
  <c r="AC12" i="10" s="1"/>
  <c r="AS14" i="5"/>
  <c r="S68" i="8"/>
  <c r="S69" i="8" s="1"/>
  <c r="AE77" i="10"/>
  <c r="AE78" i="10" s="1"/>
  <c r="AS212" i="6"/>
  <c r="AR114" i="9"/>
  <c r="AI99" i="5"/>
  <c r="AA55" i="11"/>
  <c r="AI129" i="9"/>
  <c r="AH106" i="5"/>
  <c r="AD11" i="10"/>
  <c r="AD12" i="10" s="1"/>
  <c r="AH91" i="9"/>
  <c r="AH47" i="9"/>
  <c r="AH39" i="9"/>
  <c r="AH122" i="5" s="1"/>
  <c r="AH21" i="5" s="1"/>
  <c r="AR90" i="5"/>
  <c r="AI138" i="5"/>
  <c r="AR138" i="5" s="1"/>
  <c r="AS18" i="6"/>
  <c r="AS10" i="6"/>
  <c r="AB42" i="11"/>
  <c r="AB44" i="11" s="1"/>
  <c r="AG94" i="5"/>
  <c r="AI170" i="5"/>
  <c r="V59" i="10" s="1"/>
  <c r="V60" i="10" s="1"/>
  <c r="AI148" i="5"/>
  <c r="AD54" i="11" s="1"/>
  <c r="AR142" i="5"/>
  <c r="AG21" i="5"/>
  <c r="AR87" i="5"/>
  <c r="AI136" i="5"/>
  <c r="AR136" i="5" s="1"/>
  <c r="AI132" i="5"/>
  <c r="AR132" i="5" s="1"/>
  <c r="AR125" i="5"/>
  <c r="AG78" i="5"/>
  <c r="AG51" i="9"/>
  <c r="AF77" i="10"/>
  <c r="AF78" i="10" s="1"/>
  <c r="AS16" i="5"/>
  <c r="AS203" i="6"/>
  <c r="AR70" i="5"/>
  <c r="AI131" i="5"/>
  <c r="AR131" i="5" s="1"/>
  <c r="H77" i="12"/>
  <c r="H153" i="12"/>
  <c r="H65" i="12"/>
  <c r="H35" i="12"/>
  <c r="H21" i="12"/>
  <c r="H125" i="12"/>
  <c r="AI77" i="5" l="1"/>
  <c r="AD35" i="11" s="1"/>
  <c r="AE173" i="5"/>
  <c r="AE158" i="9" s="1"/>
  <c r="AE174" i="5"/>
  <c r="AC43" i="11"/>
  <c r="AF162" i="5"/>
  <c r="AQ146" i="9"/>
  <c r="AQ147" i="9" s="1"/>
  <c r="AQ155" i="9"/>
  <c r="AA53" i="11"/>
  <c r="AA56" i="11" s="1"/>
  <c r="Z56" i="11"/>
  <c r="Z58" i="11" s="1"/>
  <c r="AF111" i="5"/>
  <c r="AG151" i="5"/>
  <c r="AG161" i="5" s="1"/>
  <c r="AB55" i="11" s="1"/>
  <c r="P10" i="8"/>
  <c r="O11" i="8"/>
  <c r="F58" i="7"/>
  <c r="G58" i="7" s="1"/>
  <c r="AA25" i="11"/>
  <c r="S47" i="10"/>
  <c r="S48" i="10" s="1"/>
  <c r="Y50" i="11"/>
  <c r="AL49" i="11"/>
  <c r="AQ174" i="5"/>
  <c r="AQ178" i="5"/>
  <c r="AQ173" i="5"/>
  <c r="Y58" i="11"/>
  <c r="AR164" i="5"/>
  <c r="AE57" i="11" s="1"/>
  <c r="AL53" i="11"/>
  <c r="AB46" i="11"/>
  <c r="AB48" i="11" s="1"/>
  <c r="AF164" i="5"/>
  <c r="AA57" i="11" s="1"/>
  <c r="AE69" i="5"/>
  <c r="Z50" i="11"/>
  <c r="AL55" i="11"/>
  <c r="S43" i="10"/>
  <c r="S44" i="10" s="1"/>
  <c r="S40" i="10"/>
  <c r="AS18" i="5"/>
  <c r="AS130" i="9" s="1"/>
  <c r="AS123" i="5" s="1"/>
  <c r="AS49" i="5" s="1"/>
  <c r="AS213" i="6"/>
  <c r="AS215" i="6"/>
  <c r="AS216" i="6"/>
  <c r="AG104" i="9"/>
  <c r="AA30" i="11"/>
  <c r="AF60" i="5"/>
  <c r="AF64" i="5"/>
  <c r="S31" i="10"/>
  <c r="AS41" i="5"/>
  <c r="J94" i="12"/>
  <c r="AB36" i="11"/>
  <c r="AG135" i="5"/>
  <c r="AG22" i="5"/>
  <c r="AG23" i="5" s="1"/>
  <c r="AG47" i="5"/>
  <c r="AB16" i="11"/>
  <c r="AR112" i="9"/>
  <c r="AR116" i="9" s="1"/>
  <c r="AR117" i="9" s="1"/>
  <c r="AS117" i="9" s="1"/>
  <c r="AH88" i="9"/>
  <c r="AH92" i="5" s="1"/>
  <c r="AI92" i="9"/>
  <c r="AH97" i="9"/>
  <c r="AI107" i="9" s="1"/>
  <c r="AI25" i="5" s="1"/>
  <c r="AH49" i="9"/>
  <c r="AF178" i="5"/>
  <c r="AF174" i="5"/>
  <c r="AF173" i="5"/>
  <c r="AR170" i="5"/>
  <c r="AB59" i="10" s="1"/>
  <c r="AB60" i="10" s="1"/>
  <c r="I27" i="7"/>
  <c r="I66" i="12"/>
  <c r="AR148" i="5"/>
  <c r="I25" i="17"/>
  <c r="I26" i="17" s="1"/>
  <c r="K15" i="17"/>
  <c r="K15" i="7"/>
  <c r="AD7" i="10"/>
  <c r="AD8" i="10" s="1"/>
  <c r="AH22" i="5"/>
  <c r="AH23" i="5" s="1"/>
  <c r="AH28" i="5" s="1"/>
  <c r="AH122" i="9" s="1"/>
  <c r="AH123" i="9" s="1"/>
  <c r="AH29" i="5" s="1"/>
  <c r="AH47" i="5"/>
  <c r="AC16" i="11"/>
  <c r="AC18" i="11" s="1"/>
  <c r="AR91" i="5"/>
  <c r="AE43" i="11" s="1"/>
  <c r="AM43" i="11" s="1"/>
  <c r="AI137" i="5"/>
  <c r="AR137" i="5" s="1"/>
  <c r="S24" i="10"/>
  <c r="S27" i="10"/>
  <c r="S28" i="10" s="1"/>
  <c r="AI45" i="9"/>
  <c r="AI47" i="9" s="1"/>
  <c r="AH76" i="5"/>
  <c r="AC34" i="11" s="1"/>
  <c r="AI106" i="5"/>
  <c r="AR129" i="9"/>
  <c r="AR99" i="5"/>
  <c r="AD47" i="11"/>
  <c r="AC7" i="10"/>
  <c r="AC8" i="10" s="1"/>
  <c r="J92" i="12"/>
  <c r="J90" i="12"/>
  <c r="J15" i="17"/>
  <c r="J16" i="17" s="1"/>
  <c r="AS5" i="9"/>
  <c r="J15" i="7"/>
  <c r="J16" i="7" s="1"/>
  <c r="AC19" i="11"/>
  <c r="AE11" i="10"/>
  <c r="AE12" i="10" s="1"/>
  <c r="AF11" i="10"/>
  <c r="AF12" i="10" s="1"/>
  <c r="J95" i="12"/>
  <c r="J93" i="12"/>
  <c r="I67" i="12"/>
  <c r="J91" i="12"/>
  <c r="AI134" i="5" l="1"/>
  <c r="AR134" i="5" s="1"/>
  <c r="AR77" i="5"/>
  <c r="AE35" i="11" s="1"/>
  <c r="AM35" i="11" s="1"/>
  <c r="Y59" i="11"/>
  <c r="R51" i="10"/>
  <c r="AE176" i="5"/>
  <c r="AE175" i="5"/>
  <c r="AL56" i="11"/>
  <c r="AL58" i="11"/>
  <c r="AR120" i="9"/>
  <c r="AS120" i="9" s="1"/>
  <c r="AR115" i="9"/>
  <c r="AS115" i="9" s="1"/>
  <c r="AF165" i="5"/>
  <c r="R52" i="10"/>
  <c r="R55" i="10"/>
  <c r="R56" i="10" s="1"/>
  <c r="AL50" i="11"/>
  <c r="AE75" i="5"/>
  <c r="AE98" i="9"/>
  <c r="AE99" i="9" s="1"/>
  <c r="AQ69" i="5"/>
  <c r="AM57" i="11"/>
  <c r="D15" i="20"/>
  <c r="AQ176" i="5"/>
  <c r="AQ158" i="9"/>
  <c r="Z59" i="11"/>
  <c r="AA51" i="10"/>
  <c r="H70" i="12"/>
  <c r="AQ175" i="5"/>
  <c r="O25" i="8"/>
  <c r="P11" i="8"/>
  <c r="Q10" i="8"/>
  <c r="Q11" i="8" s="1"/>
  <c r="AC20" i="11"/>
  <c r="AI27" i="5"/>
  <c r="AR25" i="5"/>
  <c r="AH78" i="5"/>
  <c r="AH51" i="9"/>
  <c r="AR132" i="9"/>
  <c r="AS129" i="9"/>
  <c r="M15" i="17"/>
  <c r="M15" i="7"/>
  <c r="AF7" i="10"/>
  <c r="AF8" i="10" s="1"/>
  <c r="AR106" i="5"/>
  <c r="I29" i="7"/>
  <c r="I28" i="7"/>
  <c r="AI91" i="9"/>
  <c r="AR92" i="9"/>
  <c r="AR93" i="9" s="1"/>
  <c r="AS93" i="9" s="1"/>
  <c r="AS54" i="9"/>
  <c r="AS31" i="9"/>
  <c r="AS27" i="9"/>
  <c r="AS19" i="9"/>
  <c r="AS23" i="9"/>
  <c r="AS42" i="9"/>
  <c r="AS142" i="5" s="1"/>
  <c r="AS35" i="9"/>
  <c r="AS125" i="5" s="1"/>
  <c r="AS132" i="5" s="1"/>
  <c r="AS9" i="9"/>
  <c r="AR47" i="9"/>
  <c r="AI76" i="5"/>
  <c r="AC42" i="11"/>
  <c r="AC44" i="11" s="1"/>
  <c r="AH94" i="5"/>
  <c r="I82" i="12"/>
  <c r="AE54" i="11"/>
  <c r="AM54" i="11" s="1"/>
  <c r="AF175" i="5"/>
  <c r="AF158" i="9"/>
  <c r="AA59" i="11"/>
  <c r="AF176" i="5"/>
  <c r="S51" i="10"/>
  <c r="AS116" i="9"/>
  <c r="AS112" i="9" s="1"/>
  <c r="AH30" i="5"/>
  <c r="AH32" i="5" s="1"/>
  <c r="AC21" i="11"/>
  <c r="AI39" i="9"/>
  <c r="AI122" i="5" s="1"/>
  <c r="AR45" i="9"/>
  <c r="K16" i="7"/>
  <c r="AG28" i="5"/>
  <c r="AG122" i="9" s="1"/>
  <c r="AG123" i="9" s="1"/>
  <c r="AG29" i="5" s="1"/>
  <c r="AG61" i="5"/>
  <c r="T15" i="10"/>
  <c r="AG43" i="5"/>
  <c r="AG46" i="5"/>
  <c r="AE7" i="10"/>
  <c r="AE8" i="10" s="1"/>
  <c r="L15" i="17"/>
  <c r="L16" i="17" s="1"/>
  <c r="L15" i="7"/>
  <c r="L16" i="7" s="1"/>
  <c r="AA58" i="11"/>
  <c r="K16" i="17"/>
  <c r="AB18" i="11"/>
  <c r="S35" i="10"/>
  <c r="S36" i="10" s="1"/>
  <c r="S32" i="10"/>
  <c r="AE47" i="11"/>
  <c r="AM47" i="11" s="1"/>
  <c r="I32" i="12"/>
  <c r="AH43" i="5"/>
  <c r="AH61" i="5"/>
  <c r="U15" i="10"/>
  <c r="AH46" i="5"/>
  <c r="AH56" i="5" s="1"/>
  <c r="AH90" i="9"/>
  <c r="AH100" i="5" s="1"/>
  <c r="I33" i="12"/>
  <c r="I83" i="12"/>
  <c r="H71" i="12"/>
  <c r="AL59" i="11" l="1"/>
  <c r="AC22" i="11"/>
  <c r="AF69" i="5"/>
  <c r="AG164" i="5"/>
  <c r="AB57" i="11" s="1"/>
  <c r="O26" i="8"/>
  <c r="P25" i="8"/>
  <c r="AE103" i="9"/>
  <c r="AE105" i="9"/>
  <c r="AE101" i="9"/>
  <c r="AQ98" i="9"/>
  <c r="AQ99" i="9" s="1"/>
  <c r="AQ75" i="5"/>
  <c r="AQ166" i="5"/>
  <c r="AA55" i="10"/>
  <c r="AA56" i="10" s="1"/>
  <c r="AA52" i="10"/>
  <c r="AE84" i="5"/>
  <c r="AE112" i="5" s="1"/>
  <c r="Y33" i="11"/>
  <c r="M16" i="7"/>
  <c r="AI21" i="5"/>
  <c r="AR122" i="5"/>
  <c r="AS10" i="9"/>
  <c r="AS70" i="5"/>
  <c r="I112" i="12"/>
  <c r="AR107" i="9"/>
  <c r="AR108" i="9" s="1"/>
  <c r="AS108" i="9" s="1"/>
  <c r="AR27" i="5"/>
  <c r="AH120" i="5"/>
  <c r="AH36" i="5"/>
  <c r="U39" i="10"/>
  <c r="AH144" i="9"/>
  <c r="AH35" i="5"/>
  <c r="AC24" i="11" s="1"/>
  <c r="AB21" i="11"/>
  <c r="AG30" i="5"/>
  <c r="AG32" i="5" s="1"/>
  <c r="AD19" i="11"/>
  <c r="AS24" i="9"/>
  <c r="AS73" i="5"/>
  <c r="M16" i="17"/>
  <c r="AF59" i="10"/>
  <c r="AF60" i="10" s="1"/>
  <c r="M25" i="17"/>
  <c r="M26" i="17" s="1"/>
  <c r="M27" i="7"/>
  <c r="S17" i="8"/>
  <c r="S18" i="8" s="1"/>
  <c r="AS170" i="5"/>
  <c r="AC59" i="10" s="1"/>
  <c r="AC60" i="10" s="1"/>
  <c r="AS148" i="5"/>
  <c r="J82" i="12" s="1"/>
  <c r="J27" i="7"/>
  <c r="J25" i="17"/>
  <c r="J26" i="17" s="1"/>
  <c r="J66" i="12"/>
  <c r="AH59" i="5"/>
  <c r="AC29" i="11"/>
  <c r="U23" i="10"/>
  <c r="AH58" i="5"/>
  <c r="AH63" i="5"/>
  <c r="U19" i="10"/>
  <c r="U20" i="10" s="1"/>
  <c r="U16" i="10"/>
  <c r="S55" i="10"/>
  <c r="S56" i="10" s="1"/>
  <c r="S52" i="10"/>
  <c r="AS20" i="9"/>
  <c r="AS72" i="5"/>
  <c r="AS106" i="5"/>
  <c r="AB20" i="11"/>
  <c r="AG56" i="5"/>
  <c r="AS87" i="5"/>
  <c r="AS136" i="5" s="1"/>
  <c r="AS28" i="9"/>
  <c r="AI97" i="9"/>
  <c r="AI88" i="9"/>
  <c r="AI49" i="9"/>
  <c r="AH151" i="5"/>
  <c r="AC46" i="11"/>
  <c r="AC48" i="11" s="1"/>
  <c r="AH102" i="5"/>
  <c r="AS114" i="9"/>
  <c r="AS99" i="5" s="1"/>
  <c r="K25" i="17"/>
  <c r="K26" i="17" s="1"/>
  <c r="K27" i="7"/>
  <c r="K28" i="7" s="1"/>
  <c r="AD59" i="10"/>
  <c r="AD60" i="10" s="1"/>
  <c r="AR76" i="5"/>
  <c r="AD34" i="11"/>
  <c r="AS90" i="5"/>
  <c r="AS138" i="5" s="1"/>
  <c r="AS32" i="9"/>
  <c r="AS119" i="9"/>
  <c r="AS77" i="5" s="1"/>
  <c r="T16" i="10"/>
  <c r="T19" i="10"/>
  <c r="T20" i="10" s="1"/>
  <c r="AR39" i="9"/>
  <c r="AR46" i="9"/>
  <c r="AS46" i="9" s="1"/>
  <c r="AH135" i="5"/>
  <c r="AC36" i="11"/>
  <c r="J67" i="12"/>
  <c r="I113" i="12"/>
  <c r="J83" i="12"/>
  <c r="AF98" i="9" l="1"/>
  <c r="AF99" i="9" s="1"/>
  <c r="AF75" i="5"/>
  <c r="AQ84" i="5"/>
  <c r="H42" i="12"/>
  <c r="Z33" i="11"/>
  <c r="Z40" i="11" s="1"/>
  <c r="Z51" i="11" s="1"/>
  <c r="AQ101" i="9"/>
  <c r="AQ105" i="9"/>
  <c r="H44" i="12"/>
  <c r="AQ103" i="9"/>
  <c r="Y40" i="11"/>
  <c r="P26" i="8"/>
  <c r="Q25" i="8"/>
  <c r="Q26" i="8" s="1"/>
  <c r="AS133" i="5"/>
  <c r="K29" i="7"/>
  <c r="J28" i="7"/>
  <c r="J29" i="7"/>
  <c r="AH140" i="5"/>
  <c r="I24" i="17"/>
  <c r="I26" i="7"/>
  <c r="AE34" i="11"/>
  <c r="AM34" i="11" s="1"/>
  <c r="AH161" i="5"/>
  <c r="AE19" i="11"/>
  <c r="AM19" i="11" s="1"/>
  <c r="AI22" i="5"/>
  <c r="AI23" i="5" s="1"/>
  <c r="AI47" i="5"/>
  <c r="AR47" i="5" s="1"/>
  <c r="AD16" i="11"/>
  <c r="AR21" i="5"/>
  <c r="L27" i="7"/>
  <c r="M29" i="7" s="1"/>
  <c r="AE59" i="10"/>
  <c r="AE60" i="10" s="1"/>
  <c r="L25" i="17"/>
  <c r="L26" i="17" s="1"/>
  <c r="J32" i="12"/>
  <c r="AH60" i="5"/>
  <c r="U31" i="10"/>
  <c r="AH64" i="5"/>
  <c r="AC30" i="11"/>
  <c r="AG35" i="5"/>
  <c r="AG144" i="9"/>
  <c r="AG143" i="9" s="1"/>
  <c r="AG109" i="5" s="1"/>
  <c r="AG110" i="5" s="1"/>
  <c r="AG120" i="5"/>
  <c r="AG140" i="5" s="1"/>
  <c r="AG36" i="5"/>
  <c r="T39" i="10"/>
  <c r="AH100" i="9"/>
  <c r="AG100" i="9"/>
  <c r="AS134" i="5"/>
  <c r="U24" i="10"/>
  <c r="U27" i="10"/>
  <c r="U28" i="10" s="1"/>
  <c r="AB22" i="11"/>
  <c r="AI51" i="9"/>
  <c r="AI78" i="5"/>
  <c r="AR49" i="9"/>
  <c r="AB29" i="11"/>
  <c r="T23" i="10"/>
  <c r="AG63" i="5"/>
  <c r="AG58" i="5"/>
  <c r="AG59" i="5"/>
  <c r="AG102" i="9"/>
  <c r="AH102" i="9"/>
  <c r="M28" i="7"/>
  <c r="AS131" i="5"/>
  <c r="U40" i="10"/>
  <c r="U43" i="10"/>
  <c r="U44" i="10" s="1"/>
  <c r="AC25" i="11"/>
  <c r="U47" i="10"/>
  <c r="U48" i="10" s="1"/>
  <c r="AS113" i="9"/>
  <c r="AS91" i="5" s="1"/>
  <c r="AS137" i="5" s="1"/>
  <c r="AI90" i="9"/>
  <c r="AI92" i="5"/>
  <c r="AR88" i="9"/>
  <c r="H43" i="12"/>
  <c r="H45" i="12"/>
  <c r="J33" i="12"/>
  <c r="AA33" i="11" l="1"/>
  <c r="AA40" i="11" s="1"/>
  <c r="AA51" i="11" s="1"/>
  <c r="AF84" i="5"/>
  <c r="AF112" i="5" s="1"/>
  <c r="AF105" i="9"/>
  <c r="AF103" i="9"/>
  <c r="AF101" i="9"/>
  <c r="AL40" i="11"/>
  <c r="Y51" i="11"/>
  <c r="AL33" i="11"/>
  <c r="H22" i="12"/>
  <c r="AQ112" i="5"/>
  <c r="AH143" i="9"/>
  <c r="AH109" i="5" s="1"/>
  <c r="AH110" i="5" s="1"/>
  <c r="AB24" i="11"/>
  <c r="T24" i="10"/>
  <c r="T27" i="10"/>
  <c r="T28" i="10" s="1"/>
  <c r="AD18" i="11"/>
  <c r="AC55" i="11"/>
  <c r="AH162" i="5"/>
  <c r="AR22" i="5"/>
  <c r="AR23" i="5" s="1"/>
  <c r="AE16" i="11"/>
  <c r="AE18" i="11" s="1"/>
  <c r="AE20" i="11" s="1"/>
  <c r="I104" i="12"/>
  <c r="AR51" i="9"/>
  <c r="V15" i="10"/>
  <c r="AI46" i="5"/>
  <c r="AI61" i="5"/>
  <c r="AI43" i="5"/>
  <c r="AI28" i="5"/>
  <c r="AI122" i="9" s="1"/>
  <c r="AI123" i="9" s="1"/>
  <c r="AI29" i="5" s="1"/>
  <c r="AI135" i="5"/>
  <c r="AR135" i="5" s="1"/>
  <c r="AR78" i="5"/>
  <c r="AD36" i="11"/>
  <c r="T40" i="10"/>
  <c r="T43" i="10"/>
  <c r="T44" i="10" s="1"/>
  <c r="AC53" i="11"/>
  <c r="AH169" i="5"/>
  <c r="AD42" i="11"/>
  <c r="AR92" i="5"/>
  <c r="AI94" i="5"/>
  <c r="AI100" i="5"/>
  <c r="AR90" i="9"/>
  <c r="AR91" i="9" s="1"/>
  <c r="AR89" i="9" s="1"/>
  <c r="AS89" i="9" s="1"/>
  <c r="T47" i="10"/>
  <c r="T48" i="10" s="1"/>
  <c r="AB25" i="11"/>
  <c r="U35" i="10"/>
  <c r="U36" i="10" s="1"/>
  <c r="U32" i="10"/>
  <c r="AG162" i="5"/>
  <c r="AG165" i="5" s="1"/>
  <c r="AB53" i="11"/>
  <c r="AG169" i="5"/>
  <c r="AB30" i="11"/>
  <c r="AG60" i="5"/>
  <c r="AG64" i="5"/>
  <c r="T31" i="10"/>
  <c r="AI104" i="9"/>
  <c r="AH104" i="9"/>
  <c r="AB49" i="11"/>
  <c r="AB50" i="11" s="1"/>
  <c r="AG111" i="5"/>
  <c r="L28" i="7"/>
  <c r="L29" i="7"/>
  <c r="I105" i="12"/>
  <c r="H23" i="12"/>
  <c r="H30" i="12" l="1"/>
  <c r="AC56" i="11"/>
  <c r="AD21" i="11"/>
  <c r="AI30" i="5"/>
  <c r="AI32" i="5" s="1"/>
  <c r="AR29" i="5"/>
  <c r="AE42" i="11"/>
  <c r="AE44" i="11" s="1"/>
  <c r="AR94" i="5"/>
  <c r="T35" i="10"/>
  <c r="T36" i="10" s="1"/>
  <c r="T32" i="10"/>
  <c r="AD44" i="11"/>
  <c r="AG173" i="5"/>
  <c r="AG174" i="5"/>
  <c r="AG178" i="5"/>
  <c r="AR97" i="9"/>
  <c r="AS107" i="9" s="1"/>
  <c r="AS25" i="5" s="1"/>
  <c r="AE36" i="11"/>
  <c r="AM36" i="11" s="1"/>
  <c r="I28" i="12"/>
  <c r="AI56" i="5"/>
  <c r="AR46" i="5"/>
  <c r="AR56" i="5" s="1"/>
  <c r="I106" i="12"/>
  <c r="I18" i="7"/>
  <c r="I20" i="7" s="1"/>
  <c r="I21" i="7" s="1"/>
  <c r="AR43" i="5"/>
  <c r="I108" i="12"/>
  <c r="AR61" i="5"/>
  <c r="AB15" i="10"/>
  <c r="I18" i="17"/>
  <c r="I19" i="17" s="1"/>
  <c r="AR28" i="5"/>
  <c r="AR122" i="9" s="1"/>
  <c r="I62" i="12"/>
  <c r="I25" i="7"/>
  <c r="I23" i="17"/>
  <c r="V19" i="10"/>
  <c r="V20" i="10" s="1"/>
  <c r="V16" i="10"/>
  <c r="AM16" i="11"/>
  <c r="AD20" i="11"/>
  <c r="AM20" i="11" s="1"/>
  <c r="AM18" i="11"/>
  <c r="AI151" i="5"/>
  <c r="AD46" i="11"/>
  <c r="AR100" i="5"/>
  <c r="AI102" i="5"/>
  <c r="AC49" i="11"/>
  <c r="AC50" i="11" s="1"/>
  <c r="AH111" i="5"/>
  <c r="AB56" i="11"/>
  <c r="AH164" i="5"/>
  <c r="AG69" i="5"/>
  <c r="AR50" i="9"/>
  <c r="AS50" i="9" s="1"/>
  <c r="AR94" i="9"/>
  <c r="AR95" i="9" s="1"/>
  <c r="AS95" i="9" s="1"/>
  <c r="AS92" i="9"/>
  <c r="AH178" i="5"/>
  <c r="AH174" i="5"/>
  <c r="AH173" i="5"/>
  <c r="H31" i="12"/>
  <c r="I63" i="12"/>
  <c r="I109" i="12"/>
  <c r="I29" i="12"/>
  <c r="I107" i="12"/>
  <c r="I110" i="12" l="1"/>
  <c r="AM44" i="11"/>
  <c r="AB23" i="10"/>
  <c r="AR58" i="5"/>
  <c r="AE29" i="11"/>
  <c r="AR59" i="5"/>
  <c r="AR102" i="9"/>
  <c r="AR63" i="5"/>
  <c r="I96" i="12"/>
  <c r="I98" i="12"/>
  <c r="AG175" i="5"/>
  <c r="T51" i="10"/>
  <c r="AG158" i="9"/>
  <c r="AB59" i="11"/>
  <c r="AG176" i="5"/>
  <c r="AD48" i="11"/>
  <c r="AI63" i="5"/>
  <c r="AD29" i="11"/>
  <c r="AI58" i="5"/>
  <c r="V23" i="10"/>
  <c r="AI59" i="5"/>
  <c r="AI102" i="9"/>
  <c r="AG98" i="9"/>
  <c r="AG99" i="9" s="1"/>
  <c r="AG75" i="5"/>
  <c r="C19" i="16"/>
  <c r="C20" i="16" s="1"/>
  <c r="C22" i="16" s="1"/>
  <c r="H3" i="16" s="1"/>
  <c r="AR123" i="9"/>
  <c r="AR124" i="9" s="1"/>
  <c r="I114" i="12"/>
  <c r="AE21" i="11"/>
  <c r="AE22" i="11" s="1"/>
  <c r="AR30" i="5"/>
  <c r="AR32" i="5" s="1"/>
  <c r="AH165" i="5"/>
  <c r="AC57" i="11"/>
  <c r="AC58" i="11" s="1"/>
  <c r="AB16" i="10"/>
  <c r="AB19" i="10"/>
  <c r="AB20" i="10" s="1"/>
  <c r="AI144" i="9"/>
  <c r="AI143" i="9" s="1"/>
  <c r="AI120" i="5"/>
  <c r="AI140" i="5" s="1"/>
  <c r="AI36" i="5"/>
  <c r="AI35" i="5"/>
  <c r="V39" i="10"/>
  <c r="AI100" i="9"/>
  <c r="AI161" i="5"/>
  <c r="AR151" i="5"/>
  <c r="AR161" i="5" s="1"/>
  <c r="U51" i="10"/>
  <c r="AC59" i="11"/>
  <c r="AH158" i="9"/>
  <c r="AH175" i="5"/>
  <c r="AH176" i="5"/>
  <c r="AS94" i="9"/>
  <c r="AS91" i="9" s="1"/>
  <c r="AS49" i="9" s="1"/>
  <c r="AM42" i="11"/>
  <c r="AD22" i="11"/>
  <c r="AB58" i="11"/>
  <c r="AE46" i="11"/>
  <c r="AE48" i="11" s="1"/>
  <c r="AR102" i="5"/>
  <c r="J112" i="12"/>
  <c r="AS27" i="5"/>
  <c r="I97" i="12"/>
  <c r="I111" i="12"/>
  <c r="I115" i="12"/>
  <c r="J113" i="12"/>
  <c r="I99" i="12"/>
  <c r="AM29" i="11" l="1"/>
  <c r="AM21" i="11"/>
  <c r="AM22" i="11"/>
  <c r="AM48" i="11"/>
  <c r="AD24" i="11"/>
  <c r="AR35" i="5"/>
  <c r="AE24" i="11" s="1"/>
  <c r="V43" i="10"/>
  <c r="V44" i="10" s="1"/>
  <c r="V40" i="10"/>
  <c r="AI164" i="5"/>
  <c r="AH69" i="5"/>
  <c r="AG101" i="9"/>
  <c r="AG103" i="9"/>
  <c r="AG105" i="9"/>
  <c r="AM46" i="11"/>
  <c r="AB39" i="10"/>
  <c r="AR100" i="9"/>
  <c r="I138" i="12"/>
  <c r="I116" i="12"/>
  <c r="AR144" i="9"/>
  <c r="AR120" i="5"/>
  <c r="V47" i="10"/>
  <c r="V48" i="10" s="1"/>
  <c r="AD25" i="11"/>
  <c r="AR36" i="5"/>
  <c r="U52" i="10"/>
  <c r="U55" i="10"/>
  <c r="U56" i="10" s="1"/>
  <c r="AI109" i="5"/>
  <c r="AR143" i="9"/>
  <c r="I23" i="7"/>
  <c r="I24" i="7" s="1"/>
  <c r="I31" i="7" s="1"/>
  <c r="I21" i="17"/>
  <c r="I22" i="17" s="1"/>
  <c r="I29" i="17" s="1"/>
  <c r="AS124" i="9"/>
  <c r="V27" i="10"/>
  <c r="V28" i="10" s="1"/>
  <c r="V24" i="10"/>
  <c r="AE55" i="11"/>
  <c r="I76" i="12"/>
  <c r="V31" i="10"/>
  <c r="AI64" i="5"/>
  <c r="AD30" i="11"/>
  <c r="AI60" i="5"/>
  <c r="T52" i="10"/>
  <c r="T55" i="10"/>
  <c r="T56" i="10" s="1"/>
  <c r="AE30" i="11"/>
  <c r="C5" i="15"/>
  <c r="AR60" i="5"/>
  <c r="AR64" i="5"/>
  <c r="AR104" i="9"/>
  <c r="AB31" i="10"/>
  <c r="AB27" i="10"/>
  <c r="AB28" i="10" s="1"/>
  <c r="AB24" i="10"/>
  <c r="AI169" i="5"/>
  <c r="AD53" i="11"/>
  <c r="AS78" i="5"/>
  <c r="AS135" i="5" s="1"/>
  <c r="AS51" i="9"/>
  <c r="AS45" i="9" s="1"/>
  <c r="AD55" i="11"/>
  <c r="AI162" i="5"/>
  <c r="AS88" i="9"/>
  <c r="AS90" i="9" s="1"/>
  <c r="AS100" i="5" s="1"/>
  <c r="AG84" i="5"/>
  <c r="AG112" i="5" s="1"/>
  <c r="AB33" i="11"/>
  <c r="AB40" i="11" s="1"/>
  <c r="AB51" i="11" s="1"/>
  <c r="I139" i="12"/>
  <c r="I77" i="12"/>
  <c r="I117" i="12"/>
  <c r="AM55" i="11" l="1"/>
  <c r="I122" i="12"/>
  <c r="AR38" i="5"/>
  <c r="AE26" i="11" s="1"/>
  <c r="AS102" i="5"/>
  <c r="AR109" i="5"/>
  <c r="AR110" i="5" s="1"/>
  <c r="AI110" i="5"/>
  <c r="I60" i="12"/>
  <c r="AR140" i="5"/>
  <c r="AS39" i="9"/>
  <c r="AS122" i="5" s="1"/>
  <c r="AS47" i="9"/>
  <c r="AH98" i="9"/>
  <c r="AH99" i="9" s="1"/>
  <c r="AH75" i="5"/>
  <c r="J25" i="7"/>
  <c r="J23" i="17"/>
  <c r="J62" i="12"/>
  <c r="AB32" i="10"/>
  <c r="AB35" i="10"/>
  <c r="AB36" i="10" s="1"/>
  <c r="AB47" i="10"/>
  <c r="AB48" i="10" s="1"/>
  <c r="I154" i="12"/>
  <c r="I17" i="12"/>
  <c r="AE25" i="11"/>
  <c r="AM25" i="11" s="1"/>
  <c r="C9" i="16"/>
  <c r="L3" i="16"/>
  <c r="L4" i="16" s="1"/>
  <c r="AD57" i="11"/>
  <c r="AI165" i="5"/>
  <c r="AI69" i="5" s="1"/>
  <c r="AS92" i="5"/>
  <c r="AS94" i="5" s="1"/>
  <c r="AS97" i="9"/>
  <c r="AD56" i="11"/>
  <c r="J21" i="17"/>
  <c r="J23" i="7"/>
  <c r="AI173" i="5"/>
  <c r="AI174" i="5"/>
  <c r="AI178" i="5"/>
  <c r="I31" i="17"/>
  <c r="I30" i="17"/>
  <c r="I35" i="17"/>
  <c r="AB40" i="10"/>
  <c r="AB43" i="10"/>
  <c r="AB44" i="10" s="1"/>
  <c r="AM30" i="11"/>
  <c r="V35" i="10"/>
  <c r="V36" i="10" s="1"/>
  <c r="V32" i="10"/>
  <c r="I33" i="7"/>
  <c r="I37" i="7"/>
  <c r="I32" i="7"/>
  <c r="C7" i="15"/>
  <c r="C27" i="15"/>
  <c r="AR39" i="5"/>
  <c r="AM24" i="11"/>
  <c r="J63" i="12"/>
  <c r="I18" i="12"/>
  <c r="I151" i="12"/>
  <c r="I155" i="12"/>
  <c r="I61" i="12"/>
  <c r="I123" i="12"/>
  <c r="I150" i="12" l="1"/>
  <c r="I152" i="12" s="1"/>
  <c r="AR151" i="9"/>
  <c r="AR146" i="9" s="1"/>
  <c r="I20" i="12"/>
  <c r="I124" i="12"/>
  <c r="AD58" i="11"/>
  <c r="AH105" i="9"/>
  <c r="AH101" i="9"/>
  <c r="AH103" i="9"/>
  <c r="AI111" i="5"/>
  <c r="AD49" i="11"/>
  <c r="AS76" i="5"/>
  <c r="J28" i="12" s="1"/>
  <c r="I34" i="12"/>
  <c r="AE49" i="11"/>
  <c r="AE50" i="11" s="1"/>
  <c r="AR111" i="5"/>
  <c r="AS151" i="5"/>
  <c r="AI75" i="5"/>
  <c r="AI98" i="9"/>
  <c r="AI99" i="9" s="1"/>
  <c r="AR69" i="5"/>
  <c r="AI176" i="5"/>
  <c r="AI158" i="9"/>
  <c r="AI175" i="5"/>
  <c r="V51" i="10"/>
  <c r="AD59" i="11"/>
  <c r="AE27" i="11"/>
  <c r="C10" i="16"/>
  <c r="C36" i="16" s="1"/>
  <c r="F3" i="16" s="1"/>
  <c r="AR154" i="9"/>
  <c r="I156" i="12"/>
  <c r="K21" i="17"/>
  <c r="K23" i="7"/>
  <c r="C41" i="16"/>
  <c r="C42" i="16" s="1"/>
  <c r="C27" i="16"/>
  <c r="C28" i="16" s="1"/>
  <c r="AR169" i="5"/>
  <c r="AE53" i="11"/>
  <c r="I64" i="12"/>
  <c r="AR162" i="5"/>
  <c r="AR165" i="5" s="1"/>
  <c r="J24" i="17"/>
  <c r="J26" i="7"/>
  <c r="AS21" i="5"/>
  <c r="C29" i="15"/>
  <c r="C82" i="15" s="1"/>
  <c r="C51" i="15"/>
  <c r="C53" i="15" s="1"/>
  <c r="AC33" i="11"/>
  <c r="AC40" i="11" s="1"/>
  <c r="AC51" i="11" s="1"/>
  <c r="AH84" i="5"/>
  <c r="AH112" i="5" s="1"/>
  <c r="I65" i="12"/>
  <c r="I21" i="12"/>
  <c r="J29" i="12"/>
  <c r="I35" i="12"/>
  <c r="I157" i="12"/>
  <c r="I153" i="12"/>
  <c r="I125" i="12"/>
  <c r="AR152" i="9" l="1"/>
  <c r="AS152" i="9" s="1"/>
  <c r="AS151" i="9" s="1"/>
  <c r="AS38" i="5" s="1"/>
  <c r="AR155" i="9"/>
  <c r="AS155" i="9" s="1"/>
  <c r="C29" i="16"/>
  <c r="G3" i="16" s="1"/>
  <c r="H56" i="15"/>
  <c r="C54" i="15"/>
  <c r="C81" i="15"/>
  <c r="C83" i="15" s="1"/>
  <c r="H80" i="15" s="1"/>
  <c r="C43" i="16"/>
  <c r="J3" i="16" s="1"/>
  <c r="AS22" i="5"/>
  <c r="AS23" i="5" s="1"/>
  <c r="AS47" i="5"/>
  <c r="J104" i="12"/>
  <c r="L23" i="7"/>
  <c r="L21" i="17"/>
  <c r="AR98" i="9"/>
  <c r="AR99" i="9" s="1"/>
  <c r="AR75" i="5"/>
  <c r="AR147" i="9"/>
  <c r="AS146" i="9"/>
  <c r="V55" i="10"/>
  <c r="V56" i="10" s="1"/>
  <c r="V52" i="10"/>
  <c r="AI105" i="9"/>
  <c r="AI101" i="9"/>
  <c r="AI103" i="9"/>
  <c r="AS164" i="5"/>
  <c r="AR166" i="5"/>
  <c r="AS166" i="5" s="1"/>
  <c r="AD50" i="11"/>
  <c r="AM50" i="11" s="1"/>
  <c r="AM49" i="11"/>
  <c r="AR174" i="5"/>
  <c r="AR178" i="5"/>
  <c r="AR173" i="5"/>
  <c r="AD33" i="11"/>
  <c r="AI84" i="5"/>
  <c r="AI112" i="5" s="1"/>
  <c r="AE56" i="11"/>
  <c r="AM53" i="11"/>
  <c r="C11" i="16"/>
  <c r="C13" i="16" s="1"/>
  <c r="C14" i="16" s="1"/>
  <c r="K3" i="16" s="1"/>
  <c r="J105" i="12"/>
  <c r="M25" i="7" l="1"/>
  <c r="AS154" i="9"/>
  <c r="AS39" i="5" s="1"/>
  <c r="J156" i="12" s="1"/>
  <c r="AR103" i="9"/>
  <c r="I44" i="12"/>
  <c r="AR101" i="9"/>
  <c r="AR105" i="9"/>
  <c r="J108" i="12"/>
  <c r="AC15" i="10"/>
  <c r="AS61" i="5"/>
  <c r="J106" i="12"/>
  <c r="J18" i="17"/>
  <c r="J18" i="7"/>
  <c r="J20" i="7" s="1"/>
  <c r="AS46" i="5"/>
  <c r="AS56" i="5" s="1"/>
  <c r="AS43" i="5"/>
  <c r="AS28" i="5"/>
  <c r="AS122" i="9" s="1"/>
  <c r="AS123" i="9" s="1"/>
  <c r="AS29" i="5" s="1"/>
  <c r="M21" i="17"/>
  <c r="M23" i="7"/>
  <c r="I42" i="12"/>
  <c r="AE33" i="11"/>
  <c r="AE40" i="11" s="1"/>
  <c r="AE51" i="11" s="1"/>
  <c r="AR84" i="5"/>
  <c r="AD40" i="11"/>
  <c r="AE58" i="11"/>
  <c r="AM58" i="11" s="1"/>
  <c r="AM56" i="11"/>
  <c r="K25" i="7"/>
  <c r="K23" i="17"/>
  <c r="AR158" i="9"/>
  <c r="AR176" i="5"/>
  <c r="AR175" i="5"/>
  <c r="I70" i="12"/>
  <c r="AB51" i="10"/>
  <c r="AE59" i="11"/>
  <c r="AM59" i="11" s="1"/>
  <c r="AS145" i="9"/>
  <c r="K24" i="17"/>
  <c r="K26" i="7"/>
  <c r="J107" i="12"/>
  <c r="I43" i="12"/>
  <c r="I71" i="12"/>
  <c r="J109" i="12"/>
  <c r="J157" i="12"/>
  <c r="I45" i="12"/>
  <c r="J110" i="12" l="1"/>
  <c r="M23" i="17"/>
  <c r="AM33" i="11"/>
  <c r="AC19" i="10"/>
  <c r="AC20" i="10" s="1"/>
  <c r="AC16" i="10"/>
  <c r="AS30" i="5"/>
  <c r="AS32" i="5" s="1"/>
  <c r="J114" i="12"/>
  <c r="AS156" i="5"/>
  <c r="AS157" i="9"/>
  <c r="AM40" i="11"/>
  <c r="AD51" i="11"/>
  <c r="I22" i="12"/>
  <c r="AR112" i="5"/>
  <c r="J98" i="12"/>
  <c r="AS59" i="5"/>
  <c r="AS58" i="5"/>
  <c r="J96" i="12"/>
  <c r="AS102" i="9"/>
  <c r="AS63" i="5"/>
  <c r="AC23" i="10"/>
  <c r="J21" i="7"/>
  <c r="J24" i="7"/>
  <c r="J31" i="7" s="1"/>
  <c r="L24" i="17"/>
  <c r="L26" i="7"/>
  <c r="AB55" i="10"/>
  <c r="AB56" i="10" s="1"/>
  <c r="AB52" i="10"/>
  <c r="J19" i="17"/>
  <c r="J22" i="17"/>
  <c r="J29" i="17" s="1"/>
  <c r="I23" i="12"/>
  <c r="J99" i="12"/>
  <c r="J115" i="12"/>
  <c r="J111" i="12"/>
  <c r="J97" i="12"/>
  <c r="I30" i="12" l="1"/>
  <c r="L25" i="7"/>
  <c r="L23" i="17"/>
  <c r="AS120" i="5"/>
  <c r="AS144" i="9"/>
  <c r="AS143" i="9" s="1"/>
  <c r="J116" i="12"/>
  <c r="AS100" i="9"/>
  <c r="AC39" i="10"/>
  <c r="J138" i="12"/>
  <c r="AS35" i="5"/>
  <c r="AS36" i="5"/>
  <c r="AS64" i="5"/>
  <c r="S46" i="8"/>
  <c r="AC31" i="10"/>
  <c r="AS104" i="9"/>
  <c r="AS60" i="5"/>
  <c r="J37" i="7"/>
  <c r="J32" i="7"/>
  <c r="J33" i="7"/>
  <c r="AS161" i="9"/>
  <c r="AS159" i="9"/>
  <c r="AS162" i="9"/>
  <c r="K18" i="17"/>
  <c r="AD15" i="10"/>
  <c r="K18" i="7"/>
  <c r="K20" i="7" s="1"/>
  <c r="J150" i="12"/>
  <c r="J80" i="12"/>
  <c r="AS161" i="5"/>
  <c r="J30" i="17"/>
  <c r="J35" i="17"/>
  <c r="J31" i="17"/>
  <c r="AC27" i="10"/>
  <c r="AC28" i="10" s="1"/>
  <c r="AC24" i="10"/>
  <c r="J151" i="12"/>
  <c r="J81" i="12"/>
  <c r="I31" i="12"/>
  <c r="J117" i="12"/>
  <c r="J139" i="12"/>
  <c r="J122" i="12" l="1"/>
  <c r="J152" i="12"/>
  <c r="AD39" i="10"/>
  <c r="AC35" i="10"/>
  <c r="AC36" i="10" s="1"/>
  <c r="AC32" i="10"/>
  <c r="AC47" i="10"/>
  <c r="AC48" i="10" s="1"/>
  <c r="J17" i="12"/>
  <c r="J154" i="12"/>
  <c r="S49" i="8"/>
  <c r="S47" i="8"/>
  <c r="AD23" i="10"/>
  <c r="K21" i="7"/>
  <c r="K24" i="7"/>
  <c r="K31" i="7" s="1"/>
  <c r="AC40" i="10"/>
  <c r="AC43" i="10"/>
  <c r="AC44" i="10" s="1"/>
  <c r="AD16" i="10"/>
  <c r="AD19" i="10"/>
  <c r="AD20" i="10" s="1"/>
  <c r="L18" i="17"/>
  <c r="AE15" i="10"/>
  <c r="L18" i="7"/>
  <c r="L20" i="7" s="1"/>
  <c r="M26" i="7"/>
  <c r="M24" i="17"/>
  <c r="K17" i="12"/>
  <c r="AD47" i="10"/>
  <c r="AD48" i="10" s="1"/>
  <c r="J76" i="12"/>
  <c r="K19" i="17"/>
  <c r="K22" i="17"/>
  <c r="K29" i="17" s="1"/>
  <c r="AS109" i="5"/>
  <c r="AS110" i="5" s="1"/>
  <c r="J60" i="12"/>
  <c r="AS140" i="5"/>
  <c r="J153" i="12"/>
  <c r="J77" i="12"/>
  <c r="J61" i="12"/>
  <c r="J18" i="12"/>
  <c r="J155" i="12"/>
  <c r="K18" i="12"/>
  <c r="J123" i="12"/>
  <c r="J20" i="12" l="1"/>
  <c r="K20" i="12"/>
  <c r="J124" i="12"/>
  <c r="K32" i="7"/>
  <c r="K33" i="7"/>
  <c r="K37" i="7"/>
  <c r="J64" i="12"/>
  <c r="AS169" i="5"/>
  <c r="S10" i="8"/>
  <c r="S11" i="8" s="1"/>
  <c r="AE23" i="10"/>
  <c r="AD43" i="10"/>
  <c r="AD44" i="10" s="1"/>
  <c r="AD40" i="10"/>
  <c r="AS111" i="5"/>
  <c r="J34" i="12"/>
  <c r="L19" i="17"/>
  <c r="L22" i="17"/>
  <c r="L29" i="17" s="1"/>
  <c r="AE19" i="10"/>
  <c r="AE20" i="10" s="1"/>
  <c r="AE16" i="10"/>
  <c r="AD31" i="10"/>
  <c r="K31" i="17"/>
  <c r="K30" i="17"/>
  <c r="K35" i="17"/>
  <c r="AS162" i="5"/>
  <c r="AS165" i="5" s="1"/>
  <c r="AE39" i="10"/>
  <c r="L21" i="7"/>
  <c r="L24" i="7"/>
  <c r="L31" i="7" s="1"/>
  <c r="AD27" i="10"/>
  <c r="AD28" i="10" s="1"/>
  <c r="AD24" i="10"/>
  <c r="K21" i="12"/>
  <c r="J65" i="12"/>
  <c r="J21" i="12"/>
  <c r="J125" i="12"/>
  <c r="J35" i="12"/>
  <c r="AE24" i="10" l="1"/>
  <c r="AE27" i="10"/>
  <c r="AE28" i="10" s="1"/>
  <c r="AS178" i="5"/>
  <c r="AS174" i="5"/>
  <c r="AS173" i="5"/>
  <c r="L35" i="17"/>
  <c r="L30" i="17"/>
  <c r="L31" i="17"/>
  <c r="AD32" i="10"/>
  <c r="AD35" i="10"/>
  <c r="AD36" i="10" s="1"/>
  <c r="AS69" i="5"/>
  <c r="AE31" i="10"/>
  <c r="L37" i="7"/>
  <c r="L32" i="7"/>
  <c r="L33" i="7"/>
  <c r="AE40" i="10"/>
  <c r="AE43" i="10"/>
  <c r="AE44" i="10" s="1"/>
  <c r="L17" i="12"/>
  <c r="AE47" i="10"/>
  <c r="AE48" i="10" s="1"/>
  <c r="AD51" i="10"/>
  <c r="M18" i="17"/>
  <c r="AF15" i="10"/>
  <c r="M18" i="7"/>
  <c r="M20" i="7" s="1"/>
  <c r="L18" i="12"/>
  <c r="L20" i="12" l="1"/>
  <c r="AF23" i="10"/>
  <c r="M21" i="7"/>
  <c r="M24" i="7"/>
  <c r="M31" i="7" s="1"/>
  <c r="AS75" i="5"/>
  <c r="AS98" i="9"/>
  <c r="AS99" i="9" s="1"/>
  <c r="S25" i="8"/>
  <c r="S26" i="8" s="1"/>
  <c r="AC51" i="10"/>
  <c r="J70" i="12"/>
  <c r="AS176" i="5"/>
  <c r="AS175" i="5"/>
  <c r="AS158" i="9"/>
  <c r="AF19" i="10"/>
  <c r="AF20" i="10" s="1"/>
  <c r="AF16" i="10"/>
  <c r="AE51" i="10"/>
  <c r="M19" i="17"/>
  <c r="M22" i="17"/>
  <c r="M29" i="17" s="1"/>
  <c r="AF39" i="10"/>
  <c r="AF47" i="10"/>
  <c r="AF48" i="10" s="1"/>
  <c r="AD52" i="10"/>
  <c r="AD55" i="10"/>
  <c r="AD56" i="10" s="1"/>
  <c r="AE32" i="10"/>
  <c r="AE35" i="10"/>
  <c r="AE36" i="10" s="1"/>
  <c r="L21" i="12"/>
  <c r="J71" i="12"/>
  <c r="AS84" i="5" l="1"/>
  <c r="J42" i="12"/>
  <c r="M32" i="7"/>
  <c r="M37" i="7"/>
  <c r="C39" i="7"/>
  <c r="C40" i="7" s="1"/>
  <c r="M33" i="7"/>
  <c r="AE55" i="10"/>
  <c r="AE56" i="10" s="1"/>
  <c r="AE52" i="10"/>
  <c r="AF43" i="10"/>
  <c r="AF44" i="10" s="1"/>
  <c r="AF40" i="10"/>
  <c r="AC52" i="10"/>
  <c r="AC55" i="10"/>
  <c r="AC56" i="10" s="1"/>
  <c r="AF31" i="10"/>
  <c r="M31" i="17"/>
  <c r="M35" i="17"/>
  <c r="C37" i="17"/>
  <c r="C38" i="17" s="1"/>
  <c r="M30" i="17"/>
  <c r="J44" i="12"/>
  <c r="AS105" i="9"/>
  <c r="AS103" i="9"/>
  <c r="AS101" i="9"/>
  <c r="AF27" i="10"/>
  <c r="AF28" i="10" s="1"/>
  <c r="AF24" i="10"/>
  <c r="J43" i="12"/>
  <c r="J45" i="12"/>
  <c r="C39" i="17" l="1"/>
  <c r="C42" i="17" s="1"/>
  <c r="C43" i="17" s="1"/>
  <c r="C59" i="17" s="1"/>
  <c r="C60" i="17" s="1"/>
  <c r="C41" i="7"/>
  <c r="D40" i="7" s="1"/>
  <c r="AF32" i="10"/>
  <c r="AF35" i="10"/>
  <c r="AF36" i="10" s="1"/>
  <c r="J22" i="12"/>
  <c r="AS112" i="5"/>
  <c r="J23" i="12"/>
  <c r="J30" i="12" l="1"/>
  <c r="D38" i="17"/>
  <c r="C46" i="17"/>
  <c r="C47" i="17" s="1"/>
  <c r="C62" i="7"/>
  <c r="D67" i="7" s="1"/>
  <c r="C44" i="7"/>
  <c r="C45" i="7" s="1"/>
  <c r="C61" i="7" s="1"/>
  <c r="AF51" i="10"/>
  <c r="C62" i="17"/>
  <c r="D65" i="17"/>
  <c r="D62" i="17"/>
  <c r="C65" i="17"/>
  <c r="C63" i="17"/>
  <c r="D63" i="17"/>
  <c r="J31" i="12"/>
  <c r="C48" i="7" l="1"/>
  <c r="C66" i="7" s="1"/>
  <c r="C64" i="7"/>
  <c r="D65" i="7"/>
  <c r="C65" i="7"/>
  <c r="D64" i="7"/>
  <c r="C67" i="7"/>
  <c r="D64" i="17"/>
  <c r="C64" i="17"/>
  <c r="C7" i="17"/>
  <c r="C8" i="17" s="1"/>
  <c r="AF52" i="10"/>
  <c r="AF55" i="10"/>
  <c r="AF56" i="10" s="1"/>
  <c r="D66" i="7" l="1"/>
  <c r="C49" i="7"/>
  <c r="C7" i="7"/>
  <c r="F12" i="12" s="1"/>
  <c r="G12" i="12"/>
  <c r="C8"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tc={32256020-7316-4F2D-8103-A28128A78205}</author>
    <author>tc={825AC62D-A170-4102-8FA9-95EBBB2284B1}</author>
    <author>tc={ED0CA367-7676-424B-9274-33D8CAEB8CE2}</author>
    <author>tc={3063FA49-AF56-4ADB-8992-AA44F7899599}</author>
    <author>tc={8053CBCE-7CD7-4BD7-B0B5-19B2C6C630D0}</author>
    <author>tc={D0206EC5-824C-4F75-897C-039E6A95EC35}</author>
  </authors>
  <commentList>
    <comment ref="AH24" authorId="0" shapeId="0" xr:uid="{32256020-7316-4F2D-8103-A28128A78205}">
      <text>
        <t>[Threaded comment]
Your version of Excel allows you to read this threaded comment; however, any edits to it will get removed if the file is opened in a newer version of Excel. Learn more: https://go.microsoft.com/fwlink/?linkid=870924
Comment:
    rounding</t>
      </text>
    </comment>
    <comment ref="AI24" authorId="1" shapeId="0" xr:uid="{825AC62D-A170-4102-8FA9-95EBBB2284B1}">
      <text>
        <t>[Threaded comment]
Your version of Excel allows you to read this threaded comment; however, any edits to it will get removed if the file is opened in a newer version of Excel. Learn more: https://go.microsoft.com/fwlink/?linkid=870924
Comment:
    rounding</t>
      </text>
    </comment>
    <comment ref="AK24" authorId="2" shapeId="0" xr:uid="{ED0CA367-7676-424B-9274-33D8CAEB8CE2}">
      <text>
        <t>[Threaded comment]
Your version of Excel allows you to read this threaded comment; however, any edits to it will get removed if the file is opened in a newer version of Excel. Learn more: https://go.microsoft.com/fwlink/?linkid=870924
Comment:
    rounding</t>
      </text>
    </comment>
    <comment ref="AI25" authorId="3" shapeId="0" xr:uid="{3063FA49-AF56-4ADB-8992-AA44F7899599}">
      <text>
        <t>[Threaded comment]
Your version of Excel allows you to read this threaded comment; however, any edits to it will get removed if the file is opened in a newer version of Excel. Learn more: https://go.microsoft.com/fwlink/?linkid=870924
Comment:
    rounding</t>
      </text>
    </comment>
    <comment ref="AJ25" authorId="4" shapeId="0" xr:uid="{8053CBCE-7CD7-4BD7-B0B5-19B2C6C630D0}">
      <text>
        <t>[Threaded comment]
Your version of Excel allows you to read this threaded comment; however, any edits to it will get removed if the file is opened in a newer version of Excel. Learn more: https://go.microsoft.com/fwlink/?linkid=870924
Comment:
    rounding</t>
      </text>
    </comment>
    <comment ref="AK25" authorId="5" shapeId="0" xr:uid="{D0206EC5-824C-4F75-897C-039E6A95EC35}">
      <text>
        <t>[Threaded comment]
Your version of Excel allows you to read this threaded comment; however, any edits to it will get removed if the file is opened in a newer version of Excel. Learn more: https://go.microsoft.com/fwlink/?linkid=870924
Comment:
    rounding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tc={08D5F3F9-0E20-4161-9C86-5C17ADAEC630}</author>
    <author>tc={3AF3AB45-EB06-4779-B3D6-075F3C9A796A}</author>
    <author>tc={EE60F305-BD36-483C-8E15-5D9ABAE4F61F}</author>
    <author>tc={63382D05-FD59-401D-A871-EEBAB75EB034}</author>
    <author>tc={22D8D7FE-C7A8-4A3A-ACE1-EBF90348AD43}</author>
    <author>tc={660468A0-378E-4D05-8E31-A3416B382D40}</author>
    <author>tc={F622A6ED-98F5-4A23-93B9-20723DEB3A4A}</author>
    <author>tc={ADC60498-0C83-4598-B182-40320B1EF606}</author>
    <author>tc={2A781E39-0B1F-4C8B-B4EB-854E0D40F8DD}</author>
    <author>tc={593705BF-4A9C-4CB2-9026-A12CE10EFE62}</author>
  </authors>
  <commentList>
    <comment ref="P8" authorId="0" shapeId="0" xr:uid="{08D5F3F9-0E20-4161-9C86-5C17ADAEC630}">
      <text>
        <t>[Threaded comment]
Your version of Excel allows you to read this threaded comment; however, any edits to it will get removed if the file is opened in a newer version of Excel. Learn more: https://go.microsoft.com/fwlink/?linkid=870924
Comment:
    $50M FCF from Vistar media and Blis acquisitions</t>
      </text>
    </comment>
    <comment ref="S8" authorId="1" shapeId="0" xr:uid="{3AF3AB45-EB06-4779-B3D6-075F3C9A796A}">
      <text>
        <t>[Threaded comment]
Your version of Excel allows you to read this threaded comment; however, any edits to it will get removed if the file is opened in a newer version of Excel. Learn more: https://go.microsoft.com/fwlink/?linkid=870924
Comment:
    Includes $5B cash tax and higher interest expense on 2.5x leverage</t>
      </text>
    </comment>
    <comment ref="P23" authorId="2" shapeId="0" xr:uid="{EE60F305-BD36-483C-8E15-5D9ABAE4F61F}">
      <text>
        <t>[Threaded comment]
Your version of Excel allows you to read this threaded comment; however, any edits to it will get removed if the file is opened in a newer version of Excel. Learn more: https://go.microsoft.com/fwlink/?linkid=870924
Comment:
    $50M FCF from Vistar media and Blis acquisitions</t>
      </text>
    </comment>
    <comment ref="P44" authorId="3" shapeId="0" xr:uid="{63382D05-FD59-401D-A871-EEBAB75EB034}">
      <text>
        <t>[Threaded comment]
Your version of Excel allows you to read this threaded comment; however, any edits to it will get removed if the file is opened in a newer version of Excel. Learn more: https://go.microsoft.com/fwlink/?linkid=870924
Comment:
    $75M EBITDA from Vistar Media and Blis acquisitions in Q1
$250M in revenue</t>
      </text>
    </comment>
    <comment ref="S44" authorId="4" shapeId="0" xr:uid="{22D8D7FE-C7A8-4A3A-ACE1-EBF90348AD43}">
      <text>
        <t>[Threaded comment]
Your version of Excel allows you to read this threaded comment; however, any edits to it will get removed if the file is opened in a newer version of Excel. Learn more: https://go.microsoft.com/fwlink/?linkid=870924
Comment:
    7% CAGR</t>
      </text>
    </comment>
    <comment ref="S54" authorId="5" shapeId="0" xr:uid="{660468A0-378E-4D05-8E31-A3416B382D40}">
      <text>
        <t>[Threaded comment]
Your version of Excel allows you to read this threaded comment; however, any edits to it will get removed if the file is opened in a newer version of Excel. Learn more: https://go.microsoft.com/fwlink/?linkid=870924
Comment:
    6% CAGR from 2023</t>
      </text>
    </comment>
    <comment ref="N70" authorId="6" shapeId="0" xr:uid="{F622A6ED-98F5-4A23-93B9-20723DEB3A4A}">
      <text>
        <t>[Threaded comment]
Your version of Excel allows you to read this threaded comment; however, any edits to it will get removed if the file is opened in a newer version of Excel. Learn more: https://go.microsoft.com/fwlink/?linkid=870924
Comment:
    Low point for wholesale revenues</t>
      </text>
    </comment>
    <comment ref="P70" authorId="7" shapeId="0" xr:uid="{ADC60498-0C83-4598-B182-40320B1EF606}">
      <text>
        <t>[Threaded comment]
Your version of Excel allows you to read this threaded comment; however, any edits to it will get removed if the file is opened in a newer version of Excel. Learn more: https://go.microsoft.com/fwlink/?linkid=870924
Comment:
    Closer to 6%</t>
      </text>
    </comment>
    <comment ref="Q70" authorId="8" shapeId="0" xr:uid="{2A781E39-0B1F-4C8B-B4EB-854E0D40F8DD}">
      <text>
        <t xml:space="preserve">[Threaded comment]
Your version of Excel allows you to read this threaded comment; however, any edits to it will get removed if the file is opened in a newer version of Excel. Learn more: https://go.microsoft.com/fwlink/?linkid=870924
Comment:
    At least 6%
</t>
      </text>
    </comment>
    <comment ref="P71" authorId="9" shapeId="0" xr:uid="{593705BF-4A9C-4CB2-9026-A12CE10EFE62}">
      <text>
        <t>[Threaded comment]
Your version of Excel allows you to read this threaded comment; however, any edits to it will get removed if the file is opened in a newer version of Excel. Learn more: https://go.microsoft.com/fwlink/?linkid=870924
Comment:
    $250M from Vistar Media and Blis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tc={DB071CF7-872A-4F32-9EDF-9F53EABEF07D}</author>
    <author>tc={FD4C2E91-321E-4EF4-9FAE-884F734F37B2}</author>
    <author>tc={8A980855-B911-4357-AAF8-64840FCD176F}</author>
  </authors>
  <commentList>
    <comment ref="C7" authorId="0" shapeId="0" xr:uid="{DB071CF7-872A-4F32-9EDF-9F53EABEF07D}">
      <text>
        <t xml:space="preserve">[Threaded comment]
Your version of Excel allows you to read this threaded comment; however, any edits to it will get removed if the file is opened in a newer version of Excel. Learn more: https://go.microsoft.com/fwlink/?linkid=870924
Comment:
    950 million in cost to achieve with run rate of 2 years
</t>
      </text>
    </comment>
    <comment ref="C28" authorId="1" shapeId="0" xr:uid="{FD4C2E91-321E-4EF4-9FAE-884F734F37B2}">
      <text>
        <t xml:space="preserve">[Threaded comment]
Your version of Excel allows you to read this threaded comment; however, any edits to it will get removed if the file is opened in a newer version of Excel. Learn more: https://go.microsoft.com/fwlink/?linkid=870924
Comment:
    950 M run rate synergies in 2 years
</t>
      </text>
    </comment>
    <comment ref="C29" authorId="2" shapeId="0" xr:uid="{8A980855-B911-4357-AAF8-64840FCD176F}">
      <text>
        <t xml:space="preserve">[Threaded comment]
Your version of Excel allows you to read this threaded comment; however, any edits to it will get removed if the file is opened in a newer version of Excel. Learn more: https://go.microsoft.com/fwlink/?linkid=870924
Comment:
    250M in 2 years run rate synergies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tc={A8B476F5-F155-42A4-94EF-67FB027F7996}</author>
  </authors>
  <commentList>
    <comment ref="B124" authorId="0" shapeId="0" xr:uid="{A8B476F5-F155-42A4-94EF-67FB027F7996}">
      <text>
        <t>[Threaded comment]
Your version of Excel allows you to read this threaded comment; however, any edits to it will get removed if the file is opened in a newer version of Excel. Learn more: https://go.microsoft.com/fwlink/?linkid=870924
Comment:
    Don't pay any material cash taxes now but expect to be a full cash tax payer in 2027 as NOL's run out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tc={665DA106-4DEB-4398-9203-4DF3020D2021}</author>
    <author>tc={13AE532C-C826-460C-899C-E8E0B211FF7F}</author>
    <author>tc={80D8534C-E8C8-48A2-9B3A-AF49D7D0AFB7}</author>
    <author>tc={2E01BFB6-0E33-4AF9-AD98-0B651283FB07}</author>
    <author>tc={C21AA21F-42B6-4F6B-93A1-1A101385ED00}</author>
    <author>tc={04205E2B-D885-4839-BC42-E130BA08924C}</author>
    <author>tc={38BF6211-78BE-4591-8B65-061C7B69792F}</author>
    <author>tc={4F350745-763C-46F2-91F2-05EE0B479BFE}</author>
    <author>tc={1B6E13DA-6731-4B4C-870D-A4E0EAC3B025}</author>
    <author>tc={DEEE0C6B-AC08-4F63-9926-9E34B20E98FE}</author>
    <author>tc={89E7509F-2333-4A35-A583-062B05B66548}</author>
    <author>tc={38DCFD1E-262F-4836-A83D-2B125635E113}</author>
    <author>tc={3567788B-EC3A-4888-BBFF-99B735BDE99A}</author>
    <author>tc={D64732D4-03F2-43DA-A33E-E9D2E9F13D42}</author>
    <author>tc={DF43B42A-C4ED-40E6-A4C9-D0D2B309E477}</author>
  </authors>
  <commentList>
    <comment ref="AQ20" authorId="0" shapeId="0" xr:uid="{665DA106-4DEB-4398-9203-4DF3020D2021}">
      <text>
        <t>[Threaded comment]
Your version of Excel allows you to read this threaded comment; however, any edits to it will get removed if the file is opened in a newer version of Excel. Learn more: https://go.microsoft.com/fwlink/?linkid=870924
Comment:
    Guidance 7-8M in capital markets day</t>
      </text>
    </comment>
    <comment ref="H40" authorId="1" shapeId="0" xr:uid="{13AE532C-C826-460C-899C-E8E0B211FF7F}">
      <text>
        <t>[Threaded comment]
Your version of Excel allows you to read this threaded comment; however, any edits to it will get removed if the file is opened in a newer version of Excel. Learn more: https://go.microsoft.com/fwlink/?linkid=870924
Comment:
    Pro forma</t>
      </text>
    </comment>
    <comment ref="AD40" authorId="2" shapeId="0" xr:uid="{80D8534C-E8C8-48A2-9B3A-AF49D7D0AFB7}">
      <text>
        <t>[Threaded comment]
Your version of Excel allows you to read this threaded comment; however, any edits to it will get removed if the file is opened in a newer version of Excel. Learn more: https://go.microsoft.com/fwlink/?linkid=870924
Comment:
    Includes a one time adjustment for USCellular postpaid others, 390</t>
      </text>
    </comment>
    <comment ref="AD65" authorId="3" shapeId="0" xr:uid="{2E01BFB6-0E33-4AF9-AD98-0B651283FB07}">
      <text>
        <t xml:space="preserve">[Threaded comment]
Your version of Excel allows you to read this threaded comment; however, any edits to it will get removed if the file is opened in a newer version of Excel. Learn more: https://go.microsoft.com/fwlink/?linkid=870924
Comment:
    USC Acquisition
</t>
      </text>
    </comment>
    <comment ref="AB77" authorId="4" shapeId="0" xr:uid="{C21AA21F-42B6-4F6B-93A1-1A101385ED00}">
      <text>
        <t>[Threaded comment]
Your version of Excel allows you to read this threaded comment; however, any edits to it will get removed if the file is opened in a newer version of Excel. Learn more: https://go.microsoft.com/fwlink/?linkid=870924
Comment:
    Lowest churn quarter in FWA</t>
      </text>
    </comment>
    <comment ref="AE84" authorId="5" shapeId="0" xr:uid="{04205E2B-D885-4839-BC42-E130BA08924C}">
      <text>
        <t xml:space="preserve">[Threaded comment]
Your version of Excel allows you to read this threaded comment; however, any edits to it will get removed if the file is opened in a newer version of Excel. Learn more: https://go.microsoft.com/fwlink/?linkid=870924
Comment:
    Guided to 130K for total year
</t>
      </text>
    </comment>
    <comment ref="Z118" authorId="6" shapeId="0" xr:uid="{38BF6211-78BE-4591-8B65-061C7B69792F}">
      <text>
        <t>[Threaded comment]
Your version of Excel allows you to read this threaded comment; however, any edits to it will get removed if the file is opened in a newer version of Excel. Learn more: https://go.microsoft.com/fwlink/?linkid=870924
Comment:
    Had $5 price increase in May
Reply:
    Raised price on select legacy plans. "for the first time in nearly a decade" effective June</t>
      </text>
    </comment>
    <comment ref="AQ118" authorId="7" shapeId="0" xr:uid="{4F350745-763C-46F2-91F2-05EE0B479BFE}">
      <text>
        <t>[Threaded comment]
Your version of Excel allows you to read this threaded comment; however, any edits to it will get removed if the file is opened in a newer version of Excel. Learn more: https://go.microsoft.com/fwlink/?linkid=870924
Comment:
    Guided to 2% for full year but given difference in rolling subscriber averages computed by T-Mobile in reported ARPU figures  (especially with USC in Q3) , this YoY growth may be misrepresented in our model</t>
      </text>
    </comment>
    <comment ref="Y142" authorId="8" shapeId="0" xr:uid="{1B6E13DA-6731-4B4C-870D-A4E0EAC3B025}">
      <text>
        <t>[Threaded comment]
Your version of Excel allows you to read this threaded comment; however, any edits to it will get removed if the file is opened in a newer version of Excel. Learn more: https://go.microsoft.com/fwlink/?linkid=870924
Comment:
    From the acquisition of Ka'ena</t>
      </text>
    </comment>
    <comment ref="Q150" authorId="9" shapeId="0" xr:uid="{DEEE0C6B-AC08-4F63-9926-9E34B20E98FE}">
      <text>
        <t>[Threaded comment]
Your version of Excel allows you to read this threaded comment; however, any edits to it will get removed if the file is opened in a newer version of Excel. Learn more: https://go.microsoft.com/fwlink/?linkid=870924
Comment:
    Customers impacted by the decommissioning of he legacy Spring CDMA and LTE and T-Mobile UMTS networks are excluded from the base</t>
      </text>
    </comment>
    <comment ref="Y150" authorId="10" shapeId="0" xr:uid="{89E7509F-2333-4A35-A583-062B05B66548}">
      <text>
        <t>[Threaded comment]
Your version of Excel allows you to read this threaded comment; however, any edits to it will get removed if the file is opened in a newer version of Excel. Learn more: https://go.microsoft.com/fwlink/?linkid=870924
Comment:
    Acquired 3504 prepaid customers through our acquisition of Ka'ena</t>
      </text>
    </comment>
    <comment ref="AQ184" authorId="11" shapeId="0" xr:uid="{38DCFD1E-262F-4836-A83D-2B125635E113}">
      <text>
        <t>[Threaded comment]
Your version of Excel allows you to read this threaded comment; however, any edits to it will get removed if the file is opened in a newer version of Excel. Learn more: https://go.microsoft.com/fwlink/?linkid=870924
Comment:
    Guided to about $2.9B</t>
      </text>
    </comment>
    <comment ref="Y185" authorId="12" shapeId="0" xr:uid="{3567788B-EC3A-4888-BBFF-99B735BDE99A}">
      <text>
        <t>[Threaded comment]
Your version of Excel allows you to read this threaded comment; however, any edits to it will get removed if the file is opened in a newer version of Excel. Learn more: https://go.microsoft.com/fwlink/?linkid=870924
Comment:
    Decline partially due to the acquisition of Ka'ena who was a wholesale for TMUS, now moved to prepaid revenue</t>
      </text>
    </comment>
    <comment ref="Z212" authorId="13" shapeId="0" xr:uid="{D64732D4-03F2-43DA-A33E-E9D2E9F13D42}">
      <text>
        <t>[Threaded comment]
Your version of Excel allows you to read this threaded comment; however, any edits to it will get removed if the file is opened in a newer version of Excel. Learn more: https://go.microsoft.com/fwlink/?linkid=870924
Comment:
    $331M of severance and related costs associated with the Aug 2023 workforce reduction; higher merger synergies; partially offset by higher costs as a result of the Ka'ena Acquisition</t>
      </text>
    </comment>
    <comment ref="AE218" authorId="14" shapeId="0" xr:uid="{DF43B42A-C4ED-40E6-A4C9-D0D2B309E477}">
      <text>
        <t>[Threaded comment]
Your version of Excel allows you to read this threaded comment; however, any edits to it will get removed if the file is opened in a newer version of Excel. Learn more: https://go.microsoft.com/fwlink/?linkid=870924
Comment:
    Includes 1 time cell site decommissioning cost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tc={235937F0-E0D0-4949-BE5D-ACDB8415FF85}</author>
    <author>tc={E45DC36C-946E-4618-8B9A-9020B2036A41}</author>
    <author>tc={883F6ED7-0ECE-4EF2-924B-31343E303720}</author>
    <author>tc={96BB0AA5-3974-4A40-B961-F8ABC1057D27}</author>
    <author>tc={15B15AA7-979F-49DF-8584-476BA9D9DBED}</author>
    <author>tc={6E807D02-159B-4D03-A417-CE532B8ED958}</author>
    <author>tc={C3456154-2DD6-4163-B823-77EB5A5F2D3A}</author>
    <author>tc={41FD4A8D-BE1E-43FB-A0DB-8AA441B5F91E}</author>
  </authors>
  <commentList>
    <comment ref="Z53" authorId="0" shapeId="0" xr:uid="{235937F0-E0D0-4949-BE5D-ACDB8415FF85}">
      <text>
        <t>[Threaded comment]
Your version of Excel allows you to read this threaded comment; however, any edits to it will get removed if the file is opened in a newer version of Excel. Learn more: https://go.microsoft.com/fwlink/?linkid=870924
Comment:
    Purchase of the first tranche in spectrum in the 600 MHz band; remaining $1.1B of the second tranche expected to close in 2025</t>
      </text>
    </comment>
    <comment ref="AS99" authorId="1" shapeId="0" xr:uid="{E45DC36C-946E-4618-8B9A-9020B2036A41}">
      <text>
        <t>[Threaded comment]
Your version of Excel allows you to read this threaded comment; however, any edits to it will get removed if the file is opened in a newer version of Excel. Learn more: https://go.microsoft.com/fwlink/?linkid=870924
Comment:
    $96B based on mid-point FY27 core adj. EBITDA guidance</t>
      </text>
    </comment>
    <comment ref="AS103" authorId="2" shapeId="0" xr:uid="{883F6ED7-0ECE-4EF2-924B-31343E303720}">
      <text>
        <t>[Threaded comment]
Your version of Excel allows you to read this threaded comment; however, any edits to it will get removed if the file is opened in a newer version of Excel. Learn more: https://go.microsoft.com/fwlink/?linkid=870924
Comment:
    Maintaining 2.5x leverage ratio</t>
      </text>
    </comment>
    <comment ref="AF123" authorId="3" shapeId="0" xr:uid="{96BB0AA5-3974-4A40-B961-F8ABC1057D27}">
      <text>
        <t>[Threaded comment]
Your version of Excel allows you to read this threaded comment; however, any edits to it will get removed if the file is opened in a newer version of Excel. Learn more: https://go.microsoft.com/fwlink/?linkid=870924
Comment:
    OBBB tax benefit 1.5B / 4</t>
      </text>
    </comment>
    <comment ref="AS123" authorId="4" shapeId="0" xr:uid="{15B15AA7-979F-49DF-8584-476BA9D9DBED}">
      <text>
        <t>[Threaded comment]
Your version of Excel allows you to read this threaded comment; however, any edits to it will get removed if the file is opened in a newer version of Excel. Learn more: https://go.microsoft.com/fwlink/?linkid=870924
Comment:
    Full cash tax payer, ~$5B cash taxes</t>
      </text>
    </comment>
    <comment ref="B146" authorId="5" shapeId="0" xr:uid="{6E807D02-159B-4D03-A417-CE532B8ED958}">
      <text>
        <t>[Threaded comment]
Your version of Excel allows you to read this threaded comment; however, any edits to it will get removed if the file is opened in a newer version of Excel. Learn more: https://go.microsoft.com/fwlink/?linkid=870924
Comment:
    Guided to double-digit percentage growth annually in 2024 CMD</t>
      </text>
    </comment>
    <comment ref="AA146" authorId="6" shapeId="0" xr:uid="{C3456154-2DD6-4163-B823-77EB5A5F2D3A}">
      <text>
        <t>[Threaded comment]
Your version of Excel allows you to read this threaded comment; however, any edits to it will get removed if the file is opened in a newer version of Excel. Learn more: https://go.microsoft.com/fwlink/?linkid=870924
Comment:
    Based on guidance</t>
      </text>
    </comment>
    <comment ref="AS159" authorId="7" shapeId="0" xr:uid="{41FD4A8D-BE1E-43FB-A0DB-8AA441B5F91E}">
      <text>
        <t>[Threaded comment]
Your version of Excel allows you to read this threaded comment; however, any edits to it will get removed if the file is opened in a newer version of Excel. Learn more: https://go.microsoft.com/fwlink/?linkid=870924
Comment:
    Guided up to $50B additional ($75B total) shareholder return including share buybacks and dividends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Andrew Chung</author>
    <author>tc={71C6C9A6-C390-42B4-A174-6002C201665C}</author>
    <author>tc={89658C5E-9BC6-4203-88F3-92C3817F7F8E}</author>
    <author>tc={C98E74F6-11F4-49D8-A768-8DCFE80C83D3}</author>
    <author>tc={1DD95609-3890-4CF1-9D2B-694EFEA9C932}</author>
    <author>tc={396B88CF-CDA7-4550-B4DA-A375BEC15814}</author>
  </authors>
  <commentList>
    <comment ref="AL2" authorId="0" shapeId="0" xr:uid="{81AA3359-48A2-4CCB-9128-E9875ED643B0}">
      <text>
        <r>
          <rPr>
            <b/>
            <sz val="9"/>
            <color indexed="81"/>
            <rFont val="Tahoma"/>
            <charset val="1"/>
          </rPr>
          <t>Andrew Chung:</t>
        </r>
        <r>
          <rPr>
            <sz val="9"/>
            <color indexed="81"/>
            <rFont val="Tahoma"/>
            <charset val="1"/>
          </rPr>
          <t xml:space="preserve">
2Q26 added out of sequence per user request (sheet otherwise ends at 3Q25); quarter number set manually since prior-year-column formula pattern doesn't apply across skipped quarters.</t>
        </r>
      </text>
    </comment>
    <comment ref="O55" authorId="1" shapeId="0" xr:uid="{71C6C9A6-C390-42B4-A174-6002C201665C}">
      <text>
        <t>[Threaded comment]
Your version of Excel allows you to read this threaded comment; however, any edits to it will get removed if the file is opened in a newer version of Excel. Learn more: https://go.microsoft.com/fwlink/?linkid=870924
Comment:
    174 covid-19-related costs</t>
      </text>
    </comment>
    <comment ref="P71" authorId="2" shapeId="0" xr:uid="{89658C5E-9BC6-4203-88F3-92C3817F7F8E}">
      <text>
        <t>[Threaded comment]
Your version of Excel allows you to read this threaded comment; however, any edits to it will get removed if the file is opened in a newer version of Excel. Learn more: https://go.microsoft.com/fwlink/?linkid=870924
Comment:
    1910 assets held for sale</t>
      </text>
    </comment>
    <comment ref="P90" authorId="3" shapeId="0" xr:uid="{C98E74F6-11F4-49D8-A768-8DCFE80C83D3}">
      <text>
        <t>[Threaded comment]
Your version of Excel allows you to read this threaded comment; however, any edits to it will get removed if the file is opened in a newer version of Excel. Learn more: https://go.microsoft.com/fwlink/?linkid=870924
Comment:
    606 liabilities held for sale</t>
      </text>
    </comment>
    <comment ref="P144" authorId="4" shapeId="0" xr:uid="{1DD95609-3890-4CF1-9D2B-694EFEA9C932}">
      <text>
        <t>[Threaded comment]
Your version of Excel allows you to read this threaded comment; however, any edits to it will get removed if the file is opened in a newer version of Excel. Learn more: https://go.microsoft.com/fwlink/?linkid=870924
Comment:
    1212 net cash related to derivative contracts under collateral exchange arrangements</t>
      </text>
    </comment>
    <comment ref="Q144" authorId="5" shapeId="0" xr:uid="{396B88CF-CDA7-4550-B4DA-A375BEC15814}">
      <text>
        <t>[Threaded comment]
Your version of Excel allows you to read this threaded comment; however, any edits to it will get removed if the file is opened in a newer version of Excel. Learn more: https://go.microsoft.com/fwlink/?linkid=870924
Comment:
    1238 proceeds from the divestiture of prepaid business</t>
      </text>
    </comment>
    <comment ref="AL144" authorId="0" shapeId="0" xr:uid="{80CF8BBA-BC97-438F-B7F8-8F6585C8621F}">
      <text>
        <r>
          <rPr>
            <b/>
            <sz val="9"/>
            <color indexed="81"/>
            <rFont val="Tahoma"/>
            <charset val="1"/>
          </rPr>
          <t>Andrew Chung:</t>
        </r>
        <r>
          <rPr>
            <sz val="9"/>
            <color indexed="81"/>
            <rFont val="Tahoma"/>
            <charset val="1"/>
          </rPr>
          <t xml:space="preserve">
= CF Proceeds from sale of property/equipment/intangibles ($16) + Investments in unconsolidated affiliates ($-3) + Other, net ($122), per official Q2 2026 Cash Flow statement — combined into one line</t>
        </r>
      </text>
    </comment>
    <comment ref="AL162" authorId="0" shapeId="0" xr:uid="{DB86635C-8F5A-46E2-915E-6349A09FF43D}">
      <text>
        <r>
          <rPr>
            <b/>
            <sz val="9"/>
            <color indexed="81"/>
            <rFont val="Tahoma"/>
            <charset val="1"/>
          </rPr>
          <t>Andrew Chung:</t>
        </r>
        <r>
          <rPr>
            <sz val="9"/>
            <color indexed="81"/>
            <rFont val="Tahoma"/>
            <charset val="1"/>
          </rPr>
          <t xml:space="preserve">
Hardcoded (not linked to prior column) because AL is 2Q26 and AK is 3Q25 — the sheet skips 4Q25 and 1Q26. Value is the actual reported 'Beginning of period' cash from the Q2 2026 Cash Flow statement, not derived from AK163.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Andrew Chung</author>
    <author>tc={39CAFA04-360B-4949-95C5-21B665160A39}</author>
    <author>tc={87D11C37-C975-4726-A1C4-F3E8051FF735}</author>
    <author>tc={C5BCC238-A182-40CA-92D0-50E5FB4ACE48}</author>
    <author>tc={45448DAF-C6F1-42F0-B9EE-3644C7292AE0}</author>
    <author>tc={3139CE28-B5C4-4213-9250-056F37AAC21D}</author>
    <author>tc={4B08EA03-CEAD-400E-9262-B536EAAF8021}</author>
    <author>tc={F47BB705-1B43-4D1C-99FA-AB0228454E4E}</author>
    <author>tc={A52F5C8E-1826-4D86-B4CE-D958ACAE785B}</author>
    <author>tc={9C71ECD0-8416-43B5-BF2A-53A9BD2D28CE}</author>
    <author>tc={7253EE12-52FA-4673-92F8-896FC6483B99}</author>
    <author>tc={939D9B83-FD1D-4B5C-9C60-595A3EC212B4}</author>
    <author>tc={9284953F-9481-4E3E-8DB9-CE7267CBC142}</author>
  </authors>
  <commentList>
    <comment ref="AM2" authorId="0" shapeId="0" xr:uid="{525DEAAB-921B-403C-B29A-25408BCB6FD1}">
      <text>
        <r>
          <rPr>
            <b/>
            <sz val="9"/>
            <color indexed="81"/>
            <rFont val="Tahoma"/>
            <family val="2"/>
          </rPr>
          <t>Andrew Chung:</t>
        </r>
        <r>
          <rPr>
            <sz val="9"/>
            <color indexed="81"/>
            <rFont val="Tahoma"/>
            <family val="2"/>
          </rPr>
          <t xml:space="preserve">
2Q26 — column added next to 3Q25 (AL); intervening 4Q25/1Q26 skipped per user instruction</t>
        </r>
      </text>
    </comment>
    <comment ref="B8" authorId="1" shapeId="0" xr:uid="{39CAFA04-360B-4949-95C5-21B665160A39}">
      <text>
        <t>[Threaded comment]
Your version of Excel allows you to read this threaded comment; however, any edits to it will get removed if the file is opened in a newer version of Excel. Learn more: https://go.microsoft.com/fwlink/?linkid=870924
Comment:
    Includes high speed internet customers</t>
      </text>
    </comment>
    <comment ref="N12" authorId="2" shapeId="0" xr:uid="{87D11C37-C975-4726-A1C4-F3E8051FF735}">
      <text>
        <t>[Threaded comment]
Your version of Excel allows you to read this threaded comment; however, any edits to it will get removed if the file is opened in a newer version of Excel. Learn more: https://go.microsoft.com/fwlink/?linkid=870924
Comment:
    Entered into an agreement in July 2019 where certain T-Mobile prepaid products will now be offered and distributed by a current MVNO partner</t>
      </text>
    </comment>
    <comment ref="Q12" authorId="3" shapeId="0" xr:uid="{C5BCC238-A182-40CA-92D0-50E5FB4ACE48}">
      <text>
        <t>[Threaded comment]
Your version of Excel allows you to read this threaded comment; however, any edits to it will get removed if the file is opened in a newer version of Excel. Learn more: https://go.microsoft.com/fwlink/?linkid=870924
Comment:
    Merger with Sprint</t>
      </text>
    </comment>
    <comment ref="T12" authorId="4" shapeId="0" xr:uid="{45448DAF-C6F1-42F0-B9EE-3644C7292AE0}">
      <text>
        <t>[Threaded comment]
Your version of Excel allows you to read this threaded comment; however, any edits to it will get removed if the file is opened in a newer version of Excel. Learn more: https://go.microsoft.com/fwlink/?linkid=870924
Comment:
    Acquisition of an affiliate</t>
      </text>
    </comment>
    <comment ref="V12" authorId="5" shapeId="0" xr:uid="{3139CE28-B5C4-4213-9250-056F37AAC21D}">
      <text>
        <t>[Threaded comment]
Your version of Excel allows you to read this threaded comment; however, any edits to it will get removed if the file is opened in a newer version of Excel. Learn more: https://go.microsoft.com/fwlink/?linkid=870924
Comment:
    Acquisition of Shentel's wireless assets</t>
      </text>
    </comment>
    <comment ref="AE12" authorId="6" shapeId="0" xr:uid="{4B08EA03-CEAD-400E-9262-B536EAAF8021}">
      <text>
        <t>[Threaded comment]
Your version of Excel allows you to read this threaded comment; however, any edits to it will get removed if the file is opened in a newer version of Excel. Learn more: https://go.microsoft.com/fwlink/?linkid=870924
Comment:
    20 increase in postpaid phone customers and 150 increase in postpaid other customers due to fewer customers than expected whose service was deactivated as a result of the network shutdowns</t>
      </text>
    </comment>
    <comment ref="AG12" authorId="7" shapeId="0" xr:uid="{F47BB705-1B43-4D1C-99FA-AB0228454E4E}">
      <text>
        <t>[Threaded comment]
Your version of Excel allows you to read this threaded comment; however, any edits to it will get removed if the file is opened in a newer version of Excel. Learn more: https://go.microsoft.com/fwlink/?linkid=870924
Comment:
    Customers through acquisition of Ka'ena</t>
      </text>
    </comment>
    <comment ref="AM23" authorId="0" shapeId="0" xr:uid="{02278533-72BA-43EB-AE23-B353810B1F7F}">
      <text>
        <r>
          <rPr>
            <b/>
            <sz val="9"/>
            <color indexed="81"/>
            <rFont val="Tahoma"/>
            <family val="2"/>
          </rPr>
          <t>Andrew Chung:</t>
        </r>
        <r>
          <rPr>
            <sz val="9"/>
            <color indexed="81"/>
            <rFont val="Tahoma"/>
            <family val="2"/>
          </rPr>
          <t xml:space="preserve">
Source: TMUS Q2 2026 Earnings Release Tables, ER Metrics tab, row 20 (Postpaid account churn)</t>
        </r>
      </text>
    </comment>
    <comment ref="AM31" authorId="0" shapeId="0" xr:uid="{2F936EC6-708B-4DC6-8DFB-3BA037BE388D}">
      <text>
        <r>
          <rPr>
            <b/>
            <sz val="9"/>
            <color indexed="81"/>
            <rFont val="Tahoma"/>
            <family val="2"/>
          </rPr>
          <t>Andrew Chung:</t>
        </r>
        <r>
          <rPr>
            <sz val="9"/>
            <color indexed="81"/>
            <rFont val="Tahoma"/>
            <family val="2"/>
          </rPr>
          <t xml:space="preserve">
Source: TMUS Q2 2026 Earnings Release Tables, ER Metrics tab, row 30 (Postpaid device upgrade rate)</t>
        </r>
      </text>
    </comment>
    <comment ref="AM34" authorId="0" shapeId="0" xr:uid="{BD9B9D3A-0A5F-44D1-8976-E1B3D4F022A6}">
      <text>
        <r>
          <rPr>
            <b/>
            <sz val="9"/>
            <color indexed="81"/>
            <rFont val="Tahoma"/>
            <family val="2"/>
          </rPr>
          <t>Andrew Chung:</t>
        </r>
        <r>
          <rPr>
            <sz val="9"/>
            <color indexed="81"/>
            <rFont val="Tahoma"/>
            <family val="2"/>
          </rPr>
          <t xml:space="preserve">
Source: TMUS Q2 2026 Earnings Release Tables, ER Metrics tab, row 8 (Total postpaid accounts, thousands)</t>
        </r>
      </text>
    </comment>
    <comment ref="X35" authorId="8" shapeId="0" xr:uid="{A52F5C8E-1826-4D86-B4CE-D958ACAE785B}">
      <text>
        <t>[Threaded comment]
Your version of Excel allows you to read this threaded comment; however, any edits to it will get removed if the file is opened in a newer version of Excel. Learn more: https://go.microsoft.com/fwlink/?linkid=870924
Comment:
    Removed 57K postpaid accounts for customers impacted by the decommissioning of the legacy Spring CDMA and LTE and T-Mobile UMTS networks</t>
      </text>
    </comment>
    <comment ref="Y35" authorId="9" shapeId="0" xr:uid="{9C71ECD0-8416-43B5-BF2A-53A9BD2D28CE}">
      <text>
        <t>[Threaded comment]
Your version of Excel allows you to read this threaded comment; however, any edits to it will get removed if the file is opened in a newer version of Excel. Learn more: https://go.microsoft.com/fwlink/?linkid=870924
Comment:
    Removed 69K postpaid accounts for customers impacted by the decommissioning of the legacy Spring CDMA and LTE and T-Mobile UMTS networks</t>
      </text>
    </comment>
    <comment ref="AM35" authorId="0" shapeId="0" xr:uid="{767B83E3-0B48-4308-B04D-C1F2F9118679}">
      <text>
        <r>
          <rPr>
            <b/>
            <sz val="9"/>
            <color indexed="81"/>
            <rFont val="Tahoma"/>
            <family val="2"/>
          </rPr>
          <t>Andrew Chung:</t>
        </r>
        <r>
          <rPr>
            <sz val="9"/>
            <color indexed="81"/>
            <rFont val="Tahoma"/>
            <family val="2"/>
          </rPr>
          <t xml:space="preserve">
Source: TMUS Q2 2026 Earnings Release Tables, ER Metrics tab, row 15 (Postpaid net account additions). Hardcoded rather than subtraction formula (as in AI/AJ) since account-count base adjustments and the 4Q25/1Q26 gap make QoQ subtraction invalid.</t>
        </r>
      </text>
    </comment>
    <comment ref="AM54" authorId="0" shapeId="0" xr:uid="{DBC50668-1502-41CC-8AF7-B80C85C4EC53}">
      <text>
        <r>
          <rPr>
            <b/>
            <sz val="9"/>
            <color indexed="81"/>
            <rFont val="Tahoma"/>
            <family val="2"/>
          </rPr>
          <t>Andrew Chung:</t>
        </r>
        <r>
          <rPr>
            <sz val="9"/>
            <color indexed="81"/>
            <rFont val="Tahoma"/>
            <family val="2"/>
          </rPr>
          <t xml:space="preserve">
Source: TMUS Q2 2026 Earnings Release Tables, ER Metrics tab, row 35 (Gross EIP financed)</t>
        </r>
      </text>
    </comment>
    <comment ref="AM55" authorId="0" shapeId="0" xr:uid="{C615EA25-F580-4986-B767-B1D30C7D8366}">
      <text>
        <r>
          <rPr>
            <b/>
            <sz val="9"/>
            <color indexed="81"/>
            <rFont val="Tahoma"/>
            <family val="2"/>
          </rPr>
          <t>Andrew Chung:</t>
        </r>
        <r>
          <rPr>
            <sz val="9"/>
            <color indexed="81"/>
            <rFont val="Tahoma"/>
            <family val="2"/>
          </rPr>
          <t xml:space="preserve">
Source: TMUS Q2 2026 Earnings Release Tables, ER Metrics tab, row 36 (EIP billings)</t>
        </r>
      </text>
    </comment>
    <comment ref="AM56" authorId="0" shapeId="0" xr:uid="{D963D77E-DFC5-4801-92DE-F914391853FD}">
      <text>
        <r>
          <rPr>
            <b/>
            <sz val="9"/>
            <color indexed="81"/>
            <rFont val="Tahoma"/>
            <family val="2"/>
          </rPr>
          <t>Andrew Chung:</t>
        </r>
        <r>
          <rPr>
            <sz val="9"/>
            <color indexed="81"/>
            <rFont val="Tahoma"/>
            <family val="2"/>
          </rPr>
          <t xml:space="preserve">
Source: TMUS Q2 2026 Earnings Release Tables, ER Metrics tab, row 37 (EIP receivables, net)</t>
        </r>
      </text>
    </comment>
    <comment ref="AM59" authorId="0" shapeId="0" xr:uid="{743BF335-7CE8-430A-9612-F75F09D3396D}">
      <text>
        <r>
          <rPr>
            <b/>
            <sz val="9"/>
            <color indexed="81"/>
            <rFont val="Tahoma"/>
            <family val="2"/>
          </rPr>
          <t>Andrew Chung:</t>
        </r>
        <r>
          <rPr>
            <sz val="9"/>
            <color indexed="81"/>
            <rFont val="Tahoma"/>
            <family val="2"/>
          </rPr>
          <t xml:space="preserve">
Source: TMUS Q2 2026 Earnings Release Tables, ER Metrics tab, row 40 (Lease revenues)</t>
        </r>
      </text>
    </comment>
    <comment ref="AM60" authorId="0" shapeId="0" xr:uid="{12183477-5EE6-4F24-A029-99704B776DFE}">
      <text>
        <r>
          <rPr>
            <b/>
            <sz val="9"/>
            <color indexed="81"/>
            <rFont val="Tahoma"/>
            <family val="2"/>
          </rPr>
          <t>Andrew Chung:</t>
        </r>
        <r>
          <rPr>
            <sz val="9"/>
            <color indexed="81"/>
            <rFont val="Tahoma"/>
            <family val="2"/>
          </rPr>
          <t xml:space="preserve">
Source: TMUS Q2 2026 Earnings Release Tables, ER Metrics tab, row 41 (Leased device depreciation)</t>
        </r>
      </text>
    </comment>
    <comment ref="AM63" authorId="0" shapeId="0" xr:uid="{BA8C55A9-E23E-4466-848E-AF4F752A8DB9}">
      <text>
        <r>
          <rPr>
            <b/>
            <sz val="9"/>
            <color indexed="81"/>
            <rFont val="Tahoma"/>
            <family val="2"/>
          </rPr>
          <t>Andrew Chung:</t>
        </r>
        <r>
          <rPr>
            <sz val="9"/>
            <color indexed="81"/>
            <rFont val="Tahoma"/>
            <family val="2"/>
          </rPr>
          <t xml:space="preserve">
Source: TMUS Q2 2026 Earnings Release Tables, ER Metrics tab, row 25 (Postpaid ARPA)</t>
        </r>
      </text>
    </comment>
    <comment ref="AM74" authorId="0" shapeId="0" xr:uid="{10FF7FF5-D46D-4770-82B4-3553A983DAA6}">
      <text>
        <r>
          <rPr>
            <b/>
            <sz val="9"/>
            <color indexed="81"/>
            <rFont val="Tahoma"/>
            <family val="2"/>
          </rPr>
          <t>Andrew Chung:</t>
        </r>
        <r>
          <rPr>
            <sz val="9"/>
            <color indexed="81"/>
            <rFont val="Tahoma"/>
            <family val="2"/>
          </rPr>
          <t xml:space="preserve">
Source: TMUS Q2 2026 Earnings Release Tables, ER Metrics tab, row 50 (Lease revenues)</t>
        </r>
      </text>
    </comment>
    <comment ref="AM79" authorId="0" shapeId="0" xr:uid="{9E4BB673-C1AB-4D12-AB30-107DEB3A34DE}">
      <text>
        <r>
          <rPr>
            <b/>
            <sz val="9"/>
            <color indexed="81"/>
            <rFont val="Tahoma"/>
            <family val="2"/>
          </rPr>
          <t>Andrew Chung:</t>
        </r>
        <r>
          <rPr>
            <sz val="9"/>
            <color indexed="81"/>
            <rFont val="Tahoma"/>
            <family val="2"/>
          </rPr>
          <t xml:space="preserve">
Source: TMUS Q2 2026 Earnings Release Tables, ER Metrics tab, row 64 (Merger-related costs, cost of services)</t>
        </r>
      </text>
    </comment>
    <comment ref="AM80" authorId="0" shapeId="0" xr:uid="{EF32927D-6AA7-40D0-9787-445C4AC504B2}">
      <text>
        <r>
          <rPr>
            <b/>
            <sz val="9"/>
            <color indexed="81"/>
            <rFont val="Tahoma"/>
            <family val="2"/>
          </rPr>
          <t>Andrew Chung:</t>
        </r>
        <r>
          <rPr>
            <sz val="9"/>
            <color indexed="81"/>
            <rFont val="Tahoma"/>
            <family val="2"/>
          </rPr>
          <t xml:space="preserve">
Source: TMUS Q2 2026 Earnings Release Tables, ER Metrics tab, row 65 (Other Special Items, cost of services)</t>
        </r>
      </text>
    </comment>
    <comment ref="AM84" authorId="0" shapeId="0" xr:uid="{73BD4174-81DB-4117-AA96-A1C4B84722A0}">
      <text>
        <r>
          <rPr>
            <b/>
            <sz val="9"/>
            <color indexed="81"/>
            <rFont val="Tahoma"/>
            <family val="2"/>
          </rPr>
          <t>Andrew Chung:</t>
        </r>
        <r>
          <rPr>
            <sz val="9"/>
            <color indexed="81"/>
            <rFont val="Tahoma"/>
            <family val="2"/>
          </rPr>
          <t xml:space="preserve">
Source: TMUS Q2 2026 Earnings Release Tables, ER Metrics tab, row 69 (Merger-related costs, cost of equipment sales)</t>
        </r>
      </text>
    </comment>
    <comment ref="AM85" authorId="0" shapeId="0" xr:uid="{2ADB41EC-11BF-4944-A058-6EC8E10677A6}">
      <text>
        <r>
          <rPr>
            <b/>
            <sz val="9"/>
            <color indexed="81"/>
            <rFont val="Tahoma"/>
            <family val="2"/>
          </rPr>
          <t>Andrew Chung:</t>
        </r>
        <r>
          <rPr>
            <sz val="9"/>
            <color indexed="81"/>
            <rFont val="Tahoma"/>
            <family val="2"/>
          </rPr>
          <t xml:space="preserve">
Source: TMUS Q2 2026 Earnings Release Tables, ER Metrics tab, row 70 (Other Special Items, cost of equipment sales)</t>
        </r>
      </text>
    </comment>
    <comment ref="AM89" authorId="0" shapeId="0" xr:uid="{4222B63A-E6D9-4F48-A26A-0F6011582E5C}">
      <text>
        <r>
          <rPr>
            <b/>
            <sz val="9"/>
            <color indexed="81"/>
            <rFont val="Tahoma"/>
            <family val="2"/>
          </rPr>
          <t>Andrew Chung:</t>
        </r>
        <r>
          <rPr>
            <sz val="9"/>
            <color indexed="81"/>
            <rFont val="Tahoma"/>
            <family val="2"/>
          </rPr>
          <t xml:space="preserve">
Source: TMUS Q2 2026 Earnings Release Tables, ER Metrics tab, row 74 (Merger-related (gain) costs, net, SG&amp;A)</t>
        </r>
      </text>
    </comment>
    <comment ref="P90" authorId="10" shapeId="0" xr:uid="{7253EE12-52FA-4673-92F8-896FC6483B99}">
      <text>
        <t>[Threaded comment]
Your version of Excel allows you to read this threaded comment; however, any edits to it will get removed if the file is opened in a newer version of Excel. Learn more: https://go.microsoft.com/fwlink/?linkid=870924
Comment:
    Covid-19-related costs</t>
      </text>
    </comment>
    <comment ref="Q90" authorId="11" shapeId="0" xr:uid="{939D9B83-FD1D-4B5C-9C60-595A3EC212B4}">
      <text>
        <t>[Threaded comment]
Your version of Excel allows you to read this threaded comment; however, any edits to it will get removed if the file is opened in a newer version of Excel. Learn more: https://go.microsoft.com/fwlink/?linkid=870924
Comment:
    Covid-19-related costs</t>
      </text>
    </comment>
    <comment ref="AM90" authorId="0" shapeId="0" xr:uid="{DED095B8-EA59-412A-8A93-D396658B1E6E}">
      <text>
        <r>
          <rPr>
            <b/>
            <sz val="9"/>
            <color indexed="81"/>
            <rFont val="Tahoma"/>
            <family val="2"/>
          </rPr>
          <t>Andrew Chung:</t>
        </r>
        <r>
          <rPr>
            <sz val="9"/>
            <color indexed="81"/>
            <rFont val="Tahoma"/>
            <family val="2"/>
          </rPr>
          <t xml:space="preserve">
Source: TMUS Q2 2026 Earnings Release Tables, ER Metrics tab, row 75 (Other Special Items, SG&amp;A)</t>
        </r>
      </text>
    </comment>
    <comment ref="AM97" authorId="0" shapeId="0" xr:uid="{E39043F0-DBB4-4B85-8137-476C9FF8DDB9}">
      <text>
        <r>
          <rPr>
            <b/>
            <sz val="9"/>
            <color indexed="81"/>
            <rFont val="Tahoma"/>
            <family val="2"/>
          </rPr>
          <t>Andrew Chung:</t>
        </r>
        <r>
          <rPr>
            <sz val="9"/>
            <color indexed="81"/>
            <rFont val="Tahoma"/>
            <family val="2"/>
          </rPr>
          <t xml:space="preserve">
Source: TMUS Q2 2026 Earnings Release Tables, ER Metrics tab, row 82 (Capitalized interest)</t>
        </r>
      </text>
    </comment>
    <comment ref="AM99" authorId="0" shapeId="0" xr:uid="{9AF3A2CF-DF0C-43B2-BA9E-CA0F57AB35F4}">
      <text>
        <r>
          <rPr>
            <b/>
            <sz val="9"/>
            <color indexed="81"/>
            <rFont val="Tahoma"/>
            <family val="2"/>
          </rPr>
          <t>Andrew Chung:</t>
        </r>
        <r>
          <rPr>
            <sz val="9"/>
            <color indexed="81"/>
            <rFont val="Tahoma"/>
            <family val="2"/>
          </rPr>
          <t xml:space="preserve">
Source: TMUS Q2 2026 Earnings Release Tables, ER Metrics tab, row 84 (Net cash proceeds from securitization)</t>
        </r>
      </text>
    </comment>
    <comment ref="AM100" authorId="0" shapeId="0" xr:uid="{5AEC9626-8421-4E4D-A148-41DA7A9EC4A7}">
      <text>
        <r>
          <rPr>
            <b/>
            <sz val="9"/>
            <color indexed="81"/>
            <rFont val="Tahoma"/>
            <family val="2"/>
          </rPr>
          <t>Andrew Chung:</t>
        </r>
        <r>
          <rPr>
            <sz val="9"/>
            <color indexed="81"/>
            <rFont val="Tahoma"/>
            <family val="2"/>
          </rPr>
          <t xml:space="preserve">
Source: TMUS Q2 2026 Earnings Release Tables, ER Metrics tab, row 86 (Net payments for Merger-related costs)</t>
        </r>
      </text>
    </comment>
    <comment ref="AM103" authorId="0" shapeId="0" xr:uid="{1E20D65D-D7FF-4F7B-B645-77F843A132AE}">
      <text>
        <r>
          <rPr>
            <b/>
            <sz val="9"/>
            <color indexed="81"/>
            <rFont val="Tahoma"/>
            <family val="2"/>
          </rPr>
          <t>Andrew Chung:</t>
        </r>
        <r>
          <rPr>
            <sz val="9"/>
            <color indexed="81"/>
            <rFont val="Tahoma"/>
            <family val="2"/>
          </rPr>
          <t xml:space="preserve">
Source: TMUS Q2 2026 Earnings Release Tables, ER Metrics tab, row 91 (Total repurchases)</t>
        </r>
      </text>
    </comment>
    <comment ref="AM105" authorId="0" shapeId="0" xr:uid="{D0E78CF1-1C9C-4686-B571-C18D1A9BCCC4}">
      <text>
        <r>
          <rPr>
            <b/>
            <sz val="9"/>
            <color indexed="81"/>
            <rFont val="Tahoma"/>
            <family val="2"/>
          </rPr>
          <t>Andrew Chung:</t>
        </r>
        <r>
          <rPr>
            <sz val="9"/>
            <color indexed="81"/>
            <rFont val="Tahoma"/>
            <family val="2"/>
          </rPr>
          <t xml:space="preserve">
Source: TMUS Q2 2026 Earnings Release Tables, ER Metrics tab, row 93 (Average purchase price per share)</t>
        </r>
      </text>
    </comment>
    <comment ref="AM106" authorId="0" shapeId="0" xr:uid="{ABB4EC98-74DB-4B38-9C35-875D01057AF1}">
      <text>
        <r>
          <rPr>
            <b/>
            <sz val="9"/>
            <color indexed="81"/>
            <rFont val="Tahoma"/>
            <family val="2"/>
          </rPr>
          <t>Andrew Chung:</t>
        </r>
        <r>
          <rPr>
            <sz val="9"/>
            <color indexed="81"/>
            <rFont val="Tahoma"/>
            <family val="2"/>
          </rPr>
          <t xml:space="preserve">
Source: TMUS Q2 2026 Earnings Release Tables, ER Metrics tab, row 94 (Total dividends paid)</t>
        </r>
      </text>
    </comment>
    <comment ref="AM107" authorId="0" shapeId="0" xr:uid="{73C3E2DE-3E4F-4E40-8EA7-9758ADBBD4A0}">
      <text>
        <r>
          <rPr>
            <b/>
            <sz val="9"/>
            <color indexed="81"/>
            <rFont val="Tahoma"/>
            <family val="2"/>
          </rPr>
          <t>Andrew Chung:</t>
        </r>
        <r>
          <rPr>
            <sz val="9"/>
            <color indexed="81"/>
            <rFont val="Tahoma"/>
            <family val="2"/>
          </rPr>
          <t xml:space="preserve">
Source: TMUS Q2 2026 Earnings Release Tables, ER Metrics tab, row 95 (Dividends per share)</t>
        </r>
      </text>
    </comment>
    <comment ref="AM109" authorId="0" shapeId="0" xr:uid="{F8CE047C-0A18-4243-8D50-3AD455F1FA7F}">
      <text>
        <r>
          <rPr>
            <b/>
            <sz val="9"/>
            <color indexed="81"/>
            <rFont val="Tahoma"/>
            <family val="2"/>
          </rPr>
          <t>Andrew Chung:</t>
        </r>
        <r>
          <rPr>
            <sz val="9"/>
            <color indexed="81"/>
            <rFont val="Tahoma"/>
            <family val="2"/>
          </rPr>
          <t xml:space="preserve">
Source: TMUS Q2 2026 Earnings Release Tables, ER Metrics tab, row 99 (Cumulative stockholder returns, actual reported). Hardcoded rather than +prior-column formula since the 4Q25/1Q26 gap makes a running roll-forward invalid.</t>
        </r>
      </text>
    </comment>
    <comment ref="AM120" authorId="0" shapeId="0" xr:uid="{0356AEC1-9751-4E07-958F-171C406E9939}">
      <text>
        <r>
          <rPr>
            <b/>
            <sz val="9"/>
            <color indexed="81"/>
            <rFont val="Tahoma"/>
            <family val="2"/>
          </rPr>
          <t>Andrew Chung:</t>
        </r>
        <r>
          <rPr>
            <sz val="9"/>
            <color indexed="81"/>
            <rFont val="Tahoma"/>
            <family val="2"/>
          </rPr>
          <t xml:space="preserve">
Source: TMUS Q2 2026 Earnings Release Tables, ER Non GAAP tab, row 42 (LTM Net income). Hardcoded rather than a 4-quarter SUM formula since 4Q25/1Q26 columns don't exist in 3FS to sum over.</t>
        </r>
      </text>
    </comment>
    <comment ref="AM122" authorId="0" shapeId="0" xr:uid="{5D178258-12B6-41AA-ACE6-9004CE6D3C0E}">
      <text>
        <r>
          <rPr>
            <b/>
            <sz val="9"/>
            <color indexed="81"/>
            <rFont val="Tahoma"/>
            <family val="2"/>
          </rPr>
          <t>Andrew Chung:</t>
        </r>
        <r>
          <rPr>
            <sz val="9"/>
            <color indexed="81"/>
            <rFont val="Tahoma"/>
            <family val="2"/>
          </rPr>
          <t xml:space="preserve">
Source: TMUS Q2 2026 Earnings Release Tables, ER Non GAAP tab, row 44 (LTM Adjusted EBITDA). Hardcoded for same reason as AM120.</t>
        </r>
      </text>
    </comment>
    <comment ref="AM124" authorId="0" shapeId="0" xr:uid="{A75E612A-5A65-4509-927B-AE6C4065696D}">
      <text>
        <r>
          <rPr>
            <b/>
            <sz val="9"/>
            <color indexed="81"/>
            <rFont val="Tahoma"/>
            <family val="2"/>
          </rPr>
          <t>Andrew Chung:</t>
        </r>
        <r>
          <rPr>
            <sz val="9"/>
            <color indexed="81"/>
            <rFont val="Tahoma"/>
            <family val="2"/>
          </rPr>
          <t xml:space="preserve">
Source: TMUS Q2 2026 Earnings Release Tables, ER Non GAAP tab, row 46 (LTM Core Adjusted EBITDA). Hardcoded for same reason as AM120.</t>
        </r>
      </text>
    </comment>
    <comment ref="AG142" authorId="12" shapeId="0" xr:uid="{9284953F-9481-4E3E-8DB9-CE7267CBC142}">
      <text>
        <t>[Threaded comment]
Your version of Excel allows you to read this threaded comment; however, any edits to it will get removed if the file is opened in a newer version of Excel. Learn more: https://go.microsoft.com/fwlink/?linkid=870924
Comment:
    $2.4B included in other current liabilities related to the closing of the first tranche of the License Purchase Agreement</t>
      </text>
    </comment>
  </commentList>
</comments>
</file>

<file path=xl/sharedStrings.xml><?xml version="1.0" encoding="utf-8"?>
<sst xmlns="http://schemas.openxmlformats.org/spreadsheetml/2006/main" count="2116" uniqueCount="1045">
  <si>
    <t>Income Statement</t>
  </si>
  <si>
    <t>1Q22</t>
  </si>
  <si>
    <t>2Q22</t>
  </si>
  <si>
    <t>3Q22</t>
  </si>
  <si>
    <t>4Q22</t>
  </si>
  <si>
    <t>1Q23</t>
  </si>
  <si>
    <t>2Q23</t>
  </si>
  <si>
    <t>3Q23</t>
  </si>
  <si>
    <t>4Q23</t>
  </si>
  <si>
    <t>1Q24</t>
  </si>
  <si>
    <t>2Q24</t>
  </si>
  <si>
    <t>Postpaid revenues</t>
  </si>
  <si>
    <t>Prepaid revenues</t>
  </si>
  <si>
    <t>Wholesale and other service revenues</t>
  </si>
  <si>
    <t>Total service revenues</t>
  </si>
  <si>
    <t>Equipment revenues</t>
  </si>
  <si>
    <t>Other revenues</t>
  </si>
  <si>
    <t>Total revenues</t>
  </si>
  <si>
    <t>Operating expenses</t>
  </si>
  <si>
    <t>Selling, general and administrative</t>
  </si>
  <si>
    <t>Impairment expense</t>
  </si>
  <si>
    <t>Loss (gain) on disposal group held for sale</t>
  </si>
  <si>
    <t>Depreciation and amortization</t>
  </si>
  <si>
    <t>Total operating expenses</t>
  </si>
  <si>
    <t>Operating income</t>
  </si>
  <si>
    <t>Other expense, net</t>
  </si>
  <si>
    <t>Interest expense, net</t>
  </si>
  <si>
    <t>Other (expense) income, net</t>
  </si>
  <si>
    <t>Total other expense, net</t>
  </si>
  <si>
    <t>Income (loss) before income taxes</t>
  </si>
  <si>
    <t>Income tax (expense) benefit</t>
  </si>
  <si>
    <t>Net income (loss)</t>
  </si>
  <si>
    <t>Earnings (loss) per share</t>
  </si>
  <si>
    <t>Basic</t>
  </si>
  <si>
    <t>Diluted</t>
  </si>
  <si>
    <t>Weighted-average shares outstanding</t>
  </si>
  <si>
    <t>Balance Sheet</t>
  </si>
  <si>
    <t>Assets</t>
  </si>
  <si>
    <t>Current assets</t>
  </si>
  <si>
    <t>Cash and cash equivalents</t>
  </si>
  <si>
    <t>Inventory</t>
  </si>
  <si>
    <t>Prepaid expenses</t>
  </si>
  <si>
    <t>Other current assets</t>
  </si>
  <si>
    <t>Total current assets</t>
  </si>
  <si>
    <t>Property and equipment, net</t>
  </si>
  <si>
    <t>Operating lease right-of-use assets</t>
  </si>
  <si>
    <t>Financing lease right-of-use assets</t>
  </si>
  <si>
    <t>Goodwill</t>
  </si>
  <si>
    <t>Spectrum licenses</t>
  </si>
  <si>
    <t>Other intangible assets, net</t>
  </si>
  <si>
    <t>Other assets</t>
  </si>
  <si>
    <t>Total assets</t>
  </si>
  <si>
    <t>Liabilities and Stockholders' Equity</t>
  </si>
  <si>
    <t>Current liabilities</t>
  </si>
  <si>
    <t>Accounts payable and accrued liabilities</t>
  </si>
  <si>
    <t>Short-term debt</t>
  </si>
  <si>
    <t>Short-term debt to affiliates</t>
  </si>
  <si>
    <t>Deferred revenue</t>
  </si>
  <si>
    <t>Short-term operating lease liabilities</t>
  </si>
  <si>
    <t>Short-term financing lease liabilities</t>
  </si>
  <si>
    <t>Other current liabilities</t>
  </si>
  <si>
    <t>Total current liabilities</t>
  </si>
  <si>
    <t>Long-term debt</t>
  </si>
  <si>
    <t>Long-term debt to affiliates</t>
  </si>
  <si>
    <t>Tower obligations</t>
  </si>
  <si>
    <t>Deferred tax liabilities</t>
  </si>
  <si>
    <t>Operating lease liabilities</t>
  </si>
  <si>
    <t>Financing lease liabilities</t>
  </si>
  <si>
    <t>Other long-term liabilities</t>
  </si>
  <si>
    <t>Total long-term liabilities</t>
  </si>
  <si>
    <t>Commitments and contingencies</t>
  </si>
  <si>
    <t>Stockholders' equity</t>
  </si>
  <si>
    <t>Additional paid-in capital</t>
  </si>
  <si>
    <t>Treasury stock, at cost</t>
  </si>
  <si>
    <t>Accumulated other comprehensive loss</t>
  </si>
  <si>
    <t>(Accumulated deficit) retained earnings</t>
  </si>
  <si>
    <t>Total stockholders' equity</t>
  </si>
  <si>
    <t>Total liabilities and stockholders' equity</t>
  </si>
  <si>
    <t>Common &amp; Treasury shares</t>
  </si>
  <si>
    <t>Common shares issued</t>
  </si>
  <si>
    <t>Common shares outstanding</t>
  </si>
  <si>
    <t>Treasury shares</t>
  </si>
  <si>
    <t>Cash Flow Statements</t>
  </si>
  <si>
    <t>Operating activities</t>
  </si>
  <si>
    <t>Stock-based compensation expense</t>
  </si>
  <si>
    <t>Deferred income tax expense (benefit)</t>
  </si>
  <si>
    <t>Bad debt expense</t>
  </si>
  <si>
    <t>Losses from sales of receivables</t>
  </si>
  <si>
    <t>Loss (gain) on remeasurement of disposal group held for sale</t>
  </si>
  <si>
    <t>Changes in operating assets and liabilities</t>
  </si>
  <si>
    <t>Accounts receivable</t>
  </si>
  <si>
    <t>Equipment installment plan receivables</t>
  </si>
  <si>
    <t>Other current and long-term assets</t>
  </si>
  <si>
    <t>Short- and long-term operating lease liabilities</t>
  </si>
  <si>
    <t>Other current and long-term liabilities</t>
  </si>
  <si>
    <t>Other, net</t>
  </si>
  <si>
    <t>Net cash provided by operating activities</t>
  </si>
  <si>
    <t>Investing activities</t>
  </si>
  <si>
    <t>Purchases of spectrum licenses and other intangible assets, including deposits</t>
  </si>
  <si>
    <t>Proceeds from sales of tower sites</t>
  </si>
  <si>
    <t>Proceeds related to beneficial interests in securitization transactions</t>
  </si>
  <si>
    <t>Acquisition of companies, net of cash and restricted cash acquired</t>
  </si>
  <si>
    <t>Net cash used in investing activities</t>
  </si>
  <si>
    <t>Financing activities</t>
  </si>
  <si>
    <t>Proceeds from issuance of long-term debt</t>
  </si>
  <si>
    <t>Repayments of financing lease obligations</t>
  </si>
  <si>
    <t>Repayments of short-term debt for purchases of inventory, property and equipment and other financial liabilities</t>
  </si>
  <si>
    <t>Repayments of long-term debt</t>
  </si>
  <si>
    <t>Repurchases of common stock</t>
  </si>
  <si>
    <t>Dividends on common stock</t>
  </si>
  <si>
    <t>Tax withholdings on share-based awards</t>
  </si>
  <si>
    <t>Net cash (used in) provided by financing activities</t>
  </si>
  <si>
    <t>Change in cash and cash equivalents, including restricted cash and cash held for sale</t>
  </si>
  <si>
    <t>Cash and cash equivalents, including restricted cash and cash held for sale</t>
  </si>
  <si>
    <t>Beginning of period</t>
  </si>
  <si>
    <t>End of period</t>
  </si>
  <si>
    <t>Cash purchases of property and equipment, including capitalized interest</t>
  </si>
  <si>
    <t xml:space="preserve">Proceeds from sales of tower sites </t>
  </si>
  <si>
    <t>Adjusted Free Cash Flow</t>
  </si>
  <si>
    <t>FY2024</t>
  </si>
  <si>
    <t>in millions</t>
  </si>
  <si>
    <t>Guidance provided in:</t>
  </si>
  <si>
    <t>Adjusted FCF</t>
  </si>
  <si>
    <t>low</t>
  </si>
  <si>
    <t>high</t>
  </si>
  <si>
    <t>mid</t>
  </si>
  <si>
    <t>actual</t>
  </si>
  <si>
    <t>delta</t>
  </si>
  <si>
    <t>Cash purchase of PP&amp;E</t>
  </si>
  <si>
    <t>Cash from operating activities</t>
  </si>
  <si>
    <t>Adjusted EBITDA</t>
  </si>
  <si>
    <t>Merger-related costs</t>
  </si>
  <si>
    <t>Lease revenues</t>
  </si>
  <si>
    <t>Core Adjusted EBITDA</t>
  </si>
  <si>
    <t>Customers, end of period</t>
  </si>
  <si>
    <t>Total postpaid customers</t>
  </si>
  <si>
    <t>Total customers</t>
  </si>
  <si>
    <t>Net customer additions (losses)</t>
  </si>
  <si>
    <t>Postpaid phone customers</t>
  </si>
  <si>
    <t>Postpaid other customers</t>
  </si>
  <si>
    <t>Prepaid customers</t>
  </si>
  <si>
    <t>Total net customer additions</t>
  </si>
  <si>
    <t>Migrations from prepaid to postpaid plans</t>
  </si>
  <si>
    <t>Churn</t>
  </si>
  <si>
    <t>Postpaid phone churn</t>
  </si>
  <si>
    <t>Prepaid churn</t>
  </si>
  <si>
    <t>Postpaid device upgrade rate</t>
  </si>
  <si>
    <t>Accounts, end of period</t>
  </si>
  <si>
    <t>Postpaid net account additions</t>
  </si>
  <si>
    <t>Postpaid high speed internet customers</t>
  </si>
  <si>
    <t>Prepaid high speed internet customers</t>
  </si>
  <si>
    <t>High speed internet - net customer additions</t>
  </si>
  <si>
    <t>Total high speed internet net customer additions</t>
  </si>
  <si>
    <t>Gross EIP financed</t>
  </si>
  <si>
    <t>EIP billings</t>
  </si>
  <si>
    <t>EIP receivables, net</t>
  </si>
  <si>
    <t>Postpaid ARPA</t>
  </si>
  <si>
    <t>Postpaid phone ARPU</t>
  </si>
  <si>
    <t>Prepaid ARPU</t>
  </si>
  <si>
    <t>Service revenues</t>
  </si>
  <si>
    <t>Equipment sales</t>
  </si>
  <si>
    <t>Other Special Items</t>
  </si>
  <si>
    <t>Merger-related costs (recoveries)</t>
  </si>
  <si>
    <t>Selling, general and administrative excluding Special Items</t>
  </si>
  <si>
    <t>Capitalized interest</t>
  </si>
  <si>
    <t>Net cash proceeds from securitization</t>
  </si>
  <si>
    <t>Net cash payments for Merger-related costs</t>
  </si>
  <si>
    <t>Stockholder Returns</t>
  </si>
  <si>
    <t>Total repurchases</t>
  </si>
  <si>
    <t>Total shares repurchased</t>
  </si>
  <si>
    <t>Average purchase price per share</t>
  </si>
  <si>
    <t>Total dividends paid</t>
  </si>
  <si>
    <t>Dividends per share</t>
  </si>
  <si>
    <t>Total stockholder returns</t>
  </si>
  <si>
    <t>1Q21</t>
  </si>
  <si>
    <t>2Q21</t>
  </si>
  <si>
    <t>3Q21</t>
  </si>
  <si>
    <t>4Q21</t>
  </si>
  <si>
    <t>Wholesale revenues</t>
  </si>
  <si>
    <t>Other service revenues</t>
  </si>
  <si>
    <t>4Q20</t>
  </si>
  <si>
    <t>Income from continuing operations</t>
  </si>
  <si>
    <t>Income from discontinued operations, net of tax</t>
  </si>
  <si>
    <t>in millions dollars</t>
  </si>
  <si>
    <t>Cost of services, exclusive of D&amp;A</t>
  </si>
  <si>
    <t>Cost of equipment sales, exclusive of D&amp;A</t>
  </si>
  <si>
    <t>Basic - continuing operations</t>
  </si>
  <si>
    <t>Basic - discontinued operations</t>
  </si>
  <si>
    <t>Diluted - continuing operations</t>
  </si>
  <si>
    <t>Diluted - discontinued operations</t>
  </si>
  <si>
    <t>Equipment installment plan receivables due after one year</t>
  </si>
  <si>
    <t>Common stock</t>
  </si>
  <si>
    <t>Adjustments to reconcile net income (loss) to CFO</t>
  </si>
  <si>
    <t>Purchases of property and equipment</t>
  </si>
  <si>
    <t>Adjusted EBITDA margin (Adj. EBITDA / Service revenues)</t>
  </si>
  <si>
    <t>Core adj. EBITDA margin (Core Adj. EBITDA / Service revenues)</t>
  </si>
  <si>
    <t>Net cash provided by operating activities margin  (sub revenue)</t>
  </si>
  <si>
    <t>Adjusted Free Cash Flow margin (sub revenue)</t>
  </si>
  <si>
    <t>3Q20</t>
  </si>
  <si>
    <t>2Q20</t>
  </si>
  <si>
    <t>1Q20</t>
  </si>
  <si>
    <t>4Q19</t>
  </si>
  <si>
    <t>3Q19</t>
  </si>
  <si>
    <t>Operating income from discontinued operations</t>
  </si>
  <si>
    <t>Cost of services, excluding D&amp;A and Special Items</t>
  </si>
  <si>
    <t>Cost of equipment sales, excluding D&amp;A and Special Items</t>
  </si>
  <si>
    <t>as % of total revenue</t>
  </si>
  <si>
    <t>Total bad debt expense &amp; losses from sales of receivables</t>
  </si>
  <si>
    <t>Cash purchases of PPE including capitalized interest</t>
  </si>
  <si>
    <t>Adjustments to customers</t>
  </si>
  <si>
    <t>High speed internet customers, EOP</t>
  </si>
  <si>
    <t>Total high speed internet customers, EOP</t>
  </si>
  <si>
    <t xml:space="preserve">Lease revenues </t>
  </si>
  <si>
    <t xml:space="preserve">Leased device depreciation </t>
  </si>
  <si>
    <t>Device financing - leased devices ($M)</t>
  </si>
  <si>
    <t>Device financing - equipment installment plans ($M)</t>
  </si>
  <si>
    <t>Operating measures (in $)</t>
  </si>
  <si>
    <t xml:space="preserve">Cumulative stockholder returns </t>
  </si>
  <si>
    <t>Less: Cash and cash equivalents</t>
  </si>
  <si>
    <t>Net debt to LTM income</t>
  </si>
  <si>
    <t>Net debt (ex. tower obligations) to LTM Net income Ratio</t>
  </si>
  <si>
    <t>Net debt (ex. tower obligations)</t>
  </si>
  <si>
    <t>Divided by: LTM Net income</t>
  </si>
  <si>
    <t>Divided by: LTM Adjusted EBITDA</t>
  </si>
  <si>
    <t>Divided by: LTM Core Adjusted EBITDA</t>
  </si>
  <si>
    <t>Financial measures (in $ million)</t>
  </si>
  <si>
    <t>Operational Metrics (in thousands)</t>
  </si>
  <si>
    <t>Net debt (ex. tower obligations) to LTM adj EBITDA Ratio</t>
  </si>
  <si>
    <t>Net debt (ex. tower obligations) to LTM Core adj EBITDA Ratio</t>
  </si>
  <si>
    <t>Total postpaid customer accounts</t>
  </si>
  <si>
    <t xml:space="preserve">Stock-based compensation </t>
  </si>
  <si>
    <t>Legal-related expenses (recoveries), net</t>
  </si>
  <si>
    <t>check</t>
  </si>
  <si>
    <t>Adj. Free Cash Flow</t>
  </si>
  <si>
    <t>Net cash provided by operating activities margin (sub revenue)</t>
  </si>
  <si>
    <t>Adj. Free Cash Flow margin (sub revenue)</t>
  </si>
  <si>
    <t>Stock-based compensation</t>
  </si>
  <si>
    <t>restricted cash (CFS - BS cash)</t>
  </si>
  <si>
    <t>x</t>
  </si>
  <si>
    <t>1Q19</t>
  </si>
  <si>
    <t>2Q19</t>
  </si>
  <si>
    <t>Postpaid revenue</t>
  </si>
  <si>
    <t>postpaid phone customer</t>
  </si>
  <si>
    <t>postpaid other customer</t>
  </si>
  <si>
    <t>in $M except customer metrics</t>
  </si>
  <si>
    <t>Postpaid customers (in 000's)</t>
  </si>
  <si>
    <t>Net customer add (000's)</t>
  </si>
  <si>
    <t>Postpaid phone</t>
  </si>
  <si>
    <t>Postpaid other</t>
  </si>
  <si>
    <t>Migration from prepaid to postpaid</t>
  </si>
  <si>
    <t>Postpaid accounts (000's)</t>
  </si>
  <si>
    <t>net account adds</t>
  </si>
  <si>
    <t>High speed internet customers</t>
  </si>
  <si>
    <t>Other device customers</t>
  </si>
  <si>
    <t>ARPA/ARPU</t>
  </si>
  <si>
    <t>Postpaid phone (reported)</t>
  </si>
  <si>
    <t>Other adjustments</t>
  </si>
  <si>
    <t>Postpaid other (reported)</t>
  </si>
  <si>
    <t>High speed internet customers (reported)</t>
  </si>
  <si>
    <t xml:space="preserve">High speed internet customers </t>
  </si>
  <si>
    <t>net account adds (reported)</t>
  </si>
  <si>
    <t>Postpaid ARPA (reported)</t>
  </si>
  <si>
    <t>Postpaid phone ARPU (reported)</t>
  </si>
  <si>
    <t>Postpaid Phone revenue</t>
  </si>
  <si>
    <t>Postpaid other revenue</t>
  </si>
  <si>
    <t>Postpaid other ARPU</t>
  </si>
  <si>
    <t>YoY growth %</t>
  </si>
  <si>
    <t>QoQ growth %</t>
  </si>
  <si>
    <t>Postpaid Segment</t>
  </si>
  <si>
    <t>YoY change in postpaid customer</t>
  </si>
  <si>
    <t>QoQ change in postpaid customer</t>
  </si>
  <si>
    <t>Prepaid Segment</t>
  </si>
  <si>
    <t>Prepaid Revenue</t>
  </si>
  <si>
    <t>net customer adds (reported)</t>
  </si>
  <si>
    <t>net customer adds</t>
  </si>
  <si>
    <t>Total Postpaid customer net add</t>
  </si>
  <si>
    <t>Postpaid net adds ex. Migration</t>
  </si>
  <si>
    <t>Prepaid net adds ex. Migration</t>
  </si>
  <si>
    <t xml:space="preserve">Net add </t>
  </si>
  <si>
    <t>Adjustments</t>
  </si>
  <si>
    <t>Net add (after adjustments)</t>
  </si>
  <si>
    <t>Total Prepaid customers (000's)</t>
  </si>
  <si>
    <t>Prepaid ARPU (reported)</t>
  </si>
  <si>
    <t>as % of total prepaid customers</t>
  </si>
  <si>
    <t>Equipment revenue</t>
  </si>
  <si>
    <t>Lease revenue</t>
  </si>
  <si>
    <t>Equipment sales revenue</t>
  </si>
  <si>
    <t>as % of postpaid phone revenue</t>
  </si>
  <si>
    <t>Costs and Expenses</t>
  </si>
  <si>
    <t>Total Revenue</t>
  </si>
  <si>
    <t>Total Revenues</t>
  </si>
  <si>
    <t>Other Revenue Segments</t>
  </si>
  <si>
    <t>as % of equipment sales revenues</t>
  </si>
  <si>
    <t>Costs of services, exclusive of D&amp;A</t>
  </si>
  <si>
    <t>as % of services revenues</t>
  </si>
  <si>
    <t>Costs of equipment sales</t>
  </si>
  <si>
    <t>SG&amp;A</t>
  </si>
  <si>
    <t>Working Capital</t>
  </si>
  <si>
    <t>Accounts Receivable</t>
  </si>
  <si>
    <t>as % of LTM revenue</t>
  </si>
  <si>
    <t>Days outstanding</t>
  </si>
  <si>
    <t>as % of LTM equipment sales revenue</t>
  </si>
  <si>
    <t>Debt</t>
  </si>
  <si>
    <t>PP&amp;E</t>
  </si>
  <si>
    <t>PP&amp;E and CapEx</t>
  </si>
  <si>
    <t>Current receivable</t>
  </si>
  <si>
    <t>Noncurrent receivable</t>
  </si>
  <si>
    <t>as % of total equipment installment plan receivable</t>
  </si>
  <si>
    <t>Purchase of PP&amp;E</t>
  </si>
  <si>
    <t>Purchase of spectrum licenses and other intangible assets</t>
  </si>
  <si>
    <t>Spectrum licenses, EOP</t>
  </si>
  <si>
    <t>Other intangible assets, net, EOP</t>
  </si>
  <si>
    <t>PP&amp;E EOP</t>
  </si>
  <si>
    <t>Depreciation</t>
  </si>
  <si>
    <t>as % of BOP</t>
  </si>
  <si>
    <t>Total EOP</t>
  </si>
  <si>
    <t>as % of total</t>
  </si>
  <si>
    <t>Repayments of short-term debt</t>
  </si>
  <si>
    <t>Long-term Financing lease liabilities</t>
  </si>
  <si>
    <t>Net debt</t>
  </si>
  <si>
    <t>LTM net income</t>
  </si>
  <si>
    <t>Net debt to LTM net income</t>
  </si>
  <si>
    <t>LTM EBITDA</t>
  </si>
  <si>
    <t>Net debt to LTM EBITDA</t>
  </si>
  <si>
    <t>LTM core EBITDA</t>
  </si>
  <si>
    <t>Net debt to LTM Core EBITDA</t>
  </si>
  <si>
    <t>Interest expenses</t>
  </si>
  <si>
    <t>Depreciation and Amortization</t>
  </si>
  <si>
    <t>Short-term operating lease liabilitles</t>
  </si>
  <si>
    <t>Long-term operating lease liabilities</t>
  </si>
  <si>
    <t>tax rate %</t>
  </si>
  <si>
    <t>Treasury stock</t>
  </si>
  <si>
    <t>Net income</t>
  </si>
  <si>
    <t>as % of total operating lease</t>
  </si>
  <si>
    <t>Change in operating lease liabilities</t>
  </si>
  <si>
    <t>as % of BOP spectrum licenses</t>
  </si>
  <si>
    <t>Other</t>
  </si>
  <si>
    <t>as % of SG&amp;A</t>
  </si>
  <si>
    <t>YoY change %</t>
  </si>
  <si>
    <t>as % of basic</t>
  </si>
  <si>
    <t>Avg. purchase price per share</t>
  </si>
  <si>
    <t>Repurchases of common stock (cash)</t>
  </si>
  <si>
    <t>Repurchases of common stock (non-cash)</t>
  </si>
  <si>
    <t>Total Financing lease liabilities</t>
  </si>
  <si>
    <t>Property and Equipment</t>
  </si>
  <si>
    <t>Land</t>
  </si>
  <si>
    <t>Buildings and equipment</t>
  </si>
  <si>
    <t>Wireless communications systems</t>
  </si>
  <si>
    <t>leasehold improvements</t>
  </si>
  <si>
    <t>Capitalized software</t>
  </si>
  <si>
    <t>Leased wireless devices</t>
  </si>
  <si>
    <t>Construction in progress</t>
  </si>
  <si>
    <t>Accumulated depreciation and amortization</t>
  </si>
  <si>
    <t>Spectrum Licenses</t>
  </si>
  <si>
    <t>Spectrum license acquisitions</t>
  </si>
  <si>
    <t>Spectrum license transferred to held for sale</t>
  </si>
  <si>
    <t>Costs to clear spectrum</t>
  </si>
  <si>
    <t>Spectrum Licenses, EOP</t>
  </si>
  <si>
    <t>Spectrum Licenses, BOP</t>
  </si>
  <si>
    <t>Customer relationships</t>
  </si>
  <si>
    <t>Reacquired rights</t>
  </si>
  <si>
    <t>Tradenames and patents</t>
  </si>
  <si>
    <t>Favorable spectrum leases</t>
  </si>
  <si>
    <t>Other Intangible Assets (net)</t>
  </si>
  <si>
    <t>Other intangible assets (net)</t>
  </si>
  <si>
    <t>Accumulated amortization</t>
  </si>
  <si>
    <t>Other intangible assets (gross)</t>
  </si>
  <si>
    <t>Amortization expense for other intangible assets</t>
  </si>
  <si>
    <t>Depreciation for PPE and financing lease right-of-use assets</t>
  </si>
  <si>
    <t>Depreciation for leased wireless devices</t>
  </si>
  <si>
    <t>Operating lease right-of-use assets obtained in exchange for lease obligations</t>
  </si>
  <si>
    <t>Financing lease right-of-use assets obtained in exchange for lease obligations</t>
  </si>
  <si>
    <t>Other non-cash activities</t>
  </si>
  <si>
    <t>Devices sold or leased</t>
  </si>
  <si>
    <t>Phones</t>
  </si>
  <si>
    <t>Mobile broadband and IoT devices</t>
  </si>
  <si>
    <t>Total</t>
  </si>
  <si>
    <t>Losses on redemption of debt</t>
  </si>
  <si>
    <t>Issuance of common stock</t>
  </si>
  <si>
    <t>Proceeds from issuance of short-term debt</t>
  </si>
  <si>
    <t>Pre Merger Pro Forma</t>
  </si>
  <si>
    <t>Pre Merger Non Pro Forma</t>
  </si>
  <si>
    <t>Company Name</t>
  </si>
  <si>
    <t>MARKET DATA</t>
  </si>
  <si>
    <t>TICKER DATA</t>
  </si>
  <si>
    <t>DESCRIPTION</t>
  </si>
  <si>
    <t>BM Client Code</t>
  </si>
  <si>
    <t>Download</t>
  </si>
  <si>
    <t>Close Date</t>
  </si>
  <si>
    <t>PRICING_DATE_2</t>
  </si>
  <si>
    <t>Enter Ticker</t>
  </si>
  <si>
    <t>Ticker</t>
  </si>
  <si>
    <t>TICKER</t>
  </si>
  <si>
    <t>CLOSEPRICE</t>
  </si>
  <si>
    <t>Analyst</t>
  </si>
  <si>
    <t>ANALYST</t>
  </si>
  <si>
    <t>52-Week Low</t>
  </si>
  <si>
    <t>52_WEEK_LOW</t>
  </si>
  <si>
    <t>Exchange</t>
  </si>
  <si>
    <t>EXCHANGE</t>
  </si>
  <si>
    <t>52-Week High</t>
  </si>
  <si>
    <t>52_WEEK_HIGH</t>
  </si>
  <si>
    <t>Exchange Currency</t>
  </si>
  <si>
    <t>CURRENCY2</t>
  </si>
  <si>
    <t>Indicated Div Yield (%)</t>
  </si>
  <si>
    <t>EQY_DVD_YLD_IND</t>
  </si>
  <si>
    <t>Estimate Currency</t>
  </si>
  <si>
    <t>CURRENCY1</t>
  </si>
  <si>
    <t>Market Cap</t>
  </si>
  <si>
    <t>CUR_MKT_CAP</t>
  </si>
  <si>
    <t>Fiscal Year End</t>
  </si>
  <si>
    <t>FYEND</t>
  </si>
  <si>
    <t>EV</t>
  </si>
  <si>
    <t>STATIC ITEMS</t>
  </si>
  <si>
    <t>Enter Draft</t>
  </si>
  <si>
    <t>BM Formula &amp; Result</t>
  </si>
  <si>
    <t>Perf YTD (%)</t>
  </si>
  <si>
    <t>CHG_PCT_YTD</t>
  </si>
  <si>
    <t>Rating</t>
  </si>
  <si>
    <t>RATING_SCB</t>
  </si>
  <si>
    <t>Perf 1M (%)</t>
  </si>
  <si>
    <t>CHG_PCT_1M</t>
  </si>
  <si>
    <t>Target Price</t>
  </si>
  <si>
    <t>PRICE_TARGET</t>
  </si>
  <si>
    <t>Perf 6M (%)</t>
  </si>
  <si>
    <t>CHG_PCT_6M</t>
  </si>
  <si>
    <t>Free Float</t>
  </si>
  <si>
    <t>FREE_FLOAT</t>
  </si>
  <si>
    <t>Perf 12M (%)</t>
  </si>
  <si>
    <t>CHG_PCT_1YR</t>
  </si>
  <si>
    <t>ESTIMATES - ANNUALS</t>
  </si>
  <si>
    <t>Set actual forecast</t>
  </si>
  <si>
    <t>A</t>
  </si>
  <si>
    <t>E</t>
  </si>
  <si>
    <t>Reported EPS</t>
  </si>
  <si>
    <t>Published (download)</t>
  </si>
  <si>
    <t>EPSRPT</t>
  </si>
  <si>
    <t>Adjusted for non recurring items - analyst choice - Using average fully diluted shares outstanding</t>
  </si>
  <si>
    <t>Adjusted EPS</t>
  </si>
  <si>
    <t>EPSADJ</t>
  </si>
  <si>
    <t>Total Long-Term Assets</t>
  </si>
  <si>
    <t xml:space="preserve">Total long term assets on balance sheet </t>
  </si>
  <si>
    <t>TotalLTAssets</t>
  </si>
  <si>
    <t>Goodwill component of intangible assets and goodwill item</t>
  </si>
  <si>
    <t>Other Intangible Assets (M)</t>
  </si>
  <si>
    <t>INTANGIBLE_ASSETS</t>
  </si>
  <si>
    <t>Tangible assets (incl. leased assets)</t>
  </si>
  <si>
    <t>Tangible assets includes leased assed (finance lease) for IFRS years</t>
  </si>
  <si>
    <t>TANGIBLE_ASSETS</t>
  </si>
  <si>
    <t>Other long-term assets</t>
  </si>
  <si>
    <t>OTHER_LT_ASSETS</t>
  </si>
  <si>
    <t>Other Long-Term Liabilities (M)</t>
  </si>
  <si>
    <t>Includes Long-term deferred revenue &amp; Other long-term liabilities</t>
  </si>
  <si>
    <t>OTHER_LT_LIAB</t>
  </si>
  <si>
    <t>Total Equity (M)</t>
  </si>
  <si>
    <t>Share capital + reserves</t>
  </si>
  <si>
    <t>TOTAL_EQUITY</t>
  </si>
  <si>
    <t>Minorities</t>
  </si>
  <si>
    <t>Minority interests on balance sheet</t>
  </si>
  <si>
    <t>Total Provision (M)</t>
  </si>
  <si>
    <t>Provisions other than employee benefits</t>
  </si>
  <si>
    <t>PROV</t>
  </si>
  <si>
    <t>Employee benefit obligations</t>
  </si>
  <si>
    <t>Retirement &amp; others employee benefit obligations (pension provisions, short and long term)</t>
  </si>
  <si>
    <t>EMP_BEN_OBLIG</t>
  </si>
  <si>
    <t>Working Capital (M)</t>
  </si>
  <si>
    <t>Working capital assets minus liabilities</t>
  </si>
  <si>
    <t>WORKING_CAPITAL</t>
  </si>
  <si>
    <t>Net Debt (Cash) (M)</t>
  </si>
  <si>
    <t>Long term financial debt +  short term financial debt  minus cash, cash equivalents &amp; short-term investments</t>
  </si>
  <si>
    <t>NETDEBT_EST</t>
  </si>
  <si>
    <t>Gearing (%)</t>
  </si>
  <si>
    <t>Financial net debt / Book value of equity</t>
  </si>
  <si>
    <t>GEARING</t>
  </si>
  <si>
    <t>Invested Capital (exc. Assoc)(M)</t>
  </si>
  <si>
    <t>Year end</t>
  </si>
  <si>
    <t>INVESTED_CAPITAL</t>
  </si>
  <si>
    <t>Invested Capital (inc. Assoc)(M)</t>
  </si>
  <si>
    <t>INVESTED_CAPITAL_INC_ASSOC</t>
  </si>
  <si>
    <t>Invested capital: other adjustments</t>
  </si>
  <si>
    <t>Adjustment for invested capital calculation (provisions, off-balance sheet items, etc.)</t>
  </si>
  <si>
    <t>INV_CAPITAL_OTHER_ADJ</t>
  </si>
  <si>
    <t>Average Invested Capital (exc. Assoc)(M)</t>
  </si>
  <si>
    <t>For ROCE calculation</t>
  </si>
  <si>
    <t>AVE_INVESTED_CAPITAL</t>
  </si>
  <si>
    <t>Average Invested Capital (inc. Assoc)(M)</t>
  </si>
  <si>
    <t>AVE_INVESTED_CAPITAL_INC_ASSOC</t>
  </si>
  <si>
    <t>Cash Flow</t>
  </si>
  <si>
    <t>Taxation paid</t>
  </si>
  <si>
    <t>Taxation paid (cash)</t>
  </si>
  <si>
    <t>TAXATION_PAID</t>
  </si>
  <si>
    <t>CFO excl Chg in Work Cap</t>
  </si>
  <si>
    <t>EBITDA (ex. associates) - Share based payment (in deduction) - other non cash items included in EBITDA  + Dividends from associates + Net interest income/ (expense) paid + Taxation paid + Other cash movements</t>
  </si>
  <si>
    <t>CF_FROM_OP_EX_CHG_WCR</t>
  </si>
  <si>
    <t>Change in Working Cap Requirement (M)</t>
  </si>
  <si>
    <t>DEC_INCR_IN_WORKING_CAPITAL</t>
  </si>
  <si>
    <t>CFO (M)</t>
  </si>
  <si>
    <t>Cash flow from operating activities excluding change in working capital + Change in working capital</t>
  </si>
  <si>
    <t>OCF</t>
  </si>
  <si>
    <t>Net capital expenditure</t>
  </si>
  <si>
    <t>Capital expenditures is a net item, I.e. it consists of capital expenditure as well as sales of assets</t>
  </si>
  <si>
    <t>NET_CAPITAL_EXPENDITURE</t>
  </si>
  <si>
    <t>Net Interest Inc Received/Expense Paid (M)</t>
  </si>
  <si>
    <t>Net interest income received/ (expense paid)</t>
  </si>
  <si>
    <t>NIM</t>
  </si>
  <si>
    <t>FCF (M)</t>
  </si>
  <si>
    <t>Cash flow from operating activities + Net capital expenditure</t>
  </si>
  <si>
    <t>FCF</t>
  </si>
  <si>
    <t>Acquisitions</t>
  </si>
  <si>
    <t>Acquisitions of subsidiaries, securities &amp; other investments</t>
  </si>
  <si>
    <t>ACQU_SUBSIDS_SECS_INVEST</t>
  </si>
  <si>
    <t>Disposals</t>
  </si>
  <si>
    <t>Disposals of subsidiaries, securities &amp; other investments</t>
  </si>
  <si>
    <t>DISP_SUBSIDS_SECS_INVEST</t>
  </si>
  <si>
    <t xml:space="preserve">Cash flow from financing activities </t>
  </si>
  <si>
    <t>Debt movements + Share issue proceeds + Share buy-back + Dividends paid + Other movements in cash flow statement</t>
  </si>
  <si>
    <t>CF_FROM_FINANCING_ACTIVITIES</t>
  </si>
  <si>
    <t>Share repurchase (FXmn)</t>
  </si>
  <si>
    <t xml:space="preserve">Share buy-back </t>
  </si>
  <si>
    <t>ShareRepurch</t>
  </si>
  <si>
    <t>Dividends paid</t>
  </si>
  <si>
    <t>Dividend voted during the previous fiscal year (payable in the current year)</t>
  </si>
  <si>
    <t>DIVIDENDS_PAID</t>
  </si>
  <si>
    <t xml:space="preserve">Cash flow from investing activities </t>
  </si>
  <si>
    <t>Acquisitions of subsidiaries, securities and other investments + Disposals of subsidiaries, securities and other investments</t>
  </si>
  <si>
    <t>CF_FROM_INVESTING_ACTIVITIES</t>
  </si>
  <si>
    <t>Other movements in cash flow statement</t>
  </si>
  <si>
    <t>Other movements in cash flow statement - this item helps reconcile the summary CF statement</t>
  </si>
  <si>
    <t>OTHER_MOVEMENTS_IN_CFS</t>
  </si>
  <si>
    <t>Other operating cash movements</t>
  </si>
  <si>
    <t>Other operating cash movements - to reconcile EBITDA, Change in WC, and CFO</t>
  </si>
  <si>
    <t>OTHER_OP_CASH_MOVEMENTS</t>
  </si>
  <si>
    <t>ESG</t>
  </si>
  <si>
    <t>ESG Premium</t>
  </si>
  <si>
    <t>SG models only, initially</t>
  </si>
  <si>
    <t>ESG_OVERLAY</t>
  </si>
  <si>
    <t>P&amp;L</t>
  </si>
  <si>
    <t>Revenues (M)</t>
  </si>
  <si>
    <t>SALES</t>
  </si>
  <si>
    <t>Revenues growth (%)</t>
  </si>
  <si>
    <t>RevenuesGrowth</t>
  </si>
  <si>
    <t>Cost of Goods Sold (M)</t>
  </si>
  <si>
    <t>Includes R&amp;D cost linked to the manufacturing process</t>
  </si>
  <si>
    <t>COGS</t>
  </si>
  <si>
    <t>EBITDA (M)</t>
  </si>
  <si>
    <t>Gross operating income + Research &amp; development + Share based payment + Actuarial gain (or losses) &amp; service cost (retirement plans) + Other operating expenses (ex. depreciation and amortisation) + Other operating income / (expense) ;  excluding income from associates</t>
  </si>
  <si>
    <t>EBITDA</t>
  </si>
  <si>
    <t>EBITDA (exc. associates) yoy growth (%)</t>
  </si>
  <si>
    <t>EBITDA_XA_GROWTH</t>
  </si>
  <si>
    <t>Income from associates / other income</t>
  </si>
  <si>
    <t>Income from associates and other non operational income / expenses</t>
  </si>
  <si>
    <t>IncomeAssociates</t>
  </si>
  <si>
    <t>EBITDA (incl income from associates)</t>
  </si>
  <si>
    <t>EBITDA_ADJ</t>
  </si>
  <si>
    <t>Depreciation and amortisation</t>
  </si>
  <si>
    <t>Includes tangible and operational intangible asset amortisation and depreciation (excludes impairement)</t>
  </si>
  <si>
    <t>OP_EXP_DEP_AM_EX_GW_AM</t>
  </si>
  <si>
    <t>EBIT (M)</t>
  </si>
  <si>
    <t>Operating income post goodwill amortisation and associate income</t>
  </si>
  <si>
    <t>EBIT</t>
  </si>
  <si>
    <t>EBIT yoy growth (%)</t>
  </si>
  <si>
    <t>OP_INC_GROWTH</t>
  </si>
  <si>
    <t>EBIT Margin (%)</t>
  </si>
  <si>
    <t>EBIT / Revenues</t>
  </si>
  <si>
    <t>OP_INC_MARGIN</t>
  </si>
  <si>
    <t>Net interest income</t>
  </si>
  <si>
    <t>Interest expenses on financial debt + Interest income on cash, cash equivalent and short term investments + Other interest income/ (expense)</t>
  </si>
  <si>
    <t>NII</t>
  </si>
  <si>
    <t>Tax Charge (M)</t>
  </si>
  <si>
    <t>=-(Pre-tax income * Tax rate)</t>
  </si>
  <si>
    <t>TaxCharge</t>
  </si>
  <si>
    <t>Net income before minorities</t>
  </si>
  <si>
    <t>Pre-tax income + Taxation + Associate income/ (loss) after taxation</t>
  </si>
  <si>
    <t>NET_INC_BEFORE_MINORITIES</t>
  </si>
  <si>
    <t>Pre-Tax Net Income Growth (%)</t>
  </si>
  <si>
    <t>Pre-TaxNetIncomeGrowth</t>
  </si>
  <si>
    <t>Minority interests</t>
  </si>
  <si>
    <t>P&amp;L item</t>
  </si>
  <si>
    <t>MinorityInterest</t>
  </si>
  <si>
    <t>Reported net income</t>
  </si>
  <si>
    <t>Reported net income after minority interests</t>
  </si>
  <si>
    <t>RepNetIncome</t>
  </si>
  <si>
    <t>Net income margin (%)</t>
  </si>
  <si>
    <t>NETMARGIN</t>
  </si>
  <si>
    <t>Adjustments to assoc / other</t>
  </si>
  <si>
    <t>Needed for EV/EBITDA calc</t>
  </si>
  <si>
    <t>AdjustmentOther</t>
  </si>
  <si>
    <t>Exceptional items</t>
  </si>
  <si>
    <t>Exceptional items: write-offs, income/ (loss) on fixed assets &amp; business disposals, restructuring costs</t>
  </si>
  <si>
    <t>ExceptionalItems</t>
  </si>
  <si>
    <t>Net Profit Before Non-Recurring Items</t>
  </si>
  <si>
    <t xml:space="preserve">Ordinary net earnings:  reported net income adjusted for non recurring items, net of tax and minority interests </t>
  </si>
  <si>
    <t>NET_INC_EX_EXCEPT_GW</t>
  </si>
  <si>
    <t>Analysts Adjusted Net Income Growth (%)</t>
  </si>
  <si>
    <t>AnalystsAdjNetIncomeGrowth</t>
  </si>
  <si>
    <t>12Month Forecast Dividend</t>
  </si>
  <si>
    <t xml:space="preserve">12 month Dividend </t>
  </si>
  <si>
    <t>12M_FORECAST_DIV</t>
  </si>
  <si>
    <t>Normalised Tax Rate (%)</t>
  </si>
  <si>
    <t>Normative tax rate % ie long term tax rate, excluding short term positive effects.</t>
  </si>
  <si>
    <t>NormalisedTaxRate</t>
  </si>
  <si>
    <t>Net Income Growth (%)</t>
  </si>
  <si>
    <t>Net income excl. except. &amp; impairment yoy growth</t>
  </si>
  <si>
    <t>NetIncomeGrowth</t>
  </si>
  <si>
    <t>Adjusted Net Income (M)</t>
  </si>
  <si>
    <t xml:space="preserve">Ordinary net income:  reported net income adjusted for non recurring items, net of tax and minority interests </t>
  </si>
  <si>
    <t>AdjNetIncome</t>
  </si>
  <si>
    <t>RATIOS</t>
  </si>
  <si>
    <t>EBIT After Normative Tax Rate (M)</t>
  </si>
  <si>
    <t>EBITA_AFTER_NORMATIVE_TAX</t>
  </si>
  <si>
    <t>ROCE (%)</t>
  </si>
  <si>
    <t>ROCE</t>
  </si>
  <si>
    <t>ROE (%)</t>
  </si>
  <si>
    <t>ROE</t>
  </si>
  <si>
    <t>ROIC (%)</t>
  </si>
  <si>
    <t>ROIC</t>
  </si>
  <si>
    <t>STOCK</t>
  </si>
  <si>
    <t>Dividend/Share</t>
  </si>
  <si>
    <t>Dividend paid to shareholders voted during the fiscal year (payable in the following year)</t>
  </si>
  <si>
    <t>DIVPS</t>
  </si>
  <si>
    <t>Dividend per Share Growth (%)</t>
  </si>
  <si>
    <t>DPS_GROWTH</t>
  </si>
  <si>
    <t>EPS Growth (%)</t>
  </si>
  <si>
    <t>Net income excluding exceptionals, impairment &amp;  amortisation (used for calculation of EPS adjusted) / (Average fully diluted shares outstanding)</t>
  </si>
  <si>
    <t>EPSGROWTH</t>
  </si>
  <si>
    <t>Weighted Average Diluted Shares Out.</t>
  </si>
  <si>
    <t>Company Average fully diluted shares outstanding (used for calculation of EPS (adjusted &amp; diluted))</t>
  </si>
  <si>
    <t>WADilutedSharesOutstanding</t>
  </si>
  <si>
    <t>VALUATION</t>
  </si>
  <si>
    <t>BV/Share (M)</t>
  </si>
  <si>
    <t>BVPS</t>
  </si>
  <si>
    <t>OTHER</t>
  </si>
  <si>
    <t>Operating Earnings (M)</t>
  </si>
  <si>
    <t>OPEARN</t>
  </si>
  <si>
    <t>TMUS</t>
  </si>
  <si>
    <t>Not Pro Forma</t>
  </si>
  <si>
    <t>Non Pro Forma</t>
  </si>
  <si>
    <t>Pre Merger Non-Pro Forma</t>
  </si>
  <si>
    <t>Postpaid customer per account</t>
  </si>
  <si>
    <t>Postpaid service revenue</t>
  </si>
  <si>
    <t>Postpaid phone service revenue</t>
  </si>
  <si>
    <t>Postpaid other revenues</t>
  </si>
  <si>
    <t>Non pro forma</t>
  </si>
  <si>
    <t>Avg. number of prepaid customers</t>
  </si>
  <si>
    <t>U.S. Media &amp; Telecom</t>
  </si>
  <si>
    <t>Laurent Yoon</t>
  </si>
  <si>
    <t>laurent.yoon@bernsteinsg.com</t>
  </si>
  <si>
    <t>T-Mobile (TMUS)</t>
  </si>
  <si>
    <t>Martin Boruchowicz</t>
  </si>
  <si>
    <t>martin.boruchowicz@bernsteinsg.com</t>
  </si>
  <si>
    <t>as % of operating lease liabilities</t>
  </si>
  <si>
    <t>Short-term debt as % of total debt</t>
  </si>
  <si>
    <t>Total Debt</t>
  </si>
  <si>
    <t>Total Debt incl. financing lease (ex. Tower obligations)</t>
  </si>
  <si>
    <t>Increase in financing lease obligations</t>
  </si>
  <si>
    <t>as % of total finanicng lease liabilities</t>
  </si>
  <si>
    <t>as % of BOP total debt</t>
  </si>
  <si>
    <t>as % of BOP long-term debt</t>
  </si>
  <si>
    <t>Change in financing lease assets</t>
  </si>
  <si>
    <t>b</t>
  </si>
  <si>
    <t>Other changes</t>
  </si>
  <si>
    <t>as % of financing lease liabilities</t>
  </si>
  <si>
    <t>Assumptions</t>
  </si>
  <si>
    <t>Last Reported Fiscal</t>
  </si>
  <si>
    <t>Quarter</t>
  </si>
  <si>
    <t>Year</t>
  </si>
  <si>
    <t xml:space="preserve">+1 Year </t>
  </si>
  <si>
    <t>D/(D+E)</t>
  </si>
  <si>
    <t>WACC</t>
  </si>
  <si>
    <t>VALUATION METHOD 1: DCF</t>
  </si>
  <si>
    <t>Current Quarter</t>
  </si>
  <si>
    <t>+1 Year Quarter</t>
  </si>
  <si>
    <t>Current Share Price</t>
  </si>
  <si>
    <t>D</t>
  </si>
  <si>
    <t>Rf</t>
  </si>
  <si>
    <t>Risk Prem.</t>
  </si>
  <si>
    <t>Upside (Downside) from Current Price</t>
  </si>
  <si>
    <t>Tax Rate</t>
  </si>
  <si>
    <t>Kd</t>
  </si>
  <si>
    <t>Shares</t>
  </si>
  <si>
    <t>Bloomberg price</t>
  </si>
  <si>
    <t>Ke</t>
  </si>
  <si>
    <t>Stock Price</t>
  </si>
  <si>
    <t>Terminal Growth</t>
  </si>
  <si>
    <t>Revenue</t>
  </si>
  <si>
    <t xml:space="preserve">    FCF Margin</t>
  </si>
  <si>
    <t>Unlevered FCF</t>
  </si>
  <si>
    <t>Years to Discount</t>
  </si>
  <si>
    <t>Discount Factor</t>
  </si>
  <si>
    <t>FCFF Present Value</t>
  </si>
  <si>
    <t>Terminal Value</t>
  </si>
  <si>
    <t>Terminal as % of total</t>
  </si>
  <si>
    <t>PV of Terminal Value</t>
  </si>
  <si>
    <t>Enterprise Value</t>
  </si>
  <si>
    <t>(+) Cash &amp; Cash Equivalents</t>
  </si>
  <si>
    <t>Equity</t>
  </si>
  <si>
    <t>Equity Value +1 Year</t>
  </si>
  <si>
    <t>Shares Outstanding +1 Year</t>
  </si>
  <si>
    <t>Implied Share Price, +1 Year</t>
  </si>
  <si>
    <t>hide</t>
  </si>
  <si>
    <t>Start Date</t>
  </si>
  <si>
    <t>Field</t>
  </si>
  <si>
    <t>Median Cons. TP</t>
  </si>
  <si>
    <t>Operating Margin %</t>
  </si>
  <si>
    <t>yoy growth</t>
  </si>
  <si>
    <t>Tax Rate %</t>
  </si>
  <si>
    <t>NOPAT</t>
  </si>
  <si>
    <t>change in working capital</t>
  </si>
  <si>
    <t>CapEx</t>
  </si>
  <si>
    <t>other non-cash adjustments</t>
  </si>
  <si>
    <t>($ MM)</t>
  </si>
  <si>
    <t xml:space="preserve">VALUATION METHOD 2: Multiples </t>
  </si>
  <si>
    <t>NTM</t>
  </si>
  <si>
    <t>Diluted EPS</t>
  </si>
  <si>
    <t>NTM Sum</t>
  </si>
  <si>
    <t>10-year average</t>
  </si>
  <si>
    <t>3Q24</t>
  </si>
  <si>
    <t>4Q24</t>
  </si>
  <si>
    <t>1Q25</t>
  </si>
  <si>
    <t>2Q25</t>
  </si>
  <si>
    <t>3Q25</t>
  </si>
  <si>
    <t>4Q25</t>
  </si>
  <si>
    <t>1Q26</t>
  </si>
  <si>
    <t>2Q26</t>
  </si>
  <si>
    <t>3Q26</t>
  </si>
  <si>
    <t>4Q26</t>
  </si>
  <si>
    <t>Other OpEx</t>
  </si>
  <si>
    <t>Basic EPS</t>
  </si>
  <si>
    <t>Basic Shares Outstanding</t>
  </si>
  <si>
    <t>Diluted Shares Outstanding</t>
  </si>
  <si>
    <t>Adj. EBITDA</t>
  </si>
  <si>
    <t>Adj. Core EBITDA</t>
  </si>
  <si>
    <t>short-term debt total</t>
  </si>
  <si>
    <t>Long-term debt total</t>
  </si>
  <si>
    <t>Beginning of period cash</t>
  </si>
  <si>
    <t>End of period cash</t>
  </si>
  <si>
    <t>Change in cash and cash equivalents</t>
  </si>
  <si>
    <t>in $ millions</t>
  </si>
  <si>
    <t>Cash provided by operating activities</t>
  </si>
  <si>
    <t>Cash (used in) provided by financing activities</t>
  </si>
  <si>
    <t>Cash used in investing activities</t>
  </si>
  <si>
    <t>2025E</t>
  </si>
  <si>
    <t>2026E</t>
  </si>
  <si>
    <t>T-Mobile Finanical Summary</t>
  </si>
  <si>
    <t>Check sum</t>
  </si>
  <si>
    <t>1Q</t>
  </si>
  <si>
    <t>2Q</t>
  </si>
  <si>
    <t>3Q</t>
  </si>
  <si>
    <t>4Q</t>
  </si>
  <si>
    <t>5Q</t>
  </si>
  <si>
    <t>6Q</t>
  </si>
  <si>
    <t>1A</t>
  </si>
  <si>
    <t>2A</t>
  </si>
  <si>
    <t>3A</t>
  </si>
  <si>
    <t>4A</t>
  </si>
  <si>
    <t>5A</t>
  </si>
  <si>
    <t>6A</t>
  </si>
  <si>
    <t>Con</t>
  </si>
  <si>
    <t>Bern</t>
  </si>
  <si>
    <t>Difference</t>
  </si>
  <si>
    <t>Operating Income</t>
  </si>
  <si>
    <t>Consensus Margin</t>
  </si>
  <si>
    <t>Bernstein Margin</t>
  </si>
  <si>
    <t>Delta</t>
  </si>
  <si>
    <t>Net Income</t>
  </si>
  <si>
    <t>Adj. EPS</t>
  </si>
  <si>
    <t>Services Gross Margin %</t>
  </si>
  <si>
    <t>Operating Income Margin</t>
  </si>
  <si>
    <t>Equipment Gross Margin %</t>
  </si>
  <si>
    <t>Gross margin - services</t>
  </si>
  <si>
    <t>Gross margin - equipment</t>
  </si>
  <si>
    <t>FY2027</t>
  </si>
  <si>
    <t>model</t>
  </si>
  <si>
    <t>FY2025</t>
  </si>
  <si>
    <t>YoY growth rate</t>
  </si>
  <si>
    <t>Postpaid Service Revenue</t>
  </si>
  <si>
    <t>guidance</t>
  </si>
  <si>
    <t>guided CAGR</t>
  </si>
  <si>
    <t>implied ARPA</t>
  </si>
  <si>
    <t>FY2028</t>
  </si>
  <si>
    <t>FWA Subscribers (in K)</t>
  </si>
  <si>
    <t xml:space="preserve">mid </t>
  </si>
  <si>
    <t>Postpaid net adds (in K)</t>
  </si>
  <si>
    <t>Effective tax rate</t>
  </si>
  <si>
    <t>FY2023</t>
  </si>
  <si>
    <t>does not assume any material net cash inflows from securitization</t>
  </si>
  <si>
    <t>as % of BOP EIP Receivables</t>
  </si>
  <si>
    <t>Addition to other assets</t>
  </si>
  <si>
    <t>Deactivated postpaid phone customer</t>
  </si>
  <si>
    <t xml:space="preserve">Gross adds </t>
  </si>
  <si>
    <t>Gross adds postpaid phone</t>
  </si>
  <si>
    <t>Total Deactivated prepaid customer</t>
  </si>
  <si>
    <t>Deactivated prepaid customer ex. Migration</t>
  </si>
  <si>
    <t>Prepaid Churn rate</t>
  </si>
  <si>
    <t>BEST_CUR_EV_TO_EBITDA</t>
  </si>
  <si>
    <t>EV/EBITDA</t>
  </si>
  <si>
    <t>Postpaid Phone net adds (in K)</t>
  </si>
  <si>
    <t>Total Service Revenue</t>
  </si>
  <si>
    <t>accelerate at a higher rate</t>
  </si>
  <si>
    <t>7Q</t>
  </si>
  <si>
    <t>Avg. number of postpaid accounts (implied)</t>
  </si>
  <si>
    <t>Total postpaid accounts</t>
  </si>
  <si>
    <t>Avg. customer per account (implied)</t>
  </si>
  <si>
    <t>Postpaid FWA ARPU (estimated)</t>
  </si>
  <si>
    <t>Postpaid device ARPU (estimated)</t>
  </si>
  <si>
    <t>Postpaid device revenue (estimated)</t>
  </si>
  <si>
    <t>Postpaid FWA revenue (estimated)</t>
  </si>
  <si>
    <t>Operating Margin</t>
  </si>
  <si>
    <t>Postpaid customer net adds ex. FWA</t>
  </si>
  <si>
    <t>Total Operating lease liabilities</t>
  </si>
  <si>
    <t>as % of revenue</t>
  </si>
  <si>
    <t>Prepaid phone customers &amp; devices</t>
  </si>
  <si>
    <t>guided margin</t>
  </si>
  <si>
    <t>model margin</t>
  </si>
  <si>
    <t>Net debt (excluding tower obligation)</t>
  </si>
  <si>
    <t>Net debt (excluding tower obligation) to LTM Net Income Ratio</t>
  </si>
  <si>
    <t>Divided by: LTM Net Income</t>
  </si>
  <si>
    <t>Net debt (excluding tower obligation) to LTM Adjusted EBITDA Ratio</t>
  </si>
  <si>
    <t>Net debt (excluding tower obligation) to LTM Core Adjusted EBITDA Ratio</t>
  </si>
  <si>
    <t>Total shares repurchased (M)</t>
  </si>
  <si>
    <t>raise</t>
  </si>
  <si>
    <t>2026 Core Adjusted EBITDA Estimate</t>
  </si>
  <si>
    <t>2026 FWA Revenue Estimate</t>
  </si>
  <si>
    <t>2026 FWA ARPU Estimate</t>
  </si>
  <si>
    <t>2026 FWA Subs Estimate</t>
  </si>
  <si>
    <t>2025 FWA Subs Estimate</t>
  </si>
  <si>
    <t>2026 FWA Contribution Margin Estimate</t>
  </si>
  <si>
    <t>2026 FWA EBITDA Estimate</t>
  </si>
  <si>
    <t>2026 Core Adjusted EBITDA Estimate (ex. FWA)</t>
  </si>
  <si>
    <t>2026 Service Revenue Estimate</t>
  </si>
  <si>
    <t>2026 Core Adjusted EBITDA Margin</t>
  </si>
  <si>
    <t>2026 Service Revenue Estimate (ex FWA)</t>
  </si>
  <si>
    <t>2026 Core Adjusted EBITDA Margin (ex FWA)</t>
  </si>
  <si>
    <t>Substracting FWA Effect</t>
  </si>
  <si>
    <t>Adding Back FWA Effect</t>
  </si>
  <si>
    <t>FWA ARPU ($/month)</t>
  </si>
  <si>
    <t>FWA Contribution Margin (%)</t>
  </si>
  <si>
    <t>2026 Core Adjusted EBITDA Margin (w/ FWA)</t>
  </si>
  <si>
    <t>(-) 2026 Core Adjusted EBITDA Margin (w/o FWA)</t>
  </si>
  <si>
    <t>(=) FWA Incremental Margin Effect</t>
  </si>
  <si>
    <t>bps</t>
  </si>
  <si>
    <t>Avg. number of postpaid phone (implied)</t>
  </si>
  <si>
    <t>22</t>
  </si>
  <si>
    <t>23</t>
  </si>
  <si>
    <t>24E</t>
  </si>
  <si>
    <t>WLS Subs</t>
  </si>
  <si>
    <t>Pricing</t>
  </si>
  <si>
    <t>FWA</t>
  </si>
  <si>
    <t>Fiber</t>
  </si>
  <si>
    <t>Buyback</t>
  </si>
  <si>
    <t>26E</t>
  </si>
  <si>
    <t>26 Cons</t>
  </si>
  <si>
    <t>2026 Adj. EPS</t>
  </si>
  <si>
    <t>2026 Shares Outstanding</t>
  </si>
  <si>
    <t>2026 Net Income</t>
  </si>
  <si>
    <t>2024 Shares Outstanding</t>
  </si>
  <si>
    <t>2026 Adj. EPS (w/o buybacks)</t>
  </si>
  <si>
    <t>Buyback Effect</t>
  </si>
  <si>
    <t>Auxiliary Calculations - Buybacks</t>
  </si>
  <si>
    <t>Auxiliary Calculations - FWA</t>
  </si>
  <si>
    <t>2026 FWA Net Income Estimate</t>
  </si>
  <si>
    <t>FWA Effect</t>
  </si>
  <si>
    <t>Auxiliary Calculations - Pricing</t>
  </si>
  <si>
    <t>2026 Adj. EPS (w/o pricing)</t>
  </si>
  <si>
    <t>Pricing Effect</t>
  </si>
  <si>
    <t>2026 Adj. EPS (w/o WLS Subs)</t>
  </si>
  <si>
    <t>Auxiliary Calculations - WLS Subs</t>
  </si>
  <si>
    <t>Diff</t>
  </si>
  <si>
    <t>WLS Effect</t>
  </si>
  <si>
    <t>Auxiliary Calculations - Margin Expansion</t>
  </si>
  <si>
    <t>2026 Adj. EPS (w/o ME)</t>
  </si>
  <si>
    <t>ME Effect</t>
  </si>
  <si>
    <t>Margin Exp.</t>
  </si>
  <si>
    <t>as % of adj. FCF</t>
  </si>
  <si>
    <t>% of shareholder return from dividends</t>
  </si>
  <si>
    <t>% of shareholder return from buyback</t>
  </si>
  <si>
    <t>2024 FWA Subs Estimate</t>
  </si>
  <si>
    <t>2024 FWA ARPU Estimate</t>
  </si>
  <si>
    <t>2023 FWA Subs Estimate</t>
  </si>
  <si>
    <t>2024 FWA Revenue Estimate</t>
  </si>
  <si>
    <t>24-'26 Incremental FWA Revenue Estimate</t>
  </si>
  <si>
    <t>24-'26 Incremental FWA EBITDA Estimate</t>
  </si>
  <si>
    <t>Total FWA subscriber</t>
  </si>
  <si>
    <t>Net adds</t>
  </si>
  <si>
    <t>YoY growth % in subscriber number</t>
  </si>
  <si>
    <t>as % of service revenue &amp; other revenue</t>
  </si>
  <si>
    <t>YoY growth in Core Adj. EBITDA</t>
  </si>
  <si>
    <t>YoY growth in Adj. EBITDA</t>
  </si>
  <si>
    <t xml:space="preserve">Total Revenue </t>
  </si>
  <si>
    <t>Adj. FCF</t>
  </si>
  <si>
    <t>Postpaid Phone Subs</t>
  </si>
  <si>
    <t>Postpaid Phone ARPU</t>
  </si>
  <si>
    <t>Total Postpaid Subs</t>
  </si>
  <si>
    <t>Total Prepaid Subs</t>
  </si>
  <si>
    <t>Total FWA Subs</t>
  </si>
  <si>
    <t>KPIs (in 000's except ARPU)</t>
  </si>
  <si>
    <t>CFO as % of revenue</t>
  </si>
  <si>
    <t>Federal NOL</t>
  </si>
  <si>
    <t>State NOL</t>
  </si>
  <si>
    <t>Foreign NOL</t>
  </si>
  <si>
    <t>Taxes (in $M)</t>
  </si>
  <si>
    <t>Total NOL</t>
  </si>
  <si>
    <t>change in deferred tax liabilities</t>
  </si>
  <si>
    <t>deferred tax expenses in CFO</t>
  </si>
  <si>
    <t>Income tax expenses</t>
  </si>
  <si>
    <t>Current tax (expense) benefit</t>
  </si>
  <si>
    <t>Federal</t>
  </si>
  <si>
    <t>State</t>
  </si>
  <si>
    <t>Foreign</t>
  </si>
  <si>
    <t>Total current tax expense</t>
  </si>
  <si>
    <t>Deferred tax (expense) benefit</t>
  </si>
  <si>
    <t>Total income tax expense</t>
  </si>
  <si>
    <t>Bad Debt Expense</t>
  </si>
  <si>
    <t>Amortization expense for intangible assets</t>
  </si>
  <si>
    <t>as % of BOP other intangible assets</t>
  </si>
  <si>
    <t>YoY increase in SG&amp;A as % of increase in revenue (ex. Equipment)</t>
  </si>
  <si>
    <t xml:space="preserve">Core Adj. EBITDA </t>
  </si>
  <si>
    <t>Implied EV/EBITDA</t>
  </si>
  <si>
    <t>Implied P/E</t>
  </si>
  <si>
    <t>Implied EV/Sales</t>
  </si>
  <si>
    <t>Implied EV/EBIT</t>
  </si>
  <si>
    <t>(-) Debt</t>
  </si>
  <si>
    <t>Bernstein</t>
  </si>
  <si>
    <t>CON 2025</t>
  </si>
  <si>
    <t>Service Revenue ($M)</t>
  </si>
  <si>
    <t>Adj. EBITDA ($M)</t>
  </si>
  <si>
    <t>using current price</t>
  </si>
  <si>
    <t>BERN 2025</t>
  </si>
  <si>
    <t>decrease in basic share count</t>
  </si>
  <si>
    <t>Adj. Free Cash Flow margin (total revenue)</t>
  </si>
  <si>
    <t>Postpaid ARPU</t>
  </si>
  <si>
    <t>Total Postpaid blended ARPU</t>
  </si>
  <si>
    <t>CON PT</t>
  </si>
  <si>
    <t>Bernstein +1 year</t>
  </si>
  <si>
    <t>Market-Perform</t>
  </si>
  <si>
    <t>WACC (Calculated)</t>
  </si>
  <si>
    <t>YoY</t>
  </si>
  <si>
    <t>CAGR</t>
  </si>
  <si>
    <t>$ amount raised</t>
  </si>
  <si>
    <t>D&amp;A</t>
  </si>
  <si>
    <t xml:space="preserve">Effect of exchange rate changes on cash and cash equivalents, including restricted cash </t>
  </si>
  <si>
    <t>Fiber net customer additions</t>
  </si>
  <si>
    <t>Cash Tax Benefit of $1.5B in 2026</t>
  </si>
  <si>
    <t xml:space="preserve">This model is directed to and intended only for our clients who are “eligible counterparties”, “professional clients”, “institutional investors” and/or “professional investors” as defined by applicable local regulations and must not be redistributed to retail clients. This model is being provided to you with the understanding that you are an investment professional familiar with its limitations and that it may not be reproduced, re-distributed, transmitted or otherwise made available to, or shared with, any third party. Clients may not create derivative works, resell, or commercially exploit any part of the information contained herein with any third party for any purpose without Bernstein’s express prior written consent. This restriction includes extracting data, using this content to develop indexes or products, or inputting any portion of the information contained herein into machine learning or artificial intelligence systems. The analysis contained herein is based on numerous assumptions. Different assumptions could result in materially different results. We believe that the data in this model obtained from public sources is reliable; however, we make no representation that such data is accurate or complete. Estimates of future performance in this model are based on assumptions that may not be realized due to unforeseen factors like market volatility/fluctuation. This model is not a research report, nor is it a substitute for our published research; on its own, this model should not be relied upon to make an investment decision. For our latest research reports, which contain information that may be used to support investment decisions and important disclosures, please see our website at https://www.bernsteinresearch.com. </t>
  </si>
  <si>
    <t>Cost to Achieve</t>
  </si>
  <si>
    <t>Digital technology expense</t>
  </si>
  <si>
    <t>Additional D&amp;A  from US Cellular Close</t>
  </si>
  <si>
    <t xml:space="preserve"> </t>
  </si>
  <si>
    <t>Changes to Core adjusted EBITDA</t>
  </si>
  <si>
    <t>1Q27</t>
  </si>
  <si>
    <t>2Q27</t>
  </si>
  <si>
    <t>3Q27</t>
  </si>
  <si>
    <t>4Q27</t>
  </si>
  <si>
    <t>Impacts to Operating income</t>
  </si>
  <si>
    <t>Impact to Core Adjusted EBITDA</t>
  </si>
  <si>
    <t>Post tax impact</t>
  </si>
  <si>
    <t>Additional Service revenue</t>
  </si>
  <si>
    <t>Depreciation &amp; Ammortization</t>
  </si>
  <si>
    <t>Adj. EBIT</t>
  </si>
  <si>
    <t>1Q28</t>
  </si>
  <si>
    <t>2Q28</t>
  </si>
  <si>
    <t>3Q28</t>
  </si>
  <si>
    <t>4Q28</t>
  </si>
  <si>
    <t>1Q29</t>
  </si>
  <si>
    <t>2Q29</t>
  </si>
  <si>
    <t>3Q29</t>
  </si>
  <si>
    <t>4Q29</t>
  </si>
  <si>
    <t>1Q30</t>
  </si>
  <si>
    <t>2Q30</t>
  </si>
  <si>
    <t>3Q30</t>
  </si>
  <si>
    <t>4Q30</t>
  </si>
  <si>
    <t>Cost synergies</t>
  </si>
  <si>
    <t>OpEx</t>
  </si>
  <si>
    <t>Andrew Chung</t>
  </si>
  <si>
    <t>andrew.chung@bernsteinsg.com</t>
  </si>
  <si>
    <t>Fiber Customers</t>
  </si>
  <si>
    <t>SG&amp;A Synergies from USC Acquisition</t>
  </si>
  <si>
    <t>Operating expenses related to USC</t>
  </si>
  <si>
    <t>Operating income related to USC</t>
  </si>
  <si>
    <t>Impacts of USC on TMUS</t>
  </si>
  <si>
    <t>CapEx synergies from USC acquisition</t>
  </si>
  <si>
    <t>Organic net adds</t>
  </si>
  <si>
    <t>Fiber net adds</t>
  </si>
  <si>
    <t>Guidance</t>
  </si>
  <si>
    <t>Curent</t>
  </si>
  <si>
    <t>2025 fiber net add</t>
  </si>
  <si>
    <t>N/A</t>
  </si>
  <si>
    <t>Postpaid net adds</t>
  </si>
  <si>
    <t>7.2M - 7.4M</t>
  </si>
  <si>
    <t>postpaid phone net adds</t>
  </si>
  <si>
    <t>3.3M</t>
  </si>
  <si>
    <t>2025 postpaid ARPA</t>
  </si>
  <si>
    <t>3.5% YoY</t>
  </si>
  <si>
    <t>2025 Core Adj. EBITDA</t>
  </si>
  <si>
    <t>33.7B - 33.9B</t>
  </si>
  <si>
    <t>2% YoY (prev 1.5%)</t>
  </si>
  <si>
    <t>Q4</t>
  </si>
  <si>
    <t>Q4 D&amp;A</t>
  </si>
  <si>
    <t>3.7B</t>
  </si>
  <si>
    <t>Q4 Interest Expense</t>
  </si>
  <si>
    <t>1B</t>
  </si>
  <si>
    <t>2025 Capex</t>
  </si>
  <si>
    <t>10B</t>
  </si>
  <si>
    <t>2025 FCF</t>
  </si>
  <si>
    <t>17.8 - 18B</t>
  </si>
  <si>
    <t>Q3 Eearnings</t>
  </si>
  <si>
    <t>130K</t>
  </si>
  <si>
    <t>Our Previous model</t>
  </si>
  <si>
    <t>Cost to Achieve/ realize synergies</t>
  </si>
  <si>
    <t>passings, cadence of build, seasonality to builds, 40% penetration,</t>
  </si>
  <si>
    <t>Fiber Passings target by 2030</t>
  </si>
  <si>
    <t>Curent Fiber passings (from lumos and metronet</t>
  </si>
  <si>
    <t>realisitc capabilities by 2030</t>
  </si>
  <si>
    <t>Left to buildi</t>
  </si>
  <si>
    <t>in M</t>
  </si>
  <si>
    <t>years to build</t>
  </si>
  <si>
    <t>implied builds per year</t>
  </si>
  <si>
    <t>Q1</t>
  </si>
  <si>
    <t>Q2</t>
  </si>
  <si>
    <t>Q3</t>
  </si>
  <si>
    <t>Acceleration of builds</t>
  </si>
  <si>
    <t>Year 1</t>
  </si>
  <si>
    <t>Year 2</t>
  </si>
  <si>
    <t>Year 3</t>
  </si>
  <si>
    <t>Year 4</t>
  </si>
  <si>
    <t>Year 5</t>
  </si>
  <si>
    <t>Max Penetration</t>
  </si>
  <si>
    <t>Penetration ramp rate</t>
  </si>
  <si>
    <t>Q5</t>
  </si>
  <si>
    <t>Q6</t>
  </si>
  <si>
    <t>Q7</t>
  </si>
  <si>
    <t>Q8</t>
  </si>
  <si>
    <t>Q9</t>
  </si>
  <si>
    <t>Tranche</t>
  </si>
  <si>
    <t>Timing</t>
  </si>
  <si>
    <t>Subs</t>
  </si>
  <si>
    <t>Net Adds</t>
  </si>
  <si>
    <t>Net adds thousands</t>
  </si>
  <si>
    <t>Q10</t>
  </si>
  <si>
    <t>Seasonality of builds</t>
  </si>
  <si>
    <t>Subscriber penetration</t>
  </si>
  <si>
    <t>For the exclusive use of ANDREW CHUNG at BERNSTEIN on 23-Jul-2026</t>
  </si>
  <si>
    <t/>
  </si>
  <si>
    <t>Network Restructuring initiative costs</t>
  </si>
  <si>
    <t>Postpaid account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</si>
</sst>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2">
    <numFmt numFmtId="8" formatCode="&quot;$&quot;#,##0.00_);[Red]\(&quot;$&quot;#,##0.00\)"/>
    <numFmt numFmtId="41" formatCode="_(* #,##0_);_(* \(#,##0\);_(* &quot;-&quot;_);_(@_)"/>
    <numFmt numFmtId="44" formatCode="_(&quot;$&quot;* #,##0.00_);_(&quot;$&quot;* \(#,##0.00\);_(&quot;$&quot;* &quot;-&quot;??_);_(@_)"/>
    <numFmt numFmtId="43" formatCode="_(* #,##0.00_);_(* \(#,##0.00\);_(* &quot;-&quot;??_);_(@_)"/>
    <numFmt numFmtId="164" formatCode="&quot;$&quot;* #,##0,,_);&quot;$&quot;* \(#,##0,,\);&quot;$&quot;* &quot;—&quot;_);_(@_)"/>
    <numFmt numFmtId="165" formatCode="* #,##0,,;* \(#,##0,,\);* &quot;—&quot;;_(@_)"/>
    <numFmt numFmtId="166" formatCode="#,##0;&quot;-&quot;#,##0;#,##0;_(@_)"/>
    <numFmt numFmtId="167" formatCode="@*."/>
    <numFmt numFmtId="168" formatCode="&quot;$&quot;* #,##0.00_);&quot;$&quot;* \(#,##0.00\);&quot;$&quot;* &quot;—&quot;_);_(@_)"/>
    <numFmt numFmtId="169" formatCode="* #,##0;* \(#,##0\);* &quot;—&quot;;_(@_)"/>
    <numFmt numFmtId="170" formatCode="#,##0,,;\(#,##0,,\);&quot;—&quot;;_(@_)"/>
    <numFmt numFmtId="171" formatCode="#0.0_)%;\(#0.0\)%;&quot;—&quot;_)\%;_(@_)"/>
    <numFmt numFmtId="172" formatCode="_(* #,##0_);_(* \(#,##0\);_(* &quot;-&quot;??_);_(@_)"/>
    <numFmt numFmtId="173" formatCode="0.0%"/>
    <numFmt numFmtId="174" formatCode="0.0\x"/>
    <numFmt numFmtId="175" formatCode="yyyy/mm/dd"/>
    <numFmt numFmtId="176" formatCode="0.0000"/>
    <numFmt numFmtId="177" formatCode="_(* #,##0.0_);_(* \(#,##0.0\);_(* &quot;-&quot;??_);_(@_)"/>
    <numFmt numFmtId="178" formatCode="yyyy\-mm\-dd;@"/>
    <numFmt numFmtId="179" formatCode="_(&quot;$&quot;* #,##0_);_(&quot;$&quot;* \(#,##0\);_(&quot;$&quot;* &quot;-&quot;??_);_(@_)"/>
    <numFmt numFmtId="180" formatCode="#.#\x"/>
    <numFmt numFmtId="181" formatCode="#,##0.00;\(#,##0.00\);&quot;–&quot;;@"/>
    <numFmt numFmtId="182" formatCode="_(0.00\x_)_)_';_(\(0.00\x\)_'_';_(&quot;–&quot;_)_%;_(@_)_%"/>
    <numFmt numFmtId="183" formatCode="#,##0;\(#,##0\);&quot;–&quot;;@"/>
    <numFmt numFmtId="184" formatCode="0.0"/>
    <numFmt numFmtId="185" formatCode="@&quot;E&quot;"/>
    <numFmt numFmtId="186" formatCode="0&quot;E&quot;"/>
    <numFmt numFmtId="187" formatCode="#&quot;E&quot;"/>
    <numFmt numFmtId="188" formatCode="0.0%;\(0.0%\);&quot;-&quot;"/>
    <numFmt numFmtId="189" formatCode="0%;\(0%\);&quot;-&quot;"/>
    <numFmt numFmtId="190" formatCode="#&quot;A&quot;"/>
    <numFmt numFmtId="193" formatCode="0.00%_);\(0.00%\);0.00%_);@_)"/>
  </numFmts>
  <fonts count="111" x14ac:knownFonts="1">
    <font>
      <sz val="11"/>
      <color theme="1"/>
      <name val="Arial"/>
      <family val="2"/>
      <scheme val="minor"/>
    </font>
    <font>
      <sz val="11"/>
      <color theme="1"/>
      <name val="Arial"/>
      <family val="2"/>
      <scheme val="minor"/>
    </font>
    <font>
      <sz val="10"/>
      <name val="Arial"/>
      <family val="2"/>
    </font>
    <font>
      <sz val="10"/>
      <color rgb="FF000000"/>
      <name val="Times New Roman"/>
      <family val="1"/>
    </font>
    <font>
      <b/>
      <sz val="18"/>
      <color rgb="FF000000"/>
      <name val="Times New Roman"/>
      <family val="1"/>
    </font>
    <font>
      <b/>
      <sz val="16"/>
      <color rgb="FF000000"/>
      <name val="Times New Roman"/>
      <family val="1"/>
    </font>
    <font>
      <sz val="14"/>
      <color rgb="FF000000"/>
      <name val="Times New Roman"/>
      <family val="1"/>
    </font>
    <font>
      <b/>
      <sz val="9"/>
      <color theme="0"/>
      <name val="Arial"/>
      <family val="2"/>
      <scheme val="minor"/>
    </font>
    <font>
      <sz val="9"/>
      <color theme="1"/>
      <name val="Arial"/>
      <family val="2"/>
      <scheme val="minor"/>
    </font>
    <font>
      <b/>
      <sz val="9"/>
      <color theme="1"/>
      <name val="Arial"/>
      <family val="2"/>
      <scheme val="minor"/>
    </font>
    <font>
      <sz val="9"/>
      <color rgb="FF0000FF"/>
      <name val="Arial"/>
      <family val="2"/>
      <scheme val="minor"/>
    </font>
    <font>
      <sz val="9"/>
      <color theme="1"/>
      <name val="Arial"/>
      <family val="2"/>
      <scheme val="major"/>
    </font>
    <font>
      <b/>
      <sz val="9"/>
      <color theme="0"/>
      <name val="Arial"/>
      <family val="2"/>
      <scheme val="major"/>
    </font>
    <font>
      <b/>
      <sz val="9"/>
      <color theme="1"/>
      <name val="Arial"/>
      <family val="2"/>
      <scheme val="major"/>
    </font>
    <font>
      <sz val="9"/>
      <color rgb="FF000000"/>
      <name val="Arial"/>
      <family val="2"/>
      <scheme val="major"/>
    </font>
    <font>
      <b/>
      <sz val="9"/>
      <color rgb="FF000000"/>
      <name val="Arial"/>
      <family val="2"/>
      <scheme val="major"/>
    </font>
    <font>
      <sz val="9"/>
      <name val="Arial"/>
      <family val="2"/>
      <scheme val="major"/>
    </font>
    <font>
      <sz val="9"/>
      <color rgb="FF666666"/>
      <name val="Arial"/>
      <family val="2"/>
      <scheme val="major"/>
    </font>
    <font>
      <b/>
      <sz val="9"/>
      <color rgb="FF000000"/>
      <name val="Arial"/>
      <family val="2"/>
      <scheme val="minor"/>
    </font>
    <font>
      <sz val="9"/>
      <color rgb="FF666666"/>
      <name val="Arial"/>
      <family val="2"/>
      <scheme val="minor"/>
    </font>
    <font>
      <sz val="9"/>
      <color rgb="FF000000"/>
      <name val="Arial"/>
      <family val="2"/>
      <scheme val="minor"/>
    </font>
    <font>
      <b/>
      <sz val="9"/>
      <color rgb="FF666666"/>
      <name val="Arial"/>
      <family val="2"/>
      <scheme val="minor"/>
    </font>
    <font>
      <sz val="9"/>
      <name val="Arial"/>
      <family val="2"/>
      <scheme val="minor"/>
    </font>
    <font>
      <sz val="9"/>
      <color rgb="FF0000FF"/>
      <name val="Arial"/>
      <family val="2"/>
      <scheme val="major"/>
    </font>
    <font>
      <b/>
      <sz val="9"/>
      <color rgb="FF0000FF"/>
      <name val="Arial"/>
      <family val="2"/>
      <scheme val="major"/>
    </font>
    <font>
      <sz val="9"/>
      <color rgb="FF008000"/>
      <name val="Arial"/>
      <family val="2"/>
      <scheme val="major"/>
    </font>
    <font>
      <b/>
      <sz val="9"/>
      <name val="Arial"/>
      <family val="2"/>
      <scheme val="major"/>
    </font>
    <font>
      <sz val="9"/>
      <color rgb="FF008000"/>
      <name val="Arial"/>
      <family val="2"/>
      <scheme val="minor"/>
    </font>
    <font>
      <b/>
      <sz val="9"/>
      <name val="Arial"/>
      <family val="2"/>
      <scheme val="minor"/>
    </font>
    <font>
      <b/>
      <sz val="9"/>
      <color rgb="FF008000"/>
      <name val="Arial"/>
      <family val="2"/>
      <scheme val="minor"/>
    </font>
    <font>
      <i/>
      <sz val="9"/>
      <color theme="1"/>
      <name val="Arial"/>
      <family val="2"/>
      <scheme val="major"/>
    </font>
    <font>
      <i/>
      <sz val="9"/>
      <color rgb="FF000000"/>
      <name val="Arial"/>
      <family val="2"/>
      <scheme val="major"/>
    </font>
    <font>
      <i/>
      <sz val="9"/>
      <color theme="1"/>
      <name val="Arial"/>
      <family val="2"/>
      <scheme val="minor"/>
    </font>
    <font>
      <i/>
      <sz val="9"/>
      <name val="Arial"/>
      <family val="2"/>
      <scheme val="minor"/>
    </font>
    <font>
      <i/>
      <sz val="9"/>
      <color theme="1" tint="0.499984740745262"/>
      <name val="Arial"/>
      <family val="2"/>
      <scheme val="minor"/>
    </font>
    <font>
      <sz val="9"/>
      <color theme="1" tint="0.499984740745262"/>
      <name val="Arial"/>
      <family val="2"/>
      <scheme val="minor"/>
    </font>
    <font>
      <b/>
      <sz val="9"/>
      <color theme="1" tint="0.499984740745262"/>
      <name val="Arial"/>
      <family val="2"/>
      <scheme val="minor"/>
    </font>
    <font>
      <i/>
      <sz val="9"/>
      <color rgb="FF0000FF"/>
      <name val="Arial"/>
      <family val="2"/>
      <scheme val="minor"/>
    </font>
    <font>
      <b/>
      <i/>
      <sz val="9"/>
      <color theme="1" tint="0.499984740745262"/>
      <name val="Arial"/>
      <family val="2"/>
      <scheme val="minor"/>
    </font>
    <font>
      <sz val="9"/>
      <color rgb="FF000000"/>
      <name val="Times New Roman"/>
      <family val="1"/>
    </font>
    <font>
      <b/>
      <sz val="9"/>
      <color rgb="FF000000"/>
      <name val="Times New Roman"/>
      <family val="1"/>
    </font>
    <font>
      <b/>
      <sz val="11"/>
      <color theme="1"/>
      <name val="Arial"/>
      <family val="2"/>
      <scheme val="minor"/>
    </font>
    <font>
      <sz val="10"/>
      <color theme="1"/>
      <name val="Arial"/>
      <family val="2"/>
    </font>
    <font>
      <sz val="11"/>
      <color rgb="FF000000"/>
      <name val="Arial"/>
      <family val="2"/>
      <scheme val="minor"/>
    </font>
    <font>
      <sz val="26"/>
      <color rgb="FF2D2D7D"/>
      <name val="Arial"/>
      <family val="2"/>
      <scheme val="minor"/>
    </font>
    <font>
      <sz val="10"/>
      <color theme="1"/>
      <name val="Arial"/>
      <family val="2"/>
      <scheme val="minor"/>
    </font>
    <font>
      <sz val="10"/>
      <color rgb="FF32849B"/>
      <name val="Arial"/>
      <family val="2"/>
      <scheme val="minor"/>
    </font>
    <font>
      <sz val="10"/>
      <color rgb="FF990000"/>
      <name val="Arial"/>
      <family val="2"/>
      <scheme val="minor"/>
    </font>
    <font>
      <b/>
      <sz val="11"/>
      <color rgb="FFFFFFFF"/>
      <name val="Calibri"/>
      <family val="2"/>
    </font>
    <font>
      <sz val="11"/>
      <color rgb="FFFFFFFF"/>
      <name val="Calibri"/>
      <family val="2"/>
    </font>
    <font>
      <sz val="9"/>
      <color rgb="FFFFFFFF"/>
      <name val="Calibri"/>
      <family val="2"/>
    </font>
    <font>
      <sz val="10"/>
      <color rgb="FF000000"/>
      <name val="Calibri"/>
      <family val="2"/>
    </font>
    <font>
      <i/>
      <sz val="8"/>
      <color theme="4" tint="-0.249977111117893"/>
      <name val="Calibri"/>
      <family val="2"/>
    </font>
    <font>
      <b/>
      <sz val="10"/>
      <color rgb="FF8C8C8C"/>
      <name val="Calibri"/>
      <family val="2"/>
    </font>
    <font>
      <b/>
      <sz val="10"/>
      <color rgb="FF272727"/>
      <name val="Calibri"/>
      <family val="2"/>
    </font>
    <font>
      <b/>
      <sz val="8"/>
      <color rgb="FFFFFFFF"/>
      <name val="Calibri"/>
      <family val="2"/>
    </font>
    <font>
      <b/>
      <sz val="10"/>
      <color rgb="FF000000"/>
      <name val="Calibri"/>
      <family val="2"/>
    </font>
    <font>
      <sz val="8"/>
      <color rgb="FF8C8C8C"/>
      <name val="Calibri"/>
      <family val="2"/>
    </font>
    <font>
      <sz val="10"/>
      <color rgb="FF272727"/>
      <name val="Calibri"/>
      <family val="2"/>
    </font>
    <font>
      <sz val="9"/>
      <color rgb="FF000000"/>
      <name val="Calibri"/>
      <family val="2"/>
    </font>
    <font>
      <sz val="8"/>
      <color theme="1"/>
      <name val="Arial"/>
      <family val="2"/>
      <scheme val="minor"/>
    </font>
    <font>
      <sz val="8"/>
      <color indexed="8"/>
      <name val="Arial"/>
      <family val="2"/>
    </font>
    <font>
      <b/>
      <sz val="11"/>
      <name val="Arial"/>
      <family val="2"/>
      <scheme val="minor"/>
    </font>
    <font>
      <sz val="8"/>
      <color theme="4" tint="-0.249977111117893"/>
      <name val="Calibri"/>
      <family val="2"/>
    </font>
    <font>
      <i/>
      <sz val="10"/>
      <color rgb="FF8C8C8C"/>
      <name val="Calibri"/>
      <family val="2"/>
    </font>
    <font>
      <sz val="10"/>
      <color rgb="FF000000"/>
      <name val="Arial"/>
      <family val="2"/>
      <scheme val="minor"/>
    </font>
    <font>
      <sz val="8"/>
      <color rgb="FFA6A6A6"/>
      <name val="Calibri"/>
      <family val="2"/>
    </font>
    <font>
      <sz val="8"/>
      <color theme="0" tint="-0.34998626667073579"/>
      <name val="Calibri"/>
      <family val="2"/>
    </font>
    <font>
      <sz val="11"/>
      <color theme="1"/>
      <name val="Calibri"/>
      <family val="2"/>
    </font>
    <font>
      <b/>
      <u/>
      <sz val="11"/>
      <name val="Arial"/>
      <family val="2"/>
      <scheme val="minor"/>
    </font>
    <font>
      <sz val="11"/>
      <name val="Arial"/>
      <family val="2"/>
      <scheme val="minor"/>
    </font>
    <font>
      <i/>
      <sz val="8"/>
      <color rgb="FF8C8C8C"/>
      <name val="Calibri"/>
      <family val="2"/>
    </font>
    <font>
      <u/>
      <sz val="11"/>
      <color theme="10"/>
      <name val="Arial"/>
      <family val="2"/>
      <scheme val="minor"/>
    </font>
    <font>
      <b/>
      <sz val="14"/>
      <color theme="0"/>
      <name val="Arial"/>
      <family val="2"/>
    </font>
    <font>
      <b/>
      <sz val="12"/>
      <color theme="0"/>
      <name val="Arial"/>
      <family val="2"/>
    </font>
    <font>
      <b/>
      <sz val="10"/>
      <color theme="0"/>
      <name val="Arial"/>
      <family val="2"/>
    </font>
    <font>
      <b/>
      <sz val="20"/>
      <color theme="0"/>
      <name val="Arial"/>
      <family val="2"/>
    </font>
    <font>
      <sz val="10"/>
      <color theme="0"/>
      <name val="Arial"/>
      <family val="2"/>
    </font>
    <font>
      <sz val="10"/>
      <color theme="0"/>
      <name val="Arial"/>
      <family val="2"/>
      <scheme val="minor"/>
    </font>
    <font>
      <b/>
      <sz val="10"/>
      <color theme="1"/>
      <name val="Arial"/>
      <family val="2"/>
      <scheme val="minor"/>
    </font>
    <font>
      <b/>
      <sz val="9"/>
      <color theme="0"/>
      <name val="Arial"/>
      <family val="2"/>
    </font>
    <font>
      <b/>
      <sz val="9"/>
      <color theme="1"/>
      <name val="Arial"/>
      <family val="2"/>
    </font>
    <font>
      <sz val="9"/>
      <color rgb="FF0000FF"/>
      <name val="Arial"/>
      <family val="2"/>
    </font>
    <font>
      <sz val="9"/>
      <name val="Arial"/>
      <family val="2"/>
    </font>
    <font>
      <sz val="9"/>
      <color indexed="12"/>
      <name val="Arial"/>
      <family val="2"/>
    </font>
    <font>
      <b/>
      <sz val="9"/>
      <color indexed="9"/>
      <name val="Arial"/>
      <family val="2"/>
    </font>
    <font>
      <i/>
      <sz val="9"/>
      <color theme="1"/>
      <name val="Arial"/>
      <family val="2"/>
    </font>
    <font>
      <sz val="9"/>
      <color theme="1"/>
      <name val="Arial"/>
      <family val="2"/>
    </font>
    <font>
      <b/>
      <sz val="10"/>
      <color rgb="FF0000FF"/>
      <name val="Arial"/>
      <family val="2"/>
    </font>
    <font>
      <b/>
      <sz val="11"/>
      <name val="Calibri"/>
      <family val="2"/>
    </font>
    <font>
      <sz val="11"/>
      <color theme="0"/>
      <name val="Calibri"/>
      <family val="2"/>
    </font>
    <font>
      <i/>
      <sz val="11"/>
      <color theme="1"/>
      <name val="Calibri"/>
      <family val="2"/>
    </font>
    <font>
      <b/>
      <i/>
      <sz val="11"/>
      <color theme="1"/>
      <name val="Calibri"/>
      <family val="2"/>
    </font>
    <font>
      <i/>
      <sz val="9"/>
      <color theme="1" tint="0.499984740745262"/>
      <name val="Arial"/>
      <family val="2"/>
    </font>
    <font>
      <sz val="9"/>
      <color theme="1" tint="0.499984740745262"/>
      <name val="Arial"/>
      <family val="2"/>
      <scheme val="major"/>
    </font>
    <font>
      <sz val="11"/>
      <color theme="0"/>
      <name val="Arial"/>
      <family val="2"/>
      <scheme val="minor"/>
    </font>
    <font>
      <b/>
      <u/>
      <sz val="11"/>
      <color theme="1"/>
      <name val="Arial"/>
      <family val="2"/>
      <scheme val="minor"/>
    </font>
    <font>
      <b/>
      <sz val="11"/>
      <color theme="1"/>
      <name val="Calibri"/>
      <family val="2"/>
    </font>
    <font>
      <sz val="11"/>
      <color rgb="FF0000FF"/>
      <name val="Arial"/>
      <family val="2"/>
      <scheme val="minor"/>
    </font>
    <font>
      <b/>
      <sz val="9"/>
      <name val="Arial"/>
      <family val="2"/>
    </font>
    <font>
      <sz val="11"/>
      <color rgb="FF000000"/>
      <name val="Arial"/>
      <family val="2"/>
      <scheme val="major"/>
    </font>
    <font>
      <i/>
      <sz val="9"/>
      <color rgb="FF000000"/>
      <name val="Arial"/>
      <family val="2"/>
      <scheme val="minor"/>
    </font>
    <font>
      <sz val="13"/>
      <color theme="1"/>
      <name val="Arial"/>
      <family val="2"/>
      <scheme val="minor"/>
    </font>
    <font>
      <b/>
      <sz val="13"/>
      <color theme="1"/>
      <name val="Arial"/>
      <family val="2"/>
      <scheme val="minor"/>
    </font>
    <font>
      <sz val="13"/>
      <name val="Arial"/>
      <family val="2"/>
      <scheme val="minor"/>
    </font>
    <font>
      <sz val="15"/>
      <color theme="1"/>
      <name val="Arial"/>
      <family val="2"/>
      <scheme val="minor"/>
    </font>
    <font>
      <b/>
      <sz val="11"/>
      <color theme="5"/>
      <name val="Arial"/>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30">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auto="1"/>
        <bgColor indexed="64"/>
      </patternFill>
    </fill>
    <fill>
      <patternFill patternType="solid">
        <fgColor auto="1"/>
        <bgColor auto="1"/>
      </patternFill>
    </fill>
    <fill>
      <patternFill patternType="solid">
        <fgColor rgb="FFFFFF00"/>
        <bgColor indexed="64"/>
      </patternFill>
    </fill>
    <fill>
      <patternFill patternType="solid">
        <fgColor theme="2" tint="-9.9978637043366805E-2"/>
        <bgColor indexed="64"/>
      </patternFill>
    </fill>
    <fill>
      <patternFill patternType="solid">
        <fgColor theme="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2"/>
        <bgColor indexed="64"/>
      </patternFill>
    </fill>
    <fill>
      <patternFill patternType="solid">
        <fgColor rgb="FF1E9BD7"/>
        <bgColor indexed="64"/>
      </patternFill>
    </fill>
    <fill>
      <patternFill patternType="solid">
        <fgColor rgb="FFF0F0F0"/>
        <bgColor indexed="64"/>
      </patternFill>
    </fill>
    <fill>
      <patternFill patternType="solid">
        <fgColor rgb="FFADADAD"/>
        <bgColor indexed="64"/>
      </patternFill>
    </fill>
    <fill>
      <patternFill patternType="solid">
        <fgColor rgb="FFD8D8D8"/>
        <bgColor indexed="64"/>
      </patternFill>
    </fill>
    <fill>
      <patternFill patternType="solid">
        <fgColor rgb="FFB9F7EF"/>
        <bgColor indexed="64"/>
      </patternFill>
    </fill>
    <fill>
      <patternFill patternType="solid">
        <fgColor rgb="FFD6D1EB"/>
        <bgColor indexed="64"/>
      </patternFill>
    </fill>
    <fill>
      <patternFill patternType="solid">
        <fgColor rgb="FF73C5EC"/>
        <bgColor indexed="64"/>
      </patternFill>
    </fill>
    <fill>
      <patternFill patternType="solid">
        <fgColor rgb="FFFFD87B"/>
        <bgColor indexed="64"/>
      </patternFill>
    </fill>
    <fill>
      <patternFill patternType="solid">
        <fgColor rgb="FF998DCD"/>
        <bgColor indexed="64"/>
      </patternFill>
    </fill>
    <fill>
      <patternFill patternType="solid">
        <fgColor rgb="FF1CD8C0"/>
        <bgColor indexed="64"/>
      </patternFill>
    </fill>
    <fill>
      <patternFill patternType="solid">
        <fgColor theme="9" tint="0.39997558519241921"/>
        <bgColor indexed="64"/>
      </patternFill>
    </fill>
    <fill>
      <patternFill patternType="solid">
        <fgColor theme="0"/>
        <bgColor indexed="64"/>
      </patternFill>
    </fill>
    <fill>
      <patternFill patternType="solid">
        <fgColor rgb="FF1674A0"/>
        <bgColor indexed="64"/>
      </patternFill>
    </fill>
    <fill>
      <patternFill patternType="solid">
        <fgColor theme="1"/>
        <bgColor indexed="64"/>
      </patternFill>
    </fill>
    <fill>
      <patternFill patternType="solid">
        <fgColor rgb="FFD0ECF9"/>
        <bgColor indexed="64"/>
      </patternFill>
    </fill>
    <fill>
      <patternFill patternType="solid">
        <fgColor theme="6"/>
        <bgColor indexed="64"/>
      </patternFill>
    </fill>
    <fill>
      <patternFill patternType="solid">
        <fgColor theme="3" tint="0.79998168889431442"/>
        <bgColor indexed="64"/>
      </patternFill>
    </fill>
    <fill>
      <patternFill patternType="solid">
        <fgColor theme="7" tint="0.79998168889431442"/>
        <bgColor indexed="64"/>
      </patternFill>
    </fill>
  </fills>
  <borders count="39">
    <border>
      <left/>
      <right/>
      <top/>
      <bottom/>
      <diagonal/>
    </border>
    <border>
      <left/>
      <right/>
      <top style="thin">
        <color rgb="FFFFFFFF"/>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medium">
        <color rgb="FF000000"/>
      </bottom>
      <diagonal/>
    </border>
    <border>
      <left/>
      <right/>
      <top style="medium">
        <color rgb="FF000000"/>
      </top>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theme="4"/>
      </right>
      <top/>
      <bottom/>
      <diagonal/>
    </border>
    <border>
      <left style="thin">
        <color rgb="FFADADAD"/>
      </left>
      <right style="thin">
        <color theme="4"/>
      </right>
      <top/>
      <bottom/>
      <diagonal/>
    </border>
    <border>
      <left style="thin">
        <color rgb="FFADADAD"/>
      </left>
      <right/>
      <top/>
      <bottom/>
      <diagonal/>
    </border>
    <border>
      <left style="thin">
        <color indexed="64"/>
      </left>
      <right style="thin">
        <color auto="1"/>
      </right>
      <top style="thin">
        <color auto="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medium">
        <color rgb="FF000000"/>
      </bottom>
      <diagonal/>
    </border>
    <border>
      <left style="thin">
        <color indexed="64"/>
      </left>
      <right/>
      <top style="medium">
        <color rgb="FF000000"/>
      </top>
      <bottom/>
      <diagonal/>
    </border>
    <border>
      <left style="thin">
        <color indexed="64"/>
      </left>
      <right/>
      <top style="thin">
        <color rgb="FFFFFFFF"/>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16">
    <xf numFmtId="0" fontId="0" fillId="0" borderId="0"/>
    <xf numFmtId="43" fontId="1" fillId="0" borderId="0" applyFont="0" applyFill="0" applyBorder="0" applyAlignment="0" applyProtection="0"/>
    <xf numFmtId="0" fontId="2" fillId="0" borderId="0"/>
    <xf numFmtId="0" fontId="3"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6" fillId="0" borderId="0" applyBorder="0">
      <alignment wrapText="1"/>
    </xf>
    <xf numFmtId="9" fontId="2" fillId="0" borderId="0" applyFont="0" applyFill="0" applyBorder="0" applyAlignment="0" applyProtection="0"/>
    <xf numFmtId="9" fontId="1" fillId="0" borderId="0" applyFont="0" applyFill="0" applyBorder="0" applyAlignment="0" applyProtection="0"/>
    <xf numFmtId="0" fontId="42" fillId="0" borderId="0"/>
    <xf numFmtId="0" fontId="1" fillId="0" borderId="0"/>
    <xf numFmtId="44" fontId="1" fillId="0" borderId="0" applyFont="0" applyFill="0" applyBorder="0" applyAlignment="0" applyProtection="0"/>
    <xf numFmtId="0" fontId="42" fillId="0" borderId="0"/>
    <xf numFmtId="0" fontId="72" fillId="0" borderId="0" applyNumberFormat="0" applyFill="0" applyBorder="0" applyAlignment="0" applyProtection="0"/>
    <xf numFmtId="43" fontId="2" fillId="0" borderId="0" applyFont="0" applyFill="0" applyBorder="0" applyAlignment="0" applyProtection="0"/>
  </cellStyleXfs>
  <cellXfs count="1370">
    <xf numFmtId="0" fontId="0" fillId="0" borderId="0" xfId="0"/>
    <xf numFmtId="0" fontId="7" fillId="2" borderId="0" xfId="0" applyFont="1" applyFill="1"/>
    <xf numFmtId="0" fontId="8" fillId="0" borderId="0" xfId="0" applyFont="1"/>
    <xf numFmtId="0" fontId="9" fillId="0" borderId="0" xfId="0" applyFont="1"/>
    <xf numFmtId="172" fontId="10" fillId="0" borderId="0" xfId="1" applyNumberFormat="1" applyFont="1"/>
    <xf numFmtId="172" fontId="8" fillId="0" borderId="0" xfId="0" applyNumberFormat="1" applyFont="1"/>
    <xf numFmtId="0" fontId="11" fillId="0" borderId="0" xfId="0" applyFont="1"/>
    <xf numFmtId="0" fontId="12" fillId="2" borderId="0" xfId="0" applyFont="1" applyFill="1" applyAlignment="1">
      <alignment horizontal="right"/>
    </xf>
    <xf numFmtId="0" fontId="13" fillId="3" borderId="0" xfId="0" applyFont="1" applyFill="1"/>
    <xf numFmtId="0" fontId="11" fillId="3" borderId="0" xfId="0" applyFont="1" applyFill="1"/>
    <xf numFmtId="0" fontId="14" fillId="0" borderId="0" xfId="2" applyFont="1" applyAlignment="1">
      <alignment horizontal="left" vertical="center" wrapText="1"/>
    </xf>
    <xf numFmtId="164" fontId="14" fillId="0" borderId="0" xfId="2" applyNumberFormat="1" applyFont="1" applyAlignment="1">
      <alignment vertical="center" wrapText="1"/>
    </xf>
    <xf numFmtId="165" fontId="14" fillId="0" borderId="0" xfId="2" applyNumberFormat="1" applyFont="1" applyAlignment="1">
      <alignment vertical="center" wrapText="1"/>
    </xf>
    <xf numFmtId="165" fontId="14" fillId="0" borderId="2" xfId="2" applyNumberFormat="1" applyFont="1" applyBorder="1" applyAlignment="1">
      <alignment vertical="center" wrapText="1"/>
    </xf>
    <xf numFmtId="0" fontId="15" fillId="0" borderId="0" xfId="2" applyFont="1" applyAlignment="1">
      <alignment horizontal="left" vertical="center" wrapText="1"/>
    </xf>
    <xf numFmtId="0" fontId="16" fillId="0" borderId="0" xfId="2" applyFont="1"/>
    <xf numFmtId="0" fontId="14" fillId="0" borderId="0" xfId="2" applyFont="1" applyAlignment="1">
      <alignment horizontal="left" wrapText="1"/>
    </xf>
    <xf numFmtId="0" fontId="14" fillId="0" borderId="6" xfId="2" applyFont="1" applyBorder="1" applyAlignment="1">
      <alignment horizontal="right" vertical="center" wrapText="1"/>
    </xf>
    <xf numFmtId="168" fontId="14" fillId="0" borderId="0" xfId="2" applyNumberFormat="1" applyFont="1" applyAlignment="1">
      <alignment vertical="center" wrapText="1"/>
    </xf>
    <xf numFmtId="169" fontId="14" fillId="0" borderId="0" xfId="2" applyNumberFormat="1" applyFont="1" applyAlignment="1">
      <alignment vertical="center" wrapText="1"/>
    </xf>
    <xf numFmtId="0" fontId="15" fillId="0" borderId="1" xfId="2" applyFont="1" applyBorder="1" applyAlignment="1">
      <alignment horizontal="left" vertical="center" wrapText="1"/>
    </xf>
    <xf numFmtId="167" fontId="17" fillId="0" borderId="1" xfId="2" applyNumberFormat="1" applyFont="1" applyBorder="1" applyAlignment="1">
      <alignment horizontal="left" vertical="center" wrapText="1"/>
    </xf>
    <xf numFmtId="165" fontId="14" fillId="0" borderId="4" xfId="2" applyNumberFormat="1" applyFont="1" applyBorder="1" applyAlignment="1">
      <alignment wrapText="1"/>
    </xf>
    <xf numFmtId="165" fontId="14" fillId="0" borderId="0" xfId="2" applyNumberFormat="1" applyFont="1" applyAlignment="1">
      <alignment wrapText="1"/>
    </xf>
    <xf numFmtId="165" fontId="14" fillId="0" borderId="2" xfId="2" applyNumberFormat="1" applyFont="1" applyBorder="1" applyAlignment="1">
      <alignment wrapText="1"/>
    </xf>
    <xf numFmtId="0" fontId="14" fillId="0" borderId="4" xfId="2" applyFont="1" applyBorder="1" applyAlignment="1">
      <alignment horizontal="right" vertical="center" wrapText="1"/>
    </xf>
    <xf numFmtId="0" fontId="14" fillId="0" borderId="0" xfId="2" applyFont="1" applyAlignment="1">
      <alignment horizontal="left" vertical="center" wrapText="1" indent="2"/>
    </xf>
    <xf numFmtId="167" fontId="14" fillId="0" borderId="1" xfId="2" applyNumberFormat="1" applyFont="1" applyBorder="1" applyAlignment="1">
      <alignment horizontal="left" vertical="center" wrapText="1"/>
    </xf>
    <xf numFmtId="0" fontId="17" fillId="0" borderId="1" xfId="2" applyFont="1" applyBorder="1" applyAlignment="1">
      <alignment horizontal="right" vertical="center" wrapText="1"/>
    </xf>
    <xf numFmtId="0" fontId="14" fillId="0" borderId="0" xfId="2" applyFont="1" applyAlignment="1">
      <alignment horizontal="left" vertical="center" wrapText="1" indent="1"/>
    </xf>
    <xf numFmtId="0" fontId="13" fillId="0" borderId="0" xfId="0" applyFont="1"/>
    <xf numFmtId="0" fontId="14" fillId="0" borderId="1" xfId="2" applyFont="1" applyBorder="1" applyAlignment="1">
      <alignment horizontal="left" vertical="center" wrapText="1"/>
    </xf>
    <xf numFmtId="171" fontId="14" fillId="0" borderId="6" xfId="2" applyNumberFormat="1" applyFont="1" applyBorder="1" applyAlignment="1">
      <alignment horizontal="right" wrapText="1"/>
    </xf>
    <xf numFmtId="171" fontId="14" fillId="0" borderId="0" xfId="2" applyNumberFormat="1" applyFont="1" applyAlignment="1">
      <alignment horizontal="right" wrapText="1"/>
    </xf>
    <xf numFmtId="165" fontId="14" fillId="0" borderId="0" xfId="0" applyNumberFormat="1" applyFont="1" applyAlignment="1">
      <alignment vertical="center" wrapText="1"/>
    </xf>
    <xf numFmtId="171" fontId="14" fillId="0" borderId="0" xfId="0" applyNumberFormat="1" applyFont="1" applyAlignment="1">
      <alignment horizontal="right" vertical="center" wrapText="1"/>
    </xf>
    <xf numFmtId="0" fontId="12" fillId="2" borderId="0" xfId="0" applyFont="1" applyFill="1"/>
    <xf numFmtId="0" fontId="15" fillId="4" borderId="1" xfId="0" applyFont="1" applyFill="1" applyBorder="1" applyAlignment="1">
      <alignment horizontal="left" wrapText="1"/>
    </xf>
    <xf numFmtId="0" fontId="11" fillId="4" borderId="0" xfId="0" applyFont="1" applyFill="1"/>
    <xf numFmtId="0" fontId="14" fillId="4" borderId="0" xfId="0" applyFont="1" applyFill="1" applyAlignment="1">
      <alignment horizontal="left" wrapText="1"/>
    </xf>
    <xf numFmtId="0" fontId="14" fillId="4" borderId="0" xfId="0" applyFont="1" applyFill="1" applyAlignment="1">
      <alignment horizontal="left" vertical="center" wrapText="1" indent="1"/>
    </xf>
    <xf numFmtId="0" fontId="14" fillId="4" borderId="0" xfId="0" applyFont="1" applyFill="1" applyAlignment="1">
      <alignment horizontal="left" vertical="center" wrapText="1"/>
    </xf>
    <xf numFmtId="0" fontId="14" fillId="4" borderId="0" xfId="0" applyFont="1" applyFill="1" applyAlignment="1">
      <alignment horizontal="left" wrapText="1" indent="1"/>
    </xf>
    <xf numFmtId="0" fontId="18" fillId="5" borderId="1" xfId="0" applyFont="1" applyFill="1" applyBorder="1" applyAlignment="1">
      <alignment horizontal="left" vertical="center" wrapText="1"/>
    </xf>
    <xf numFmtId="167" fontId="19" fillId="5" borderId="1" xfId="0" applyNumberFormat="1" applyFont="1" applyFill="1" applyBorder="1" applyAlignment="1">
      <alignment horizontal="left" vertical="center" wrapText="1"/>
    </xf>
    <xf numFmtId="0" fontId="19" fillId="5" borderId="1" xfId="0" applyFont="1" applyFill="1" applyBorder="1" applyAlignment="1">
      <alignment horizontal="center" vertical="center" wrapText="1"/>
    </xf>
    <xf numFmtId="0" fontId="20" fillId="5" borderId="1" xfId="0" applyFont="1" applyFill="1" applyBorder="1" applyAlignment="1">
      <alignment horizontal="left" vertical="center" wrapText="1"/>
    </xf>
    <xf numFmtId="0" fontId="20" fillId="5" borderId="0" xfId="0" applyFont="1" applyFill="1" applyAlignment="1">
      <alignment horizontal="left" vertical="center" wrapText="1"/>
    </xf>
    <xf numFmtId="0" fontId="20" fillId="5" borderId="0" xfId="0" applyFont="1" applyFill="1" applyAlignment="1">
      <alignment horizontal="left" vertical="center" wrapText="1" indent="1"/>
    </xf>
    <xf numFmtId="0" fontId="20" fillId="5" borderId="0" xfId="0" applyFont="1" applyFill="1" applyAlignment="1">
      <alignment horizontal="left" wrapText="1"/>
    </xf>
    <xf numFmtId="0" fontId="8" fillId="5" borderId="0" xfId="0" applyFont="1" applyFill="1"/>
    <xf numFmtId="0" fontId="18" fillId="5" borderId="1" xfId="0" applyFont="1" applyFill="1" applyBorder="1" applyAlignment="1">
      <alignment horizontal="left" wrapText="1"/>
    </xf>
    <xf numFmtId="0" fontId="20" fillId="5" borderId="1" xfId="0" applyFont="1" applyFill="1" applyBorder="1" applyAlignment="1">
      <alignment horizontal="right" vertical="center" wrapText="1"/>
    </xf>
    <xf numFmtId="0" fontId="21" fillId="5" borderId="1" xfId="0" applyFont="1" applyFill="1" applyBorder="1" applyAlignment="1">
      <alignment horizontal="center" wrapText="1"/>
    </xf>
    <xf numFmtId="0" fontId="19" fillId="5" borderId="1" xfId="0" applyFont="1" applyFill="1" applyBorder="1" applyAlignment="1">
      <alignment horizontal="right" vertical="center" wrapText="1"/>
    </xf>
    <xf numFmtId="14" fontId="20" fillId="5" borderId="1" xfId="0" applyNumberFormat="1" applyFont="1" applyFill="1" applyBorder="1" applyAlignment="1">
      <alignment wrapText="1"/>
    </xf>
    <xf numFmtId="0" fontId="18" fillId="5" borderId="0" xfId="0" applyFont="1" applyFill="1" applyAlignment="1">
      <alignment horizontal="left" wrapText="1"/>
    </xf>
    <xf numFmtId="0" fontId="19" fillId="5" borderId="1" xfId="0" applyFont="1" applyFill="1" applyBorder="1" applyAlignment="1">
      <alignment horizontal="right" wrapText="1"/>
    </xf>
    <xf numFmtId="0" fontId="22" fillId="5" borderId="0" xfId="0" applyFont="1" applyFill="1" applyAlignment="1">
      <alignment horizontal="right" vertical="center" wrapText="1"/>
    </xf>
    <xf numFmtId="0" fontId="22" fillId="5" borderId="0" xfId="0" applyFont="1" applyFill="1" applyAlignment="1">
      <alignment horizontal="right"/>
    </xf>
    <xf numFmtId="43" fontId="14" fillId="0" borderId="0" xfId="1" applyFont="1" applyAlignment="1">
      <alignment vertical="center" wrapText="1"/>
    </xf>
    <xf numFmtId="172" fontId="14" fillId="0" borderId="0" xfId="1" applyNumberFormat="1" applyFont="1" applyAlignment="1">
      <alignment vertical="center" wrapText="1"/>
    </xf>
    <xf numFmtId="172" fontId="14" fillId="0" borderId="0" xfId="1" applyNumberFormat="1" applyFont="1" applyBorder="1" applyAlignment="1">
      <alignment vertical="center" wrapText="1"/>
    </xf>
    <xf numFmtId="172" fontId="14" fillId="0" borderId="4" xfId="1" applyNumberFormat="1" applyFont="1" applyBorder="1" applyAlignment="1">
      <alignment vertical="center" wrapText="1"/>
    </xf>
    <xf numFmtId="172" fontId="14" fillId="0" borderId="2" xfId="1" applyNumberFormat="1" applyFont="1" applyBorder="1" applyAlignment="1">
      <alignment vertical="center" wrapText="1"/>
    </xf>
    <xf numFmtId="172" fontId="14" fillId="0" borderId="3" xfId="1" applyNumberFormat="1" applyFont="1" applyBorder="1" applyAlignment="1">
      <alignment vertical="center" wrapText="1"/>
    </xf>
    <xf numFmtId="172" fontId="14" fillId="0" borderId="4" xfId="1" applyNumberFormat="1" applyFont="1" applyBorder="1" applyAlignment="1">
      <alignment horizontal="left" vertical="center" wrapText="1"/>
    </xf>
    <xf numFmtId="172" fontId="16" fillId="0" borderId="0" xfId="1" applyNumberFormat="1" applyFont="1"/>
    <xf numFmtId="172" fontId="14" fillId="0" borderId="5" xfId="1" applyNumberFormat="1" applyFont="1" applyBorder="1" applyAlignment="1">
      <alignment vertical="center" wrapText="1"/>
    </xf>
    <xf numFmtId="172" fontId="14" fillId="0" borderId="6" xfId="1" applyNumberFormat="1" applyFont="1" applyBorder="1" applyAlignment="1">
      <alignment horizontal="right" vertical="center" wrapText="1"/>
    </xf>
    <xf numFmtId="172" fontId="14" fillId="0" borderId="0" xfId="1" applyNumberFormat="1" applyFont="1" applyFill="1" applyAlignment="1">
      <alignment vertical="center" wrapText="1"/>
    </xf>
    <xf numFmtId="43" fontId="11" fillId="0" borderId="0" xfId="1" applyFont="1"/>
    <xf numFmtId="172" fontId="11" fillId="0" borderId="0" xfId="1" applyNumberFormat="1" applyFont="1"/>
    <xf numFmtId="172" fontId="14" fillId="0" borderId="0" xfId="1" applyNumberFormat="1" applyFont="1" applyFill="1" applyAlignment="1">
      <alignment wrapText="1"/>
    </xf>
    <xf numFmtId="172" fontId="14" fillId="0" borderId="3" xfId="1" applyNumberFormat="1" applyFont="1" applyBorder="1" applyAlignment="1">
      <alignment wrapText="1"/>
    </xf>
    <xf numFmtId="172" fontId="14" fillId="0" borderId="4" xfId="1" applyNumberFormat="1" applyFont="1" applyBorder="1" applyAlignment="1">
      <alignment horizontal="right" vertical="center" wrapText="1"/>
    </xf>
    <xf numFmtId="172" fontId="14" fillId="0" borderId="1" xfId="1" applyNumberFormat="1" applyFont="1" applyBorder="1" applyAlignment="1">
      <alignment vertical="center" wrapText="1"/>
    </xf>
    <xf numFmtId="172" fontId="16" fillId="0" borderId="0" xfId="2" applyNumberFormat="1" applyFont="1"/>
    <xf numFmtId="172" fontId="23" fillId="0" borderId="0" xfId="1" applyNumberFormat="1" applyFont="1" applyAlignment="1">
      <alignment vertical="center" wrapText="1"/>
    </xf>
    <xf numFmtId="172" fontId="23" fillId="0" borderId="2" xfId="1" applyNumberFormat="1" applyFont="1" applyBorder="1" applyAlignment="1">
      <alignment vertical="center" wrapText="1"/>
    </xf>
    <xf numFmtId="172" fontId="23" fillId="0" borderId="4" xfId="1" applyNumberFormat="1" applyFont="1" applyBorder="1" applyAlignment="1">
      <alignment wrapText="1"/>
    </xf>
    <xf numFmtId="172" fontId="23" fillId="0" borderId="0" xfId="1" applyNumberFormat="1" applyFont="1" applyAlignment="1">
      <alignment wrapText="1"/>
    </xf>
    <xf numFmtId="172" fontId="23" fillId="0" borderId="2" xfId="1" applyNumberFormat="1" applyFont="1" applyBorder="1" applyAlignment="1">
      <alignment wrapText="1"/>
    </xf>
    <xf numFmtId="172" fontId="23" fillId="0" borderId="0" xfId="1" applyNumberFormat="1" applyFont="1"/>
    <xf numFmtId="164" fontId="23" fillId="0" borderId="0" xfId="2" applyNumberFormat="1" applyFont="1" applyAlignment="1">
      <alignment vertical="center" wrapText="1"/>
    </xf>
    <xf numFmtId="165" fontId="23" fillId="0" borderId="0" xfId="2" applyNumberFormat="1" applyFont="1" applyAlignment="1">
      <alignment wrapText="1"/>
    </xf>
    <xf numFmtId="165" fontId="23" fillId="0" borderId="2" xfId="2" applyNumberFormat="1" applyFont="1" applyBorder="1" applyAlignment="1">
      <alignment vertical="center" wrapText="1"/>
    </xf>
    <xf numFmtId="165" fontId="23" fillId="0" borderId="4" xfId="2" applyNumberFormat="1" applyFont="1" applyBorder="1" applyAlignment="1">
      <alignment wrapText="1"/>
    </xf>
    <xf numFmtId="0" fontId="14" fillId="0" borderId="0" xfId="2" applyFont="1" applyAlignment="1">
      <alignment horizontal="left" wrapText="1" indent="1"/>
    </xf>
    <xf numFmtId="165" fontId="23" fillId="0" borderId="2" xfId="2" applyNumberFormat="1" applyFont="1" applyBorder="1" applyAlignment="1">
      <alignment wrapText="1"/>
    </xf>
    <xf numFmtId="172" fontId="23" fillId="0" borderId="0" xfId="1" applyNumberFormat="1" applyFont="1" applyBorder="1" applyAlignment="1">
      <alignment vertical="center" wrapText="1"/>
    </xf>
    <xf numFmtId="0" fontId="24" fillId="3" borderId="0" xfId="0" applyFont="1" applyFill="1"/>
    <xf numFmtId="0" fontId="23" fillId="3" borderId="0" xfId="0" applyFont="1" applyFill="1"/>
    <xf numFmtId="169" fontId="23" fillId="0" borderId="0" xfId="2" applyNumberFormat="1" applyFont="1" applyAlignment="1">
      <alignment vertical="center" wrapText="1"/>
    </xf>
    <xf numFmtId="172" fontId="14" fillId="0" borderId="0" xfId="1" applyNumberFormat="1" applyFont="1" applyFill="1" applyBorder="1" applyAlignment="1">
      <alignment vertical="center" wrapText="1"/>
    </xf>
    <xf numFmtId="172" fontId="23" fillId="0" borderId="0" xfId="1" applyNumberFormat="1" applyFont="1" applyFill="1" applyAlignment="1">
      <alignment vertical="center" wrapText="1"/>
    </xf>
    <xf numFmtId="172" fontId="23" fillId="0" borderId="2" xfId="1" applyNumberFormat="1" applyFont="1" applyFill="1" applyBorder="1" applyAlignment="1">
      <alignment vertical="center" wrapText="1"/>
    </xf>
    <xf numFmtId="173" fontId="14" fillId="0" borderId="0" xfId="9" applyNumberFormat="1" applyFont="1" applyFill="1" applyAlignment="1">
      <alignment vertical="center" wrapText="1"/>
    </xf>
    <xf numFmtId="173" fontId="11" fillId="0" borderId="0" xfId="9" applyNumberFormat="1" applyFont="1"/>
    <xf numFmtId="172" fontId="23" fillId="0" borderId="0" xfId="1" applyNumberFormat="1" applyFont="1" applyAlignment="1">
      <alignment horizontal="right" vertical="center" wrapText="1"/>
    </xf>
    <xf numFmtId="166" fontId="23" fillId="0" borderId="0" xfId="2" applyNumberFormat="1" applyFont="1" applyAlignment="1">
      <alignment horizontal="right" vertical="center" wrapText="1"/>
    </xf>
    <xf numFmtId="165" fontId="23" fillId="0" borderId="0" xfId="2" applyNumberFormat="1" applyFont="1" applyAlignment="1">
      <alignment vertical="center" wrapText="1"/>
    </xf>
    <xf numFmtId="0" fontId="23" fillId="0" borderId="0" xfId="2" applyFont="1"/>
    <xf numFmtId="0" fontId="11" fillId="7" borderId="0" xfId="0" applyFont="1" applyFill="1" applyAlignment="1">
      <alignment horizontal="centerContinuous"/>
    </xf>
    <xf numFmtId="0" fontId="16" fillId="0" borderId="0" xfId="2" applyFont="1" applyAlignment="1">
      <alignment horizontal="left" vertical="center" wrapText="1" indent="1"/>
    </xf>
    <xf numFmtId="172" fontId="16" fillId="0" borderId="4" xfId="1" applyNumberFormat="1" applyFont="1" applyBorder="1" applyAlignment="1">
      <alignment vertical="center" wrapText="1"/>
    </xf>
    <xf numFmtId="172" fontId="16" fillId="4" borderId="0" xfId="1" applyNumberFormat="1" applyFont="1" applyFill="1" applyAlignment="1">
      <alignment horizontal="right" wrapText="1"/>
    </xf>
    <xf numFmtId="172" fontId="11" fillId="4" borderId="0" xfId="1" applyNumberFormat="1" applyFont="1" applyFill="1" applyAlignment="1">
      <alignment horizontal="right"/>
    </xf>
    <xf numFmtId="172" fontId="14" fillId="4" borderId="6" xfId="1" applyNumberFormat="1" applyFont="1" applyFill="1" applyBorder="1" applyAlignment="1">
      <alignment horizontal="right" vertical="center" wrapText="1"/>
    </xf>
    <xf numFmtId="43" fontId="14" fillId="4" borderId="0" xfId="1" applyFont="1" applyFill="1" applyAlignment="1">
      <alignment wrapText="1"/>
    </xf>
    <xf numFmtId="172" fontId="14" fillId="4" borderId="0" xfId="1" applyNumberFormat="1" applyFont="1" applyFill="1" applyAlignment="1">
      <alignment wrapText="1"/>
    </xf>
    <xf numFmtId="172" fontId="25" fillId="4" borderId="0" xfId="1" applyNumberFormat="1" applyFont="1" applyFill="1" applyAlignment="1">
      <alignment horizontal="right" wrapText="1"/>
    </xf>
    <xf numFmtId="172" fontId="23" fillId="4" borderId="0" xfId="1" applyNumberFormat="1" applyFont="1" applyFill="1" applyBorder="1" applyAlignment="1">
      <alignment horizontal="right" wrapText="1"/>
    </xf>
    <xf numFmtId="172" fontId="16" fillId="4" borderId="4" xfId="1" applyNumberFormat="1" applyFont="1" applyFill="1" applyBorder="1" applyAlignment="1">
      <alignment horizontal="right" vertical="center" wrapText="1"/>
    </xf>
    <xf numFmtId="172" fontId="23" fillId="4" borderId="0" xfId="1" applyNumberFormat="1" applyFont="1" applyFill="1" applyAlignment="1">
      <alignment horizontal="right" vertical="center" wrapText="1"/>
    </xf>
    <xf numFmtId="172" fontId="23" fillId="4" borderId="0" xfId="1" applyNumberFormat="1" applyFont="1" applyFill="1" applyBorder="1" applyAlignment="1">
      <alignment horizontal="right" vertical="center" wrapText="1"/>
    </xf>
    <xf numFmtId="9" fontId="14" fillId="4" borderId="0" xfId="9" applyFont="1" applyFill="1" applyAlignment="1">
      <alignment horizontal="right" vertical="center" wrapText="1"/>
    </xf>
    <xf numFmtId="43" fontId="11" fillId="4" borderId="0" xfId="0" applyNumberFormat="1" applyFont="1" applyFill="1"/>
    <xf numFmtId="172" fontId="23" fillId="4" borderId="0" xfId="1" applyNumberFormat="1" applyFont="1" applyFill="1" applyAlignment="1">
      <alignment wrapText="1"/>
    </xf>
    <xf numFmtId="43" fontId="23" fillId="4" borderId="0" xfId="1" applyFont="1" applyFill="1" applyAlignment="1">
      <alignment wrapText="1"/>
    </xf>
    <xf numFmtId="172" fontId="20" fillId="5" borderId="4" xfId="1" applyNumberFormat="1" applyFont="1" applyFill="1" applyBorder="1" applyAlignment="1">
      <alignment vertical="center" wrapText="1"/>
    </xf>
    <xf numFmtId="172" fontId="10" fillId="5" borderId="0" xfId="1" applyNumberFormat="1" applyFont="1" applyFill="1" applyAlignment="1">
      <alignment vertical="center" wrapText="1"/>
    </xf>
    <xf numFmtId="172" fontId="10" fillId="5" borderId="0" xfId="1" applyNumberFormat="1" applyFont="1" applyFill="1" applyBorder="1" applyAlignment="1">
      <alignment vertical="center" wrapText="1"/>
    </xf>
    <xf numFmtId="172" fontId="10" fillId="5" borderId="6" xfId="1" applyNumberFormat="1" applyFont="1" applyFill="1" applyBorder="1" applyAlignment="1">
      <alignment wrapText="1"/>
    </xf>
    <xf numFmtId="172" fontId="10" fillId="5" borderId="6" xfId="1" applyNumberFormat="1" applyFont="1" applyFill="1" applyBorder="1" applyAlignment="1">
      <alignment vertical="center" wrapText="1"/>
    </xf>
    <xf numFmtId="173" fontId="10" fillId="5" borderId="0" xfId="9" applyNumberFormat="1" applyFont="1" applyFill="1" applyAlignment="1">
      <alignment horizontal="right" vertical="center" wrapText="1"/>
    </xf>
    <xf numFmtId="10" fontId="10" fillId="5" borderId="0" xfId="9" applyNumberFormat="1" applyFont="1" applyFill="1" applyAlignment="1">
      <alignment horizontal="right" vertical="center" wrapText="1"/>
    </xf>
    <xf numFmtId="172" fontId="21" fillId="5" borderId="1" xfId="0" applyNumberFormat="1" applyFont="1" applyFill="1" applyBorder="1" applyAlignment="1">
      <alignment horizontal="center" wrapText="1"/>
    </xf>
    <xf numFmtId="172" fontId="22" fillId="5" borderId="0" xfId="1" applyNumberFormat="1" applyFont="1" applyFill="1" applyAlignment="1">
      <alignment vertical="center" wrapText="1"/>
    </xf>
    <xf numFmtId="172" fontId="20" fillId="5" borderId="5" xfId="1" applyNumberFormat="1" applyFont="1" applyFill="1" applyBorder="1" applyAlignment="1">
      <alignment vertical="center" wrapText="1"/>
    </xf>
    <xf numFmtId="172" fontId="22" fillId="5" borderId="0" xfId="1" applyNumberFormat="1" applyFont="1" applyFill="1" applyAlignment="1">
      <alignment horizontal="right" vertical="center" wrapText="1"/>
    </xf>
    <xf numFmtId="172" fontId="10" fillId="5" borderId="0" xfId="1" applyNumberFormat="1" applyFont="1" applyFill="1" applyAlignment="1">
      <alignment horizontal="right" vertical="center" wrapText="1"/>
    </xf>
    <xf numFmtId="0" fontId="18" fillId="5" borderId="1" xfId="0" applyFont="1" applyFill="1" applyBorder="1" applyAlignment="1">
      <alignment horizontal="left"/>
    </xf>
    <xf numFmtId="43" fontId="10" fillId="5" borderId="0" xfId="1" applyFont="1" applyFill="1" applyAlignment="1">
      <alignment horizontal="right" vertical="center" wrapText="1"/>
    </xf>
    <xf numFmtId="170" fontId="23" fillId="4" borderId="0" xfId="0" applyNumberFormat="1" applyFont="1" applyFill="1" applyAlignment="1">
      <alignment horizontal="right" vertical="center" wrapText="1"/>
    </xf>
    <xf numFmtId="172" fontId="16" fillId="4" borderId="0" xfId="1" applyNumberFormat="1" applyFont="1" applyFill="1" applyAlignment="1">
      <alignment wrapText="1"/>
    </xf>
    <xf numFmtId="0" fontId="8" fillId="0" borderId="0" xfId="0" applyFont="1" applyAlignment="1">
      <alignment horizontal="right"/>
    </xf>
    <xf numFmtId="0" fontId="14" fillId="0" borderId="0" xfId="2" applyFont="1" applyAlignment="1">
      <alignment horizontal="left" vertical="center"/>
    </xf>
    <xf numFmtId="0" fontId="14" fillId="0" borderId="0" xfId="2" applyFont="1" applyAlignment="1">
      <alignment horizontal="left" vertical="center" indent="1"/>
    </xf>
    <xf numFmtId="0" fontId="15" fillId="0" borderId="0" xfId="2" applyFont="1" applyAlignment="1">
      <alignment horizontal="left" vertical="center"/>
    </xf>
    <xf numFmtId="0" fontId="15" fillId="3" borderId="1" xfId="0" applyFont="1" applyFill="1" applyBorder="1" applyAlignment="1">
      <alignment horizontal="left" wrapText="1"/>
    </xf>
    <xf numFmtId="0" fontId="17" fillId="3" borderId="1" xfId="0" applyFont="1" applyFill="1" applyBorder="1" applyAlignment="1">
      <alignment horizontal="right" wrapText="1"/>
    </xf>
    <xf numFmtId="0" fontId="14" fillId="4" borderId="0" xfId="0" applyFont="1" applyFill="1" applyAlignment="1">
      <alignment horizontal="left" vertical="center"/>
    </xf>
    <xf numFmtId="0" fontId="14" fillId="4" borderId="0" xfId="0" applyFont="1" applyFill="1" applyAlignment="1">
      <alignment horizontal="left"/>
    </xf>
    <xf numFmtId="0" fontId="15" fillId="4" borderId="0" xfId="0" applyFont="1" applyFill="1" applyAlignment="1">
      <alignment horizontal="left" wrapText="1"/>
    </xf>
    <xf numFmtId="0" fontId="14" fillId="4" borderId="0" xfId="0" applyFont="1" applyFill="1" applyAlignment="1">
      <alignment horizontal="left" indent="1"/>
    </xf>
    <xf numFmtId="0" fontId="12" fillId="3" borderId="0" xfId="0" applyFont="1" applyFill="1" applyAlignment="1">
      <alignment horizontal="right"/>
    </xf>
    <xf numFmtId="0" fontId="12" fillId="3" borderId="0" xfId="0" applyFont="1" applyFill="1"/>
    <xf numFmtId="0" fontId="26" fillId="3" borderId="0" xfId="0" applyFont="1" applyFill="1"/>
    <xf numFmtId="172" fontId="25" fillId="4" borderId="0" xfId="1" applyNumberFormat="1" applyFont="1" applyFill="1" applyAlignment="1">
      <alignment wrapText="1"/>
    </xf>
    <xf numFmtId="174" fontId="14" fillId="4" borderId="0" xfId="1" applyNumberFormat="1" applyFont="1" applyFill="1" applyAlignment="1">
      <alignment wrapText="1"/>
    </xf>
    <xf numFmtId="172" fontId="25" fillId="4" borderId="0" xfId="1" applyNumberFormat="1" applyFont="1" applyFill="1" applyBorder="1" applyAlignment="1">
      <alignment wrapText="1"/>
    </xf>
    <xf numFmtId="0" fontId="15" fillId="4" borderId="7" xfId="0" applyFont="1" applyFill="1" applyBorder="1" applyAlignment="1">
      <alignment horizontal="left" wrapText="1"/>
    </xf>
    <xf numFmtId="172" fontId="15" fillId="4" borderId="7" xfId="1" applyNumberFormat="1" applyFont="1" applyFill="1" applyBorder="1" applyAlignment="1">
      <alignment wrapText="1"/>
    </xf>
    <xf numFmtId="172" fontId="10" fillId="0" borderId="0" xfId="1" applyNumberFormat="1" applyFont="1" applyFill="1" applyAlignment="1">
      <alignment vertical="center" wrapText="1"/>
    </xf>
    <xf numFmtId="0" fontId="14" fillId="0" borderId="0" xfId="2" applyFont="1" applyAlignment="1">
      <alignment horizontal="left"/>
    </xf>
    <xf numFmtId="0" fontId="16" fillId="0" borderId="0" xfId="2" applyFont="1" applyAlignment="1">
      <alignment horizontal="left" vertical="center"/>
    </xf>
    <xf numFmtId="0" fontId="15" fillId="0" borderId="0" xfId="2" applyFont="1" applyAlignment="1">
      <alignment horizontal="left" vertical="center" wrapText="1" indent="1"/>
    </xf>
    <xf numFmtId="172" fontId="15" fillId="0" borderId="5" xfId="1" applyNumberFormat="1" applyFont="1" applyBorder="1" applyAlignment="1">
      <alignment vertical="center" wrapText="1"/>
    </xf>
    <xf numFmtId="0" fontId="14" fillId="0" borderId="0" xfId="2" applyFont="1" applyAlignment="1">
      <alignment horizontal="right" vertical="center" wrapText="1"/>
    </xf>
    <xf numFmtId="43" fontId="8" fillId="0" borderId="0" xfId="1" applyFont="1"/>
    <xf numFmtId="172" fontId="8" fillId="0" borderId="0" xfId="1" applyNumberFormat="1" applyFont="1"/>
    <xf numFmtId="172" fontId="27" fillId="0" borderId="0" xfId="1" applyNumberFormat="1" applyFont="1"/>
    <xf numFmtId="172" fontId="22" fillId="0" borderId="0" xfId="1" applyNumberFormat="1" applyFont="1"/>
    <xf numFmtId="172" fontId="28" fillId="0" borderId="0" xfId="1" applyNumberFormat="1" applyFont="1"/>
    <xf numFmtId="172" fontId="29" fillId="0" borderId="0" xfId="1" applyNumberFormat="1" applyFont="1"/>
    <xf numFmtId="0" fontId="14" fillId="0" borderId="0" xfId="2" applyFont="1" applyAlignment="1">
      <alignment horizontal="left" indent="1"/>
    </xf>
    <xf numFmtId="43" fontId="8" fillId="0" borderId="0" xfId="0" applyNumberFormat="1" applyFont="1"/>
    <xf numFmtId="0" fontId="14" fillId="0" borderId="0" xfId="2" applyFont="1" applyAlignment="1">
      <alignment horizontal="left" vertical="center" indent="2"/>
    </xf>
    <xf numFmtId="0" fontId="14" fillId="0" borderId="1" xfId="2" applyFont="1" applyBorder="1" applyAlignment="1">
      <alignment horizontal="left" vertical="center"/>
    </xf>
    <xf numFmtId="172" fontId="22" fillId="0" borderId="0" xfId="0" applyNumberFormat="1" applyFont="1"/>
    <xf numFmtId="172" fontId="9" fillId="0" borderId="0" xfId="1" applyNumberFormat="1" applyFont="1"/>
    <xf numFmtId="0" fontId="8" fillId="3" borderId="0" xfId="0" applyFont="1" applyFill="1"/>
    <xf numFmtId="9" fontId="8" fillId="0" borderId="0" xfId="9" applyFont="1"/>
    <xf numFmtId="173" fontId="8" fillId="0" borderId="0" xfId="9" applyNumberFormat="1" applyFont="1"/>
    <xf numFmtId="172" fontId="9" fillId="0" borderId="8" xfId="1" applyNumberFormat="1" applyFont="1" applyBorder="1"/>
    <xf numFmtId="172" fontId="15" fillId="0" borderId="4" xfId="1" applyNumberFormat="1" applyFont="1" applyFill="1" applyBorder="1" applyAlignment="1">
      <alignment vertical="center" wrapText="1"/>
    </xf>
    <xf numFmtId="172" fontId="15" fillId="0" borderId="5" xfId="1" applyNumberFormat="1" applyFont="1" applyFill="1" applyBorder="1" applyAlignment="1">
      <alignment vertical="center" wrapText="1"/>
    </xf>
    <xf numFmtId="172" fontId="9" fillId="0" borderId="7" xfId="1" applyNumberFormat="1" applyFont="1" applyBorder="1"/>
    <xf numFmtId="0" fontId="15" fillId="0" borderId="7" xfId="2" applyFont="1" applyBorder="1" applyAlignment="1">
      <alignment horizontal="left" vertical="center" wrapText="1"/>
    </xf>
    <xf numFmtId="0" fontId="9" fillId="0" borderId="7" xfId="0" applyFont="1" applyBorder="1"/>
    <xf numFmtId="0" fontId="15" fillId="0" borderId="8" xfId="2" applyFont="1" applyBorder="1" applyAlignment="1">
      <alignment horizontal="left" vertical="center" wrapText="1"/>
    </xf>
    <xf numFmtId="0" fontId="9" fillId="0" borderId="8" xfId="0" applyFont="1" applyBorder="1"/>
    <xf numFmtId="0" fontId="14" fillId="0" borderId="7" xfId="2" applyFont="1" applyBorder="1" applyAlignment="1">
      <alignment horizontal="left"/>
    </xf>
    <xf numFmtId="0" fontId="14" fillId="0" borderId="9" xfId="2" applyFont="1" applyBorder="1" applyAlignment="1">
      <alignment horizontal="left" vertical="center" wrapText="1" indent="1"/>
    </xf>
    <xf numFmtId="0" fontId="14" fillId="0" borderId="9" xfId="2" applyFont="1" applyBorder="1" applyAlignment="1">
      <alignment horizontal="left" vertical="center" wrapText="1" indent="2"/>
    </xf>
    <xf numFmtId="0" fontId="14" fillId="0" borderId="8" xfId="2" applyFont="1" applyBorder="1" applyAlignment="1">
      <alignment horizontal="left" vertical="center"/>
    </xf>
    <xf numFmtId="0" fontId="8" fillId="0" borderId="8" xfId="0" applyFont="1" applyBorder="1"/>
    <xf numFmtId="0" fontId="14" fillId="0" borderId="7" xfId="2" applyFont="1" applyBorder="1" applyAlignment="1">
      <alignment horizontal="left" wrapText="1"/>
    </xf>
    <xf numFmtId="172" fontId="22" fillId="0" borderId="7" xfId="1" applyNumberFormat="1" applyFont="1" applyBorder="1"/>
    <xf numFmtId="0" fontId="14" fillId="0" borderId="9" xfId="2" applyFont="1" applyBorder="1" applyAlignment="1">
      <alignment horizontal="left" vertical="center"/>
    </xf>
    <xf numFmtId="172" fontId="22" fillId="0" borderId="9" xfId="1" applyNumberFormat="1" applyFont="1" applyBorder="1"/>
    <xf numFmtId="0" fontId="8" fillId="0" borderId="9" xfId="0" applyFont="1" applyBorder="1"/>
    <xf numFmtId="0" fontId="15" fillId="0" borderId="9" xfId="2" applyFont="1" applyBorder="1" applyAlignment="1">
      <alignment horizontal="left" vertical="center" wrapText="1" indent="2"/>
    </xf>
    <xf numFmtId="0" fontId="15" fillId="0" borderId="9" xfId="2" applyFont="1" applyBorder="1" applyAlignment="1">
      <alignment horizontal="left" vertical="center"/>
    </xf>
    <xf numFmtId="172" fontId="28" fillId="0" borderId="9" xfId="1" applyNumberFormat="1" applyFont="1" applyBorder="1"/>
    <xf numFmtId="0" fontId="9" fillId="0" borderId="9" xfId="0" applyFont="1" applyBorder="1"/>
    <xf numFmtId="0" fontId="15" fillId="0" borderId="9" xfId="2" applyFont="1" applyBorder="1" applyAlignment="1">
      <alignment horizontal="left" vertical="center" wrapText="1" indent="1"/>
    </xf>
    <xf numFmtId="0" fontId="15" fillId="0" borderId="7" xfId="2" applyFont="1" applyBorder="1" applyAlignment="1">
      <alignment horizontal="left" vertical="center" wrapText="1" indent="2"/>
    </xf>
    <xf numFmtId="0" fontId="15" fillId="0" borderId="7" xfId="2" applyFont="1" applyBorder="1" applyAlignment="1">
      <alignment horizontal="left" vertical="center"/>
    </xf>
    <xf numFmtId="172" fontId="28" fillId="0" borderId="7" xfId="1" applyNumberFormat="1" applyFont="1" applyBorder="1"/>
    <xf numFmtId="172" fontId="29" fillId="0" borderId="7" xfId="1" applyNumberFormat="1" applyFont="1" applyBorder="1"/>
    <xf numFmtId="172" fontId="15" fillId="0" borderId="4" xfId="1" applyNumberFormat="1" applyFont="1" applyBorder="1" applyAlignment="1">
      <alignment vertical="center" wrapText="1"/>
    </xf>
    <xf numFmtId="43" fontId="27" fillId="0" borderId="0" xfId="1" applyFont="1"/>
    <xf numFmtId="172" fontId="14" fillId="0" borderId="0" xfId="1" applyNumberFormat="1" applyFont="1" applyBorder="1" applyAlignment="1">
      <alignment horizontal="right" vertical="center" wrapText="1"/>
    </xf>
    <xf numFmtId="172" fontId="11" fillId="0" borderId="0" xfId="0" applyNumberFormat="1" applyFont="1"/>
    <xf numFmtId="172" fontId="28" fillId="0" borderId="9" xfId="0" applyNumberFormat="1" applyFont="1" applyBorder="1"/>
    <xf numFmtId="0" fontId="9" fillId="0" borderId="10" xfId="0" applyFont="1" applyBorder="1"/>
    <xf numFmtId="172" fontId="28" fillId="0" borderId="10" xfId="0" applyNumberFormat="1" applyFont="1" applyBorder="1"/>
    <xf numFmtId="0" fontId="14" fillId="0" borderId="8" xfId="2" applyFont="1" applyBorder="1" applyAlignment="1">
      <alignment horizontal="left" vertical="center" wrapText="1" indent="2"/>
    </xf>
    <xf numFmtId="172" fontId="22" fillId="0" borderId="8" xfId="0" applyNumberFormat="1" applyFont="1" applyBorder="1"/>
    <xf numFmtId="172" fontId="22" fillId="0" borderId="9" xfId="0" applyNumberFormat="1" applyFont="1" applyBorder="1"/>
    <xf numFmtId="0" fontId="15" fillId="0" borderId="8" xfId="2" applyFont="1" applyBorder="1" applyAlignment="1">
      <alignment horizontal="left" vertical="center" wrapText="1" indent="2"/>
    </xf>
    <xf numFmtId="172" fontId="28" fillId="0" borderId="8" xfId="0" applyNumberFormat="1" applyFont="1" applyBorder="1"/>
    <xf numFmtId="0" fontId="30" fillId="0" borderId="0" xfId="0" applyFont="1" applyAlignment="1">
      <alignment horizontal="left" indent="1"/>
    </xf>
    <xf numFmtId="0" fontId="15" fillId="0" borderId="10" xfId="2" applyFont="1" applyBorder="1" applyAlignment="1">
      <alignment horizontal="left" vertical="center" wrapText="1"/>
    </xf>
    <xf numFmtId="0" fontId="31" fillId="0" borderId="0" xfId="2" applyFont="1" applyAlignment="1">
      <alignment horizontal="left" vertical="center" wrapText="1" indent="1"/>
    </xf>
    <xf numFmtId="172" fontId="9" fillId="0" borderId="0" xfId="0" applyNumberFormat="1" applyFont="1"/>
    <xf numFmtId="172" fontId="15" fillId="0" borderId="5" xfId="1" applyNumberFormat="1" applyFont="1" applyBorder="1" applyAlignment="1">
      <alignment wrapText="1"/>
    </xf>
    <xf numFmtId="0" fontId="8" fillId="0" borderId="10" xfId="0" applyFont="1" applyBorder="1"/>
    <xf numFmtId="172" fontId="27" fillId="0" borderId="10" xfId="1" applyNumberFormat="1" applyFont="1" applyBorder="1"/>
    <xf numFmtId="172" fontId="8" fillId="0" borderId="8" xfId="0" applyNumberFormat="1" applyFont="1" applyBorder="1"/>
    <xf numFmtId="172" fontId="15" fillId="0" borderId="3" xfId="1" applyNumberFormat="1" applyFont="1" applyBorder="1" applyAlignment="1">
      <alignment vertical="center" wrapText="1"/>
    </xf>
    <xf numFmtId="0" fontId="14" fillId="0" borderId="8" xfId="2" applyFont="1" applyBorder="1" applyAlignment="1">
      <alignment horizontal="left" vertical="center" wrapText="1"/>
    </xf>
    <xf numFmtId="0" fontId="15" fillId="0" borderId="9" xfId="2" applyFont="1" applyBorder="1" applyAlignment="1">
      <alignment horizontal="left" vertical="center" indent="1"/>
    </xf>
    <xf numFmtId="172" fontId="9" fillId="0" borderId="9" xfId="0" applyNumberFormat="1" applyFont="1" applyBorder="1"/>
    <xf numFmtId="0" fontId="15" fillId="0" borderId="8" xfId="2" applyFont="1" applyBorder="1" applyAlignment="1">
      <alignment horizontal="left" vertical="center" wrapText="1" indent="1"/>
    </xf>
    <xf numFmtId="172" fontId="9" fillId="0" borderId="8" xfId="0" applyNumberFormat="1" applyFont="1" applyBorder="1"/>
    <xf numFmtId="0" fontId="12" fillId="8" borderId="0" xfId="0" applyFont="1" applyFill="1" applyAlignment="1">
      <alignment horizontal="right"/>
    </xf>
    <xf numFmtId="172" fontId="28" fillId="0" borderId="0" xfId="1" applyNumberFormat="1" applyFont="1" applyBorder="1"/>
    <xf numFmtId="172" fontId="10" fillId="0" borderId="0" xfId="0" applyNumberFormat="1" applyFont="1"/>
    <xf numFmtId="0" fontId="14" fillId="4" borderId="8" xfId="0" applyFont="1" applyFill="1" applyBorder="1" applyAlignment="1">
      <alignment horizontal="left" vertical="center"/>
    </xf>
    <xf numFmtId="0" fontId="20" fillId="5" borderId="8" xfId="0" applyFont="1" applyFill="1" applyBorder="1" applyAlignment="1">
      <alignment horizontal="left" vertical="center" wrapText="1"/>
    </xf>
    <xf numFmtId="0" fontId="20" fillId="5" borderId="8" xfId="0" applyFont="1" applyFill="1" applyBorder="1" applyAlignment="1">
      <alignment horizontal="left" vertical="center" wrapText="1" indent="1"/>
    </xf>
    <xf numFmtId="0" fontId="20" fillId="5" borderId="10" xfId="0" applyFont="1" applyFill="1" applyBorder="1" applyAlignment="1">
      <alignment horizontal="left" vertical="center" wrapText="1"/>
    </xf>
    <xf numFmtId="0" fontId="11" fillId="0" borderId="0" xfId="0" applyFont="1" applyAlignment="1">
      <alignment horizontal="centerContinuous"/>
    </xf>
    <xf numFmtId="0" fontId="9" fillId="3" borderId="0" xfId="0" applyFont="1" applyFill="1"/>
    <xf numFmtId="0" fontId="8" fillId="0" borderId="0" xfId="0" applyFont="1" applyAlignment="1">
      <alignment horizontal="left" indent="1"/>
    </xf>
    <xf numFmtId="0" fontId="8" fillId="0" borderId="0" xfId="0" applyFont="1" applyAlignment="1">
      <alignment horizontal="left" indent="2"/>
    </xf>
    <xf numFmtId="0" fontId="32" fillId="0" borderId="0" xfId="0" applyFont="1" applyAlignment="1">
      <alignment horizontal="left" indent="1"/>
    </xf>
    <xf numFmtId="173" fontId="33" fillId="0" borderId="0" xfId="9" applyNumberFormat="1" applyFont="1"/>
    <xf numFmtId="9" fontId="22" fillId="0" borderId="0" xfId="9" applyFont="1"/>
    <xf numFmtId="43" fontId="22" fillId="0" borderId="0" xfId="1" applyFont="1"/>
    <xf numFmtId="0" fontId="34" fillId="0" borderId="0" xfId="0" applyFont="1" applyAlignment="1">
      <alignment horizontal="left" indent="1"/>
    </xf>
    <xf numFmtId="0" fontId="34" fillId="0" borderId="0" xfId="0" applyFont="1"/>
    <xf numFmtId="43" fontId="34" fillId="0" borderId="0" xfId="1" applyFont="1"/>
    <xf numFmtId="173" fontId="34" fillId="0" borderId="0" xfId="9" applyNumberFormat="1" applyFont="1"/>
    <xf numFmtId="0" fontId="35" fillId="0" borderId="0" xfId="0" applyFont="1"/>
    <xf numFmtId="43" fontId="35" fillId="0" borderId="0" xfId="1" applyFont="1"/>
    <xf numFmtId="0" fontId="36" fillId="0" borderId="0" xfId="0" applyFont="1"/>
    <xf numFmtId="172" fontId="36" fillId="0" borderId="0" xfId="1" applyNumberFormat="1" applyFont="1" applyBorder="1"/>
    <xf numFmtId="0" fontId="22" fillId="0" borderId="0" xfId="0" applyFont="1"/>
    <xf numFmtId="0" fontId="34" fillId="0" borderId="0" xfId="0" applyFont="1" applyAlignment="1">
      <alignment horizontal="left" indent="2"/>
    </xf>
    <xf numFmtId="43" fontId="10" fillId="0" borderId="0" xfId="1" applyFont="1"/>
    <xf numFmtId="0" fontId="22" fillId="0" borderId="0" xfId="0" applyFont="1" applyAlignment="1">
      <alignment horizontal="left" indent="1"/>
    </xf>
    <xf numFmtId="0" fontId="22" fillId="0" borderId="0" xfId="0" applyFont="1" applyAlignment="1">
      <alignment horizontal="left"/>
    </xf>
    <xf numFmtId="0" fontId="28" fillId="0" borderId="0" xfId="0" applyFont="1" applyAlignment="1">
      <alignment horizontal="left"/>
    </xf>
    <xf numFmtId="0" fontId="38" fillId="0" borderId="0" xfId="0" applyFont="1"/>
    <xf numFmtId="173" fontId="38" fillId="0" borderId="0" xfId="9" applyNumberFormat="1" applyFont="1"/>
    <xf numFmtId="43" fontId="8" fillId="5" borderId="0" xfId="0" applyNumberFormat="1" applyFont="1" applyFill="1"/>
    <xf numFmtId="10" fontId="29" fillId="0" borderId="0" xfId="1" applyNumberFormat="1" applyFont="1"/>
    <xf numFmtId="173" fontId="27" fillId="0" borderId="0" xfId="9" applyNumberFormat="1" applyFont="1"/>
    <xf numFmtId="173" fontId="22" fillId="0" borderId="0" xfId="9" applyNumberFormat="1" applyFont="1"/>
    <xf numFmtId="172" fontId="38" fillId="0" borderId="0" xfId="1" applyNumberFormat="1" applyFont="1" applyBorder="1"/>
    <xf numFmtId="173" fontId="34" fillId="0" borderId="0" xfId="9" applyNumberFormat="1" applyFont="1" applyBorder="1"/>
    <xf numFmtId="173" fontId="38" fillId="0" borderId="0" xfId="9" applyNumberFormat="1" applyFont="1" applyBorder="1"/>
    <xf numFmtId="0" fontId="18" fillId="5" borderId="0" xfId="0" applyFont="1" applyFill="1" applyAlignment="1">
      <alignment horizontal="left"/>
    </xf>
    <xf numFmtId="173" fontId="10" fillId="0" borderId="0" xfId="0" applyNumberFormat="1" applyFont="1"/>
    <xf numFmtId="0" fontId="16" fillId="0" borderId="0" xfId="0" applyFont="1"/>
    <xf numFmtId="0" fontId="26" fillId="0" borderId="0" xfId="0" applyFont="1"/>
    <xf numFmtId="0" fontId="26" fillId="0" borderId="0" xfId="0" applyFont="1" applyAlignment="1">
      <alignment horizontal="right"/>
    </xf>
    <xf numFmtId="0" fontId="16" fillId="0" borderId="0" xfId="0" applyFont="1" applyAlignment="1">
      <alignment horizontal="right"/>
    </xf>
    <xf numFmtId="0" fontId="16" fillId="0" borderId="0" xfId="0" applyFont="1" applyAlignment="1">
      <alignment horizontal="left" indent="1"/>
    </xf>
    <xf numFmtId="0" fontId="26" fillId="0" borderId="0" xfId="0" applyFont="1" applyAlignment="1">
      <alignment horizontal="left"/>
    </xf>
    <xf numFmtId="172" fontId="25" fillId="0" borderId="0" xfId="1" applyNumberFormat="1" applyFont="1" applyFill="1" applyAlignment="1">
      <alignment horizontal="right"/>
    </xf>
    <xf numFmtId="172" fontId="16" fillId="0" borderId="0" xfId="0" applyNumberFormat="1" applyFont="1" applyAlignment="1">
      <alignment horizontal="right"/>
    </xf>
    <xf numFmtId="172" fontId="26" fillId="0" borderId="0" xfId="0" applyNumberFormat="1" applyFont="1" applyAlignment="1">
      <alignment horizontal="right"/>
    </xf>
    <xf numFmtId="172" fontId="27" fillId="0" borderId="0" xfId="9" applyNumberFormat="1" applyFont="1"/>
    <xf numFmtId="0" fontId="16" fillId="0" borderId="9" xfId="0" applyFont="1" applyBorder="1" applyAlignment="1">
      <alignment horizontal="right"/>
    </xf>
    <xf numFmtId="172" fontId="25" fillId="0" borderId="9" xfId="1" applyNumberFormat="1" applyFont="1" applyFill="1" applyBorder="1" applyAlignment="1">
      <alignment horizontal="right"/>
    </xf>
    <xf numFmtId="0" fontId="16" fillId="0" borderId="9" xfId="0" applyFont="1" applyBorder="1" applyAlignment="1">
      <alignment horizontal="left"/>
    </xf>
    <xf numFmtId="0" fontId="18" fillId="5" borderId="0" xfId="0" applyFont="1" applyFill="1" applyAlignment="1">
      <alignment horizontal="left" vertical="center" wrapText="1"/>
    </xf>
    <xf numFmtId="172" fontId="25" fillId="0" borderId="0" xfId="1" applyNumberFormat="1" applyFont="1" applyFill="1" applyBorder="1" applyAlignment="1">
      <alignment horizontal="right"/>
    </xf>
    <xf numFmtId="0" fontId="16" fillId="0" borderId="7" xfId="0" applyFont="1" applyBorder="1"/>
    <xf numFmtId="0" fontId="16" fillId="0" borderId="7" xfId="0" applyFont="1" applyBorder="1" applyAlignment="1">
      <alignment horizontal="right"/>
    </xf>
    <xf numFmtId="172" fontId="25" fillId="0" borderId="7" xfId="1" applyNumberFormat="1" applyFont="1" applyFill="1" applyBorder="1" applyAlignment="1">
      <alignment horizontal="right"/>
    </xf>
    <xf numFmtId="172" fontId="16" fillId="0" borderId="7" xfId="0" applyNumberFormat="1" applyFont="1" applyBorder="1" applyAlignment="1">
      <alignment horizontal="right"/>
    </xf>
    <xf numFmtId="172" fontId="16" fillId="0" borderId="0" xfId="1" applyNumberFormat="1" applyFont="1" applyFill="1" applyBorder="1" applyAlignment="1">
      <alignment horizontal="right"/>
    </xf>
    <xf numFmtId="172" fontId="22" fillId="5" borderId="0" xfId="1" applyNumberFormat="1" applyFont="1" applyFill="1" applyBorder="1" applyAlignment="1">
      <alignment vertical="center" wrapText="1"/>
    </xf>
    <xf numFmtId="172" fontId="22" fillId="5" borderId="6" xfId="1" applyNumberFormat="1" applyFont="1" applyFill="1" applyBorder="1" applyAlignment="1">
      <alignment wrapText="1"/>
    </xf>
    <xf numFmtId="0" fontId="22" fillId="5" borderId="0" xfId="0" applyFont="1" applyFill="1"/>
    <xf numFmtId="0" fontId="22" fillId="5" borderId="1" xfId="0" applyFont="1" applyFill="1" applyBorder="1" applyAlignment="1">
      <alignment horizontal="right" vertical="center" wrapText="1"/>
    </xf>
    <xf numFmtId="172" fontId="28" fillId="5" borderId="1" xfId="0" applyNumberFormat="1" applyFont="1" applyFill="1" applyBorder="1" applyAlignment="1">
      <alignment horizontal="center" wrapText="1"/>
    </xf>
    <xf numFmtId="0" fontId="22" fillId="5" borderId="1" xfId="0" applyFont="1" applyFill="1" applyBorder="1" applyAlignment="1">
      <alignment horizontal="right" wrapText="1"/>
    </xf>
    <xf numFmtId="0" fontId="16" fillId="3" borderId="1" xfId="0" applyFont="1" applyFill="1" applyBorder="1" applyAlignment="1">
      <alignment horizontal="right" wrapText="1"/>
    </xf>
    <xf numFmtId="172" fontId="16" fillId="4" borderId="0" xfId="1" applyNumberFormat="1" applyFont="1" applyFill="1" applyBorder="1" applyAlignment="1">
      <alignment horizontal="right" wrapText="1"/>
    </xf>
    <xf numFmtId="172" fontId="16" fillId="4" borderId="0" xfId="1" applyNumberFormat="1" applyFont="1" applyFill="1" applyAlignment="1">
      <alignment horizontal="right"/>
    </xf>
    <xf numFmtId="172" fontId="16" fillId="4" borderId="0" xfId="1" applyNumberFormat="1" applyFont="1" applyFill="1" applyAlignment="1">
      <alignment horizontal="right" vertical="center" wrapText="1"/>
    </xf>
    <xf numFmtId="172" fontId="16" fillId="4" borderId="0" xfId="1" applyNumberFormat="1" applyFont="1" applyFill="1" applyBorder="1" applyAlignment="1">
      <alignment horizontal="right" vertical="center" wrapText="1"/>
    </xf>
    <xf numFmtId="172" fontId="16" fillId="4" borderId="6" xfId="1" applyNumberFormat="1" applyFont="1" applyFill="1" applyBorder="1" applyAlignment="1">
      <alignment horizontal="right" vertical="center" wrapText="1"/>
    </xf>
    <xf numFmtId="0" fontId="16" fillId="4" borderId="0" xfId="0" applyFont="1" applyFill="1"/>
    <xf numFmtId="43" fontId="16" fillId="4" borderId="0" xfId="1" applyFont="1" applyFill="1" applyAlignment="1">
      <alignment wrapText="1"/>
    </xf>
    <xf numFmtId="172" fontId="16" fillId="0" borderId="0" xfId="1" applyNumberFormat="1" applyFont="1" applyAlignment="1">
      <alignment vertical="center" wrapText="1"/>
    </xf>
    <xf numFmtId="172" fontId="16" fillId="0" borderId="10" xfId="1" applyNumberFormat="1" applyFont="1" applyBorder="1" applyAlignment="1">
      <alignment vertical="center" wrapText="1"/>
    </xf>
    <xf numFmtId="9" fontId="34" fillId="0" borderId="0" xfId="9" applyFont="1"/>
    <xf numFmtId="172" fontId="22" fillId="0" borderId="10" xfId="1" applyNumberFormat="1" applyFont="1" applyBorder="1"/>
    <xf numFmtId="10" fontId="27" fillId="0" borderId="0" xfId="1" applyNumberFormat="1" applyFont="1"/>
    <xf numFmtId="9" fontId="10" fillId="0" borderId="0" xfId="0" applyNumberFormat="1" applyFont="1"/>
    <xf numFmtId="9" fontId="10" fillId="0" borderId="0" xfId="9" applyFont="1"/>
    <xf numFmtId="43" fontId="8" fillId="0" borderId="0" xfId="9" applyNumberFormat="1" applyFont="1"/>
    <xf numFmtId="43" fontId="27" fillId="0" borderId="0" xfId="9" applyNumberFormat="1" applyFont="1"/>
    <xf numFmtId="172" fontId="8" fillId="0" borderId="0" xfId="9" applyNumberFormat="1" applyFont="1"/>
    <xf numFmtId="164" fontId="39" fillId="0" borderId="1" xfId="2" applyNumberFormat="1" applyFont="1" applyBorder="1" applyAlignment="1">
      <alignment vertical="center" wrapText="1"/>
    </xf>
    <xf numFmtId="165" fontId="39" fillId="0" borderId="0" xfId="2" applyNumberFormat="1" applyFont="1" applyAlignment="1">
      <alignment vertical="center" wrapText="1"/>
    </xf>
    <xf numFmtId="165" fontId="40" fillId="0" borderId="0" xfId="2" applyNumberFormat="1" applyFont="1" applyAlignment="1">
      <alignment vertical="center" wrapText="1"/>
    </xf>
    <xf numFmtId="172" fontId="16" fillId="0" borderId="2" xfId="1" applyNumberFormat="1" applyFont="1" applyBorder="1" applyAlignment="1">
      <alignment vertical="center" wrapText="1"/>
    </xf>
    <xf numFmtId="0" fontId="8" fillId="7" borderId="0" xfId="0" applyFont="1" applyFill="1"/>
    <xf numFmtId="0" fontId="9" fillId="5" borderId="0" xfId="0" applyFont="1" applyFill="1"/>
    <xf numFmtId="172" fontId="10" fillId="5" borderId="0" xfId="1" applyNumberFormat="1" applyFont="1" applyFill="1"/>
    <xf numFmtId="0" fontId="18" fillId="5" borderId="1" xfId="0" applyFont="1" applyFill="1" applyBorder="1" applyAlignment="1">
      <alignment horizontal="right" vertical="center" wrapText="1"/>
    </xf>
    <xf numFmtId="172" fontId="18" fillId="5" borderId="1" xfId="0" applyNumberFormat="1" applyFont="1" applyFill="1" applyBorder="1" applyAlignment="1">
      <alignment horizontal="right" vertical="center" wrapText="1"/>
    </xf>
    <xf numFmtId="0" fontId="28" fillId="5" borderId="1" xfId="0" applyFont="1" applyFill="1" applyBorder="1" applyAlignment="1">
      <alignment horizontal="right" vertical="center" wrapText="1"/>
    </xf>
    <xf numFmtId="172" fontId="24" fillId="0" borderId="4" xfId="1" applyNumberFormat="1" applyFont="1" applyBorder="1" applyAlignment="1">
      <alignment vertical="center" wrapText="1"/>
    </xf>
    <xf numFmtId="172" fontId="16" fillId="0" borderId="0" xfId="1" applyNumberFormat="1" applyFont="1" applyBorder="1" applyAlignment="1">
      <alignment vertical="center" wrapText="1"/>
    </xf>
    <xf numFmtId="0" fontId="14" fillId="4" borderId="7" xfId="0" applyFont="1" applyFill="1" applyBorder="1" applyAlignment="1">
      <alignment horizontal="left" wrapText="1"/>
    </xf>
    <xf numFmtId="172" fontId="25" fillId="4" borderId="7" xfId="1" applyNumberFormat="1" applyFont="1" applyFill="1" applyBorder="1" applyAlignment="1">
      <alignment horizontal="right" wrapText="1"/>
    </xf>
    <xf numFmtId="172" fontId="25" fillId="4" borderId="0" xfId="1" applyNumberFormat="1" applyFont="1" applyFill="1" applyBorder="1" applyAlignment="1">
      <alignment horizontal="right" wrapText="1"/>
    </xf>
    <xf numFmtId="172" fontId="23" fillId="9" borderId="0" xfId="1" applyNumberFormat="1" applyFont="1" applyFill="1" applyBorder="1" applyAlignment="1">
      <alignment horizontal="right" wrapText="1"/>
    </xf>
    <xf numFmtId="172" fontId="16" fillId="9" borderId="0" xfId="1" applyNumberFormat="1" applyFont="1" applyFill="1" applyBorder="1" applyAlignment="1">
      <alignment horizontal="right" vertical="center" wrapText="1"/>
    </xf>
    <xf numFmtId="172" fontId="10" fillId="9" borderId="0" xfId="1" applyNumberFormat="1" applyFont="1" applyFill="1" applyAlignment="1">
      <alignment vertical="center" wrapText="1"/>
    </xf>
    <xf numFmtId="172" fontId="10" fillId="9" borderId="0" xfId="1" applyNumberFormat="1" applyFont="1" applyFill="1" applyBorder="1" applyAlignment="1">
      <alignment vertical="center" wrapText="1"/>
    </xf>
    <xf numFmtId="10" fontId="10" fillId="9" borderId="0" xfId="9" applyNumberFormat="1" applyFont="1" applyFill="1" applyAlignment="1">
      <alignment horizontal="right" vertical="center" wrapText="1"/>
    </xf>
    <xf numFmtId="172" fontId="10" fillId="9" borderId="0" xfId="1" applyNumberFormat="1" applyFont="1" applyFill="1"/>
    <xf numFmtId="173" fontId="10" fillId="9" borderId="0" xfId="9" applyNumberFormat="1" applyFont="1" applyFill="1" applyAlignment="1">
      <alignment horizontal="right" vertical="center" wrapText="1"/>
    </xf>
    <xf numFmtId="172" fontId="22" fillId="9" borderId="0" xfId="1" applyNumberFormat="1" applyFont="1" applyFill="1" applyAlignment="1">
      <alignment vertical="center" wrapText="1"/>
    </xf>
    <xf numFmtId="172" fontId="10" fillId="9" borderId="0" xfId="1" applyNumberFormat="1" applyFont="1" applyFill="1" applyAlignment="1">
      <alignment horizontal="right" vertical="center" wrapText="1"/>
    </xf>
    <xf numFmtId="43" fontId="10" fillId="9" borderId="0" xfId="1" applyFont="1" applyFill="1" applyAlignment="1">
      <alignment horizontal="right" vertical="center" wrapText="1"/>
    </xf>
    <xf numFmtId="172" fontId="23" fillId="9" borderId="0" xfId="1" applyNumberFormat="1" applyFont="1" applyFill="1" applyAlignment="1">
      <alignment horizontal="right" vertical="center" wrapText="1"/>
    </xf>
    <xf numFmtId="172" fontId="23" fillId="9" borderId="0" xfId="1" applyNumberFormat="1" applyFont="1" applyFill="1" applyBorder="1" applyAlignment="1">
      <alignment horizontal="right" vertical="center" wrapText="1"/>
    </xf>
    <xf numFmtId="172" fontId="16" fillId="9" borderId="4" xfId="1" applyNumberFormat="1" applyFont="1" applyFill="1" applyBorder="1" applyAlignment="1">
      <alignment horizontal="right" vertical="center" wrapText="1"/>
    </xf>
    <xf numFmtId="172" fontId="25" fillId="9" borderId="0" xfId="1" applyNumberFormat="1" applyFont="1" applyFill="1" applyAlignment="1">
      <alignment horizontal="right" wrapText="1"/>
    </xf>
    <xf numFmtId="9" fontId="14" fillId="9" borderId="0" xfId="9" applyFont="1" applyFill="1" applyAlignment="1">
      <alignment horizontal="right" vertical="center" wrapText="1"/>
    </xf>
    <xf numFmtId="170" fontId="23" fillId="9" borderId="0" xfId="0" applyNumberFormat="1" applyFont="1" applyFill="1" applyAlignment="1">
      <alignment horizontal="right" vertical="center" wrapText="1"/>
    </xf>
    <xf numFmtId="172" fontId="25" fillId="9" borderId="0" xfId="1" applyNumberFormat="1" applyFont="1" applyFill="1" applyAlignment="1">
      <alignment wrapText="1"/>
    </xf>
    <xf numFmtId="172" fontId="15" fillId="9" borderId="7" xfId="1" applyNumberFormat="1" applyFont="1" applyFill="1" applyBorder="1" applyAlignment="1">
      <alignment wrapText="1"/>
    </xf>
    <xf numFmtId="0" fontId="11" fillId="10" borderId="0" xfId="0" applyFont="1" applyFill="1" applyAlignment="1">
      <alignment horizontal="centerContinuous"/>
    </xf>
    <xf numFmtId="0" fontId="11" fillId="11" borderId="0" xfId="0" applyFont="1" applyFill="1" applyAlignment="1">
      <alignment horizontal="centerContinuous"/>
    </xf>
    <xf numFmtId="172" fontId="14" fillId="11" borderId="3" xfId="1" applyNumberFormat="1" applyFont="1" applyFill="1" applyBorder="1" applyAlignment="1">
      <alignment vertical="center" wrapText="1"/>
    </xf>
    <xf numFmtId="172" fontId="15" fillId="11" borderId="5" xfId="1" applyNumberFormat="1" applyFont="1" applyFill="1" applyBorder="1" applyAlignment="1">
      <alignment vertical="center" wrapText="1"/>
    </xf>
    <xf numFmtId="0" fontId="14" fillId="11" borderId="6" xfId="2" applyFont="1" applyFill="1" applyBorder="1" applyAlignment="1">
      <alignment horizontal="right" vertical="center" wrapText="1"/>
    </xf>
    <xf numFmtId="0" fontId="16" fillId="11" borderId="0" xfId="2" applyFont="1" applyFill="1"/>
    <xf numFmtId="172" fontId="14" fillId="11" borderId="3" xfId="1" applyNumberFormat="1" applyFont="1" applyFill="1" applyBorder="1" applyAlignment="1">
      <alignment wrapText="1"/>
    </xf>
    <xf numFmtId="0" fontId="14" fillId="11" borderId="4" xfId="2" applyFont="1" applyFill="1" applyBorder="1" applyAlignment="1">
      <alignment horizontal="right" vertical="center" wrapText="1"/>
    </xf>
    <xf numFmtId="172" fontId="11" fillId="11" borderId="0" xfId="0" applyNumberFormat="1" applyFont="1" applyFill="1"/>
    <xf numFmtId="172" fontId="14" fillId="11" borderId="0" xfId="1" applyNumberFormat="1" applyFont="1" applyFill="1" applyAlignment="1">
      <alignment vertical="center" wrapText="1"/>
    </xf>
    <xf numFmtId="172" fontId="15" fillId="11" borderId="3" xfId="1" applyNumberFormat="1" applyFont="1" applyFill="1" applyBorder="1" applyAlignment="1">
      <alignment vertical="center" wrapText="1"/>
    </xf>
    <xf numFmtId="172" fontId="14" fillId="11" borderId="4" xfId="1" applyNumberFormat="1" applyFont="1" applyFill="1" applyBorder="1" applyAlignment="1">
      <alignment vertical="center" wrapText="1"/>
    </xf>
    <xf numFmtId="172" fontId="14" fillId="11" borderId="5" xfId="1" applyNumberFormat="1" applyFont="1" applyFill="1" applyBorder="1" applyAlignment="1">
      <alignment vertical="center" wrapText="1"/>
    </xf>
    <xf numFmtId="172" fontId="14" fillId="11" borderId="0" xfId="1" applyNumberFormat="1" applyFont="1" applyFill="1" applyBorder="1" applyAlignment="1">
      <alignment vertical="center" wrapText="1"/>
    </xf>
    <xf numFmtId="0" fontId="11" fillId="11" borderId="0" xfId="0" applyFont="1" applyFill="1"/>
    <xf numFmtId="172" fontId="14" fillId="11" borderId="1" xfId="1" applyNumberFormat="1" applyFont="1" applyFill="1" applyBorder="1" applyAlignment="1">
      <alignment vertical="center" wrapText="1"/>
    </xf>
    <xf numFmtId="172" fontId="14" fillId="11" borderId="2" xfId="1" applyNumberFormat="1" applyFont="1" applyFill="1" applyBorder="1" applyAlignment="1">
      <alignment vertical="center" wrapText="1"/>
    </xf>
    <xf numFmtId="172" fontId="15" fillId="11" borderId="5" xfId="1" applyNumberFormat="1" applyFont="1" applyFill="1" applyBorder="1" applyAlignment="1">
      <alignment wrapText="1"/>
    </xf>
    <xf numFmtId="171" fontId="14" fillId="11" borderId="6" xfId="2" applyNumberFormat="1" applyFont="1" applyFill="1" applyBorder="1" applyAlignment="1">
      <alignment horizontal="right" wrapText="1"/>
    </xf>
    <xf numFmtId="171" fontId="14" fillId="11" borderId="0" xfId="2" applyNumberFormat="1" applyFont="1" applyFill="1" applyAlignment="1">
      <alignment horizontal="right" wrapText="1"/>
    </xf>
    <xf numFmtId="172" fontId="23" fillId="11" borderId="2" xfId="1" applyNumberFormat="1" applyFont="1" applyFill="1" applyBorder="1" applyAlignment="1">
      <alignment vertical="center" wrapText="1"/>
    </xf>
    <xf numFmtId="172" fontId="23" fillId="11" borderId="0" xfId="1" applyNumberFormat="1" applyFont="1" applyFill="1" applyAlignment="1">
      <alignment vertical="center" wrapText="1"/>
    </xf>
    <xf numFmtId="172" fontId="23" fillId="11" borderId="0" xfId="1" applyNumberFormat="1" applyFont="1" applyFill="1"/>
    <xf numFmtId="0" fontId="13" fillId="10" borderId="0" xfId="0" applyFont="1" applyFill="1" applyAlignment="1">
      <alignment horizontal="centerContinuous"/>
    </xf>
    <xf numFmtId="0" fontId="13" fillId="11" borderId="0" xfId="0" applyFont="1" applyFill="1" applyAlignment="1">
      <alignment horizontal="centerContinuous"/>
    </xf>
    <xf numFmtId="0" fontId="8" fillId="9" borderId="0" xfId="0" applyFont="1" applyFill="1"/>
    <xf numFmtId="172" fontId="27" fillId="9" borderId="0" xfId="1" applyNumberFormat="1" applyFont="1" applyFill="1"/>
    <xf numFmtId="172" fontId="22" fillId="9" borderId="9" xfId="0" applyNumberFormat="1" applyFont="1" applyFill="1" applyBorder="1"/>
    <xf numFmtId="172" fontId="28" fillId="9" borderId="8" xfId="0" applyNumberFormat="1" applyFont="1" applyFill="1" applyBorder="1"/>
    <xf numFmtId="172" fontId="22" fillId="9" borderId="8" xfId="0" applyNumberFormat="1" applyFont="1" applyFill="1" applyBorder="1"/>
    <xf numFmtId="172" fontId="28" fillId="9" borderId="10" xfId="0" applyNumberFormat="1" applyFont="1" applyFill="1" applyBorder="1"/>
    <xf numFmtId="172" fontId="11" fillId="9" borderId="0" xfId="0" applyNumberFormat="1" applyFont="1" applyFill="1"/>
    <xf numFmtId="172" fontId="28" fillId="9" borderId="9" xfId="0" applyNumberFormat="1" applyFont="1" applyFill="1" applyBorder="1"/>
    <xf numFmtId="172" fontId="9" fillId="9" borderId="9" xfId="0" applyNumberFormat="1" applyFont="1" applyFill="1" applyBorder="1"/>
    <xf numFmtId="172" fontId="8" fillId="9" borderId="0" xfId="0" applyNumberFormat="1" applyFont="1" applyFill="1"/>
    <xf numFmtId="172" fontId="27" fillId="9" borderId="0" xfId="0" applyNumberFormat="1" applyFont="1" applyFill="1"/>
    <xf numFmtId="172" fontId="8" fillId="9" borderId="8" xfId="0" applyNumberFormat="1" applyFont="1" applyFill="1" applyBorder="1"/>
    <xf numFmtId="172" fontId="22" fillId="9" borderId="0" xfId="0" applyNumberFormat="1" applyFont="1" applyFill="1"/>
    <xf numFmtId="172" fontId="9" fillId="9" borderId="8" xfId="0" applyNumberFormat="1" applyFont="1" applyFill="1" applyBorder="1"/>
    <xf numFmtId="173" fontId="8" fillId="9" borderId="0" xfId="9" applyNumberFormat="1" applyFont="1" applyFill="1"/>
    <xf numFmtId="0" fontId="7" fillId="2" borderId="0" xfId="0" applyFont="1" applyFill="1" applyAlignment="1">
      <alignment horizontal="right"/>
    </xf>
    <xf numFmtId="0" fontId="43" fillId="0" borderId="0" xfId="10" applyFont="1" applyAlignment="1">
      <alignment horizontal="left"/>
    </xf>
    <xf numFmtId="0" fontId="44" fillId="0" borderId="0" xfId="10" applyFont="1"/>
    <xf numFmtId="0" fontId="45" fillId="0" borderId="0" xfId="10" applyFont="1"/>
    <xf numFmtId="0" fontId="1" fillId="0" borderId="0" xfId="11"/>
    <xf numFmtId="0" fontId="42" fillId="0" borderId="0" xfId="10"/>
    <xf numFmtId="0" fontId="46" fillId="0" borderId="0" xfId="10" applyFont="1"/>
    <xf numFmtId="0" fontId="47" fillId="0" borderId="0" xfId="10" applyFont="1" applyAlignment="1">
      <alignment horizontal="left" vertical="top"/>
    </xf>
    <xf numFmtId="0" fontId="48" fillId="12" borderId="0" xfId="10" applyFont="1" applyFill="1" applyAlignment="1">
      <alignment horizontal="left"/>
    </xf>
    <xf numFmtId="0" fontId="49" fillId="12" borderId="11" xfId="10" applyFont="1" applyFill="1" applyBorder="1" applyAlignment="1">
      <alignment horizontal="left"/>
    </xf>
    <xf numFmtId="0" fontId="50" fillId="12" borderId="0" xfId="10" applyFont="1" applyFill="1" applyAlignment="1">
      <alignment horizontal="left"/>
    </xf>
    <xf numFmtId="0" fontId="51" fillId="13" borderId="0" xfId="10" applyFont="1" applyFill="1" applyAlignment="1">
      <alignment horizontal="left"/>
    </xf>
    <xf numFmtId="0" fontId="52" fillId="13" borderId="0" xfId="10" applyFont="1" applyFill="1" applyAlignment="1">
      <alignment horizontal="left"/>
    </xf>
    <xf numFmtId="4" fontId="53" fillId="13" borderId="12" xfId="10" applyNumberFormat="1" applyFont="1" applyFill="1" applyBorder="1" applyAlignment="1">
      <alignment horizontal="right"/>
    </xf>
    <xf numFmtId="0" fontId="51" fillId="13" borderId="0" xfId="10" applyFont="1" applyFill="1"/>
    <xf numFmtId="4" fontId="54" fillId="14" borderId="11" xfId="10" applyNumberFormat="1" applyFont="1" applyFill="1" applyBorder="1" applyAlignment="1">
      <alignment horizontal="right"/>
    </xf>
    <xf numFmtId="175" fontId="53" fillId="13" borderId="12" xfId="10" applyNumberFormat="1" applyFont="1" applyFill="1" applyBorder="1" applyAlignment="1">
      <alignment horizontal="right"/>
    </xf>
    <xf numFmtId="0" fontId="49" fillId="12" borderId="0" xfId="10" applyFont="1" applyFill="1" applyAlignment="1">
      <alignment horizontal="left"/>
    </xf>
    <xf numFmtId="0" fontId="55" fillId="12" borderId="0" xfId="10" applyFont="1" applyFill="1" applyAlignment="1">
      <alignment horizontal="left"/>
    </xf>
    <xf numFmtId="0" fontId="56" fillId="13" borderId="0" xfId="10" applyFont="1" applyFill="1" applyAlignment="1">
      <alignment horizontal="left"/>
    </xf>
    <xf numFmtId="4" fontId="53" fillId="13" borderId="13" xfId="10" applyNumberFormat="1" applyFont="1" applyFill="1" applyBorder="1" applyAlignment="1">
      <alignment horizontal="right"/>
    </xf>
    <xf numFmtId="4" fontId="54" fillId="0" borderId="0" xfId="10" applyNumberFormat="1" applyFont="1" applyAlignment="1">
      <alignment horizontal="right"/>
    </xf>
    <xf numFmtId="4" fontId="57" fillId="13" borderId="11" xfId="10" applyNumberFormat="1" applyFont="1" applyFill="1" applyBorder="1" applyAlignment="1">
      <alignment horizontal="right"/>
    </xf>
    <xf numFmtId="0" fontId="58" fillId="13" borderId="0" xfId="10" applyFont="1" applyFill="1"/>
    <xf numFmtId="0" fontId="59" fillId="0" borderId="0" xfId="10" applyFont="1" applyAlignment="1">
      <alignment horizontal="left"/>
    </xf>
    <xf numFmtId="0" fontId="60" fillId="0" borderId="0" xfId="11" applyFont="1"/>
    <xf numFmtId="0" fontId="61" fillId="0" borderId="0" xfId="11" applyFont="1" applyAlignment="1">
      <alignment horizontal="center"/>
    </xf>
    <xf numFmtId="0" fontId="62" fillId="15" borderId="0" xfId="11" applyFont="1" applyFill="1"/>
    <xf numFmtId="0" fontId="63" fillId="9" borderId="0" xfId="10" applyFont="1" applyFill="1" applyAlignment="1">
      <alignment horizontal="left"/>
    </xf>
    <xf numFmtId="4" fontId="64" fillId="13" borderId="0" xfId="10" applyNumberFormat="1" applyFont="1" applyFill="1" applyAlignment="1">
      <alignment horizontal="right"/>
    </xf>
    <xf numFmtId="2" fontId="45" fillId="0" borderId="0" xfId="10" applyNumberFormat="1" applyFont="1"/>
    <xf numFmtId="0" fontId="51" fillId="0" borderId="0" xfId="10" applyFont="1" applyAlignment="1">
      <alignment horizontal="left"/>
    </xf>
    <xf numFmtId="0" fontId="63" fillId="0" borderId="0" xfId="10" applyFont="1" applyAlignment="1">
      <alignment horizontal="left"/>
    </xf>
    <xf numFmtId="2" fontId="65" fillId="0" borderId="0" xfId="10" applyNumberFormat="1" applyFont="1" applyAlignment="1">
      <alignment horizontal="right"/>
    </xf>
    <xf numFmtId="176" fontId="65" fillId="0" borderId="0" xfId="11" applyNumberFormat="1" applyFont="1" applyAlignment="1">
      <alignment horizontal="right"/>
    </xf>
    <xf numFmtId="0" fontId="66" fillId="13" borderId="0" xfId="10" applyFont="1" applyFill="1" applyAlignment="1">
      <alignment horizontal="right" indent="1"/>
    </xf>
    <xf numFmtId="0" fontId="67" fillId="13" borderId="0" xfId="10" applyFont="1" applyFill="1" applyAlignment="1">
      <alignment horizontal="right" indent="1"/>
    </xf>
    <xf numFmtId="0" fontId="67" fillId="13" borderId="0" xfId="10" applyFont="1" applyFill="1"/>
    <xf numFmtId="4" fontId="57" fillId="13" borderId="0" xfId="10" applyNumberFormat="1" applyFont="1" applyFill="1" applyAlignment="1">
      <alignment horizontal="right"/>
    </xf>
    <xf numFmtId="0" fontId="62" fillId="15" borderId="4" xfId="11" applyFont="1" applyFill="1" applyBorder="1"/>
    <xf numFmtId="0" fontId="51" fillId="13" borderId="4" xfId="10" applyFont="1" applyFill="1" applyBorder="1" applyAlignment="1">
      <alignment horizontal="left"/>
    </xf>
    <xf numFmtId="0" fontId="63" fillId="9" borderId="4" xfId="10" applyFont="1" applyFill="1" applyBorder="1" applyAlignment="1">
      <alignment horizontal="left"/>
    </xf>
    <xf numFmtId="4" fontId="64" fillId="13" borderId="4" xfId="10" applyNumberFormat="1" applyFont="1" applyFill="1" applyBorder="1" applyAlignment="1">
      <alignment horizontal="right"/>
    </xf>
    <xf numFmtId="4" fontId="65" fillId="0" borderId="0" xfId="11" applyNumberFormat="1" applyFont="1" applyAlignment="1">
      <alignment horizontal="right"/>
    </xf>
    <xf numFmtId="0" fontId="62" fillId="16" borderId="4" xfId="11" applyFont="1" applyFill="1" applyBorder="1"/>
    <xf numFmtId="0" fontId="51" fillId="0" borderId="4" xfId="10" applyFont="1" applyBorder="1" applyAlignment="1">
      <alignment horizontal="left"/>
    </xf>
    <xf numFmtId="0" fontId="59" fillId="0" borderId="4" xfId="10" applyFont="1" applyBorder="1" applyAlignment="1">
      <alignment horizontal="left"/>
    </xf>
    <xf numFmtId="0" fontId="63" fillId="0" borderId="4" xfId="10" applyFont="1" applyBorder="1" applyAlignment="1">
      <alignment horizontal="left"/>
    </xf>
    <xf numFmtId="172" fontId="65" fillId="0" borderId="7" xfId="1" applyNumberFormat="1" applyFont="1" applyBorder="1" applyAlignment="1">
      <alignment horizontal="right"/>
    </xf>
    <xf numFmtId="0" fontId="65" fillId="0" borderId="4" xfId="11" quotePrefix="1" applyFont="1" applyBorder="1" applyAlignment="1">
      <alignment horizontal="right"/>
    </xf>
    <xf numFmtId="0" fontId="62" fillId="16" borderId="0" xfId="11" applyFont="1" applyFill="1"/>
    <xf numFmtId="0" fontId="67" fillId="13" borderId="0" xfId="10" applyFont="1" applyFill="1" applyAlignment="1">
      <alignment horizontal="left"/>
    </xf>
    <xf numFmtId="172" fontId="65" fillId="0" borderId="0" xfId="1" applyNumberFormat="1" applyFont="1" applyAlignment="1">
      <alignment horizontal="right"/>
    </xf>
    <xf numFmtId="0" fontId="65" fillId="0" borderId="0" xfId="11" applyFont="1" applyAlignment="1">
      <alignment horizontal="right"/>
    </xf>
    <xf numFmtId="0" fontId="68" fillId="0" borderId="0" xfId="10" applyFont="1"/>
    <xf numFmtId="0" fontId="69" fillId="16" borderId="0" xfId="11" applyFont="1" applyFill="1"/>
    <xf numFmtId="0" fontId="70" fillId="16" borderId="0" xfId="11" applyFont="1" applyFill="1"/>
    <xf numFmtId="0" fontId="41" fillId="17" borderId="4" xfId="11" applyFont="1" applyFill="1" applyBorder="1"/>
    <xf numFmtId="0" fontId="65" fillId="0" borderId="4" xfId="11" applyFont="1" applyBorder="1" applyAlignment="1">
      <alignment horizontal="right"/>
    </xf>
    <xf numFmtId="0" fontId="41" fillId="17" borderId="0" xfId="11" applyFont="1" applyFill="1"/>
    <xf numFmtId="172" fontId="65" fillId="0" borderId="0" xfId="11" applyNumberFormat="1" applyFont="1" applyAlignment="1">
      <alignment horizontal="right"/>
    </xf>
    <xf numFmtId="0" fontId="41" fillId="18" borderId="4" xfId="11" applyFont="1" applyFill="1" applyBorder="1"/>
    <xf numFmtId="0" fontId="1" fillId="18" borderId="0" xfId="10" applyFont="1" applyFill="1"/>
    <xf numFmtId="0" fontId="41" fillId="19" borderId="4" xfId="11" applyFont="1" applyFill="1" applyBorder="1"/>
    <xf numFmtId="172" fontId="65" fillId="0" borderId="4" xfId="11" applyNumberFormat="1" applyFont="1" applyBorder="1" applyAlignment="1">
      <alignment horizontal="right"/>
    </xf>
    <xf numFmtId="0" fontId="41" fillId="19" borderId="0" xfId="11" applyFont="1" applyFill="1"/>
    <xf numFmtId="9" fontId="65" fillId="0" borderId="0" xfId="9" applyFont="1" applyAlignment="1">
      <alignment horizontal="right"/>
    </xf>
    <xf numFmtId="0" fontId="41" fillId="20" borderId="4" xfId="10" applyFont="1" applyFill="1" applyBorder="1"/>
    <xf numFmtId="0" fontId="1" fillId="20" borderId="0" xfId="10" applyFont="1" applyFill="1"/>
    <xf numFmtId="0" fontId="41" fillId="21" borderId="4" xfId="10" applyFont="1" applyFill="1" applyBorder="1"/>
    <xf numFmtId="0" fontId="1" fillId="21" borderId="0" xfId="10" applyFont="1" applyFill="1"/>
    <xf numFmtId="0" fontId="66" fillId="13" borderId="10" xfId="10" applyFont="1" applyFill="1" applyBorder="1" applyAlignment="1">
      <alignment horizontal="right" indent="1"/>
    </xf>
    <xf numFmtId="0" fontId="67" fillId="13" borderId="10" xfId="10" applyFont="1" applyFill="1" applyBorder="1" applyAlignment="1">
      <alignment horizontal="right" indent="1"/>
    </xf>
    <xf numFmtId="0" fontId="67" fillId="13" borderId="10" xfId="10" applyFont="1" applyFill="1" applyBorder="1" applyAlignment="1">
      <alignment horizontal="left"/>
    </xf>
    <xf numFmtId="4" fontId="57" fillId="13" borderId="10" xfId="10" applyNumberFormat="1" applyFont="1" applyFill="1" applyBorder="1" applyAlignment="1">
      <alignment horizontal="right"/>
    </xf>
    <xf numFmtId="0" fontId="41" fillId="22" borderId="4" xfId="10" applyFont="1" applyFill="1" applyBorder="1"/>
    <xf numFmtId="0" fontId="1" fillId="22" borderId="0" xfId="10" applyFont="1" applyFill="1"/>
    <xf numFmtId="0" fontId="41" fillId="18" borderId="0" xfId="10" applyFont="1" applyFill="1"/>
    <xf numFmtId="172" fontId="45" fillId="0" borderId="0" xfId="11" applyNumberFormat="1" applyFont="1"/>
    <xf numFmtId="0" fontId="45" fillId="0" borderId="0" xfId="11" applyFont="1"/>
    <xf numFmtId="4" fontId="71" fillId="13" borderId="0" xfId="10" applyNumberFormat="1" applyFont="1" applyFill="1" applyAlignment="1">
      <alignment horizontal="right"/>
    </xf>
    <xf numFmtId="172" fontId="23" fillId="9" borderId="0" xfId="1" applyNumberFormat="1" applyFont="1" applyFill="1" applyAlignment="1">
      <alignment vertical="center" wrapText="1"/>
    </xf>
    <xf numFmtId="172" fontId="14" fillId="9" borderId="0" xfId="1" applyNumberFormat="1" applyFont="1" applyFill="1" applyBorder="1" applyAlignment="1">
      <alignment vertical="center" wrapText="1"/>
    </xf>
    <xf numFmtId="172" fontId="23" fillId="9" borderId="0" xfId="1" applyNumberFormat="1" applyFont="1" applyFill="1" applyBorder="1" applyAlignment="1">
      <alignment vertical="center" wrapText="1"/>
    </xf>
    <xf numFmtId="172" fontId="15" fillId="9" borderId="4" xfId="1" applyNumberFormat="1" applyFont="1" applyFill="1" applyBorder="1" applyAlignment="1">
      <alignment vertical="center" wrapText="1"/>
    </xf>
    <xf numFmtId="172" fontId="23" fillId="9" borderId="2" xfId="1" applyNumberFormat="1" applyFont="1" applyFill="1" applyBorder="1" applyAlignment="1">
      <alignment vertical="center" wrapText="1"/>
    </xf>
    <xf numFmtId="172" fontId="14" fillId="9" borderId="3" xfId="1" applyNumberFormat="1" applyFont="1" applyFill="1" applyBorder="1" applyAlignment="1">
      <alignment vertical="center" wrapText="1"/>
    </xf>
    <xf numFmtId="172" fontId="14" fillId="9" borderId="4" xfId="1" applyNumberFormat="1" applyFont="1" applyFill="1" applyBorder="1" applyAlignment="1">
      <alignment horizontal="left" vertical="center" wrapText="1"/>
    </xf>
    <xf numFmtId="172" fontId="14" fillId="9" borderId="4" xfId="1" applyNumberFormat="1" applyFont="1" applyFill="1" applyBorder="1" applyAlignment="1">
      <alignment vertical="center" wrapText="1"/>
    </xf>
    <xf numFmtId="172" fontId="16" fillId="9" borderId="0" xfId="1" applyNumberFormat="1" applyFont="1" applyFill="1"/>
    <xf numFmtId="172" fontId="16" fillId="9" borderId="4" xfId="1" applyNumberFormat="1" applyFont="1" applyFill="1" applyBorder="1" applyAlignment="1">
      <alignment vertical="center" wrapText="1"/>
    </xf>
    <xf numFmtId="172" fontId="15" fillId="9" borderId="5" xfId="1" applyNumberFormat="1" applyFont="1" applyFill="1" applyBorder="1" applyAlignment="1">
      <alignment vertical="center" wrapText="1"/>
    </xf>
    <xf numFmtId="0" fontId="14" fillId="9" borderId="6" xfId="2" applyFont="1" applyFill="1" applyBorder="1" applyAlignment="1">
      <alignment horizontal="right" vertical="center" wrapText="1"/>
    </xf>
    <xf numFmtId="0" fontId="14" fillId="9" borderId="0" xfId="2" applyFont="1" applyFill="1" applyAlignment="1">
      <alignment horizontal="right" vertical="center" wrapText="1"/>
    </xf>
    <xf numFmtId="43" fontId="14" fillId="9" borderId="0" xfId="1" applyFont="1" applyFill="1" applyAlignment="1">
      <alignment vertical="center" wrapText="1"/>
    </xf>
    <xf numFmtId="43" fontId="11" fillId="9" borderId="0" xfId="1" applyFont="1" applyFill="1"/>
    <xf numFmtId="172" fontId="11" fillId="9" borderId="0" xfId="1" applyNumberFormat="1" applyFont="1" applyFill="1"/>
    <xf numFmtId="172" fontId="23" fillId="9" borderId="0" xfId="1" applyNumberFormat="1" applyFont="1" applyFill="1"/>
    <xf numFmtId="172" fontId="14" fillId="9" borderId="0" xfId="1" applyNumberFormat="1" applyFont="1" applyFill="1" applyAlignment="1">
      <alignment vertical="center" wrapText="1"/>
    </xf>
    <xf numFmtId="172" fontId="16" fillId="9" borderId="0" xfId="1" applyNumberFormat="1" applyFont="1" applyFill="1" applyAlignment="1">
      <alignment vertical="center" wrapText="1"/>
    </xf>
    <xf numFmtId="171" fontId="14" fillId="9" borderId="0" xfId="0" applyNumberFormat="1" applyFont="1" applyFill="1" applyAlignment="1">
      <alignment horizontal="right" vertical="center" wrapText="1"/>
    </xf>
    <xf numFmtId="0" fontId="26" fillId="9" borderId="0" xfId="0" applyFont="1" applyFill="1"/>
    <xf numFmtId="172" fontId="14" fillId="9" borderId="6" xfId="1" applyNumberFormat="1" applyFont="1" applyFill="1" applyBorder="1" applyAlignment="1">
      <alignment horizontal="right" vertical="center" wrapText="1"/>
    </xf>
    <xf numFmtId="172" fontId="14" fillId="9" borderId="3" xfId="1" applyNumberFormat="1" applyFont="1" applyFill="1" applyBorder="1" applyAlignment="1">
      <alignment wrapText="1"/>
    </xf>
    <xf numFmtId="172" fontId="15" fillId="9" borderId="3" xfId="1" applyNumberFormat="1" applyFont="1" applyFill="1" applyBorder="1" applyAlignment="1">
      <alignment vertical="center" wrapText="1"/>
    </xf>
    <xf numFmtId="0" fontId="14" fillId="9" borderId="4" xfId="2" applyFont="1" applyFill="1" applyBorder="1" applyAlignment="1">
      <alignment horizontal="right" vertical="center" wrapText="1"/>
    </xf>
    <xf numFmtId="172" fontId="14" fillId="9" borderId="5" xfId="1" applyNumberFormat="1" applyFont="1" applyFill="1" applyBorder="1" applyAlignment="1">
      <alignment vertical="center" wrapText="1"/>
    </xf>
    <xf numFmtId="0" fontId="11" fillId="9" borderId="0" xfId="0" applyFont="1" applyFill="1"/>
    <xf numFmtId="172" fontId="14" fillId="9" borderId="1" xfId="1" applyNumberFormat="1" applyFont="1" applyFill="1" applyBorder="1" applyAlignment="1">
      <alignment vertical="center" wrapText="1"/>
    </xf>
    <xf numFmtId="172" fontId="14" fillId="9" borderId="2" xfId="1" applyNumberFormat="1" applyFont="1" applyFill="1" applyBorder="1" applyAlignment="1">
      <alignment vertical="center" wrapText="1"/>
    </xf>
    <xf numFmtId="172" fontId="15" fillId="9" borderId="5" xfId="1" applyNumberFormat="1" applyFont="1" applyFill="1" applyBorder="1" applyAlignment="1">
      <alignment wrapText="1"/>
    </xf>
    <xf numFmtId="171" fontId="14" fillId="9" borderId="6" xfId="2" applyNumberFormat="1" applyFont="1" applyFill="1" applyBorder="1" applyAlignment="1">
      <alignment horizontal="right" wrapText="1"/>
    </xf>
    <xf numFmtId="171" fontId="14" fillId="9" borderId="0" xfId="2" applyNumberFormat="1" applyFont="1" applyFill="1" applyAlignment="1">
      <alignment horizontal="right" wrapText="1"/>
    </xf>
    <xf numFmtId="172" fontId="14" fillId="0" borderId="5" xfId="1" applyNumberFormat="1" applyFont="1" applyFill="1" applyBorder="1" applyAlignment="1">
      <alignment vertical="center" wrapText="1"/>
    </xf>
    <xf numFmtId="0" fontId="26" fillId="3" borderId="0" xfId="0" applyFont="1" applyFill="1" applyAlignment="1">
      <alignment horizontal="left"/>
    </xf>
    <xf numFmtId="167" fontId="19" fillId="9" borderId="1" xfId="0" applyNumberFormat="1" applyFont="1" applyFill="1" applyBorder="1" applyAlignment="1">
      <alignment horizontal="left" vertical="center" wrapText="1"/>
    </xf>
    <xf numFmtId="172" fontId="22" fillId="9" borderId="0" xfId="1" applyNumberFormat="1" applyFont="1" applyFill="1" applyBorder="1" applyAlignment="1">
      <alignment vertical="center" wrapText="1"/>
    </xf>
    <xf numFmtId="172" fontId="20" fillId="9" borderId="4" xfId="1" applyNumberFormat="1" applyFont="1" applyFill="1" applyBorder="1" applyAlignment="1">
      <alignment vertical="center" wrapText="1"/>
    </xf>
    <xf numFmtId="172" fontId="10" fillId="9" borderId="6" xfId="1" applyNumberFormat="1" applyFont="1" applyFill="1" applyBorder="1" applyAlignment="1">
      <alignment wrapText="1"/>
    </xf>
    <xf numFmtId="172" fontId="22" fillId="9" borderId="6" xfId="1" applyNumberFormat="1" applyFont="1" applyFill="1" applyBorder="1" applyAlignment="1">
      <alignment wrapText="1"/>
    </xf>
    <xf numFmtId="0" fontId="19" fillId="9" borderId="1" xfId="0" applyFont="1" applyFill="1" applyBorder="1" applyAlignment="1">
      <alignment horizontal="center" vertical="center" wrapText="1"/>
    </xf>
    <xf numFmtId="0" fontId="22" fillId="9" borderId="0" xfId="0" applyFont="1" applyFill="1"/>
    <xf numFmtId="0" fontId="22" fillId="9" borderId="1" xfId="0" applyFont="1" applyFill="1" applyBorder="1" applyAlignment="1">
      <alignment horizontal="right" vertical="center" wrapText="1"/>
    </xf>
    <xf numFmtId="0" fontId="28" fillId="9" borderId="1" xfId="0" applyFont="1" applyFill="1" applyBorder="1" applyAlignment="1">
      <alignment horizontal="right" vertical="center" wrapText="1"/>
    </xf>
    <xf numFmtId="172" fontId="28" fillId="9" borderId="1" xfId="0" applyNumberFormat="1" applyFont="1" applyFill="1" applyBorder="1" applyAlignment="1">
      <alignment horizontal="center" wrapText="1"/>
    </xf>
    <xf numFmtId="172" fontId="20" fillId="9" borderId="5" xfId="1" applyNumberFormat="1" applyFont="1" applyFill="1" applyBorder="1" applyAlignment="1">
      <alignment vertical="center" wrapText="1"/>
    </xf>
    <xf numFmtId="0" fontId="22" fillId="9" borderId="1" xfId="0" applyFont="1" applyFill="1" applyBorder="1" applyAlignment="1">
      <alignment horizontal="right" wrapText="1"/>
    </xf>
    <xf numFmtId="0" fontId="22" fillId="9" borderId="0" xfId="0" applyFont="1" applyFill="1" applyAlignment="1">
      <alignment horizontal="right" vertical="center" wrapText="1"/>
    </xf>
    <xf numFmtId="0" fontId="22" fillId="9" borderId="0" xfId="0" applyFont="1" applyFill="1" applyAlignment="1">
      <alignment horizontal="right"/>
    </xf>
    <xf numFmtId="172" fontId="22" fillId="9" borderId="0" xfId="1" applyNumberFormat="1" applyFont="1" applyFill="1" applyAlignment="1">
      <alignment horizontal="right" vertical="center" wrapText="1"/>
    </xf>
    <xf numFmtId="172" fontId="16" fillId="9" borderId="0" xfId="1" applyNumberFormat="1" applyFont="1" applyFill="1" applyAlignment="1">
      <alignment horizontal="right" wrapText="1"/>
    </xf>
    <xf numFmtId="172" fontId="16" fillId="9" borderId="0" xfId="1" applyNumberFormat="1" applyFont="1" applyFill="1" applyBorder="1" applyAlignment="1">
      <alignment horizontal="right" wrapText="1"/>
    </xf>
    <xf numFmtId="172" fontId="16" fillId="9" borderId="0" xfId="1" applyNumberFormat="1" applyFont="1" applyFill="1" applyAlignment="1">
      <alignment horizontal="right"/>
    </xf>
    <xf numFmtId="172" fontId="16" fillId="9" borderId="0" xfId="1" applyNumberFormat="1" applyFont="1" applyFill="1" applyAlignment="1">
      <alignment horizontal="right" vertical="center" wrapText="1"/>
    </xf>
    <xf numFmtId="172" fontId="16" fillId="9" borderId="6" xfId="1" applyNumberFormat="1" applyFont="1" applyFill="1" applyBorder="1" applyAlignment="1">
      <alignment horizontal="right" vertical="center" wrapText="1"/>
    </xf>
    <xf numFmtId="0" fontId="16" fillId="9" borderId="0" xfId="0" applyFont="1" applyFill="1"/>
    <xf numFmtId="43" fontId="16" fillId="9" borderId="0" xfId="1" applyFont="1" applyFill="1" applyAlignment="1">
      <alignment wrapText="1"/>
    </xf>
    <xf numFmtId="174" fontId="14" fillId="9" borderId="0" xfId="1" applyNumberFormat="1" applyFont="1" applyFill="1" applyAlignment="1">
      <alignment wrapText="1"/>
    </xf>
    <xf numFmtId="172" fontId="9" fillId="9" borderId="0" xfId="1" applyNumberFormat="1" applyFont="1" applyFill="1"/>
    <xf numFmtId="172" fontId="8" fillId="9" borderId="0" xfId="1" applyNumberFormat="1" applyFont="1" applyFill="1"/>
    <xf numFmtId="172" fontId="28" fillId="9" borderId="0" xfId="1" applyNumberFormat="1" applyFont="1" applyFill="1"/>
    <xf numFmtId="172" fontId="11" fillId="9" borderId="0" xfId="1" applyNumberFormat="1" applyFont="1" applyFill="1" applyAlignment="1">
      <alignment horizontal="right"/>
    </xf>
    <xf numFmtId="0" fontId="20" fillId="9" borderId="1" xfId="0" applyFont="1" applyFill="1" applyBorder="1" applyAlignment="1">
      <alignment horizontal="right" vertical="center" wrapText="1"/>
    </xf>
    <xf numFmtId="0" fontId="18" fillId="9" borderId="1" xfId="0" applyFont="1" applyFill="1" applyBorder="1" applyAlignment="1">
      <alignment horizontal="right" vertical="center" wrapText="1"/>
    </xf>
    <xf numFmtId="172" fontId="21" fillId="9" borderId="1" xfId="0" applyNumberFormat="1" applyFont="1" applyFill="1" applyBorder="1" applyAlignment="1">
      <alignment horizontal="center" wrapText="1"/>
    </xf>
    <xf numFmtId="0" fontId="19" fillId="9" borderId="1" xfId="0" applyFont="1" applyFill="1" applyBorder="1" applyAlignment="1">
      <alignment horizontal="right" vertical="center" wrapText="1"/>
    </xf>
    <xf numFmtId="0" fontId="19" fillId="9" borderId="1" xfId="0" applyFont="1" applyFill="1" applyBorder="1" applyAlignment="1">
      <alignment horizontal="right" wrapText="1"/>
    </xf>
    <xf numFmtId="0" fontId="13" fillId="7" borderId="0" xfId="0" applyFont="1" applyFill="1"/>
    <xf numFmtId="172" fontId="23" fillId="9" borderId="0" xfId="1" applyNumberFormat="1" applyFont="1" applyFill="1" applyAlignment="1">
      <alignment horizontal="right" wrapText="1"/>
    </xf>
    <xf numFmtId="172" fontId="23" fillId="9" borderId="7" xfId="1" applyNumberFormat="1" applyFont="1" applyFill="1" applyBorder="1" applyAlignment="1">
      <alignment horizontal="right" wrapText="1"/>
    </xf>
    <xf numFmtId="172" fontId="23" fillId="9" borderId="4" xfId="1" applyNumberFormat="1" applyFont="1" applyFill="1" applyBorder="1" applyAlignment="1">
      <alignment horizontal="right" vertical="center" wrapText="1"/>
    </xf>
    <xf numFmtId="43" fontId="10" fillId="9" borderId="0" xfId="1" applyFont="1" applyFill="1" applyAlignment="1">
      <alignment vertical="center" wrapText="1"/>
    </xf>
    <xf numFmtId="0" fontId="15" fillId="0" borderId="0" xfId="0" applyFont="1" applyAlignment="1">
      <alignment horizontal="left" wrapText="1"/>
    </xf>
    <xf numFmtId="0" fontId="17" fillId="0" borderId="0" xfId="0" applyFont="1" applyAlignment="1">
      <alignment horizontal="right" wrapText="1"/>
    </xf>
    <xf numFmtId="0" fontId="16" fillId="0" borderId="0" xfId="0" applyFont="1" applyAlignment="1">
      <alignment horizontal="right" wrapText="1"/>
    </xf>
    <xf numFmtId="0" fontId="14" fillId="0" borderId="0" xfId="0" applyFont="1" applyAlignment="1">
      <alignment horizontal="left" wrapText="1"/>
    </xf>
    <xf numFmtId="0" fontId="14" fillId="0" borderId="0" xfId="0" applyFont="1" applyAlignment="1">
      <alignment horizontal="left" wrapText="1" indent="1"/>
    </xf>
    <xf numFmtId="0" fontId="17" fillId="9" borderId="0" xfId="0" applyFont="1" applyFill="1" applyAlignment="1">
      <alignment horizontal="right" wrapText="1"/>
    </xf>
    <xf numFmtId="0" fontId="16" fillId="9" borderId="0" xfId="0" applyFont="1" applyFill="1" applyAlignment="1">
      <alignment horizontal="right" wrapText="1"/>
    </xf>
    <xf numFmtId="0" fontId="11" fillId="0" borderId="0" xfId="0" applyFont="1" applyAlignment="1">
      <alignment horizontal="right"/>
    </xf>
    <xf numFmtId="164" fontId="39" fillId="0" borderId="0" xfId="2" applyNumberFormat="1" applyFont="1" applyAlignment="1">
      <alignment vertical="center" wrapText="1"/>
    </xf>
    <xf numFmtId="172" fontId="23" fillId="0" borderId="0" xfId="1" applyNumberFormat="1" applyFont="1" applyFill="1" applyAlignment="1">
      <alignment horizontal="right" wrapText="1"/>
    </xf>
    <xf numFmtId="172" fontId="16" fillId="0" borderId="0" xfId="0" applyNumberFormat="1" applyFont="1" applyAlignment="1">
      <alignment horizontal="right" wrapText="1"/>
    </xf>
    <xf numFmtId="172" fontId="25" fillId="0" borderId="0" xfId="1" applyNumberFormat="1" applyFont="1" applyFill="1" applyAlignment="1">
      <alignment horizontal="right" wrapText="1"/>
    </xf>
    <xf numFmtId="172" fontId="16" fillId="9" borderId="7" xfId="1" applyNumberFormat="1" applyFont="1" applyFill="1" applyBorder="1" applyAlignment="1">
      <alignment horizontal="right" wrapText="1"/>
    </xf>
    <xf numFmtId="172" fontId="29" fillId="9" borderId="0" xfId="1" applyNumberFormat="1" applyFont="1" applyFill="1"/>
    <xf numFmtId="43" fontId="34" fillId="9" borderId="0" xfId="1" applyFont="1" applyFill="1"/>
    <xf numFmtId="173" fontId="34" fillId="9" borderId="0" xfId="9" applyNumberFormat="1" applyFont="1" applyFill="1"/>
    <xf numFmtId="43" fontId="35" fillId="9" borderId="0" xfId="1" applyFont="1" applyFill="1"/>
    <xf numFmtId="172" fontId="22" fillId="9" borderId="0" xfId="1" applyNumberFormat="1" applyFont="1" applyFill="1"/>
    <xf numFmtId="177" fontId="8" fillId="0" borderId="0" xfId="1" applyNumberFormat="1" applyFont="1"/>
    <xf numFmtId="0" fontId="42" fillId="12" borderId="0" xfId="13" applyFill="1"/>
    <xf numFmtId="0" fontId="42" fillId="0" borderId="0" xfId="13"/>
    <xf numFmtId="178" fontId="73" fillId="12" borderId="0" xfId="13" applyNumberFormat="1" applyFont="1" applyFill="1"/>
    <xf numFmtId="0" fontId="74" fillId="12" borderId="0" xfId="13" applyFont="1" applyFill="1"/>
    <xf numFmtId="0" fontId="75" fillId="12" borderId="0" xfId="13" applyFont="1" applyFill="1"/>
    <xf numFmtId="0" fontId="76" fillId="12" borderId="0" xfId="13" applyFont="1" applyFill="1"/>
    <xf numFmtId="0" fontId="77" fillId="12" borderId="0" xfId="13" applyFont="1" applyFill="1"/>
    <xf numFmtId="0" fontId="78" fillId="12" borderId="0" xfId="14" applyFont="1" applyFill="1"/>
    <xf numFmtId="172" fontId="27" fillId="0" borderId="0" xfId="0" applyNumberFormat="1" applyFont="1"/>
    <xf numFmtId="0" fontId="15" fillId="0" borderId="8" xfId="2" applyFont="1" applyBorder="1" applyAlignment="1">
      <alignment horizontal="left" vertical="center"/>
    </xf>
    <xf numFmtId="172" fontId="28" fillId="0" borderId="8" xfId="1" applyNumberFormat="1" applyFont="1" applyBorder="1"/>
    <xf numFmtId="0" fontId="14" fillId="4" borderId="0" xfId="0" applyFont="1" applyFill="1" applyAlignment="1">
      <alignment horizontal="left" indent="2"/>
    </xf>
    <xf numFmtId="0" fontId="15" fillId="4" borderId="0" xfId="0" applyFont="1" applyFill="1" applyAlignment="1">
      <alignment horizontal="left"/>
    </xf>
    <xf numFmtId="172" fontId="28" fillId="0" borderId="0" xfId="0" applyNumberFormat="1" applyFont="1"/>
    <xf numFmtId="172" fontId="22" fillId="0" borderId="0" xfId="9" applyNumberFormat="1" applyFont="1"/>
    <xf numFmtId="177" fontId="22" fillId="0" borderId="0" xfId="1" applyNumberFormat="1" applyFont="1"/>
    <xf numFmtId="0" fontId="45" fillId="23" borderId="0" xfId="0" applyFont="1" applyFill="1"/>
    <xf numFmtId="172" fontId="45" fillId="23" borderId="0" xfId="1" applyNumberFormat="1" applyFont="1" applyFill="1"/>
    <xf numFmtId="0" fontId="75" fillId="2" borderId="0" xfId="0" applyFont="1" applyFill="1"/>
    <xf numFmtId="0" fontId="80" fillId="2" borderId="0" xfId="0" applyFont="1" applyFill="1"/>
    <xf numFmtId="9" fontId="8" fillId="0" borderId="0" xfId="0" applyNumberFormat="1" applyFont="1"/>
    <xf numFmtId="0" fontId="81" fillId="0" borderId="0" xfId="0" applyFont="1"/>
    <xf numFmtId="0" fontId="8" fillId="0" borderId="0" xfId="0" quotePrefix="1" applyFont="1"/>
    <xf numFmtId="0" fontId="81" fillId="0" borderId="14" xfId="0" applyFont="1" applyBorder="1" applyAlignment="1">
      <alignment horizontal="center"/>
    </xf>
    <xf numFmtId="44" fontId="8" fillId="0" borderId="0" xfId="12" applyFont="1" applyAlignment="1">
      <alignment horizontal="right"/>
    </xf>
    <xf numFmtId="173" fontId="82" fillId="0" borderId="0" xfId="9" applyNumberFormat="1" applyFont="1"/>
    <xf numFmtId="0" fontId="82" fillId="0" borderId="14" xfId="0" applyFont="1" applyBorder="1" applyAlignment="1">
      <alignment horizontal="center"/>
    </xf>
    <xf numFmtId="0" fontId="81" fillId="6" borderId="15" xfId="0" applyFont="1" applyFill="1" applyBorder="1"/>
    <xf numFmtId="179" fontId="8" fillId="6" borderId="16" xfId="12" applyNumberFormat="1" applyFont="1" applyFill="1" applyBorder="1" applyAlignment="1">
      <alignment horizontal="right"/>
    </xf>
    <xf numFmtId="9" fontId="8" fillId="0" borderId="0" xfId="9" applyFont="1" applyAlignment="1">
      <alignment horizontal="right"/>
    </xf>
    <xf numFmtId="173" fontId="8" fillId="0" borderId="0" xfId="0" applyNumberFormat="1" applyFont="1"/>
    <xf numFmtId="0" fontId="83" fillId="0" borderId="14" xfId="0" applyFont="1" applyBorder="1" applyAlignment="1">
      <alignment horizontal="center"/>
    </xf>
    <xf numFmtId="180" fontId="8" fillId="0" borderId="0" xfId="0" applyNumberFormat="1" applyFont="1"/>
    <xf numFmtId="8" fontId="82" fillId="0" borderId="0" xfId="12" applyNumberFormat="1" applyFont="1" applyFill="1"/>
    <xf numFmtId="0" fontId="81" fillId="0" borderId="0" xfId="0" applyFont="1" applyAlignment="1">
      <alignment horizontal="right"/>
    </xf>
    <xf numFmtId="9" fontId="82" fillId="0" borderId="0" xfId="0" applyNumberFormat="1" applyFont="1"/>
    <xf numFmtId="44" fontId="8" fillId="0" borderId="0" xfId="12" applyFont="1"/>
    <xf numFmtId="9" fontId="84" fillId="0" borderId="0" xfId="9" applyFont="1"/>
    <xf numFmtId="0" fontId="8" fillId="0" borderId="17" xfId="0" applyFont="1" applyBorder="1"/>
    <xf numFmtId="0" fontId="8" fillId="0" borderId="18" xfId="0" applyFont="1" applyBorder="1"/>
    <xf numFmtId="41" fontId="8" fillId="0" borderId="0" xfId="0" applyNumberFormat="1" applyFont="1"/>
    <xf numFmtId="41" fontId="8" fillId="0" borderId="17" xfId="0" applyNumberFormat="1" applyFont="1" applyBorder="1"/>
    <xf numFmtId="41" fontId="8" fillId="0" borderId="18" xfId="0" applyNumberFormat="1" applyFont="1" applyBorder="1"/>
    <xf numFmtId="9" fontId="86" fillId="0" borderId="0" xfId="0" applyNumberFormat="1" applyFont="1"/>
    <xf numFmtId="173" fontId="8" fillId="0" borderId="17" xfId="0" applyNumberFormat="1" applyFont="1" applyBorder="1"/>
    <xf numFmtId="173" fontId="83" fillId="0" borderId="18" xfId="0" applyNumberFormat="1" applyFont="1" applyBorder="1"/>
    <xf numFmtId="173" fontId="86" fillId="0" borderId="0" xfId="0" applyNumberFormat="1" applyFont="1"/>
    <xf numFmtId="173" fontId="86" fillId="0" borderId="17" xfId="0" applyNumberFormat="1" applyFont="1" applyBorder="1"/>
    <xf numFmtId="173" fontId="86" fillId="0" borderId="18" xfId="0" applyNumberFormat="1" applyFont="1" applyBorder="1"/>
    <xf numFmtId="173" fontId="8" fillId="0" borderId="18" xfId="0" applyNumberFormat="1" applyFont="1" applyBorder="1"/>
    <xf numFmtId="9" fontId="86" fillId="0" borderId="17" xfId="0" applyNumberFormat="1" applyFont="1" applyBorder="1"/>
    <xf numFmtId="0" fontId="86" fillId="0" borderId="17" xfId="0" applyFont="1" applyBorder="1"/>
    <xf numFmtId="0" fontId="86" fillId="0" borderId="18" xfId="0" applyFont="1" applyBorder="1"/>
    <xf numFmtId="43" fontId="87" fillId="0" borderId="17" xfId="1" applyFont="1" applyBorder="1"/>
    <xf numFmtId="43" fontId="87" fillId="0" borderId="0" xfId="1" applyFont="1" applyBorder="1"/>
    <xf numFmtId="43" fontId="87" fillId="0" borderId="18" xfId="1" applyFont="1" applyBorder="1"/>
    <xf numFmtId="172" fontId="8" fillId="0" borderId="0" xfId="1" applyNumberFormat="1" applyFont="1" applyBorder="1"/>
    <xf numFmtId="173" fontId="8" fillId="0" borderId="0" xfId="1" applyNumberFormat="1" applyFont="1" applyBorder="1"/>
    <xf numFmtId="0" fontId="81" fillId="0" borderId="9" xfId="0" applyFont="1" applyBorder="1"/>
    <xf numFmtId="172" fontId="81" fillId="0" borderId="9" xfId="0" applyNumberFormat="1" applyFont="1" applyBorder="1"/>
    <xf numFmtId="14" fontId="8" fillId="0" borderId="0" xfId="0" applyNumberFormat="1" applyFont="1"/>
    <xf numFmtId="1" fontId="8" fillId="0" borderId="0" xfId="0" applyNumberFormat="1" applyFont="1"/>
    <xf numFmtId="0" fontId="81" fillId="0" borderId="15" xfId="0" applyFont="1" applyBorder="1"/>
    <xf numFmtId="179" fontId="81" fillId="6" borderId="16" xfId="0" applyNumberFormat="1" applyFont="1" applyFill="1" applyBorder="1"/>
    <xf numFmtId="184" fontId="8" fillId="0" borderId="0" xfId="0" applyNumberFormat="1" applyFont="1"/>
    <xf numFmtId="173" fontId="82" fillId="6" borderId="0" xfId="9" applyNumberFormat="1" applyFont="1" applyFill="1"/>
    <xf numFmtId="43" fontId="82" fillId="6" borderId="0" xfId="1" applyFont="1" applyFill="1"/>
    <xf numFmtId="173" fontId="83" fillId="0" borderId="0" xfId="0" applyNumberFormat="1" applyFont="1"/>
    <xf numFmtId="0" fontId="86" fillId="0" borderId="0" xfId="0" applyFont="1"/>
    <xf numFmtId="173" fontId="83" fillId="0" borderId="17" xfId="0" applyNumberFormat="1" applyFont="1" applyBorder="1"/>
    <xf numFmtId="0" fontId="85" fillId="0" borderId="0" xfId="0" applyFont="1"/>
    <xf numFmtId="173" fontId="82" fillId="0" borderId="0" xfId="0" applyNumberFormat="1" applyFont="1"/>
    <xf numFmtId="43" fontId="86" fillId="0" borderId="0" xfId="0" applyNumberFormat="1" applyFont="1"/>
    <xf numFmtId="43" fontId="87" fillId="0" borderId="0" xfId="1" applyFont="1" applyFill="1" applyBorder="1"/>
    <xf numFmtId="173" fontId="87" fillId="0" borderId="0" xfId="0" applyNumberFormat="1" applyFont="1"/>
    <xf numFmtId="173" fontId="87" fillId="0" borderId="17" xfId="0" applyNumberFormat="1" applyFont="1" applyBorder="1"/>
    <xf numFmtId="172" fontId="8" fillId="0" borderId="17" xfId="1" applyNumberFormat="1" applyFont="1" applyBorder="1"/>
    <xf numFmtId="41" fontId="9" fillId="0" borderId="0" xfId="0" applyNumberFormat="1" applyFont="1"/>
    <xf numFmtId="41" fontId="9" fillId="0" borderId="17" xfId="0" applyNumberFormat="1" applyFont="1" applyBorder="1"/>
    <xf numFmtId="172" fontId="9" fillId="0" borderId="9" xfId="1" applyNumberFormat="1" applyFont="1" applyBorder="1"/>
    <xf numFmtId="172" fontId="9" fillId="0" borderId="15" xfId="1" applyNumberFormat="1" applyFont="1" applyBorder="1"/>
    <xf numFmtId="172" fontId="9" fillId="0" borderId="0" xfId="1" applyNumberFormat="1" applyFont="1" applyFill="1" applyBorder="1"/>
    <xf numFmtId="185" fontId="12" fillId="8" borderId="0" xfId="0" applyNumberFormat="1" applyFont="1" applyFill="1" applyAlignment="1">
      <alignment horizontal="right"/>
    </xf>
    <xf numFmtId="173" fontId="87" fillId="0" borderId="18" xfId="0" applyNumberFormat="1" applyFont="1" applyBorder="1"/>
    <xf numFmtId="172" fontId="8" fillId="0" borderId="18" xfId="1" applyNumberFormat="1" applyFont="1" applyBorder="1"/>
    <xf numFmtId="41" fontId="9" fillId="0" borderId="18" xfId="0" applyNumberFormat="1" applyFont="1" applyBorder="1"/>
    <xf numFmtId="172" fontId="9" fillId="0" borderId="16" xfId="1" applyNumberFormat="1" applyFont="1" applyBorder="1"/>
    <xf numFmtId="0" fontId="86" fillId="0" borderId="17" xfId="0" applyFont="1" applyBorder="1" applyAlignment="1">
      <alignment horizontal="left" indent="1"/>
    </xf>
    <xf numFmtId="173" fontId="86" fillId="0" borderId="17" xfId="0" applyNumberFormat="1" applyFont="1" applyBorder="1" applyAlignment="1">
      <alignment horizontal="left" indent="1"/>
    </xf>
    <xf numFmtId="173" fontId="87" fillId="0" borderId="17" xfId="0" quotePrefix="1" applyNumberFormat="1" applyFont="1" applyBorder="1" applyAlignment="1">
      <alignment horizontal="left" indent="1"/>
    </xf>
    <xf numFmtId="173" fontId="9" fillId="0" borderId="17" xfId="0" applyNumberFormat="1" applyFont="1" applyBorder="1"/>
    <xf numFmtId="0" fontId="9" fillId="0" borderId="15" xfId="0" applyFont="1" applyBorder="1"/>
    <xf numFmtId="0" fontId="80" fillId="2" borderId="17" xfId="0" applyFont="1" applyFill="1" applyBorder="1"/>
    <xf numFmtId="0" fontId="85" fillId="2" borderId="0" xfId="0" applyFont="1" applyFill="1"/>
    <xf numFmtId="186" fontId="85" fillId="8" borderId="17" xfId="0" applyNumberFormat="1" applyFont="1" applyFill="1" applyBorder="1"/>
    <xf numFmtId="186" fontId="85" fillId="8" borderId="0" xfId="0" applyNumberFormat="1" applyFont="1" applyFill="1"/>
    <xf numFmtId="186" fontId="85" fillId="8" borderId="18" xfId="0" applyNumberFormat="1" applyFont="1" applyFill="1" applyBorder="1"/>
    <xf numFmtId="0" fontId="75" fillId="0" borderId="0" xfId="0" applyFont="1"/>
    <xf numFmtId="181" fontId="0" fillId="0" borderId="0" xfId="0" applyNumberFormat="1"/>
    <xf numFmtId="182" fontId="88" fillId="0" borderId="0" xfId="0" applyNumberFormat="1" applyFont="1" applyAlignment="1">
      <alignment horizontal="right"/>
    </xf>
    <xf numFmtId="0" fontId="79" fillId="23" borderId="0" xfId="0" applyFont="1" applyFill="1"/>
    <xf numFmtId="183" fontId="8" fillId="0" borderId="0" xfId="0" applyNumberFormat="1" applyFont="1"/>
    <xf numFmtId="0" fontId="9" fillId="0" borderId="17" xfId="0" applyFont="1" applyBorder="1" applyAlignment="1">
      <alignment horizontal="right"/>
    </xf>
    <xf numFmtId="183" fontId="8" fillId="0" borderId="17" xfId="0" applyNumberFormat="1" applyFont="1" applyBorder="1"/>
    <xf numFmtId="43" fontId="8" fillId="0" borderId="17" xfId="1" applyFont="1" applyFill="1" applyBorder="1"/>
    <xf numFmtId="177" fontId="79" fillId="23" borderId="0" xfId="1" applyNumberFormat="1" applyFont="1" applyFill="1"/>
    <xf numFmtId="177" fontId="8" fillId="0" borderId="0" xfId="1" applyNumberFormat="1" applyFont="1" applyFill="1" applyBorder="1"/>
    <xf numFmtId="172" fontId="9" fillId="0" borderId="7" xfId="0" applyNumberFormat="1" applyFont="1" applyBorder="1"/>
    <xf numFmtId="172" fontId="8" fillId="0" borderId="9" xfId="1" applyNumberFormat="1" applyFont="1" applyBorder="1"/>
    <xf numFmtId="172" fontId="8" fillId="0" borderId="8" xfId="1" applyNumberFormat="1" applyFont="1" applyBorder="1"/>
    <xf numFmtId="172" fontId="8" fillId="0" borderId="19" xfId="1" applyNumberFormat="1" applyFont="1" applyBorder="1"/>
    <xf numFmtId="172" fontId="8" fillId="0" borderId="7" xfId="1" applyNumberFormat="1" applyFont="1" applyBorder="1"/>
    <xf numFmtId="172" fontId="9" fillId="0" borderId="10" xfId="1" applyNumberFormat="1" applyFont="1" applyBorder="1"/>
    <xf numFmtId="0" fontId="8" fillId="0" borderId="24" xfId="0" applyFont="1" applyBorder="1"/>
    <xf numFmtId="0" fontId="13" fillId="3" borderId="17" xfId="0" applyFont="1" applyFill="1" applyBorder="1"/>
    <xf numFmtId="0" fontId="14" fillId="0" borderId="17" xfId="2" applyFont="1" applyBorder="1" applyAlignment="1">
      <alignment horizontal="left" vertical="center"/>
    </xf>
    <xf numFmtId="0" fontId="15" fillId="0" borderId="28" xfId="2" applyFont="1" applyBorder="1" applyAlignment="1">
      <alignment horizontal="left" vertical="center" indent="1"/>
    </xf>
    <xf numFmtId="0" fontId="15" fillId="0" borderId="15" xfId="2" applyFont="1" applyBorder="1" applyAlignment="1">
      <alignment horizontal="left" vertical="center"/>
    </xf>
    <xf numFmtId="0" fontId="15" fillId="0" borderId="17" xfId="2" applyFont="1" applyBorder="1" applyAlignment="1">
      <alignment horizontal="left" vertical="center"/>
    </xf>
    <xf numFmtId="0" fontId="16" fillId="0" borderId="17" xfId="2" applyFont="1" applyBorder="1" applyAlignment="1">
      <alignment horizontal="left" vertical="center"/>
    </xf>
    <xf numFmtId="0" fontId="14" fillId="0" borderId="17" xfId="2" applyFont="1" applyBorder="1" applyAlignment="1">
      <alignment horizontal="left"/>
    </xf>
    <xf numFmtId="0" fontId="15" fillId="0" borderId="29" xfId="2" applyFont="1" applyBorder="1" applyAlignment="1">
      <alignment horizontal="left" vertical="center"/>
    </xf>
    <xf numFmtId="0" fontId="14" fillId="0" borderId="15" xfId="2" applyFont="1" applyBorder="1" applyAlignment="1">
      <alignment horizontal="left" vertical="center"/>
    </xf>
    <xf numFmtId="0" fontId="8" fillId="0" borderId="17" xfId="0" applyFont="1" applyBorder="1" applyAlignment="1">
      <alignment horizontal="left" indent="1"/>
    </xf>
    <xf numFmtId="0" fontId="14" fillId="0" borderId="29" xfId="2" applyFont="1" applyBorder="1" applyAlignment="1">
      <alignment horizontal="left" vertical="center"/>
    </xf>
    <xf numFmtId="0" fontId="15" fillId="0" borderId="27" xfId="2" applyFont="1" applyBorder="1" applyAlignment="1">
      <alignment horizontal="left" vertical="center"/>
    </xf>
    <xf numFmtId="0" fontId="14" fillId="0" borderId="17" xfId="2" applyFont="1" applyBorder="1" applyAlignment="1">
      <alignment horizontal="left" vertical="center" indent="1"/>
    </xf>
    <xf numFmtId="0" fontId="14" fillId="0" borderId="28" xfId="2" applyFont="1" applyBorder="1" applyAlignment="1">
      <alignment horizontal="left" vertical="center"/>
    </xf>
    <xf numFmtId="0" fontId="11" fillId="0" borderId="17" xfId="0" applyFont="1" applyBorder="1"/>
    <xf numFmtId="0" fontId="12" fillId="2" borderId="17" xfId="0" applyFont="1" applyFill="1" applyBorder="1" applyAlignment="1">
      <alignment horizontal="right"/>
    </xf>
    <xf numFmtId="0" fontId="23" fillId="3" borderId="17" xfId="0" applyFont="1" applyFill="1" applyBorder="1"/>
    <xf numFmtId="172" fontId="23" fillId="0" borderId="17" xfId="1" applyNumberFormat="1" applyFont="1" applyBorder="1" applyAlignment="1">
      <alignment vertical="center" wrapText="1"/>
    </xf>
    <xf numFmtId="172" fontId="16" fillId="0" borderId="17" xfId="1" applyNumberFormat="1" applyFont="1" applyBorder="1" applyAlignment="1">
      <alignment vertical="center" wrapText="1"/>
    </xf>
    <xf numFmtId="172" fontId="24" fillId="0" borderId="30" xfId="1" applyNumberFormat="1" applyFont="1" applyBorder="1" applyAlignment="1">
      <alignment vertical="center" wrapText="1"/>
    </xf>
    <xf numFmtId="172" fontId="23" fillId="0" borderId="31" xfId="1" applyNumberFormat="1" applyFont="1" applyBorder="1" applyAlignment="1">
      <alignment vertical="center" wrapText="1"/>
    </xf>
    <xf numFmtId="172" fontId="14" fillId="0" borderId="32" xfId="1" applyNumberFormat="1" applyFont="1" applyBorder="1" applyAlignment="1">
      <alignment vertical="center" wrapText="1"/>
    </xf>
    <xf numFmtId="172" fontId="14" fillId="0" borderId="30" xfId="1" applyNumberFormat="1" applyFont="1" applyBorder="1" applyAlignment="1">
      <alignment horizontal="left" vertical="center" wrapText="1"/>
    </xf>
    <xf numFmtId="172" fontId="14" fillId="0" borderId="30" xfId="1" applyNumberFormat="1" applyFont="1" applyBorder="1" applyAlignment="1">
      <alignment vertical="center" wrapText="1"/>
    </xf>
    <xf numFmtId="172" fontId="16" fillId="0" borderId="17" xfId="1" applyNumberFormat="1" applyFont="1" applyBorder="1"/>
    <xf numFmtId="172" fontId="16" fillId="0" borderId="30" xfId="1" applyNumberFormat="1" applyFont="1" applyBorder="1" applyAlignment="1">
      <alignment vertical="center" wrapText="1"/>
    </xf>
    <xf numFmtId="172" fontId="14" fillId="0" borderId="17" xfId="1" applyNumberFormat="1" applyFont="1" applyBorder="1" applyAlignment="1">
      <alignment vertical="center" wrapText="1"/>
    </xf>
    <xf numFmtId="172" fontId="15" fillId="0" borderId="33" xfId="1" applyNumberFormat="1" applyFont="1" applyBorder="1" applyAlignment="1">
      <alignment vertical="center" wrapText="1"/>
    </xf>
    <xf numFmtId="0" fontId="14" fillId="0" borderId="34" xfId="2" applyFont="1" applyBorder="1" applyAlignment="1">
      <alignment horizontal="right" vertical="center" wrapText="1"/>
    </xf>
    <xf numFmtId="0" fontId="14" fillId="0" borderId="17" xfId="2" applyFont="1" applyBorder="1" applyAlignment="1">
      <alignment horizontal="right" vertical="center" wrapText="1"/>
    </xf>
    <xf numFmtId="43" fontId="14" fillId="0" borderId="17" xfId="1" applyFont="1" applyBorder="1" applyAlignment="1">
      <alignment vertical="center" wrapText="1"/>
    </xf>
    <xf numFmtId="0" fontId="16" fillId="0" borderId="17" xfId="2" applyFont="1" applyBorder="1"/>
    <xf numFmtId="169" fontId="23" fillId="0" borderId="17" xfId="2" applyNumberFormat="1" applyFont="1" applyBorder="1" applyAlignment="1">
      <alignment vertical="center" wrapText="1"/>
    </xf>
    <xf numFmtId="169" fontId="14" fillId="0" borderId="17" xfId="2" applyNumberFormat="1" applyFont="1" applyBorder="1" applyAlignment="1">
      <alignment vertical="center" wrapText="1"/>
    </xf>
    <xf numFmtId="172" fontId="14" fillId="0" borderId="17" xfId="1" applyNumberFormat="1" applyFont="1" applyFill="1" applyBorder="1" applyAlignment="1">
      <alignment vertical="center" wrapText="1"/>
    </xf>
    <xf numFmtId="172" fontId="23" fillId="0" borderId="17" xfId="1" applyNumberFormat="1" applyFont="1" applyFill="1" applyBorder="1" applyAlignment="1">
      <alignment vertical="center" wrapText="1"/>
    </xf>
    <xf numFmtId="172" fontId="14" fillId="0" borderId="17" xfId="1" applyNumberFormat="1" applyFont="1" applyFill="1" applyBorder="1" applyAlignment="1">
      <alignment wrapText="1"/>
    </xf>
    <xf numFmtId="165" fontId="14" fillId="0" borderId="17" xfId="0" applyNumberFormat="1" applyFont="1" applyBorder="1" applyAlignment="1">
      <alignment vertical="center" wrapText="1"/>
    </xf>
    <xf numFmtId="172" fontId="23" fillId="0" borderId="31" xfId="1" applyNumberFormat="1" applyFont="1" applyFill="1" applyBorder="1" applyAlignment="1">
      <alignment vertical="center" wrapText="1"/>
    </xf>
    <xf numFmtId="172" fontId="15" fillId="0" borderId="30" xfId="1" applyNumberFormat="1" applyFont="1" applyFill="1" applyBorder="1" applyAlignment="1">
      <alignment vertical="center" wrapText="1"/>
    </xf>
    <xf numFmtId="172" fontId="15" fillId="0" borderId="33" xfId="1" applyNumberFormat="1" applyFont="1" applyFill="1" applyBorder="1" applyAlignment="1">
      <alignment vertical="center" wrapText="1"/>
    </xf>
    <xf numFmtId="171" fontId="14" fillId="0" borderId="17" xfId="0" applyNumberFormat="1" applyFont="1" applyBorder="1" applyAlignment="1">
      <alignment horizontal="right" vertical="center" wrapText="1"/>
    </xf>
    <xf numFmtId="0" fontId="11" fillId="3" borderId="17" xfId="0" applyFont="1" applyFill="1" applyBorder="1"/>
    <xf numFmtId="0" fontId="11" fillId="11" borderId="17" xfId="0" applyFont="1" applyFill="1" applyBorder="1" applyAlignment="1">
      <alignment horizontal="centerContinuous"/>
    </xf>
    <xf numFmtId="0" fontId="16" fillId="11" borderId="17" xfId="2" applyFont="1" applyFill="1" applyBorder="1"/>
    <xf numFmtId="172" fontId="23" fillId="11" borderId="17" xfId="1" applyNumberFormat="1" applyFont="1" applyFill="1" applyBorder="1" applyAlignment="1">
      <alignment vertical="center" wrapText="1"/>
    </xf>
    <xf numFmtId="172" fontId="23" fillId="11" borderId="31" xfId="1" applyNumberFormat="1" applyFont="1" applyFill="1" applyBorder="1" applyAlignment="1">
      <alignment vertical="center" wrapText="1"/>
    </xf>
    <xf numFmtId="172" fontId="14" fillId="11" borderId="32" xfId="1" applyNumberFormat="1" applyFont="1" applyFill="1" applyBorder="1" applyAlignment="1">
      <alignment vertical="center" wrapText="1"/>
    </xf>
    <xf numFmtId="172" fontId="15" fillId="11" borderId="33" xfId="1" applyNumberFormat="1" applyFont="1" applyFill="1" applyBorder="1" applyAlignment="1">
      <alignment vertical="center" wrapText="1"/>
    </xf>
    <xf numFmtId="0" fontId="14" fillId="11" borderId="34" xfId="2" applyFont="1" applyFill="1" applyBorder="1" applyAlignment="1">
      <alignment horizontal="right" vertical="center" wrapText="1"/>
    </xf>
    <xf numFmtId="172" fontId="14" fillId="11" borderId="32" xfId="1" applyNumberFormat="1" applyFont="1" applyFill="1" applyBorder="1" applyAlignment="1">
      <alignment wrapText="1"/>
    </xf>
    <xf numFmtId="0" fontId="14" fillId="11" borderId="30" xfId="2" applyFont="1" applyFill="1" applyBorder="1" applyAlignment="1">
      <alignment horizontal="right" vertical="center" wrapText="1"/>
    </xf>
    <xf numFmtId="172" fontId="11" fillId="11" borderId="17" xfId="0" applyNumberFormat="1" applyFont="1" applyFill="1" applyBorder="1"/>
    <xf numFmtId="166" fontId="23" fillId="0" borderId="17" xfId="2" applyNumberFormat="1" applyFont="1" applyBorder="1" applyAlignment="1">
      <alignment horizontal="right" vertical="center" wrapText="1"/>
    </xf>
    <xf numFmtId="172" fontId="15" fillId="11" borderId="32" xfId="1" applyNumberFormat="1" applyFont="1" applyFill="1" applyBorder="1" applyAlignment="1">
      <alignment vertical="center" wrapText="1"/>
    </xf>
    <xf numFmtId="172" fontId="14" fillId="11" borderId="30" xfId="1" applyNumberFormat="1" applyFont="1" applyFill="1" applyBorder="1" applyAlignment="1">
      <alignment vertical="center" wrapText="1"/>
    </xf>
    <xf numFmtId="172" fontId="14" fillId="11" borderId="31" xfId="1" applyNumberFormat="1" applyFont="1" applyFill="1" applyBorder="1" applyAlignment="1">
      <alignment vertical="center" wrapText="1"/>
    </xf>
    <xf numFmtId="172" fontId="14" fillId="11" borderId="33" xfId="1" applyNumberFormat="1" applyFont="1" applyFill="1" applyBorder="1" applyAlignment="1">
      <alignment vertical="center" wrapText="1"/>
    </xf>
    <xf numFmtId="172" fontId="14" fillId="11" borderId="17" xfId="1" applyNumberFormat="1" applyFont="1" applyFill="1" applyBorder="1" applyAlignment="1">
      <alignment vertical="center" wrapText="1"/>
    </xf>
    <xf numFmtId="0" fontId="11" fillId="11" borderId="17" xfId="0" applyFont="1" applyFill="1" applyBorder="1"/>
    <xf numFmtId="172" fontId="14" fillId="11" borderId="35" xfId="1" applyNumberFormat="1" applyFont="1" applyFill="1" applyBorder="1" applyAlignment="1">
      <alignment vertical="center" wrapText="1"/>
    </xf>
    <xf numFmtId="172" fontId="15" fillId="11" borderId="33" xfId="1" applyNumberFormat="1" applyFont="1" applyFill="1" applyBorder="1" applyAlignment="1">
      <alignment wrapText="1"/>
    </xf>
    <xf numFmtId="171" fontId="14" fillId="11" borderId="34" xfId="2" applyNumberFormat="1" applyFont="1" applyFill="1" applyBorder="1" applyAlignment="1">
      <alignment horizontal="right" wrapText="1"/>
    </xf>
    <xf numFmtId="171" fontId="14" fillId="11" borderId="17" xfId="2" applyNumberFormat="1" applyFont="1" applyFill="1" applyBorder="1" applyAlignment="1">
      <alignment horizontal="right" wrapText="1"/>
    </xf>
    <xf numFmtId="172" fontId="23" fillId="11" borderId="17" xfId="1" applyNumberFormat="1" applyFont="1" applyFill="1" applyBorder="1"/>
    <xf numFmtId="172" fontId="15" fillId="0" borderId="30" xfId="1" applyNumberFormat="1" applyFont="1" applyBorder="1" applyAlignment="1">
      <alignment vertical="center" wrapText="1"/>
    </xf>
    <xf numFmtId="172" fontId="14" fillId="0" borderId="34" xfId="1" applyNumberFormat="1" applyFont="1" applyBorder="1" applyAlignment="1">
      <alignment horizontal="right" vertical="center" wrapText="1"/>
    </xf>
    <xf numFmtId="168" fontId="14" fillId="0" borderId="17" xfId="2" applyNumberFormat="1" applyFont="1" applyBorder="1" applyAlignment="1">
      <alignment vertical="center" wrapText="1"/>
    </xf>
    <xf numFmtId="173" fontId="14" fillId="0" borderId="17" xfId="9" applyNumberFormat="1" applyFont="1" applyFill="1" applyBorder="1" applyAlignment="1">
      <alignment vertical="center" wrapText="1"/>
    </xf>
    <xf numFmtId="173" fontId="11" fillId="0" borderId="17" xfId="9" applyNumberFormat="1" applyFont="1" applyBorder="1"/>
    <xf numFmtId="167" fontId="17" fillId="0" borderId="35" xfId="2" applyNumberFormat="1" applyFont="1" applyBorder="1" applyAlignment="1">
      <alignment horizontal="left" vertical="center" wrapText="1"/>
    </xf>
    <xf numFmtId="172" fontId="16" fillId="0" borderId="17" xfId="2" applyNumberFormat="1" applyFont="1" applyBorder="1"/>
    <xf numFmtId="172" fontId="23" fillId="0" borderId="30" xfId="1" applyNumberFormat="1" applyFont="1" applyBorder="1" applyAlignment="1">
      <alignment wrapText="1"/>
    </xf>
    <xf numFmtId="172" fontId="23" fillId="0" borderId="17" xfId="1" applyNumberFormat="1" applyFont="1" applyBorder="1" applyAlignment="1">
      <alignment wrapText="1"/>
    </xf>
    <xf numFmtId="172" fontId="23" fillId="0" borderId="31" xfId="1" applyNumberFormat="1" applyFont="1" applyBorder="1" applyAlignment="1">
      <alignment wrapText="1"/>
    </xf>
    <xf numFmtId="172" fontId="14" fillId="0" borderId="32" xfId="1" applyNumberFormat="1" applyFont="1" applyBorder="1" applyAlignment="1">
      <alignment wrapText="1"/>
    </xf>
    <xf numFmtId="172" fontId="14" fillId="0" borderId="30" xfId="1" applyNumberFormat="1" applyFont="1" applyBorder="1" applyAlignment="1">
      <alignment horizontal="right" vertical="center" wrapText="1"/>
    </xf>
    <xf numFmtId="172" fontId="11" fillId="0" borderId="17" xfId="0" applyNumberFormat="1" applyFont="1" applyBorder="1"/>
    <xf numFmtId="172" fontId="14" fillId="0" borderId="17" xfId="1" applyNumberFormat="1" applyFont="1" applyBorder="1" applyAlignment="1">
      <alignment horizontal="right" vertical="center" wrapText="1"/>
    </xf>
    <xf numFmtId="172" fontId="23" fillId="0" borderId="17" xfId="1" applyNumberFormat="1" applyFont="1" applyBorder="1" applyAlignment="1">
      <alignment horizontal="right" vertical="center" wrapText="1"/>
    </xf>
    <xf numFmtId="172" fontId="23" fillId="0" borderId="17" xfId="1" applyNumberFormat="1" applyFont="1" applyBorder="1"/>
    <xf numFmtId="172" fontId="15" fillId="0" borderId="32" xfId="1" applyNumberFormat="1" applyFont="1" applyBorder="1" applyAlignment="1">
      <alignment vertical="center" wrapText="1"/>
    </xf>
    <xf numFmtId="0" fontId="14" fillId="0" borderId="30" xfId="2" applyFont="1" applyBorder="1" applyAlignment="1">
      <alignment horizontal="right" vertical="center" wrapText="1"/>
    </xf>
    <xf numFmtId="172" fontId="16" fillId="0" borderId="31" xfId="1" applyNumberFormat="1" applyFont="1" applyBorder="1" applyAlignment="1">
      <alignment vertical="center" wrapText="1"/>
    </xf>
    <xf numFmtId="172" fontId="14" fillId="0" borderId="33" xfId="1" applyNumberFormat="1" applyFont="1" applyBorder="1" applyAlignment="1">
      <alignment vertical="center" wrapText="1"/>
    </xf>
    <xf numFmtId="172" fontId="14" fillId="0" borderId="35" xfId="1" applyNumberFormat="1" applyFont="1" applyBorder="1" applyAlignment="1">
      <alignment vertical="center" wrapText="1"/>
    </xf>
    <xf numFmtId="172" fontId="14" fillId="0" borderId="31" xfId="1" applyNumberFormat="1" applyFont="1" applyBorder="1" applyAlignment="1">
      <alignment vertical="center" wrapText="1"/>
    </xf>
    <xf numFmtId="172" fontId="15" fillId="0" borderId="33" xfId="1" applyNumberFormat="1" applyFont="1" applyBorder="1" applyAlignment="1">
      <alignment wrapText="1"/>
    </xf>
    <xf numFmtId="171" fontId="14" fillId="0" borderId="34" xfId="2" applyNumberFormat="1" applyFont="1" applyBorder="1" applyAlignment="1">
      <alignment horizontal="right" wrapText="1"/>
    </xf>
    <xf numFmtId="171" fontId="14" fillId="0" borderId="17" xfId="2" applyNumberFormat="1" applyFont="1" applyBorder="1" applyAlignment="1">
      <alignment horizontal="right" wrapText="1"/>
    </xf>
    <xf numFmtId="0" fontId="12" fillId="3" borderId="17" xfId="0" applyFont="1" applyFill="1" applyBorder="1" applyAlignment="1">
      <alignment horizontal="right"/>
    </xf>
    <xf numFmtId="0" fontId="20" fillId="5" borderId="35" xfId="0" applyFont="1" applyFill="1" applyBorder="1" applyAlignment="1">
      <alignment horizontal="left" vertical="center" wrapText="1"/>
    </xf>
    <xf numFmtId="172" fontId="10" fillId="5" borderId="17" xfId="1" applyNumberFormat="1" applyFont="1" applyFill="1" applyBorder="1" applyAlignment="1">
      <alignment vertical="center" wrapText="1"/>
    </xf>
    <xf numFmtId="172" fontId="20" fillId="5" borderId="30" xfId="1" applyNumberFormat="1" applyFont="1" applyFill="1" applyBorder="1" applyAlignment="1">
      <alignment vertical="center" wrapText="1"/>
    </xf>
    <xf numFmtId="172" fontId="10" fillId="5" borderId="34" xfId="1" applyNumberFormat="1" applyFont="1" applyFill="1" applyBorder="1" applyAlignment="1">
      <alignment vertical="center" wrapText="1"/>
    </xf>
    <xf numFmtId="0" fontId="8" fillId="5" borderId="17" xfId="0" applyFont="1" applyFill="1" applyBorder="1"/>
    <xf numFmtId="0" fontId="20" fillId="5" borderId="35" xfId="0" applyFont="1" applyFill="1" applyBorder="1" applyAlignment="1">
      <alignment horizontal="right" vertical="center" wrapText="1"/>
    </xf>
    <xf numFmtId="10" fontId="10" fillId="5" borderId="17" xfId="9" applyNumberFormat="1" applyFont="1" applyFill="1" applyBorder="1" applyAlignment="1">
      <alignment horizontal="right" vertical="center" wrapText="1"/>
    </xf>
    <xf numFmtId="0" fontId="18" fillId="5" borderId="35" xfId="0" applyFont="1" applyFill="1" applyBorder="1" applyAlignment="1">
      <alignment horizontal="right" vertical="center" wrapText="1"/>
    </xf>
    <xf numFmtId="173" fontId="10" fillId="5" borderId="17" xfId="9" applyNumberFormat="1" applyFont="1" applyFill="1" applyBorder="1" applyAlignment="1">
      <alignment horizontal="right" vertical="center" wrapText="1"/>
    </xf>
    <xf numFmtId="0" fontId="21" fillId="5" borderId="35" xfId="0" applyFont="1" applyFill="1" applyBorder="1" applyAlignment="1">
      <alignment horizontal="center" wrapText="1"/>
    </xf>
    <xf numFmtId="172" fontId="22" fillId="5" borderId="17" xfId="1" applyNumberFormat="1" applyFont="1" applyFill="1" applyBorder="1" applyAlignment="1">
      <alignment vertical="center" wrapText="1"/>
    </xf>
    <xf numFmtId="14" fontId="20" fillId="5" borderId="35" xfId="0" applyNumberFormat="1" applyFont="1" applyFill="1" applyBorder="1" applyAlignment="1">
      <alignment wrapText="1"/>
    </xf>
    <xf numFmtId="172" fontId="20" fillId="5" borderId="33" xfId="1" applyNumberFormat="1" applyFont="1" applyFill="1" applyBorder="1" applyAlignment="1">
      <alignment vertical="center" wrapText="1"/>
    </xf>
    <xf numFmtId="0" fontId="19" fillId="5" borderId="35" xfId="0" applyFont="1" applyFill="1" applyBorder="1" applyAlignment="1">
      <alignment horizontal="right" wrapText="1"/>
    </xf>
    <xf numFmtId="172" fontId="10" fillId="5" borderId="17" xfId="1" applyNumberFormat="1" applyFont="1" applyFill="1" applyBorder="1" applyAlignment="1">
      <alignment horizontal="right" vertical="center" wrapText="1"/>
    </xf>
    <xf numFmtId="0" fontId="22" fillId="5" borderId="17" xfId="0" applyFont="1" applyFill="1" applyBorder="1" applyAlignment="1">
      <alignment horizontal="right" vertical="center" wrapText="1"/>
    </xf>
    <xf numFmtId="0" fontId="22" fillId="5" borderId="17" xfId="0" applyFont="1" applyFill="1" applyBorder="1" applyAlignment="1">
      <alignment horizontal="right"/>
    </xf>
    <xf numFmtId="43" fontId="10" fillId="5" borderId="17" xfId="1" applyFont="1" applyFill="1" applyBorder="1" applyAlignment="1">
      <alignment horizontal="right" vertical="center" wrapText="1"/>
    </xf>
    <xf numFmtId="0" fontId="17" fillId="3" borderId="35" xfId="0" applyFont="1" applyFill="1" applyBorder="1" applyAlignment="1">
      <alignment horizontal="right" wrapText="1"/>
    </xf>
    <xf numFmtId="172" fontId="25" fillId="0" borderId="17" xfId="1" applyNumberFormat="1" applyFont="1" applyFill="1" applyBorder="1" applyAlignment="1">
      <alignment horizontal="right" wrapText="1"/>
    </xf>
    <xf numFmtId="172" fontId="16" fillId="0" borderId="17" xfId="0" applyNumberFormat="1" applyFont="1" applyBorder="1" applyAlignment="1">
      <alignment horizontal="right" wrapText="1"/>
    </xf>
    <xf numFmtId="172" fontId="23" fillId="0" borderId="17" xfId="1" applyNumberFormat="1" applyFont="1" applyFill="1" applyBorder="1" applyAlignment="1">
      <alignment horizontal="right" wrapText="1"/>
    </xf>
    <xf numFmtId="0" fontId="17" fillId="0" borderId="17" xfId="0" applyFont="1" applyBorder="1" applyAlignment="1">
      <alignment horizontal="right" wrapText="1"/>
    </xf>
    <xf numFmtId="172" fontId="25" fillId="4" borderId="17" xfId="1" applyNumberFormat="1" applyFont="1" applyFill="1" applyBorder="1" applyAlignment="1">
      <alignment horizontal="right" wrapText="1"/>
    </xf>
    <xf numFmtId="172" fontId="23" fillId="4" borderId="17" xfId="1" applyNumberFormat="1" applyFont="1" applyFill="1" applyBorder="1" applyAlignment="1">
      <alignment horizontal="right" wrapText="1"/>
    </xf>
    <xf numFmtId="172" fontId="16" fillId="4" borderId="17" xfId="1" applyNumberFormat="1" applyFont="1" applyFill="1" applyBorder="1" applyAlignment="1">
      <alignment horizontal="right" vertical="center" wrapText="1"/>
    </xf>
    <xf numFmtId="172" fontId="25" fillId="4" borderId="28" xfId="1" applyNumberFormat="1" applyFont="1" applyFill="1" applyBorder="1" applyAlignment="1">
      <alignment horizontal="right" wrapText="1"/>
    </xf>
    <xf numFmtId="172" fontId="11" fillId="4" borderId="17" xfId="1" applyNumberFormat="1" applyFont="1" applyFill="1" applyBorder="1" applyAlignment="1">
      <alignment horizontal="right"/>
    </xf>
    <xf numFmtId="172" fontId="23" fillId="4" borderId="17" xfId="1" applyNumberFormat="1" applyFont="1" applyFill="1" applyBorder="1" applyAlignment="1">
      <alignment horizontal="right" vertical="center" wrapText="1"/>
    </xf>
    <xf numFmtId="172" fontId="16" fillId="4" borderId="30" xfId="1" applyNumberFormat="1" applyFont="1" applyFill="1" applyBorder="1" applyAlignment="1">
      <alignment horizontal="right" vertical="center" wrapText="1"/>
    </xf>
    <xf numFmtId="172" fontId="14" fillId="4" borderId="34" xfId="1" applyNumberFormat="1" applyFont="1" applyFill="1" applyBorder="1" applyAlignment="1">
      <alignment horizontal="right" vertical="center" wrapText="1"/>
    </xf>
    <xf numFmtId="9" fontId="14" fillId="4" borderId="17" xfId="9" applyFont="1" applyFill="1" applyBorder="1" applyAlignment="1">
      <alignment horizontal="right" vertical="center" wrapText="1"/>
    </xf>
    <xf numFmtId="0" fontId="11" fillId="4" borderId="17" xfId="0" applyFont="1" applyFill="1" applyBorder="1"/>
    <xf numFmtId="172" fontId="23" fillId="4" borderId="17" xfId="1" applyNumberFormat="1" applyFont="1" applyFill="1" applyBorder="1" applyAlignment="1">
      <alignment wrapText="1"/>
    </xf>
    <xf numFmtId="43" fontId="14" fillId="4" borderId="17" xfId="1" applyFont="1" applyFill="1" applyBorder="1" applyAlignment="1">
      <alignment wrapText="1"/>
    </xf>
    <xf numFmtId="43" fontId="23" fillId="4" borderId="17" xfId="1" applyFont="1" applyFill="1" applyBorder="1" applyAlignment="1">
      <alignment wrapText="1"/>
    </xf>
    <xf numFmtId="172" fontId="16" fillId="4" borderId="17" xfId="1" applyNumberFormat="1" applyFont="1" applyFill="1" applyBorder="1" applyAlignment="1">
      <alignment wrapText="1"/>
    </xf>
    <xf numFmtId="172" fontId="14" fillId="4" borderId="17" xfId="1" applyNumberFormat="1" applyFont="1" applyFill="1" applyBorder="1" applyAlignment="1">
      <alignment wrapText="1"/>
    </xf>
    <xf numFmtId="172" fontId="25" fillId="4" borderId="17" xfId="1" applyNumberFormat="1" applyFont="1" applyFill="1" applyBorder="1" applyAlignment="1">
      <alignment wrapText="1"/>
    </xf>
    <xf numFmtId="172" fontId="15" fillId="4" borderId="28" xfId="1" applyNumberFormat="1" applyFont="1" applyFill="1" applyBorder="1" applyAlignment="1">
      <alignment wrapText="1"/>
    </xf>
    <xf numFmtId="174" fontId="14" fillId="4" borderId="17" xfId="1" applyNumberFormat="1" applyFont="1" applyFill="1" applyBorder="1" applyAlignment="1">
      <alignment wrapText="1"/>
    </xf>
    <xf numFmtId="172" fontId="10" fillId="0" borderId="17" xfId="1" applyNumberFormat="1" applyFont="1" applyBorder="1"/>
    <xf numFmtId="172" fontId="9" fillId="0" borderId="17" xfId="1" applyNumberFormat="1" applyFont="1" applyBorder="1"/>
    <xf numFmtId="172" fontId="9" fillId="0" borderId="17" xfId="0" applyNumberFormat="1" applyFont="1" applyBorder="1"/>
    <xf numFmtId="172" fontId="28" fillId="0" borderId="17" xfId="1" applyNumberFormat="1" applyFont="1" applyBorder="1"/>
    <xf numFmtId="0" fontId="19" fillId="5" borderId="35" xfId="0" applyFont="1" applyFill="1" applyBorder="1" applyAlignment="1">
      <alignment horizontal="center" vertical="center" wrapText="1"/>
    </xf>
    <xf numFmtId="172" fontId="10" fillId="5" borderId="34" xfId="1" applyNumberFormat="1" applyFont="1" applyFill="1" applyBorder="1" applyAlignment="1">
      <alignment wrapText="1"/>
    </xf>
    <xf numFmtId="0" fontId="19" fillId="5" borderId="35" xfId="0" applyFont="1" applyFill="1" applyBorder="1" applyAlignment="1">
      <alignment horizontal="right" vertical="center" wrapText="1"/>
    </xf>
    <xf numFmtId="167" fontId="19" fillId="5" borderId="35" xfId="0" applyNumberFormat="1" applyFont="1" applyFill="1" applyBorder="1" applyAlignment="1">
      <alignment horizontal="left" vertical="center" wrapText="1"/>
    </xf>
    <xf numFmtId="172" fontId="21" fillId="5" borderId="35" xfId="0" applyNumberFormat="1" applyFont="1" applyFill="1" applyBorder="1" applyAlignment="1">
      <alignment horizontal="center" wrapText="1"/>
    </xf>
    <xf numFmtId="172" fontId="10" fillId="0" borderId="17" xfId="1" applyNumberFormat="1" applyFont="1" applyFill="1" applyBorder="1" applyAlignment="1">
      <alignment vertical="center" wrapText="1"/>
    </xf>
    <xf numFmtId="172" fontId="20" fillId="0" borderId="30" xfId="1" applyNumberFormat="1" applyFont="1" applyFill="1" applyBorder="1" applyAlignment="1">
      <alignment vertical="center" wrapText="1"/>
    </xf>
    <xf numFmtId="172" fontId="10" fillId="0" borderId="34" xfId="1" applyNumberFormat="1" applyFont="1" applyFill="1" applyBorder="1" applyAlignment="1">
      <alignment wrapText="1"/>
    </xf>
    <xf numFmtId="0" fontId="19" fillId="0" borderId="35" xfId="0" applyFont="1" applyBorder="1" applyAlignment="1">
      <alignment horizontal="center" vertical="center" wrapText="1"/>
    </xf>
    <xf numFmtId="0" fontId="20" fillId="0" borderId="35" xfId="0" applyFont="1" applyBorder="1" applyAlignment="1">
      <alignment horizontal="right" vertical="center" wrapText="1"/>
    </xf>
    <xf numFmtId="10" fontId="10" fillId="0" borderId="17" xfId="9" applyNumberFormat="1" applyFont="1" applyFill="1" applyBorder="1" applyAlignment="1">
      <alignment horizontal="right" vertical="center" wrapText="1"/>
    </xf>
    <xf numFmtId="172" fontId="10" fillId="0" borderId="17" xfId="1" applyNumberFormat="1" applyFont="1" applyFill="1" applyBorder="1"/>
    <xf numFmtId="172" fontId="18" fillId="0" borderId="35" xfId="0" applyNumberFormat="1" applyFont="1" applyBorder="1" applyAlignment="1">
      <alignment horizontal="right" vertical="center" wrapText="1"/>
    </xf>
    <xf numFmtId="173" fontId="10" fillId="0" borderId="17" xfId="9" applyNumberFormat="1" applyFont="1" applyFill="1" applyBorder="1" applyAlignment="1">
      <alignment horizontal="right" vertical="center" wrapText="1"/>
    </xf>
    <xf numFmtId="172" fontId="21" fillId="0" borderId="35" xfId="0" applyNumberFormat="1" applyFont="1" applyBorder="1" applyAlignment="1">
      <alignment horizontal="center" wrapText="1"/>
    </xf>
    <xf numFmtId="0" fontId="19" fillId="0" borderId="35" xfId="0" applyFont="1" applyBorder="1" applyAlignment="1">
      <alignment horizontal="right" vertical="center" wrapText="1"/>
    </xf>
    <xf numFmtId="172" fontId="20" fillId="0" borderId="33" xfId="1" applyNumberFormat="1" applyFont="1" applyFill="1" applyBorder="1" applyAlignment="1">
      <alignment vertical="center" wrapText="1"/>
    </xf>
    <xf numFmtId="0" fontId="19" fillId="0" borderId="35" xfId="0" applyFont="1" applyBorder="1" applyAlignment="1">
      <alignment horizontal="right" wrapText="1"/>
    </xf>
    <xf numFmtId="172" fontId="10" fillId="0" borderId="17" xfId="1" applyNumberFormat="1" applyFont="1" applyFill="1" applyBorder="1" applyAlignment="1">
      <alignment horizontal="right" vertical="center" wrapText="1"/>
    </xf>
    <xf numFmtId="0" fontId="22" fillId="0" borderId="17" xfId="0" applyFont="1" applyBorder="1" applyAlignment="1">
      <alignment horizontal="right" vertical="center" wrapText="1"/>
    </xf>
    <xf numFmtId="0" fontId="22" fillId="0" borderId="17" xfId="0" applyFont="1" applyBorder="1" applyAlignment="1">
      <alignment horizontal="right"/>
    </xf>
    <xf numFmtId="43" fontId="10" fillId="0" borderId="17" xfId="1" applyFont="1" applyFill="1" applyBorder="1" applyAlignment="1">
      <alignment horizontal="right" vertical="center" wrapText="1"/>
    </xf>
    <xf numFmtId="172" fontId="11" fillId="0" borderId="17" xfId="1" applyNumberFormat="1" applyFont="1" applyFill="1" applyBorder="1" applyAlignment="1">
      <alignment horizontal="right"/>
    </xf>
    <xf numFmtId="172" fontId="23" fillId="0" borderId="17" xfId="1" applyNumberFormat="1" applyFont="1" applyFill="1" applyBorder="1" applyAlignment="1">
      <alignment horizontal="right" vertical="center" wrapText="1"/>
    </xf>
    <xf numFmtId="172" fontId="16" fillId="0" borderId="30" xfId="1" applyNumberFormat="1" applyFont="1" applyFill="1" applyBorder="1" applyAlignment="1">
      <alignment horizontal="right" vertical="center" wrapText="1"/>
    </xf>
    <xf numFmtId="172" fontId="14" fillId="0" borderId="34" xfId="1" applyNumberFormat="1" applyFont="1" applyFill="1" applyBorder="1" applyAlignment="1">
      <alignment horizontal="right" vertical="center" wrapText="1"/>
    </xf>
    <xf numFmtId="172" fontId="14" fillId="9" borderId="34" xfId="1" applyNumberFormat="1" applyFont="1" applyFill="1" applyBorder="1" applyAlignment="1">
      <alignment horizontal="right" vertical="center" wrapText="1"/>
    </xf>
    <xf numFmtId="172" fontId="25" fillId="9" borderId="17" xfId="1" applyNumberFormat="1" applyFont="1" applyFill="1" applyBorder="1" applyAlignment="1">
      <alignment horizontal="right" wrapText="1"/>
    </xf>
    <xf numFmtId="9" fontId="14" fillId="9" borderId="17" xfId="9" applyFont="1" applyFill="1" applyBorder="1" applyAlignment="1">
      <alignment horizontal="right" vertical="center" wrapText="1"/>
    </xf>
    <xf numFmtId="172" fontId="11" fillId="9" borderId="17" xfId="1" applyNumberFormat="1" applyFont="1" applyFill="1" applyBorder="1" applyAlignment="1">
      <alignment horizontal="right"/>
    </xf>
    <xf numFmtId="172" fontId="23" fillId="9" borderId="17" xfId="1" applyNumberFormat="1" applyFont="1" applyFill="1" applyBorder="1" applyAlignment="1">
      <alignment horizontal="right" vertical="center" wrapText="1"/>
    </xf>
    <xf numFmtId="170" fontId="23" fillId="9" borderId="17" xfId="0" applyNumberFormat="1" applyFont="1" applyFill="1" applyBorder="1" applyAlignment="1">
      <alignment horizontal="right" vertical="center" wrapText="1"/>
    </xf>
    <xf numFmtId="172" fontId="25" fillId="0" borderId="17" xfId="1" applyNumberFormat="1" applyFont="1" applyFill="1" applyBorder="1" applyAlignment="1">
      <alignment wrapText="1"/>
    </xf>
    <xf numFmtId="172" fontId="15" fillId="0" borderId="28" xfId="1" applyNumberFormat="1" applyFont="1" applyFill="1" applyBorder="1" applyAlignment="1">
      <alignment wrapText="1"/>
    </xf>
    <xf numFmtId="174" fontId="14" fillId="0" borderId="17" xfId="1" applyNumberFormat="1" applyFont="1" applyFill="1" applyBorder="1" applyAlignment="1">
      <alignment wrapText="1"/>
    </xf>
    <xf numFmtId="172" fontId="10" fillId="5" borderId="17" xfId="1" applyNumberFormat="1" applyFont="1" applyFill="1" applyBorder="1"/>
    <xf numFmtId="172" fontId="18" fillId="5" borderId="35" xfId="0" applyNumberFormat="1" applyFont="1" applyFill="1" applyBorder="1" applyAlignment="1">
      <alignment horizontal="right" vertical="center" wrapText="1"/>
    </xf>
    <xf numFmtId="170" fontId="23" fillId="4" borderId="17" xfId="0" applyNumberFormat="1" applyFont="1" applyFill="1" applyBorder="1" applyAlignment="1">
      <alignment horizontal="right" vertical="center" wrapText="1"/>
    </xf>
    <xf numFmtId="172" fontId="29" fillId="0" borderId="17" xfId="1" applyNumberFormat="1" applyFont="1" applyBorder="1"/>
    <xf numFmtId="172" fontId="27" fillId="0" borderId="17" xfId="1" applyNumberFormat="1" applyFont="1" applyBorder="1"/>
    <xf numFmtId="0" fontId="8" fillId="3" borderId="17" xfId="0" applyFont="1" applyFill="1" applyBorder="1"/>
    <xf numFmtId="9" fontId="8" fillId="0" borderId="17" xfId="9" applyFont="1" applyBorder="1"/>
    <xf numFmtId="172" fontId="22" fillId="0" borderId="17" xfId="1" applyNumberFormat="1" applyFont="1" applyBorder="1"/>
    <xf numFmtId="9" fontId="22" fillId="0" borderId="17" xfId="9" applyFont="1" applyBorder="1"/>
    <xf numFmtId="43" fontId="22" fillId="0" borderId="17" xfId="1" applyFont="1" applyBorder="1"/>
    <xf numFmtId="177" fontId="22" fillId="0" borderId="17" xfId="1" applyNumberFormat="1" applyFont="1" applyBorder="1"/>
    <xf numFmtId="173" fontId="22" fillId="0" borderId="17" xfId="9" applyNumberFormat="1" applyFont="1" applyBorder="1"/>
    <xf numFmtId="172" fontId="22" fillId="0" borderId="17" xfId="9" applyNumberFormat="1" applyFont="1" applyBorder="1"/>
    <xf numFmtId="172" fontId="28" fillId="0" borderId="17" xfId="0" applyNumberFormat="1" applyFont="1" applyBorder="1"/>
    <xf numFmtId="172" fontId="8" fillId="0" borderId="17" xfId="0" applyNumberFormat="1" applyFont="1" applyBorder="1"/>
    <xf numFmtId="173" fontId="8" fillId="0" borderId="17" xfId="9" applyNumberFormat="1" applyFont="1" applyBorder="1"/>
    <xf numFmtId="172" fontId="8" fillId="0" borderId="17" xfId="9" applyNumberFormat="1" applyFont="1" applyBorder="1"/>
    <xf numFmtId="43" fontId="27" fillId="0" borderId="17" xfId="1" applyFont="1" applyBorder="1"/>
    <xf numFmtId="43" fontId="27" fillId="0" borderId="17" xfId="9" applyNumberFormat="1" applyFont="1" applyBorder="1"/>
    <xf numFmtId="0" fontId="12" fillId="8" borderId="17" xfId="0" applyFont="1" applyFill="1" applyBorder="1" applyAlignment="1">
      <alignment horizontal="right"/>
    </xf>
    <xf numFmtId="0" fontId="12" fillId="8" borderId="18" xfId="0" applyFont="1" applyFill="1" applyBorder="1" applyAlignment="1">
      <alignment horizontal="right"/>
    </xf>
    <xf numFmtId="172" fontId="29" fillId="0" borderId="18" xfId="1" applyNumberFormat="1" applyFont="1" applyBorder="1"/>
    <xf numFmtId="172" fontId="27" fillId="0" borderId="18" xfId="1" applyNumberFormat="1" applyFont="1" applyBorder="1"/>
    <xf numFmtId="0" fontId="8" fillId="3" borderId="18" xfId="0" applyFont="1" applyFill="1" applyBorder="1"/>
    <xf numFmtId="172" fontId="22" fillId="0" borderId="18" xfId="1" applyNumberFormat="1" applyFont="1" applyBorder="1"/>
    <xf numFmtId="9" fontId="8" fillId="0" borderId="18" xfId="9" applyFont="1" applyBorder="1"/>
    <xf numFmtId="9" fontId="22" fillId="0" borderId="18" xfId="9" applyFont="1" applyBorder="1"/>
    <xf numFmtId="43" fontId="10" fillId="0" borderId="18" xfId="1" applyFont="1" applyBorder="1"/>
    <xf numFmtId="173" fontId="22" fillId="0" borderId="18" xfId="9" applyNumberFormat="1" applyFont="1" applyBorder="1"/>
    <xf numFmtId="172" fontId="28" fillId="0" borderId="18" xfId="1" applyNumberFormat="1" applyFont="1" applyBorder="1"/>
    <xf numFmtId="172" fontId="8" fillId="0" borderId="18" xfId="0" applyNumberFormat="1" applyFont="1" applyBorder="1"/>
    <xf numFmtId="172" fontId="22" fillId="0" borderId="18" xfId="0" applyNumberFormat="1" applyFont="1" applyBorder="1"/>
    <xf numFmtId="0" fontId="16" fillId="0" borderId="18" xfId="0" applyFont="1" applyBorder="1" applyAlignment="1">
      <alignment horizontal="right"/>
    </xf>
    <xf numFmtId="172" fontId="16" fillId="0" borderId="18" xfId="1" applyNumberFormat="1" applyFont="1" applyFill="1" applyBorder="1" applyAlignment="1">
      <alignment horizontal="right"/>
    </xf>
    <xf numFmtId="172" fontId="16" fillId="0" borderId="18" xfId="0" applyNumberFormat="1" applyFont="1" applyBorder="1" applyAlignment="1">
      <alignment horizontal="right"/>
    </xf>
    <xf numFmtId="172" fontId="26" fillId="0" borderId="18" xfId="0" applyNumberFormat="1" applyFont="1" applyBorder="1" applyAlignment="1">
      <alignment horizontal="right"/>
    </xf>
    <xf numFmtId="0" fontId="22" fillId="0" borderId="18" xfId="0" applyFont="1" applyBorder="1"/>
    <xf numFmtId="173" fontId="34" fillId="0" borderId="18" xfId="9" applyNumberFormat="1" applyFont="1" applyBorder="1"/>
    <xf numFmtId="172" fontId="28" fillId="0" borderId="21" xfId="1" applyNumberFormat="1" applyFont="1" applyBorder="1"/>
    <xf numFmtId="173" fontId="38" fillId="0" borderId="18" xfId="9" applyNumberFormat="1" applyFont="1" applyBorder="1"/>
    <xf numFmtId="172" fontId="36" fillId="0" borderId="18" xfId="1" applyNumberFormat="1" applyFont="1" applyBorder="1"/>
    <xf numFmtId="172" fontId="38" fillId="0" borderId="18" xfId="1" applyNumberFormat="1" applyFont="1" applyBorder="1"/>
    <xf numFmtId="43" fontId="8" fillId="0" borderId="18" xfId="0" applyNumberFormat="1" applyFont="1" applyBorder="1"/>
    <xf numFmtId="172" fontId="9" fillId="0" borderId="18" xfId="0" applyNumberFormat="1" applyFont="1" applyBorder="1"/>
    <xf numFmtId="0" fontId="12" fillId="2" borderId="18" xfId="0" applyFont="1" applyFill="1" applyBorder="1" applyAlignment="1">
      <alignment horizontal="right"/>
    </xf>
    <xf numFmtId="172" fontId="25" fillId="0" borderId="18" xfId="1" applyNumberFormat="1" applyFont="1" applyFill="1" applyBorder="1" applyAlignment="1">
      <alignment horizontal="right"/>
    </xf>
    <xf numFmtId="172" fontId="25" fillId="0" borderId="21" xfId="1" applyNumberFormat="1" applyFont="1" applyFill="1" applyBorder="1" applyAlignment="1">
      <alignment horizontal="right"/>
    </xf>
    <xf numFmtId="172" fontId="25" fillId="0" borderId="16" xfId="1" applyNumberFormat="1" applyFont="1" applyFill="1" applyBorder="1" applyAlignment="1">
      <alignment horizontal="right"/>
    </xf>
    <xf numFmtId="172" fontId="27" fillId="0" borderId="20" xfId="1" applyNumberFormat="1" applyFont="1" applyBorder="1"/>
    <xf numFmtId="43" fontId="22" fillId="0" borderId="18" xfId="1" applyFont="1" applyBorder="1"/>
    <xf numFmtId="43" fontId="27" fillId="0" borderId="18" xfId="1" applyFont="1" applyBorder="1"/>
    <xf numFmtId="173" fontId="33" fillId="0" borderId="18" xfId="9" applyNumberFormat="1" applyFont="1" applyBorder="1"/>
    <xf numFmtId="10" fontId="29" fillId="0" borderId="18" xfId="1" applyNumberFormat="1" applyFont="1" applyBorder="1"/>
    <xf numFmtId="173" fontId="27" fillId="0" borderId="18" xfId="9" applyNumberFormat="1" applyFont="1" applyBorder="1"/>
    <xf numFmtId="172" fontId="27" fillId="0" borderId="18" xfId="9" applyNumberFormat="1" applyFont="1" applyBorder="1"/>
    <xf numFmtId="43" fontId="34" fillId="0" borderId="18" xfId="1" applyFont="1" applyBorder="1"/>
    <xf numFmtId="43" fontId="35" fillId="0" borderId="18" xfId="1" applyFont="1" applyBorder="1"/>
    <xf numFmtId="172" fontId="29" fillId="9" borderId="18" xfId="1" applyNumberFormat="1" applyFont="1" applyFill="1" applyBorder="1"/>
    <xf numFmtId="43" fontId="34" fillId="9" borderId="18" xfId="1" applyFont="1" applyFill="1" applyBorder="1"/>
    <xf numFmtId="43" fontId="35" fillId="9" borderId="18" xfId="1" applyFont="1" applyFill="1" applyBorder="1"/>
    <xf numFmtId="172" fontId="22" fillId="9" borderId="18" xfId="1" applyNumberFormat="1" applyFont="1" applyFill="1" applyBorder="1"/>
    <xf numFmtId="172" fontId="27" fillId="9" borderId="18" xfId="1" applyNumberFormat="1" applyFont="1" applyFill="1" applyBorder="1"/>
    <xf numFmtId="0" fontId="23" fillId="3" borderId="18" xfId="0" applyFont="1" applyFill="1" applyBorder="1"/>
    <xf numFmtId="172" fontId="29" fillId="0" borderId="21" xfId="1" applyNumberFormat="1" applyFont="1" applyBorder="1"/>
    <xf numFmtId="172" fontId="28" fillId="0" borderId="16" xfId="1" applyNumberFormat="1" applyFont="1" applyBorder="1"/>
    <xf numFmtId="172" fontId="22" fillId="0" borderId="16" xfId="1" applyNumberFormat="1" applyFont="1" applyBorder="1"/>
    <xf numFmtId="172" fontId="22" fillId="0" borderId="21" xfId="1" applyNumberFormat="1" applyFont="1" applyBorder="1"/>
    <xf numFmtId="172" fontId="28" fillId="0" borderId="22" xfId="1" applyNumberFormat="1" applyFont="1" applyBorder="1"/>
    <xf numFmtId="172" fontId="9" fillId="0" borderId="21" xfId="1" applyNumberFormat="1" applyFont="1" applyBorder="1"/>
    <xf numFmtId="172" fontId="9" fillId="0" borderId="22" xfId="1" applyNumberFormat="1" applyFont="1" applyBorder="1"/>
    <xf numFmtId="173" fontId="8" fillId="0" borderId="18" xfId="9" applyNumberFormat="1" applyFont="1" applyBorder="1"/>
    <xf numFmtId="0" fontId="11" fillId="11" borderId="18" xfId="0" applyFont="1" applyFill="1" applyBorder="1" applyAlignment="1">
      <alignment horizontal="centerContinuous"/>
    </xf>
    <xf numFmtId="0" fontId="8" fillId="9" borderId="18" xfId="0" applyFont="1" applyFill="1" applyBorder="1"/>
    <xf numFmtId="172" fontId="22" fillId="9" borderId="16" xfId="0" applyNumberFormat="1" applyFont="1" applyFill="1" applyBorder="1"/>
    <xf numFmtId="172" fontId="28" fillId="9" borderId="22" xfId="0" applyNumberFormat="1" applyFont="1" applyFill="1" applyBorder="1"/>
    <xf numFmtId="172" fontId="22" fillId="9" borderId="22" xfId="0" applyNumberFormat="1" applyFont="1" applyFill="1" applyBorder="1"/>
    <xf numFmtId="172" fontId="28" fillId="9" borderId="20" xfId="0" applyNumberFormat="1" applyFont="1" applyFill="1" applyBorder="1"/>
    <xf numFmtId="172" fontId="11" fillId="9" borderId="18" xfId="0" applyNumberFormat="1" applyFont="1" applyFill="1" applyBorder="1"/>
    <xf numFmtId="172" fontId="28" fillId="9" borderId="16" xfId="0" applyNumberFormat="1" applyFont="1" applyFill="1" applyBorder="1"/>
    <xf numFmtId="172" fontId="9" fillId="9" borderId="16" xfId="0" applyNumberFormat="1" applyFont="1" applyFill="1" applyBorder="1"/>
    <xf numFmtId="172" fontId="8" fillId="9" borderId="18" xfId="0" applyNumberFormat="1" applyFont="1" applyFill="1" applyBorder="1"/>
    <xf numFmtId="172" fontId="8" fillId="9" borderId="22" xfId="0" applyNumberFormat="1" applyFont="1" applyFill="1" applyBorder="1"/>
    <xf numFmtId="172" fontId="22" fillId="9" borderId="18" xfId="0" applyNumberFormat="1" applyFont="1" applyFill="1" applyBorder="1"/>
    <xf numFmtId="172" fontId="9" fillId="9" borderId="22" xfId="0" applyNumberFormat="1" applyFont="1" applyFill="1" applyBorder="1"/>
    <xf numFmtId="173" fontId="8" fillId="9" borderId="18" xfId="9" applyNumberFormat="1" applyFont="1" applyFill="1" applyBorder="1"/>
    <xf numFmtId="172" fontId="22" fillId="0" borderId="16" xfId="0" applyNumberFormat="1" applyFont="1" applyBorder="1"/>
    <xf numFmtId="172" fontId="28" fillId="0" borderId="22" xfId="0" applyNumberFormat="1" applyFont="1" applyBorder="1"/>
    <xf numFmtId="172" fontId="22" fillId="0" borderId="22" xfId="0" applyNumberFormat="1" applyFont="1" applyBorder="1"/>
    <xf numFmtId="172" fontId="28" fillId="0" borderId="20" xfId="0" applyNumberFormat="1" applyFont="1" applyBorder="1"/>
    <xf numFmtId="172" fontId="11" fillId="0" borderId="18" xfId="0" applyNumberFormat="1" applyFont="1" applyBorder="1"/>
    <xf numFmtId="172" fontId="28" fillId="0" borderId="16" xfId="0" applyNumberFormat="1" applyFont="1" applyBorder="1"/>
    <xf numFmtId="172" fontId="9" fillId="0" borderId="16" xfId="0" applyNumberFormat="1" applyFont="1" applyBorder="1"/>
    <xf numFmtId="172" fontId="8" fillId="0" borderId="22" xfId="0" applyNumberFormat="1" applyFont="1" applyBorder="1"/>
    <xf numFmtId="172" fontId="9" fillId="0" borderId="22" xfId="0" applyNumberFormat="1" applyFont="1" applyBorder="1"/>
    <xf numFmtId="185" fontId="12" fillId="8" borderId="18" xfId="0" applyNumberFormat="1" applyFont="1" applyFill="1" applyBorder="1" applyAlignment="1">
      <alignment horizontal="right"/>
    </xf>
    <xf numFmtId="172" fontId="9" fillId="9" borderId="7" xfId="0" applyNumberFormat="1" applyFont="1" applyFill="1" applyBorder="1"/>
    <xf numFmtId="172" fontId="8" fillId="9" borderId="9" xfId="1" applyNumberFormat="1" applyFont="1" applyFill="1" applyBorder="1"/>
    <xf numFmtId="172" fontId="8" fillId="9" borderId="8" xfId="1" applyNumberFormat="1" applyFont="1" applyFill="1" applyBorder="1"/>
    <xf numFmtId="172" fontId="8" fillId="9" borderId="19" xfId="1" applyNumberFormat="1" applyFont="1" applyFill="1" applyBorder="1"/>
    <xf numFmtId="172" fontId="8" fillId="9" borderId="0" xfId="1" applyNumberFormat="1" applyFont="1" applyFill="1" applyBorder="1"/>
    <xf numFmtId="172" fontId="8" fillId="9" borderId="7" xfId="1" applyNumberFormat="1" applyFont="1" applyFill="1" applyBorder="1"/>
    <xf numFmtId="172" fontId="9" fillId="9" borderId="10" xfId="1" applyNumberFormat="1" applyFont="1" applyFill="1" applyBorder="1"/>
    <xf numFmtId="172" fontId="9" fillId="0" borderId="28" xfId="0" applyNumberFormat="1" applyFont="1" applyBorder="1"/>
    <xf numFmtId="172" fontId="9" fillId="0" borderId="15" xfId="0" applyNumberFormat="1" applyFont="1" applyBorder="1"/>
    <xf numFmtId="172" fontId="8" fillId="0" borderId="29" xfId="0" applyNumberFormat="1" applyFont="1" applyBorder="1"/>
    <xf numFmtId="43" fontId="8" fillId="0" borderId="17" xfId="0" applyNumberFormat="1" applyFont="1" applyBorder="1"/>
    <xf numFmtId="172" fontId="8" fillId="0" borderId="15" xfId="1" applyNumberFormat="1" applyFont="1" applyBorder="1"/>
    <xf numFmtId="172" fontId="8" fillId="0" borderId="29" xfId="1" applyNumberFormat="1" applyFont="1" applyBorder="1"/>
    <xf numFmtId="172" fontId="8" fillId="0" borderId="36" xfId="1" applyNumberFormat="1" applyFont="1" applyBorder="1"/>
    <xf numFmtId="172" fontId="8" fillId="0" borderId="28" xfId="1" applyNumberFormat="1" applyFont="1" applyBorder="1"/>
    <xf numFmtId="172" fontId="9" fillId="0" borderId="27" xfId="1" applyNumberFormat="1" applyFont="1" applyBorder="1"/>
    <xf numFmtId="0" fontId="8" fillId="3" borderId="24" xfId="0" applyFont="1" applyFill="1" applyBorder="1"/>
    <xf numFmtId="172" fontId="8" fillId="0" borderId="24" xfId="1" applyNumberFormat="1" applyFont="1" applyBorder="1"/>
    <xf numFmtId="172" fontId="9" fillId="0" borderId="25" xfId="0" applyNumberFormat="1" applyFont="1" applyBorder="1"/>
    <xf numFmtId="172" fontId="9" fillId="0" borderId="14" xfId="0" applyNumberFormat="1" applyFont="1" applyBorder="1"/>
    <xf numFmtId="172" fontId="9" fillId="0" borderId="24" xfId="0" applyNumberFormat="1" applyFont="1" applyBorder="1"/>
    <xf numFmtId="172" fontId="8" fillId="0" borderId="24" xfId="0" applyNumberFormat="1" applyFont="1" applyBorder="1"/>
    <xf numFmtId="172" fontId="8" fillId="0" borderId="26" xfId="0" applyNumberFormat="1" applyFont="1" applyBorder="1"/>
    <xf numFmtId="43" fontId="8" fillId="0" borderId="24" xfId="0" applyNumberFormat="1" applyFont="1" applyBorder="1"/>
    <xf numFmtId="172" fontId="8" fillId="0" borderId="14" xfId="1" applyNumberFormat="1" applyFont="1" applyBorder="1"/>
    <xf numFmtId="172" fontId="8" fillId="0" borderId="26" xfId="1" applyNumberFormat="1" applyFont="1" applyBorder="1"/>
    <xf numFmtId="172" fontId="8" fillId="0" borderId="37" xfId="1" applyNumberFormat="1" applyFont="1" applyBorder="1"/>
    <xf numFmtId="172" fontId="8" fillId="0" borderId="25" xfId="1" applyNumberFormat="1" applyFont="1" applyBorder="1"/>
    <xf numFmtId="172" fontId="9" fillId="0" borderId="23" xfId="1" applyNumberFormat="1" applyFont="1" applyBorder="1"/>
    <xf numFmtId="0" fontId="12" fillId="2" borderId="28" xfId="0" applyFont="1" applyFill="1" applyBorder="1" applyAlignment="1">
      <alignment horizontal="right"/>
    </xf>
    <xf numFmtId="0" fontId="12" fillId="2" borderId="7" xfId="0" applyFont="1" applyFill="1" applyBorder="1" applyAlignment="1">
      <alignment horizontal="right"/>
    </xf>
    <xf numFmtId="0" fontId="12" fillId="2" borderId="25" xfId="0" applyFont="1" applyFill="1" applyBorder="1" applyAlignment="1">
      <alignment horizontal="right"/>
    </xf>
    <xf numFmtId="185" fontId="12" fillId="8" borderId="7" xfId="0" applyNumberFormat="1" applyFont="1" applyFill="1" applyBorder="1" applyAlignment="1">
      <alignment horizontal="right"/>
    </xf>
    <xf numFmtId="185" fontId="12" fillId="8" borderId="21" xfId="0" applyNumberFormat="1" applyFont="1" applyFill="1" applyBorder="1" applyAlignment="1">
      <alignment horizontal="right"/>
    </xf>
    <xf numFmtId="172" fontId="8" fillId="9" borderId="18" xfId="1" applyNumberFormat="1" applyFont="1" applyFill="1" applyBorder="1"/>
    <xf numFmtId="172" fontId="9" fillId="9" borderId="21" xfId="0" applyNumberFormat="1" applyFont="1" applyFill="1" applyBorder="1"/>
    <xf numFmtId="172" fontId="9" fillId="9" borderId="18" xfId="0" applyNumberFormat="1" applyFont="1" applyFill="1" applyBorder="1"/>
    <xf numFmtId="43" fontId="8" fillId="9" borderId="18" xfId="0" applyNumberFormat="1" applyFont="1" applyFill="1" applyBorder="1"/>
    <xf numFmtId="172" fontId="8" fillId="9" borderId="16" xfId="1" applyNumberFormat="1" applyFont="1" applyFill="1" applyBorder="1"/>
    <xf numFmtId="172" fontId="8" fillId="9" borderId="22" xfId="1" applyNumberFormat="1" applyFont="1" applyFill="1" applyBorder="1"/>
    <xf numFmtId="172" fontId="8" fillId="9" borderId="38" xfId="1" applyNumberFormat="1" applyFont="1" applyFill="1" applyBorder="1"/>
    <xf numFmtId="172" fontId="8" fillId="9" borderId="21" xfId="1" applyNumberFormat="1" applyFont="1" applyFill="1" applyBorder="1"/>
    <xf numFmtId="172" fontId="9" fillId="9" borderId="20" xfId="1" applyNumberFormat="1" applyFont="1" applyFill="1" applyBorder="1"/>
    <xf numFmtId="172" fontId="8" fillId="9" borderId="24" xfId="1" applyNumberFormat="1" applyFont="1" applyFill="1" applyBorder="1"/>
    <xf numFmtId="172" fontId="9" fillId="9" borderId="25" xfId="0" applyNumberFormat="1" applyFont="1" applyFill="1" applyBorder="1"/>
    <xf numFmtId="172" fontId="9" fillId="9" borderId="14" xfId="0" applyNumberFormat="1" applyFont="1" applyFill="1" applyBorder="1"/>
    <xf numFmtId="0" fontId="8" fillId="9" borderId="24" xfId="0" applyFont="1" applyFill="1" applyBorder="1"/>
    <xf numFmtId="172" fontId="9" fillId="9" borderId="24" xfId="0" applyNumberFormat="1" applyFont="1" applyFill="1" applyBorder="1"/>
    <xf numFmtId="172" fontId="8" fillId="9" borderId="24" xfId="0" applyNumberFormat="1" applyFont="1" applyFill="1" applyBorder="1"/>
    <xf numFmtId="172" fontId="8" fillId="9" borderId="26" xfId="0" applyNumberFormat="1" applyFont="1" applyFill="1" applyBorder="1"/>
    <xf numFmtId="43" fontId="8" fillId="9" borderId="24" xfId="0" applyNumberFormat="1" applyFont="1" applyFill="1" applyBorder="1"/>
    <xf numFmtId="172" fontId="8" fillId="9" borderId="14" xfId="1" applyNumberFormat="1" applyFont="1" applyFill="1" applyBorder="1"/>
    <xf numFmtId="172" fontId="8" fillId="9" borderId="26" xfId="1" applyNumberFormat="1" applyFont="1" applyFill="1" applyBorder="1"/>
    <xf numFmtId="172" fontId="8" fillId="9" borderId="37" xfId="1" applyNumberFormat="1" applyFont="1" applyFill="1" applyBorder="1"/>
    <xf numFmtId="172" fontId="8" fillId="9" borderId="25" xfId="1" applyNumberFormat="1" applyFont="1" applyFill="1" applyBorder="1"/>
    <xf numFmtId="172" fontId="9" fillId="9" borderId="23" xfId="1" applyNumberFormat="1" applyFont="1" applyFill="1" applyBorder="1"/>
    <xf numFmtId="172" fontId="9" fillId="9" borderId="0" xfId="1" applyNumberFormat="1" applyFont="1" applyFill="1" applyBorder="1"/>
    <xf numFmtId="0" fontId="9" fillId="0" borderId="0" xfId="0" applyFont="1" applyAlignment="1">
      <alignment horizontal="center"/>
    </xf>
    <xf numFmtId="172" fontId="14" fillId="0" borderId="4" xfId="1" applyNumberFormat="1" applyFont="1" applyFill="1" applyBorder="1" applyAlignment="1">
      <alignment vertical="center"/>
    </xf>
    <xf numFmtId="172" fontId="14" fillId="0" borderId="4" xfId="1" applyNumberFormat="1" applyFont="1" applyFill="1" applyBorder="1" applyAlignment="1">
      <alignment vertical="center" wrapText="1"/>
    </xf>
    <xf numFmtId="0" fontId="9" fillId="0" borderId="17" xfId="0" applyFont="1" applyBorder="1"/>
    <xf numFmtId="172" fontId="9" fillId="0" borderId="0" xfId="1" applyNumberFormat="1" applyFont="1" applyBorder="1"/>
    <xf numFmtId="172" fontId="9" fillId="0" borderId="24" xfId="1" applyNumberFormat="1" applyFont="1" applyBorder="1"/>
    <xf numFmtId="172" fontId="9" fillId="9" borderId="24" xfId="1" applyNumberFormat="1" applyFont="1" applyFill="1" applyBorder="1"/>
    <xf numFmtId="172" fontId="9" fillId="9" borderId="18" xfId="1" applyNumberFormat="1" applyFont="1" applyFill="1" applyBorder="1"/>
    <xf numFmtId="0" fontId="85" fillId="2" borderId="17" xfId="0" applyFont="1" applyFill="1" applyBorder="1"/>
    <xf numFmtId="43" fontId="65" fillId="0" borderId="4" xfId="1" applyFont="1" applyBorder="1" applyAlignment="1">
      <alignment horizontal="right"/>
    </xf>
    <xf numFmtId="0" fontId="89" fillId="0" borderId="0" xfId="0" applyFont="1"/>
    <xf numFmtId="0" fontId="68" fillId="0" borderId="0" xfId="0" applyFont="1"/>
    <xf numFmtId="0" fontId="90" fillId="24" borderId="0" xfId="0" applyFont="1" applyFill="1"/>
    <xf numFmtId="0" fontId="90" fillId="25" borderId="0" xfId="0" applyFont="1" applyFill="1" applyAlignment="1">
      <alignment horizontal="right"/>
    </xf>
    <xf numFmtId="185" fontId="90" fillId="24" borderId="0" xfId="0" applyNumberFormat="1" applyFont="1" applyFill="1" applyAlignment="1">
      <alignment horizontal="right"/>
    </xf>
    <xf numFmtId="0" fontId="68" fillId="23" borderId="0" xfId="0" applyFont="1" applyFill="1" applyAlignment="1">
      <alignment horizontal="right"/>
    </xf>
    <xf numFmtId="187" fontId="90" fillId="24" borderId="0" xfId="0" applyNumberFormat="1" applyFont="1" applyFill="1" applyAlignment="1">
      <alignment horizontal="right"/>
    </xf>
    <xf numFmtId="0" fontId="68" fillId="26" borderId="0" xfId="0" applyFont="1" applyFill="1"/>
    <xf numFmtId="172" fontId="68" fillId="0" borderId="0" xfId="1" applyNumberFormat="1" applyFont="1" applyBorder="1"/>
    <xf numFmtId="173" fontId="91" fillId="0" borderId="0" xfId="9" applyNumberFormat="1" applyFont="1" applyFill="1" applyBorder="1" applyAlignment="1">
      <alignment horizontal="left"/>
    </xf>
    <xf numFmtId="0" fontId="91" fillId="0" borderId="0" xfId="0" applyFont="1"/>
    <xf numFmtId="188" fontId="91" fillId="0" borderId="0" xfId="9" applyNumberFormat="1" applyFont="1" applyFill="1" applyBorder="1" applyAlignment="1">
      <alignment horizontal="right"/>
    </xf>
    <xf numFmtId="9" fontId="91" fillId="0" borderId="0" xfId="9" applyFont="1" applyFill="1" applyBorder="1" applyAlignment="1">
      <alignment horizontal="right"/>
    </xf>
    <xf numFmtId="9" fontId="91" fillId="0" borderId="0" xfId="9" applyFont="1" applyBorder="1"/>
    <xf numFmtId="173" fontId="91" fillId="0" borderId="0" xfId="9" applyNumberFormat="1" applyFont="1" applyFill="1" applyBorder="1" applyAlignment="1">
      <alignment horizontal="right"/>
    </xf>
    <xf numFmtId="9" fontId="68" fillId="0" borderId="0" xfId="9" applyFont="1" applyBorder="1"/>
    <xf numFmtId="173" fontId="68" fillId="0" borderId="0" xfId="9" applyNumberFormat="1" applyFont="1" applyFill="1" applyBorder="1"/>
    <xf numFmtId="9" fontId="68" fillId="0" borderId="0" xfId="9" applyFont="1" applyFill="1" applyBorder="1" applyAlignment="1">
      <alignment horizontal="right"/>
    </xf>
    <xf numFmtId="0" fontId="91" fillId="0" borderId="0" xfId="0" applyFont="1" applyAlignment="1">
      <alignment horizontal="left" indent="1"/>
    </xf>
    <xf numFmtId="173" fontId="68" fillId="0" borderId="0" xfId="9" applyNumberFormat="1" applyFont="1" applyBorder="1"/>
    <xf numFmtId="189" fontId="91" fillId="0" borderId="0" xfId="9" applyNumberFormat="1" applyFont="1" applyFill="1" applyBorder="1" applyAlignment="1">
      <alignment horizontal="right"/>
    </xf>
    <xf numFmtId="173" fontId="92" fillId="0" borderId="0" xfId="9" applyNumberFormat="1" applyFont="1" applyFill="1" applyBorder="1" applyAlignment="1">
      <alignment horizontal="left" indent="1"/>
    </xf>
    <xf numFmtId="188" fontId="92" fillId="0" borderId="0" xfId="9" applyNumberFormat="1" applyFont="1" applyFill="1" applyBorder="1" applyAlignment="1">
      <alignment horizontal="right"/>
    </xf>
    <xf numFmtId="173" fontId="68" fillId="0" borderId="0" xfId="9" applyNumberFormat="1" applyFont="1" applyFill="1" applyBorder="1" applyAlignment="1">
      <alignment horizontal="left"/>
    </xf>
    <xf numFmtId="9" fontId="68" fillId="0" borderId="0" xfId="9" applyFont="1"/>
    <xf numFmtId="43" fontId="68" fillId="0" borderId="0" xfId="1" applyFont="1" applyBorder="1"/>
    <xf numFmtId="39" fontId="68" fillId="0" borderId="0" xfId="0" applyNumberFormat="1" applyFont="1"/>
    <xf numFmtId="43" fontId="68" fillId="0" borderId="0" xfId="0" applyNumberFormat="1" applyFont="1"/>
    <xf numFmtId="172" fontId="68" fillId="0" borderId="0" xfId="1" applyNumberFormat="1" applyFont="1"/>
    <xf numFmtId="14" fontId="9" fillId="0" borderId="0" xfId="0" applyNumberFormat="1" applyFont="1"/>
    <xf numFmtId="17" fontId="8" fillId="0" borderId="0" xfId="0" applyNumberFormat="1" applyFont="1"/>
    <xf numFmtId="0" fontId="7" fillId="0" borderId="0" xfId="0" applyFont="1" applyAlignment="1">
      <alignment horizontal="right"/>
    </xf>
    <xf numFmtId="43" fontId="27" fillId="0" borderId="0" xfId="0" applyNumberFormat="1" applyFont="1"/>
    <xf numFmtId="172" fontId="26" fillId="0" borderId="0" xfId="1" applyNumberFormat="1" applyFont="1" applyAlignment="1">
      <alignment vertical="center" wrapText="1"/>
    </xf>
    <xf numFmtId="173" fontId="27" fillId="0" borderId="0" xfId="0" applyNumberFormat="1" applyFont="1"/>
    <xf numFmtId="9" fontId="34" fillId="0" borderId="18" xfId="9" applyFont="1" applyBorder="1"/>
    <xf numFmtId="10" fontId="29" fillId="0" borderId="0" xfId="0" applyNumberFormat="1" applyFont="1"/>
    <xf numFmtId="10" fontId="29" fillId="0" borderId="0" xfId="9" applyNumberFormat="1" applyFont="1"/>
    <xf numFmtId="10" fontId="29" fillId="0" borderId="18" xfId="9" applyNumberFormat="1" applyFont="1" applyBorder="1"/>
    <xf numFmtId="43" fontId="34" fillId="0" borderId="0" xfId="1" applyFont="1" applyFill="1"/>
    <xf numFmtId="43" fontId="34" fillId="0" borderId="18" xfId="1" applyFont="1" applyFill="1" applyBorder="1"/>
    <xf numFmtId="173" fontId="34" fillId="0" borderId="0" xfId="9" applyNumberFormat="1" applyFont="1" applyFill="1"/>
    <xf numFmtId="43" fontId="28" fillId="0" borderId="0" xfId="1" applyFont="1" applyBorder="1"/>
    <xf numFmtId="9" fontId="10" fillId="0" borderId="0" xfId="1" applyNumberFormat="1" applyFont="1"/>
    <xf numFmtId="9" fontId="37" fillId="0" borderId="0" xfId="9" applyFont="1"/>
    <xf numFmtId="9" fontId="37" fillId="0" borderId="18" xfId="9" applyFont="1" applyBorder="1"/>
    <xf numFmtId="43" fontId="36" fillId="0" borderId="0" xfId="1" applyFont="1"/>
    <xf numFmtId="173" fontId="93" fillId="0" borderId="17" xfId="0" quotePrefix="1" applyNumberFormat="1" applyFont="1" applyBorder="1" applyAlignment="1">
      <alignment horizontal="left" indent="2"/>
    </xf>
    <xf numFmtId="173" fontId="8" fillId="23" borderId="0" xfId="9" applyNumberFormat="1" applyFont="1" applyFill="1"/>
    <xf numFmtId="0" fontId="35" fillId="0" borderId="0" xfId="0" applyFont="1" applyAlignment="1">
      <alignment horizontal="left" indent="1"/>
    </xf>
    <xf numFmtId="43" fontId="35" fillId="0" borderId="0" xfId="1" applyFont="1" applyFill="1"/>
    <xf numFmtId="43" fontId="35" fillId="0" borderId="18" xfId="1" applyFont="1" applyFill="1" applyBorder="1"/>
    <xf numFmtId="173" fontId="35" fillId="0" borderId="0" xfId="9" applyNumberFormat="1" applyFont="1" applyFill="1"/>
    <xf numFmtId="173" fontId="35" fillId="0" borderId="0" xfId="9" applyNumberFormat="1" applyFont="1"/>
    <xf numFmtId="173" fontId="35" fillId="0" borderId="18" xfId="9" applyNumberFormat="1" applyFont="1" applyBorder="1"/>
    <xf numFmtId="9" fontId="35" fillId="0" borderId="0" xfId="9" applyFont="1" applyFill="1"/>
    <xf numFmtId="0" fontId="94" fillId="0" borderId="0" xfId="0" applyFont="1"/>
    <xf numFmtId="0" fontId="94" fillId="0" borderId="0" xfId="0" applyFont="1" applyAlignment="1">
      <alignment horizontal="right"/>
    </xf>
    <xf numFmtId="172" fontId="94" fillId="0" borderId="0" xfId="1" applyNumberFormat="1" applyFont="1" applyFill="1" applyAlignment="1">
      <alignment horizontal="right"/>
    </xf>
    <xf numFmtId="172" fontId="94" fillId="0" borderId="18" xfId="1" applyNumberFormat="1" applyFont="1" applyFill="1" applyBorder="1" applyAlignment="1">
      <alignment horizontal="right"/>
    </xf>
    <xf numFmtId="9" fontId="94" fillId="0" borderId="18" xfId="9" applyFont="1" applyFill="1" applyBorder="1" applyAlignment="1">
      <alignment horizontal="right"/>
    </xf>
    <xf numFmtId="9" fontId="94" fillId="0" borderId="0" xfId="9" applyFont="1" applyFill="1" applyAlignment="1">
      <alignment horizontal="right"/>
    </xf>
    <xf numFmtId="173" fontId="34" fillId="0" borderId="17" xfId="9" applyNumberFormat="1" applyFont="1" applyBorder="1"/>
    <xf numFmtId="0" fontId="35" fillId="0" borderId="17" xfId="0" applyFont="1" applyBorder="1"/>
    <xf numFmtId="172" fontId="0" fillId="0" borderId="0" xfId="1" applyNumberFormat="1" applyFont="1"/>
    <xf numFmtId="172" fontId="0" fillId="23" borderId="0" xfId="1" applyNumberFormat="1" applyFont="1" applyFill="1"/>
    <xf numFmtId="172" fontId="0" fillId="0" borderId="10" xfId="1" applyNumberFormat="1" applyFont="1" applyBorder="1"/>
    <xf numFmtId="172" fontId="0" fillId="0" borderId="0" xfId="1" applyNumberFormat="1" applyFont="1" applyAlignment="1">
      <alignment horizontal="left"/>
    </xf>
    <xf numFmtId="172" fontId="41" fillId="0" borderId="0" xfId="1" applyNumberFormat="1" applyFont="1" applyAlignment="1">
      <alignment horizontal="left"/>
    </xf>
    <xf numFmtId="172" fontId="41" fillId="0" borderId="0" xfId="1" applyNumberFormat="1" applyFont="1"/>
    <xf numFmtId="0" fontId="41" fillId="0" borderId="0" xfId="0" applyFont="1"/>
    <xf numFmtId="184" fontId="0" fillId="0" borderId="0" xfId="0" applyNumberFormat="1"/>
    <xf numFmtId="184" fontId="41" fillId="0" borderId="0" xfId="0" applyNumberFormat="1" applyFont="1"/>
    <xf numFmtId="173" fontId="8" fillId="0" borderId="0" xfId="9" applyNumberFormat="1" applyFont="1" applyFill="1"/>
    <xf numFmtId="172" fontId="10" fillId="0" borderId="0" xfId="1" applyNumberFormat="1" applyFont="1" applyFill="1"/>
    <xf numFmtId="172" fontId="8" fillId="0" borderId="0" xfId="1" applyNumberFormat="1" applyFont="1" applyFill="1"/>
    <xf numFmtId="173" fontId="9" fillId="0" borderId="0" xfId="9" applyNumberFormat="1" applyFont="1"/>
    <xf numFmtId="172" fontId="45" fillId="0" borderId="0" xfId="0" applyNumberFormat="1" applyFont="1" applyAlignment="1">
      <alignment horizontal="right"/>
    </xf>
    <xf numFmtId="172" fontId="16" fillId="9" borderId="0" xfId="1" applyNumberFormat="1" applyFont="1" applyFill="1" applyBorder="1" applyAlignment="1">
      <alignment horizontal="right"/>
    </xf>
    <xf numFmtId="9" fontId="34" fillId="9" borderId="0" xfId="9" applyFont="1" applyFill="1"/>
    <xf numFmtId="173" fontId="35" fillId="9" borderId="0" xfId="9" applyNumberFormat="1" applyFont="1" applyFill="1"/>
    <xf numFmtId="172" fontId="25" fillId="9" borderId="0" xfId="1" applyNumberFormat="1" applyFont="1" applyFill="1" applyAlignment="1">
      <alignment horizontal="right"/>
    </xf>
    <xf numFmtId="9" fontId="94" fillId="9" borderId="0" xfId="9" applyFont="1" applyFill="1" applyAlignment="1">
      <alignment horizontal="right"/>
    </xf>
    <xf numFmtId="172" fontId="16" fillId="9" borderId="7" xfId="0" applyNumberFormat="1" applyFont="1" applyFill="1" applyBorder="1" applyAlignment="1">
      <alignment horizontal="right"/>
    </xf>
    <xf numFmtId="172" fontId="25" fillId="9" borderId="9" xfId="1" applyNumberFormat="1" applyFont="1" applyFill="1" applyBorder="1" applyAlignment="1">
      <alignment horizontal="right"/>
    </xf>
    <xf numFmtId="172" fontId="26" fillId="9" borderId="0" xfId="0" applyNumberFormat="1" applyFont="1" applyFill="1" applyAlignment="1">
      <alignment horizontal="right"/>
    </xf>
    <xf numFmtId="0" fontId="16" fillId="9" borderId="0" xfId="0" applyFont="1" applyFill="1" applyAlignment="1">
      <alignment horizontal="right"/>
    </xf>
    <xf numFmtId="0" fontId="35" fillId="9" borderId="0" xfId="0" applyFont="1" applyFill="1"/>
    <xf numFmtId="172" fontId="22" fillId="9" borderId="10" xfId="1" applyNumberFormat="1" applyFont="1" applyFill="1" applyBorder="1"/>
    <xf numFmtId="172" fontId="28" fillId="9" borderId="7" xfId="1" applyNumberFormat="1" applyFont="1" applyFill="1" applyBorder="1"/>
    <xf numFmtId="172" fontId="35" fillId="0" borderId="0" xfId="0" applyNumberFormat="1" applyFont="1"/>
    <xf numFmtId="3" fontId="0" fillId="0" borderId="0" xfId="0" applyNumberFormat="1"/>
    <xf numFmtId="43" fontId="0" fillId="0" borderId="0" xfId="0" applyNumberFormat="1"/>
    <xf numFmtId="172" fontId="0" fillId="0" borderId="0" xfId="0" applyNumberFormat="1"/>
    <xf numFmtId="9" fontId="0" fillId="0" borderId="0" xfId="0" applyNumberFormat="1"/>
    <xf numFmtId="173" fontId="0" fillId="0" borderId="0" xfId="0" applyNumberFormat="1"/>
    <xf numFmtId="0" fontId="95" fillId="25" borderId="0" xfId="0" applyFont="1" applyFill="1"/>
    <xf numFmtId="10" fontId="0" fillId="0" borderId="0" xfId="0" applyNumberFormat="1"/>
    <xf numFmtId="0" fontId="96" fillId="0" borderId="0" xfId="0" applyFont="1"/>
    <xf numFmtId="0" fontId="96" fillId="0" borderId="0" xfId="0" applyFont="1" applyAlignment="1">
      <alignment horizontal="right"/>
    </xf>
    <xf numFmtId="173" fontId="95" fillId="0" borderId="0" xfId="0" applyNumberFormat="1" applyFont="1"/>
    <xf numFmtId="9" fontId="0" fillId="0" borderId="10" xfId="0" applyNumberFormat="1" applyBorder="1"/>
    <xf numFmtId="0" fontId="0" fillId="0" borderId="18" xfId="0" applyBorder="1"/>
    <xf numFmtId="173" fontId="0" fillId="0" borderId="10" xfId="0" applyNumberFormat="1" applyBorder="1"/>
    <xf numFmtId="0" fontId="0" fillId="0" borderId="10" xfId="0" quotePrefix="1" applyBorder="1"/>
    <xf numFmtId="0" fontId="41" fillId="0" borderId="0" xfId="0" quotePrefix="1" applyFont="1"/>
    <xf numFmtId="3" fontId="41" fillId="0" borderId="0" xfId="0" applyNumberFormat="1" applyFont="1"/>
    <xf numFmtId="0" fontId="0" fillId="0" borderId="0" xfId="0" quotePrefix="1"/>
    <xf numFmtId="4" fontId="0" fillId="0" borderId="0" xfId="0" applyNumberFormat="1"/>
    <xf numFmtId="174" fontId="15" fillId="4" borderId="17" xfId="1" applyNumberFormat="1" applyFont="1" applyFill="1" applyBorder="1" applyAlignment="1">
      <alignment wrapText="1"/>
    </xf>
    <xf numFmtId="174" fontId="15" fillId="4" borderId="0" xfId="1" applyNumberFormat="1" applyFont="1" applyFill="1" applyAlignment="1">
      <alignment wrapText="1"/>
    </xf>
    <xf numFmtId="9" fontId="16" fillId="0" borderId="0" xfId="9" applyFont="1" applyAlignment="1">
      <alignment vertical="center" wrapText="1"/>
    </xf>
    <xf numFmtId="9" fontId="22" fillId="9" borderId="0" xfId="9" applyFont="1" applyFill="1"/>
    <xf numFmtId="172" fontId="22" fillId="0" borderId="0" xfId="1" applyNumberFormat="1" applyFont="1" applyFill="1"/>
    <xf numFmtId="172" fontId="22" fillId="0" borderId="18" xfId="1" applyNumberFormat="1" applyFont="1" applyFill="1" applyBorder="1"/>
    <xf numFmtId="9" fontId="22" fillId="0" borderId="0" xfId="9" applyFont="1" applyFill="1"/>
    <xf numFmtId="0" fontId="33" fillId="0" borderId="0" xfId="0" applyFont="1"/>
    <xf numFmtId="0" fontId="33" fillId="0" borderId="0" xfId="0" applyFont="1" applyAlignment="1">
      <alignment horizontal="left" indent="1"/>
    </xf>
    <xf numFmtId="0" fontId="33" fillId="0" borderId="18" xfId="0" applyFont="1" applyBorder="1"/>
    <xf numFmtId="9" fontId="33" fillId="0" borderId="18" xfId="9" applyFont="1" applyFill="1" applyBorder="1"/>
    <xf numFmtId="9" fontId="33" fillId="0" borderId="0" xfId="9" applyFont="1" applyFill="1"/>
    <xf numFmtId="172" fontId="33" fillId="9" borderId="0" xfId="0" applyNumberFormat="1" applyFont="1" applyFill="1"/>
    <xf numFmtId="0" fontId="31" fillId="0" borderId="0" xfId="2" applyFont="1" applyAlignment="1">
      <alignment horizontal="left" vertical="center"/>
    </xf>
    <xf numFmtId="0" fontId="32" fillId="0" borderId="0" xfId="0" applyFont="1"/>
    <xf numFmtId="173" fontId="32" fillId="0" borderId="0" xfId="9" applyNumberFormat="1" applyFont="1"/>
    <xf numFmtId="173" fontId="32" fillId="0" borderId="18" xfId="9" applyNumberFormat="1" applyFont="1" applyBorder="1"/>
    <xf numFmtId="173" fontId="68" fillId="0" borderId="0" xfId="9" applyNumberFormat="1" applyFont="1" applyFill="1" applyBorder="1" applyAlignment="1">
      <alignment horizontal="left" indent="1"/>
    </xf>
    <xf numFmtId="173" fontId="97" fillId="26" borderId="0" xfId="9" applyNumberFormat="1" applyFont="1" applyFill="1" applyBorder="1"/>
    <xf numFmtId="0" fontId="97" fillId="26" borderId="0" xfId="0" applyFont="1" applyFill="1"/>
    <xf numFmtId="43" fontId="68" fillId="0" borderId="0" xfId="1" applyFont="1"/>
    <xf numFmtId="0" fontId="97" fillId="27" borderId="0" xfId="0" applyFont="1" applyFill="1"/>
    <xf numFmtId="0" fontId="68" fillId="27" borderId="0" xfId="0" applyFont="1" applyFill="1"/>
    <xf numFmtId="173" fontId="68" fillId="0" borderId="0" xfId="9" applyNumberFormat="1" applyFont="1" applyFill="1" applyBorder="1" applyAlignment="1">
      <alignment horizontal="right"/>
    </xf>
    <xf numFmtId="172" fontId="9" fillId="9" borderId="0" xfId="0" applyNumberFormat="1" applyFont="1" applyFill="1"/>
    <xf numFmtId="173" fontId="34" fillId="9" borderId="18" xfId="9" applyNumberFormat="1" applyFont="1" applyFill="1" applyBorder="1"/>
    <xf numFmtId="173" fontId="10" fillId="9" borderId="18" xfId="0" applyNumberFormat="1" applyFont="1" applyFill="1" applyBorder="1"/>
    <xf numFmtId="173" fontId="10" fillId="9" borderId="0" xfId="0" applyNumberFormat="1" applyFont="1" applyFill="1"/>
    <xf numFmtId="173" fontId="22" fillId="9" borderId="18" xfId="0" applyNumberFormat="1" applyFont="1" applyFill="1" applyBorder="1"/>
    <xf numFmtId="173" fontId="22" fillId="9" borderId="0" xfId="0" applyNumberFormat="1" applyFont="1" applyFill="1"/>
    <xf numFmtId="9" fontId="10" fillId="9" borderId="18" xfId="0" applyNumberFormat="1" applyFont="1" applyFill="1" applyBorder="1"/>
    <xf numFmtId="9" fontId="10" fillId="9" borderId="0" xfId="0" applyNumberFormat="1" applyFont="1" applyFill="1"/>
    <xf numFmtId="173" fontId="37" fillId="9" borderId="18" xfId="0" applyNumberFormat="1" applyFont="1" applyFill="1" applyBorder="1"/>
    <xf numFmtId="173" fontId="37" fillId="9" borderId="0" xfId="0" applyNumberFormat="1" applyFont="1" applyFill="1"/>
    <xf numFmtId="173" fontId="22" fillId="9" borderId="18" xfId="9" applyNumberFormat="1" applyFont="1" applyFill="1" applyBorder="1"/>
    <xf numFmtId="173" fontId="22" fillId="9" borderId="0" xfId="9" applyNumberFormat="1" applyFont="1" applyFill="1"/>
    <xf numFmtId="43" fontId="9" fillId="9" borderId="18" xfId="1" applyFont="1" applyFill="1" applyBorder="1"/>
    <xf numFmtId="43" fontId="9" fillId="9" borderId="0" xfId="1" applyFont="1" applyFill="1"/>
    <xf numFmtId="10" fontId="37" fillId="9" borderId="0" xfId="0" applyNumberFormat="1" applyFont="1" applyFill="1"/>
    <xf numFmtId="10" fontId="37" fillId="9" borderId="18" xfId="0" applyNumberFormat="1" applyFont="1" applyFill="1" applyBorder="1"/>
    <xf numFmtId="172" fontId="28" fillId="9" borderId="18" xfId="1" applyNumberFormat="1" applyFont="1" applyFill="1" applyBorder="1"/>
    <xf numFmtId="172" fontId="8" fillId="9" borderId="20" xfId="0" applyNumberFormat="1" applyFont="1" applyFill="1" applyBorder="1"/>
    <xf numFmtId="172" fontId="8" fillId="9" borderId="10" xfId="0" applyNumberFormat="1" applyFont="1" applyFill="1" applyBorder="1"/>
    <xf numFmtId="172" fontId="28" fillId="9" borderId="21" xfId="1" applyNumberFormat="1" applyFont="1" applyFill="1" applyBorder="1"/>
    <xf numFmtId="0" fontId="9" fillId="9" borderId="18" xfId="0" applyFont="1" applyFill="1" applyBorder="1"/>
    <xf numFmtId="0" fontId="9" fillId="9" borderId="0" xfId="0" applyFont="1" applyFill="1"/>
    <xf numFmtId="0" fontId="38" fillId="9" borderId="18" xfId="0" applyFont="1" applyFill="1" applyBorder="1"/>
    <xf numFmtId="0" fontId="38" fillId="9" borderId="0" xfId="0" applyFont="1" applyFill="1"/>
    <xf numFmtId="173" fontId="34" fillId="9" borderId="0" xfId="9" applyNumberFormat="1" applyFont="1" applyFill="1" applyBorder="1"/>
    <xf numFmtId="173" fontId="38" fillId="9" borderId="18" xfId="9" applyNumberFormat="1" applyFont="1" applyFill="1" applyBorder="1"/>
    <xf numFmtId="173" fontId="38" fillId="9" borderId="0" xfId="9" applyNumberFormat="1" applyFont="1" applyFill="1" applyBorder="1"/>
    <xf numFmtId="172" fontId="36" fillId="9" borderId="18" xfId="1" applyNumberFormat="1" applyFont="1" applyFill="1" applyBorder="1"/>
    <xf numFmtId="172" fontId="36" fillId="9" borderId="0" xfId="1" applyNumberFormat="1" applyFont="1" applyFill="1" applyBorder="1"/>
    <xf numFmtId="172" fontId="38" fillId="9" borderId="18" xfId="1" applyNumberFormat="1" applyFont="1" applyFill="1" applyBorder="1"/>
    <xf numFmtId="172" fontId="38" fillId="9" borderId="0" xfId="1" applyNumberFormat="1" applyFont="1" applyFill="1" applyBorder="1"/>
    <xf numFmtId="172" fontId="10" fillId="9" borderId="18" xfId="0" applyNumberFormat="1" applyFont="1" applyFill="1" applyBorder="1"/>
    <xf numFmtId="172" fontId="10" fillId="9" borderId="0" xfId="0" applyNumberFormat="1" applyFont="1" applyFill="1"/>
    <xf numFmtId="0" fontId="34" fillId="9" borderId="0" xfId="0" applyFont="1" applyFill="1"/>
    <xf numFmtId="0" fontId="34" fillId="9" borderId="18" xfId="0" applyFont="1" applyFill="1" applyBorder="1"/>
    <xf numFmtId="173" fontId="37" fillId="9" borderId="18" xfId="9" applyNumberFormat="1" applyFont="1" applyFill="1" applyBorder="1"/>
    <xf numFmtId="173" fontId="37" fillId="9" borderId="0" xfId="9" applyNumberFormat="1" applyFont="1" applyFill="1"/>
    <xf numFmtId="9" fontId="34" fillId="9" borderId="18" xfId="9" applyFont="1" applyFill="1" applyBorder="1"/>
    <xf numFmtId="43" fontId="22" fillId="9" borderId="18" xfId="1" applyFont="1" applyFill="1" applyBorder="1"/>
    <xf numFmtId="43" fontId="22" fillId="9" borderId="0" xfId="1" applyFont="1" applyFill="1"/>
    <xf numFmtId="43" fontId="8" fillId="9" borderId="0" xfId="0" applyNumberFormat="1" applyFont="1" applyFill="1"/>
    <xf numFmtId="43" fontId="22" fillId="9" borderId="17" xfId="1" applyFont="1" applyFill="1" applyBorder="1"/>
    <xf numFmtId="9" fontId="37" fillId="9" borderId="0" xfId="9" applyFont="1" applyFill="1"/>
    <xf numFmtId="9" fontId="37" fillId="9" borderId="17" xfId="9" applyFont="1" applyFill="1" applyBorder="1"/>
    <xf numFmtId="172" fontId="22" fillId="9" borderId="17" xfId="1" applyNumberFormat="1" applyFont="1" applyFill="1" applyBorder="1"/>
    <xf numFmtId="173" fontId="34" fillId="9" borderId="17" xfId="9" applyNumberFormat="1" applyFont="1" applyFill="1" applyBorder="1"/>
    <xf numFmtId="0" fontId="16" fillId="9" borderId="18" xfId="0" applyFont="1" applyFill="1" applyBorder="1" applyAlignment="1">
      <alignment horizontal="right"/>
    </xf>
    <xf numFmtId="172" fontId="16" fillId="9" borderId="18" xfId="1" applyNumberFormat="1" applyFont="1" applyFill="1" applyBorder="1" applyAlignment="1">
      <alignment horizontal="right"/>
    </xf>
    <xf numFmtId="173" fontId="35" fillId="9" borderId="18" xfId="9" applyNumberFormat="1" applyFont="1" applyFill="1" applyBorder="1"/>
    <xf numFmtId="172" fontId="16" fillId="9" borderId="18" xfId="0" applyNumberFormat="1" applyFont="1" applyFill="1" applyBorder="1" applyAlignment="1">
      <alignment horizontal="right"/>
    </xf>
    <xf numFmtId="172" fontId="16" fillId="9" borderId="0" xfId="0" applyNumberFormat="1" applyFont="1" applyFill="1" applyAlignment="1">
      <alignment horizontal="right"/>
    </xf>
    <xf numFmtId="9" fontId="94" fillId="9" borderId="18" xfId="9" applyFont="1" applyFill="1" applyBorder="1" applyAlignment="1">
      <alignment horizontal="right"/>
    </xf>
    <xf numFmtId="172" fontId="16" fillId="9" borderId="21" xfId="0" applyNumberFormat="1" applyFont="1" applyFill="1" applyBorder="1" applyAlignment="1">
      <alignment horizontal="right"/>
    </xf>
    <xf numFmtId="172" fontId="16" fillId="9" borderId="16" xfId="0" applyNumberFormat="1" applyFont="1" applyFill="1" applyBorder="1" applyAlignment="1">
      <alignment horizontal="right"/>
    </xf>
    <xf numFmtId="172" fontId="16" fillId="9" borderId="9" xfId="0" applyNumberFormat="1" applyFont="1" applyFill="1" applyBorder="1" applyAlignment="1">
      <alignment horizontal="right"/>
    </xf>
    <xf numFmtId="172" fontId="26" fillId="9" borderId="18" xfId="0" applyNumberFormat="1" applyFont="1" applyFill="1" applyBorder="1" applyAlignment="1">
      <alignment horizontal="right"/>
    </xf>
    <xf numFmtId="9" fontId="33" fillId="9" borderId="18" xfId="9" applyFont="1" applyFill="1" applyBorder="1"/>
    <xf numFmtId="9" fontId="33" fillId="9" borderId="0" xfId="9" applyFont="1" applyFill="1"/>
    <xf numFmtId="0" fontId="22" fillId="9" borderId="18" xfId="0" applyFont="1" applyFill="1" applyBorder="1"/>
    <xf numFmtId="173" fontId="38" fillId="9" borderId="0" xfId="9" applyNumberFormat="1" applyFont="1" applyFill="1"/>
    <xf numFmtId="0" fontId="36" fillId="9" borderId="0" xfId="0" applyFont="1" applyFill="1"/>
    <xf numFmtId="43" fontId="8" fillId="9" borderId="0" xfId="1" applyFont="1" applyFill="1"/>
    <xf numFmtId="0" fontId="0" fillId="0" borderId="0" xfId="0" applyAlignment="1">
      <alignment horizontal="left" indent="1"/>
    </xf>
    <xf numFmtId="172" fontId="98" fillId="0" borderId="0" xfId="1" applyNumberFormat="1" applyFont="1"/>
    <xf numFmtId="0" fontId="0" fillId="0" borderId="0" xfId="0" applyAlignment="1">
      <alignment horizontal="left"/>
    </xf>
    <xf numFmtId="0" fontId="8" fillId="0" borderId="0" xfId="0" applyFont="1" applyAlignment="1">
      <alignment horizontal="left"/>
    </xf>
    <xf numFmtId="172" fontId="28" fillId="9" borderId="16" xfId="1" applyNumberFormat="1" applyFont="1" applyFill="1" applyBorder="1"/>
    <xf numFmtId="172" fontId="28" fillId="9" borderId="9" xfId="1" applyNumberFormat="1" applyFont="1" applyFill="1" applyBorder="1"/>
    <xf numFmtId="172" fontId="22" fillId="9" borderId="16" xfId="1" applyNumberFormat="1" applyFont="1" applyFill="1" applyBorder="1"/>
    <xf numFmtId="172" fontId="22" fillId="9" borderId="9" xfId="1" applyNumberFormat="1" applyFont="1" applyFill="1" applyBorder="1"/>
    <xf numFmtId="172" fontId="22" fillId="9" borderId="21" xfId="1" applyNumberFormat="1" applyFont="1" applyFill="1" applyBorder="1"/>
    <xf numFmtId="172" fontId="22" fillId="9" borderId="7" xfId="1" applyNumberFormat="1" applyFont="1" applyFill="1" applyBorder="1"/>
    <xf numFmtId="172" fontId="10" fillId="9" borderId="18" xfId="1" applyNumberFormat="1" applyFont="1" applyFill="1" applyBorder="1"/>
    <xf numFmtId="172" fontId="28" fillId="9" borderId="22" xfId="1" applyNumberFormat="1" applyFont="1" applyFill="1" applyBorder="1"/>
    <xf numFmtId="172" fontId="28" fillId="9" borderId="8" xfId="1" applyNumberFormat="1" applyFont="1" applyFill="1" applyBorder="1"/>
    <xf numFmtId="9" fontId="22" fillId="9" borderId="18" xfId="9" applyFont="1" applyFill="1" applyBorder="1"/>
    <xf numFmtId="172" fontId="9" fillId="9" borderId="21" xfId="1" applyNumberFormat="1" applyFont="1" applyFill="1" applyBorder="1"/>
    <xf numFmtId="172" fontId="9" fillId="9" borderId="7" xfId="1" applyNumberFormat="1" applyFont="1" applyFill="1" applyBorder="1"/>
    <xf numFmtId="172" fontId="9" fillId="9" borderId="22" xfId="1" applyNumberFormat="1" applyFont="1" applyFill="1" applyBorder="1"/>
    <xf numFmtId="172" fontId="9" fillId="9" borderId="8" xfId="1" applyNumberFormat="1" applyFont="1" applyFill="1" applyBorder="1"/>
    <xf numFmtId="173" fontId="32" fillId="9" borderId="18" xfId="9" applyNumberFormat="1" applyFont="1" applyFill="1" applyBorder="1"/>
    <xf numFmtId="173" fontId="32" fillId="9" borderId="0" xfId="9" applyNumberFormat="1" applyFont="1" applyFill="1"/>
    <xf numFmtId="9" fontId="8" fillId="9" borderId="0" xfId="9" applyFont="1" applyFill="1"/>
    <xf numFmtId="9" fontId="10" fillId="9" borderId="0" xfId="9" applyFont="1" applyFill="1"/>
    <xf numFmtId="43" fontId="10" fillId="9" borderId="0" xfId="1" applyFont="1" applyFill="1"/>
    <xf numFmtId="177" fontId="22" fillId="9" borderId="0" xfId="1" applyNumberFormat="1" applyFont="1" applyFill="1"/>
    <xf numFmtId="177" fontId="10" fillId="9" borderId="0" xfId="1" applyNumberFormat="1" applyFont="1" applyFill="1"/>
    <xf numFmtId="173" fontId="10" fillId="9" borderId="0" xfId="9" applyNumberFormat="1" applyFont="1" applyFill="1"/>
    <xf numFmtId="172" fontId="22" fillId="9" borderId="0" xfId="9" applyNumberFormat="1" applyFont="1" applyFill="1"/>
    <xf numFmtId="172" fontId="28" fillId="9" borderId="0" xfId="0" applyNumberFormat="1" applyFont="1" applyFill="1"/>
    <xf numFmtId="174" fontId="15" fillId="9" borderId="0" xfId="1" applyNumberFormat="1" applyFont="1" applyFill="1" applyAlignment="1">
      <alignment wrapText="1"/>
    </xf>
    <xf numFmtId="172" fontId="26" fillId="9" borderId="0" xfId="1" applyNumberFormat="1" applyFont="1" applyFill="1" applyAlignment="1">
      <alignment vertical="center" wrapText="1"/>
    </xf>
    <xf numFmtId="9" fontId="16" fillId="9" borderId="0" xfId="9" applyFont="1" applyFill="1" applyAlignment="1">
      <alignment vertical="center" wrapText="1"/>
    </xf>
    <xf numFmtId="0" fontId="8" fillId="9" borderId="17" xfId="0" applyFont="1" applyFill="1" applyBorder="1"/>
    <xf numFmtId="173" fontId="10" fillId="9" borderId="17" xfId="0" applyNumberFormat="1" applyFont="1" applyFill="1" applyBorder="1"/>
    <xf numFmtId="9" fontId="8" fillId="9" borderId="17" xfId="9" applyFont="1" applyFill="1" applyBorder="1"/>
    <xf numFmtId="9" fontId="8" fillId="9" borderId="18" xfId="9" applyFont="1" applyFill="1" applyBorder="1"/>
    <xf numFmtId="172" fontId="10" fillId="9" borderId="17" xfId="1" applyNumberFormat="1" applyFont="1" applyFill="1" applyBorder="1"/>
    <xf numFmtId="43" fontId="8" fillId="9" borderId="17" xfId="1" applyFont="1" applyFill="1" applyBorder="1"/>
    <xf numFmtId="43" fontId="8" fillId="9" borderId="18" xfId="1" applyFont="1" applyFill="1" applyBorder="1"/>
    <xf numFmtId="43" fontId="10" fillId="9" borderId="17" xfId="1" applyFont="1" applyFill="1" applyBorder="1"/>
    <xf numFmtId="43" fontId="10" fillId="9" borderId="18" xfId="1" applyFont="1" applyFill="1" applyBorder="1"/>
    <xf numFmtId="172" fontId="27" fillId="9" borderId="17" xfId="1" applyNumberFormat="1" applyFont="1" applyFill="1" applyBorder="1"/>
    <xf numFmtId="173" fontId="22" fillId="9" borderId="17" xfId="9" applyNumberFormat="1" applyFont="1" applyFill="1" applyBorder="1"/>
    <xf numFmtId="173" fontId="10" fillId="9" borderId="17" xfId="9" applyNumberFormat="1" applyFont="1" applyFill="1" applyBorder="1"/>
    <xf numFmtId="173" fontId="10" fillId="9" borderId="18" xfId="9" applyNumberFormat="1" applyFont="1" applyFill="1" applyBorder="1"/>
    <xf numFmtId="172" fontId="9" fillId="9" borderId="17" xfId="0" applyNumberFormat="1" applyFont="1" applyFill="1" applyBorder="1"/>
    <xf numFmtId="172" fontId="8" fillId="9" borderId="17" xfId="0" applyNumberFormat="1" applyFont="1" applyFill="1" applyBorder="1"/>
    <xf numFmtId="9" fontId="22" fillId="9" borderId="17" xfId="9" applyFont="1" applyFill="1" applyBorder="1"/>
    <xf numFmtId="172" fontId="28" fillId="9" borderId="17" xfId="1" applyNumberFormat="1" applyFont="1" applyFill="1" applyBorder="1"/>
    <xf numFmtId="9" fontId="10" fillId="9" borderId="17" xfId="0" applyNumberFormat="1" applyFont="1" applyFill="1" applyBorder="1"/>
    <xf numFmtId="172" fontId="28" fillId="9" borderId="17" xfId="0" applyNumberFormat="1" applyFont="1" applyFill="1" applyBorder="1"/>
    <xf numFmtId="172" fontId="28" fillId="9" borderId="18" xfId="0" applyNumberFormat="1" applyFont="1" applyFill="1" applyBorder="1"/>
    <xf numFmtId="174" fontId="14" fillId="9" borderId="17" xfId="1" applyNumberFormat="1" applyFont="1" applyFill="1" applyBorder="1" applyAlignment="1">
      <alignment wrapText="1"/>
    </xf>
    <xf numFmtId="174" fontId="14" fillId="9" borderId="18" xfId="1" applyNumberFormat="1" applyFont="1" applyFill="1" applyBorder="1" applyAlignment="1">
      <alignment wrapText="1"/>
    </xf>
    <xf numFmtId="174" fontId="26" fillId="9" borderId="0" xfId="1" applyNumberFormat="1" applyFont="1" applyFill="1" applyAlignment="1">
      <alignment wrapText="1"/>
    </xf>
    <xf numFmtId="174" fontId="26" fillId="9" borderId="17" xfId="1" applyNumberFormat="1" applyFont="1" applyFill="1" applyBorder="1" applyAlignment="1">
      <alignment wrapText="1"/>
    </xf>
    <xf numFmtId="174" fontId="26" fillId="9" borderId="18" xfId="1" applyNumberFormat="1" applyFont="1" applyFill="1" applyBorder="1" applyAlignment="1">
      <alignment wrapText="1"/>
    </xf>
    <xf numFmtId="174" fontId="15" fillId="9" borderId="17" xfId="1" applyNumberFormat="1" applyFont="1" applyFill="1" applyBorder="1" applyAlignment="1">
      <alignment wrapText="1"/>
    </xf>
    <xf numFmtId="174" fontId="15" fillId="9" borderId="18" xfId="1" applyNumberFormat="1" applyFont="1" applyFill="1" applyBorder="1" applyAlignment="1">
      <alignment wrapText="1"/>
    </xf>
    <xf numFmtId="10" fontId="10" fillId="9" borderId="0" xfId="9" applyNumberFormat="1" applyFont="1" applyFill="1"/>
    <xf numFmtId="10" fontId="10" fillId="9" borderId="18" xfId="9" applyNumberFormat="1" applyFont="1" applyFill="1" applyBorder="1"/>
    <xf numFmtId="9" fontId="10" fillId="9" borderId="17" xfId="9" applyFont="1" applyFill="1" applyBorder="1"/>
    <xf numFmtId="9" fontId="10" fillId="9" borderId="18" xfId="9" applyFont="1" applyFill="1" applyBorder="1"/>
    <xf numFmtId="172" fontId="22" fillId="9" borderId="17" xfId="9" applyNumberFormat="1" applyFont="1" applyFill="1" applyBorder="1"/>
    <xf numFmtId="172" fontId="22" fillId="9" borderId="18" xfId="9" applyNumberFormat="1" applyFont="1" applyFill="1" applyBorder="1"/>
    <xf numFmtId="177" fontId="10" fillId="9" borderId="17" xfId="1" applyNumberFormat="1" applyFont="1" applyFill="1" applyBorder="1"/>
    <xf numFmtId="177" fontId="10" fillId="9" borderId="18" xfId="1" applyNumberFormat="1" applyFont="1" applyFill="1" applyBorder="1"/>
    <xf numFmtId="172" fontId="29" fillId="9" borderId="17" xfId="1" applyNumberFormat="1" applyFont="1" applyFill="1" applyBorder="1"/>
    <xf numFmtId="9" fontId="8" fillId="28" borderId="0" xfId="9" applyFont="1" applyFill="1"/>
    <xf numFmtId="173" fontId="82" fillId="0" borderId="0" xfId="9" applyNumberFormat="1" applyFont="1" applyFill="1"/>
    <xf numFmtId="179" fontId="8" fillId="0" borderId="0" xfId="0" applyNumberFormat="1" applyFont="1"/>
    <xf numFmtId="0" fontId="9" fillId="0" borderId="0" xfId="0" applyFont="1" applyAlignment="1">
      <alignment horizontal="left"/>
    </xf>
    <xf numFmtId="43" fontId="8" fillId="0" borderId="0" xfId="1" applyFont="1" applyFill="1" applyBorder="1"/>
    <xf numFmtId="172" fontId="8" fillId="0" borderId="0" xfId="1" applyNumberFormat="1" applyFont="1" applyFill="1" applyBorder="1"/>
    <xf numFmtId="0" fontId="9" fillId="0" borderId="0" xfId="0" applyFont="1" applyAlignment="1">
      <alignment horizontal="right"/>
    </xf>
    <xf numFmtId="172" fontId="8" fillId="0" borderId="17" xfId="1" applyNumberFormat="1" applyFont="1" applyFill="1" applyBorder="1"/>
    <xf numFmtId="172" fontId="8" fillId="0" borderId="18" xfId="1" applyNumberFormat="1" applyFont="1" applyFill="1" applyBorder="1"/>
    <xf numFmtId="190" fontId="90" fillId="24" borderId="0" xfId="0" applyNumberFormat="1" applyFont="1" applyFill="1" applyAlignment="1">
      <alignment horizontal="right"/>
    </xf>
    <xf numFmtId="173" fontId="91" fillId="0" borderId="0" xfId="9" applyNumberFormat="1" applyFont="1" applyFill="1" applyBorder="1" applyAlignment="1">
      <alignment horizontal="left" indent="1"/>
    </xf>
    <xf numFmtId="177" fontId="8" fillId="0" borderId="0" xfId="0" applyNumberFormat="1" applyFont="1"/>
    <xf numFmtId="173" fontId="8" fillId="0" borderId="0" xfId="9" applyNumberFormat="1" applyFont="1" applyAlignment="1">
      <alignment horizontal="right"/>
    </xf>
    <xf numFmtId="43" fontId="8" fillId="0" borderId="17" xfId="1" applyFont="1" applyBorder="1"/>
    <xf numFmtId="173" fontId="8" fillId="0" borderId="0" xfId="9" applyNumberFormat="1" applyFont="1" applyBorder="1"/>
    <xf numFmtId="173" fontId="8" fillId="9" borderId="0" xfId="9" applyNumberFormat="1" applyFont="1" applyFill="1" applyBorder="1"/>
    <xf numFmtId="43" fontId="22" fillId="9" borderId="0" xfId="1" applyFont="1" applyFill="1" applyBorder="1"/>
    <xf numFmtId="43" fontId="68" fillId="0" borderId="0" xfId="1" applyFont="1" applyFill="1" applyBorder="1" applyAlignment="1">
      <alignment horizontal="right"/>
    </xf>
    <xf numFmtId="173" fontId="68" fillId="26" borderId="0" xfId="9" applyNumberFormat="1" applyFont="1" applyFill="1"/>
    <xf numFmtId="10" fontId="9" fillId="0" borderId="0" xfId="9" applyNumberFormat="1" applyFont="1"/>
    <xf numFmtId="10" fontId="99" fillId="0" borderId="0" xfId="0" applyNumberFormat="1" applyFont="1"/>
    <xf numFmtId="172" fontId="8" fillId="3" borderId="17" xfId="1" applyNumberFormat="1" applyFont="1" applyFill="1" applyBorder="1"/>
    <xf numFmtId="172" fontId="8" fillId="3" borderId="0" xfId="1" applyNumberFormat="1" applyFont="1" applyFill="1"/>
    <xf numFmtId="172" fontId="8" fillId="3" borderId="18" xfId="1" applyNumberFormat="1" applyFont="1" applyFill="1" applyBorder="1"/>
    <xf numFmtId="0" fontId="10" fillId="9" borderId="18" xfId="0" applyFont="1" applyFill="1" applyBorder="1"/>
    <xf numFmtId="9" fontId="8" fillId="3" borderId="0" xfId="9" applyFont="1" applyFill="1"/>
    <xf numFmtId="172" fontId="8" fillId="3" borderId="0" xfId="0" applyNumberFormat="1" applyFont="1" applyFill="1"/>
    <xf numFmtId="43" fontId="8" fillId="3" borderId="0" xfId="0" applyNumberFormat="1" applyFont="1" applyFill="1"/>
    <xf numFmtId="43" fontId="35" fillId="9" borderId="0" xfId="0" applyNumberFormat="1" applyFont="1" applyFill="1"/>
    <xf numFmtId="0" fontId="93" fillId="0" borderId="17" xfId="0" applyFont="1" applyBorder="1" applyAlignment="1">
      <alignment horizontal="left" indent="2"/>
    </xf>
    <xf numFmtId="173" fontId="37" fillId="0" borderId="0" xfId="9" applyNumberFormat="1" applyFont="1"/>
    <xf numFmtId="10" fontId="38" fillId="9" borderId="0" xfId="0" applyNumberFormat="1" applyFont="1" applyFill="1"/>
    <xf numFmtId="172" fontId="34" fillId="9" borderId="0" xfId="0" applyNumberFormat="1" applyFont="1" applyFill="1"/>
    <xf numFmtId="0" fontId="12" fillId="8" borderId="25" xfId="0" applyFont="1" applyFill="1" applyBorder="1" applyAlignment="1">
      <alignment horizontal="right"/>
    </xf>
    <xf numFmtId="43" fontId="22" fillId="0" borderId="0" xfId="0" applyNumberFormat="1" applyFont="1"/>
    <xf numFmtId="172" fontId="15" fillId="11" borderId="4" xfId="1" applyNumberFormat="1" applyFont="1" applyFill="1" applyBorder="1" applyAlignment="1">
      <alignment vertical="center" wrapText="1"/>
    </xf>
    <xf numFmtId="172" fontId="15" fillId="11" borderId="30" xfId="1" applyNumberFormat="1" applyFont="1" applyFill="1" applyBorder="1" applyAlignment="1">
      <alignment vertical="center" wrapText="1"/>
    </xf>
    <xf numFmtId="172" fontId="34" fillId="0" borderId="0" xfId="0" applyNumberFormat="1" applyFont="1"/>
    <xf numFmtId="9" fontId="8" fillId="0" borderId="0" xfId="9" applyFont="1" applyBorder="1"/>
    <xf numFmtId="172" fontId="29" fillId="0" borderId="0" xfId="1" applyNumberFormat="1" applyFont="1" applyBorder="1"/>
    <xf numFmtId="172" fontId="27" fillId="0" borderId="0" xfId="1" applyNumberFormat="1" applyFont="1" applyBorder="1"/>
    <xf numFmtId="172" fontId="8" fillId="3" borderId="0" xfId="1" applyNumberFormat="1" applyFont="1" applyFill="1" applyBorder="1"/>
    <xf numFmtId="172" fontId="22" fillId="0" borderId="0" xfId="1" applyNumberFormat="1" applyFont="1" applyBorder="1"/>
    <xf numFmtId="173" fontId="22" fillId="0" borderId="0" xfId="9" applyNumberFormat="1" applyFont="1" applyBorder="1"/>
    <xf numFmtId="9" fontId="22" fillId="0" borderId="0" xfId="9" applyFont="1" applyBorder="1"/>
    <xf numFmtId="43" fontId="22" fillId="0" borderId="0" xfId="1" applyFont="1" applyBorder="1"/>
    <xf numFmtId="177" fontId="22" fillId="0" borderId="0" xfId="1" applyNumberFormat="1" applyFont="1" applyBorder="1"/>
    <xf numFmtId="172" fontId="22" fillId="0" borderId="0" xfId="9" applyNumberFormat="1" applyFont="1" applyBorder="1"/>
    <xf numFmtId="174" fontId="14" fillId="4" borderId="0" xfId="1" applyNumberFormat="1" applyFont="1" applyFill="1" applyBorder="1" applyAlignment="1">
      <alignment wrapText="1"/>
    </xf>
    <xf numFmtId="174" fontId="15" fillId="4" borderId="0" xfId="1" applyNumberFormat="1" applyFont="1" applyFill="1" applyBorder="1" applyAlignment="1">
      <alignment wrapText="1"/>
    </xf>
    <xf numFmtId="172" fontId="8" fillId="0" borderId="0" xfId="9" applyNumberFormat="1" applyFont="1" applyBorder="1"/>
    <xf numFmtId="43" fontId="27" fillId="0" borderId="0" xfId="1" applyFont="1" applyBorder="1"/>
    <xf numFmtId="43" fontId="27" fillId="0" borderId="0" xfId="9" applyNumberFormat="1" applyFont="1" applyBorder="1"/>
    <xf numFmtId="43" fontId="8" fillId="0" borderId="0" xfId="1" applyFont="1" applyBorder="1"/>
    <xf numFmtId="9" fontId="27" fillId="0" borderId="0" xfId="1" applyNumberFormat="1" applyFont="1"/>
    <xf numFmtId="0" fontId="0" fillId="0" borderId="10" xfId="0" applyBorder="1"/>
    <xf numFmtId="172" fontId="100" fillId="0" borderId="0" xfId="1" applyNumberFormat="1" applyFont="1" applyFill="1" applyBorder="1" applyAlignment="1">
      <alignment vertical="center" wrapText="1"/>
    </xf>
    <xf numFmtId="172" fontId="100" fillId="0" borderId="10" xfId="1" applyNumberFormat="1" applyFont="1" applyFill="1" applyBorder="1" applyAlignment="1">
      <alignment vertical="center" wrapText="1"/>
    </xf>
    <xf numFmtId="0" fontId="41" fillId="0" borderId="10" xfId="0" applyFont="1" applyBorder="1"/>
    <xf numFmtId="1" fontId="41" fillId="0" borderId="0" xfId="0" applyNumberFormat="1" applyFont="1"/>
    <xf numFmtId="1" fontId="0" fillId="0" borderId="0" xfId="0" applyNumberFormat="1"/>
    <xf numFmtId="1" fontId="0" fillId="0" borderId="10" xfId="0" applyNumberFormat="1" applyBorder="1"/>
    <xf numFmtId="1" fontId="41" fillId="0" borderId="10" xfId="0" applyNumberFormat="1" applyFont="1" applyBorder="1"/>
    <xf numFmtId="9" fontId="8" fillId="28" borderId="18" xfId="9" applyFont="1" applyFill="1" applyBorder="1"/>
    <xf numFmtId="10" fontId="10" fillId="9" borderId="0" xfId="9" applyNumberFormat="1" applyFont="1" applyFill="1" applyBorder="1"/>
    <xf numFmtId="172" fontId="28" fillId="9" borderId="0" xfId="1" applyNumberFormat="1" applyFont="1" applyFill="1" applyBorder="1"/>
    <xf numFmtId="172" fontId="22" fillId="9" borderId="0" xfId="1" applyNumberFormat="1" applyFont="1" applyFill="1" applyBorder="1"/>
    <xf numFmtId="0" fontId="12" fillId="2" borderId="28" xfId="0" applyFont="1" applyFill="1" applyBorder="1"/>
    <xf numFmtId="172" fontId="20" fillId="5" borderId="0" xfId="1" applyNumberFormat="1" applyFont="1" applyFill="1" applyBorder="1" applyAlignment="1">
      <alignment vertical="center" wrapText="1"/>
    </xf>
    <xf numFmtId="172" fontId="20" fillId="9" borderId="0" xfId="1" applyNumberFormat="1" applyFont="1" applyFill="1" applyBorder="1" applyAlignment="1">
      <alignment vertical="center" wrapText="1"/>
    </xf>
    <xf numFmtId="172" fontId="20" fillId="5" borderId="17" xfId="1" applyNumberFormat="1" applyFont="1" applyFill="1" applyBorder="1" applyAlignment="1">
      <alignment vertical="center" wrapText="1"/>
    </xf>
    <xf numFmtId="172" fontId="20" fillId="0" borderId="17" xfId="1" applyNumberFormat="1" applyFont="1" applyFill="1" applyBorder="1" applyAlignment="1">
      <alignment vertical="center" wrapText="1"/>
    </xf>
    <xf numFmtId="172" fontId="16" fillId="0" borderId="0" xfId="0" applyNumberFormat="1" applyFont="1"/>
    <xf numFmtId="0" fontId="101" fillId="5" borderId="0" xfId="0" applyFont="1" applyFill="1" applyAlignment="1">
      <alignment horizontal="left" vertical="center" wrapText="1"/>
    </xf>
    <xf numFmtId="172" fontId="22" fillId="0" borderId="20" xfId="1" applyNumberFormat="1" applyFont="1" applyBorder="1"/>
    <xf numFmtId="172" fontId="22" fillId="0" borderId="27" xfId="1" applyNumberFormat="1" applyFont="1" applyBorder="1"/>
    <xf numFmtId="9" fontId="8" fillId="9" borderId="18" xfId="0" applyNumberFormat="1" applyFont="1" applyFill="1" applyBorder="1"/>
    <xf numFmtId="9" fontId="8" fillId="9" borderId="0" xfId="0" applyNumberFormat="1" applyFont="1" applyFill="1"/>
    <xf numFmtId="0" fontId="102" fillId="0" borderId="0" xfId="0" applyFont="1"/>
    <xf numFmtId="0" fontId="102" fillId="23" borderId="0" xfId="0" applyFont="1" applyFill="1"/>
    <xf numFmtId="172" fontId="104" fillId="23" borderId="0" xfId="1" applyNumberFormat="1" applyFont="1" applyFill="1"/>
    <xf numFmtId="173" fontId="102" fillId="23" borderId="0" xfId="0" applyNumberFormat="1" applyFont="1" applyFill="1"/>
    <xf numFmtId="0" fontId="105" fillId="0" borderId="0" xfId="0" applyFont="1"/>
    <xf numFmtId="0" fontId="103" fillId="0" borderId="18" xfId="0" applyFont="1" applyBorder="1"/>
    <xf numFmtId="0" fontId="102" fillId="29" borderId="20" xfId="0" applyFont="1" applyFill="1" applyBorder="1"/>
    <xf numFmtId="0" fontId="103" fillId="29" borderId="10" xfId="0" applyFont="1" applyFill="1" applyBorder="1"/>
    <xf numFmtId="176" fontId="0" fillId="0" borderId="0" xfId="0" applyNumberFormat="1"/>
    <xf numFmtId="176" fontId="0" fillId="0" borderId="10" xfId="0" applyNumberFormat="1" applyBorder="1"/>
    <xf numFmtId="9" fontId="106" fillId="3" borderId="0" xfId="0" applyNumberFormat="1" applyFont="1" applyFill="1"/>
    <xf numFmtId="0" fontId="77" fillId="12" borderId="0" xfId="13" applyFont="1" applyFill="1" applyAlignment="1">
      <alignment wrapText="1"/>
    </xf>
    <xf numFmtId="0" fontId="42" fillId="12" borderId="0" xfId="13" applyFill="1" applyAlignment="1">
      <alignment wrapText="1"/>
    </xf>
    <xf numFmtId="0" fontId="81" fillId="2" borderId="0" xfId="0" applyFont="1" applyFill="1" applyAlignment="1">
      <alignment horizontal="center"/>
    </xf>
    <xf numFmtId="0" fontId="81" fillId="2" borderId="10" xfId="0" applyFont="1" applyFill="1" applyBorder="1" applyAlignment="1">
      <alignment horizontal="center"/>
    </xf>
    <xf numFmtId="0" fontId="81" fillId="2" borderId="10" xfId="0" quotePrefix="1" applyFont="1" applyFill="1" applyBorder="1" applyAlignment="1">
      <alignment horizontal="center"/>
    </xf>
    <xf numFmtId="0" fontId="81" fillId="0" borderId="0" xfId="0" applyFont="1" applyAlignment="1">
      <alignment horizontal="center"/>
    </xf>
    <xf numFmtId="0" fontId="18" fillId="5" borderId="0" xfId="0" applyFont="1" applyFill="1" applyBorder="1" applyAlignment="1">
      <alignment horizontal="left" wrapText="1"/>
    </xf>
    <xf numFmtId="0" fontId="22" fillId="9" borderId="0" xfId="0" applyFont="1" applyFill="1" applyBorder="1" applyAlignment="1">
      <alignment horizontal="right" vertical="center" wrapText="1"/>
    </xf>
    <xf numFmtId="0" fontId="22" fillId="5" borderId="0" xfId="0" applyFont="1" applyFill="1" applyBorder="1" applyAlignment="1">
      <alignment horizontal="right" vertical="center" wrapText="1"/>
    </xf>
    <xf numFmtId="0" fontId="20" fillId="9" borderId="0" xfId="0" applyFont="1" applyFill="1" applyBorder="1" applyAlignment="1">
      <alignment horizontal="right" vertical="center" wrapText="1"/>
    </xf>
    <xf numFmtId="0" fontId="20" fillId="0" borderId="17" xfId="0" applyFont="1" applyBorder="1" applyAlignment="1">
      <alignment horizontal="right" vertical="center" wrapText="1"/>
    </xf>
    <xf numFmtId="0" fontId="20" fillId="5" borderId="0" xfId="0" applyFont="1" applyFill="1" applyBorder="1" applyAlignment="1">
      <alignment horizontal="right" vertical="center" wrapText="1"/>
    </xf>
    <xf numFmtId="0" fontId="20" fillId="5" borderId="17" xfId="0" applyFont="1" applyFill="1" applyBorder="1" applyAlignment="1">
      <alignment horizontal="right" vertical="center" wrapText="1"/>
    </xf>
    <xf numFmtId="0" fontId="20" fillId="5" borderId="0" xfId="0" applyFont="1" applyFill="1" applyBorder="1" applyAlignment="1">
      <alignment horizontal="left" wrapText="1"/>
    </xf>
    <xf numFmtId="193" fontId="20" fillId="5" borderId="17" xfId="0" applyNumberFormat="1" applyFont="1" applyFill="1" applyBorder="1" applyAlignment="1">
      <alignment horizontal="right" vertical="center" wrapText="1"/>
    </xf>
    <xf numFmtId="43" fontId="10" fillId="5" borderId="17" xfId="1" applyNumberFormat="1" applyFont="1" applyFill="1" applyBorder="1" applyAlignment="1">
      <alignment horizontal="right" vertical="center" wrapText="1"/>
    </xf>
  </cellXfs>
  <cellStyles count="16">
    <cellStyle name="Comma" xfId="1" builtinId="3"/>
    <cellStyle name="Comma 2" xfId="15" xr:uid="{E90F3F36-282A-49E9-B27E-89772C9CA506}"/>
    <cellStyle name="Currency" xfId="12" builtinId="4"/>
    <cellStyle name="Heading 1 2" xfId="5" xr:uid="{F1ABD9BF-2B93-45F7-B93A-C38D133E4328}"/>
    <cellStyle name="Heading 2 2" xfId="6" xr:uid="{F38C0FF8-0C5A-4D5B-A0E9-AC7776537E91}"/>
    <cellStyle name="Heading 3 2" xfId="7" xr:uid="{150271C1-6B79-4974-926B-491886BA324F}"/>
    <cellStyle name="Hyperlink 2 2" xfId="14" xr:uid="{94454B5F-7891-4A08-A63C-4103EE90AC97}"/>
    <cellStyle name="Normal" xfId="0" builtinId="0"/>
    <cellStyle name="Normal 2" xfId="4" xr:uid="{03E5206C-A101-4B88-866B-285A9DEA27FB}"/>
    <cellStyle name="Normal 2 2 2" xfId="11" xr:uid="{5EF74C65-32F7-4198-AB28-BE55BC6F46F0}"/>
    <cellStyle name="Normal 3" xfId="2" xr:uid="{EE584E6A-7C3B-4666-B72A-E48C91C700F7}"/>
    <cellStyle name="Normal 4 2" xfId="13" xr:uid="{04530D3E-82DD-44AA-91B9-1C59C05A3927}"/>
    <cellStyle name="Normal 7" xfId="10" xr:uid="{08226678-DC97-4A60-97A3-B6CF0D1600B4}"/>
    <cellStyle name="Percent" xfId="9" builtinId="5"/>
    <cellStyle name="Percent 2" xfId="8" xr:uid="{10BC810A-7072-4B64-AC09-E44E775B88F1}"/>
    <cellStyle name="Table (Normal)" xfId="3" xr:uid="{FCABE25D-FEAE-4D28-948C-D5F68A9DC4D1}"/>
  </cellStyles>
  <dxfs count="3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E0E0E0"/>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DDDDD"/>
        </patternFill>
      </fill>
    </dxf>
    <dxf>
      <fill>
        <patternFill patternType="solid">
          <bgColor rgb="FFDBDBDB"/>
        </patternFill>
      </fill>
    </dxf>
    <dxf>
      <fill>
        <patternFill patternType="solid">
          <bgColor rgb="FFFFFFFF"/>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DBDBDB"/>
        </patternFill>
      </fill>
    </dxf>
    <dxf>
      <fill>
        <patternFill patternType="solid">
          <bgColor rgb="FFFFFFFF"/>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BDBDB"/>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DDDDD"/>
        </patternFill>
      </fill>
    </dxf>
    <dxf>
      <fill>
        <patternFill patternType="solid">
          <bgColor rgb="FFFFFFFF"/>
        </patternFill>
      </fill>
    </dxf>
    <dxf>
      <fill>
        <patternFill patternType="solid">
          <bgColor rgb="FFDDDDDD"/>
        </patternFill>
      </fill>
    </dxf>
  </dxfs>
  <tableStyles count="78" defaultTableStyle="TableStyleMedium2" defaultPivotStyle="PivotStyleLight16">
    <tableStyle name="tableStyle1" pivot="0" count="2" xr9:uid="{45CF5A64-19FC-4B8D-AC1A-61B1A6315461}">
      <tableStyleElement type="firstRowStripe" dxfId="307"/>
      <tableStyleElement type="secondRowStripe" dxfId="306"/>
    </tableStyle>
    <tableStyle name="tableStyle2" pivot="0" count="2" xr9:uid="{5065156C-F23E-431C-808F-72AB7BE06219}">
      <tableStyleElement type="firstRowStripe" dxfId="305"/>
      <tableStyleElement type="secondRowStripe" dxfId="304"/>
    </tableStyle>
    <tableStyle name="tableStyle3" pivot="0" count="2" xr9:uid="{5EF930F9-B658-4A9B-AE50-36FA82ABE16C}">
      <tableStyleElement type="firstRowStripe" dxfId="303"/>
      <tableStyleElement type="secondRowStripe" dxfId="302"/>
    </tableStyle>
    <tableStyle name="tableStyle4" pivot="0" count="2" xr9:uid="{6D4117B8-DA70-4C59-9B43-B87271D971E3}">
      <tableStyleElement type="firstRowStripe" dxfId="301"/>
      <tableStyleElement type="secondRowStripe" dxfId="300"/>
    </tableStyle>
    <tableStyle name="tableStyle5" pivot="0" count="2" xr9:uid="{9AEAE77A-EFF3-487B-8C92-ED07E7D8CCD2}">
      <tableStyleElement type="firstRowStripe" dxfId="299"/>
      <tableStyleElement type="secondRowStripe" dxfId="298"/>
    </tableStyle>
    <tableStyle name="tableStyle6" pivot="0" count="2" xr9:uid="{6EC4DA21-FCB6-4B12-98FA-65982073D80F}">
      <tableStyleElement type="firstRowStripe" dxfId="297"/>
      <tableStyleElement type="secondRowStripe" dxfId="296"/>
    </tableStyle>
    <tableStyle name="tableStyle7" pivot="0" count="2" xr9:uid="{343A193C-F8FE-47BC-B98F-4E7E034CCDB5}">
      <tableStyleElement type="firstRowStripe" dxfId="295"/>
      <tableStyleElement type="secondRowStripe" dxfId="294"/>
    </tableStyle>
    <tableStyle name="tableStyle8" pivot="0" count="2" xr9:uid="{B534EC64-06CE-40A7-BDEA-87C982C7DF40}">
      <tableStyleElement type="firstRowStripe" dxfId="293"/>
      <tableStyleElement type="secondRowStripe" dxfId="292"/>
    </tableStyle>
    <tableStyle name="tableStyle9" pivot="0" count="2" xr9:uid="{9D871898-A7B5-43D2-A464-3A47DC4F5EF8}">
      <tableStyleElement type="firstRowStripe" dxfId="291"/>
      <tableStyleElement type="secondRowStripe" dxfId="290"/>
    </tableStyle>
    <tableStyle name="tableStyle10" pivot="0" count="2" xr9:uid="{67DE9E06-0BE6-4D3F-AE2B-03050CB830EE}">
      <tableStyleElement type="firstRowStripe" dxfId="289"/>
      <tableStyleElement type="secondRowStripe" dxfId="288"/>
    </tableStyle>
    <tableStyle name="tableStyle11" pivot="0" count="2" xr9:uid="{51459B83-97D4-4E79-98AB-4D02BF2790F7}">
      <tableStyleElement type="firstRowStripe" dxfId="287"/>
      <tableStyleElement type="secondRowStripe" dxfId="286"/>
    </tableStyle>
    <tableStyle name="tableStyle12" pivot="0" count="2" xr9:uid="{748EB14F-152C-40A4-8D95-F05B2F93CD56}">
      <tableStyleElement type="firstRowStripe" dxfId="285"/>
      <tableStyleElement type="secondRowStripe" dxfId="284"/>
    </tableStyle>
    <tableStyle name="tableStyle13" pivot="0" count="2" xr9:uid="{C089ECAF-3D47-43C5-8777-2DDA8EB97BB2}">
      <tableStyleElement type="firstRowStripe" dxfId="283"/>
      <tableStyleElement type="secondRowStripe" dxfId="282"/>
    </tableStyle>
    <tableStyle name="tableStyle14" pivot="0" count="2" xr9:uid="{F191910B-05D4-4D84-9E6B-6DECC58561AF}">
      <tableStyleElement type="firstRowStripe" dxfId="281"/>
      <tableStyleElement type="secondRowStripe" dxfId="280"/>
    </tableStyle>
    <tableStyle name="tableStyle15" pivot="0" count="2" xr9:uid="{D3CBF52E-83FC-40BC-A421-D24AD9768F56}">
      <tableStyleElement type="firstRowStripe" dxfId="279"/>
      <tableStyleElement type="secondRowStripe" dxfId="278"/>
    </tableStyle>
    <tableStyle name="tableStyle16" pivot="0" count="2" xr9:uid="{A01AED30-EE8F-4A1D-839A-33CA49FD83DE}">
      <tableStyleElement type="firstRowStripe" dxfId="277"/>
      <tableStyleElement type="secondRowStripe" dxfId="276"/>
    </tableStyle>
    <tableStyle name="tableStyle17" pivot="0" count="2" xr9:uid="{0539734C-C723-46E8-805C-43001F4E536A}">
      <tableStyleElement type="firstRowStripe" dxfId="275"/>
      <tableStyleElement type="secondRowStripe" dxfId="274"/>
    </tableStyle>
    <tableStyle name="tableStyle18" pivot="0" count="2" xr9:uid="{777FD824-894A-4085-8ECF-C3725DC74888}">
      <tableStyleElement type="firstRowStripe" dxfId="273"/>
      <tableStyleElement type="secondRowStripe" dxfId="272"/>
    </tableStyle>
    <tableStyle name="tableStyle19" pivot="0" count="2" xr9:uid="{92E94812-A12F-440B-BA8B-66DE7A030558}">
      <tableStyleElement type="firstRowStripe" dxfId="271"/>
      <tableStyleElement type="secondRowStripe" dxfId="270"/>
    </tableStyle>
    <tableStyle name="tableStyle20" pivot="0" count="2" xr9:uid="{D2AFBE9E-CA2C-4503-8B04-5C22933D05FC}">
      <tableStyleElement type="firstRowStripe" dxfId="269"/>
      <tableStyleElement type="secondRowStripe" dxfId="268"/>
    </tableStyle>
    <tableStyle name="tableStyle21" pivot="0" count="2" xr9:uid="{A323F7A7-62D8-4F56-857F-6A9CA1D53DB5}">
      <tableStyleElement type="firstRowStripe" dxfId="267"/>
      <tableStyleElement type="secondRowStripe" dxfId="266"/>
    </tableStyle>
    <tableStyle name="tableStyle1 2" pivot="0" count="2" xr9:uid="{039E57E7-EC9F-48FF-8952-A3618881D5B4}">
      <tableStyleElement type="firstRowStripe" dxfId="265"/>
      <tableStyleElement type="secondRowStripe" dxfId="264"/>
    </tableStyle>
    <tableStyle name="tableStyle2 2" pivot="0" count="2" xr9:uid="{F13C3FE2-ED80-4B32-932C-6FE036F04C42}">
      <tableStyleElement type="firstRowStripe" dxfId="263"/>
      <tableStyleElement type="secondRowStripe" dxfId="262"/>
    </tableStyle>
    <tableStyle name="tableStyle3 2" pivot="0" count="2" xr9:uid="{3C5F81F4-5658-4E42-802B-794D0B6060F3}">
      <tableStyleElement type="firstRowStripe" dxfId="261"/>
      <tableStyleElement type="secondRowStripe" dxfId="260"/>
    </tableStyle>
    <tableStyle name="tableStyle5 2" pivot="0" count="2" xr9:uid="{3E46964D-004F-4B53-A940-CBF55538C428}">
      <tableStyleElement type="firstRowStripe" dxfId="259"/>
      <tableStyleElement type="secondRowStripe" dxfId="258"/>
    </tableStyle>
    <tableStyle name="tableStyle22" pivot="0" count="2" xr9:uid="{F7A6BE43-120A-48FA-A181-2D1A17D49F51}">
      <tableStyleElement type="firstRowStripe" dxfId="257"/>
      <tableStyleElement type="secondRowStripe" dxfId="256"/>
    </tableStyle>
    <tableStyle name="tableStyle23" pivot="0" count="2" xr9:uid="{B49B4604-6472-4A7D-AC0C-58C257657321}">
      <tableStyleElement type="firstRowStripe" dxfId="255"/>
      <tableStyleElement type="secondRowStripe" dxfId="254"/>
    </tableStyle>
    <tableStyle name="tableStyle24" pivot="0" count="2" xr9:uid="{530A2B83-4D9C-40DF-BE6D-B1F49A674A95}">
      <tableStyleElement type="firstRowStripe" dxfId="253"/>
      <tableStyleElement type="secondRowStripe" dxfId="252"/>
    </tableStyle>
    <tableStyle name="tableStyle25" pivot="0" count="2" xr9:uid="{95312FB3-3424-4B17-8D7A-67DC67FC0EF1}">
      <tableStyleElement type="firstRowStripe" dxfId="251"/>
      <tableStyleElement type="secondRowStripe" dxfId="250"/>
    </tableStyle>
    <tableStyle name="tableStyle26" pivot="0" count="2" xr9:uid="{B8CE5336-14B0-4BB4-9676-A4F76B3B1797}">
      <tableStyleElement type="firstRowStripe" dxfId="249"/>
      <tableStyleElement type="secondRowStripe" dxfId="248"/>
    </tableStyle>
    <tableStyle name="tableStyle27" pivot="0" count="2" xr9:uid="{62E16F91-E5EA-449B-AC10-D434759D87E0}">
      <tableStyleElement type="firstRowStripe" dxfId="247"/>
      <tableStyleElement type="secondRowStripe" dxfId="246"/>
    </tableStyle>
    <tableStyle name="tableStyle28" pivot="0" count="2" xr9:uid="{CD5F0497-A83E-4F0A-A282-A8153AFCE988}">
      <tableStyleElement type="firstRowStripe" dxfId="245"/>
      <tableStyleElement type="secondRowStripe" dxfId="244"/>
    </tableStyle>
    <tableStyle name="tableStyle29" pivot="0" count="2" xr9:uid="{2A502EF7-ED6E-4D66-A026-DB91FB058DCB}">
      <tableStyleElement type="firstRowStripe" dxfId="243"/>
      <tableStyleElement type="secondRowStripe" dxfId="242"/>
    </tableStyle>
    <tableStyle name="tableStyle30" pivot="0" count="2" xr9:uid="{42BD07EC-12B5-4E46-9DF1-380C3F4A17B5}">
      <tableStyleElement type="firstRowStripe" dxfId="241"/>
      <tableStyleElement type="secondRowStripe" dxfId="240"/>
    </tableStyle>
    <tableStyle name="tableStyle31" pivot="0" count="2" xr9:uid="{005062A1-3D19-4536-B525-B57B52C54BD6}">
      <tableStyleElement type="firstRowStripe" dxfId="239"/>
      <tableStyleElement type="secondRowStripe" dxfId="238"/>
    </tableStyle>
    <tableStyle name="tableStyle32" pivot="0" count="2" xr9:uid="{14539965-F1FF-4EF0-BB3D-C6321E2C13B9}">
      <tableStyleElement type="firstRowStripe" dxfId="237"/>
      <tableStyleElement type="secondRowStripe" dxfId="236"/>
    </tableStyle>
    <tableStyle name="tableStyle33" pivot="0" count="2" xr9:uid="{B2DF38AD-3512-47E7-BBDA-DB95C46F8A18}">
      <tableStyleElement type="firstRowStripe" dxfId="235"/>
      <tableStyleElement type="secondRowStripe" dxfId="234"/>
    </tableStyle>
    <tableStyle name="tableStyle34" pivot="0" count="2" xr9:uid="{2549C2D3-E15B-4BB7-9A71-58110CF2BDA9}">
      <tableStyleElement type="firstRowStripe" dxfId="233"/>
      <tableStyleElement type="secondRowStripe" dxfId="232"/>
    </tableStyle>
    <tableStyle name="tableStyle35" pivot="0" count="2" xr9:uid="{01D2EE82-063A-48D1-A6B3-D853519043AD}">
      <tableStyleElement type="firstRowStripe" dxfId="231"/>
      <tableStyleElement type="secondRowStripe" dxfId="230"/>
    </tableStyle>
    <tableStyle name="tableStyle36" pivot="0" count="2" xr9:uid="{F2C014E9-8F52-40C3-9650-EEEFDB95249B}">
      <tableStyleElement type="firstRowStripe" dxfId="229"/>
      <tableStyleElement type="secondRowStripe" dxfId="228"/>
    </tableStyle>
    <tableStyle name="tableStyle37" pivot="0" count="2" xr9:uid="{30E25DFD-3BA1-497D-B1AC-5BAC1B641DA7}">
      <tableStyleElement type="firstRowStripe" dxfId="227"/>
      <tableStyleElement type="secondRowStripe" dxfId="226"/>
    </tableStyle>
    <tableStyle name="tableStyle38" pivot="0" count="2" xr9:uid="{19768DD2-47B5-4AE6-AAA8-B594A1FCD4A4}">
      <tableStyleElement type="firstRowStripe" dxfId="225"/>
      <tableStyleElement type="secondRowStripe" dxfId="224"/>
    </tableStyle>
    <tableStyle name="tableStyle39" pivot="0" count="2" xr9:uid="{DBBF2516-649A-4C9A-9BD0-707F920D6004}">
      <tableStyleElement type="firstRowStripe" dxfId="223"/>
      <tableStyleElement type="secondRowStripe" dxfId="222"/>
    </tableStyle>
    <tableStyle name="tableStyle40" pivot="0" count="2" xr9:uid="{2E17A187-F868-46B3-A300-649E47A34401}">
      <tableStyleElement type="firstRowStripe" dxfId="221"/>
      <tableStyleElement type="secondRowStripe" dxfId="220"/>
    </tableStyle>
    <tableStyle name="tableStyle41" pivot="0" count="2" xr9:uid="{2526CF1C-D096-4D51-BD0D-EBD4966C9805}">
      <tableStyleElement type="firstRowStripe" dxfId="219"/>
      <tableStyleElement type="secondRowStripe" dxfId="218"/>
    </tableStyle>
    <tableStyle name="tableStyle42" pivot="0" count="2" xr9:uid="{B3738832-B169-4B7B-855C-12855A15C95D}">
      <tableStyleElement type="firstRowStripe" dxfId="217"/>
      <tableStyleElement type="secondRowStripe" dxfId="216"/>
    </tableStyle>
    <tableStyle name="tableStyle43" pivot="0" count="2" xr9:uid="{B23E8BA7-8ADF-413F-A31C-7A56EB5B9536}">
      <tableStyleElement type="firstRowStripe" dxfId="215"/>
      <tableStyleElement type="secondRowStripe" dxfId="214"/>
    </tableStyle>
    <tableStyle name="tableStyle44" pivot="0" count="2" xr9:uid="{8BB81FFD-86D2-4549-9242-376958A31FAE}">
      <tableStyleElement type="firstRowStripe" dxfId="213"/>
      <tableStyleElement type="secondRowStripe" dxfId="212"/>
    </tableStyle>
    <tableStyle name="tableStyle45" pivot="0" count="2" xr9:uid="{668FA675-3B9B-4DD6-B13C-9F8AC9B91F33}">
      <tableStyleElement type="firstRowStripe" dxfId="211"/>
      <tableStyleElement type="secondRowStripe" dxfId="210"/>
    </tableStyle>
    <tableStyle name="tableStyle46" pivot="0" count="2" xr9:uid="{CB6A999C-BE64-4BDC-96D5-50FABF3D7EB9}">
      <tableStyleElement type="firstRowStripe" dxfId="209"/>
      <tableStyleElement type="secondRowStripe" dxfId="208"/>
    </tableStyle>
    <tableStyle name="tableStyle47" pivot="0" count="2" xr9:uid="{7E32D785-F0B2-4299-8B68-3F0CD6783F67}">
      <tableStyleElement type="firstRowStripe" dxfId="207"/>
      <tableStyleElement type="secondRowStripe" dxfId="206"/>
    </tableStyle>
    <tableStyle name="tableStyle48" pivot="0" count="2" xr9:uid="{C7636D3C-67A2-4BFA-955D-DAF254435FC7}">
      <tableStyleElement type="firstRowStripe" dxfId="205"/>
      <tableStyleElement type="secondRowStripe" dxfId="204"/>
    </tableStyle>
    <tableStyle name="tableStyle49" pivot="0" count="2" xr9:uid="{1F5F7D7D-68A9-467D-8832-4AFDAEE98D98}">
      <tableStyleElement type="firstRowStripe" dxfId="203"/>
      <tableStyleElement type="secondRowStripe" dxfId="202"/>
    </tableStyle>
    <tableStyle name="tableStyle50" pivot="0" count="2" xr9:uid="{048BD77E-9E9F-478B-A7D8-40B073F19FAA}">
      <tableStyleElement type="firstRowStripe" dxfId="201"/>
      <tableStyleElement type="secondRowStripe" dxfId="200"/>
    </tableStyle>
    <tableStyle name="tableStyle51" pivot="0" count="2" xr9:uid="{55D2A6F7-9CFE-44DE-B47C-92F752B2930D}">
      <tableStyleElement type="firstRowStripe" dxfId="199"/>
      <tableStyleElement type="secondRowStripe" dxfId="198"/>
    </tableStyle>
    <tableStyle name="tableStyle52" pivot="0" count="2" xr9:uid="{E67C427E-D708-48A2-BF23-D03FB36C890C}">
      <tableStyleElement type="firstRowStripe" dxfId="197"/>
      <tableStyleElement type="secondRowStripe" dxfId="196"/>
    </tableStyle>
    <tableStyle name="tableStyle53" pivot="0" count="2" xr9:uid="{47D5D2BE-DC39-4347-AADD-2A999D472212}">
      <tableStyleElement type="firstRowStripe" dxfId="195"/>
      <tableStyleElement type="secondRowStripe" dxfId="194"/>
    </tableStyle>
    <tableStyle name="tableStyle54" pivot="0" count="2" xr9:uid="{4F1AEE80-C4C3-4797-A622-5923F91D317C}">
      <tableStyleElement type="firstRowStripe" dxfId="193"/>
      <tableStyleElement type="secondRowStripe" dxfId="192"/>
    </tableStyle>
    <tableStyle name="tableStyle55" pivot="0" count="2" xr9:uid="{174A3B33-DD77-4608-96FE-FE74BDD03C61}">
      <tableStyleElement type="firstRowStripe" dxfId="191"/>
      <tableStyleElement type="secondRowStripe" dxfId="190"/>
    </tableStyle>
    <tableStyle name="tableStyle56" pivot="0" count="2" xr9:uid="{182641A2-7330-4933-BFBE-B43C9FCA8A46}">
      <tableStyleElement type="firstRowStripe" dxfId="189"/>
      <tableStyleElement type="secondRowStripe" dxfId="188"/>
    </tableStyle>
    <tableStyle name="tableStyle57" pivot="0" count="2" xr9:uid="{113188E0-2327-4190-9E98-0B8B3EB90673}">
      <tableStyleElement type="firstRowStripe" dxfId="187"/>
      <tableStyleElement type="secondRowStripe" dxfId="186"/>
    </tableStyle>
    <tableStyle name="tableStyle58" pivot="0" count="2" xr9:uid="{83D1816B-09AE-40FA-9FF6-D78F68C1C55D}">
      <tableStyleElement type="firstRowStripe" dxfId="185"/>
      <tableStyleElement type="secondRowStripe" dxfId="184"/>
    </tableStyle>
    <tableStyle name="tableStyle59" pivot="0" count="2" xr9:uid="{BBF36412-A1E7-4523-840A-BB72E3C3F7DE}">
      <tableStyleElement type="firstRowStripe" dxfId="183"/>
      <tableStyleElement type="secondRowStripe" dxfId="182"/>
    </tableStyle>
    <tableStyle name="tableStyle60" pivot="0" count="2" xr9:uid="{1CE2DDC4-A2FE-4E94-A2FC-43312D171088}">
      <tableStyleElement type="firstRowStripe" dxfId="181"/>
      <tableStyleElement type="secondRowStripe" dxfId="180"/>
    </tableStyle>
    <tableStyle name="tableStyle61" pivot="0" count="2" xr9:uid="{FDBD3E67-680D-403C-B197-1E3B68123D4C}">
      <tableStyleElement type="firstRowStripe" dxfId="179"/>
      <tableStyleElement type="secondRowStripe" dxfId="178"/>
    </tableStyle>
    <tableStyle name="tableStyle62" pivot="0" count="2" xr9:uid="{266C4D91-4602-4E46-991B-2971319EE2B8}">
      <tableStyleElement type="firstRowStripe" dxfId="177"/>
      <tableStyleElement type="secondRowStripe" dxfId="176"/>
    </tableStyle>
    <tableStyle name="tableStyle63" pivot="0" count="2" xr9:uid="{310FC6B2-4590-44ED-922B-EE06BF5BB350}">
      <tableStyleElement type="firstRowStripe" dxfId="175"/>
      <tableStyleElement type="secondRowStripe" dxfId="174"/>
    </tableStyle>
    <tableStyle name="tableStyle64" pivot="0" count="2" xr9:uid="{E835D9E7-5485-4998-B101-267ECEE5ACB5}">
      <tableStyleElement type="firstRowStripe" dxfId="173"/>
      <tableStyleElement type="secondRowStripe" dxfId="172"/>
    </tableStyle>
    <tableStyle name="tableStyle65" pivot="0" count="2" xr9:uid="{F9E62843-E447-4D8B-810A-F23EEAD9C270}">
      <tableStyleElement type="firstRowStripe" dxfId="171"/>
      <tableStyleElement type="secondRowStripe" dxfId="170"/>
    </tableStyle>
    <tableStyle name="tableStyle66" pivot="0" count="2" xr9:uid="{98214946-D5DF-4D37-8A0D-C9DA826C1041}">
      <tableStyleElement type="firstRowStripe" dxfId="169"/>
      <tableStyleElement type="secondRowStripe" dxfId="168"/>
    </tableStyle>
    <tableStyle name="tableStyle67" pivot="0" count="2" xr9:uid="{46D131CE-E9B3-455D-8A8C-A45A8FC7CE6A}">
      <tableStyleElement type="firstRowStripe" dxfId="167"/>
      <tableStyleElement type="secondRowStripe" dxfId="166"/>
    </tableStyle>
    <tableStyle name="tableStyle68" pivot="0" count="2" xr9:uid="{90E285B6-2FFD-4F12-8571-75087F2E06EF}">
      <tableStyleElement type="firstRowStripe" dxfId="165"/>
      <tableStyleElement type="secondRowStripe" dxfId="164"/>
    </tableStyle>
    <tableStyle name="tableStyle69" pivot="0" count="2" xr9:uid="{3F5A377A-68C5-4468-B46B-967645A85896}">
      <tableStyleElement type="firstRowStripe" dxfId="163"/>
      <tableStyleElement type="secondRowStripe" dxfId="162"/>
    </tableStyle>
    <tableStyle name="tableStyle70" pivot="0" count="2" xr9:uid="{5F69591A-2CF9-4A98-84AE-4D06E0519A05}">
      <tableStyleElement type="firstRowStripe" dxfId="161"/>
      <tableStyleElement type="secondRowStripe" dxfId="160"/>
    </tableStyle>
    <tableStyle name="tableStyle71" pivot="0" count="2" xr9:uid="{67ABDB91-4917-4EFD-A136-07E7120D6186}">
      <tableStyleElement type="firstRowStripe" dxfId="159"/>
      <tableStyleElement type="secondRowStripe" dxfId="158"/>
    </tableStyle>
    <tableStyle name="tableStyle72" pivot="0" count="2" xr9:uid="{B9E7B0B8-D49B-4AFE-AED1-FDB45CB67526}">
      <tableStyleElement type="firstRowStripe" dxfId="157"/>
      <tableStyleElement type="secondRowStripe" dxfId="156"/>
    </tableStyle>
    <tableStyle name="tableStyle73" pivot="0" count="2" xr9:uid="{009F3EC2-1750-44B1-A905-159EFCC14FBB}">
      <tableStyleElement type="firstRowStripe" dxfId="155"/>
      <tableStyleElement type="secondRowStripe" dxfId="154"/>
    </tableStyle>
    <tableStyle name="tableStyle74" pivot="0" count="2" xr9:uid="{68591D88-D67E-4586-9087-6A6CA923E380}">
      <tableStyleElement type="firstRowStripe" dxfId="153"/>
      <tableStyleElement type="secondRowStripe" dxfId="152"/>
    </tableStyle>
  </tableStyles>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Arial"/>
                <a:ea typeface="Arial"/>
                <a:cs typeface="Arial"/>
              </a:defRPr>
            </a:pPr>
            <a:r>
              <a:rPr lang="en-US"/>
              <a:t>Last</a:t>
            </a:r>
            <a:r>
              <a:rPr lang="en-US" baseline="0"/>
              <a:t> 10 Year EV/EBITDA</a:t>
            </a:r>
            <a:endParaRPr lang="en-US"/>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a:ea typeface="Arial"/>
              <a:cs typeface="Arial"/>
            </a:defRPr>
          </a:pPr>
          <a:endParaRPr lang="en-US"/>
        </a:p>
      </c:txPr>
    </c:title>
    <c:autoTitleDeleted val="0"/>
    <c:plotArea>
      <c:layout/>
      <c:lineChart>
        <c:grouping val="standard"/>
        <c:varyColors val="0"/>
        <c:ser>
          <c:idx val="0"/>
          <c:order val="0"/>
          <c:tx>
            <c:strRef>
              <c:f>Valuation!$V$3</c:f>
              <c:strCache>
                <c:ptCount val="1"/>
                <c:pt idx="0">
                  <c:v>EV/EBITDA</c:v>
                </c:pt>
              </c:strCache>
            </c:strRef>
          </c:tx>
          <c:spPr>
            <a:ln w="12700" cap="rnd">
              <a:solidFill>
                <a:schemeClr val="accent1"/>
              </a:solidFill>
              <a:round/>
            </a:ln>
            <a:effectLst/>
          </c:spPr>
          <c:marker>
            <c:symbol val="none"/>
          </c:marker>
          <c:cat>
            <c:numRef>
              <c:f>Valuation!$U$4:$U$2518</c:f>
              <c:numCache>
                <c:formatCode>m/d/yyyy</c:formatCode>
                <c:ptCount val="2515"/>
                <c:pt idx="0">
                  <c:v>42380</c:v>
                </c:pt>
              </c:numCache>
            </c:numRef>
          </c:cat>
          <c:val>
            <c:numRef>
              <c:f>Valuation!$V$4:$V$2518</c:f>
              <c:numCache>
                <c:formatCode>General</c:formatCode>
                <c:ptCount val="2515"/>
              </c:numCache>
            </c:numRef>
          </c:val>
          <c:smooth val="0"/>
          <c:extLst>
            <c:ext xmlns:c16="http://schemas.microsoft.com/office/drawing/2014/chart" uri="{C3380CC4-5D6E-409C-BE32-E72D297353CC}">
              <c16:uniqueId val="{00000001-7AEA-4627-85AA-F0BE0F42D3A6}"/>
            </c:ext>
          </c:extLst>
        </c:ser>
        <c:ser>
          <c:idx val="1"/>
          <c:order val="1"/>
          <c:tx>
            <c:strRef>
              <c:f>Valuation!$W$3</c:f>
              <c:strCache>
                <c:ptCount val="1"/>
                <c:pt idx="0">
                  <c:v>10-year average</c:v>
                </c:pt>
              </c:strCache>
            </c:strRef>
          </c:tx>
          <c:spPr>
            <a:ln w="12700" cap="rnd">
              <a:solidFill>
                <a:schemeClr val="accent2"/>
              </a:solidFill>
              <a:prstDash val="dash"/>
              <a:round/>
            </a:ln>
            <a:effectLst/>
          </c:spPr>
          <c:marker>
            <c:symbol val="none"/>
          </c:marker>
          <c:dLbls>
            <c:dLbl>
              <c:idx val="2488"/>
              <c:layout>
                <c:manualLayout>
                  <c:x val="-1.6708219247971973E-2"/>
                  <c:y val="1.7404192762349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12-4764-9083-155C9A5C347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Valuation!$U$4:$U$2518</c:f>
              <c:numCache>
                <c:formatCode>m/d/yyyy</c:formatCode>
                <c:ptCount val="2515"/>
                <c:pt idx="0">
                  <c:v>42380</c:v>
                </c:pt>
              </c:numCache>
            </c:numRef>
          </c:cat>
          <c:val>
            <c:numRef>
              <c:f>Valuation!$W$4:$W$2518</c:f>
              <c:numCache>
                <c:formatCode>0.0</c:formatCode>
                <c:ptCount val="25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numCache>
            </c:numRef>
          </c:val>
          <c:smooth val="0"/>
          <c:extLst>
            <c:ext xmlns:c16="http://schemas.microsoft.com/office/drawing/2014/chart" uri="{C3380CC4-5D6E-409C-BE32-E72D297353CC}">
              <c16:uniqueId val="{00000003-7AEA-4627-85AA-F0BE0F42D3A6}"/>
            </c:ext>
          </c:extLst>
        </c:ser>
        <c:dLbls>
          <c:showLegendKey val="0"/>
          <c:showVal val="0"/>
          <c:showCatName val="0"/>
          <c:showSerName val="0"/>
          <c:showPercent val="0"/>
          <c:showBubbleSize val="0"/>
        </c:dLbls>
        <c:smooth val="0"/>
        <c:axId val="483857615"/>
        <c:axId val="483840143"/>
      </c:lineChart>
      <c:dateAx>
        <c:axId val="483857615"/>
        <c:scaling>
          <c:orientation val="minMax"/>
        </c:scaling>
        <c:delete val="0"/>
        <c:axPos val="b"/>
        <c:numFmt formatCode="m/d/yyyy" sourceLinked="0"/>
        <c:majorTickMark val="out"/>
        <c:minorTickMark val="none"/>
        <c:tickLblPos val="low"/>
        <c:spPr>
          <a:noFill/>
          <a:ln w="12700"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a:ea typeface="Arial"/>
                <a:cs typeface="Arial"/>
              </a:defRPr>
            </a:pPr>
            <a:endParaRPr lang="en-US"/>
          </a:p>
        </c:txPr>
        <c:crossAx val="483840143"/>
        <c:crosses val="autoZero"/>
        <c:auto val="1"/>
        <c:lblOffset val="100"/>
        <c:baseTimeUnit val="days"/>
        <c:majorUnit val="6"/>
      </c:dateAx>
      <c:valAx>
        <c:axId val="483840143"/>
        <c:scaling>
          <c:orientation val="minMax"/>
        </c:scaling>
        <c:delete val="0"/>
        <c:axPos val="l"/>
        <c:numFmt formatCode="General"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sz="800" b="0" i="0" u="none" strike="noStrike" kern="1200" baseline="0">
                <a:solidFill>
                  <a:schemeClr val="tx1"/>
                </a:solidFill>
                <a:latin typeface="Arial"/>
                <a:ea typeface="Arial"/>
                <a:cs typeface="Arial"/>
              </a:defRPr>
            </a:pPr>
            <a:endParaRPr lang="en-US"/>
          </a:p>
        </c:txPr>
        <c:crossAx val="483857615"/>
        <c:crosses val="autoZero"/>
        <c:crossBetween val="between"/>
      </c:valAx>
      <c:spPr>
        <a:noFill/>
        <a:ln w="25400">
          <a:noFill/>
        </a:ln>
        <a:effectLst/>
      </c:spPr>
    </c:plotArea>
    <c:legend>
      <c:legendPos val="b"/>
      <c:overlay val="0"/>
      <c:spPr>
        <a:noFill/>
        <a:ln w="12700">
          <a:solidFill>
            <a:srgbClr val="000000"/>
          </a:solidFill>
          <a:prstDash val="solid"/>
        </a:ln>
        <a:effectLst/>
      </c:spPr>
      <c:txPr>
        <a:bodyPr rot="0" spcFirstLastPara="1" vertOverflow="ellipsis" vert="horz" wrap="square" anchor="ctr" anchorCtr="1"/>
        <a:lstStyle/>
        <a:p>
          <a:pPr>
            <a:defRPr sz="800" b="0" i="0" u="none" strike="noStrike" kern="1200" baseline="0">
              <a:solidFill>
                <a:schemeClr val="tx1"/>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800">
          <a:solidFill>
            <a:schemeClr val="tx1"/>
          </a:solidFill>
          <a:latin typeface="Arial"/>
          <a:ea typeface="Arial"/>
          <a:cs typeface="Aria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Arial"/>
                <a:ea typeface="Arial"/>
                <a:cs typeface="Arial"/>
              </a:defRPr>
            </a:pPr>
            <a:r>
              <a:rPr lang="en-US"/>
              <a:t>Last</a:t>
            </a:r>
            <a:r>
              <a:rPr lang="en-US" baseline="0"/>
              <a:t> 10 Year EV/EBITDA</a:t>
            </a:r>
            <a:endParaRPr lang="en-US"/>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a:ea typeface="Arial"/>
              <a:cs typeface="Arial"/>
            </a:defRPr>
          </a:pPr>
          <a:endParaRPr lang="en-US"/>
        </a:p>
      </c:txPr>
    </c:title>
    <c:autoTitleDeleted val="0"/>
    <c:plotArea>
      <c:layout/>
      <c:lineChart>
        <c:grouping val="standard"/>
        <c:varyColors val="0"/>
        <c:ser>
          <c:idx val="0"/>
          <c:order val="0"/>
          <c:tx>
            <c:strRef>
              <c:f>'Valuation (Don''t Use)'!$V$3</c:f>
              <c:strCache>
                <c:ptCount val="1"/>
                <c:pt idx="0">
                  <c:v>EV/EBITDA</c:v>
                </c:pt>
              </c:strCache>
            </c:strRef>
          </c:tx>
          <c:spPr>
            <a:ln w="12700" cap="rnd">
              <a:solidFill>
                <a:schemeClr val="accent1"/>
              </a:solidFill>
              <a:round/>
            </a:ln>
            <a:effectLst/>
          </c:spPr>
          <c:marker>
            <c:symbol val="none"/>
          </c:marker>
          <c:cat>
            <c:numRef>
              <c:f>'Valuation (Don''t Use)'!$U$4:$U$2518</c:f>
              <c:numCache>
                <c:formatCode>m/d/yyyy</c:formatCode>
                <c:ptCount val="2515"/>
                <c:pt idx="0">
                  <c:v>42380</c:v>
                </c:pt>
              </c:numCache>
            </c:numRef>
          </c:cat>
          <c:val>
            <c:numRef>
              <c:f>'Valuation (Don''t Use)'!$V$4:$V$2518</c:f>
              <c:numCache>
                <c:formatCode>General</c:formatCode>
                <c:ptCount val="2515"/>
              </c:numCache>
            </c:numRef>
          </c:val>
          <c:smooth val="0"/>
          <c:extLst>
            <c:ext xmlns:c16="http://schemas.microsoft.com/office/drawing/2014/chart" uri="{C3380CC4-5D6E-409C-BE32-E72D297353CC}">
              <c16:uniqueId val="{00000000-3832-407B-A9D1-88EB12BBA41E}"/>
            </c:ext>
          </c:extLst>
        </c:ser>
        <c:ser>
          <c:idx val="1"/>
          <c:order val="1"/>
          <c:tx>
            <c:strRef>
              <c:f>'Valuation (Don''t Use)'!$W$3</c:f>
              <c:strCache>
                <c:ptCount val="1"/>
                <c:pt idx="0">
                  <c:v>10-year average</c:v>
                </c:pt>
              </c:strCache>
            </c:strRef>
          </c:tx>
          <c:spPr>
            <a:ln w="12700" cap="rnd">
              <a:solidFill>
                <a:schemeClr val="accent2"/>
              </a:solidFill>
              <a:prstDash val="dash"/>
              <a:round/>
            </a:ln>
            <a:effectLst/>
          </c:spPr>
          <c:marker>
            <c:symbol val="none"/>
          </c:marker>
          <c:dLbls>
            <c:dLbl>
              <c:idx val="2488"/>
              <c:layout>
                <c:manualLayout>
                  <c:x val="-1.6708219247971973E-2"/>
                  <c:y val="1.7404192762349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32-407B-A9D1-88EB12BBA41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'Valuation (Don''t Use)'!$U$4:$U$2518</c:f>
              <c:numCache>
                <c:formatCode>m/d/yyyy</c:formatCode>
                <c:ptCount val="2515"/>
                <c:pt idx="0">
                  <c:v>42380</c:v>
                </c:pt>
              </c:numCache>
            </c:numRef>
          </c:cat>
          <c:val>
            <c:numRef>
              <c:f>'Valuation (Don''t Use)'!$W$4:$W$2518</c:f>
              <c:numCache>
                <c:formatCode>0.0</c:formatCode>
                <c:ptCount val="25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numCache>
            </c:numRef>
          </c:val>
          <c:smooth val="0"/>
          <c:extLst>
            <c:ext xmlns:c16="http://schemas.microsoft.com/office/drawing/2014/chart" uri="{C3380CC4-5D6E-409C-BE32-E72D297353CC}">
              <c16:uniqueId val="{00000002-3832-407B-A9D1-88EB12BBA41E}"/>
            </c:ext>
          </c:extLst>
        </c:ser>
        <c:dLbls>
          <c:showLegendKey val="0"/>
          <c:showVal val="0"/>
          <c:showCatName val="0"/>
          <c:showSerName val="0"/>
          <c:showPercent val="0"/>
          <c:showBubbleSize val="0"/>
        </c:dLbls>
        <c:smooth val="0"/>
        <c:axId val="483857615"/>
        <c:axId val="483840143"/>
      </c:lineChart>
      <c:dateAx>
        <c:axId val="483857615"/>
        <c:scaling>
          <c:orientation val="minMax"/>
        </c:scaling>
        <c:delete val="0"/>
        <c:axPos val="b"/>
        <c:numFmt formatCode="m/d/yyyy" sourceLinked="0"/>
        <c:majorTickMark val="out"/>
        <c:minorTickMark val="none"/>
        <c:tickLblPos val="low"/>
        <c:spPr>
          <a:noFill/>
          <a:ln w="12700"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a:ea typeface="Arial"/>
                <a:cs typeface="Arial"/>
              </a:defRPr>
            </a:pPr>
            <a:endParaRPr lang="en-US"/>
          </a:p>
        </c:txPr>
        <c:crossAx val="483840143"/>
        <c:crosses val="autoZero"/>
        <c:auto val="1"/>
        <c:lblOffset val="100"/>
        <c:baseTimeUnit val="days"/>
        <c:majorUnit val="6"/>
      </c:dateAx>
      <c:valAx>
        <c:axId val="483840143"/>
        <c:scaling>
          <c:orientation val="minMax"/>
        </c:scaling>
        <c:delete val="0"/>
        <c:axPos val="l"/>
        <c:numFmt formatCode="General" sourceLinked="0"/>
        <c:majorTickMark val="out"/>
        <c:minorTickMark val="none"/>
        <c:tickLblPos val="nextTo"/>
        <c:spPr>
          <a:noFill/>
          <a:ln w="12700">
            <a:solidFill>
              <a:srgbClr val="000000"/>
            </a:solidFill>
            <a:prstDash val="solid"/>
          </a:ln>
          <a:effectLst/>
        </c:spPr>
        <c:txPr>
          <a:bodyPr rot="-60000000" spcFirstLastPara="1" vertOverflow="ellipsis" vert="horz" wrap="square" anchor="ctr" anchorCtr="1"/>
          <a:lstStyle/>
          <a:p>
            <a:pPr>
              <a:defRPr sz="800" b="0" i="0" u="none" strike="noStrike" kern="1200" baseline="0">
                <a:solidFill>
                  <a:schemeClr val="tx1"/>
                </a:solidFill>
                <a:latin typeface="Arial"/>
                <a:ea typeface="Arial"/>
                <a:cs typeface="Arial"/>
              </a:defRPr>
            </a:pPr>
            <a:endParaRPr lang="en-US"/>
          </a:p>
        </c:txPr>
        <c:crossAx val="483857615"/>
        <c:crosses val="autoZero"/>
        <c:crossBetween val="between"/>
      </c:valAx>
      <c:spPr>
        <a:noFill/>
        <a:ln w="25400">
          <a:noFill/>
        </a:ln>
        <a:effectLst/>
      </c:spPr>
    </c:plotArea>
    <c:legend>
      <c:legendPos val="b"/>
      <c:overlay val="0"/>
      <c:spPr>
        <a:noFill/>
        <a:ln w="12700">
          <a:solidFill>
            <a:srgbClr val="000000"/>
          </a:solidFill>
          <a:prstDash val="solid"/>
        </a:ln>
        <a:effectLst/>
      </c:spPr>
      <c:txPr>
        <a:bodyPr rot="0" spcFirstLastPara="1" vertOverflow="ellipsis" vert="horz" wrap="square" anchor="ctr" anchorCtr="1"/>
        <a:lstStyle/>
        <a:p>
          <a:pPr>
            <a:defRPr sz="800" b="0" i="0" u="none" strike="noStrike" kern="1200" baseline="0">
              <a:solidFill>
                <a:schemeClr val="tx1"/>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800">
          <a:solidFill>
            <a:schemeClr val="tx1"/>
          </a:solidFill>
          <a:latin typeface="Arial"/>
          <a:ea typeface="Arial"/>
          <a:cs typeface="Arial"/>
        </a:defRPr>
      </a:pPr>
      <a:endParaRPr lang="en-US"/>
    </a:p>
  </c:txPr>
  <c:printSettings>
    <c:headerFooter/>
    <c:pageMargins b="0.75" l="0.7" r="0.7" t="0.75" header="0.3" footer="0.3"/>
    <c:pageSetup orientation="portrait"/>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plotArea>
      <cx:plotAreaRegion>
        <cx:series layoutId="waterfall" uniqueId="{F87649FD-468D-4B3C-AE31-DFA1620CA7B5}">
          <cx:tx>
            <cx:txData>
              <cx:f>_xlchart.v1.0</cx:f>
              <cx:v>Adjusted EPS</cx:v>
            </cx:txData>
          </cx:tx>
          <cx:dataLabels/>
          <cx:dataId val="0"/>
          <cx:layoutPr>
            <cx:subtotals>
              <cx:idx val="1"/>
              <cx:idx val="2"/>
              <cx:idx val="9"/>
              <cx:idx val="10"/>
            </cx:subtotals>
          </cx:layoutPr>
        </cx:series>
      </cx:plotAreaRegion>
      <cx:axis id="0">
        <cx:catScaling gapWidth="2.19000006"/>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5</xdr:col>
      <xdr:colOff>762000</xdr:colOff>
      <xdr:row>6</xdr:row>
      <xdr:rowOff>120650</xdr:rowOff>
    </xdr:to>
    <xdr:pic>
      <xdr:nvPicPr>
        <xdr:cNvPr id="2" name="Picture 1">
          <a:extLst>
            <a:ext uri="{FF2B5EF4-FFF2-40B4-BE49-F238E27FC236}">
              <a16:creationId xmlns:a16="http://schemas.microsoft.com/office/drawing/2014/main" id="{108FB07C-99EE-4054-B9AB-D9DFA7EAD6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485775"/>
          <a:ext cx="28194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161925</xdr:colOff>
      <xdr:row>13</xdr:row>
      <xdr:rowOff>133350</xdr:rowOff>
    </xdr:from>
    <xdr:to>
      <xdr:col>23</xdr:col>
      <xdr:colOff>412750</xdr:colOff>
      <xdr:row>31</xdr:row>
      <xdr:rowOff>25400</xdr:rowOff>
    </xdr:to>
    <xdr:graphicFrame macro="">
      <xdr:nvGraphicFramePr>
        <xdr:cNvPr id="2" name="Chart 1">
          <a:extLst>
            <a:ext uri="{FF2B5EF4-FFF2-40B4-BE49-F238E27FC236}">
              <a16:creationId xmlns:a16="http://schemas.microsoft.com/office/drawing/2014/main" id="{AD98BFE4-F946-484B-8503-4A72BD183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161925</xdr:colOff>
      <xdr:row>13</xdr:row>
      <xdr:rowOff>133350</xdr:rowOff>
    </xdr:from>
    <xdr:to>
      <xdr:col>23</xdr:col>
      <xdr:colOff>412750</xdr:colOff>
      <xdr:row>31</xdr:row>
      <xdr:rowOff>25400</xdr:rowOff>
    </xdr:to>
    <xdr:graphicFrame macro="">
      <xdr:nvGraphicFramePr>
        <xdr:cNvPr id="2" name="Chart 1">
          <a:extLst>
            <a:ext uri="{FF2B5EF4-FFF2-40B4-BE49-F238E27FC236}">
              <a16:creationId xmlns:a16="http://schemas.microsoft.com/office/drawing/2014/main" id="{078A6879-2BAA-4529-BD35-328132CD5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0</xdr:colOff>
      <xdr:row>75</xdr:row>
      <xdr:rowOff>0</xdr:rowOff>
    </xdr:from>
    <xdr:to>
      <xdr:col>38</xdr:col>
      <xdr:colOff>9525</xdr:colOff>
      <xdr:row>95</xdr:row>
      <xdr:rowOff>9525</xdr:rowOff>
    </xdr:to>
    <xdr:pic>
      <xdr:nvPicPr>
        <xdr:cNvPr id="2" name="Picture 1">
          <a:extLst>
            <a:ext uri="{FF2B5EF4-FFF2-40B4-BE49-F238E27FC236}">
              <a16:creationId xmlns:a16="http://schemas.microsoft.com/office/drawing/2014/main" id="{0D9F22D3-4648-AB8E-7574-6D9E60FDB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30850" y="13592175"/>
          <a:ext cx="10296525"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147637</xdr:colOff>
      <xdr:row>43</xdr:row>
      <xdr:rowOff>38100</xdr:rowOff>
    </xdr:from>
    <xdr:to>
      <xdr:col>24</xdr:col>
      <xdr:colOff>523875</xdr:colOff>
      <xdr:row>65</xdr:row>
      <xdr:rowOff>171450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B72FA5F-AE1D-B9A9-EDE2-CBF11932C5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20237" y="7820025"/>
              <a:ext cx="8605838" cy="4114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YANG Luwei MarkBsgResAso" id="{614F42E3-BFB8-4FF6-AFF9-4C202744C2B2}" userId="S::luwei.yang@bernsteinsg.com::602fc302-1fa2-42e5-aac7-c69662dc31b5" providerId="AD"/>
  <person displayName="CHUNG Andrew MarkBsgResAso" id="{75E63395-92E9-49F6-A5F5-3BB2C4E4FC3E}" userId="S::andrew.chung@bernsteinsg.com::58d5f265-1dfe-4273-acad-d42866f77991" providerId="AD"/>
</personList>
</file>

<file path=xl/theme/theme1.xml><?xml version="1.0" encoding="utf-8"?>
<a:theme xmlns:a="http://schemas.openxmlformats.org/drawingml/2006/main" name="ABColorTheme">
  <a:themeElements>
    <a:clrScheme name="SCBATMTheme">
      <a:dk1>
        <a:srgbClr val="000000"/>
      </a:dk1>
      <a:lt1>
        <a:srgbClr val="FFFFFF"/>
      </a:lt1>
      <a:dk2>
        <a:srgbClr val="C0C0C0"/>
      </a:dk2>
      <a:lt2>
        <a:srgbClr val="F0F0F0"/>
      </a:lt2>
      <a:accent1>
        <a:srgbClr val="1E9BD7"/>
      </a:accent1>
      <a:accent2>
        <a:srgbClr val="1F497D"/>
      </a:accent2>
      <a:accent3>
        <a:srgbClr val="1CD8C0"/>
      </a:accent3>
      <a:accent4>
        <a:srgbClr val="0E6C60"/>
      </a:accent4>
      <a:accent5>
        <a:srgbClr val="8C8C8C"/>
      </a:accent5>
      <a:accent6>
        <a:srgbClr val="43377D"/>
      </a:accent6>
      <a:hlink>
        <a:srgbClr val="1E9BD7"/>
      </a:hlink>
      <a:folHlink>
        <a:srgbClr val="35353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chemeClr val="accent1"/>
          </a:solidFill>
        </a:ln>
        <a:effectLst/>
      </a:spPr>
      <a:bodyPr tIns="73152" bIns="73152" rtlCol="0" anchor="ctr">
        <a:spAutoFit/>
      </a:bodyPr>
      <a:lstStyle>
        <a:defPPr algn="ctr">
          <a:defRPr sz="1200" dirty="0" err="1">
            <a:solidFill>
              <a:schemeClr val="tx1"/>
            </a:solidFill>
          </a:defRPr>
        </a:defPPr>
      </a:lstStyle>
      <a:style>
        <a:lnRef idx="1">
          <a:schemeClr val="accent1"/>
        </a:lnRef>
        <a:fillRef idx="3">
          <a:schemeClr val="accent1"/>
        </a:fillRef>
        <a:effectRef idx="2">
          <a:schemeClr val="accent1"/>
        </a:effectRef>
        <a:fontRef idx="minor">
          <a:schemeClr val="lt1"/>
        </a:fontRef>
      </a:style>
    </a:spDef>
    <a:lnDef>
      <a:spPr>
        <a:ln w="12700">
          <a:solidFill>
            <a:schemeClr val="tx1"/>
          </a:solidFill>
          <a:tailEnd type="none"/>
        </a:ln>
        <a:effectLst/>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Ins="0" bIns="0" rtlCol="0">
        <a:spAutoFit/>
      </a:bodyPr>
      <a:lstStyle>
        <a:defPPr algn="l">
          <a:defRPr sz="1200" dirty="0" smtClean="0">
            <a:solidFill>
              <a:schemeClr val="tx1"/>
            </a:solidFill>
          </a:defRPr>
        </a:defPPr>
      </a:lstStyle>
    </a:txDef>
  </a:objectDefaults>
  <a:extraClrSchemeLst/>
  <a:extLst>
    <a:ext uri="{05A4C25C-085E-4340-85A3-A5531E510DB2}">
      <thm15:themeFamily xmlns:thm15="http://schemas.microsoft.com/office/thememl/2012/main" name="ABColorTheme" id="{7558FF7F-7584-47D3-B119-DAEBC5E61FCE}" vid="{2683559E-010F-45B3-BD6E-0A958E5DE182}"/>
    </a:ext>
  </a:extLst>
</a:theme>
</file>

<file path=xl/threadedComments/threadedComment1.xml><?xml version="1.0" encoding="utf-8"?>
<ThreadedComments xmlns="http://schemas.microsoft.com/office/spreadsheetml/2018/threadedcomments" xmlns:x="http://schemas.openxmlformats.org/spreadsheetml/2006/main">
  <threadedComment ref="AH24" dT="2024-09-06T17:50:29.49" personId="{614F42E3-BFB8-4FF6-AFF9-4C202744C2B2}" id="{32256020-7316-4F2D-8103-A28128A78205}">
    <text>rounding</text>
  </threadedComment>
  <threadedComment ref="AI24" dT="2024-09-06T17:50:29.49" personId="{614F42E3-BFB8-4FF6-AFF9-4C202744C2B2}" id="{825AC62D-A170-4102-8FA9-95EBBB2284B1}">
    <text>rounding</text>
  </threadedComment>
  <threadedComment ref="AK24" dT="2024-09-06T17:50:29.49" personId="{614F42E3-BFB8-4FF6-AFF9-4C202744C2B2}" id="{ED0CA367-7676-424B-9274-33D8CAEB8CE2}">
    <text>rounding</text>
  </threadedComment>
  <threadedComment ref="AI25" dT="2024-09-06T17:50:29.49" personId="{614F42E3-BFB8-4FF6-AFF9-4C202744C2B2}" id="{3063FA49-AF56-4ADB-8992-AA44F7899599}">
    <text>rounding</text>
  </threadedComment>
  <threadedComment ref="AJ25" dT="2024-09-06T17:50:29.49" personId="{614F42E3-BFB8-4FF6-AFF9-4C202744C2B2}" id="{8053CBCE-7CD7-4BD7-B0B5-19B2C6C630D0}">
    <text>rounding</text>
  </threadedComment>
  <threadedComment ref="AK25" dT="2024-09-06T17:50:29.49" personId="{614F42E3-BFB8-4FF6-AFF9-4C202744C2B2}" id="{D0206EC5-824C-4F75-897C-039E6A95EC35}">
    <text>rounding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P8" dT="2025-04-24T20:20:53.41" personId="{614F42E3-BFB8-4FF6-AFF9-4C202744C2B2}" id="{08D5F3F9-0E20-4161-9C86-5C17ADAEC630}">
    <text>$50M FCF from Vistar media and Blis acquisitions</text>
  </threadedComment>
  <threadedComment ref="S8" dT="2024-09-30T21:39:21.97" personId="{614F42E3-BFB8-4FF6-AFF9-4C202744C2B2}" id="{3AF3AB45-EB06-4779-B3D6-075F3C9A796A}">
    <text>Includes $5B cash tax and higher interest expense on 2.5x leverage</text>
  </threadedComment>
  <threadedComment ref="P23" dT="2025-04-24T20:20:53.41" personId="{614F42E3-BFB8-4FF6-AFF9-4C202744C2B2}" id="{EE60F305-BD36-483C-8E15-5D9ABAE4F61F}">
    <text>$50M FCF from Vistar media and Blis acquisitions</text>
  </threadedComment>
  <threadedComment ref="P44" dT="2025-04-24T20:19:43.89" personId="{614F42E3-BFB8-4FF6-AFF9-4C202744C2B2}" id="{63382D05-FD59-401D-A871-EEBAB75EB034}">
    <text>$75M EBITDA from Vistar Media and Blis acquisitions in Q1
$250M in revenue</text>
  </threadedComment>
  <threadedComment ref="S44" dT="2024-09-30T21:17:01.41" personId="{614F42E3-BFB8-4FF6-AFF9-4C202744C2B2}" id="{22D8D7FE-C7A8-4A3A-ACE1-EBF90348AD43}">
    <text>7% CAGR</text>
  </threadedComment>
  <threadedComment ref="S54" dT="2024-09-30T20:16:09.62" personId="{614F42E3-BFB8-4FF6-AFF9-4C202744C2B2}" id="{660468A0-378E-4D05-8E31-A3416B382D40}">
    <text>6% CAGR from 2023</text>
  </threadedComment>
  <threadedComment ref="N70" dT="2024-09-30T20:14:46.07" personId="{614F42E3-BFB8-4FF6-AFF9-4C202744C2B2}" id="{F622A6ED-98F5-4A23-93B9-20723DEB3A4A}">
    <text>Low point for wholesale revenues</text>
  </threadedComment>
  <threadedComment ref="P70" dT="2025-04-24T20:59:40.10" personId="{614F42E3-BFB8-4FF6-AFF9-4C202744C2B2}" id="{ADC60498-0C83-4598-B182-40320B1EF606}">
    <text>Closer to 6%</text>
  </threadedComment>
  <threadedComment ref="Q70" dT="2025-07-24T00:54:38.77" personId="{75E63395-92E9-49F6-A5F5-3BB2C4E4FC3E}" id="{2A781E39-0B1F-4C8B-B4EB-854E0D40F8DD}">
    <text xml:space="preserve">At least 6%
</text>
  </threadedComment>
  <threadedComment ref="P71" dT="2025-04-24T22:24:38.69" personId="{614F42E3-BFB8-4FF6-AFF9-4C202744C2B2}" id="{593705BF-4A9C-4CB2-9026-A12CE10EFE62}">
    <text>$250M from Vistar Media and Blis</text>
  </threadedComment>
</ThreadedComments>
</file>

<file path=xl/threadedComments/threadedComment3.xml><?xml version="1.0" encoding="utf-8"?>
<ThreadedComments xmlns="http://schemas.microsoft.com/office/spreadsheetml/2018/threadedcomments" xmlns:x="http://schemas.openxmlformats.org/spreadsheetml/2006/main">
  <threadedComment ref="C7" dT="2025-10-07T18:42:06.61" personId="{75E63395-92E9-49F6-A5F5-3BB2C4E4FC3E}" id="{DB071CF7-872A-4F32-9EDF-9F53EABEF07D}">
    <text xml:space="preserve">950 million in cost to achieve with run rate of 2 years
</text>
  </threadedComment>
  <threadedComment ref="C28" dT="2025-10-08T00:30:27.36" personId="{75E63395-92E9-49F6-A5F5-3BB2C4E4FC3E}" id="{FD4C2E91-321E-4EF4-9FAE-884F734F37B2}">
    <text xml:space="preserve">950 M run rate synergies in 2 years
</text>
  </threadedComment>
  <threadedComment ref="C29" dT="2025-10-08T00:30:56.39" personId="{75E63395-92E9-49F6-A5F5-3BB2C4E4FC3E}" id="{8A980855-B911-4357-AAF8-64840FCD176F}">
    <text xml:space="preserve">250M in 2 years run rate synergies
</text>
  </threadedComment>
</ThreadedComments>
</file>

<file path=xl/threadedComments/threadedComment4.xml><?xml version="1.0" encoding="utf-8"?>
<ThreadedComments xmlns="http://schemas.microsoft.com/office/spreadsheetml/2018/threadedcomments" xmlns:x="http://schemas.openxmlformats.org/spreadsheetml/2006/main">
  <threadedComment ref="B124" dT="2024-11-29T17:07:16.60" personId="{614F42E3-BFB8-4FF6-AFF9-4C202744C2B2}" id="{A8B476F5-F155-42A4-94EF-67FB027F7996}">
    <text>Don't pay any material cash taxes now but expect to be a full cash tax payer in 2027 as NOL's run out</text>
  </threadedComment>
</ThreadedComments>
</file>

<file path=xl/threadedComments/threadedComment5.xml><?xml version="1.0" encoding="utf-8"?>
<ThreadedComments xmlns="http://schemas.microsoft.com/office/spreadsheetml/2018/threadedcomments" xmlns:x="http://schemas.openxmlformats.org/spreadsheetml/2006/main">
  <threadedComment ref="AQ20" dT="2024-11-26T16:59:20.93" personId="{614F42E3-BFB8-4FF6-AFF9-4C202744C2B2}" id="{665DA106-4DEB-4398-9203-4DF3020D2021}">
    <text>Guidance 7-8M in capital markets day</text>
  </threadedComment>
  <threadedComment ref="H40" dT="2024-10-01T21:08:19.25" personId="{614F42E3-BFB8-4FF6-AFF9-4C202744C2B2}" id="{13AE532C-C826-460C-899C-E8E0B211FF7F}">
    <text>Pro forma</text>
  </threadedComment>
  <threadedComment ref="AD40" dT="2025-10-23T22:10:40.53" personId="{75E63395-92E9-49F6-A5F5-3BB2C4E4FC3E}" id="{80D8534C-E8C8-48A2-9B3A-AF49D7D0AFB7}">
    <text>Includes a one time adjustment for USCellular postpaid others, 390</text>
  </threadedComment>
  <threadedComment ref="AD65" dT="2025-10-23T14:38:12.43" personId="{75E63395-92E9-49F6-A5F5-3BB2C4E4FC3E}" id="{2E01BFB6-0E33-4AF9-AD98-0B651283FB07}">
    <text xml:space="preserve">USC Acquisition
</text>
  </threadedComment>
  <threadedComment ref="AB77" dT="2025-04-24T22:04:06.88" personId="{614F42E3-BFB8-4FF6-AFF9-4C202744C2B2}" id="{C21AA21F-42B6-4F6B-93A1-1A101385ED00}">
    <text>Lowest churn quarter in FWA</text>
  </threadedComment>
  <threadedComment ref="AE84" dT="2025-10-23T16:33:35.32" personId="{75E63395-92E9-49F6-A5F5-3BB2C4E4FC3E}" id="{04205E2B-D885-4839-BC42-E130BA08924C}">
    <text xml:space="preserve">Guided to 130K for total year
</text>
  </threadedComment>
  <threadedComment ref="Z118" dT="2024-11-26T17:14:35.89" personId="{614F42E3-BFB8-4FF6-AFF9-4C202744C2B2}" id="{38BF6211-78BE-4591-8B65-061C7B69792F}">
    <text>Had $5 price increase in May</text>
  </threadedComment>
  <threadedComment ref="Z118" dT="2025-01-02T16:52:32.17" personId="{614F42E3-BFB8-4FF6-AFF9-4C202744C2B2}" id="{F2474561-A4C6-4272-965F-FDC48FD2DDAF}" parentId="{38BF6211-78BE-4591-8B65-061C7B69792F}">
    <text>Raised price on select legacy plans. "for the first time in nearly a decade" effective June</text>
  </threadedComment>
  <threadedComment ref="AQ118" dT="2026-01-07T18:32:36.57" personId="{75E63395-92E9-49F6-A5F5-3BB2C4E4FC3E}" id="{4F350745-763C-46F2-91F2-05EE0B479BFE}">
    <text>Guided to 2% for full year but given difference in rolling subscriber averages computed by T-Mobile in reported ARPU figures  (especially with USC in Q3) , this YoY growth may be misrepresented in our model</text>
  </threadedComment>
  <threadedComment ref="Y142" dT="2024-08-20T20:14:11.63" personId="{614F42E3-BFB8-4FF6-AFF9-4C202744C2B2}" id="{1B6E13DA-6731-4B4C-870D-A4E0EAC3B025}">
    <text>From the acquisition of Ka'ena</text>
  </threadedComment>
  <threadedComment ref="Q150" dT="2024-08-20T19:13:50.56" personId="{614F42E3-BFB8-4FF6-AFF9-4C202744C2B2}" id="{DEEE0C6B-AC08-4F63-9926-9E34B20E98FE}">
    <text>Customers impacted by the decommissioning of he legacy Spring CDMA and LTE and T-Mobile UMTS networks are excluded from the base</text>
  </threadedComment>
  <threadedComment ref="Y150" dT="2024-08-20T18:58:36.36" personId="{614F42E3-BFB8-4FF6-AFF9-4C202744C2B2}" id="{89E7509F-2333-4A35-A583-062B05B66548}">
    <text>Acquired 3504 prepaid customers through our acquisition of Ka'ena</text>
  </threadedComment>
  <threadedComment ref="AQ184" dT="2025-04-25T01:53:45.37" personId="{614F42E3-BFB8-4FF6-AFF9-4C202744C2B2}" id="{38DCFD1E-262F-4836-A83D-2B125635E113}">
    <text>Guided to about $2.9B</text>
  </threadedComment>
  <threadedComment ref="Y185" dT="2024-08-20T20:13:53.67" personId="{614F42E3-BFB8-4FF6-AFF9-4C202744C2B2}" id="{3567788B-EC3A-4888-BBFF-99B735BDE99A}">
    <text>Decline partially due to the acquisition of Ka'ena who was a wholesale for TMUS, now moved to prepaid revenue</text>
  </threadedComment>
  <threadedComment ref="Z212" dT="2024-11-29T17:37:15.80" personId="{614F42E3-BFB8-4FF6-AFF9-4C202744C2B2}" id="{D64732D4-03F2-43DA-A33E-E9D2E9F13D42}">
    <text>$331M of severance and related costs associated with the Aug 2023 workforce reduction; higher merger synergies; partially offset by higher costs as a result of the Ka'ena Acquisition</text>
  </threadedComment>
  <threadedComment ref="AE218" dT="2025-10-23T22:40:25.44" personId="{75E63395-92E9-49F6-A5F5-3BB2C4E4FC3E}" id="{DF43B42A-C4ED-40E6-A4C9-D0D2B309E477}">
    <text>Includes 1 time cell site decommissioning cost</text>
  </threadedComment>
</ThreadedComments>
</file>

<file path=xl/threadedComments/threadedComment6.xml><?xml version="1.0" encoding="utf-8"?>
<ThreadedComments xmlns="http://schemas.microsoft.com/office/spreadsheetml/2018/threadedcomments" xmlns:x="http://schemas.openxmlformats.org/spreadsheetml/2006/main">
  <threadedComment ref="Z53" dT="2024-12-03T00:58:29.40" personId="{614F42E3-BFB8-4FF6-AFF9-4C202744C2B2}" id="{235937F0-E0D0-4949-BE5D-ACDB8415FF85}">
    <text>Purchase of the first tranche in spectrum in the 600 MHz band; remaining $1.1B of the second tranche expected to close in 2025</text>
  </threadedComment>
  <threadedComment ref="AS99" dT="2024-09-30T21:37:15.66" personId="{614F42E3-BFB8-4FF6-AFF9-4C202744C2B2}" id="{E45DC36C-946E-4618-8B9A-9020B2036A41}">
    <text>$96B based on mid-point FY27 core adj. EBITDA guidance</text>
  </threadedComment>
  <threadedComment ref="AS103" dT="2024-09-30T21:36:40.54" personId="{614F42E3-BFB8-4FF6-AFF9-4C202744C2B2}" id="{883F6ED7-0ECE-4EF2-924B-31343E303720}">
    <text>Maintaining 2.5x leverage ratio</text>
  </threadedComment>
  <threadedComment ref="AF123" dT="2025-07-24T03:06:19.08" personId="{75E63395-92E9-49F6-A5F5-3BB2C4E4FC3E}" id="{96BB0AA5-3974-4A40-B961-F8ABC1057D27}">
    <text>OBBB tax benefit 1.5B / 4</text>
  </threadedComment>
  <threadedComment ref="AS123" dT="2024-09-30T21:18:34.05" personId="{614F42E3-BFB8-4FF6-AFF9-4C202744C2B2}" id="{15B15AA7-979F-49DF-8584-476BA9D9DBED}">
    <text>Full cash tax payer, ~$5B cash taxes</text>
  </threadedComment>
  <threadedComment ref="B146" dT="2024-09-30T21:44:35.83" personId="{614F42E3-BFB8-4FF6-AFF9-4C202744C2B2}" id="{6E807D02-159B-4D03-A417-CE532B8ED958}">
    <text>Guided to double-digit percentage growth annually in 2024 CMD</text>
  </threadedComment>
  <threadedComment ref="AA146" dT="2024-09-30T21:43:48.08" personId="{614F42E3-BFB8-4FF6-AFF9-4C202744C2B2}" id="{C3456154-2DD6-4163-B823-77EB5A5F2D3A}">
    <text>Based on guidance</text>
  </threadedComment>
  <threadedComment ref="AS159" dT="2024-09-30T21:46:56.61" personId="{614F42E3-BFB8-4FF6-AFF9-4C202744C2B2}" id="{41FD4A8D-BE1E-43FB-A0DB-8AA441B5F91E}">
    <text>Guided up to $50B additional ($75B total) shareholder return including share buybacks and dividends</text>
  </threadedComment>
</ThreadedComments>
</file>

<file path=xl/threadedComments/threadedComment7.xml><?xml version="1.0" encoding="utf-8"?>
<ThreadedComments xmlns="http://schemas.microsoft.com/office/spreadsheetml/2018/threadedcomments" xmlns:x="http://schemas.openxmlformats.org/spreadsheetml/2006/main">
  <threadedComment ref="O55" dT="2024-09-03T13:52:31.40" personId="{614F42E3-BFB8-4FF6-AFF9-4C202744C2B2}" id="{71C6C9A6-C390-42B4-A174-6002C201665C}">
    <text>174 covid-19-related costs</text>
  </threadedComment>
  <threadedComment ref="P71" dT="2024-09-03T14:16:55.13" personId="{614F42E3-BFB8-4FF6-AFF9-4C202744C2B2}" id="{89658C5E-9BC6-4203-88F3-92C3817F7F8E}">
    <text>1910 assets held for sale</text>
  </threadedComment>
  <threadedComment ref="P90" dT="2024-09-03T14:23:24.62" personId="{614F42E3-BFB8-4FF6-AFF9-4C202744C2B2}" id="{C98E74F6-11F4-49D8-A768-8DCFE80C83D3}">
    <text>606 liabilities held for sale</text>
  </threadedComment>
  <threadedComment ref="P144" dT="2024-08-23T22:59:48.00" personId="{614F42E3-BFB8-4FF6-AFF9-4C202744C2B2}" id="{1DD95609-3890-4CF1-9D2B-694EFEA9C932}">
    <text>1212 net cash related to derivative contracts under collateral exchange arrangements</text>
  </threadedComment>
  <threadedComment ref="Q144" dT="2024-08-23T23:07:57.24" personId="{614F42E3-BFB8-4FF6-AFF9-4C202744C2B2}" id="{396B88CF-CDA7-4550-B4DA-A375BEC15814}">
    <text>1238 proceeds from the divestiture of prepaid business</text>
  </threadedComment>
</ThreadedComments>
</file>

<file path=xl/threadedComments/threadedComment8.xml><?xml version="1.0" encoding="utf-8"?>
<ThreadedComments xmlns="http://schemas.microsoft.com/office/spreadsheetml/2018/threadedcomments" xmlns:x="http://schemas.openxmlformats.org/spreadsheetml/2006/main">
  <threadedComment ref="B8" dT="2024-08-20T15:38:26.66" personId="{614F42E3-BFB8-4FF6-AFF9-4C202744C2B2}" id="{39CAFA04-360B-4949-95C5-21B665160A39}">
    <text>Includes high speed internet customers</text>
  </threadedComment>
  <threadedComment ref="N12" dT="2024-09-03T14:43:16.74" personId="{614F42E3-BFB8-4FF6-AFF9-4C202744C2B2}" id="{87D11C37-C975-4726-A1C4-F3E8051FF735}">
    <text>Entered into an agreement in July 2019 where certain T-Mobile prepaid products will now be offered and distributed by a current MVNO partner</text>
  </threadedComment>
  <threadedComment ref="Q12" dT="2024-08-23T19:34:36.24" personId="{614F42E3-BFB8-4FF6-AFF9-4C202744C2B2}" id="{C5BCC238-A182-40CA-92D0-50E5FB4ACE48}">
    <text>Merger with Sprint</text>
  </threadedComment>
  <threadedComment ref="T12" dT="2024-08-23T19:35:33.65" personId="{614F42E3-BFB8-4FF6-AFF9-4C202744C2B2}" id="{45448DAF-C6F1-42F0-B9EE-3644C7292AE0}">
    <text>Acquisition of an affiliate</text>
  </threadedComment>
  <threadedComment ref="V12" dT="2024-08-23T19:36:50.35" personId="{614F42E3-BFB8-4FF6-AFF9-4C202744C2B2}" id="{3139CE28-B5C4-4213-9250-056F37AAC21D}">
    <text>Acquisition of Shentel's wireless assets</text>
  </threadedComment>
  <threadedComment ref="AE12" dT="2024-08-19T19:22:24.56" personId="{614F42E3-BFB8-4FF6-AFF9-4C202744C2B2}" id="{4B08EA03-CEAD-400E-9262-B536EAAF8021}">
    <text>20 increase in postpaid phone customers and 150 increase in postpaid other customers due to fewer customers than expected whose service was deactivated as a result of the network shutdowns</text>
  </threadedComment>
  <threadedComment ref="AG12" dT="2024-08-19T19:21:10.16" personId="{614F42E3-BFB8-4FF6-AFF9-4C202744C2B2}" id="{F47BB705-1B43-4D1C-99FA-AB0228454E4E}">
    <text>Customers through acquisition of Ka'ena</text>
  </threadedComment>
  <threadedComment ref="X35" dT="2024-08-19T20:18:58.35" personId="{614F42E3-BFB8-4FF6-AFF9-4C202744C2B2}" id="{A52F5C8E-1826-4D86-B4CE-D958ACAE785B}">
    <text>Removed 57K postpaid accounts for customers impacted by the decommissioning of the legacy Spring CDMA and LTE and T-Mobile UMTS networks</text>
  </threadedComment>
  <threadedComment ref="Y35" dT="2024-08-19T20:18:58.35" personId="{614F42E3-BFB8-4FF6-AFF9-4C202744C2B2}" id="{9C71ECD0-8416-43B5-BF2A-53A9BD2D28CE}">
    <text>Removed 69K postpaid accounts for customers impacted by the decommissioning of the legacy Spring CDMA and LTE and T-Mobile UMTS networks</text>
  </threadedComment>
  <threadedComment ref="P90" dT="2024-09-03T13:48:38.57" personId="{614F42E3-BFB8-4FF6-AFF9-4C202744C2B2}" id="{7253EE12-52FA-4673-92F8-896FC6483B99}">
    <text>Covid-19-related costs</text>
  </threadedComment>
  <threadedComment ref="Q90" dT="2024-09-03T13:48:38.57" personId="{614F42E3-BFB8-4FF6-AFF9-4C202744C2B2}" id="{939D9B83-FD1D-4B5C-9C60-595A3EC212B4}">
    <text>Covid-19-related costs</text>
  </threadedComment>
  <threadedComment ref="AG142" dT="2024-09-05T18:33:40.90" personId="{614F42E3-BFB8-4FF6-AFF9-4C202744C2B2}" id="{9284953F-9481-4E3E-8DB9-CE7267CBC142}">
    <text>$2.4B included in other current liabilities related to the closing of the first tranche of the License Purchase Agreement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57EEA52-5034-4836-AD72-26630AC85BCB}">
  <we:reference id="wa200009404" version="1.0.0.8" store="en-US" storeType="OMEX"/>
  <we:alternateReferences>
    <we:reference id="wa200009404" version="1.0.0.8" store="en-US" storeType="OMEX"/>
  </we:alternateReferences>
  <we:properties>
    <we:property name="claude.fileId" value="&quot;747085be-cbb2-470e-9031-2989ef18e60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mailto:andrew.chung@bernsteinsg.com" TargetMode="External"/><Relationship Id="rId2" Type="http://schemas.openxmlformats.org/officeDocument/2006/relationships/hyperlink" Target="mailto:martin.boruchowicz@bernsteinsg.com" TargetMode="External"/><Relationship Id="rId1" Type="http://schemas.openxmlformats.org/officeDocument/2006/relationships/hyperlink" Target="mailto:senior.analyst@bernstein.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 Id="rId4" Type="http://schemas.microsoft.com/office/2017/10/relationships/threadedComment" Target="../threadedComments/threadedComment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 Id="rId4" Type="http://schemas.microsoft.com/office/2017/10/relationships/threadedComment" Target="../threadedComments/threadedComment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1.bin"/><Relationship Id="rId1" Type="http://schemas.openxmlformats.org/officeDocument/2006/relationships/printerSettings" Target="../printerSettings/printerSettings15.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89CD-7CF7-4CC9-8385-1437C1C344BC}">
  <sheetPr>
    <tabColor rgb="FF1E9BD7"/>
  </sheetPr>
  <dimension ref="B2:N36"/>
  <sheetViews>
    <sheetView showGridLines="0" workbookViewId="0">
      <selection activeCell="AM23" sqref="AM23"/>
    </sheetView>
  </sheetViews>
  <sheetFormatPr defaultColWidth="9" defaultRowHeight="12.75" x14ac:dyDescent="0.2"/>
  <cols>
    <col min="1" max="1" width="3" style="557" customWidth="1"/>
    <col min="2" max="2" width="3.5" style="557" customWidth="1"/>
    <col min="3" max="5" width="9" style="557"/>
    <col min="6" max="7" width="13.75" style="557" customWidth="1"/>
    <col min="8" max="8" width="19.75" style="557" customWidth="1"/>
    <col min="9" max="10" width="9" style="557"/>
    <col min="11" max="11" width="13.75" style="557" bestFit="1" customWidth="1"/>
    <col min="12" max="16384" width="9" style="557"/>
  </cols>
  <sheetData>
    <row r="2" spans="2:14" x14ac:dyDescent="0.2">
      <c r="B2" s="556"/>
      <c r="C2" s="556"/>
      <c r="D2" s="556"/>
      <c r="E2" s="556"/>
      <c r="F2" s="556"/>
      <c r="G2" s="556"/>
      <c r="H2" s="556"/>
      <c r="I2" s="556"/>
      <c r="J2" s="556"/>
      <c r="K2" s="556"/>
      <c r="L2" s="556"/>
      <c r="M2" s="556"/>
      <c r="N2" s="556"/>
    </row>
    <row r="3" spans="2:14" x14ac:dyDescent="0.2">
      <c r="B3" s="556"/>
      <c r="C3" s="556"/>
      <c r="D3" s="556"/>
      <c r="E3" s="556"/>
      <c r="F3" s="556"/>
      <c r="G3" s="556"/>
      <c r="H3" s="556"/>
      <c r="I3" s="556"/>
      <c r="J3" s="556"/>
      <c r="K3" s="556"/>
      <c r="L3" s="556"/>
      <c r="M3" s="556"/>
      <c r="N3" s="556"/>
    </row>
    <row r="4" spans="2:14" x14ac:dyDescent="0.2">
      <c r="B4" s="556"/>
      <c r="C4" s="556"/>
      <c r="D4" s="556"/>
      <c r="E4" s="556"/>
      <c r="F4" s="556"/>
      <c r="G4" s="556"/>
      <c r="H4" s="556"/>
      <c r="I4" s="556"/>
      <c r="J4" s="556"/>
      <c r="K4" s="556"/>
      <c r="L4" s="556"/>
      <c r="M4" s="556"/>
      <c r="N4" s="556"/>
    </row>
    <row r="5" spans="2:14" ht="18" x14ac:dyDescent="0.25">
      <c r="B5" s="556"/>
      <c r="C5" s="556"/>
      <c r="D5" s="556"/>
      <c r="E5" s="556"/>
      <c r="F5" s="556"/>
      <c r="G5" s="556"/>
      <c r="H5" s="556"/>
      <c r="I5" s="556"/>
      <c r="J5" s="556"/>
      <c r="K5" s="558">
        <f ca="1">TODAY()</f>
        <v>46226</v>
      </c>
      <c r="L5" s="556"/>
      <c r="M5" s="556"/>
      <c r="N5" s="556"/>
    </row>
    <row r="6" spans="2:14" x14ac:dyDescent="0.2">
      <c r="B6" s="556"/>
      <c r="C6" s="556"/>
      <c r="D6" s="556"/>
      <c r="E6" s="556"/>
      <c r="F6" s="556"/>
      <c r="G6" s="556"/>
      <c r="H6" s="556"/>
      <c r="I6" s="556"/>
      <c r="J6" s="556"/>
      <c r="K6" s="556"/>
      <c r="L6" s="556"/>
      <c r="M6" s="556"/>
      <c r="N6" s="556"/>
    </row>
    <row r="7" spans="2:14" x14ac:dyDescent="0.2">
      <c r="B7" s="556"/>
      <c r="C7" s="556"/>
      <c r="D7" s="556"/>
      <c r="E7" s="556"/>
      <c r="F7" s="556"/>
      <c r="G7" s="556"/>
      <c r="H7" s="556"/>
      <c r="I7" s="556"/>
      <c r="J7" s="556"/>
      <c r="K7" s="556"/>
      <c r="L7" s="556"/>
      <c r="M7" s="556"/>
      <c r="N7" s="556"/>
    </row>
    <row r="8" spans="2:14" ht="24" customHeight="1" x14ac:dyDescent="0.2">
      <c r="B8" s="556"/>
      <c r="C8" s="556"/>
      <c r="D8" s="556"/>
      <c r="E8" s="556"/>
      <c r="F8" s="556"/>
      <c r="G8" s="556"/>
      <c r="H8" s="556"/>
      <c r="I8" s="556"/>
      <c r="J8" s="556"/>
      <c r="K8" s="556"/>
      <c r="L8" s="556"/>
      <c r="M8" s="556"/>
      <c r="N8" s="556"/>
    </row>
    <row r="9" spans="2:14" x14ac:dyDescent="0.2">
      <c r="B9" s="556"/>
      <c r="C9" s="556"/>
      <c r="D9" s="556"/>
      <c r="E9" s="556"/>
      <c r="F9" s="556"/>
      <c r="G9" s="556"/>
      <c r="H9" s="556"/>
      <c r="I9" s="556"/>
      <c r="J9" s="556"/>
      <c r="K9" s="556"/>
      <c r="L9" s="556"/>
      <c r="M9" s="556"/>
      <c r="N9" s="556"/>
    </row>
    <row r="10" spans="2:14" ht="15.75" x14ac:dyDescent="0.25">
      <c r="B10" s="556"/>
      <c r="C10" s="559" t="s">
        <v>1041</v>
      </c>
      <c r="D10" s="560"/>
      <c r="E10" s="556"/>
      <c r="F10" s="556"/>
      <c r="G10" s="556"/>
      <c r="H10" s="559"/>
      <c r="I10" s="556"/>
      <c r="J10" s="556"/>
      <c r="K10" s="556"/>
      <c r="L10" s="556"/>
      <c r="M10" s="556"/>
      <c r="N10" s="556"/>
    </row>
    <row r="11" spans="2:14" ht="15.75" x14ac:dyDescent="0.25">
      <c r="B11" s="556"/>
      <c r="C11" s="559" t="s">
        <v>1042</v>
      </c>
      <c r="D11" s="560"/>
      <c r="E11" s="556"/>
      <c r="F11" s="556"/>
      <c r="G11" s="556"/>
      <c r="H11" s="556"/>
      <c r="I11" s="556"/>
      <c r="J11" s="556"/>
      <c r="K11" s="556"/>
      <c r="L11" s="556"/>
      <c r="M11" s="556"/>
      <c r="N11" s="556"/>
    </row>
    <row r="12" spans="2:14" x14ac:dyDescent="0.2">
      <c r="B12" s="556"/>
      <c r="C12" s="556"/>
      <c r="D12" s="556"/>
      <c r="E12" s="556"/>
      <c r="F12" s="556"/>
      <c r="G12" s="556"/>
      <c r="H12" s="556"/>
      <c r="I12" s="556"/>
      <c r="J12" s="556"/>
      <c r="K12" s="556"/>
      <c r="L12" s="556"/>
      <c r="M12" s="556"/>
      <c r="N12" s="556"/>
    </row>
    <row r="13" spans="2:14" x14ac:dyDescent="0.2">
      <c r="B13" s="556"/>
      <c r="C13" s="556"/>
      <c r="D13" s="556"/>
      <c r="E13" s="556"/>
      <c r="F13" s="556"/>
      <c r="G13" s="556"/>
      <c r="H13" s="556"/>
      <c r="I13" s="556"/>
      <c r="J13" s="556"/>
      <c r="K13" s="556"/>
      <c r="L13" s="556"/>
      <c r="M13" s="556"/>
      <c r="N13" s="556"/>
    </row>
    <row r="14" spans="2:14" x14ac:dyDescent="0.2">
      <c r="B14" s="556"/>
      <c r="C14" s="556"/>
      <c r="D14" s="556"/>
      <c r="E14" s="556"/>
      <c r="F14" s="556"/>
      <c r="G14" s="556"/>
      <c r="H14" s="556"/>
      <c r="I14" s="556"/>
      <c r="J14" s="556"/>
      <c r="K14" s="556"/>
      <c r="L14" s="556"/>
      <c r="M14" s="556"/>
      <c r="N14" s="556"/>
    </row>
    <row r="15" spans="2:14" ht="26.25" x14ac:dyDescent="0.4">
      <c r="B15" s="556"/>
      <c r="C15" s="561" t="s">
        <v>647</v>
      </c>
      <c r="D15" s="562"/>
      <c r="E15" s="562"/>
      <c r="F15" s="562"/>
      <c r="G15" s="562"/>
      <c r="H15" s="562"/>
      <c r="I15" s="562"/>
      <c r="J15" s="556"/>
      <c r="K15" s="556"/>
      <c r="L15" s="556"/>
      <c r="M15" s="556"/>
      <c r="N15" s="556"/>
    </row>
    <row r="16" spans="2:14" ht="15.75" x14ac:dyDescent="0.25">
      <c r="B16" s="556"/>
      <c r="C16" s="559" t="s">
        <v>644</v>
      </c>
      <c r="D16" s="562"/>
      <c r="E16" s="562"/>
      <c r="F16" s="562"/>
      <c r="G16" s="562"/>
      <c r="H16" s="562"/>
      <c r="I16" s="562"/>
      <c r="J16" s="556"/>
      <c r="K16" s="556"/>
      <c r="L16" s="556"/>
      <c r="M16" s="556"/>
      <c r="N16" s="556"/>
    </row>
    <row r="17" spans="2:14" x14ac:dyDescent="0.2">
      <c r="B17" s="556"/>
      <c r="C17" s="562"/>
      <c r="D17" s="562"/>
      <c r="E17" s="562"/>
      <c r="F17" s="562"/>
      <c r="G17" s="562"/>
      <c r="H17" s="562"/>
      <c r="I17" s="562"/>
      <c r="J17" s="556"/>
      <c r="K17" s="556"/>
      <c r="L17" s="556"/>
      <c r="M17" s="556"/>
      <c r="N17" s="556"/>
    </row>
    <row r="18" spans="2:14" x14ac:dyDescent="0.2">
      <c r="B18" s="556"/>
      <c r="C18" s="560" t="s">
        <v>645</v>
      </c>
      <c r="D18" s="562"/>
      <c r="E18" s="562"/>
      <c r="F18" s="562"/>
      <c r="G18" s="562"/>
      <c r="H18" s="563" t="s">
        <v>646</v>
      </c>
      <c r="I18" s="562"/>
      <c r="J18" s="556"/>
      <c r="K18" s="556"/>
      <c r="L18" s="556"/>
      <c r="M18" s="556"/>
      <c r="N18" s="556"/>
    </row>
    <row r="19" spans="2:14" x14ac:dyDescent="0.2">
      <c r="B19" s="556"/>
      <c r="C19" s="560" t="s">
        <v>648</v>
      </c>
      <c r="D19" s="562"/>
      <c r="E19" s="562"/>
      <c r="F19" s="562"/>
      <c r="G19" s="562"/>
      <c r="H19" s="562" t="s">
        <v>649</v>
      </c>
      <c r="I19" s="562"/>
      <c r="J19" s="556"/>
      <c r="K19" s="556"/>
      <c r="L19" s="556"/>
      <c r="M19" s="556"/>
      <c r="N19" s="556"/>
    </row>
    <row r="20" spans="2:14" x14ac:dyDescent="0.2">
      <c r="B20" s="556"/>
      <c r="C20" s="560" t="s">
        <v>973</v>
      </c>
      <c r="D20" s="562"/>
      <c r="E20" s="562"/>
      <c r="F20" s="562"/>
      <c r="G20" s="562"/>
      <c r="H20" s="562" t="s">
        <v>974</v>
      </c>
      <c r="I20" s="562"/>
      <c r="J20" s="556"/>
      <c r="K20" s="556"/>
      <c r="L20" s="556"/>
      <c r="M20" s="556"/>
      <c r="N20" s="556"/>
    </row>
    <row r="21" spans="2:14" x14ac:dyDescent="0.2">
      <c r="B21" s="556"/>
      <c r="C21" s="560"/>
      <c r="D21" s="562"/>
      <c r="E21" s="562"/>
      <c r="F21" s="562"/>
      <c r="G21" s="562"/>
      <c r="H21" s="562"/>
      <c r="I21" s="562"/>
      <c r="J21" s="556"/>
      <c r="K21" s="556"/>
      <c r="L21" s="556"/>
      <c r="M21" s="556"/>
      <c r="N21" s="556"/>
    </row>
    <row r="22" spans="2:14" x14ac:dyDescent="0.2">
      <c r="B22" s="556"/>
      <c r="C22" s="560"/>
      <c r="D22" s="562"/>
      <c r="E22" s="562"/>
      <c r="F22" s="562"/>
      <c r="G22" s="562"/>
      <c r="H22" s="562"/>
      <c r="I22" s="562"/>
      <c r="J22" s="556"/>
      <c r="K22" s="556"/>
      <c r="L22" s="556"/>
      <c r="M22" s="556"/>
      <c r="N22" s="556"/>
    </row>
    <row r="23" spans="2:14" x14ac:dyDescent="0.2">
      <c r="B23" s="556"/>
      <c r="C23" s="560"/>
      <c r="D23" s="562"/>
      <c r="E23" s="562"/>
      <c r="F23" s="562"/>
      <c r="G23" s="562"/>
      <c r="H23" s="562"/>
      <c r="I23" s="562"/>
      <c r="J23" s="556"/>
      <c r="K23" s="556"/>
      <c r="L23" s="556"/>
      <c r="M23" s="556"/>
      <c r="N23" s="556"/>
    </row>
    <row r="24" spans="2:14" x14ac:dyDescent="0.2">
      <c r="B24" s="556"/>
      <c r="C24" s="560"/>
      <c r="D24" s="562"/>
      <c r="E24" s="562"/>
      <c r="F24" s="562"/>
      <c r="G24" s="562"/>
      <c r="H24" s="562"/>
      <c r="I24" s="562"/>
      <c r="J24" s="556"/>
      <c r="K24" s="556"/>
      <c r="L24" s="556"/>
      <c r="M24" s="556"/>
      <c r="N24" s="556"/>
    </row>
    <row r="25" spans="2:14" x14ac:dyDescent="0.2">
      <c r="B25" s="556"/>
      <c r="C25" s="560"/>
      <c r="D25" s="562"/>
      <c r="E25" s="562"/>
      <c r="F25" s="562"/>
      <c r="G25" s="562"/>
      <c r="H25" s="562"/>
      <c r="I25" s="562"/>
      <c r="J25" s="556"/>
      <c r="K25" s="556"/>
      <c r="L25" s="556"/>
      <c r="M25" s="556"/>
      <c r="N25" s="556"/>
    </row>
    <row r="26" spans="2:14" x14ac:dyDescent="0.2">
      <c r="B26" s="556"/>
      <c r="C26" s="560"/>
      <c r="D26" s="562"/>
      <c r="E26" s="562"/>
      <c r="F26" s="562"/>
      <c r="G26" s="562"/>
      <c r="H26" s="562"/>
      <c r="I26" s="562"/>
      <c r="J26" s="556"/>
      <c r="K26" s="556"/>
      <c r="L26" s="556"/>
      <c r="M26" s="556"/>
      <c r="N26" s="556"/>
    </row>
    <row r="27" spans="2:14" x14ac:dyDescent="0.2">
      <c r="B27" s="556"/>
      <c r="C27" s="560"/>
      <c r="D27" s="562"/>
      <c r="E27" s="562"/>
      <c r="F27" s="562"/>
      <c r="G27" s="562"/>
      <c r="H27" s="562"/>
      <c r="I27" s="562"/>
      <c r="J27" s="556"/>
      <c r="K27" s="556"/>
      <c r="L27" s="556"/>
      <c r="M27" s="556"/>
      <c r="N27" s="556"/>
    </row>
    <row r="28" spans="2:14" x14ac:dyDescent="0.2">
      <c r="B28" s="556"/>
      <c r="C28" s="560"/>
      <c r="D28" s="562"/>
      <c r="E28" s="562"/>
      <c r="F28" s="562"/>
      <c r="G28" s="562"/>
      <c r="H28" s="562"/>
      <c r="I28" s="562"/>
      <c r="J28" s="556"/>
      <c r="K28" s="556"/>
      <c r="L28" s="556"/>
      <c r="M28" s="556"/>
      <c r="N28" s="556"/>
    </row>
    <row r="29" spans="2:14" x14ac:dyDescent="0.2">
      <c r="B29" s="556"/>
      <c r="C29" s="560"/>
      <c r="D29" s="562"/>
      <c r="E29" s="562"/>
      <c r="F29" s="562"/>
      <c r="G29" s="562"/>
      <c r="H29" s="562"/>
      <c r="I29" s="562"/>
      <c r="J29" s="556"/>
      <c r="K29" s="556"/>
      <c r="L29" s="556"/>
      <c r="M29" s="556"/>
      <c r="N29" s="556"/>
    </row>
    <row r="30" spans="2:14" x14ac:dyDescent="0.2">
      <c r="B30" s="556"/>
      <c r="C30" s="560"/>
      <c r="D30" s="562"/>
      <c r="E30" s="562"/>
      <c r="F30" s="562"/>
      <c r="G30" s="562"/>
      <c r="H30" s="562"/>
      <c r="I30" s="562"/>
      <c r="J30" s="556"/>
      <c r="K30" s="556"/>
      <c r="L30" s="556"/>
      <c r="M30" s="556"/>
      <c r="N30" s="556"/>
    </row>
    <row r="31" spans="2:14" x14ac:dyDescent="0.2">
      <c r="B31" s="556"/>
      <c r="C31" s="562"/>
      <c r="D31" s="562"/>
      <c r="E31" s="562"/>
      <c r="F31" s="562"/>
      <c r="G31" s="562"/>
      <c r="H31" s="562"/>
      <c r="I31" s="562"/>
      <c r="J31" s="556"/>
      <c r="K31" s="556"/>
      <c r="L31" s="556"/>
      <c r="M31" s="556"/>
      <c r="N31" s="556"/>
    </row>
    <row r="32" spans="2:14" ht="162" customHeight="1" x14ac:dyDescent="0.2">
      <c r="B32" s="556"/>
      <c r="C32" s="1354" t="s">
        <v>943</v>
      </c>
      <c r="D32" s="1355"/>
      <c r="E32" s="1355"/>
      <c r="F32" s="1355"/>
      <c r="G32" s="1355"/>
      <c r="H32" s="1355"/>
      <c r="I32" s="1355"/>
      <c r="J32" s="1355"/>
      <c r="K32" s="1355"/>
      <c r="L32" s="1355"/>
      <c r="M32" s="1355"/>
      <c r="N32" s="556"/>
    </row>
    <row r="33" spans="2:14" x14ac:dyDescent="0.2">
      <c r="B33" s="556"/>
      <c r="C33" s="562"/>
      <c r="D33" s="562"/>
      <c r="E33" s="562"/>
      <c r="F33" s="562"/>
      <c r="G33" s="562"/>
      <c r="H33" s="562"/>
      <c r="I33" s="562"/>
      <c r="J33" s="556"/>
      <c r="K33" s="556"/>
      <c r="L33" s="556"/>
      <c r="M33" s="556"/>
      <c r="N33" s="556"/>
    </row>
    <row r="34" spans="2:14" x14ac:dyDescent="0.2">
      <c r="B34" s="556"/>
      <c r="C34" s="562"/>
      <c r="D34" s="562"/>
      <c r="E34" s="562"/>
      <c r="F34" s="562"/>
      <c r="G34" s="562"/>
      <c r="H34" s="562"/>
      <c r="I34" s="562"/>
      <c r="J34" s="556"/>
      <c r="K34" s="556"/>
      <c r="L34" s="556"/>
      <c r="M34" s="556"/>
      <c r="N34" s="556"/>
    </row>
    <row r="35" spans="2:14" x14ac:dyDescent="0.2">
      <c r="B35" s="556"/>
      <c r="C35" s="562"/>
      <c r="D35" s="562"/>
      <c r="E35" s="562"/>
      <c r="F35" s="562"/>
      <c r="G35" s="562"/>
      <c r="H35" s="562"/>
      <c r="I35" s="562"/>
      <c r="J35" s="556"/>
      <c r="K35" s="556"/>
      <c r="L35" s="556"/>
      <c r="M35" s="556"/>
      <c r="N35" s="556"/>
    </row>
    <row r="36" spans="2:14" x14ac:dyDescent="0.2">
      <c r="B36" s="556"/>
      <c r="C36" s="562"/>
      <c r="D36" s="562"/>
      <c r="E36" s="562"/>
      <c r="F36" s="562"/>
      <c r="G36" s="562"/>
      <c r="H36" s="562"/>
      <c r="I36" s="562"/>
      <c r="J36" s="556"/>
      <c r="K36" s="556"/>
      <c r="L36" s="556"/>
      <c r="M36" s="556"/>
      <c r="N36" s="556"/>
    </row>
  </sheetData>
  <mergeCells count="1">
    <mergeCell ref="C32:M32"/>
  </mergeCells>
  <hyperlinks>
    <hyperlink ref="H18" r:id="rId1" display="senior.analyst@bernstein.com" xr:uid="{F6AA0703-6506-45B3-8FF7-D22F7ACB389F}"/>
    <hyperlink ref="H19" r:id="rId2" xr:uid="{9A7A08B8-CE14-4A9A-BABE-DF31381DA7E8}"/>
    <hyperlink ref="H20" r:id="rId3" xr:uid="{B2B6FB90-AB48-4AD3-98F8-8759740A5B67}"/>
  </hyperlinks>
  <pageMargins left="0.7" right="0.7" top="0.75" bottom="0.75" header="0.3" footer="0.3"/>
  <pageSetup scale="65" orientation="portrait"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89E8-E6C3-43C6-85E3-38D9BA2BE81C}">
  <sheetPr>
    <tabColor theme="4" tint="0.79998168889431442"/>
  </sheetPr>
  <dimension ref="A2:AN59"/>
  <sheetViews>
    <sheetView showGridLines="0" zoomScaleNormal="100" workbookViewId="0">
      <selection activeCell="AG16" sqref="AG16"/>
    </sheetView>
  </sheetViews>
  <sheetFormatPr defaultColWidth="9" defaultRowHeight="12" outlineLevelCol="1" x14ac:dyDescent="0.2"/>
  <cols>
    <col min="1" max="1" width="32.75" style="2" bestFit="1" customWidth="1"/>
    <col min="2" max="2" width="9.625" style="2" hidden="1" customWidth="1" outlineLevel="1"/>
    <col min="3" max="5" width="9" style="2" hidden="1" customWidth="1" outlineLevel="1"/>
    <col min="6" max="6" width="0" style="2" hidden="1" customWidth="1" collapsed="1"/>
    <col min="7" max="10" width="0" style="2" hidden="1" customWidth="1" outlineLevel="1"/>
    <col min="11" max="11" width="0" style="2" hidden="1" customWidth="1" collapsed="1"/>
    <col min="12" max="15" width="9" style="2" hidden="1" customWidth="1" outlineLevel="1"/>
    <col min="16" max="16" width="0" style="2" hidden="1" customWidth="1" collapsed="1"/>
    <col min="17" max="20" width="9" style="2" hidden="1" customWidth="1" outlineLevel="1"/>
    <col min="21" max="21" width="9" style="2" collapsed="1"/>
    <col min="22" max="25" width="9" style="2" customWidth="1" outlineLevel="1"/>
    <col min="26" max="26" width="9" style="2"/>
    <col min="27" max="30" width="9" style="2" hidden="1" customWidth="1" outlineLevel="1"/>
    <col min="31" max="31" width="9" style="2" collapsed="1"/>
    <col min="32" max="33" width="9" style="2"/>
    <col min="34" max="39" width="9" style="2" hidden="1" customWidth="1" outlineLevel="1"/>
    <col min="40" max="40" width="9" style="2" collapsed="1"/>
    <col min="41" max="16384" width="9" style="2"/>
  </cols>
  <sheetData>
    <row r="2" spans="1:39" x14ac:dyDescent="0.2">
      <c r="A2" s="3" t="s">
        <v>743</v>
      </c>
      <c r="AH2" s="2" t="s">
        <v>744</v>
      </c>
    </row>
    <row r="3" spans="1:39" x14ac:dyDescent="0.2">
      <c r="A3" s="1332" t="s">
        <v>737</v>
      </c>
      <c r="B3" s="965" t="s">
        <v>174</v>
      </c>
      <c r="C3" s="966" t="s">
        <v>175</v>
      </c>
      <c r="D3" s="966" t="s">
        <v>176</v>
      </c>
      <c r="E3" s="966" t="s">
        <v>177</v>
      </c>
      <c r="F3" s="967">
        <v>2021</v>
      </c>
      <c r="G3" s="966" t="s">
        <v>1</v>
      </c>
      <c r="H3" s="966" t="s">
        <v>2</v>
      </c>
      <c r="I3" s="966" t="s">
        <v>3</v>
      </c>
      <c r="J3" s="966" t="s">
        <v>4</v>
      </c>
      <c r="K3" s="967">
        <v>2022</v>
      </c>
      <c r="L3" s="966" t="s">
        <v>5</v>
      </c>
      <c r="M3" s="966" t="s">
        <v>6</v>
      </c>
      <c r="N3" s="966" t="s">
        <v>7</v>
      </c>
      <c r="O3" s="966" t="s">
        <v>8</v>
      </c>
      <c r="P3" s="967">
        <v>2023</v>
      </c>
      <c r="Q3" s="966" t="s">
        <v>9</v>
      </c>
      <c r="R3" s="966" t="s">
        <v>10</v>
      </c>
      <c r="S3" s="966" t="s">
        <v>716</v>
      </c>
      <c r="T3" s="966" t="s">
        <v>717</v>
      </c>
      <c r="U3" s="967">
        <v>2024</v>
      </c>
      <c r="V3" s="966" t="s">
        <v>718</v>
      </c>
      <c r="W3" s="966" t="s">
        <v>719</v>
      </c>
      <c r="X3" s="966" t="s">
        <v>720</v>
      </c>
      <c r="Y3" s="968" t="s">
        <v>721</v>
      </c>
      <c r="Z3" s="1298" t="s">
        <v>741</v>
      </c>
      <c r="AA3" s="968" t="s">
        <v>722</v>
      </c>
      <c r="AB3" s="968" t="s">
        <v>723</v>
      </c>
      <c r="AC3" s="968" t="s">
        <v>724</v>
      </c>
      <c r="AD3" s="969" t="s">
        <v>725</v>
      </c>
      <c r="AE3" s="1298" t="s">
        <v>742</v>
      </c>
      <c r="AH3" s="993">
        <v>2021</v>
      </c>
      <c r="AI3" s="993">
        <f>+AH3+1</f>
        <v>2022</v>
      </c>
      <c r="AJ3" s="993">
        <f t="shared" ref="AJ3:AM3" si="0">+AI3+1</f>
        <v>2023</v>
      </c>
      <c r="AK3" s="993">
        <f t="shared" si="0"/>
        <v>2024</v>
      </c>
      <c r="AL3" s="993">
        <f t="shared" si="0"/>
        <v>2025</v>
      </c>
      <c r="AM3" s="993">
        <f t="shared" si="0"/>
        <v>2026</v>
      </c>
    </row>
    <row r="4" spans="1:39" x14ac:dyDescent="0.2">
      <c r="A4" s="670" t="s">
        <v>0</v>
      </c>
      <c r="B4" s="846"/>
      <c r="C4" s="172"/>
      <c r="D4" s="172"/>
      <c r="E4" s="172"/>
      <c r="F4" s="952"/>
      <c r="G4" s="172"/>
      <c r="H4" s="172"/>
      <c r="I4" s="172"/>
      <c r="J4" s="172"/>
      <c r="K4" s="952"/>
      <c r="L4" s="172"/>
      <c r="M4" s="172"/>
      <c r="N4" s="172"/>
      <c r="O4" s="172"/>
      <c r="P4" s="952"/>
      <c r="Q4" s="172"/>
      <c r="R4" s="172"/>
      <c r="S4" s="172"/>
      <c r="T4" s="172"/>
      <c r="U4" s="952"/>
      <c r="V4" s="172"/>
      <c r="W4" s="172"/>
      <c r="X4" s="172"/>
      <c r="Y4" s="172"/>
      <c r="Z4" s="952"/>
      <c r="AA4" s="172"/>
      <c r="AB4" s="172"/>
      <c r="AC4" s="172"/>
      <c r="AD4" s="864"/>
      <c r="AE4" s="952"/>
    </row>
    <row r="5" spans="1:39" x14ac:dyDescent="0.2">
      <c r="A5" s="671" t="s">
        <v>11</v>
      </c>
      <c r="B5" s="632">
        <f>'FC - 3FS'!L6</f>
        <v>10303</v>
      </c>
      <c r="C5" s="612">
        <f>'FC - 3FS'!M6</f>
        <v>10492</v>
      </c>
      <c r="D5" s="612">
        <f>'FC - 3FS'!N6</f>
        <v>10804</v>
      </c>
      <c r="E5" s="612">
        <f>'FC - 3FS'!O6</f>
        <v>10963</v>
      </c>
      <c r="F5" s="953">
        <f>'FC - 3FS'!AM6</f>
        <v>42562</v>
      </c>
      <c r="G5" s="612">
        <f>'FC - 3FS'!P6</f>
        <v>11201</v>
      </c>
      <c r="H5" s="612">
        <f>'FC - 3FS'!Q6</f>
        <v>11445</v>
      </c>
      <c r="I5" s="612">
        <f>'FC - 3FS'!R6</f>
        <v>11548</v>
      </c>
      <c r="J5" s="612">
        <f>'FC - 3FS'!S6</f>
        <v>11725</v>
      </c>
      <c r="K5" s="953">
        <f>'FC - 3FS'!AN6</f>
        <v>45919</v>
      </c>
      <c r="L5" s="612">
        <f>'FC - 3FS'!T6</f>
        <v>11862</v>
      </c>
      <c r="M5" s="612">
        <f>'FC - 3FS'!U6</f>
        <v>12070</v>
      </c>
      <c r="N5" s="612">
        <f>'FC - 3FS'!V6</f>
        <v>12288</v>
      </c>
      <c r="O5" s="612">
        <f>'FC - 3FS'!W6</f>
        <v>12472</v>
      </c>
      <c r="P5" s="953">
        <f>'FC - 3FS'!AO6</f>
        <v>48692</v>
      </c>
      <c r="Q5" s="612">
        <f>'FC - 3FS'!X6</f>
        <v>12631</v>
      </c>
      <c r="R5" s="612">
        <f>'FC - 3FS'!Y6</f>
        <v>12899</v>
      </c>
      <c r="S5" s="612">
        <f>'FC - 3FS'!Z6</f>
        <v>13308</v>
      </c>
      <c r="T5" s="612">
        <f>'FC - 3FS'!AA6</f>
        <v>13502</v>
      </c>
      <c r="U5" s="953">
        <f>'FC - 3FS'!AP6</f>
        <v>52340</v>
      </c>
      <c r="V5" s="612">
        <f>'FC - 3FS'!AB6</f>
        <v>13594</v>
      </c>
      <c r="W5" s="612">
        <f>'FC - 3FS'!AC6</f>
        <v>14078</v>
      </c>
      <c r="X5" s="612">
        <f>'FC - 3FS'!AD6</f>
        <v>14882</v>
      </c>
      <c r="Y5" s="940">
        <f>'FC - 3FS'!AE6</f>
        <v>15201.074586422234</v>
      </c>
      <c r="Z5" s="979">
        <f>'FC - 3FS'!AQ6</f>
        <v>57755.074586422234</v>
      </c>
      <c r="AA5" s="940">
        <f>'FC - 3FS'!AF6</f>
        <v>15280.935884285471</v>
      </c>
      <c r="AB5" s="940">
        <f>'FC - 3FS'!AG6</f>
        <v>15801.25455072703</v>
      </c>
      <c r="AC5" s="940">
        <f>'FC - 3FS'!AH6</f>
        <v>16201.781749218617</v>
      </c>
      <c r="AD5" s="970">
        <f>'FC - 3FS'!AI6</f>
        <v>16299.261628457032</v>
      </c>
      <c r="AE5" s="979">
        <f>'FC - 3FS'!AR6</f>
        <v>63583.233812688151</v>
      </c>
      <c r="AH5" s="2" t="b">
        <f t="shared" ref="AH5:AH11" si="1">+SUM(B5:E5)=F5</f>
        <v>1</v>
      </c>
      <c r="AI5" s="2" t="b">
        <f t="shared" ref="AI5:AI11" si="2">+SUM(G5:J5)=K5</f>
        <v>1</v>
      </c>
      <c r="AJ5" s="2" t="b">
        <f t="shared" ref="AJ5:AJ11" si="3">+SUM(L5:O5)=P5</f>
        <v>1</v>
      </c>
      <c r="AK5" s="2" t="b">
        <f t="shared" ref="AK5:AK11" si="4">+SUM(Q5:T5)=U5</f>
        <v>1</v>
      </c>
      <c r="AL5" s="2" t="b">
        <f>+SUM(V5:Y5)=Z5</f>
        <v>1</v>
      </c>
      <c r="AM5" s="2" t="b">
        <f t="shared" ref="AM5:AM11" si="5">+SUM(AA5:AD5)=AE5</f>
        <v>1</v>
      </c>
    </row>
    <row r="6" spans="1:39" x14ac:dyDescent="0.2">
      <c r="A6" s="671" t="s">
        <v>12</v>
      </c>
      <c r="B6" s="632">
        <f>'FC - 3FS'!L7</f>
        <v>2351</v>
      </c>
      <c r="C6" s="612">
        <f>'FC - 3FS'!M7</f>
        <v>2427</v>
      </c>
      <c r="D6" s="612">
        <f>'FC - 3FS'!N7</f>
        <v>2481</v>
      </c>
      <c r="E6" s="612">
        <f>'FC - 3FS'!O7</f>
        <v>2474</v>
      </c>
      <c r="F6" s="953">
        <f>'FC - 3FS'!AM7</f>
        <v>9733</v>
      </c>
      <c r="G6" s="612">
        <f>'FC - 3FS'!P7</f>
        <v>2455</v>
      </c>
      <c r="H6" s="612">
        <f>'FC - 3FS'!Q7</f>
        <v>2469</v>
      </c>
      <c r="I6" s="612">
        <f>'FC - 3FS'!R7</f>
        <v>2484</v>
      </c>
      <c r="J6" s="612">
        <f>'FC - 3FS'!S7</f>
        <v>2449</v>
      </c>
      <c r="K6" s="953">
        <f>'FC - 3FS'!AN7</f>
        <v>9857</v>
      </c>
      <c r="L6" s="612">
        <f>'FC - 3FS'!T7</f>
        <v>2417</v>
      </c>
      <c r="M6" s="612">
        <f>'FC - 3FS'!U7</f>
        <v>2444</v>
      </c>
      <c r="N6" s="612">
        <f>'FC - 3FS'!V7</f>
        <v>2473</v>
      </c>
      <c r="O6" s="612">
        <f>'FC - 3FS'!W7</f>
        <v>2433</v>
      </c>
      <c r="P6" s="953">
        <f>'FC - 3FS'!AO7</f>
        <v>9767</v>
      </c>
      <c r="Q6" s="612">
        <f>'FC - 3FS'!X7</f>
        <v>2403</v>
      </c>
      <c r="R6" s="612">
        <f>'FC - 3FS'!Y7</f>
        <v>2592</v>
      </c>
      <c r="S6" s="612">
        <f>'FC - 3FS'!Z7</f>
        <v>2716</v>
      </c>
      <c r="T6" s="612">
        <f>'FC - 3FS'!AA7</f>
        <v>2688</v>
      </c>
      <c r="U6" s="953">
        <f>'FC - 3FS'!AP7</f>
        <v>10399</v>
      </c>
      <c r="V6" s="612">
        <f>'FC - 3FS'!AB7</f>
        <v>2643</v>
      </c>
      <c r="W6" s="612">
        <f>'FC - 3FS'!AC7</f>
        <v>2643</v>
      </c>
      <c r="X6" s="612">
        <f>'FC - 3FS'!AD7</f>
        <v>2625</v>
      </c>
      <c r="Y6" s="940">
        <f>'FC - 3FS'!AE7</f>
        <v>2603.7494039372605</v>
      </c>
      <c r="Z6" s="979">
        <f>'FC - 3FS'!AQ7</f>
        <v>10514.749403937261</v>
      </c>
      <c r="AA6" s="940">
        <f>'FC - 3FS'!AF7</f>
        <v>2557.3003048894129</v>
      </c>
      <c r="AB6" s="940">
        <f>'FC - 3FS'!AG7</f>
        <v>2565.5624094357663</v>
      </c>
      <c r="AC6" s="940">
        <f>'FC - 3FS'!AH7</f>
        <v>2549.7529610063602</v>
      </c>
      <c r="AD6" s="970">
        <f>'FC - 3FS'!AI7</f>
        <v>2556.1863073033028</v>
      </c>
      <c r="AE6" s="979">
        <f>'FC - 3FS'!AR7</f>
        <v>10228.801982634843</v>
      </c>
      <c r="AH6" s="2" t="b">
        <f t="shared" si="1"/>
        <v>1</v>
      </c>
      <c r="AI6" s="2" t="b">
        <f t="shared" si="2"/>
        <v>1</v>
      </c>
      <c r="AJ6" s="2" t="b">
        <f t="shared" si="3"/>
        <v>1</v>
      </c>
      <c r="AK6" s="2" t="b">
        <f t="shared" si="4"/>
        <v>1</v>
      </c>
      <c r="AL6" s="2" t="b">
        <f>+SUM(V6:Y6)=Z6</f>
        <v>1</v>
      </c>
      <c r="AM6" s="2" t="b">
        <f t="shared" si="5"/>
        <v>1</v>
      </c>
    </row>
    <row r="7" spans="1:39" x14ac:dyDescent="0.2">
      <c r="A7" s="671" t="s">
        <v>13</v>
      </c>
      <c r="B7" s="632">
        <f>'FC - 3FS'!L8</f>
        <v>1538</v>
      </c>
      <c r="C7" s="612">
        <f>'FC - 3FS'!M8</f>
        <v>1573</v>
      </c>
      <c r="D7" s="612">
        <f>'FC - 3FS'!N8</f>
        <v>1437</v>
      </c>
      <c r="E7" s="612">
        <f>'FC - 3FS'!O8</f>
        <v>1526</v>
      </c>
      <c r="F7" s="953">
        <f>'FC - 3FS'!AM8</f>
        <v>6074</v>
      </c>
      <c r="G7" s="612">
        <f>'FC - 3FS'!P8</f>
        <v>1472</v>
      </c>
      <c r="H7" s="612">
        <f>'FC - 3FS'!Q8</f>
        <v>1402</v>
      </c>
      <c r="I7" s="612">
        <f>'FC - 3FS'!R8</f>
        <v>1329</v>
      </c>
      <c r="J7" s="612">
        <f>'FC - 3FS'!S8</f>
        <v>1344</v>
      </c>
      <c r="K7" s="953">
        <f>'FC - 3FS'!AN8</f>
        <v>5547</v>
      </c>
      <c r="L7" s="612">
        <f>'FC - 3FS'!T8</f>
        <v>1267</v>
      </c>
      <c r="M7" s="612">
        <f>'FC - 3FS'!U8</f>
        <v>1224</v>
      </c>
      <c r="N7" s="612">
        <f>'FC - 3FS'!V8</f>
        <v>1153</v>
      </c>
      <c r="O7" s="612">
        <f>'FC - 3FS'!W8</f>
        <v>1138</v>
      </c>
      <c r="P7" s="953">
        <f>'FC - 3FS'!AO8</f>
        <v>4782</v>
      </c>
      <c r="Q7" s="612">
        <f>'FC - 3FS'!X8</f>
        <v>1062</v>
      </c>
      <c r="R7" s="612">
        <f>'FC - 3FS'!Y8</f>
        <v>938</v>
      </c>
      <c r="S7" s="612">
        <f>'FC - 3FS'!Z8</f>
        <v>701</v>
      </c>
      <c r="T7" s="612">
        <f>'FC - 3FS'!AA8</f>
        <v>738</v>
      </c>
      <c r="U7" s="953">
        <f>'FC - 3FS'!AP8</f>
        <v>3439</v>
      </c>
      <c r="V7" s="612">
        <f>'FC - 3FS'!AB8</f>
        <v>688</v>
      </c>
      <c r="W7" s="612">
        <f>'FC - 3FS'!AC8</f>
        <v>717</v>
      </c>
      <c r="X7" s="612">
        <f>'FC - 3FS'!AD8</f>
        <v>734</v>
      </c>
      <c r="Y7" s="940">
        <f>'FC - 3FS'!AE8</f>
        <v>752.76</v>
      </c>
      <c r="Z7" s="979">
        <f>'FC - 3FS'!AQ8</f>
        <v>2891.76</v>
      </c>
      <c r="AA7" s="940">
        <f>'FC - 3FS'!AF8</f>
        <v>694.88</v>
      </c>
      <c r="AB7" s="940">
        <f>'FC - 3FS'!AG8</f>
        <v>731.34</v>
      </c>
      <c r="AC7" s="940">
        <f>'FC - 3FS'!AH8</f>
        <v>756.02</v>
      </c>
      <c r="AD7" s="940">
        <f>'FC - 3FS'!AI8</f>
        <v>782.87040000000002</v>
      </c>
      <c r="AE7" s="979">
        <f>'FC - 3FS'!AR8</f>
        <v>2965.1103999999996</v>
      </c>
      <c r="AH7" s="2" t="b">
        <f t="shared" si="1"/>
        <v>1</v>
      </c>
      <c r="AI7" s="2" t="b">
        <f t="shared" si="2"/>
        <v>1</v>
      </c>
      <c r="AJ7" s="2" t="b">
        <f t="shared" si="3"/>
        <v>1</v>
      </c>
      <c r="AK7" s="2" t="b">
        <f t="shared" si="4"/>
        <v>1</v>
      </c>
      <c r="AL7" s="2" t="b">
        <f>+SUM(V7:Y7)=Z7</f>
        <v>1</v>
      </c>
      <c r="AM7" s="2" t="b">
        <f t="shared" si="5"/>
        <v>1</v>
      </c>
    </row>
    <row r="8" spans="1:39" x14ac:dyDescent="0.2">
      <c r="A8" s="672" t="s">
        <v>14</v>
      </c>
      <c r="B8" s="943">
        <f>+SUM(B5:B7)</f>
        <v>14192</v>
      </c>
      <c r="C8" s="663">
        <f t="shared" ref="C8:AE8" si="6">+SUM(C5:C7)</f>
        <v>14492</v>
      </c>
      <c r="D8" s="663">
        <f t="shared" si="6"/>
        <v>14722</v>
      </c>
      <c r="E8" s="663">
        <f t="shared" si="6"/>
        <v>14963</v>
      </c>
      <c r="F8" s="954">
        <f t="shared" si="6"/>
        <v>58369</v>
      </c>
      <c r="G8" s="663">
        <f t="shared" si="6"/>
        <v>15128</v>
      </c>
      <c r="H8" s="663">
        <f t="shared" si="6"/>
        <v>15316</v>
      </c>
      <c r="I8" s="663">
        <f t="shared" si="6"/>
        <v>15361</v>
      </c>
      <c r="J8" s="663">
        <f t="shared" si="6"/>
        <v>15518</v>
      </c>
      <c r="K8" s="954">
        <f t="shared" si="6"/>
        <v>61323</v>
      </c>
      <c r="L8" s="663">
        <f t="shared" si="6"/>
        <v>15546</v>
      </c>
      <c r="M8" s="663">
        <f t="shared" si="6"/>
        <v>15738</v>
      </c>
      <c r="N8" s="663">
        <f t="shared" si="6"/>
        <v>15914</v>
      </c>
      <c r="O8" s="663">
        <f t="shared" si="6"/>
        <v>16043</v>
      </c>
      <c r="P8" s="954">
        <f t="shared" si="6"/>
        <v>63241</v>
      </c>
      <c r="Q8" s="663">
        <f t="shared" si="6"/>
        <v>16096</v>
      </c>
      <c r="R8" s="663">
        <f t="shared" si="6"/>
        <v>16429</v>
      </c>
      <c r="S8" s="663">
        <f t="shared" si="6"/>
        <v>16725</v>
      </c>
      <c r="T8" s="663">
        <f t="shared" si="6"/>
        <v>16928</v>
      </c>
      <c r="U8" s="954">
        <f t="shared" si="6"/>
        <v>66178</v>
      </c>
      <c r="V8" s="663">
        <f t="shared" si="6"/>
        <v>16925</v>
      </c>
      <c r="W8" s="663">
        <f t="shared" si="6"/>
        <v>17438</v>
      </c>
      <c r="X8" s="663">
        <f t="shared" si="6"/>
        <v>18241</v>
      </c>
      <c r="Y8" s="936">
        <f t="shared" si="6"/>
        <v>18557.583990359493</v>
      </c>
      <c r="Z8" s="980">
        <f t="shared" si="6"/>
        <v>71161.58399035949</v>
      </c>
      <c r="AA8" s="936">
        <f t="shared" si="6"/>
        <v>18533.116189174885</v>
      </c>
      <c r="AB8" s="936">
        <f t="shared" si="6"/>
        <v>19098.156960162796</v>
      </c>
      <c r="AC8" s="936">
        <f t="shared" si="6"/>
        <v>19507.554710224977</v>
      </c>
      <c r="AD8" s="971">
        <f t="shared" si="6"/>
        <v>19638.318335760334</v>
      </c>
      <c r="AE8" s="980">
        <f t="shared" si="6"/>
        <v>76777.146195323003</v>
      </c>
      <c r="AH8" s="2" t="b">
        <f t="shared" si="1"/>
        <v>1</v>
      </c>
      <c r="AI8" s="2" t="b">
        <f t="shared" si="2"/>
        <v>1</v>
      </c>
      <c r="AJ8" s="2" t="b">
        <f t="shared" si="3"/>
        <v>1</v>
      </c>
      <c r="AK8" s="2" t="b">
        <f t="shared" si="4"/>
        <v>1</v>
      </c>
      <c r="AL8" s="2" t="b">
        <f>+ROUND(SUM(V8:Y8),0)=ROUND(Z8,0)</f>
        <v>1</v>
      </c>
      <c r="AM8" s="2" t="b">
        <f t="shared" si="5"/>
        <v>1</v>
      </c>
    </row>
    <row r="9" spans="1:39" x14ac:dyDescent="0.2">
      <c r="A9" s="671" t="s">
        <v>15</v>
      </c>
      <c r="B9" s="632">
        <f>+'FC - 3FS'!L12</f>
        <v>5346</v>
      </c>
      <c r="C9" s="612">
        <f>+'FC - 3FS'!M12</f>
        <v>5215</v>
      </c>
      <c r="D9" s="612">
        <f>+'FC - 3FS'!N12</f>
        <v>4660</v>
      </c>
      <c r="E9" s="612">
        <f>+'FC - 3FS'!O12</f>
        <v>5506</v>
      </c>
      <c r="F9" s="953">
        <f>+'FC - 3FS'!AM12</f>
        <v>20727</v>
      </c>
      <c r="G9" s="612">
        <f>+'FC - 3FS'!P12</f>
        <v>4694</v>
      </c>
      <c r="H9" s="612">
        <f>+'FC - 3FS'!Q12</f>
        <v>4130</v>
      </c>
      <c r="I9" s="612">
        <f>+'FC - 3FS'!R12</f>
        <v>3855</v>
      </c>
      <c r="J9" s="612">
        <f>+'FC - 3FS'!S12</f>
        <v>4451</v>
      </c>
      <c r="K9" s="953">
        <f>+'FC - 3FS'!AN12</f>
        <v>17130</v>
      </c>
      <c r="L9" s="612">
        <f>+'FC - 3FS'!T12</f>
        <v>3719</v>
      </c>
      <c r="M9" s="612">
        <f>+'FC - 3FS'!U12</f>
        <v>3169</v>
      </c>
      <c r="N9" s="612">
        <f>+'FC - 3FS'!V12</f>
        <v>3076</v>
      </c>
      <c r="O9" s="612">
        <f>+'FC - 3FS'!W12</f>
        <v>4174</v>
      </c>
      <c r="P9" s="953">
        <f>+'FC - 3FS'!AO12</f>
        <v>14138</v>
      </c>
      <c r="Q9" s="612">
        <f>+'FC - 3FS'!X12</f>
        <v>3251</v>
      </c>
      <c r="R9" s="612">
        <f>+'FC - 3FS'!Y12</f>
        <v>3106</v>
      </c>
      <c r="S9" s="612">
        <f>+'FC - 3FS'!Z12</f>
        <v>3207</v>
      </c>
      <c r="T9" s="612">
        <f>+'FC - 3FS'!AA12</f>
        <v>4699</v>
      </c>
      <c r="U9" s="953">
        <f>+'FC - 3FS'!AP12</f>
        <v>14263</v>
      </c>
      <c r="V9" s="612">
        <f>+'FC - 3FS'!AB12</f>
        <v>3704</v>
      </c>
      <c r="W9" s="612">
        <f>+'FC - 3FS'!AC12</f>
        <v>3439</v>
      </c>
      <c r="X9" s="612">
        <f>+'FC - 3FS'!AD12</f>
        <v>3465</v>
      </c>
      <c r="Y9" s="940">
        <f>+'FC - 3FS'!AE12</f>
        <v>5051.1421293133808</v>
      </c>
      <c r="Z9" s="979">
        <f>+'FC - 3FS'!AQ12</f>
        <v>15659.142129313381</v>
      </c>
      <c r="AA9" s="940">
        <f>+'FC - 3FS'!AF12</f>
        <v>3756.717907266308</v>
      </c>
      <c r="AB9" s="940">
        <f>+'FC - 3FS'!AG12</f>
        <v>3782.0806135501621</v>
      </c>
      <c r="AC9" s="940">
        <f>+'FC - 3FS'!AH12</f>
        <v>3696.9684334298386</v>
      </c>
      <c r="AD9" s="970">
        <f>+'FC - 3FS'!AI12</f>
        <v>5317.7985434217626</v>
      </c>
      <c r="AE9" s="979">
        <f>+'FC - 3FS'!AR12</f>
        <v>16553.565497668071</v>
      </c>
      <c r="AH9" s="2" t="b">
        <f t="shared" si="1"/>
        <v>1</v>
      </c>
      <c r="AI9" s="2" t="b">
        <f t="shared" si="2"/>
        <v>1</v>
      </c>
      <c r="AJ9" s="2" t="b">
        <f t="shared" si="3"/>
        <v>1</v>
      </c>
      <c r="AK9" s="2" t="b">
        <f t="shared" si="4"/>
        <v>1</v>
      </c>
      <c r="AL9" s="2" t="b">
        <f>+SUM(V9:Y9)=Z9</f>
        <v>1</v>
      </c>
      <c r="AM9" s="2" t="b">
        <f t="shared" si="5"/>
        <v>1</v>
      </c>
    </row>
    <row r="10" spans="1:39" x14ac:dyDescent="0.2">
      <c r="A10" s="671" t="s">
        <v>16</v>
      </c>
      <c r="B10" s="632">
        <f>+'FC - 3FS'!L13</f>
        <v>221</v>
      </c>
      <c r="C10" s="612">
        <f>+'FC - 3FS'!M13</f>
        <v>243</v>
      </c>
      <c r="D10" s="612">
        <f>+'FC - 3FS'!N13</f>
        <v>242</v>
      </c>
      <c r="E10" s="612">
        <f>+'FC - 3FS'!O13</f>
        <v>316</v>
      </c>
      <c r="F10" s="953">
        <f>+'FC - 3FS'!AM13</f>
        <v>1022</v>
      </c>
      <c r="G10" s="612">
        <f>+'FC - 3FS'!P13</f>
        <v>298</v>
      </c>
      <c r="H10" s="612">
        <f>+'FC - 3FS'!Q13</f>
        <v>255</v>
      </c>
      <c r="I10" s="612">
        <f>+'FC - 3FS'!R13</f>
        <v>261</v>
      </c>
      <c r="J10" s="612">
        <f>+'FC - 3FS'!S13</f>
        <v>304</v>
      </c>
      <c r="K10" s="953">
        <f>+'FC - 3FS'!AN13</f>
        <v>1118</v>
      </c>
      <c r="L10" s="612">
        <f>+'FC - 3FS'!T13</f>
        <v>367</v>
      </c>
      <c r="M10" s="612">
        <f>+'FC - 3FS'!U13</f>
        <v>289</v>
      </c>
      <c r="N10" s="612">
        <f>+'FC - 3FS'!V13</f>
        <v>262</v>
      </c>
      <c r="O10" s="612">
        <f>+'FC - 3FS'!W13</f>
        <v>261</v>
      </c>
      <c r="P10" s="953">
        <f>+'FC - 3FS'!AO13</f>
        <v>1179</v>
      </c>
      <c r="Q10" s="612">
        <f>+'FC - 3FS'!X13</f>
        <v>247</v>
      </c>
      <c r="R10" s="612">
        <f>+'FC - 3FS'!Y13</f>
        <v>237</v>
      </c>
      <c r="S10" s="612">
        <f>+'FC - 3FS'!Z13</f>
        <v>230</v>
      </c>
      <c r="T10" s="612">
        <f>+'FC - 3FS'!AA13</f>
        <v>245</v>
      </c>
      <c r="U10" s="953">
        <f>+'FC - 3FS'!AP13</f>
        <v>959</v>
      </c>
      <c r="V10" s="612">
        <f>+'FC - 3FS'!AB13</f>
        <v>257</v>
      </c>
      <c r="W10" s="612">
        <f>+'FC - 3FS'!AC13</f>
        <v>255</v>
      </c>
      <c r="X10" s="612">
        <f>+'FC - 3FS'!AD13</f>
        <v>251</v>
      </c>
      <c r="Y10" s="940">
        <f>+'FC - 3FS'!AE13</f>
        <v>263.76915991505513</v>
      </c>
      <c r="Z10" s="979">
        <f>+'FC - 3FS'!AQ13</f>
        <v>1026.7691599150551</v>
      </c>
      <c r="AA10" s="940">
        <f>+'FC - 3FS'!AF13</f>
        <v>260.45058119563629</v>
      </c>
      <c r="AB10" s="940">
        <f>+'FC - 3FS'!AG13</f>
        <v>280.63226229399692</v>
      </c>
      <c r="AC10" s="940">
        <f>+'FC - 3FS'!AH13</f>
        <v>267.82290574715097</v>
      </c>
      <c r="AD10" s="970">
        <f>+'FC - 3FS'!AI13</f>
        <v>277.70491534520733</v>
      </c>
      <c r="AE10" s="979">
        <f>+'FC - 3FS'!AR13</f>
        <v>1086.6106645819916</v>
      </c>
      <c r="AH10" s="2" t="b">
        <f t="shared" si="1"/>
        <v>1</v>
      </c>
      <c r="AI10" s="2" t="b">
        <f t="shared" si="2"/>
        <v>1</v>
      </c>
      <c r="AJ10" s="2" t="b">
        <f t="shared" si="3"/>
        <v>1</v>
      </c>
      <c r="AK10" s="2" t="b">
        <f t="shared" si="4"/>
        <v>1</v>
      </c>
      <c r="AL10" s="2" t="b">
        <f>+SUM(V10:Y10)=Z10</f>
        <v>1</v>
      </c>
      <c r="AM10" s="2" t="b">
        <f t="shared" si="5"/>
        <v>1</v>
      </c>
    </row>
    <row r="11" spans="1:39" x14ac:dyDescent="0.2">
      <c r="A11" s="673" t="s">
        <v>17</v>
      </c>
      <c r="B11" s="944">
        <f>+SUM(B8:B10)</f>
        <v>19759</v>
      </c>
      <c r="C11" s="225">
        <f t="shared" ref="C11:AE11" si="7">+SUM(C8:C10)</f>
        <v>19950</v>
      </c>
      <c r="D11" s="225">
        <f t="shared" si="7"/>
        <v>19624</v>
      </c>
      <c r="E11" s="225">
        <f t="shared" si="7"/>
        <v>20785</v>
      </c>
      <c r="F11" s="955">
        <f t="shared" si="7"/>
        <v>80118</v>
      </c>
      <c r="G11" s="225">
        <f t="shared" si="7"/>
        <v>20120</v>
      </c>
      <c r="H11" s="225">
        <f t="shared" si="7"/>
        <v>19701</v>
      </c>
      <c r="I11" s="225">
        <f t="shared" si="7"/>
        <v>19477</v>
      </c>
      <c r="J11" s="225">
        <f t="shared" si="7"/>
        <v>20273</v>
      </c>
      <c r="K11" s="955">
        <f t="shared" si="7"/>
        <v>79571</v>
      </c>
      <c r="L11" s="225">
        <f t="shared" si="7"/>
        <v>19632</v>
      </c>
      <c r="M11" s="225">
        <f t="shared" si="7"/>
        <v>19196</v>
      </c>
      <c r="N11" s="225">
        <f t="shared" si="7"/>
        <v>19252</v>
      </c>
      <c r="O11" s="225">
        <f t="shared" si="7"/>
        <v>20478</v>
      </c>
      <c r="P11" s="955">
        <f t="shared" si="7"/>
        <v>78558</v>
      </c>
      <c r="Q11" s="225">
        <f t="shared" si="7"/>
        <v>19594</v>
      </c>
      <c r="R11" s="225">
        <f t="shared" si="7"/>
        <v>19772</v>
      </c>
      <c r="S11" s="225">
        <f t="shared" si="7"/>
        <v>20162</v>
      </c>
      <c r="T11" s="225">
        <f t="shared" si="7"/>
        <v>21872</v>
      </c>
      <c r="U11" s="955">
        <f t="shared" si="7"/>
        <v>81400</v>
      </c>
      <c r="V11" s="225">
        <f t="shared" si="7"/>
        <v>20886</v>
      </c>
      <c r="W11" s="225">
        <f t="shared" si="7"/>
        <v>21132</v>
      </c>
      <c r="X11" s="225">
        <f t="shared" si="7"/>
        <v>21957</v>
      </c>
      <c r="Y11" s="378">
        <f t="shared" si="7"/>
        <v>23872.495279587929</v>
      </c>
      <c r="Z11" s="981">
        <f t="shared" si="7"/>
        <v>87847.495279587922</v>
      </c>
      <c r="AA11" s="378">
        <f t="shared" si="7"/>
        <v>22550.284677636831</v>
      </c>
      <c r="AB11" s="378">
        <f t="shared" si="7"/>
        <v>23160.869836006954</v>
      </c>
      <c r="AC11" s="378">
        <f t="shared" si="7"/>
        <v>23472.346049401967</v>
      </c>
      <c r="AD11" s="920">
        <f t="shared" si="7"/>
        <v>25233.821794527303</v>
      </c>
      <c r="AE11" s="981">
        <f t="shared" si="7"/>
        <v>94417.322357573066</v>
      </c>
      <c r="AH11" s="2" t="b">
        <f t="shared" si="1"/>
        <v>1</v>
      </c>
      <c r="AI11" s="2" t="b">
        <f t="shared" si="2"/>
        <v>1</v>
      </c>
      <c r="AJ11" s="2" t="b">
        <f t="shared" si="3"/>
        <v>1</v>
      </c>
      <c r="AK11" s="2" t="b">
        <f t="shared" si="4"/>
        <v>1</v>
      </c>
      <c r="AL11" s="2" t="b">
        <f>+ROUND(SUM(V11:Y11),1)=ROUND(Z11,1)</f>
        <v>1</v>
      </c>
      <c r="AM11" s="2" t="b">
        <f t="shared" si="5"/>
        <v>1</v>
      </c>
    </row>
    <row r="12" spans="1:39" x14ac:dyDescent="0.2">
      <c r="A12" s="674" t="s">
        <v>18</v>
      </c>
      <c r="B12" s="594"/>
      <c r="F12" s="669"/>
      <c r="K12" s="669"/>
      <c r="P12" s="669"/>
      <c r="U12" s="669"/>
      <c r="Y12" s="370"/>
      <c r="Z12" s="982"/>
      <c r="AA12" s="370"/>
      <c r="AB12" s="370"/>
      <c r="AC12" s="370"/>
      <c r="AD12" s="913"/>
      <c r="AE12" s="982"/>
    </row>
    <row r="13" spans="1:39" x14ac:dyDescent="0.2">
      <c r="A13" s="671" t="s">
        <v>184</v>
      </c>
      <c r="B13" s="632">
        <f>+'FC - 3FS'!L16</f>
        <v>3384</v>
      </c>
      <c r="C13" s="612">
        <f>+'FC - 3FS'!M16</f>
        <v>3491</v>
      </c>
      <c r="D13" s="612">
        <f>+'FC - 3FS'!N16</f>
        <v>3538</v>
      </c>
      <c r="E13" s="612">
        <f>+'FC - 3FS'!O16</f>
        <v>3521</v>
      </c>
      <c r="F13" s="953">
        <f>+'FC - 3FS'!AM16</f>
        <v>13934</v>
      </c>
      <c r="G13" s="612">
        <f>+'FC - 3FS'!P16</f>
        <v>3727</v>
      </c>
      <c r="H13" s="612">
        <f>+'FC - 3FS'!Q16</f>
        <v>4060</v>
      </c>
      <c r="I13" s="612">
        <f>+'FC - 3FS'!R16</f>
        <v>3712</v>
      </c>
      <c r="J13" s="612">
        <f>+'FC - 3FS'!S16</f>
        <v>3167</v>
      </c>
      <c r="K13" s="953">
        <f>+'FC - 3FS'!AN16</f>
        <v>14666</v>
      </c>
      <c r="L13" s="612">
        <f>+'FC - 3FS'!T16</f>
        <v>3061</v>
      </c>
      <c r="M13" s="612">
        <f>+'FC - 3FS'!U16</f>
        <v>2916</v>
      </c>
      <c r="N13" s="612">
        <f>+'FC - 3FS'!V16</f>
        <v>2886</v>
      </c>
      <c r="O13" s="612">
        <f>+'FC - 3FS'!W16</f>
        <v>2792</v>
      </c>
      <c r="P13" s="953">
        <f>+'FC - 3FS'!AO16</f>
        <v>11655</v>
      </c>
      <c r="Q13" s="612">
        <f>+'FC - 3FS'!X16</f>
        <v>2688</v>
      </c>
      <c r="R13" s="612">
        <f>+'FC - 3FS'!Y16</f>
        <v>2664</v>
      </c>
      <c r="S13" s="612">
        <f>+'FC - 3FS'!Z16</f>
        <v>2722</v>
      </c>
      <c r="T13" s="612">
        <f>+'FC - 3FS'!AA16</f>
        <v>2697</v>
      </c>
      <c r="U13" s="953">
        <f>+'FC - 3FS'!AP16</f>
        <v>10771</v>
      </c>
      <c r="V13" s="612">
        <f>+'FC - 3FS'!AB16</f>
        <v>2602</v>
      </c>
      <c r="W13" s="612">
        <f>+'FC - 3FS'!AC16</f>
        <v>2717</v>
      </c>
      <c r="X13" s="612">
        <f>+'FC - 3FS'!AD16</f>
        <v>2873</v>
      </c>
      <c r="Y13" s="940">
        <f>+'FC - 3FS'!AE16</f>
        <v>2938.0707254377803</v>
      </c>
      <c r="Z13" s="979">
        <f>+'FC - 3FS'!AQ16</f>
        <v>11130.070725437781</v>
      </c>
      <c r="AA13" s="940">
        <f>+'FC - 3FS'!AF16</f>
        <v>2830.6939635291737</v>
      </c>
      <c r="AB13" s="940">
        <f>+'FC - 3FS'!AG16</f>
        <v>2956.5694918964905</v>
      </c>
      <c r="AC13" s="940">
        <f>+'FC - 3FS'!AH16</f>
        <v>3052.9777631164488</v>
      </c>
      <c r="AD13" s="970">
        <f>+'FC - 3FS'!AI16</f>
        <v>3089.5362503526771</v>
      </c>
      <c r="AE13" s="979">
        <f>+'FC - 3FS'!AR16</f>
        <v>11929.77746889479</v>
      </c>
      <c r="AH13" s="2" t="b">
        <f t="shared" ref="AH13:AH22" si="8">+SUM(B13:E13)=F13</f>
        <v>1</v>
      </c>
      <c r="AI13" s="2" t="b">
        <f t="shared" ref="AI13:AI22" si="9">+SUM(G13:J13)=K13</f>
        <v>1</v>
      </c>
      <c r="AJ13" s="2" t="b">
        <f t="shared" ref="AJ13:AJ22" si="10">+SUM(L13:O13)=P13</f>
        <v>1</v>
      </c>
      <c r="AK13" s="2" t="b">
        <f t="shared" ref="AK13:AK21" si="11">+SUM(Q13:T13)=U13</f>
        <v>1</v>
      </c>
      <c r="AL13" s="2" t="b">
        <f t="shared" ref="AL13:AL19" si="12">+SUM(V13:Y13)=Z13</f>
        <v>1</v>
      </c>
      <c r="AM13" s="2" t="b">
        <f t="shared" ref="AM13:AM22" si="13">+SUM(AA13:AD13)=AE13</f>
        <v>1</v>
      </c>
    </row>
    <row r="14" spans="1:39" x14ac:dyDescent="0.2">
      <c r="A14" s="671" t="s">
        <v>185</v>
      </c>
      <c r="B14" s="632">
        <f>+'FC - 3FS'!L17</f>
        <v>5142</v>
      </c>
      <c r="C14" s="612">
        <f>+'FC - 3FS'!M17</f>
        <v>5453</v>
      </c>
      <c r="D14" s="612">
        <f>+'FC - 3FS'!N17</f>
        <v>5145</v>
      </c>
      <c r="E14" s="612">
        <f>+'FC - 3FS'!O17</f>
        <v>6931</v>
      </c>
      <c r="F14" s="953">
        <f>+'FC - 3FS'!AM17</f>
        <v>22671</v>
      </c>
      <c r="G14" s="612">
        <f>+'FC - 3FS'!P17</f>
        <v>5946</v>
      </c>
      <c r="H14" s="612">
        <f>+'FC - 3FS'!Q17</f>
        <v>5108</v>
      </c>
      <c r="I14" s="612">
        <f>+'FC - 3FS'!R17</f>
        <v>4982</v>
      </c>
      <c r="J14" s="612">
        <f>+'FC - 3FS'!S17</f>
        <v>5504</v>
      </c>
      <c r="K14" s="953">
        <f>+'FC - 3FS'!AN17</f>
        <v>21540</v>
      </c>
      <c r="L14" s="612">
        <f>+'FC - 3FS'!T17</f>
        <v>4588</v>
      </c>
      <c r="M14" s="612">
        <f>+'FC - 3FS'!U17</f>
        <v>4088</v>
      </c>
      <c r="N14" s="612">
        <f>+'FC - 3FS'!V17</f>
        <v>4249</v>
      </c>
      <c r="O14" s="612">
        <f>+'FC - 3FS'!W17</f>
        <v>5608</v>
      </c>
      <c r="P14" s="953">
        <f>+'FC - 3FS'!AO17</f>
        <v>18533</v>
      </c>
      <c r="Q14" s="612">
        <f>+'FC - 3FS'!X17</f>
        <v>4399</v>
      </c>
      <c r="R14" s="612">
        <f>+'FC - 3FS'!Y17</f>
        <v>4088</v>
      </c>
      <c r="S14" s="612">
        <f>+'FC - 3FS'!Z17</f>
        <v>4307</v>
      </c>
      <c r="T14" s="612">
        <f>+'FC - 3FS'!AA17</f>
        <v>6088</v>
      </c>
      <c r="U14" s="953">
        <f>+'FC - 3FS'!AP17</f>
        <v>18882</v>
      </c>
      <c r="V14" s="612">
        <f>+'FC - 3FS'!AB17</f>
        <v>4798</v>
      </c>
      <c r="W14" s="612">
        <f>+'FC - 3FS'!AC17</f>
        <v>4659</v>
      </c>
      <c r="X14" s="612">
        <f>+'FC - 3FS'!AD17</f>
        <v>4853</v>
      </c>
      <c r="Y14" s="940">
        <f>+'FC - 3FS'!AE17</f>
        <v>6907.6944207370607</v>
      </c>
      <c r="Z14" s="979">
        <f>+'FC - 3FS'!AQ17</f>
        <v>21217.694420737062</v>
      </c>
      <c r="AA14" s="940">
        <f>+'FC - 3FS'!AF17</f>
        <v>4862.4197999091939</v>
      </c>
      <c r="AB14" s="940">
        <f>+'FC - 3FS'!AG17</f>
        <v>5127.3165099126727</v>
      </c>
      <c r="AC14" s="940">
        <f>+'FC - 3FS'!AH17</f>
        <v>5178.2651856212096</v>
      </c>
      <c r="AD14" s="970">
        <f>+'FC - 3FS'!AI17</f>
        <v>7272.6496720053274</v>
      </c>
      <c r="AE14" s="979">
        <f>+'FC - 3FS'!AR17</f>
        <v>22440.651167448406</v>
      </c>
      <c r="AH14" s="2" t="b">
        <f t="shared" si="8"/>
        <v>1</v>
      </c>
      <c r="AI14" s="2" t="b">
        <f t="shared" si="9"/>
        <v>1</v>
      </c>
      <c r="AJ14" s="2" t="b">
        <f t="shared" si="10"/>
        <v>1</v>
      </c>
      <c r="AK14" s="2" t="b">
        <f t="shared" si="11"/>
        <v>1</v>
      </c>
      <c r="AL14" s="2" t="b">
        <f t="shared" si="12"/>
        <v>1</v>
      </c>
      <c r="AM14" s="2" t="b">
        <f t="shared" si="13"/>
        <v>1</v>
      </c>
    </row>
    <row r="15" spans="1:39" x14ac:dyDescent="0.2">
      <c r="A15" s="671" t="s">
        <v>19</v>
      </c>
      <c r="B15" s="632">
        <f>+'FC - 3FS'!L18</f>
        <v>4805</v>
      </c>
      <c r="C15" s="612">
        <f>+'FC - 3FS'!M18</f>
        <v>4823</v>
      </c>
      <c r="D15" s="612">
        <f>+'FC - 3FS'!N18</f>
        <v>5212</v>
      </c>
      <c r="E15" s="612">
        <f>+'FC - 3FS'!O18</f>
        <v>5398</v>
      </c>
      <c r="F15" s="953">
        <f>+'FC - 3FS'!AM18</f>
        <v>20238</v>
      </c>
      <c r="G15" s="612">
        <f>+'FC - 3FS'!P18</f>
        <v>5056</v>
      </c>
      <c r="H15" s="612">
        <f>+'FC - 3FS'!Q18</f>
        <v>5856</v>
      </c>
      <c r="I15" s="612">
        <f>+'FC - 3FS'!R18</f>
        <v>5118</v>
      </c>
      <c r="J15" s="612">
        <f>+'FC - 3FS'!S18</f>
        <v>5577</v>
      </c>
      <c r="K15" s="953">
        <f>+'FC - 3FS'!AN18</f>
        <v>21607</v>
      </c>
      <c r="L15" s="612">
        <f>+'FC - 3FS'!T18</f>
        <v>5425</v>
      </c>
      <c r="M15" s="612">
        <f>+'FC - 3FS'!U18</f>
        <v>5272</v>
      </c>
      <c r="N15" s="612">
        <f>+'FC - 3FS'!V18</f>
        <v>5334</v>
      </c>
      <c r="O15" s="612">
        <f>+'FC - 3FS'!W18</f>
        <v>5280</v>
      </c>
      <c r="P15" s="953">
        <f>+'FC - 3FS'!AO18</f>
        <v>21311</v>
      </c>
      <c r="Q15" s="612">
        <f>+'FC - 3FS'!X18</f>
        <v>5138</v>
      </c>
      <c r="R15" s="612">
        <f>+'FC - 3FS'!Y18</f>
        <v>5142</v>
      </c>
      <c r="S15" s="612">
        <f>+'FC - 3FS'!Z18</f>
        <v>5186</v>
      </c>
      <c r="T15" s="612">
        <f>+'FC - 3FS'!AA18</f>
        <v>5352</v>
      </c>
      <c r="U15" s="953">
        <f>+'FC - 3FS'!AP18</f>
        <v>20818</v>
      </c>
      <c r="V15" s="612">
        <f>+'FC - 3FS'!AB18</f>
        <v>5488</v>
      </c>
      <c r="W15" s="612">
        <f>+'FC - 3FS'!AC18</f>
        <v>5397</v>
      </c>
      <c r="X15" s="612">
        <f>+'FC - 3FS'!AD18</f>
        <v>6015</v>
      </c>
      <c r="Y15" s="940">
        <f>+'FC - 3FS'!AE18</f>
        <v>6320.3537322176526</v>
      </c>
      <c r="Z15" s="979">
        <f>+'FC - 3FS'!AQ18</f>
        <v>23220.353732217653</v>
      </c>
      <c r="AA15" s="940">
        <f>+'FC - 3FS'!AF18</f>
        <v>6186.0397787664797</v>
      </c>
      <c r="AB15" s="940">
        <f>+'FC - 3FS'!AG18</f>
        <v>6055.6417516885549</v>
      </c>
      <c r="AC15" s="940">
        <f>+'FC - 3FS'!AH18</f>
        <v>6542.3422374297888</v>
      </c>
      <c r="AD15" s="970">
        <f>+'FC - 3FS'!AI18</f>
        <v>6325.5909439819752</v>
      </c>
      <c r="AE15" s="979">
        <f>+'FC - 3FS'!AR18</f>
        <v>25109.614711866801</v>
      </c>
      <c r="AH15" s="2" t="b">
        <f t="shared" si="8"/>
        <v>1</v>
      </c>
      <c r="AI15" s="2" t="b">
        <f t="shared" si="9"/>
        <v>1</v>
      </c>
      <c r="AJ15" s="2" t="b">
        <f t="shared" si="10"/>
        <v>1</v>
      </c>
      <c r="AK15" s="2" t="b">
        <f t="shared" si="11"/>
        <v>1</v>
      </c>
      <c r="AL15" s="2" t="b">
        <f t="shared" si="12"/>
        <v>1</v>
      </c>
      <c r="AM15" s="2" t="b">
        <f t="shared" si="13"/>
        <v>1</v>
      </c>
    </row>
    <row r="16" spans="1:39" x14ac:dyDescent="0.2">
      <c r="A16" s="671" t="s">
        <v>22</v>
      </c>
      <c r="B16" s="632">
        <f>+'FC - 3FS'!L21</f>
        <v>4289</v>
      </c>
      <c r="C16" s="612">
        <f>+'FC - 3FS'!M21</f>
        <v>4077</v>
      </c>
      <c r="D16" s="612">
        <f>+'FC - 3FS'!N21</f>
        <v>4145</v>
      </c>
      <c r="E16" s="612">
        <f>+'FC - 3FS'!O21</f>
        <v>3872</v>
      </c>
      <c r="F16" s="953">
        <f>+'FC - 3FS'!AM21</f>
        <v>16383</v>
      </c>
      <c r="G16" s="612">
        <f>+'FC - 3FS'!P21</f>
        <v>3585</v>
      </c>
      <c r="H16" s="612">
        <f>+'FC - 3FS'!Q21</f>
        <v>3491</v>
      </c>
      <c r="I16" s="612">
        <f>+'FC - 3FS'!R21</f>
        <v>3313</v>
      </c>
      <c r="J16" s="612">
        <f>+'FC - 3FS'!S21</f>
        <v>3262</v>
      </c>
      <c r="K16" s="953">
        <f>+'FC - 3FS'!AN21</f>
        <v>13651</v>
      </c>
      <c r="L16" s="612">
        <f>+'FC - 3FS'!T21</f>
        <v>3203</v>
      </c>
      <c r="M16" s="612">
        <f>+'FC - 3FS'!U21</f>
        <v>3110</v>
      </c>
      <c r="N16" s="612">
        <f>+'FC - 3FS'!V21</f>
        <v>3187</v>
      </c>
      <c r="O16" s="612">
        <f>+'FC - 3FS'!W21</f>
        <v>3318</v>
      </c>
      <c r="P16" s="953">
        <f>+'FC - 3FS'!AO21</f>
        <v>12818</v>
      </c>
      <c r="Q16" s="612">
        <f>+'FC - 3FS'!X21</f>
        <v>3371</v>
      </c>
      <c r="R16" s="612">
        <f>+'FC - 3FS'!Y21</f>
        <v>3248</v>
      </c>
      <c r="S16" s="612">
        <f>+'FC - 3FS'!Z21</f>
        <v>3151</v>
      </c>
      <c r="T16" s="612">
        <f>+'FC - 3FS'!AA21</f>
        <v>3149</v>
      </c>
      <c r="U16" s="953">
        <f>+'FC - 3FS'!AP21</f>
        <v>12919</v>
      </c>
      <c r="V16" s="612">
        <f>+'FC - 3FS'!AB21</f>
        <v>3198</v>
      </c>
      <c r="W16" s="612">
        <f>+'FC - 3FS'!AC21</f>
        <v>3146</v>
      </c>
      <c r="X16" s="612">
        <f>+'FC - 3FS'!AD21</f>
        <v>3408</v>
      </c>
      <c r="Y16" s="940">
        <f>+'FC - 3FS'!AE21</f>
        <v>3670.0321228857165</v>
      </c>
      <c r="Z16" s="979">
        <f>+'FC - 3FS'!AQ21</f>
        <v>13422.032122885717</v>
      </c>
      <c r="AA16" s="940">
        <f>+'FC - 3FS'!AF21</f>
        <v>3720.8607563039691</v>
      </c>
      <c r="AB16" s="940">
        <f>+'FC - 3FS'!AG21</f>
        <v>3615.6245061200548</v>
      </c>
      <c r="AC16" s="940">
        <f>+'FC - 3FS'!AH21</f>
        <v>3525.2305523928471</v>
      </c>
      <c r="AD16" s="970">
        <f>+'FC - 3FS'!AI21</f>
        <v>3446.8784815679955</v>
      </c>
      <c r="AE16" s="979">
        <f>+'FC - 3FS'!AR21</f>
        <v>14308.594296384867</v>
      </c>
      <c r="AH16" s="2" t="b">
        <f t="shared" si="8"/>
        <v>1</v>
      </c>
      <c r="AI16" s="2" t="b">
        <f t="shared" si="9"/>
        <v>1</v>
      </c>
      <c r="AJ16" s="2" t="b">
        <f t="shared" si="10"/>
        <v>1</v>
      </c>
      <c r="AK16" s="2" t="b">
        <f t="shared" si="11"/>
        <v>1</v>
      </c>
      <c r="AL16" s="2" t="b">
        <f t="shared" si="12"/>
        <v>1</v>
      </c>
      <c r="AM16" s="2" t="b">
        <f t="shared" si="13"/>
        <v>1</v>
      </c>
    </row>
    <row r="17" spans="1:39" x14ac:dyDescent="0.2">
      <c r="A17" s="671" t="s">
        <v>726</v>
      </c>
      <c r="B17" s="632">
        <f>SUM('FC - 3FS'!L19:L20)</f>
        <v>0</v>
      </c>
      <c r="C17" s="612">
        <f>SUM('FC - 3FS'!M19:M20)</f>
        <v>0</v>
      </c>
      <c r="D17" s="612">
        <f>SUM('FC - 3FS'!N19:N20)</f>
        <v>0</v>
      </c>
      <c r="E17" s="612">
        <f>SUM('FC - 3FS'!O19:O20)</f>
        <v>0</v>
      </c>
      <c r="F17" s="953">
        <f>SUM('FC - 3FS'!AM19:AM20)</f>
        <v>0</v>
      </c>
      <c r="G17" s="612">
        <f>SUM('FC - 3FS'!P19:P20)</f>
        <v>0</v>
      </c>
      <c r="H17" s="612">
        <f>SUM('FC - 3FS'!Q19:Q20)</f>
        <v>477</v>
      </c>
      <c r="I17" s="612">
        <f>SUM('FC - 3FS'!R19:R20)</f>
        <v>1071</v>
      </c>
      <c r="J17" s="612">
        <f>SUM('FC - 3FS'!S19:S20)</f>
        <v>16</v>
      </c>
      <c r="K17" s="953">
        <f>SUM('FC - 3FS'!AN19:AN20)</f>
        <v>1564</v>
      </c>
      <c r="L17" s="612">
        <f>SUM('FC - 3FS'!T19:T20)</f>
        <v>-42</v>
      </c>
      <c r="M17" s="612">
        <f>SUM('FC - 3FS'!U19:U20)</f>
        <v>17</v>
      </c>
      <c r="N17" s="612">
        <f>SUM('FC - 3FS'!V19:V20)</f>
        <v>0</v>
      </c>
      <c r="O17" s="612">
        <f>SUM('FC - 3FS'!W19:W20)</f>
        <v>0</v>
      </c>
      <c r="P17" s="953">
        <f>SUM('FC - 3FS'!AO19:AO20)</f>
        <v>-25</v>
      </c>
      <c r="Q17" s="612">
        <f>SUM('FC - 3FS'!X19:X20)</f>
        <v>0</v>
      </c>
      <c r="R17" s="612">
        <f>SUM('FC - 3FS'!Y19:Y20)</f>
        <v>0</v>
      </c>
      <c r="S17" s="612">
        <f>SUM('FC - 3FS'!Z19:Z20)</f>
        <v>0</v>
      </c>
      <c r="T17" s="612">
        <f>SUM('FC - 3FS'!AA19:AA20)</f>
        <v>0</v>
      </c>
      <c r="U17" s="953">
        <f>SUM('FC - 3FS'!AP19:AP20)</f>
        <v>0</v>
      </c>
      <c r="V17" s="612">
        <f>SUM('FC - 3FS'!AB19:AB20)</f>
        <v>0</v>
      </c>
      <c r="W17" s="612">
        <f>SUM('FC - 3FS'!AC19:AC20)</f>
        <v>0</v>
      </c>
      <c r="X17" s="612">
        <f>SUM('FC - 3FS'!AD19:AD20)</f>
        <v>278</v>
      </c>
      <c r="Y17" s="940">
        <f>SUM('FC - 3FS'!AE19:AE20)</f>
        <v>0</v>
      </c>
      <c r="Z17" s="979">
        <f>SUM('FC - 3FS'!AQ19:AQ20)</f>
        <v>278</v>
      </c>
      <c r="AA17" s="940">
        <f>SUM('FC - 3FS'!AF19:AF20)</f>
        <v>0</v>
      </c>
      <c r="AB17" s="940">
        <f>SUM('FC - 3FS'!AG19:AG20)</f>
        <v>0</v>
      </c>
      <c r="AC17" s="940">
        <f>SUM('FC - 3FS'!AH19:AH20)</f>
        <v>0</v>
      </c>
      <c r="AD17" s="940">
        <f>SUM('FC - 3FS'!AI19:AI20)</f>
        <v>0</v>
      </c>
      <c r="AE17" s="979">
        <f>SUM('FC - 3FS'!AR19:AR20)</f>
        <v>0</v>
      </c>
      <c r="AH17" s="2" t="b">
        <f t="shared" si="8"/>
        <v>1</v>
      </c>
      <c r="AI17" s="2" t="b">
        <f t="shared" si="9"/>
        <v>1</v>
      </c>
      <c r="AJ17" s="2" t="b">
        <f t="shared" si="10"/>
        <v>1</v>
      </c>
      <c r="AK17" s="2" t="b">
        <f t="shared" si="11"/>
        <v>1</v>
      </c>
      <c r="AL17" s="2" t="b">
        <f t="shared" si="12"/>
        <v>1</v>
      </c>
      <c r="AM17" s="2" t="b">
        <f t="shared" si="13"/>
        <v>1</v>
      </c>
    </row>
    <row r="18" spans="1:39" x14ac:dyDescent="0.2">
      <c r="A18" s="674" t="s">
        <v>24</v>
      </c>
      <c r="B18" s="804">
        <f>B11-SUM(B13:B17)</f>
        <v>2139</v>
      </c>
      <c r="C18" s="217">
        <f t="shared" ref="C18:AD18" si="14">C11-SUM(C13:C17)</f>
        <v>2106</v>
      </c>
      <c r="D18" s="217">
        <f t="shared" si="14"/>
        <v>1584</v>
      </c>
      <c r="E18" s="217">
        <f t="shared" si="14"/>
        <v>1063</v>
      </c>
      <c r="F18" s="956">
        <f t="shared" ref="F18" si="15">F11-SUM(F13:F17)</f>
        <v>6892</v>
      </c>
      <c r="G18" s="217">
        <f t="shared" si="14"/>
        <v>1806</v>
      </c>
      <c r="H18" s="217">
        <f t="shared" si="14"/>
        <v>709</v>
      </c>
      <c r="I18" s="217">
        <f t="shared" si="14"/>
        <v>1281</v>
      </c>
      <c r="J18" s="217">
        <f t="shared" si="14"/>
        <v>2747</v>
      </c>
      <c r="K18" s="956">
        <f t="shared" ref="K18" si="16">K11-SUM(K13:K17)</f>
        <v>6543</v>
      </c>
      <c r="L18" s="217">
        <f t="shared" si="14"/>
        <v>3397</v>
      </c>
      <c r="M18" s="217">
        <f t="shared" si="14"/>
        <v>3793</v>
      </c>
      <c r="N18" s="217">
        <f t="shared" si="14"/>
        <v>3596</v>
      </c>
      <c r="O18" s="217">
        <f t="shared" si="14"/>
        <v>3480</v>
      </c>
      <c r="P18" s="956">
        <f t="shared" ref="P18" si="17">P11-SUM(P13:P17)</f>
        <v>14266</v>
      </c>
      <c r="Q18" s="217">
        <f t="shared" si="14"/>
        <v>3998</v>
      </c>
      <c r="R18" s="217">
        <f t="shared" si="14"/>
        <v>4630</v>
      </c>
      <c r="S18" s="217">
        <f t="shared" si="14"/>
        <v>4796</v>
      </c>
      <c r="T18" s="217">
        <f t="shared" si="14"/>
        <v>4586</v>
      </c>
      <c r="U18" s="956">
        <f t="shared" ref="U18" si="18">U11-SUM(U13:U17)</f>
        <v>18010</v>
      </c>
      <c r="V18" s="217">
        <f t="shared" si="14"/>
        <v>4800</v>
      </c>
      <c r="W18" s="217">
        <f t="shared" si="14"/>
        <v>5213</v>
      </c>
      <c r="X18" s="217">
        <f t="shared" si="14"/>
        <v>4530</v>
      </c>
      <c r="Y18" s="1136">
        <f t="shared" si="14"/>
        <v>4036.3442783097198</v>
      </c>
      <c r="Z18" s="983">
        <f t="shared" ref="Z18" si="19">Z11-SUM(Z13:Z17)</f>
        <v>18579.344278309713</v>
      </c>
      <c r="AA18" s="1136">
        <f t="shared" si="14"/>
        <v>4950.2703791280146</v>
      </c>
      <c r="AB18" s="1136">
        <f t="shared" si="14"/>
        <v>5405.7175763891828</v>
      </c>
      <c r="AC18" s="1136">
        <f t="shared" si="14"/>
        <v>5173.5303108416738</v>
      </c>
      <c r="AD18" s="972">
        <f t="shared" si="14"/>
        <v>5099.1664466193288</v>
      </c>
      <c r="AE18" s="983">
        <f t="shared" ref="AE18" si="20">AE11-SUM(AE13:AE17)</f>
        <v>20628.684712978196</v>
      </c>
      <c r="AH18" s="2" t="b">
        <f t="shared" si="8"/>
        <v>1</v>
      </c>
      <c r="AI18" s="2" t="b">
        <f t="shared" si="9"/>
        <v>1</v>
      </c>
      <c r="AJ18" s="2" t="b">
        <f t="shared" si="10"/>
        <v>1</v>
      </c>
      <c r="AK18" s="2" t="b">
        <f t="shared" si="11"/>
        <v>1</v>
      </c>
      <c r="AL18" s="2" t="b">
        <f t="shared" si="12"/>
        <v>1</v>
      </c>
      <c r="AM18" s="2" t="b">
        <f t="shared" si="13"/>
        <v>1</v>
      </c>
    </row>
    <row r="19" spans="1:39" x14ac:dyDescent="0.2">
      <c r="A19" s="671" t="s">
        <v>25</v>
      </c>
      <c r="B19" s="632">
        <f>+'FC - 3FS'!L27</f>
        <v>-960</v>
      </c>
      <c r="C19" s="612">
        <f>+'FC - 3FS'!M27</f>
        <v>-851</v>
      </c>
      <c r="D19" s="612">
        <f>+'FC - 3FS'!N27</f>
        <v>-896</v>
      </c>
      <c r="E19" s="612">
        <f>+'FC - 3FS'!O27</f>
        <v>-834</v>
      </c>
      <c r="F19" s="953">
        <f>+'FC - 3FS'!AM27</f>
        <v>-3541</v>
      </c>
      <c r="G19" s="612">
        <f>+'FC - 3FS'!P27</f>
        <v>-875</v>
      </c>
      <c r="H19" s="612">
        <f>+'FC - 3FS'!Q27</f>
        <v>-872</v>
      </c>
      <c r="I19" s="612">
        <f>+'FC - 3FS'!R27</f>
        <v>-830</v>
      </c>
      <c r="J19" s="612">
        <f>+'FC - 3FS'!S27</f>
        <v>-820</v>
      </c>
      <c r="K19" s="953">
        <f>+'FC - 3FS'!AN27</f>
        <v>-3397</v>
      </c>
      <c r="L19" s="612">
        <f>+'FC - 3FS'!T27</f>
        <v>-826</v>
      </c>
      <c r="M19" s="612">
        <f>+'FC - 3FS'!U27</f>
        <v>-855</v>
      </c>
      <c r="N19" s="612">
        <f>+'FC - 3FS'!V27</f>
        <v>-749</v>
      </c>
      <c r="O19" s="612">
        <f>+'FC - 3FS'!W27</f>
        <v>-837</v>
      </c>
      <c r="P19" s="953">
        <f>+'FC - 3FS'!AO27</f>
        <v>-3267</v>
      </c>
      <c r="Q19" s="612">
        <f>+'FC - 3FS'!X27</f>
        <v>-860</v>
      </c>
      <c r="R19" s="612">
        <f>+'FC - 3FS'!Y27</f>
        <v>-862</v>
      </c>
      <c r="S19" s="612">
        <f>+'FC - 3FS'!Z27</f>
        <v>-829</v>
      </c>
      <c r="T19" s="612">
        <f>+'FC - 3FS'!AA27</f>
        <v>-747</v>
      </c>
      <c r="U19" s="953">
        <f>+'FC - 3FS'!AP27</f>
        <v>-3298</v>
      </c>
      <c r="V19" s="612">
        <f>+'FC - 3FS'!AB27</f>
        <v>-962</v>
      </c>
      <c r="W19" s="612">
        <f>+'FC - 3FS'!AC27</f>
        <v>-933</v>
      </c>
      <c r="X19" s="612">
        <f>+'FC - 3FS'!AD27</f>
        <v>-1002</v>
      </c>
      <c r="Y19" s="940">
        <f>+'FC - 3FS'!AE27</f>
        <v>-1092.6249464217237</v>
      </c>
      <c r="Z19" s="979">
        <f>+'FC - 3FS'!AQ27</f>
        <v>-3989.6249464217235</v>
      </c>
      <c r="AA19" s="940">
        <f>+'FC - 3FS'!AF27</f>
        <v>-1011.0224782160233</v>
      </c>
      <c r="AB19" s="940">
        <f>+'FC - 3FS'!AG27</f>
        <v>-1022.2124871333644</v>
      </c>
      <c r="AC19" s="940">
        <f>+'FC - 3FS'!AH27</f>
        <v>-1051.9728382811995</v>
      </c>
      <c r="AD19" s="970">
        <f>+'FC - 3FS'!AI27</f>
        <v>-1077.5696510173768</v>
      </c>
      <c r="AE19" s="979">
        <f>+'FC - 3FS'!AR27</f>
        <v>-4162.7774546479641</v>
      </c>
      <c r="AH19" s="2" t="b">
        <f t="shared" si="8"/>
        <v>1</v>
      </c>
      <c r="AI19" s="2" t="b">
        <f t="shared" si="9"/>
        <v>1</v>
      </c>
      <c r="AJ19" s="2" t="b">
        <f t="shared" si="10"/>
        <v>1</v>
      </c>
      <c r="AK19" s="2" t="b">
        <f t="shared" si="11"/>
        <v>1</v>
      </c>
      <c r="AL19" s="2" t="b">
        <f t="shared" si="12"/>
        <v>1</v>
      </c>
      <c r="AM19" s="2" t="b">
        <f t="shared" si="13"/>
        <v>1</v>
      </c>
    </row>
    <row r="20" spans="1:39" x14ac:dyDescent="0.2">
      <c r="A20" s="675" t="s">
        <v>29</v>
      </c>
      <c r="B20" s="855">
        <f>+B18+B19</f>
        <v>1179</v>
      </c>
      <c r="C20" s="5">
        <f t="shared" ref="C20:AE20" si="21">+C18+C19</f>
        <v>1255</v>
      </c>
      <c r="D20" s="5">
        <f t="shared" si="21"/>
        <v>688</v>
      </c>
      <c r="E20" s="5">
        <f t="shared" si="21"/>
        <v>229</v>
      </c>
      <c r="F20" s="957">
        <f t="shared" si="21"/>
        <v>3351</v>
      </c>
      <c r="G20" s="5">
        <f t="shared" si="21"/>
        <v>931</v>
      </c>
      <c r="H20" s="5">
        <f t="shared" si="21"/>
        <v>-163</v>
      </c>
      <c r="I20" s="5">
        <f t="shared" si="21"/>
        <v>451</v>
      </c>
      <c r="J20" s="5">
        <f t="shared" si="21"/>
        <v>1927</v>
      </c>
      <c r="K20" s="957">
        <f t="shared" si="21"/>
        <v>3146</v>
      </c>
      <c r="L20" s="5">
        <f t="shared" si="21"/>
        <v>2571</v>
      </c>
      <c r="M20" s="5">
        <f t="shared" si="21"/>
        <v>2938</v>
      </c>
      <c r="N20" s="5">
        <f t="shared" si="21"/>
        <v>2847</v>
      </c>
      <c r="O20" s="5">
        <f t="shared" si="21"/>
        <v>2643</v>
      </c>
      <c r="P20" s="957">
        <f t="shared" si="21"/>
        <v>10999</v>
      </c>
      <c r="Q20" s="5">
        <f t="shared" si="21"/>
        <v>3138</v>
      </c>
      <c r="R20" s="5">
        <f t="shared" si="21"/>
        <v>3768</v>
      </c>
      <c r="S20" s="5">
        <f t="shared" si="21"/>
        <v>3967</v>
      </c>
      <c r="T20" s="5">
        <f t="shared" si="21"/>
        <v>3839</v>
      </c>
      <c r="U20" s="957">
        <f t="shared" si="21"/>
        <v>14712</v>
      </c>
      <c r="V20" s="5">
        <f t="shared" si="21"/>
        <v>3838</v>
      </c>
      <c r="W20" s="5">
        <f t="shared" si="21"/>
        <v>4280</v>
      </c>
      <c r="X20" s="5">
        <f t="shared" si="21"/>
        <v>3528</v>
      </c>
      <c r="Y20" s="379">
        <f t="shared" si="21"/>
        <v>2943.7193318879963</v>
      </c>
      <c r="Z20" s="984">
        <f t="shared" si="21"/>
        <v>14589.719331887989</v>
      </c>
      <c r="AA20" s="379">
        <f t="shared" si="21"/>
        <v>3939.2479009119916</v>
      </c>
      <c r="AB20" s="379">
        <f t="shared" si="21"/>
        <v>4383.5050892558183</v>
      </c>
      <c r="AC20" s="379">
        <f t="shared" si="21"/>
        <v>4121.5574725604747</v>
      </c>
      <c r="AD20" s="921">
        <f t="shared" si="21"/>
        <v>4021.5967956019522</v>
      </c>
      <c r="AE20" s="984">
        <f t="shared" si="21"/>
        <v>16465.907258330233</v>
      </c>
      <c r="AH20" s="2" t="b">
        <f t="shared" si="8"/>
        <v>1</v>
      </c>
      <c r="AI20" s="2" t="b">
        <f t="shared" si="9"/>
        <v>1</v>
      </c>
      <c r="AJ20" s="2" t="b">
        <f t="shared" si="10"/>
        <v>1</v>
      </c>
      <c r="AK20" s="2" t="b">
        <f t="shared" si="11"/>
        <v>1</v>
      </c>
      <c r="AL20" s="2" t="b">
        <f>ROUND(SUM(V20:Y20),1)=ROUND(Z20,1)</f>
        <v>1</v>
      </c>
      <c r="AM20" s="2" t="b">
        <f t="shared" si="13"/>
        <v>1</v>
      </c>
    </row>
    <row r="21" spans="1:39" x14ac:dyDescent="0.2">
      <c r="A21" s="676" t="s">
        <v>30</v>
      </c>
      <c r="B21" s="632">
        <f>+'FC - 3FS'!L29</f>
        <v>-246</v>
      </c>
      <c r="C21" s="612">
        <f>+'FC - 3FS'!M29</f>
        <v>-277</v>
      </c>
      <c r="D21" s="612">
        <f>+'FC - 3FS'!N29</f>
        <v>3</v>
      </c>
      <c r="E21" s="612">
        <f>+'FC - 3FS'!O29</f>
        <v>193</v>
      </c>
      <c r="F21" s="953">
        <f>+'FC - 3FS'!AM29</f>
        <v>-327</v>
      </c>
      <c r="G21" s="612">
        <f>+'FC - 3FS'!P29</f>
        <v>-218</v>
      </c>
      <c r="H21" s="612">
        <f>+'FC - 3FS'!Q29</f>
        <v>55</v>
      </c>
      <c r="I21" s="612">
        <f>+'FC - 3FS'!R29</f>
        <v>57</v>
      </c>
      <c r="J21" s="612">
        <f>+'FC - 3FS'!S29</f>
        <v>-450</v>
      </c>
      <c r="K21" s="953">
        <f>+'FC - 3FS'!AN29</f>
        <v>-556</v>
      </c>
      <c r="L21" s="612">
        <f>+'FC - 3FS'!T29</f>
        <v>-631</v>
      </c>
      <c r="M21" s="612">
        <f>+'FC - 3FS'!U29</f>
        <v>-717</v>
      </c>
      <c r="N21" s="612">
        <f>+'FC - 3FS'!V29</f>
        <v>-705</v>
      </c>
      <c r="O21" s="612">
        <f>+'FC - 3FS'!W29</f>
        <v>-629</v>
      </c>
      <c r="P21" s="953">
        <f>+'FC - 3FS'!AO29</f>
        <v>-2682</v>
      </c>
      <c r="Q21" s="612">
        <f>+'FC - 3FS'!X29</f>
        <v>-764</v>
      </c>
      <c r="R21" s="612">
        <f>+'FC - 3FS'!Y29</f>
        <v>-843</v>
      </c>
      <c r="S21" s="612">
        <f>+'FC - 3FS'!Z29</f>
        <v>-908</v>
      </c>
      <c r="T21" s="612">
        <f>+'FC - 3FS'!AA29</f>
        <v>-858</v>
      </c>
      <c r="U21" s="953">
        <f>+'FC - 3FS'!AP29</f>
        <v>-3373</v>
      </c>
      <c r="V21" s="612">
        <f>+'FC - 3FS'!AB29</f>
        <v>-885</v>
      </c>
      <c r="W21" s="612">
        <f>+'FC - 3FS'!AC29</f>
        <v>-1058</v>
      </c>
      <c r="X21" s="612">
        <f>+'FC - 3FS'!AD29</f>
        <v>-814</v>
      </c>
      <c r="Y21" s="940">
        <f>+'FC - 3FS'!AE29</f>
        <v>-679.19147850250249</v>
      </c>
      <c r="Z21" s="979">
        <f>+'FC - 3FS'!AQ29</f>
        <v>-3436.1914785025024</v>
      </c>
      <c r="AA21" s="940">
        <f>+'FC - 3FS'!AF29</f>
        <v>-908.88542838502303</v>
      </c>
      <c r="AB21" s="940">
        <f>+'FC - 3FS'!AG29</f>
        <v>-1011.3869451967789</v>
      </c>
      <c r="AC21" s="940">
        <f>+'FC - 3FS'!AH29</f>
        <v>-950.94891798872629</v>
      </c>
      <c r="AD21" s="970">
        <f>+'FC - 3FS'!AI29</f>
        <v>-927.8854284637157</v>
      </c>
      <c r="AE21" s="979">
        <f>+'FC - 3FS'!AR29</f>
        <v>-3799.1067200342441</v>
      </c>
      <c r="AH21" s="2" t="b">
        <f t="shared" si="8"/>
        <v>1</v>
      </c>
      <c r="AI21" s="2" t="b">
        <f t="shared" si="9"/>
        <v>1</v>
      </c>
      <c r="AJ21" s="2" t="b">
        <f t="shared" si="10"/>
        <v>1</v>
      </c>
      <c r="AK21" s="2" t="b">
        <f t="shared" si="11"/>
        <v>1</v>
      </c>
      <c r="AL21" s="2" t="b">
        <f>+SUM(V21:Y21)=Z21</f>
        <v>1</v>
      </c>
      <c r="AM21" s="2" t="b">
        <f t="shared" si="13"/>
        <v>1</v>
      </c>
    </row>
    <row r="22" spans="1:39" ht="12.75" thickBot="1" x14ac:dyDescent="0.25">
      <c r="A22" s="677" t="s">
        <v>31</v>
      </c>
      <c r="B22" s="945">
        <f>+B21+B20</f>
        <v>933</v>
      </c>
      <c r="C22" s="221">
        <f t="shared" ref="C22:AE22" si="22">+C21+C20</f>
        <v>978</v>
      </c>
      <c r="D22" s="221">
        <f t="shared" si="22"/>
        <v>691</v>
      </c>
      <c r="E22" s="221">
        <f t="shared" si="22"/>
        <v>422</v>
      </c>
      <c r="F22" s="958">
        <f t="shared" si="22"/>
        <v>3024</v>
      </c>
      <c r="G22" s="221">
        <f t="shared" si="22"/>
        <v>713</v>
      </c>
      <c r="H22" s="221">
        <f t="shared" si="22"/>
        <v>-108</v>
      </c>
      <c r="I22" s="221">
        <f t="shared" si="22"/>
        <v>508</v>
      </c>
      <c r="J22" s="221">
        <f t="shared" si="22"/>
        <v>1477</v>
      </c>
      <c r="K22" s="958">
        <f t="shared" si="22"/>
        <v>2590</v>
      </c>
      <c r="L22" s="221">
        <f t="shared" si="22"/>
        <v>1940</v>
      </c>
      <c r="M22" s="221">
        <f t="shared" si="22"/>
        <v>2221</v>
      </c>
      <c r="N22" s="221">
        <f t="shared" si="22"/>
        <v>2142</v>
      </c>
      <c r="O22" s="221">
        <f t="shared" si="22"/>
        <v>2014</v>
      </c>
      <c r="P22" s="958">
        <f t="shared" si="22"/>
        <v>8317</v>
      </c>
      <c r="Q22" s="221">
        <f t="shared" si="22"/>
        <v>2374</v>
      </c>
      <c r="R22" s="221">
        <f t="shared" si="22"/>
        <v>2925</v>
      </c>
      <c r="S22" s="221">
        <f t="shared" si="22"/>
        <v>3059</v>
      </c>
      <c r="T22" s="221">
        <f t="shared" si="22"/>
        <v>2981</v>
      </c>
      <c r="U22" s="958">
        <f t="shared" si="22"/>
        <v>11339</v>
      </c>
      <c r="V22" s="221">
        <f t="shared" si="22"/>
        <v>2953</v>
      </c>
      <c r="W22" s="221">
        <f t="shared" si="22"/>
        <v>3222</v>
      </c>
      <c r="X22" s="221">
        <f t="shared" si="22"/>
        <v>2714</v>
      </c>
      <c r="Y22" s="381">
        <f t="shared" si="22"/>
        <v>2264.5278533854939</v>
      </c>
      <c r="Z22" s="985">
        <f t="shared" si="22"/>
        <v>11153.527853385487</v>
      </c>
      <c r="AA22" s="381">
        <f t="shared" si="22"/>
        <v>3030.3624725269683</v>
      </c>
      <c r="AB22" s="381">
        <f t="shared" si="22"/>
        <v>3372.1181440590394</v>
      </c>
      <c r="AC22" s="381">
        <f t="shared" si="22"/>
        <v>3170.6085545717483</v>
      </c>
      <c r="AD22" s="922">
        <f t="shared" si="22"/>
        <v>3093.7113671382367</v>
      </c>
      <c r="AE22" s="985">
        <f t="shared" si="22"/>
        <v>12666.800538295989</v>
      </c>
      <c r="AH22" s="2" t="b">
        <f t="shared" si="8"/>
        <v>1</v>
      </c>
      <c r="AI22" s="2" t="b">
        <f t="shared" si="9"/>
        <v>1</v>
      </c>
      <c r="AJ22" s="2" t="b">
        <f t="shared" si="10"/>
        <v>1</v>
      </c>
      <c r="AK22" s="2" t="b">
        <f>+ROUND(SUM(Q22:T22),1)=ROUND(U22,1)</f>
        <v>1</v>
      </c>
      <c r="AL22" s="2" t="b">
        <f>+SUM(V22:Y22)=Z22</f>
        <v>1</v>
      </c>
      <c r="AM22" s="2" t="b">
        <f t="shared" si="13"/>
        <v>1</v>
      </c>
    </row>
    <row r="23" spans="1:39" x14ac:dyDescent="0.2">
      <c r="A23" s="674"/>
      <c r="B23" s="855"/>
      <c r="C23" s="5"/>
      <c r="D23" s="5"/>
      <c r="E23" s="5"/>
      <c r="F23" s="957"/>
      <c r="G23" s="5"/>
      <c r="H23" s="5"/>
      <c r="I23" s="5"/>
      <c r="J23" s="5"/>
      <c r="K23" s="957"/>
      <c r="L23" s="5"/>
      <c r="M23" s="5"/>
      <c r="N23" s="5"/>
      <c r="O23" s="5"/>
      <c r="P23" s="957"/>
      <c r="Q23" s="5"/>
      <c r="R23" s="5"/>
      <c r="S23" s="5"/>
      <c r="T23" s="5"/>
      <c r="U23" s="957"/>
      <c r="V23" s="5"/>
      <c r="W23" s="5"/>
      <c r="X23" s="5"/>
      <c r="Y23" s="379"/>
      <c r="Z23" s="984"/>
      <c r="AA23" s="379"/>
      <c r="AB23" s="379"/>
      <c r="AC23" s="379"/>
      <c r="AD23" s="921"/>
      <c r="AE23" s="984"/>
    </row>
    <row r="24" spans="1:39" x14ac:dyDescent="0.2">
      <c r="A24" s="594" t="s">
        <v>727</v>
      </c>
      <c r="B24" s="946">
        <f>+'FC - 3FS'!L35</f>
        <v>0.75028948508465765</v>
      </c>
      <c r="C24" s="167">
        <f>+'FC - 3FS'!M35</f>
        <v>0.78392813871506772</v>
      </c>
      <c r="D24" s="167">
        <f>+'FC - 3FS'!N35</f>
        <v>0.5536017397688564</v>
      </c>
      <c r="E24" s="167">
        <f>+'FC - 3FS'!O35</f>
        <v>0.33779665278033189</v>
      </c>
      <c r="F24" s="959">
        <f>+'FC - 3FS'!AM35</f>
        <v>2.4247186829998069</v>
      </c>
      <c r="G24" s="167">
        <f>+'FC - 3FS'!P35</f>
        <v>0.57016919596560844</v>
      </c>
      <c r="H24" s="167">
        <f>+'FC - 3FS'!Q35</f>
        <v>-8.6129004664368874E-2</v>
      </c>
      <c r="I24" s="167">
        <f>+'FC - 3FS'!R35</f>
        <v>0.40514456104644037</v>
      </c>
      <c r="J24" s="167">
        <f>+'FC - 3FS'!S35</f>
        <v>1.1903344532921836</v>
      </c>
      <c r="K24" s="959">
        <f>+'FC - 3FS'!AN35</f>
        <v>2.0723913769142261</v>
      </c>
      <c r="L24" s="167">
        <f>+'FC - 3FS'!T35</f>
        <v>1.5906745644303808</v>
      </c>
      <c r="M24" s="167">
        <f>+'FC - 3FS'!U35</f>
        <v>1.8615701080239797</v>
      </c>
      <c r="N24" s="167">
        <f>+'FC - 3FS'!V35</f>
        <v>1.828680513449743</v>
      </c>
      <c r="O24" s="167">
        <f>+'FC - 3FS'!W35</f>
        <v>1.7402373958755115</v>
      </c>
      <c r="P24" s="959">
        <f>+'FC - 3FS'!AO35</f>
        <v>7.0178454824198022</v>
      </c>
      <c r="Q24" s="167">
        <f>+'FC - 3FS'!X35</f>
        <v>2.0028710118241211</v>
      </c>
      <c r="R24" s="167">
        <f>+'FC - 3FS'!Y35</f>
        <v>2.4999447405377095</v>
      </c>
      <c r="S24" s="167">
        <f>+'FC - 3FS'!Z35</f>
        <v>2.6213369777486837</v>
      </c>
      <c r="T24" s="167">
        <f>+'FC - 3FS'!AA35</f>
        <v>2.5816689002447291</v>
      </c>
      <c r="U24" s="959">
        <f>+'FC - 3FS'!AP35</f>
        <v>9.6981225395253077</v>
      </c>
      <c r="V24" s="167">
        <f>+'FC - 3FS'!AB35</f>
        <v>2.5891291375591114</v>
      </c>
      <c r="W24" s="167">
        <f>+'FC - 3FS'!AC35</f>
        <v>2.8443789305446847</v>
      </c>
      <c r="X24" s="167">
        <f>+'FC - 3FS'!AD35</f>
        <v>2.4151191169495858</v>
      </c>
      <c r="Y24" s="1176">
        <f>+'FC - 3FS'!AE35</f>
        <v>2.0011984516986101</v>
      </c>
      <c r="Z24" s="986">
        <f>+'FC - 3FS'!AQ35</f>
        <v>9.8498256367519925</v>
      </c>
      <c r="AA24" s="1176">
        <f>+'FC - 3FS'!AF35</f>
        <v>2.711182600532577</v>
      </c>
      <c r="AB24" s="1176">
        <f>+'FC - 3FS'!AG35</f>
        <v>3.0376562283120441</v>
      </c>
      <c r="AC24" s="1176">
        <f>+'FC - 3FS'!AH35</f>
        <v>2.8790238568383608</v>
      </c>
      <c r="AD24" s="973">
        <f>+'FC - 3FS'!AI35</f>
        <v>2.7897559256920896</v>
      </c>
      <c r="AE24" s="986">
        <f>+'FC - 3FS'!AR35</f>
        <v>11.417618611375071</v>
      </c>
      <c r="AH24" s="2" t="b">
        <f>+ROUND(SUM(B24:E24),2)=ROUND(F24,2)</f>
        <v>0</v>
      </c>
      <c r="AI24" s="2" t="b">
        <f>+ROUND(SUM(G24:J24),2)=ROUND(K24,2)</f>
        <v>0</v>
      </c>
      <c r="AJ24" s="2" t="b">
        <f>ROUND(SUM(L24:O24),2)=ROUND(P24,2)</f>
        <v>1</v>
      </c>
      <c r="AK24" s="2" t="b">
        <f>ROUND(SUM(Q24:T24),2)=ROUND(U24,2)</f>
        <v>0</v>
      </c>
      <c r="AL24" s="2" t="b">
        <f>+SUM(V24:Y24)=Z24</f>
        <v>1</v>
      </c>
      <c r="AM24" s="2" t="b">
        <f>+SUM(AA24:AD24)=AE24</f>
        <v>1</v>
      </c>
    </row>
    <row r="25" spans="1:39" x14ac:dyDescent="0.2">
      <c r="A25" s="594" t="s">
        <v>713</v>
      </c>
      <c r="B25" s="946">
        <f>+'FC - 3FS'!L36</f>
        <v>0.74474157133817565</v>
      </c>
      <c r="C25" s="167">
        <f>+'FC - 3FS'!M36</f>
        <v>0.78007965493857634</v>
      </c>
      <c r="D25" s="167">
        <f>+'FC - 3FS'!N36</f>
        <v>0.55118557964197101</v>
      </c>
      <c r="E25" s="167">
        <f>+'FC - 3FS'!O36</f>
        <v>0.33644554229867102</v>
      </c>
      <c r="F25" s="959">
        <f>+'FC - 3FS'!AM36</f>
        <v>2.4100035690527064</v>
      </c>
      <c r="G25" s="167">
        <f>+'FC - 3FS'!P36</f>
        <v>0.5679606806667663</v>
      </c>
      <c r="H25" s="167">
        <f>+'FC - 3FS'!Q36</f>
        <v>-8.6129004664368874E-2</v>
      </c>
      <c r="I25" s="167">
        <f>+'FC - 3FS'!R36</f>
        <v>0.40342745901887583</v>
      </c>
      <c r="J25" s="167">
        <f>+'FC - 3FS'!S36</f>
        <v>1.1845565194545831</v>
      </c>
      <c r="K25" s="959">
        <f>+'FC - 3FS'!AN36</f>
        <v>2.0631256400125402</v>
      </c>
      <c r="L25" s="167">
        <f>+'FC - 3FS'!T36</f>
        <v>1.5841846786708962</v>
      </c>
      <c r="M25" s="167">
        <f>+'FC - 3FS'!U36</f>
        <v>1.857748027853463</v>
      </c>
      <c r="N25" s="167">
        <f>+'FC - 3FS'!V36</f>
        <v>1.8239248793905405</v>
      </c>
      <c r="O25" s="167">
        <f>+'FC - 3FS'!W36</f>
        <v>1.6713497307983793</v>
      </c>
      <c r="P25" s="959">
        <f>+'FC - 3FS'!AO36</f>
        <v>6.9291803542625559</v>
      </c>
      <c r="Q25" s="167">
        <f>+'FC - 3FS'!X36</f>
        <v>1.9964813168929361</v>
      </c>
      <c r="R25" s="167">
        <f>+'FC - 3FS'!Y36</f>
        <v>2.4947815290090896</v>
      </c>
      <c r="S25" s="167">
        <f>+'FC - 3FS'!Z36</f>
        <v>2.6130791843349952</v>
      </c>
      <c r="T25" s="167">
        <f>+'FC - 3FS'!AA36</f>
        <v>2.5718325158891795</v>
      </c>
      <c r="U25" s="959">
        <f>+'FC - 3FS'!AP36</f>
        <v>9.6649042594277219</v>
      </c>
      <c r="V25" s="167">
        <f>+'FC - 3FS'!AB36</f>
        <v>2.5798159565936118</v>
      </c>
      <c r="W25" s="167">
        <f>+'FC - 3FS'!AC36</f>
        <v>2.8391493272054089</v>
      </c>
      <c r="X25" s="167">
        <f>+'FC - 3FS'!AD36</f>
        <v>2.4089590383125925</v>
      </c>
      <c r="Y25" s="1176">
        <f>+'FC - 3FS'!AE36</f>
        <v>1.9960941321045262</v>
      </c>
      <c r="Z25" s="986">
        <f>+'FC - 3FS'!AQ36</f>
        <v>9.8240184542161391</v>
      </c>
      <c r="AA25" s="1176">
        <f>+'FC - 3FS'!AF36</f>
        <v>2.7042673730801008</v>
      </c>
      <c r="AB25" s="1176">
        <f>+'FC - 3FS'!AG36</f>
        <v>3.0299082869756391</v>
      </c>
      <c r="AC25" s="1176">
        <f>+'FC - 3FS'!AH36</f>
        <v>2.871680528208548</v>
      </c>
      <c r="AD25" s="973">
        <f>+'FC - 3FS'!AI36</f>
        <v>2.7826402866498268</v>
      </c>
      <c r="AE25" s="986">
        <f>+'FC - 3FS'!AR36</f>
        <v>11.388496474914115</v>
      </c>
      <c r="AH25" s="2" t="b">
        <f>+ROUND(SUM(B25:E25),2)=ROUND(F25,2)</f>
        <v>1</v>
      </c>
      <c r="AI25" s="2" t="b">
        <f>+ROUND(SUM(G25:J25),2)=ROUND(K25,2)</f>
        <v>0</v>
      </c>
      <c r="AJ25" s="2" t="b">
        <f>ROUND(SUM(L25:O25),2)=ROUND(P25,2)</f>
        <v>0</v>
      </c>
      <c r="AK25" s="2" t="b">
        <f>+SUM(Q25:T25)=U25</f>
        <v>0</v>
      </c>
      <c r="AL25" s="2" t="b">
        <f>+SUM(V25:Y25)=Z25</f>
        <v>1</v>
      </c>
      <c r="AM25" s="2" t="b">
        <f>+SUM(AA25:AD25)=AE25</f>
        <v>1</v>
      </c>
    </row>
    <row r="26" spans="1:39" x14ac:dyDescent="0.2">
      <c r="A26" s="594" t="s">
        <v>728</v>
      </c>
      <c r="B26" s="632">
        <f>+'FC - 3FS'!L38</f>
        <v>1243.5200259999999</v>
      </c>
      <c r="C26" s="612">
        <f>+'FC - 3FS'!M38</f>
        <v>1247.5633310000001</v>
      </c>
      <c r="D26" s="612">
        <f>+'FC - 3FS'!N38</f>
        <v>1248.189719</v>
      </c>
      <c r="E26" s="612">
        <f>+'FC - 3FS'!O38</f>
        <v>1249.2722960000001</v>
      </c>
      <c r="F26" s="953">
        <f>+'FC - 3FS'!AM38</f>
        <v>1247.154988</v>
      </c>
      <c r="G26" s="612">
        <f>+'FC - 3FS'!P38</f>
        <v>1250.505999</v>
      </c>
      <c r="H26" s="612">
        <f>+'FC - 3FS'!Q38</f>
        <v>1253.932986</v>
      </c>
      <c r="I26" s="612">
        <f>+'FC - 3FS'!R38</f>
        <v>1253.873429</v>
      </c>
      <c r="J26" s="612">
        <f>+'FC - 3FS'!S38</f>
        <v>1240.827732</v>
      </c>
      <c r="K26" s="953">
        <f>+'FC - 3FS'!AN38</f>
        <v>1249.7639340000001</v>
      </c>
      <c r="L26" s="612">
        <f>+'FC - 3FS'!T38</f>
        <v>1219.6083619999999</v>
      </c>
      <c r="M26" s="612">
        <f>+'FC - 3FS'!U38</f>
        <v>1193.0788910000001</v>
      </c>
      <c r="N26" s="612">
        <f>+'FC - 3FS'!V38</f>
        <v>1171.3363730000001</v>
      </c>
      <c r="O26" s="612">
        <f>+'FC - 3FS'!W38</f>
        <v>1157.313367</v>
      </c>
      <c r="P26" s="953">
        <f>+'FC - 3FS'!AO38</f>
        <v>1185.121562</v>
      </c>
      <c r="Q26" s="612">
        <f>+'FC - 3FS'!X38</f>
        <v>1185.298497</v>
      </c>
      <c r="R26" s="612">
        <f>+'FC - 3FS'!Y38</f>
        <v>1170.025862</v>
      </c>
      <c r="S26" s="612">
        <f>+'FC - 3FS'!Z38</f>
        <v>1166.961755</v>
      </c>
      <c r="T26" s="612">
        <f>+'FC - 3FS'!AA38</f>
        <v>1154.6794400000001</v>
      </c>
      <c r="U26" s="953">
        <f>+'FC - 3FS'!AP38</f>
        <v>1169.195373</v>
      </c>
      <c r="V26" s="612">
        <f>+'FC - 3FS'!AB38</f>
        <v>1140.5379350000001</v>
      </c>
      <c r="W26" s="612">
        <f>+'FC - 3FS'!AC38</f>
        <v>1132.7604650000001</v>
      </c>
      <c r="X26" s="612">
        <f>+'FC - 3FS'!AD38</f>
        <v>1123.7540959999999</v>
      </c>
      <c r="Y26" s="940">
        <f>+'FC - 3FS'!AE38</f>
        <v>1131.5858512</v>
      </c>
      <c r="Z26" s="979">
        <f>+'FC - 3FS'!AQ38</f>
        <v>1132.3578979681708</v>
      </c>
      <c r="AA26" s="940">
        <f>+'FC - 3FS'!AF38</f>
        <v>1117.7271763000001</v>
      </c>
      <c r="AB26" s="940">
        <f>+'FC - 3FS'!AG38</f>
        <v>1110.1052557</v>
      </c>
      <c r="AC26" s="940">
        <f>+'FC - 3FS'!AH38</f>
        <v>1101.2790140799998</v>
      </c>
      <c r="AD26" s="970">
        <f>+'FC - 3FS'!AI38</f>
        <v>1108.954134176</v>
      </c>
      <c r="AE26" s="979">
        <f>+'FC - 3FS'!AR38</f>
        <v>1109.4082723762021</v>
      </c>
    </row>
    <row r="27" spans="1:39" x14ac:dyDescent="0.2">
      <c r="A27" s="594" t="s">
        <v>729</v>
      </c>
      <c r="B27" s="632">
        <f>+'FC - 3FS'!L39</f>
        <v>1252.7835640000001</v>
      </c>
      <c r="C27" s="612">
        <f>+'FC - 3FS'!M39</f>
        <v>1253.718122</v>
      </c>
      <c r="D27" s="612">
        <f>+'FC - 3FS'!N39</f>
        <v>1253.661245</v>
      </c>
      <c r="E27" s="612">
        <f>+'FC - 3FS'!O39</f>
        <v>1254.28917</v>
      </c>
      <c r="F27" s="953">
        <f>+'FC - 3FS'!AM39</f>
        <v>1254.7699259999999</v>
      </c>
      <c r="G27" s="612">
        <f>+'FC - 3FS'!P39</f>
        <v>1255.368592</v>
      </c>
      <c r="H27" s="612">
        <f>+'FC - 3FS'!Q39</f>
        <v>1253.932986</v>
      </c>
      <c r="I27" s="612">
        <f>+'FC - 3FS'!R39</f>
        <v>1259.2102709999999</v>
      </c>
      <c r="J27" s="612">
        <f>+'FC - 3FS'!S39</f>
        <v>1246.8801410000001</v>
      </c>
      <c r="K27" s="953">
        <f>+'FC - 3FS'!AN39</f>
        <v>1255.376769</v>
      </c>
      <c r="L27" s="612">
        <f>+'FC - 3FS'!T39</f>
        <v>1224.6046980000001</v>
      </c>
      <c r="M27" s="612">
        <f>+'FC - 3FS'!U39</f>
        <v>1195.5334989999999</v>
      </c>
      <c r="N27" s="612">
        <f>+'FC - 3FS'!V39</f>
        <v>1174.390472</v>
      </c>
      <c r="O27" s="612">
        <f>+'FC - 3FS'!W39</f>
        <v>1205.014105</v>
      </c>
      <c r="P27" s="953">
        <f>+'FC - 3FS'!AO39</f>
        <v>1200.2862640000001</v>
      </c>
      <c r="Q27" s="612">
        <f>+'FC - 3FS'!X39</f>
        <v>1189.0920189999999</v>
      </c>
      <c r="R27" s="612">
        <f>+'FC - 3FS'!Y39</f>
        <v>1172.447353</v>
      </c>
      <c r="S27" s="612">
        <f>+'FC - 3FS'!Z39</f>
        <v>1170.6495609999999</v>
      </c>
      <c r="T27" s="612">
        <f>+'FC - 3FS'!AA39</f>
        <v>1159.0956960000001</v>
      </c>
      <c r="U27" s="953">
        <f>+'FC - 3FS'!AP39</f>
        <v>1173.213898</v>
      </c>
      <c r="V27" s="612">
        <f>+'FC - 3FS'!AB39</f>
        <v>1144.655297</v>
      </c>
      <c r="W27" s="612">
        <f>+'FC - 3FS'!AC39</f>
        <v>1134.8469660000001</v>
      </c>
      <c r="X27" s="612">
        <f>+'FC - 3FS'!AD39</f>
        <v>1126.627708</v>
      </c>
      <c r="Y27" s="940">
        <f>+'FC - 3FS'!AE39</f>
        <v>1134.479490202174</v>
      </c>
      <c r="Z27" s="979">
        <f>+'FC - 3FS'!AQ39</f>
        <v>1135.3325429268475</v>
      </c>
      <c r="AA27" s="940">
        <f>+'FC - 3FS'!AF39</f>
        <v>1120.5853765396919</v>
      </c>
      <c r="AB27" s="940">
        <f>+'FC - 3FS'!AG39</f>
        <v>1112.9439655168519</v>
      </c>
      <c r="AC27" s="940">
        <f>+'FC - 3FS'!AH39</f>
        <v>1104.0951538399997</v>
      </c>
      <c r="AD27" s="970">
        <f>+'FC - 3FS'!AI39</f>
        <v>1111.7899003981306</v>
      </c>
      <c r="AE27" s="979">
        <f>+'FC - 3FS'!AR39</f>
        <v>1112.2451998995341</v>
      </c>
    </row>
    <row r="28" spans="1:39" x14ac:dyDescent="0.2">
      <c r="A28" s="594"/>
      <c r="B28" s="594"/>
      <c r="F28" s="669"/>
      <c r="K28" s="669"/>
      <c r="P28" s="669"/>
      <c r="U28" s="669"/>
      <c r="Y28" s="370"/>
      <c r="Z28" s="982"/>
      <c r="AA28" s="370"/>
      <c r="AB28" s="370"/>
      <c r="AC28" s="370"/>
      <c r="AD28" s="913"/>
      <c r="AE28" s="982"/>
    </row>
    <row r="29" spans="1:39" x14ac:dyDescent="0.2">
      <c r="A29" s="996" t="s">
        <v>730</v>
      </c>
      <c r="B29" s="803">
        <f>+'FC - 3FS'!L56</f>
        <v>6905</v>
      </c>
      <c r="C29" s="997">
        <f>+'FC - 3FS'!M56</f>
        <v>6906</v>
      </c>
      <c r="D29" s="997">
        <f>+'FC - 3FS'!N56</f>
        <v>6811</v>
      </c>
      <c r="E29" s="997">
        <f>+'FC - 3FS'!O56</f>
        <v>6302</v>
      </c>
      <c r="F29" s="998">
        <f>+'FC - 3FS'!AM56</f>
        <v>26924</v>
      </c>
      <c r="G29" s="997">
        <f>+'FC - 3FS'!P56</f>
        <v>6950</v>
      </c>
      <c r="H29" s="997">
        <f>+'FC - 3FS'!Q56</f>
        <v>7004</v>
      </c>
      <c r="I29" s="997">
        <f>+'FC - 3FS'!R56</f>
        <v>7039</v>
      </c>
      <c r="J29" s="997">
        <f>+'FC - 3FS'!S56</f>
        <v>6828</v>
      </c>
      <c r="K29" s="998">
        <f>+'FC - 3FS'!AN56</f>
        <v>27821</v>
      </c>
      <c r="L29" s="997">
        <f>+'FC - 3FS'!T56</f>
        <v>7199</v>
      </c>
      <c r="M29" s="997">
        <f>+'FC - 3FS'!U56</f>
        <v>7405</v>
      </c>
      <c r="N29" s="997">
        <f>+'FC - 3FS'!V56</f>
        <v>7600</v>
      </c>
      <c r="O29" s="997">
        <f>+'FC - 3FS'!W56</f>
        <v>7224</v>
      </c>
      <c r="P29" s="998">
        <f>+'FC - 3FS'!AO56</f>
        <v>29428</v>
      </c>
      <c r="Q29" s="997">
        <f>+'FC - 3FS'!X56</f>
        <v>7652</v>
      </c>
      <c r="R29" s="997">
        <f>+'FC - 3FS'!Y56</f>
        <v>8053</v>
      </c>
      <c r="S29" s="997">
        <f>+'FC - 3FS'!Z56</f>
        <v>8243</v>
      </c>
      <c r="T29" s="997">
        <f>+'FC - 3FS'!AA56</f>
        <v>7916</v>
      </c>
      <c r="U29" s="998">
        <f>+'FC - 3FS'!AP56</f>
        <v>31864</v>
      </c>
      <c r="V29" s="997">
        <f>+'FC - 3FS'!AB56</f>
        <v>8259</v>
      </c>
      <c r="W29" s="997">
        <f>+'FC - 3FS'!AC56</f>
        <v>8547</v>
      </c>
      <c r="X29" s="997">
        <f>+'FC - 3FS'!AD56</f>
        <v>8684</v>
      </c>
      <c r="Y29" s="992">
        <f>+'FC - 3FS'!AE56</f>
        <v>8394.3924876278943</v>
      </c>
      <c r="Z29" s="999">
        <f>+'FC - 3FS'!AQ56</f>
        <v>33884.392487627898</v>
      </c>
      <c r="AA29" s="992">
        <f>+'FC - 3FS'!AF56</f>
        <v>9279.30164781641</v>
      </c>
      <c r="AB29" s="992">
        <f>+'FC - 3FS'!AG56</f>
        <v>9624.8082936674127</v>
      </c>
      <c r="AC29" s="992">
        <f>+'FC - 3FS'!AH56</f>
        <v>9319.7855125316564</v>
      </c>
      <c r="AD29" s="1000">
        <f>+'FC - 3FS'!AI56</f>
        <v>9159.2499547615698</v>
      </c>
      <c r="AE29" s="999">
        <f>+'FC - 3FS'!AR56</f>
        <v>37383.145408777047</v>
      </c>
      <c r="AH29" s="2" t="b">
        <f>+SUM(B29:E29)=F29</f>
        <v>1</v>
      </c>
      <c r="AI29" s="2" t="b">
        <f>+SUM(G29:J29)=K29</f>
        <v>1</v>
      </c>
      <c r="AJ29" s="2" t="b">
        <f>+SUM(L29:O29)=P29</f>
        <v>1</v>
      </c>
      <c r="AK29" s="2" t="b">
        <f>+SUM(Q29:T29)=U29</f>
        <v>1</v>
      </c>
      <c r="AL29" s="2" t="b">
        <f t="shared" ref="AL29:AL30" si="23">+ROUND(SUM(V29:Y29),0)=ROUND(Z29,0)</f>
        <v>1</v>
      </c>
      <c r="AM29" s="2" t="b">
        <f>+SUM(AA29:AD29)=AE29</f>
        <v>0</v>
      </c>
    </row>
    <row r="30" spans="1:39" x14ac:dyDescent="0.2">
      <c r="A30" s="996" t="s">
        <v>731</v>
      </c>
      <c r="B30" s="803">
        <f>+'FC - 3FS'!L58</f>
        <v>5864</v>
      </c>
      <c r="C30" s="997">
        <f>+'FC - 3FS'!M58</f>
        <v>5992</v>
      </c>
      <c r="D30" s="997">
        <f>+'FC - 3FS'!N58</f>
        <v>6041</v>
      </c>
      <c r="E30" s="997">
        <f>+'FC - 3FS'!O58</f>
        <v>5679</v>
      </c>
      <c r="F30" s="998">
        <f>+'FC - 3FS'!AM58</f>
        <v>23576</v>
      </c>
      <c r="G30" s="997">
        <f>+'FC - 3FS'!P58</f>
        <v>6463</v>
      </c>
      <c r="H30" s="997">
        <f>+'FC - 3FS'!Q58</f>
        <v>6618</v>
      </c>
      <c r="I30" s="997">
        <f>+'FC - 3FS'!R58</f>
        <v>6728</v>
      </c>
      <c r="J30" s="997">
        <f>+'FC - 3FS'!S58</f>
        <v>6582</v>
      </c>
      <c r="K30" s="998">
        <f>+'FC - 3FS'!AN58</f>
        <v>26391</v>
      </c>
      <c r="L30" s="997">
        <f>+'FC - 3FS'!T58</f>
        <v>7052</v>
      </c>
      <c r="M30" s="997">
        <f>+'FC - 3FS'!U58</f>
        <v>7336</v>
      </c>
      <c r="N30" s="997">
        <f>+'FC - 3FS'!V58</f>
        <v>7547</v>
      </c>
      <c r="O30" s="997">
        <f>+'FC - 3FS'!W58</f>
        <v>7181</v>
      </c>
      <c r="P30" s="998">
        <f>+'FC - 3FS'!AO58</f>
        <v>29116</v>
      </c>
      <c r="Q30" s="997">
        <f>+'FC - 3FS'!X58</f>
        <v>7617</v>
      </c>
      <c r="R30" s="997">
        <f>+'FC - 3FS'!Y58</f>
        <v>8027</v>
      </c>
      <c r="S30" s="997">
        <f>+'FC - 3FS'!Z58</f>
        <v>8222</v>
      </c>
      <c r="T30" s="997">
        <f>+'FC - 3FS'!AA58</f>
        <v>7905</v>
      </c>
      <c r="U30" s="998">
        <f>+'FC - 3FS'!AP58</f>
        <v>31771</v>
      </c>
      <c r="V30" s="997">
        <f>+'FC - 3FS'!AB58</f>
        <v>8258</v>
      </c>
      <c r="W30" s="997">
        <f>+'FC - 3FS'!AC58</f>
        <v>8541</v>
      </c>
      <c r="X30" s="997">
        <f>+'FC - 3FS'!AD58</f>
        <v>8680</v>
      </c>
      <c r="Y30" s="992">
        <f>+'FC - 3FS'!AE58</f>
        <v>8390.3924876278943</v>
      </c>
      <c r="Z30" s="999">
        <f>+'FC - 3FS'!AQ58</f>
        <v>33869.392487627898</v>
      </c>
      <c r="AA30" s="992">
        <f>+'FC - 3FS'!AF58</f>
        <v>9275.30164781641</v>
      </c>
      <c r="AB30" s="992">
        <f>+'FC - 3FS'!AG58</f>
        <v>9620.8082936674127</v>
      </c>
      <c r="AC30" s="992">
        <f>+'FC - 3FS'!AH58</f>
        <v>9315.7855125316564</v>
      </c>
      <c r="AD30" s="1000">
        <f>+'FC - 3FS'!AI58</f>
        <v>9155.2499547615698</v>
      </c>
      <c r="AE30" s="999">
        <f>+'FC - 3FS'!AR58</f>
        <v>37367.145408777047</v>
      </c>
      <c r="AH30" s="2" t="b">
        <f>+SUM(B30:E30)=F30</f>
        <v>1</v>
      </c>
      <c r="AI30" s="2" t="b">
        <f>+SUM(G30:J30)=K30</f>
        <v>1</v>
      </c>
      <c r="AJ30" s="2" t="b">
        <f>+SUM(L30:O30)=P30</f>
        <v>1</v>
      </c>
      <c r="AK30" s="2" t="b">
        <f>+SUM(Q30:T30)=U30</f>
        <v>1</v>
      </c>
      <c r="AL30" s="2" t="b">
        <f t="shared" si="23"/>
        <v>1</v>
      </c>
      <c r="AM30" s="2" t="b">
        <f>+SUM(AA30:AD30)=AE30</f>
        <v>0</v>
      </c>
    </row>
    <row r="31" spans="1:39" x14ac:dyDescent="0.2">
      <c r="A31" s="594"/>
      <c r="B31" s="594"/>
      <c r="F31" s="669"/>
      <c r="K31" s="669"/>
      <c r="P31" s="669"/>
      <c r="U31" s="669"/>
      <c r="Y31" s="370"/>
      <c r="Z31" s="982"/>
      <c r="AA31" s="370"/>
      <c r="AB31" s="370"/>
      <c r="AC31" s="370"/>
      <c r="AD31" s="913"/>
      <c r="AE31" s="982"/>
    </row>
    <row r="32" spans="1:39" x14ac:dyDescent="0.2">
      <c r="A32" s="670" t="s">
        <v>36</v>
      </c>
      <c r="B32" s="846"/>
      <c r="C32" s="172"/>
      <c r="D32" s="172"/>
      <c r="E32" s="172"/>
      <c r="F32" s="952"/>
      <c r="G32" s="172"/>
      <c r="H32" s="172"/>
      <c r="I32" s="172"/>
      <c r="J32" s="172"/>
      <c r="K32" s="952"/>
      <c r="L32" s="172"/>
      <c r="M32" s="172"/>
      <c r="N32" s="172"/>
      <c r="O32" s="172"/>
      <c r="P32" s="952"/>
      <c r="Q32" s="172"/>
      <c r="R32" s="172"/>
      <c r="S32" s="172"/>
      <c r="T32" s="172"/>
      <c r="U32" s="952"/>
      <c r="V32" s="172"/>
      <c r="W32" s="172"/>
      <c r="X32" s="172"/>
      <c r="Y32" s="172"/>
      <c r="Z32" s="952"/>
      <c r="AA32" s="172"/>
      <c r="AB32" s="172"/>
      <c r="AC32" s="172"/>
      <c r="AD32" s="864"/>
      <c r="AE32" s="952"/>
    </row>
    <row r="33" spans="1:39" x14ac:dyDescent="0.2">
      <c r="A33" s="678" t="s">
        <v>43</v>
      </c>
      <c r="B33" s="947">
        <f>+'FC - 3FS'!L75</f>
        <v>18779</v>
      </c>
      <c r="C33" s="664">
        <f>+'FC - 3FS'!M75</f>
        <v>20570</v>
      </c>
      <c r="D33" s="664">
        <f>+'FC - 3FS'!N75</f>
        <v>16772</v>
      </c>
      <c r="E33" s="664">
        <f>+'FC - 3FS'!O75</f>
        <v>20891</v>
      </c>
      <c r="F33" s="960">
        <f>+'FC - 3FS'!AM75</f>
        <v>20891</v>
      </c>
      <c r="G33" s="664">
        <f>+'FC - 3FS'!P75</f>
        <v>17455</v>
      </c>
      <c r="H33" s="664">
        <f>+'FC - 3FS'!Q75</f>
        <v>17476</v>
      </c>
      <c r="I33" s="664">
        <f>+'FC - 3FS'!R75</f>
        <v>21427</v>
      </c>
      <c r="J33" s="664">
        <f>+'FC - 3FS'!S75</f>
        <v>19067</v>
      </c>
      <c r="K33" s="960">
        <f>+'FC - 3FS'!AN75</f>
        <v>19067</v>
      </c>
      <c r="L33" s="664">
        <f>+'FC - 3FS'!T75</f>
        <v>18876</v>
      </c>
      <c r="M33" s="664">
        <f>+'FC - 3FS'!U75</f>
        <v>20237</v>
      </c>
      <c r="N33" s="664">
        <f>+'FC - 3FS'!V75</f>
        <v>18669</v>
      </c>
      <c r="O33" s="664">
        <f>+'FC - 3FS'!W75</f>
        <v>19015</v>
      </c>
      <c r="P33" s="960">
        <f>+'FC - 3FS'!AO75</f>
        <v>19015</v>
      </c>
      <c r="Q33" s="664">
        <f>+'FC - 3FS'!X75</f>
        <v>19295</v>
      </c>
      <c r="R33" s="664">
        <f>+'FC - 3FS'!Y75</f>
        <v>19297</v>
      </c>
      <c r="S33" s="664">
        <f>+'FC - 3FS'!Z75</f>
        <v>22531</v>
      </c>
      <c r="T33" s="664">
        <f>+'FC - 3FS'!AA75</f>
        <v>18404</v>
      </c>
      <c r="U33" s="960">
        <f>+'FC - 3FS'!AP75</f>
        <v>18404</v>
      </c>
      <c r="V33" s="664">
        <f>+'FC - 3FS'!AB75</f>
        <v>27441</v>
      </c>
      <c r="W33" s="664">
        <f>+'FC - 3FS'!AC75</f>
        <v>26772</v>
      </c>
      <c r="X33" s="664">
        <f>+'FC - 3FS'!AD75</f>
        <v>21703</v>
      </c>
      <c r="Y33" s="937">
        <f>+'FC - 3FS'!AE75</f>
        <v>20285.235159029886</v>
      </c>
      <c r="Z33" s="987">
        <f>+'FC - 3FS'!AQ75</f>
        <v>20285.235159029886</v>
      </c>
      <c r="AA33" s="937">
        <f>+'FC - 3FS'!AF75</f>
        <v>20828.285411480982</v>
      </c>
      <c r="AB33" s="937">
        <f>+'FC - 3FS'!AG75</f>
        <v>22703.216054452536</v>
      </c>
      <c r="AC33" s="937">
        <f>+'FC - 3FS'!AH75</f>
        <v>25623.94542513027</v>
      </c>
      <c r="AD33" s="974">
        <f>+'FC - 3FS'!AI75</f>
        <v>26887.64069903456</v>
      </c>
      <c r="AE33" s="987">
        <f>+'FC - 3FS'!AR75</f>
        <v>26887.64069903456</v>
      </c>
      <c r="AH33" s="2" t="b">
        <f t="shared" ref="AH33:AH50" si="24">E33=F33</f>
        <v>1</v>
      </c>
      <c r="AI33" s="2" t="b">
        <f t="shared" ref="AI33:AI50" si="25">J33=K33</f>
        <v>1</v>
      </c>
      <c r="AJ33" s="2" t="b">
        <f t="shared" ref="AJ33:AJ50" si="26">O33=P33</f>
        <v>1</v>
      </c>
      <c r="AK33" s="2" t="b">
        <f t="shared" ref="AK33:AK50" si="27">T33=U33</f>
        <v>1</v>
      </c>
      <c r="AL33" s="2" t="b">
        <f t="shared" ref="AL33:AL50" si="28">Y33=Z33</f>
        <v>1</v>
      </c>
      <c r="AM33" s="2" t="b">
        <f t="shared" ref="AM33:AM50" si="29">AD33=AE33</f>
        <v>1</v>
      </c>
    </row>
    <row r="34" spans="1:39" x14ac:dyDescent="0.2">
      <c r="A34" s="671" t="s">
        <v>44</v>
      </c>
      <c r="B34" s="632">
        <f>+'FC - 3FS'!L76</f>
        <v>40549</v>
      </c>
      <c r="C34" s="612">
        <f>+'FC - 3FS'!M76</f>
        <v>39752</v>
      </c>
      <c r="D34" s="612">
        <f>+'FC - 3FS'!N76</f>
        <v>39355</v>
      </c>
      <c r="E34" s="612">
        <f>+'FC - 3FS'!O76</f>
        <v>39803</v>
      </c>
      <c r="F34" s="953">
        <f>+'FC - 3FS'!AM76</f>
        <v>39803</v>
      </c>
      <c r="G34" s="612">
        <f>+'FC - 3FS'!P76</f>
        <v>40006</v>
      </c>
      <c r="H34" s="612">
        <f>+'FC - 3FS'!Q76</f>
        <v>40245</v>
      </c>
      <c r="I34" s="612">
        <f>+'FC - 3FS'!R76</f>
        <v>41034</v>
      </c>
      <c r="J34" s="612">
        <f>+'FC - 3FS'!S76</f>
        <v>42086</v>
      </c>
      <c r="K34" s="953">
        <f>+'FC - 3FS'!AN76</f>
        <v>42086</v>
      </c>
      <c r="L34" s="612">
        <f>+'FC - 3FS'!T76</f>
        <v>42053</v>
      </c>
      <c r="M34" s="612">
        <f>+'FC - 3FS'!U76</f>
        <v>41804</v>
      </c>
      <c r="N34" s="612">
        <f>+'FC - 3FS'!V76</f>
        <v>41080</v>
      </c>
      <c r="O34" s="612">
        <f>+'FC - 3FS'!W76</f>
        <v>40432</v>
      </c>
      <c r="P34" s="953">
        <f>+'FC - 3FS'!AO76</f>
        <v>40432</v>
      </c>
      <c r="Q34" s="612">
        <f>+'FC - 3FS'!X76</f>
        <v>39286</v>
      </c>
      <c r="R34" s="612">
        <f>+'FC - 3FS'!Y76</f>
        <v>38222</v>
      </c>
      <c r="S34" s="612">
        <f>+'FC - 3FS'!Z76</f>
        <v>37603</v>
      </c>
      <c r="T34" s="612">
        <f>+'FC - 3FS'!AA76</f>
        <v>38533</v>
      </c>
      <c r="U34" s="953">
        <f>+'FC - 3FS'!AP76</f>
        <v>38533</v>
      </c>
      <c r="V34" s="612">
        <f>+'FC - 3FS'!AB76</f>
        <v>37897</v>
      </c>
      <c r="W34" s="612">
        <f>+'FC - 3FS'!AC76</f>
        <v>37481</v>
      </c>
      <c r="X34" s="612">
        <f>+'FC - 3FS'!AD76</f>
        <v>38718</v>
      </c>
      <c r="Y34" s="940">
        <f>+'FC - 3FS'!AE76</f>
        <v>37585.234944362237</v>
      </c>
      <c r="Z34" s="979">
        <f>+'FC - 3FS'!AQ76</f>
        <v>37585.234944362237</v>
      </c>
      <c r="AA34" s="940">
        <f>+'FC - 3FS'!AF76</f>
        <v>36439.382473484453</v>
      </c>
      <c r="AB34" s="940">
        <f>+'FC - 3FS'!AG76</f>
        <v>35450.659033590338</v>
      </c>
      <c r="AC34" s="940">
        <f>+'FC - 3FS'!AH76</f>
        <v>34589.330138411642</v>
      </c>
      <c r="AD34" s="970">
        <f>+'FC - 3FS'!AI76</f>
        <v>33838.887338546599</v>
      </c>
      <c r="AE34" s="979">
        <f>+'FC - 3FS'!AR76</f>
        <v>33838.887338546599</v>
      </c>
      <c r="AH34" s="2" t="b">
        <f t="shared" si="24"/>
        <v>1</v>
      </c>
      <c r="AI34" s="2" t="b">
        <f t="shared" si="25"/>
        <v>1</v>
      </c>
      <c r="AJ34" s="2" t="b">
        <f t="shared" si="26"/>
        <v>1</v>
      </c>
      <c r="AK34" s="2" t="b">
        <f t="shared" si="27"/>
        <v>1</v>
      </c>
      <c r="AL34" s="2" t="b">
        <f t="shared" si="28"/>
        <v>1</v>
      </c>
      <c r="AM34" s="2" t="b">
        <f t="shared" si="29"/>
        <v>1</v>
      </c>
    </row>
    <row r="35" spans="1:39" x14ac:dyDescent="0.2">
      <c r="A35" s="671" t="s">
        <v>45</v>
      </c>
      <c r="B35" s="632">
        <f>+'FC - 3FS'!L77</f>
        <v>27793</v>
      </c>
      <c r="C35" s="612">
        <f>+'FC - 3FS'!M77</f>
        <v>27511</v>
      </c>
      <c r="D35" s="612">
        <f>+'FC - 3FS'!N77</f>
        <v>27446</v>
      </c>
      <c r="E35" s="612">
        <f>+'FC - 3FS'!O77</f>
        <v>26959</v>
      </c>
      <c r="F35" s="953">
        <f>+'FC - 3FS'!AM77</f>
        <v>26959</v>
      </c>
      <c r="G35" s="612">
        <f>+'FC - 3FS'!P77</f>
        <v>31449</v>
      </c>
      <c r="H35" s="612">
        <f>+'FC - 3FS'!Q77</f>
        <v>30110</v>
      </c>
      <c r="I35" s="612">
        <f>+'FC - 3FS'!R77</f>
        <v>29264</v>
      </c>
      <c r="J35" s="612">
        <f>+'FC - 3FS'!S77</f>
        <v>28715</v>
      </c>
      <c r="K35" s="953">
        <f>+'FC - 3FS'!AN77</f>
        <v>28715</v>
      </c>
      <c r="L35" s="612">
        <f>+'FC - 3FS'!T77</f>
        <v>28146</v>
      </c>
      <c r="M35" s="612">
        <f>+'FC - 3FS'!U77</f>
        <v>27891</v>
      </c>
      <c r="N35" s="612">
        <f>+'FC - 3FS'!V77</f>
        <v>27568</v>
      </c>
      <c r="O35" s="612">
        <f>+'FC - 3FS'!W77</f>
        <v>27135</v>
      </c>
      <c r="P35" s="953">
        <f>+'FC - 3FS'!AO77</f>
        <v>27135</v>
      </c>
      <c r="Q35" s="612">
        <f>+'FC - 3FS'!X77</f>
        <v>26766</v>
      </c>
      <c r="R35" s="612">
        <f>+'FC - 3FS'!Y77</f>
        <v>26240</v>
      </c>
      <c r="S35" s="612">
        <f>+'FC - 3FS'!Z77</f>
        <v>25833</v>
      </c>
      <c r="T35" s="612">
        <f>+'FC - 3FS'!AA77</f>
        <v>25398</v>
      </c>
      <c r="U35" s="953">
        <f>+'FC - 3FS'!AP77</f>
        <v>25398</v>
      </c>
      <c r="V35" s="612">
        <f>+'FC - 3FS'!AB77</f>
        <v>25025</v>
      </c>
      <c r="W35" s="612">
        <f>+'FC - 3FS'!AC77</f>
        <v>24735</v>
      </c>
      <c r="X35" s="612">
        <f>+'FC - 3FS'!AD77</f>
        <v>26070</v>
      </c>
      <c r="Y35" s="940">
        <f>+'FC - 3FS'!AE77</f>
        <v>26969.969617776238</v>
      </c>
      <c r="Z35" s="979">
        <f>+'FC - 3FS'!AQ77</f>
        <v>26969.969617776238</v>
      </c>
      <c r="AA35" s="940">
        <f>+'FC - 3FS'!AF77</f>
        <v>25801.607509366902</v>
      </c>
      <c r="AB35" s="940">
        <f>+'FC - 3FS'!AG77</f>
        <v>24589.386564485718</v>
      </c>
      <c r="AC35" s="940">
        <f>+'FC - 3FS'!AH77</f>
        <v>26020.10677125724</v>
      </c>
      <c r="AD35" s="970">
        <f>+'FC - 3FS'!AI77</f>
        <v>26996.865798475566</v>
      </c>
      <c r="AE35" s="979">
        <f>+'FC - 3FS'!AR77</f>
        <v>26996.865798475566</v>
      </c>
      <c r="AH35" s="2" t="b">
        <f t="shared" si="24"/>
        <v>1</v>
      </c>
      <c r="AI35" s="2" t="b">
        <f t="shared" si="25"/>
        <v>1</v>
      </c>
      <c r="AJ35" s="2" t="b">
        <f t="shared" si="26"/>
        <v>1</v>
      </c>
      <c r="AK35" s="2" t="b">
        <f t="shared" si="27"/>
        <v>1</v>
      </c>
      <c r="AL35" s="2" t="b">
        <f t="shared" si="28"/>
        <v>1</v>
      </c>
      <c r="AM35" s="2" t="b">
        <f t="shared" si="29"/>
        <v>1</v>
      </c>
    </row>
    <row r="36" spans="1:39" x14ac:dyDescent="0.2">
      <c r="A36" s="671" t="s">
        <v>46</v>
      </c>
      <c r="B36" s="632">
        <f>+'FC - 3FS'!L78</f>
        <v>2899</v>
      </c>
      <c r="C36" s="612">
        <f>+'FC - 3FS'!M78</f>
        <v>3072</v>
      </c>
      <c r="D36" s="612">
        <f>+'FC - 3FS'!N78</f>
        <v>3396</v>
      </c>
      <c r="E36" s="612">
        <f>+'FC - 3FS'!O78</f>
        <v>3322</v>
      </c>
      <c r="F36" s="953">
        <f>+'FC - 3FS'!AM78</f>
        <v>3322</v>
      </c>
      <c r="G36" s="612">
        <f>+'FC - 3FS'!P78</f>
        <v>3287</v>
      </c>
      <c r="H36" s="612">
        <f>+'FC - 3FS'!Q78</f>
        <v>3588</v>
      </c>
      <c r="I36" s="612">
        <f>+'FC - 3FS'!R78</f>
        <v>3619</v>
      </c>
      <c r="J36" s="612">
        <f>+'FC - 3FS'!S78</f>
        <v>3257</v>
      </c>
      <c r="K36" s="953">
        <f>+'FC - 3FS'!AN78</f>
        <v>3257</v>
      </c>
      <c r="L36" s="612">
        <f>+'FC - 3FS'!T78</f>
        <v>3282</v>
      </c>
      <c r="M36" s="612">
        <f>+'FC - 3FS'!U78</f>
        <v>3365</v>
      </c>
      <c r="N36" s="612">
        <f>+'FC - 3FS'!V78</f>
        <v>3390</v>
      </c>
      <c r="O36" s="612">
        <f>+'FC - 3FS'!W78</f>
        <v>3270</v>
      </c>
      <c r="P36" s="953">
        <f>+'FC - 3FS'!AO78</f>
        <v>3270</v>
      </c>
      <c r="Q36" s="612">
        <f>+'FC - 3FS'!X78</f>
        <v>3180</v>
      </c>
      <c r="R36" s="612">
        <f>+'FC - 3FS'!Y78</f>
        <v>3271</v>
      </c>
      <c r="S36" s="612">
        <f>+'FC - 3FS'!Z78</f>
        <v>3352</v>
      </c>
      <c r="T36" s="612">
        <f>+'FC - 3FS'!AA78</f>
        <v>3091</v>
      </c>
      <c r="U36" s="953">
        <f>+'FC - 3FS'!AP78</f>
        <v>3091</v>
      </c>
      <c r="V36" s="612">
        <f>+'FC - 3FS'!AB78</f>
        <v>2977</v>
      </c>
      <c r="W36" s="612">
        <f>+'FC - 3FS'!AC78</f>
        <v>3105</v>
      </c>
      <c r="X36" s="612">
        <f>+'FC - 3FS'!AD78</f>
        <v>2955</v>
      </c>
      <c r="Y36" s="940">
        <f>+'FC - 3FS'!AE78</f>
        <v>2962.1068482309897</v>
      </c>
      <c r="Z36" s="979">
        <f>+'FC - 3FS'!AQ78</f>
        <v>2962.1068482309897</v>
      </c>
      <c r="AA36" s="940">
        <f>+'FC - 3FS'!AF78</f>
        <v>2975.9763102914935</v>
      </c>
      <c r="AB36" s="940">
        <f>+'FC - 3FS'!AG78</f>
        <v>2997.383891898704</v>
      </c>
      <c r="AC36" s="940">
        <f>+'FC - 3FS'!AH78</f>
        <v>3022.9233581092149</v>
      </c>
      <c r="AD36" s="970">
        <f>+'FC - 3FS'!AI78</f>
        <v>3051.3193657967067</v>
      </c>
      <c r="AE36" s="979">
        <f>+'FC - 3FS'!AR78</f>
        <v>3051.3193657967067</v>
      </c>
      <c r="AH36" s="2" t="b">
        <f t="shared" si="24"/>
        <v>1</v>
      </c>
      <c r="AI36" s="2" t="b">
        <f t="shared" si="25"/>
        <v>1</v>
      </c>
      <c r="AJ36" s="2" t="b">
        <f t="shared" si="26"/>
        <v>1</v>
      </c>
      <c r="AK36" s="2" t="b">
        <f t="shared" si="27"/>
        <v>1</v>
      </c>
      <c r="AL36" s="2" t="b">
        <f t="shared" si="28"/>
        <v>1</v>
      </c>
      <c r="AM36" s="2" t="b">
        <f t="shared" si="29"/>
        <v>1</v>
      </c>
    </row>
    <row r="37" spans="1:39" x14ac:dyDescent="0.2">
      <c r="A37" s="671" t="s">
        <v>47</v>
      </c>
      <c r="B37" s="632">
        <f>+'FC - 3FS'!L79</f>
        <v>11158</v>
      </c>
      <c r="C37" s="612">
        <f>+'FC - 3FS'!M79</f>
        <v>11152</v>
      </c>
      <c r="D37" s="612">
        <f>+'FC - 3FS'!N79</f>
        <v>12188</v>
      </c>
      <c r="E37" s="612">
        <f>+'FC - 3FS'!O79</f>
        <v>12188</v>
      </c>
      <c r="F37" s="953">
        <f>+'FC - 3FS'!AM79</f>
        <v>12188</v>
      </c>
      <c r="G37" s="612">
        <f>+'FC - 3FS'!P79</f>
        <v>12234</v>
      </c>
      <c r="H37" s="612">
        <f>+'FC - 3FS'!Q79</f>
        <v>12234</v>
      </c>
      <c r="I37" s="612">
        <f>+'FC - 3FS'!R79</f>
        <v>12234</v>
      </c>
      <c r="J37" s="612">
        <f>+'FC - 3FS'!S79</f>
        <v>12234</v>
      </c>
      <c r="K37" s="953">
        <f>+'FC - 3FS'!AN79</f>
        <v>12234</v>
      </c>
      <c r="L37" s="612">
        <f>+'FC - 3FS'!T79</f>
        <v>12234</v>
      </c>
      <c r="M37" s="612">
        <f>+'FC - 3FS'!U79</f>
        <v>12234</v>
      </c>
      <c r="N37" s="612">
        <f>+'FC - 3FS'!V79</f>
        <v>12234</v>
      </c>
      <c r="O37" s="612">
        <f>+'FC - 3FS'!W79</f>
        <v>12234</v>
      </c>
      <c r="P37" s="953">
        <f>+'FC - 3FS'!AO79</f>
        <v>12234</v>
      </c>
      <c r="Q37" s="612">
        <f>+'FC - 3FS'!X79</f>
        <v>12234</v>
      </c>
      <c r="R37" s="612">
        <f>+'FC - 3FS'!Y79</f>
        <v>13015</v>
      </c>
      <c r="S37" s="612">
        <f>+'FC - 3FS'!Z79</f>
        <v>13015</v>
      </c>
      <c r="T37" s="612">
        <f>+'FC - 3FS'!AA79</f>
        <v>13005</v>
      </c>
      <c r="U37" s="953">
        <f>+'FC - 3FS'!AP79</f>
        <v>13005</v>
      </c>
      <c r="V37" s="612">
        <f>+'FC - 3FS'!AB79</f>
        <v>13467</v>
      </c>
      <c r="W37" s="612">
        <f>+'FC - 3FS'!AC79</f>
        <v>13460</v>
      </c>
      <c r="X37" s="612">
        <f>+'FC - 3FS'!AD79</f>
        <v>13690</v>
      </c>
      <c r="Y37" s="940">
        <f>+'FC - 3FS'!AE79</f>
        <v>13690</v>
      </c>
      <c r="Z37" s="979">
        <f>+'FC - 3FS'!AQ79</f>
        <v>13690</v>
      </c>
      <c r="AA37" s="940">
        <f>+'FC - 3FS'!AF79</f>
        <v>13690</v>
      </c>
      <c r="AB37" s="940">
        <f>+'FC - 3FS'!AG79</f>
        <v>13690</v>
      </c>
      <c r="AC37" s="940">
        <f>+'FC - 3FS'!AH79</f>
        <v>13690</v>
      </c>
      <c r="AD37" s="970">
        <f>+'FC - 3FS'!AI79</f>
        <v>13690</v>
      </c>
      <c r="AE37" s="979">
        <f>+'FC - 3FS'!AR79</f>
        <v>13690</v>
      </c>
      <c r="AH37" s="2" t="b">
        <f t="shared" si="24"/>
        <v>1</v>
      </c>
      <c r="AI37" s="2" t="b">
        <f t="shared" si="25"/>
        <v>1</v>
      </c>
      <c r="AJ37" s="2" t="b">
        <f t="shared" si="26"/>
        <v>1</v>
      </c>
      <c r="AK37" s="2" t="b">
        <f t="shared" si="27"/>
        <v>1</v>
      </c>
      <c r="AL37" s="2" t="b">
        <f t="shared" si="28"/>
        <v>1</v>
      </c>
      <c r="AM37" s="2" t="b">
        <f t="shared" si="29"/>
        <v>1</v>
      </c>
    </row>
    <row r="38" spans="1:39" x14ac:dyDescent="0.2">
      <c r="A38" s="671" t="s">
        <v>48</v>
      </c>
      <c r="B38" s="632">
        <f>+'FC - 3FS'!L80</f>
        <v>82901</v>
      </c>
      <c r="C38" s="612">
        <f>+'FC - 3FS'!M80</f>
        <v>82917</v>
      </c>
      <c r="D38" s="612">
        <f>+'FC - 3FS'!N80</f>
        <v>92589</v>
      </c>
      <c r="E38" s="612">
        <f>+'FC - 3FS'!O80</f>
        <v>92606</v>
      </c>
      <c r="F38" s="953">
        <f>+'FC - 3FS'!AM80</f>
        <v>92606</v>
      </c>
      <c r="G38" s="612">
        <f>+'FC - 3FS'!P80</f>
        <v>92661</v>
      </c>
      <c r="H38" s="612">
        <f>+'FC - 3FS'!Q80</f>
        <v>95632</v>
      </c>
      <c r="I38" s="612">
        <f>+'FC - 3FS'!R80</f>
        <v>95767</v>
      </c>
      <c r="J38" s="612">
        <f>+'FC - 3FS'!S80</f>
        <v>95798</v>
      </c>
      <c r="K38" s="953">
        <f>+'FC - 3FS'!AN80</f>
        <v>95798</v>
      </c>
      <c r="L38" s="612">
        <f>+'FC - 3FS'!T80</f>
        <v>95878</v>
      </c>
      <c r="M38" s="612">
        <f>+'FC - 3FS'!U80</f>
        <v>95889</v>
      </c>
      <c r="N38" s="612">
        <f>+'FC - 3FS'!V80</f>
        <v>96689</v>
      </c>
      <c r="O38" s="612">
        <f>+'FC - 3FS'!W80</f>
        <v>96707</v>
      </c>
      <c r="P38" s="953">
        <f>+'FC - 3FS'!AO80</f>
        <v>96707</v>
      </c>
      <c r="Q38" s="612">
        <f>+'FC - 3FS'!X80</f>
        <v>97154</v>
      </c>
      <c r="R38" s="612">
        <f>+'FC - 3FS'!Y80</f>
        <v>98661</v>
      </c>
      <c r="S38" s="612">
        <f>+'FC - 3FS'!Z80</f>
        <v>98736</v>
      </c>
      <c r="T38" s="612">
        <f>+'FC - 3FS'!AA80</f>
        <v>100558</v>
      </c>
      <c r="U38" s="953">
        <f>+'FC - 3FS'!AP80</f>
        <v>100558</v>
      </c>
      <c r="V38" s="612">
        <f>+'FC - 3FS'!AB80</f>
        <v>98733</v>
      </c>
      <c r="W38" s="612">
        <f>+'FC - 3FS'!AC80</f>
        <v>95928</v>
      </c>
      <c r="X38" s="612">
        <f>+'FC - 3FS'!AD80</f>
        <v>97749</v>
      </c>
      <c r="Y38" s="940">
        <f>+'FC - 3FS'!AE80</f>
        <v>99303.701894169062</v>
      </c>
      <c r="Z38" s="979">
        <f>+'FC - 3FS'!AQ80</f>
        <v>99303.701894169062</v>
      </c>
      <c r="AA38" s="940">
        <f>+'FC - 3FS'!AF80</f>
        <v>100883.13138636709</v>
      </c>
      <c r="AB38" s="940">
        <f>+'FC - 3FS'!AG80</f>
        <v>102487.68177006504</v>
      </c>
      <c r="AC38" s="940">
        <f>+'FC - 3FS'!AH80</f>
        <v>104117.75259408285</v>
      </c>
      <c r="AD38" s="970">
        <f>+'FC - 3FS'!AI80</f>
        <v>105773.74976208096</v>
      </c>
      <c r="AE38" s="979">
        <f>+'FC - 3FS'!AR80</f>
        <v>105773.74976208096</v>
      </c>
      <c r="AH38" s="2" t="b">
        <f t="shared" si="24"/>
        <v>1</v>
      </c>
      <c r="AI38" s="2" t="b">
        <f t="shared" si="25"/>
        <v>1</v>
      </c>
      <c r="AJ38" s="2" t="b">
        <f t="shared" si="26"/>
        <v>1</v>
      </c>
      <c r="AK38" s="2" t="b">
        <f t="shared" si="27"/>
        <v>1</v>
      </c>
      <c r="AL38" s="2" t="b">
        <f t="shared" si="28"/>
        <v>1</v>
      </c>
      <c r="AM38" s="2" t="b">
        <f t="shared" si="29"/>
        <v>1</v>
      </c>
    </row>
    <row r="39" spans="1:39" x14ac:dyDescent="0.2">
      <c r="A39" s="594" t="s">
        <v>449</v>
      </c>
      <c r="B39" s="632">
        <f>SUM('FC - 3FS'!L81:L83)</f>
        <v>19253</v>
      </c>
      <c r="C39" s="612">
        <f>SUM('FC - 3FS'!M81:M83)</f>
        <v>19150</v>
      </c>
      <c r="D39" s="612">
        <f>SUM('FC - 3FS'!N81:N83)</f>
        <v>10379</v>
      </c>
      <c r="E39" s="612">
        <f>SUM('FC - 3FS'!O81:O83)</f>
        <v>10794</v>
      </c>
      <c r="F39" s="953">
        <f>SUM('FC - 3FS'!AM81:AM83)</f>
        <v>10794</v>
      </c>
      <c r="G39" s="612">
        <f>SUM('FC - 3FS'!P81:P83)</f>
        <v>13561</v>
      </c>
      <c r="H39" s="612">
        <f>SUM('FC - 3FS'!Q81:Q83)</f>
        <v>10178</v>
      </c>
      <c r="I39" s="612">
        <f>SUM('FC - 3FS'!R81:R83)</f>
        <v>10154</v>
      </c>
      <c r="J39" s="612">
        <f>SUM('FC - 3FS'!S81:S83)</f>
        <v>10181</v>
      </c>
      <c r="K39" s="953">
        <f>SUM('FC - 3FS'!AN81:AN83)</f>
        <v>10181</v>
      </c>
      <c r="L39" s="612">
        <f>SUM('FC - 3FS'!T81:T83)</f>
        <v>9704</v>
      </c>
      <c r="M39" s="612">
        <f>SUM('FC - 3FS'!U81:U83)</f>
        <v>9182</v>
      </c>
      <c r="N39" s="612">
        <f>SUM('FC - 3FS'!V81:V83)</f>
        <v>8949</v>
      </c>
      <c r="O39" s="612">
        <f>SUM('FC - 3FS'!W81:W83)</f>
        <v>8889</v>
      </c>
      <c r="P39" s="953">
        <f>SUM('FC - 3FS'!AO81:AO83)</f>
        <v>8889</v>
      </c>
      <c r="Q39" s="612">
        <f>SUM('FC - 3FS'!X81:X83)</f>
        <v>8353</v>
      </c>
      <c r="R39" s="612">
        <f>SUM('FC - 3FS'!Y81:Y83)</f>
        <v>9851</v>
      </c>
      <c r="S39" s="612">
        <f>SUM('FC - 3FS'!Z81:Z83)</f>
        <v>9672</v>
      </c>
      <c r="T39" s="612">
        <f>SUM('FC - 3FS'!AA81:AA83)</f>
        <v>9046</v>
      </c>
      <c r="U39" s="953">
        <f>SUM('FC - 3FS'!AP81:AP83)</f>
        <v>9046</v>
      </c>
      <c r="V39" s="612">
        <f>SUM('FC - 3FS'!AB81:AB83)</f>
        <v>9093</v>
      </c>
      <c r="W39" s="612">
        <f>SUM('FC - 3FS'!AC81:AC83)</f>
        <v>11162</v>
      </c>
      <c r="X39" s="612">
        <f>SUM('FC - 3FS'!AD81:AD83)</f>
        <v>16295</v>
      </c>
      <c r="Y39" s="940">
        <f>SUM('FC - 3FS'!AE81:AE83)</f>
        <v>16298.636508514195</v>
      </c>
      <c r="Z39" s="979">
        <f>SUM('FC - 3FS'!AQ81:AQ83)</f>
        <v>16298.636508514195</v>
      </c>
      <c r="AA39" s="940">
        <f>SUM('FC - 3FS'!AF81:AF83)</f>
        <v>16372.322867656938</v>
      </c>
      <c r="AB39" s="940">
        <f>SUM('FC - 3FS'!AG81:AG83)</f>
        <v>16489.625913149335</v>
      </c>
      <c r="AC39" s="940">
        <f>SUM('FC - 3FS'!AH81:AH83)</f>
        <v>16591.705561477367</v>
      </c>
      <c r="AD39" s="970">
        <f>SUM('FC - 3FS'!AI81:AI83)</f>
        <v>16699.875348791902</v>
      </c>
      <c r="AE39" s="979">
        <f>SUM('FC - 3FS'!AR81:AR83)</f>
        <v>16699.875348791902</v>
      </c>
      <c r="AH39" s="2" t="b">
        <f t="shared" si="24"/>
        <v>1</v>
      </c>
      <c r="AI39" s="2" t="b">
        <f t="shared" si="25"/>
        <v>1</v>
      </c>
      <c r="AJ39" s="2" t="b">
        <f t="shared" si="26"/>
        <v>1</v>
      </c>
      <c r="AK39" s="2" t="b">
        <f t="shared" si="27"/>
        <v>1</v>
      </c>
      <c r="AL39" s="2" t="b">
        <f t="shared" si="28"/>
        <v>1</v>
      </c>
      <c r="AM39" s="2" t="b">
        <f t="shared" si="29"/>
        <v>1</v>
      </c>
    </row>
    <row r="40" spans="1:39" ht="12.75" thickBot="1" x14ac:dyDescent="0.25">
      <c r="A40" s="677" t="s">
        <v>51</v>
      </c>
      <c r="B40" s="945">
        <f>+SUM(B33:B39)</f>
        <v>203332</v>
      </c>
      <c r="C40" s="221">
        <f t="shared" ref="C40:AD40" si="30">+SUM(C33:C39)</f>
        <v>204124</v>
      </c>
      <c r="D40" s="221">
        <f t="shared" si="30"/>
        <v>202125</v>
      </c>
      <c r="E40" s="221">
        <f t="shared" si="30"/>
        <v>206563</v>
      </c>
      <c r="F40" s="958">
        <f t="shared" ref="F40" si="31">+SUM(F33:F39)</f>
        <v>206563</v>
      </c>
      <c r="G40" s="221">
        <f t="shared" si="30"/>
        <v>210653</v>
      </c>
      <c r="H40" s="221">
        <f t="shared" si="30"/>
        <v>209463</v>
      </c>
      <c r="I40" s="221">
        <f t="shared" si="30"/>
        <v>213499</v>
      </c>
      <c r="J40" s="221">
        <f t="shared" si="30"/>
        <v>211338</v>
      </c>
      <c r="K40" s="958">
        <f t="shared" ref="K40" si="32">+SUM(K33:K39)</f>
        <v>211338</v>
      </c>
      <c r="L40" s="221">
        <f t="shared" si="30"/>
        <v>210173</v>
      </c>
      <c r="M40" s="221">
        <f t="shared" si="30"/>
        <v>210602</v>
      </c>
      <c r="N40" s="221">
        <f t="shared" si="30"/>
        <v>208579</v>
      </c>
      <c r="O40" s="221">
        <f t="shared" si="30"/>
        <v>207682</v>
      </c>
      <c r="P40" s="958">
        <f t="shared" ref="P40" si="33">+SUM(P33:P39)</f>
        <v>207682</v>
      </c>
      <c r="Q40" s="221">
        <f t="shared" si="30"/>
        <v>206268</v>
      </c>
      <c r="R40" s="221">
        <f t="shared" si="30"/>
        <v>208557</v>
      </c>
      <c r="S40" s="221">
        <f t="shared" si="30"/>
        <v>210742</v>
      </c>
      <c r="T40" s="221">
        <f t="shared" si="30"/>
        <v>208035</v>
      </c>
      <c r="U40" s="958">
        <f t="shared" ref="U40" si="34">+SUM(U33:U39)</f>
        <v>208035</v>
      </c>
      <c r="V40" s="221">
        <f t="shared" si="30"/>
        <v>214633</v>
      </c>
      <c r="W40" s="221">
        <f t="shared" si="30"/>
        <v>212643</v>
      </c>
      <c r="X40" s="221">
        <f t="shared" si="30"/>
        <v>217180</v>
      </c>
      <c r="Y40" s="381">
        <f t="shared" si="30"/>
        <v>217094.88497208263</v>
      </c>
      <c r="Z40" s="985">
        <f t="shared" ref="Z40" si="35">+SUM(Z33:Z39)</f>
        <v>217094.88497208263</v>
      </c>
      <c r="AA40" s="381">
        <f t="shared" si="30"/>
        <v>216990.70595864786</v>
      </c>
      <c r="AB40" s="381">
        <f t="shared" si="30"/>
        <v>218407.95322764164</v>
      </c>
      <c r="AC40" s="381">
        <f t="shared" si="30"/>
        <v>223655.76384846857</v>
      </c>
      <c r="AD40" s="922">
        <f t="shared" si="30"/>
        <v>226938.33831272629</v>
      </c>
      <c r="AE40" s="985">
        <f t="shared" ref="AE40" si="36">+SUM(AE33:AE39)</f>
        <v>226938.33831272629</v>
      </c>
      <c r="AH40" s="2" t="b">
        <f t="shared" si="24"/>
        <v>1</v>
      </c>
      <c r="AI40" s="2" t="b">
        <f t="shared" si="25"/>
        <v>1</v>
      </c>
      <c r="AJ40" s="2" t="b">
        <f t="shared" si="26"/>
        <v>1</v>
      </c>
      <c r="AK40" s="2" t="b">
        <f t="shared" si="27"/>
        <v>1</v>
      </c>
      <c r="AL40" s="2" t="b">
        <f t="shared" si="28"/>
        <v>1</v>
      </c>
      <c r="AM40" s="2" t="b">
        <f t="shared" si="29"/>
        <v>1</v>
      </c>
    </row>
    <row r="41" spans="1:39" x14ac:dyDescent="0.2">
      <c r="A41" s="594" t="s">
        <v>732</v>
      </c>
      <c r="B41" s="632">
        <f>+'FC - 3FS'!L88+'FC - 3FS'!L89</f>
        <v>4423</v>
      </c>
      <c r="C41" s="612">
        <f>+'FC - 3FS'!M88+'FC - 3FS'!M89</f>
        <v>6883</v>
      </c>
      <c r="D41" s="612">
        <f>+'FC - 3FS'!N88+'FC - 3FS'!N89</f>
        <v>4336</v>
      </c>
      <c r="E41" s="612">
        <f>+'FC - 3FS'!O88+'FC - 3FS'!O89</f>
        <v>5623</v>
      </c>
      <c r="F41" s="953">
        <f>+'FC - 3FS'!AM88+'FC - 3FS'!AM89</f>
        <v>5623</v>
      </c>
      <c r="G41" s="612">
        <f>+'FC - 3FS'!P88+'FC - 3FS'!P89</f>
        <v>4115</v>
      </c>
      <c r="H41" s="612">
        <f>+'FC - 3FS'!Q88+'FC - 3FS'!Q89</f>
        <v>2942</v>
      </c>
      <c r="I41" s="612">
        <f>+'FC - 3FS'!R88+'FC - 3FS'!R89</f>
        <v>7398</v>
      </c>
      <c r="J41" s="612">
        <f>+'FC - 3FS'!S88+'FC - 3FS'!S89</f>
        <v>5164</v>
      </c>
      <c r="K41" s="953">
        <f>+'FC - 3FS'!AN88+'FC - 3FS'!AN89</f>
        <v>5164</v>
      </c>
      <c r="L41" s="612">
        <f>+'FC - 3FS'!T88+'FC - 3FS'!T89</f>
        <v>5215</v>
      </c>
      <c r="M41" s="612">
        <f>+'FC - 3FS'!U88+'FC - 3FS'!U89</f>
        <v>7731</v>
      </c>
      <c r="N41" s="612">
        <f>+'FC - 3FS'!V88+'FC - 3FS'!V89</f>
        <v>3437</v>
      </c>
      <c r="O41" s="612">
        <f>+'FC - 3FS'!W88+'FC - 3FS'!W89</f>
        <v>3619</v>
      </c>
      <c r="P41" s="953">
        <f>+'FC - 3FS'!AO88+'FC - 3FS'!AO89</f>
        <v>3619</v>
      </c>
      <c r="Q41" s="612">
        <f>+'FC - 3FS'!X88+'FC - 3FS'!X89</f>
        <v>5356</v>
      </c>
      <c r="R41" s="612">
        <f>+'FC - 3FS'!Y88+'FC - 3FS'!Y89</f>
        <v>5867</v>
      </c>
      <c r="S41" s="612">
        <f>+'FC - 3FS'!Z88+'FC - 3FS'!Z89</f>
        <v>5851</v>
      </c>
      <c r="T41" s="612">
        <f>+'FC - 3FS'!AA88+'FC - 3FS'!AA89</f>
        <v>4068</v>
      </c>
      <c r="U41" s="953">
        <f>+'FC - 3FS'!AP88+'FC - 3FS'!AP89</f>
        <v>4068</v>
      </c>
      <c r="V41" s="612">
        <f>+'FC - 3FS'!AB88+'FC - 3FS'!AB89</f>
        <v>8214</v>
      </c>
      <c r="W41" s="612">
        <f>+'FC - 3FS'!AC88+'FC - 3FS'!AC89</f>
        <v>6408</v>
      </c>
      <c r="X41" s="612">
        <f>+'FC - 3FS'!AD88+'FC - 3FS'!AD89</f>
        <v>6333</v>
      </c>
      <c r="Y41" s="940">
        <f>+'FC - 3FS'!AE88+'FC - 3FS'!AE89</f>
        <v>6333</v>
      </c>
      <c r="Z41" s="979">
        <f>+'FC - 3FS'!AQ88+'FC - 3FS'!AQ89</f>
        <v>6333</v>
      </c>
      <c r="AA41" s="940">
        <f>+'FC - 3FS'!AF88+'FC - 3FS'!AF89</f>
        <v>6333</v>
      </c>
      <c r="AB41" s="940">
        <f>+'FC - 3FS'!AG88+'FC - 3FS'!AG89</f>
        <v>6333</v>
      </c>
      <c r="AC41" s="940">
        <f>+'FC - 3FS'!AH88+'FC - 3FS'!AH89</f>
        <v>6333</v>
      </c>
      <c r="AD41" s="970">
        <f>+'FC - 3FS'!AI88+'FC - 3FS'!AI89</f>
        <v>6333</v>
      </c>
      <c r="AE41" s="979">
        <f>+'FC - 3FS'!AR88+'FC - 3FS'!AR89</f>
        <v>6333</v>
      </c>
      <c r="AH41" s="2" t="b">
        <f t="shared" si="24"/>
        <v>1</v>
      </c>
      <c r="AI41" s="2" t="b">
        <f t="shared" si="25"/>
        <v>1</v>
      </c>
      <c r="AJ41" s="2" t="b">
        <f t="shared" si="26"/>
        <v>1</v>
      </c>
      <c r="AK41" s="2" t="b">
        <f t="shared" si="27"/>
        <v>1</v>
      </c>
      <c r="AL41" s="2" t="b">
        <f t="shared" si="28"/>
        <v>1</v>
      </c>
      <c r="AM41" s="2" t="b">
        <f t="shared" si="29"/>
        <v>1</v>
      </c>
    </row>
    <row r="42" spans="1:39" x14ac:dyDescent="0.2">
      <c r="A42" s="671" t="s">
        <v>59</v>
      </c>
      <c r="B42" s="632">
        <f>+'FC - 3FS'!L92</f>
        <v>1013</v>
      </c>
      <c r="C42" s="612">
        <f>+'FC - 3FS'!M92</f>
        <v>1045</v>
      </c>
      <c r="D42" s="612">
        <f>+'FC - 3FS'!N92</f>
        <v>1154</v>
      </c>
      <c r="E42" s="612">
        <f>+'FC - 3FS'!O92</f>
        <v>1120</v>
      </c>
      <c r="F42" s="953">
        <f>+'FC - 3FS'!AM92</f>
        <v>1120</v>
      </c>
      <c r="G42" s="612">
        <f>+'FC - 3FS'!P92</f>
        <v>1121</v>
      </c>
      <c r="H42" s="612">
        <f>+'FC - 3FS'!Q92</f>
        <v>1220</v>
      </c>
      <c r="I42" s="612">
        <f>+'FC - 3FS'!R92</f>
        <v>1239</v>
      </c>
      <c r="J42" s="612">
        <f>+'FC - 3FS'!S92</f>
        <v>1161</v>
      </c>
      <c r="K42" s="953">
        <f>+'FC - 3FS'!AN92</f>
        <v>1161</v>
      </c>
      <c r="L42" s="612">
        <f>+'FC - 3FS'!T92</f>
        <v>1180</v>
      </c>
      <c r="M42" s="612">
        <f>+'FC - 3FS'!U92</f>
        <v>1220</v>
      </c>
      <c r="N42" s="612">
        <f>+'FC - 3FS'!V92</f>
        <v>1286</v>
      </c>
      <c r="O42" s="612">
        <f>+'FC - 3FS'!W92</f>
        <v>1260</v>
      </c>
      <c r="P42" s="953">
        <f>+'FC - 3FS'!AO92</f>
        <v>1260</v>
      </c>
      <c r="Q42" s="612">
        <f>+'FC - 3FS'!X92</f>
        <v>1265</v>
      </c>
      <c r="R42" s="612">
        <f>+'FC - 3FS'!Y92</f>
        <v>1252</v>
      </c>
      <c r="S42" s="612">
        <f>+'FC - 3FS'!Z92</f>
        <v>1252</v>
      </c>
      <c r="T42" s="612">
        <f>+'FC - 3FS'!AA92</f>
        <v>1175</v>
      </c>
      <c r="U42" s="953">
        <f>+'FC - 3FS'!AP92</f>
        <v>1175</v>
      </c>
      <c r="V42" s="612">
        <f>+'FC - 3FS'!AB92</f>
        <v>1136</v>
      </c>
      <c r="W42" s="612">
        <f>+'FC - 3FS'!AC92</f>
        <v>1157</v>
      </c>
      <c r="X42" s="612">
        <f>+'FC - 3FS'!AD92</f>
        <v>1157</v>
      </c>
      <c r="Y42" s="940">
        <f>+'FC - 3FS'!AE92</f>
        <v>1159.7826136728443</v>
      </c>
      <c r="Z42" s="979">
        <f>+'FC - 3FS'!AQ92</f>
        <v>1159.7826136728443</v>
      </c>
      <c r="AA42" s="940">
        <f>+'FC - 3FS'!AF92</f>
        <v>1165.2130595625238</v>
      </c>
      <c r="AB42" s="940">
        <f>+'FC - 3FS'!AG92</f>
        <v>1173.5949789938411</v>
      </c>
      <c r="AC42" s="940">
        <f>+'FC - 3FS'!AH92</f>
        <v>1183.5946955439463</v>
      </c>
      <c r="AD42" s="970">
        <f>+'FC - 3FS'!AI92</f>
        <v>1194.7128616672721</v>
      </c>
      <c r="AE42" s="979">
        <f>+'FC - 3FS'!AR92</f>
        <v>1194.7128616672721</v>
      </c>
      <c r="AH42" s="2" t="b">
        <f t="shared" si="24"/>
        <v>1</v>
      </c>
      <c r="AI42" s="2" t="b">
        <f t="shared" si="25"/>
        <v>1</v>
      </c>
      <c r="AJ42" s="2" t="b">
        <f t="shared" si="26"/>
        <v>1</v>
      </c>
      <c r="AK42" s="2" t="b">
        <f t="shared" si="27"/>
        <v>1</v>
      </c>
      <c r="AL42" s="2" t="b">
        <f t="shared" si="28"/>
        <v>1</v>
      </c>
      <c r="AM42" s="2" t="b">
        <f t="shared" si="29"/>
        <v>1</v>
      </c>
    </row>
    <row r="43" spans="1:39" x14ac:dyDescent="0.2">
      <c r="A43" s="594" t="s">
        <v>60</v>
      </c>
      <c r="B43" s="632">
        <f>+SUM('FC - 3FS'!L87,'FC - 3FS'!L90,'FC - 3FS'!L91,'FC - 3FS'!L93)</f>
        <v>14059</v>
      </c>
      <c r="C43" s="612">
        <f>+SUM('FC - 3FS'!M87,'FC - 3FS'!M90,'FC - 3FS'!M91,'FC - 3FS'!M93)</f>
        <v>13909</v>
      </c>
      <c r="D43" s="612">
        <f>+SUM('FC - 3FS'!N87,'FC - 3FS'!N90,'FC - 3FS'!N91,'FC - 3FS'!N93)</f>
        <v>13757</v>
      </c>
      <c r="E43" s="612">
        <f>+SUM('FC - 3FS'!O87,'FC - 3FS'!O90,'FC - 3FS'!O91,'FC - 3FS'!O93)</f>
        <v>16756</v>
      </c>
      <c r="F43" s="953">
        <f>+SUM('FC - 3FS'!AM87,'FC - 3FS'!AM90,'FC - 3FS'!AM91,'FC - 3FS'!AM93)</f>
        <v>16756</v>
      </c>
      <c r="G43" s="612">
        <f>+SUM('FC - 3FS'!P87,'FC - 3FS'!P90,'FC - 3FS'!P91,'FC - 3FS'!P93)</f>
        <v>16187</v>
      </c>
      <c r="H43" s="612">
        <f>+SUM('FC - 3FS'!Q87,'FC - 3FS'!Q90,'FC - 3FS'!Q91,'FC - 3FS'!Q93)</f>
        <v>16460</v>
      </c>
      <c r="I43" s="612">
        <f>+SUM('FC - 3FS'!R87,'FC - 3FS'!R90,'FC - 3FS'!R91,'FC - 3FS'!R93)</f>
        <v>17725</v>
      </c>
      <c r="J43" s="612">
        <f>+SUM('FC - 3FS'!S87,'FC - 3FS'!S90,'FC - 3FS'!S91,'FC - 3FS'!S93)</f>
        <v>18417</v>
      </c>
      <c r="K43" s="953">
        <f>+SUM('FC - 3FS'!AN87,'FC - 3FS'!AN90,'FC - 3FS'!AN91,'FC - 3FS'!AN93)</f>
        <v>18417</v>
      </c>
      <c r="L43" s="612">
        <f>+SUM('FC - 3FS'!T87,'FC - 3FS'!T90,'FC - 3FS'!T91,'FC - 3FS'!T93)</f>
        <v>17451</v>
      </c>
      <c r="M43" s="612">
        <f>+SUM('FC - 3FS'!U87,'FC - 3FS'!U90,'FC - 3FS'!U91,'FC - 3FS'!U93)</f>
        <v>15618</v>
      </c>
      <c r="N43" s="612">
        <f>+SUM('FC - 3FS'!V87,'FC - 3FS'!V90,'FC - 3FS'!V91,'FC - 3FS'!V93)</f>
        <v>16988</v>
      </c>
      <c r="O43" s="612">
        <f>+SUM('FC - 3FS'!W87,'FC - 3FS'!W90,'FC - 3FS'!W91,'FC - 3FS'!W93)</f>
        <v>16049</v>
      </c>
      <c r="P43" s="953">
        <f>+SUM('FC - 3FS'!AO87,'FC - 3FS'!AO90,'FC - 3FS'!AO91,'FC - 3FS'!AO93)</f>
        <v>16049</v>
      </c>
      <c r="Q43" s="612">
        <f>+SUM('FC - 3FS'!X87,'FC - 3FS'!X90,'FC - 3FS'!X91,'FC - 3FS'!X93)</f>
        <v>13942</v>
      </c>
      <c r="R43" s="612">
        <f>+SUM('FC - 3FS'!Y87,'FC - 3FS'!Y90,'FC - 3FS'!Y91,'FC - 3FS'!Y93)</f>
        <v>15919</v>
      </c>
      <c r="S43" s="612">
        <f>+SUM('FC - 3FS'!Z87,'FC - 3FS'!Z90,'FC - 3FS'!Z91,'FC - 3FS'!Z93)</f>
        <v>13852</v>
      </c>
      <c r="T43" s="612">
        <f>+SUM('FC - 3FS'!AA87,'FC - 3FS'!AA90,'FC - 3FS'!AA91,'FC - 3FS'!AA93)</f>
        <v>14931</v>
      </c>
      <c r="U43" s="953">
        <f>+SUM('FC - 3FS'!AP87,'FC - 3FS'!AP90,'FC - 3FS'!AP91,'FC - 3FS'!AP93)</f>
        <v>14931</v>
      </c>
      <c r="V43" s="612">
        <f>+SUM('FC - 3FS'!AB87,'FC - 3FS'!AB90,'FC - 3FS'!AB91,'FC - 3FS'!AB93)</f>
        <v>14279</v>
      </c>
      <c r="W43" s="612">
        <f>+SUM('FC - 3FS'!AC87,'FC - 3FS'!AC90,'FC - 3FS'!AC91,'FC - 3FS'!AC93)</f>
        <v>14537</v>
      </c>
      <c r="X43" s="612">
        <f>+SUM('FC - 3FS'!AD87,'FC - 3FS'!AD90,'FC - 3FS'!AD91,'FC - 3FS'!AD93)</f>
        <v>16811</v>
      </c>
      <c r="Y43" s="940">
        <f>+SUM('FC - 3FS'!AE87,'FC - 3FS'!AE90,'FC - 3FS'!AE91,'FC - 3FS'!AE93)</f>
        <v>16204.002667213397</v>
      </c>
      <c r="Z43" s="979">
        <f>+SUM('FC - 3FS'!AQ87,'FC - 3FS'!AQ90,'FC - 3FS'!AQ91,'FC - 3FS'!AQ93)</f>
        <v>16204.002667213397</v>
      </c>
      <c r="AA43" s="940">
        <f>+SUM('FC - 3FS'!AF87,'FC - 3FS'!AF90,'FC - 3FS'!AF91,'FC - 3FS'!AF93)</f>
        <v>15235.393202299194</v>
      </c>
      <c r="AB43" s="940">
        <f>+SUM('FC - 3FS'!AG87,'FC - 3FS'!AG90,'FC - 3FS'!AG91,'FC - 3FS'!AG93)</f>
        <v>15284.423256748114</v>
      </c>
      <c r="AC43" s="940">
        <f>+SUM('FC - 3FS'!AH87,'FC - 3FS'!AH90,'FC - 3FS'!AH91,'FC - 3FS'!AH93)</f>
        <v>16936.214401290665</v>
      </c>
      <c r="AD43" s="970">
        <f>+SUM('FC - 3FS'!AI87,'FC - 3FS'!AI90,'FC - 3FS'!AI91,'FC - 3FS'!AI93)</f>
        <v>16950.535564150363</v>
      </c>
      <c r="AE43" s="979">
        <f>+SUM('FC - 3FS'!AR87,'FC - 3FS'!AR90,'FC - 3FS'!AR91,'FC - 3FS'!AR93)</f>
        <v>16950.535564150363</v>
      </c>
      <c r="AH43" s="2" t="b">
        <f t="shared" si="24"/>
        <v>1</v>
      </c>
      <c r="AI43" s="2" t="b">
        <f t="shared" si="25"/>
        <v>1</v>
      </c>
      <c r="AJ43" s="2" t="b">
        <f t="shared" si="26"/>
        <v>1</v>
      </c>
      <c r="AK43" s="2" t="b">
        <f t="shared" si="27"/>
        <v>1</v>
      </c>
      <c r="AL43" s="2" t="b">
        <f t="shared" si="28"/>
        <v>1</v>
      </c>
      <c r="AM43" s="2" t="b">
        <f t="shared" si="29"/>
        <v>1</v>
      </c>
    </row>
    <row r="44" spans="1:39" x14ac:dyDescent="0.2">
      <c r="A44" s="679" t="s">
        <v>61</v>
      </c>
      <c r="B44" s="632">
        <f>+SUM(B41:B43)</f>
        <v>19495</v>
      </c>
      <c r="C44" s="612">
        <f t="shared" ref="C44:AD44" si="37">+SUM(C41:C43)</f>
        <v>21837</v>
      </c>
      <c r="D44" s="612">
        <f t="shared" si="37"/>
        <v>19247</v>
      </c>
      <c r="E44" s="612">
        <f t="shared" si="37"/>
        <v>23499</v>
      </c>
      <c r="F44" s="953">
        <f t="shared" ref="F44" si="38">+SUM(F41:F43)</f>
        <v>23499</v>
      </c>
      <c r="G44" s="612">
        <f t="shared" si="37"/>
        <v>21423</v>
      </c>
      <c r="H44" s="612">
        <f t="shared" si="37"/>
        <v>20622</v>
      </c>
      <c r="I44" s="612">
        <f t="shared" si="37"/>
        <v>26362</v>
      </c>
      <c r="J44" s="612">
        <f t="shared" si="37"/>
        <v>24742</v>
      </c>
      <c r="K44" s="953">
        <f t="shared" ref="K44" si="39">+SUM(K41:K43)</f>
        <v>24742</v>
      </c>
      <c r="L44" s="612">
        <f t="shared" si="37"/>
        <v>23846</v>
      </c>
      <c r="M44" s="612">
        <f t="shared" si="37"/>
        <v>24569</v>
      </c>
      <c r="N44" s="612">
        <f t="shared" si="37"/>
        <v>21711</v>
      </c>
      <c r="O44" s="612">
        <f t="shared" si="37"/>
        <v>20928</v>
      </c>
      <c r="P44" s="953">
        <f t="shared" ref="P44" si="40">+SUM(P41:P43)</f>
        <v>20928</v>
      </c>
      <c r="Q44" s="612">
        <f t="shared" si="37"/>
        <v>20563</v>
      </c>
      <c r="R44" s="612">
        <f t="shared" si="37"/>
        <v>23038</v>
      </c>
      <c r="S44" s="612">
        <f t="shared" si="37"/>
        <v>20955</v>
      </c>
      <c r="T44" s="612">
        <f t="shared" si="37"/>
        <v>20174</v>
      </c>
      <c r="U44" s="953">
        <f t="shared" ref="U44" si="41">+SUM(U41:U43)</f>
        <v>20174</v>
      </c>
      <c r="V44" s="612">
        <f t="shared" si="37"/>
        <v>23629</v>
      </c>
      <c r="W44" s="612">
        <f t="shared" si="37"/>
        <v>22102</v>
      </c>
      <c r="X44" s="612">
        <f t="shared" si="37"/>
        <v>24301</v>
      </c>
      <c r="Y44" s="940">
        <f t="shared" si="37"/>
        <v>23696.785280886241</v>
      </c>
      <c r="Z44" s="979">
        <f t="shared" ref="Z44" si="42">+SUM(Z41:Z43)</f>
        <v>23696.785280886241</v>
      </c>
      <c r="AA44" s="940">
        <f t="shared" si="37"/>
        <v>22733.606261861718</v>
      </c>
      <c r="AB44" s="940">
        <f t="shared" si="37"/>
        <v>22791.018235741954</v>
      </c>
      <c r="AC44" s="940">
        <f t="shared" si="37"/>
        <v>24452.809096834611</v>
      </c>
      <c r="AD44" s="970">
        <f t="shared" si="37"/>
        <v>24478.248425817634</v>
      </c>
      <c r="AE44" s="979">
        <f t="shared" ref="AE44" si="43">+SUM(AE41:AE43)</f>
        <v>24478.248425817634</v>
      </c>
      <c r="AH44" s="2" t="b">
        <f t="shared" si="24"/>
        <v>1</v>
      </c>
      <c r="AI44" s="2" t="b">
        <f t="shared" si="25"/>
        <v>1</v>
      </c>
      <c r="AJ44" s="2" t="b">
        <f t="shared" si="26"/>
        <v>1</v>
      </c>
      <c r="AK44" s="2" t="b">
        <f t="shared" si="27"/>
        <v>1</v>
      </c>
      <c r="AL44" s="2" t="b">
        <f t="shared" si="28"/>
        <v>1</v>
      </c>
      <c r="AM44" s="2" t="b">
        <f t="shared" si="29"/>
        <v>1</v>
      </c>
    </row>
    <row r="45" spans="1:39" x14ac:dyDescent="0.2">
      <c r="A45" s="594" t="s">
        <v>733</v>
      </c>
      <c r="B45" s="632">
        <f>+'FC - 3FS'!L96+'FC - 3FS'!L95</f>
        <v>71116</v>
      </c>
      <c r="C45" s="612">
        <f>+'FC - 3FS'!M96+'FC - 3FS'!M95</f>
        <v>68387</v>
      </c>
      <c r="D45" s="612">
        <f>+'FC - 3FS'!N96+'FC - 3FS'!N95</f>
        <v>68139</v>
      </c>
      <c r="E45" s="612">
        <f>+'FC - 3FS'!O96+'FC - 3FS'!O95</f>
        <v>68570</v>
      </c>
      <c r="F45" s="953">
        <f>+'FC - 3FS'!AM96+'FC - 3FS'!AM95</f>
        <v>68570</v>
      </c>
      <c r="G45" s="612">
        <f>+'FC - 3FS'!P96+'FC - 3FS'!P95</f>
        <v>68355</v>
      </c>
      <c r="H45" s="612">
        <f>+'FC - 3FS'!Q96+'FC - 3FS'!Q95</f>
        <v>68047</v>
      </c>
      <c r="I45" s="612">
        <f>+'FC - 3FS'!R96+'FC - 3FS'!R95</f>
        <v>66329</v>
      </c>
      <c r="J45" s="612">
        <f>+'FC - 3FS'!S96+'FC - 3FS'!S95</f>
        <v>66796</v>
      </c>
      <c r="K45" s="953">
        <f>+'FC - 3FS'!AN96+'FC - 3FS'!AN95</f>
        <v>66796</v>
      </c>
      <c r="L45" s="612">
        <f>+'FC - 3FS'!T96+'FC - 3FS'!T95</f>
        <v>69530</v>
      </c>
      <c r="M45" s="612">
        <f>+'FC - 3FS'!U96+'FC - 3FS'!U95</f>
        <v>70141</v>
      </c>
      <c r="N45" s="612">
        <f>+'FC - 3FS'!V96+'FC - 3FS'!V95</f>
        <v>71861</v>
      </c>
      <c r="O45" s="612">
        <f>+'FC - 3FS'!W96+'FC - 3FS'!W95</f>
        <v>71399</v>
      </c>
      <c r="P45" s="953">
        <f>+'FC - 3FS'!AO96+'FC - 3FS'!AO95</f>
        <v>71399</v>
      </c>
      <c r="Q45" s="612">
        <f>+'FC - 3FS'!X96+'FC - 3FS'!X95</f>
        <v>72857</v>
      </c>
      <c r="R45" s="612">
        <f>+'FC - 3FS'!Y96+'FC - 3FS'!Y95</f>
        <v>71699</v>
      </c>
      <c r="S45" s="612">
        <f>+'FC - 3FS'!Z96+'FC - 3FS'!Z95</f>
        <v>74019</v>
      </c>
      <c r="T45" s="612">
        <f>+'FC - 3FS'!AA96+'FC - 3FS'!AA95</f>
        <v>74197</v>
      </c>
      <c r="U45" s="953">
        <f>+'FC - 3FS'!AP96+'FC - 3FS'!AP95</f>
        <v>74197</v>
      </c>
      <c r="V45" s="612">
        <f>+'FC - 3FS'!AB96+'FC - 3FS'!AB95</f>
        <v>77530</v>
      </c>
      <c r="W45" s="612">
        <f>+'FC - 3FS'!AC96+'FC - 3FS'!AC95</f>
        <v>76515</v>
      </c>
      <c r="X45" s="612">
        <f>+'FC - 3FS'!AD96+'FC - 3FS'!AD95</f>
        <v>77863</v>
      </c>
      <c r="Y45" s="940">
        <f>+'FC - 3FS'!AE96+'FC - 3FS'!AE95</f>
        <v>77595.29946343854</v>
      </c>
      <c r="Z45" s="979">
        <f>+'FC - 3FS'!AQ96+'FC - 3FS'!AQ95</f>
        <v>77595.29946343854</v>
      </c>
      <c r="AA45" s="940">
        <f>+'FC - 3FS'!AF96+'FC - 3FS'!AF95</f>
        <v>79116.123386016698</v>
      </c>
      <c r="AB45" s="940">
        <f>+'FC - 3FS'!AG96+'FC - 3FS'!AG95</f>
        <v>80667.635394690704</v>
      </c>
      <c r="AC45" s="940">
        <f>+'FC - 3FS'!AH96+'FC - 3FS'!AH95</f>
        <v>82250.45473184243</v>
      </c>
      <c r="AD45" s="970">
        <f>+'FC - 3FS'!AI96+'FC - 3FS'!AI95</f>
        <v>83865.213135293379</v>
      </c>
      <c r="AE45" s="979">
        <f>+'FC - 3FS'!AR96+'FC - 3FS'!AR95</f>
        <v>83865.213135293379</v>
      </c>
      <c r="AH45" s="2" t="b">
        <f t="shared" si="24"/>
        <v>1</v>
      </c>
      <c r="AI45" s="2" t="b">
        <f t="shared" si="25"/>
        <v>1</v>
      </c>
      <c r="AJ45" s="2" t="b">
        <f t="shared" si="26"/>
        <v>1</v>
      </c>
      <c r="AK45" s="2" t="b">
        <f t="shared" si="27"/>
        <v>1</v>
      </c>
      <c r="AL45" s="2" t="b">
        <f t="shared" si="28"/>
        <v>1</v>
      </c>
      <c r="AM45" s="2" t="b">
        <f t="shared" si="29"/>
        <v>1</v>
      </c>
    </row>
    <row r="46" spans="1:39" x14ac:dyDescent="0.2">
      <c r="A46" s="594" t="s">
        <v>67</v>
      </c>
      <c r="B46" s="632">
        <f>+'FC - 3FS'!L100</f>
        <v>1316</v>
      </c>
      <c r="C46" s="612">
        <f>+'FC - 3FS'!M100</f>
        <v>1376</v>
      </c>
      <c r="D46" s="612">
        <f>+'FC - 3FS'!N100</f>
        <v>1587</v>
      </c>
      <c r="E46" s="612">
        <f>+'FC - 3FS'!O100</f>
        <v>1455</v>
      </c>
      <c r="F46" s="953">
        <f>+'FC - 3FS'!AM100</f>
        <v>1455</v>
      </c>
      <c r="G46" s="612">
        <f>+'FC - 3FS'!P100</f>
        <v>1447</v>
      </c>
      <c r="H46" s="612">
        <f>+'FC - 3FS'!Q100</f>
        <v>1597</v>
      </c>
      <c r="I46" s="612">
        <f>+'FC - 3FS'!R100</f>
        <v>1590</v>
      </c>
      <c r="J46" s="612">
        <f>+'FC - 3FS'!S100</f>
        <v>1370</v>
      </c>
      <c r="K46" s="953">
        <f>+'FC - 3FS'!AN100</f>
        <v>1370</v>
      </c>
      <c r="L46" s="612">
        <f>+'FC - 3FS'!T100</f>
        <v>1284</v>
      </c>
      <c r="M46" s="612">
        <f>+'FC - 3FS'!U100</f>
        <v>1254</v>
      </c>
      <c r="N46" s="612">
        <f>+'FC - 3FS'!V100</f>
        <v>1273</v>
      </c>
      <c r="O46" s="612">
        <f>+'FC - 3FS'!W100</f>
        <v>1236</v>
      </c>
      <c r="P46" s="953">
        <f>+'FC - 3FS'!AO100</f>
        <v>1236</v>
      </c>
      <c r="Q46" s="612">
        <f>+'FC - 3FS'!X100</f>
        <v>1163</v>
      </c>
      <c r="R46" s="612">
        <f>+'FC - 3FS'!Y100</f>
        <v>1133</v>
      </c>
      <c r="S46" s="612">
        <f>+'FC - 3FS'!Z100</f>
        <v>1185</v>
      </c>
      <c r="T46" s="612">
        <f>+'FC - 3FS'!AA100</f>
        <v>1151</v>
      </c>
      <c r="U46" s="953">
        <f>+'FC - 3FS'!AP100</f>
        <v>1151</v>
      </c>
      <c r="V46" s="612">
        <f>+'FC - 3FS'!AB100</f>
        <v>1117</v>
      </c>
      <c r="W46" s="612">
        <f>+'FC - 3FS'!AC100</f>
        <v>1188</v>
      </c>
      <c r="X46" s="612">
        <f>+'FC - 3FS'!AD100</f>
        <v>1186</v>
      </c>
      <c r="Y46" s="940">
        <f>+'FC - 3FS'!AE100</f>
        <v>1188.852359391524</v>
      </c>
      <c r="Z46" s="979">
        <f>+'FC - 3FS'!AQ100</f>
        <v>1188.852359391524</v>
      </c>
      <c r="AA46" s="940">
        <f>+'FC - 3FS'!AF100</f>
        <v>1194.4189184452491</v>
      </c>
      <c r="AB46" s="940">
        <f>+'FC - 3FS'!AG100</f>
        <v>1203.010929201984</v>
      </c>
      <c r="AC46" s="940">
        <f>+'FC - 3FS'!AH100</f>
        <v>1213.2612868756441</v>
      </c>
      <c r="AD46" s="970">
        <f>+'FC - 3FS'!AI100</f>
        <v>1224.6581278629083</v>
      </c>
      <c r="AE46" s="979">
        <f>+'FC - 3FS'!AR100</f>
        <v>1224.6581278629083</v>
      </c>
      <c r="AH46" s="2" t="b">
        <f t="shared" si="24"/>
        <v>1</v>
      </c>
      <c r="AI46" s="2" t="b">
        <f t="shared" si="25"/>
        <v>1</v>
      </c>
      <c r="AJ46" s="2" t="b">
        <f t="shared" si="26"/>
        <v>1</v>
      </c>
      <c r="AK46" s="2" t="b">
        <f t="shared" si="27"/>
        <v>1</v>
      </c>
      <c r="AL46" s="2" t="b">
        <f t="shared" si="28"/>
        <v>1</v>
      </c>
      <c r="AM46" s="2" t="b">
        <f t="shared" si="29"/>
        <v>1</v>
      </c>
    </row>
    <row r="47" spans="1:39" x14ac:dyDescent="0.2">
      <c r="A47" s="594" t="s">
        <v>68</v>
      </c>
      <c r="B47" s="632">
        <f>+SUM('FC - 3FS'!L97,'FC - 3FS'!L98,'FC - 3FS'!L99,'FC - 3FS'!L101)</f>
        <v>45028</v>
      </c>
      <c r="C47" s="612">
        <f>+SUM('FC - 3FS'!M97,'FC - 3FS'!M98,'FC - 3FS'!M99,'FC - 3FS'!M101)</f>
        <v>45054</v>
      </c>
      <c r="D47" s="612">
        <f>+SUM('FC - 3FS'!N97,'FC - 3FS'!N98,'FC - 3FS'!N99,'FC - 3FS'!N101)</f>
        <v>44725</v>
      </c>
      <c r="E47" s="612">
        <f>+SUM('FC - 3FS'!O97,'FC - 3FS'!O98,'FC - 3FS'!O99,'FC - 3FS'!O101)</f>
        <v>43937</v>
      </c>
      <c r="F47" s="953">
        <f>+SUM('FC - 3FS'!AM97,'FC - 3FS'!AM98,'FC - 3FS'!AM99,'FC - 3FS'!AM101)</f>
        <v>43937</v>
      </c>
      <c r="G47" s="612">
        <f>+SUM('FC - 3FS'!P97,'FC - 3FS'!P98,'FC - 3FS'!P99,'FC - 3FS'!P101)</f>
        <v>49452</v>
      </c>
      <c r="H47" s="612">
        <f>+SUM('FC - 3FS'!Q97,'FC - 3FS'!Q98,'FC - 3FS'!Q99,'FC - 3FS'!Q101)</f>
        <v>49163</v>
      </c>
      <c r="I47" s="612">
        <f>+SUM('FC - 3FS'!R97,'FC - 3FS'!R98,'FC - 3FS'!R99,'FC - 3FS'!R101)</f>
        <v>49068</v>
      </c>
      <c r="J47" s="612">
        <f>+SUM('FC - 3FS'!S97,'FC - 3FS'!S98,'FC - 3FS'!S99,'FC - 3FS'!S101)</f>
        <v>48774</v>
      </c>
      <c r="K47" s="953">
        <f>+SUM('FC - 3FS'!AN97,'FC - 3FS'!AN98,'FC - 3FS'!AN99,'FC - 3FS'!AN101)</f>
        <v>48774</v>
      </c>
      <c r="L47" s="612">
        <f>+SUM('FC - 3FS'!T97,'FC - 3FS'!T98,'FC - 3FS'!T99,'FC - 3FS'!T101)</f>
        <v>48588</v>
      </c>
      <c r="M47" s="612">
        <f>+SUM('FC - 3FS'!U97,'FC - 3FS'!U98,'FC - 3FS'!U99,'FC - 3FS'!U101)</f>
        <v>48888</v>
      </c>
      <c r="N47" s="612">
        <f>+SUM('FC - 3FS'!V97,'FC - 3FS'!V98,'FC - 3FS'!V99,'FC - 3FS'!V101)</f>
        <v>49036</v>
      </c>
      <c r="O47" s="612">
        <f>+SUM('FC - 3FS'!W97,'FC - 3FS'!W98,'FC - 3FS'!W99,'FC - 3FS'!W101)</f>
        <v>49404</v>
      </c>
      <c r="P47" s="953">
        <f>+SUM('FC - 3FS'!AO97,'FC - 3FS'!AO98,'FC - 3FS'!AO99,'FC - 3FS'!AO101)</f>
        <v>49404</v>
      </c>
      <c r="Q47" s="612">
        <f>+SUM('FC - 3FS'!X97,'FC - 3FS'!X98,'FC - 3FS'!X99,'FC - 3FS'!X101)</f>
        <v>49611</v>
      </c>
      <c r="R47" s="612">
        <f>+SUM('FC - 3FS'!Y97,'FC - 3FS'!Y98,'FC - 3FS'!Y99,'FC - 3FS'!Y101)</f>
        <v>50051</v>
      </c>
      <c r="S47" s="612">
        <f>+SUM('FC - 3FS'!Z97,'FC - 3FS'!Z98,'FC - 3FS'!Z99,'FC - 3FS'!Z101)</f>
        <v>50333</v>
      </c>
      <c r="T47" s="612">
        <f>+SUM('FC - 3FS'!AA97,'FC - 3FS'!AA98,'FC - 3FS'!AA99,'FC - 3FS'!AA101)</f>
        <v>50772</v>
      </c>
      <c r="U47" s="953">
        <f>+SUM('FC - 3FS'!AP97,'FC - 3FS'!AP98,'FC - 3FS'!AP99,'FC - 3FS'!AP101)</f>
        <v>50772</v>
      </c>
      <c r="V47" s="612">
        <f>+SUM('FC - 3FS'!AB97,'FC - 3FS'!AB98,'FC - 3FS'!AB99,'FC - 3FS'!AB101)</f>
        <v>51252</v>
      </c>
      <c r="W47" s="612">
        <f>+SUM('FC - 3FS'!AC97,'FC - 3FS'!AC98,'FC - 3FS'!AC99,'FC - 3FS'!AC101)</f>
        <v>51731</v>
      </c>
      <c r="X47" s="612">
        <f>+SUM('FC - 3FS'!AD97,'FC - 3FS'!AD98,'FC - 3FS'!AD99,'FC - 3FS'!AD101)</f>
        <v>53353</v>
      </c>
      <c r="Y47" s="940">
        <f>+SUM('FC - 3FS'!AE97,'FC - 3FS'!AE98,'FC - 3FS'!AE99,'FC - 3FS'!AE101)</f>
        <v>55216.862674795702</v>
      </c>
      <c r="Z47" s="979">
        <f>+SUM('FC - 3FS'!AQ97,'FC - 3FS'!AQ98,'FC - 3FS'!AQ99,'FC - 3FS'!AQ101)</f>
        <v>55216.862674795702</v>
      </c>
      <c r="AA47" s="940">
        <f>+SUM('FC - 3FS'!AF97,'FC - 3FS'!AF98,'FC - 3FS'!AF99,'FC - 3FS'!AF101)</f>
        <v>55103.547658432777</v>
      </c>
      <c r="AB47" s="940">
        <f>+SUM('FC - 3FS'!AG97,'FC - 3FS'!AG98,'FC - 3FS'!AG99,'FC - 3FS'!AG101)</f>
        <v>55112.836611563922</v>
      </c>
      <c r="AC47" s="940">
        <f>+SUM('FC - 3FS'!AH97,'FC - 3FS'!AH98,'FC - 3FS'!AH99,'FC - 3FS'!AH101)</f>
        <v>57488.607960654736</v>
      </c>
      <c r="AD47" s="970">
        <f>+SUM('FC - 3FS'!AI97,'FC - 3FS'!AI98,'FC - 3FS'!AI99,'FC - 3FS'!AI101)</f>
        <v>59725.747017747111</v>
      </c>
      <c r="AE47" s="979">
        <f>+SUM('FC - 3FS'!AR97,'FC - 3FS'!AR98,'FC - 3FS'!AR99,'FC - 3FS'!AR101)</f>
        <v>59725.747017747111</v>
      </c>
      <c r="AH47" s="2" t="b">
        <f t="shared" si="24"/>
        <v>1</v>
      </c>
      <c r="AI47" s="2" t="b">
        <f t="shared" si="25"/>
        <v>1</v>
      </c>
      <c r="AJ47" s="2" t="b">
        <f t="shared" si="26"/>
        <v>1</v>
      </c>
      <c r="AK47" s="2" t="b">
        <f t="shared" si="27"/>
        <v>1</v>
      </c>
      <c r="AL47" s="2" t="b">
        <f t="shared" si="28"/>
        <v>1</v>
      </c>
      <c r="AM47" s="2" t="b">
        <f t="shared" si="29"/>
        <v>1</v>
      </c>
    </row>
    <row r="48" spans="1:39" x14ac:dyDescent="0.2">
      <c r="A48" s="679" t="s">
        <v>69</v>
      </c>
      <c r="B48" s="632">
        <f>+SUM(B45:B47)</f>
        <v>117460</v>
      </c>
      <c r="C48" s="612">
        <f t="shared" ref="C48:AD48" si="44">+SUM(C45:C47)</f>
        <v>114817</v>
      </c>
      <c r="D48" s="612">
        <f t="shared" si="44"/>
        <v>114451</v>
      </c>
      <c r="E48" s="612">
        <f t="shared" si="44"/>
        <v>113962</v>
      </c>
      <c r="F48" s="953">
        <f t="shared" ref="F48" si="45">+SUM(F45:F47)</f>
        <v>113962</v>
      </c>
      <c r="G48" s="612">
        <f t="shared" si="44"/>
        <v>119254</v>
      </c>
      <c r="H48" s="612">
        <f t="shared" si="44"/>
        <v>118807</v>
      </c>
      <c r="I48" s="612">
        <f t="shared" si="44"/>
        <v>116987</v>
      </c>
      <c r="J48" s="612">
        <f t="shared" si="44"/>
        <v>116940</v>
      </c>
      <c r="K48" s="953">
        <f t="shared" ref="K48" si="46">+SUM(K45:K47)</f>
        <v>116940</v>
      </c>
      <c r="L48" s="612">
        <f t="shared" si="44"/>
        <v>119402</v>
      </c>
      <c r="M48" s="612">
        <f t="shared" si="44"/>
        <v>120283</v>
      </c>
      <c r="N48" s="612">
        <f t="shared" si="44"/>
        <v>122170</v>
      </c>
      <c r="O48" s="612">
        <f t="shared" si="44"/>
        <v>122039</v>
      </c>
      <c r="P48" s="953">
        <f t="shared" ref="P48" si="47">+SUM(P45:P47)</f>
        <v>122039</v>
      </c>
      <c r="Q48" s="612">
        <f t="shared" si="44"/>
        <v>123631</v>
      </c>
      <c r="R48" s="612">
        <f t="shared" si="44"/>
        <v>122883</v>
      </c>
      <c r="S48" s="612">
        <f t="shared" si="44"/>
        <v>125537</v>
      </c>
      <c r="T48" s="612">
        <f t="shared" si="44"/>
        <v>126120</v>
      </c>
      <c r="U48" s="953">
        <f t="shared" ref="U48" si="48">+SUM(U45:U47)</f>
        <v>126120</v>
      </c>
      <c r="V48" s="612">
        <f t="shared" si="44"/>
        <v>129899</v>
      </c>
      <c r="W48" s="612">
        <f t="shared" si="44"/>
        <v>129434</v>
      </c>
      <c r="X48" s="612">
        <f t="shared" si="44"/>
        <v>132402</v>
      </c>
      <c r="Y48" s="940">
        <f t="shared" si="44"/>
        <v>134001.01449762576</v>
      </c>
      <c r="Z48" s="979">
        <f t="shared" ref="Z48" si="49">+SUM(Z45:Z47)</f>
        <v>134001.01449762576</v>
      </c>
      <c r="AA48" s="940">
        <f t="shared" si="44"/>
        <v>135414.08996289474</v>
      </c>
      <c r="AB48" s="940">
        <f t="shared" si="44"/>
        <v>136983.48293545662</v>
      </c>
      <c r="AC48" s="940">
        <f t="shared" si="44"/>
        <v>140952.3239793728</v>
      </c>
      <c r="AD48" s="970">
        <f t="shared" si="44"/>
        <v>144815.61828090338</v>
      </c>
      <c r="AE48" s="979">
        <f t="shared" ref="AE48" si="50">+SUM(AE45:AE47)</f>
        <v>144815.61828090338</v>
      </c>
      <c r="AH48" s="2" t="b">
        <f t="shared" si="24"/>
        <v>1</v>
      </c>
      <c r="AI48" s="2" t="b">
        <f t="shared" si="25"/>
        <v>1</v>
      </c>
      <c r="AJ48" s="2" t="b">
        <f t="shared" si="26"/>
        <v>1</v>
      </c>
      <c r="AK48" s="2" t="b">
        <f t="shared" si="27"/>
        <v>1</v>
      </c>
      <c r="AL48" s="2" t="b">
        <f t="shared" si="28"/>
        <v>1</v>
      </c>
      <c r="AM48" s="2" t="b">
        <f t="shared" si="29"/>
        <v>1</v>
      </c>
    </row>
    <row r="49" spans="1:39" ht="12.75" thickBot="1" x14ac:dyDescent="0.25">
      <c r="A49" s="680" t="s">
        <v>76</v>
      </c>
      <c r="B49" s="948">
        <f>'FC - 3FS'!L110</f>
        <v>66377</v>
      </c>
      <c r="C49" s="665">
        <f>'FC - 3FS'!M110</f>
        <v>67470</v>
      </c>
      <c r="D49" s="665">
        <f>'FC - 3FS'!N110</f>
        <v>68427</v>
      </c>
      <c r="E49" s="665">
        <f>'FC - 3FS'!O110</f>
        <v>69102</v>
      </c>
      <c r="F49" s="961">
        <f>'FC - 3FS'!AM110</f>
        <v>69102</v>
      </c>
      <c r="G49" s="665">
        <f>'FC - 3FS'!P110</f>
        <v>69976</v>
      </c>
      <c r="H49" s="665">
        <f>'FC - 3FS'!Q110</f>
        <v>70034</v>
      </c>
      <c r="I49" s="665">
        <f>'FC - 3FS'!R110</f>
        <v>70150</v>
      </c>
      <c r="J49" s="665">
        <f>'FC - 3FS'!S110</f>
        <v>69656</v>
      </c>
      <c r="K49" s="961">
        <f>'FC - 3FS'!AN110</f>
        <v>69656</v>
      </c>
      <c r="L49" s="665">
        <f>'FC - 3FS'!T110</f>
        <v>66925</v>
      </c>
      <c r="M49" s="665">
        <f>'FC - 3FS'!U110</f>
        <v>65750</v>
      </c>
      <c r="N49" s="665">
        <f>'FC - 3FS'!V110</f>
        <v>64698</v>
      </c>
      <c r="O49" s="665">
        <f>'FC - 3FS'!W110</f>
        <v>64715</v>
      </c>
      <c r="P49" s="961">
        <f>'FC - 3FS'!AO110</f>
        <v>64715</v>
      </c>
      <c r="Q49" s="665">
        <f>'FC - 3FS'!X110</f>
        <v>62074</v>
      </c>
      <c r="R49" s="665">
        <f>'FC - 3FS'!Y110</f>
        <v>62636</v>
      </c>
      <c r="S49" s="665">
        <f>'FC - 3FS'!Z110</f>
        <v>64250</v>
      </c>
      <c r="T49" s="665">
        <f>'FC - 3FS'!AA110</f>
        <v>61741</v>
      </c>
      <c r="U49" s="961">
        <f>'FC - 3FS'!AP110</f>
        <v>61741</v>
      </c>
      <c r="V49" s="665">
        <f>'FC - 3FS'!AB110</f>
        <v>61105</v>
      </c>
      <c r="W49" s="665">
        <f>'FC - 3FS'!AC110</f>
        <v>61107</v>
      </c>
      <c r="X49" s="665">
        <f>'FC - 3FS'!AD110</f>
        <v>60477</v>
      </c>
      <c r="Y49" s="938">
        <f>'FC - 3FS'!AE110</f>
        <v>59397.085193570601</v>
      </c>
      <c r="Z49" s="988">
        <f>'FC - 3FS'!AQ110</f>
        <v>59397.085193570601</v>
      </c>
      <c r="AA49" s="938">
        <f>'FC - 3FS'!AF110</f>
        <v>58843.009733891406</v>
      </c>
      <c r="AB49" s="938">
        <f>'FC - 3FS'!AG110</f>
        <v>58633.4520564431</v>
      </c>
      <c r="AC49" s="938">
        <f>'FC - 3FS'!AH110</f>
        <v>58250.630772261167</v>
      </c>
      <c r="AD49" s="975">
        <f>'FC - 3FS'!AI110</f>
        <v>57644.471606005267</v>
      </c>
      <c r="AE49" s="988">
        <f>'FC - 3FS'!AR110</f>
        <v>57644.471606005267</v>
      </c>
      <c r="AH49" s="2" t="b">
        <f t="shared" si="24"/>
        <v>1</v>
      </c>
      <c r="AI49" s="2" t="b">
        <f t="shared" si="25"/>
        <v>1</v>
      </c>
      <c r="AJ49" s="2" t="b">
        <f t="shared" si="26"/>
        <v>1</v>
      </c>
      <c r="AK49" s="2" t="b">
        <f t="shared" si="27"/>
        <v>1</v>
      </c>
      <c r="AL49" s="2" t="b">
        <f t="shared" si="28"/>
        <v>1</v>
      </c>
      <c r="AM49" s="2" t="b">
        <f t="shared" si="29"/>
        <v>1</v>
      </c>
    </row>
    <row r="50" spans="1:39" x14ac:dyDescent="0.2">
      <c r="A50" s="681" t="s">
        <v>77</v>
      </c>
      <c r="B50" s="949">
        <f>B49+B48+B44</f>
        <v>203332</v>
      </c>
      <c r="C50" s="666">
        <f t="shared" ref="C50:AE50" si="51">C49+C48+C44</f>
        <v>204124</v>
      </c>
      <c r="D50" s="666">
        <f t="shared" si="51"/>
        <v>202125</v>
      </c>
      <c r="E50" s="666">
        <f t="shared" si="51"/>
        <v>206563</v>
      </c>
      <c r="F50" s="962">
        <f t="shared" si="51"/>
        <v>206563</v>
      </c>
      <c r="G50" s="666">
        <f t="shared" si="51"/>
        <v>210653</v>
      </c>
      <c r="H50" s="666">
        <f t="shared" si="51"/>
        <v>209463</v>
      </c>
      <c r="I50" s="666">
        <f t="shared" si="51"/>
        <v>213499</v>
      </c>
      <c r="J50" s="666">
        <f t="shared" si="51"/>
        <v>211338</v>
      </c>
      <c r="K50" s="962">
        <f t="shared" si="51"/>
        <v>211338</v>
      </c>
      <c r="L50" s="666">
        <f t="shared" si="51"/>
        <v>210173</v>
      </c>
      <c r="M50" s="666">
        <f t="shared" si="51"/>
        <v>210602</v>
      </c>
      <c r="N50" s="666">
        <f t="shared" si="51"/>
        <v>208579</v>
      </c>
      <c r="O50" s="666">
        <f t="shared" si="51"/>
        <v>207682</v>
      </c>
      <c r="P50" s="962">
        <f t="shared" si="51"/>
        <v>207682</v>
      </c>
      <c r="Q50" s="666">
        <f t="shared" si="51"/>
        <v>206268</v>
      </c>
      <c r="R50" s="666">
        <f t="shared" si="51"/>
        <v>208557</v>
      </c>
      <c r="S50" s="666">
        <f t="shared" si="51"/>
        <v>210742</v>
      </c>
      <c r="T50" s="666">
        <f t="shared" si="51"/>
        <v>208035</v>
      </c>
      <c r="U50" s="962">
        <f t="shared" si="51"/>
        <v>208035</v>
      </c>
      <c r="V50" s="666">
        <f t="shared" si="51"/>
        <v>214633</v>
      </c>
      <c r="W50" s="666">
        <f t="shared" si="51"/>
        <v>212643</v>
      </c>
      <c r="X50" s="666">
        <f t="shared" si="51"/>
        <v>217180</v>
      </c>
      <c r="Y50" s="939">
        <f t="shared" si="51"/>
        <v>217094.8849720826</v>
      </c>
      <c r="Z50" s="989">
        <f t="shared" si="51"/>
        <v>217094.8849720826</v>
      </c>
      <c r="AA50" s="939">
        <f t="shared" si="51"/>
        <v>216990.70595864786</v>
      </c>
      <c r="AB50" s="939">
        <f t="shared" si="51"/>
        <v>218407.95322764164</v>
      </c>
      <c r="AC50" s="939">
        <f t="shared" si="51"/>
        <v>223655.7638484686</v>
      </c>
      <c r="AD50" s="976">
        <f t="shared" si="51"/>
        <v>226938.33831272629</v>
      </c>
      <c r="AE50" s="989">
        <f t="shared" si="51"/>
        <v>226938.33831272629</v>
      </c>
      <c r="AH50" s="2" t="b">
        <f t="shared" si="24"/>
        <v>1</v>
      </c>
      <c r="AI50" s="2" t="b">
        <f t="shared" si="25"/>
        <v>1</v>
      </c>
      <c r="AJ50" s="2" t="b">
        <f t="shared" si="26"/>
        <v>1</v>
      </c>
      <c r="AK50" s="2" t="b">
        <f t="shared" si="27"/>
        <v>1</v>
      </c>
      <c r="AL50" s="2" t="b">
        <f t="shared" si="28"/>
        <v>1</v>
      </c>
      <c r="AM50" s="2" t="b">
        <f t="shared" si="29"/>
        <v>1</v>
      </c>
    </row>
    <row r="51" spans="1:39" x14ac:dyDescent="0.2">
      <c r="A51" s="594"/>
      <c r="B51" s="855">
        <f>+B40-B50</f>
        <v>0</v>
      </c>
      <c r="C51" s="5">
        <f t="shared" ref="C51:AE51" si="52">+C40-C50</f>
        <v>0</v>
      </c>
      <c r="D51" s="5">
        <f t="shared" si="52"/>
        <v>0</v>
      </c>
      <c r="E51" s="5">
        <f t="shared" si="52"/>
        <v>0</v>
      </c>
      <c r="F51" s="957">
        <f t="shared" si="52"/>
        <v>0</v>
      </c>
      <c r="G51" s="5">
        <f t="shared" si="52"/>
        <v>0</v>
      </c>
      <c r="H51" s="5">
        <f t="shared" si="52"/>
        <v>0</v>
      </c>
      <c r="I51" s="5">
        <f t="shared" si="52"/>
        <v>0</v>
      </c>
      <c r="J51" s="5">
        <f t="shared" si="52"/>
        <v>0</v>
      </c>
      <c r="K51" s="957">
        <f t="shared" si="52"/>
        <v>0</v>
      </c>
      <c r="L51" s="5">
        <f t="shared" si="52"/>
        <v>0</v>
      </c>
      <c r="M51" s="5">
        <f t="shared" si="52"/>
        <v>0</v>
      </c>
      <c r="N51" s="5">
        <f t="shared" si="52"/>
        <v>0</v>
      </c>
      <c r="O51" s="5">
        <f t="shared" si="52"/>
        <v>0</v>
      </c>
      <c r="P51" s="957">
        <f t="shared" si="52"/>
        <v>0</v>
      </c>
      <c r="Q51" s="5">
        <f t="shared" si="52"/>
        <v>0</v>
      </c>
      <c r="R51" s="5">
        <f t="shared" si="52"/>
        <v>0</v>
      </c>
      <c r="S51" s="5">
        <f t="shared" si="52"/>
        <v>0</v>
      </c>
      <c r="T51" s="5">
        <f t="shared" si="52"/>
        <v>0</v>
      </c>
      <c r="U51" s="957">
        <f t="shared" si="52"/>
        <v>0</v>
      </c>
      <c r="V51" s="5">
        <f t="shared" si="52"/>
        <v>0</v>
      </c>
      <c r="W51" s="5">
        <f t="shared" si="52"/>
        <v>0</v>
      </c>
      <c r="X51" s="5">
        <f t="shared" si="52"/>
        <v>0</v>
      </c>
      <c r="Y51" s="379">
        <f t="shared" si="52"/>
        <v>0</v>
      </c>
      <c r="Z51" s="984">
        <f t="shared" si="52"/>
        <v>0</v>
      </c>
      <c r="AA51" s="379">
        <f t="shared" si="52"/>
        <v>0</v>
      </c>
      <c r="AB51" s="379">
        <f t="shared" si="52"/>
        <v>0</v>
      </c>
      <c r="AC51" s="379">
        <f t="shared" si="52"/>
        <v>0</v>
      </c>
      <c r="AD51" s="921">
        <f t="shared" si="52"/>
        <v>0</v>
      </c>
      <c r="AE51" s="984">
        <f t="shared" si="52"/>
        <v>0</v>
      </c>
    </row>
    <row r="52" spans="1:39" x14ac:dyDescent="0.2">
      <c r="A52" s="670" t="s">
        <v>82</v>
      </c>
      <c r="B52" s="846"/>
      <c r="C52" s="172"/>
      <c r="D52" s="172"/>
      <c r="E52" s="172"/>
      <c r="F52" s="952"/>
      <c r="G52" s="172"/>
      <c r="H52" s="172"/>
      <c r="I52" s="172"/>
      <c r="J52" s="172"/>
      <c r="K52" s="952"/>
      <c r="L52" s="172"/>
      <c r="M52" s="172"/>
      <c r="N52" s="172"/>
      <c r="O52" s="172"/>
      <c r="P52" s="952"/>
      <c r="Q52" s="172"/>
      <c r="R52" s="172"/>
      <c r="S52" s="172"/>
      <c r="T52" s="172"/>
      <c r="U52" s="952"/>
      <c r="V52" s="172"/>
      <c r="W52" s="172"/>
      <c r="X52" s="172"/>
      <c r="Y52" s="172"/>
      <c r="Z52" s="952"/>
      <c r="AA52" s="172"/>
      <c r="AB52" s="172"/>
      <c r="AC52" s="172"/>
      <c r="AD52" s="864"/>
      <c r="AE52" s="952"/>
    </row>
    <row r="53" spans="1:39" x14ac:dyDescent="0.2">
      <c r="A53" s="682" t="s">
        <v>738</v>
      </c>
      <c r="B53" s="632">
        <f>+'FC - 3FS'!L140</f>
        <v>3661</v>
      </c>
      <c r="C53" s="612">
        <f>+'FC - 3FS'!M140</f>
        <v>3779</v>
      </c>
      <c r="D53" s="612">
        <f>+'FC - 3FS'!N140</f>
        <v>3477</v>
      </c>
      <c r="E53" s="612">
        <f>+'FC - 3FS'!O140</f>
        <v>3000</v>
      </c>
      <c r="F53" s="953">
        <f>+'FC - 3FS'!AM140</f>
        <v>13917</v>
      </c>
      <c r="G53" s="612">
        <f>+'FC - 3FS'!P140</f>
        <v>3845</v>
      </c>
      <c r="H53" s="612">
        <f>+'FC - 3FS'!Q140</f>
        <v>4209</v>
      </c>
      <c r="I53" s="612">
        <f>+'FC - 3FS'!R140</f>
        <v>4391</v>
      </c>
      <c r="J53" s="612">
        <f>+'FC - 3FS'!S140</f>
        <v>4336</v>
      </c>
      <c r="K53" s="953">
        <f>+'FC - 3FS'!AN140</f>
        <v>16781</v>
      </c>
      <c r="L53" s="612">
        <f>+'FC - 3FS'!T140</f>
        <v>4051</v>
      </c>
      <c r="M53" s="612">
        <f>+'FC - 3FS'!U140</f>
        <v>4355</v>
      </c>
      <c r="N53" s="612">
        <f>+'FC - 3FS'!V140</f>
        <v>5294</v>
      </c>
      <c r="O53" s="612">
        <f>+'FC - 3FS'!W140</f>
        <v>4859</v>
      </c>
      <c r="P53" s="953">
        <f>+'FC - 3FS'!AO140</f>
        <v>18559</v>
      </c>
      <c r="Q53" s="612">
        <f>+'FC - 3FS'!X140</f>
        <v>5084</v>
      </c>
      <c r="R53" s="612">
        <f>+'FC - 3FS'!Y140</f>
        <v>5521</v>
      </c>
      <c r="S53" s="612">
        <f>+'FC - 3FS'!Z140</f>
        <v>6139</v>
      </c>
      <c r="T53" s="612">
        <f>+'FC - 3FS'!AA140</f>
        <v>5549</v>
      </c>
      <c r="U53" s="953">
        <f>+'FC - 3FS'!AP140</f>
        <v>22293</v>
      </c>
      <c r="V53" s="612">
        <f>+'FC - 3FS'!AB140</f>
        <v>6847</v>
      </c>
      <c r="W53" s="612">
        <f>+'FC - 3FS'!AC140</f>
        <v>6992</v>
      </c>
      <c r="X53" s="612">
        <f>+'FC - 3FS'!AD140</f>
        <v>7457</v>
      </c>
      <c r="Y53" s="940">
        <f>+'FC - 3FS'!AE140</f>
        <v>6550.8662944174084</v>
      </c>
      <c r="Z53" s="979">
        <f>+'FC - 3FS'!AQ140</f>
        <v>27846.866294417403</v>
      </c>
      <c r="AA53" s="940">
        <f>+'FC - 3FS'!AF140</f>
        <v>6823.675099698331</v>
      </c>
      <c r="AB53" s="940">
        <f>+'FC - 3FS'!AG140</f>
        <v>7968.6218902029132</v>
      </c>
      <c r="AC53" s="940">
        <f>+'FC - 3FS'!AH140</f>
        <v>8840.6826037118626</v>
      </c>
      <c r="AD53" s="970">
        <f>+'FC - 3FS'!AI140</f>
        <v>7880.2163786350357</v>
      </c>
      <c r="AE53" s="979">
        <f>+'FC - 3FS'!AR140</f>
        <v>31513.195972248137</v>
      </c>
      <c r="AH53" s="2" t="b">
        <f>+ROUND(SUM(B53:E53),1)=ROUND(F53,1)</f>
        <v>1</v>
      </c>
      <c r="AI53" s="2" t="b">
        <f>+SUM(G53:J53)=K53</f>
        <v>1</v>
      </c>
      <c r="AJ53" s="2" t="b">
        <f>+SUM(L53:O53)=P53</f>
        <v>1</v>
      </c>
      <c r="AK53" s="2" t="b">
        <f>+SUM(Q53:T53)=U53</f>
        <v>1</v>
      </c>
      <c r="AL53" s="2" t="b">
        <f>+SUM(V53:Y53)=Z53</f>
        <v>1</v>
      </c>
      <c r="AM53" s="2" t="b">
        <f>+SUM(AA53:AD53)=AE53</f>
        <v>1</v>
      </c>
    </row>
    <row r="54" spans="1:39" x14ac:dyDescent="0.2">
      <c r="A54" s="682" t="s">
        <v>740</v>
      </c>
      <c r="B54" s="632">
        <f>+'FC - 3FS'!L148</f>
        <v>-11239</v>
      </c>
      <c r="C54" s="612">
        <f>+'FC - 3FS'!M148</f>
        <v>-2083</v>
      </c>
      <c r="D54" s="612">
        <f>+'FC - 3FS'!N148</f>
        <v>-4152</v>
      </c>
      <c r="E54" s="612">
        <f>+'FC - 3FS'!O148</f>
        <v>-1912</v>
      </c>
      <c r="F54" s="953">
        <f>+'FC - 3FS'!AM148</f>
        <v>-19386</v>
      </c>
      <c r="G54" s="612">
        <f>+'FC - 3FS'!P148</f>
        <v>-5092</v>
      </c>
      <c r="H54" s="612">
        <f>+'FC - 3FS'!Q148</f>
        <v>-2559</v>
      </c>
      <c r="I54" s="612">
        <f>+'FC - 3FS'!R148</f>
        <v>-2555</v>
      </c>
      <c r="J54" s="612">
        <f>+'FC - 3FS'!S148</f>
        <v>-2153</v>
      </c>
      <c r="K54" s="953">
        <f>+'FC - 3FS'!AN148</f>
        <v>-12359</v>
      </c>
      <c r="L54" s="612">
        <f>+'FC - 3FS'!T148</f>
        <v>-1728</v>
      </c>
      <c r="M54" s="612">
        <f>+'FC - 3FS'!U148</f>
        <v>-1487</v>
      </c>
      <c r="N54" s="612">
        <f>+'FC - 3FS'!V148</f>
        <v>-1393</v>
      </c>
      <c r="O54" s="612">
        <f>+'FC - 3FS'!W148</f>
        <v>-1221</v>
      </c>
      <c r="P54" s="953">
        <f>+'FC - 3FS'!AO148</f>
        <v>-5829</v>
      </c>
      <c r="Q54" s="612">
        <f>+'FC - 3FS'!X148</f>
        <v>-1787</v>
      </c>
      <c r="R54" s="612">
        <f>+'FC - 3FS'!Y148</f>
        <v>-1678</v>
      </c>
      <c r="S54" s="612">
        <f>+'FC - 3FS'!Z148</f>
        <v>-3307</v>
      </c>
      <c r="T54" s="612">
        <f>+'FC - 3FS'!AA148</f>
        <v>-2300</v>
      </c>
      <c r="U54" s="953">
        <f>+'FC - 3FS'!AP148</f>
        <v>-9072</v>
      </c>
      <c r="V54" s="612">
        <f>+'FC - 3FS'!AB148</f>
        <v>-3409</v>
      </c>
      <c r="W54" s="612">
        <f>+'FC - 3FS'!AC148</f>
        <v>-1559</v>
      </c>
      <c r="X54" s="612">
        <f>+'FC - 3FS'!AD148</f>
        <v>-10139</v>
      </c>
      <c r="Y54" s="940">
        <f>+'FC - 3FS'!AE148</f>
        <v>-4157.4500169602316</v>
      </c>
      <c r="Z54" s="979">
        <f>+'FC - 3FS'!AQ148</f>
        <v>-19264.450016960232</v>
      </c>
      <c r="AA54" s="940">
        <f>+'FC - 3FS'!AF148</f>
        <v>-4220.9603120683414</v>
      </c>
      <c r="AB54" s="940">
        <f>+'FC - 3FS'!AG148</f>
        <v>-4299.0320280340029</v>
      </c>
      <c r="AC54" s="940">
        <f>+'FC - 3FS'!AH148</f>
        <v>-4362.6279312363731</v>
      </c>
      <c r="AD54" s="970">
        <f>+'FC - 3FS'!AI148</f>
        <v>-4422.1802674817836</v>
      </c>
      <c r="AE54" s="979">
        <f>+'FC - 3FS'!AR148</f>
        <v>-17304.800538820498</v>
      </c>
      <c r="AH54" s="2" t="b">
        <f>+SUM(B54:E54)=F54</f>
        <v>1</v>
      </c>
      <c r="AI54" s="2" t="b">
        <f>+SUM(G54:J54)=K54</f>
        <v>1</v>
      </c>
      <c r="AJ54" s="2" t="b">
        <f>+SUM(L54:O54)=P54</f>
        <v>1</v>
      </c>
      <c r="AK54" s="2" t="b">
        <f>+SUM(Q54:T54)=U54</f>
        <v>1</v>
      </c>
      <c r="AL54" s="2" t="b">
        <f>+SUM(V54:Y54)=Z54</f>
        <v>1</v>
      </c>
      <c r="AM54" s="2" t="b">
        <f>+SUM(AA54:AD54)=AE54</f>
        <v>1</v>
      </c>
    </row>
    <row r="55" spans="1:39" x14ac:dyDescent="0.2">
      <c r="A55" s="682" t="s">
        <v>739</v>
      </c>
      <c r="B55" s="632">
        <f>+'FC - 3FS'!L161</f>
        <v>3874</v>
      </c>
      <c r="C55" s="612">
        <f>+'FC - 3FS'!M161</f>
        <v>-577</v>
      </c>
      <c r="D55" s="612">
        <f>+'FC - 3FS'!N161</f>
        <v>-3060</v>
      </c>
      <c r="E55" s="612">
        <f>+'FC - 3FS'!O161</f>
        <v>1472</v>
      </c>
      <c r="F55" s="953">
        <f>+'FC - 3FS'!AM161</f>
        <v>1709</v>
      </c>
      <c r="G55" s="612">
        <f>+'FC - 3FS'!P161</f>
        <v>-2136</v>
      </c>
      <c r="H55" s="612">
        <f>+'FC - 3FS'!Q161</f>
        <v>-1744</v>
      </c>
      <c r="I55" s="612">
        <f>+'FC - 3FS'!R161</f>
        <v>1927</v>
      </c>
      <c r="J55" s="612">
        <f>+'FC - 3FS'!S161</f>
        <v>-4498</v>
      </c>
      <c r="K55" s="953">
        <f>+'FC - 3FS'!AN161</f>
        <v>-6451</v>
      </c>
      <c r="L55" s="612">
        <f>+'FC - 3FS'!T161</f>
        <v>-2273</v>
      </c>
      <c r="M55" s="612">
        <f>+'FC - 3FS'!U161</f>
        <v>-784</v>
      </c>
      <c r="N55" s="612">
        <f>+'FC - 3FS'!V161</f>
        <v>-5510</v>
      </c>
      <c r="O55" s="612">
        <f>+'FC - 3FS'!W161</f>
        <v>-3530</v>
      </c>
      <c r="P55" s="953">
        <f>+'FC - 3FS'!AO161</f>
        <v>-12097</v>
      </c>
      <c r="Q55" s="612">
        <f>+'FC - 3FS'!X161</f>
        <v>-1666</v>
      </c>
      <c r="R55" s="612">
        <f>+'FC - 3FS'!Y161</f>
        <v>-4134</v>
      </c>
      <c r="S55" s="612">
        <f>+'FC - 3FS'!Z161</f>
        <v>507</v>
      </c>
      <c r="T55" s="612">
        <f>+'FC - 3FS'!AA161</f>
        <v>-7522</v>
      </c>
      <c r="U55" s="953">
        <f>+'FC - 3FS'!AP161</f>
        <v>-12815</v>
      </c>
      <c r="V55" s="612">
        <f>+'FC - 3FS'!AB161</f>
        <v>3193</v>
      </c>
      <c r="W55" s="612">
        <f>+'FC - 3FS'!AC161</f>
        <v>-7205</v>
      </c>
      <c r="X55" s="612">
        <f>+'FC - 3FS'!AD161</f>
        <v>-4238</v>
      </c>
      <c r="Y55" s="940">
        <f>+'FC - 3FS'!AE161</f>
        <v>-3845.0319634970901</v>
      </c>
      <c r="Z55" s="979">
        <f>+'FC - 3FS'!AQ161</f>
        <v>-12095.031963497087</v>
      </c>
      <c r="AA55" s="940">
        <f>+'FC - 3FS'!AF161</f>
        <v>-2286.071872478436</v>
      </c>
      <c r="AB55" s="940">
        <f>+'FC - 3FS'!AG161</f>
        <v>-2241.7236611379458</v>
      </c>
      <c r="AC55" s="940">
        <f>+'FC - 3FS'!AH161</f>
        <v>-2197.2617886245175</v>
      </c>
      <c r="AD55" s="970">
        <f>+'FC - 3FS'!AI161</f>
        <v>-2301.3185100784649</v>
      </c>
      <c r="AE55" s="979">
        <f>+'FC - 3FS'!AR161</f>
        <v>-9026.3758323193651</v>
      </c>
      <c r="AH55" s="2" t="b">
        <f>+SUM(B55:E55)=F55</f>
        <v>1</v>
      </c>
      <c r="AI55" s="2" t="b">
        <f>+SUM(G55:J55)=K55</f>
        <v>1</v>
      </c>
      <c r="AJ55" s="2" t="b">
        <f>+SUM(L55:O55)=P55</f>
        <v>1</v>
      </c>
      <c r="AK55" s="2" t="b">
        <f>ROUND(SUM(Q55:T55),1)=ROUND(U55,1)</f>
        <v>1</v>
      </c>
      <c r="AL55" s="2" t="b">
        <f>ROUND(SUM(V55:Y55),0)=ROUND(Z55,0)</f>
        <v>1</v>
      </c>
      <c r="AM55" s="2" t="b">
        <f>+ROUND(SUM(AA55:AD55),0)=ROUND(AE55,0)</f>
        <v>1</v>
      </c>
    </row>
    <row r="56" spans="1:39" x14ac:dyDescent="0.2">
      <c r="A56" s="683" t="s">
        <v>736</v>
      </c>
      <c r="B56" s="950">
        <f>+SUM(B53:B55)</f>
        <v>-3704</v>
      </c>
      <c r="C56" s="667">
        <f t="shared" ref="C56:AD56" si="53">+SUM(C53:C55)</f>
        <v>1119</v>
      </c>
      <c r="D56" s="667">
        <f t="shared" si="53"/>
        <v>-3735</v>
      </c>
      <c r="E56" s="667">
        <f t="shared" si="53"/>
        <v>2560</v>
      </c>
      <c r="F56" s="963">
        <f t="shared" ref="F56" si="54">+SUM(F53:F55)</f>
        <v>-3760</v>
      </c>
      <c r="G56" s="667">
        <f t="shared" si="53"/>
        <v>-3383</v>
      </c>
      <c r="H56" s="667">
        <f t="shared" si="53"/>
        <v>-94</v>
      </c>
      <c r="I56" s="667">
        <f t="shared" si="53"/>
        <v>3763</v>
      </c>
      <c r="J56" s="667">
        <f t="shared" si="53"/>
        <v>-2315</v>
      </c>
      <c r="K56" s="963">
        <f t="shared" ref="K56" si="55">+SUM(K53:K55)</f>
        <v>-2029</v>
      </c>
      <c r="L56" s="667">
        <f t="shared" si="53"/>
        <v>50</v>
      </c>
      <c r="M56" s="667">
        <f t="shared" si="53"/>
        <v>2084</v>
      </c>
      <c r="N56" s="667">
        <f t="shared" si="53"/>
        <v>-1609</v>
      </c>
      <c r="O56" s="667">
        <f t="shared" si="53"/>
        <v>108</v>
      </c>
      <c r="P56" s="963">
        <f t="shared" ref="P56" si="56">+SUM(P53:P55)</f>
        <v>633</v>
      </c>
      <c r="Q56" s="667">
        <f t="shared" si="53"/>
        <v>1631</v>
      </c>
      <c r="R56" s="667">
        <f t="shared" si="53"/>
        <v>-291</v>
      </c>
      <c r="S56" s="667">
        <f t="shared" si="53"/>
        <v>3339</v>
      </c>
      <c r="T56" s="667">
        <f t="shared" si="53"/>
        <v>-4273</v>
      </c>
      <c r="U56" s="963">
        <f t="shared" ref="U56" si="57">+SUM(U53:U55)</f>
        <v>406</v>
      </c>
      <c r="V56" s="667">
        <f t="shared" si="53"/>
        <v>6631</v>
      </c>
      <c r="W56" s="667">
        <f t="shared" si="53"/>
        <v>-1772</v>
      </c>
      <c r="X56" s="667">
        <f t="shared" si="53"/>
        <v>-6920</v>
      </c>
      <c r="Y56" s="941">
        <f t="shared" si="53"/>
        <v>-1451.6156860399133</v>
      </c>
      <c r="Z56" s="990">
        <f t="shared" ref="Z56" si="58">+SUM(Z53:Z55)</f>
        <v>-3512.6156860399169</v>
      </c>
      <c r="AA56" s="941">
        <f t="shared" si="53"/>
        <v>316.64291515155355</v>
      </c>
      <c r="AB56" s="941">
        <f t="shared" si="53"/>
        <v>1427.8662010309645</v>
      </c>
      <c r="AC56" s="941">
        <f t="shared" si="53"/>
        <v>2280.792883850972</v>
      </c>
      <c r="AD56" s="977">
        <f t="shared" si="53"/>
        <v>1156.7176010747871</v>
      </c>
      <c r="AE56" s="990">
        <f t="shared" ref="AE56" si="59">+SUM(AE53:AE55)</f>
        <v>5182.0196011082735</v>
      </c>
      <c r="AH56" s="2" t="b">
        <f>+SUM(B56:E56)=F56</f>
        <v>1</v>
      </c>
      <c r="AI56" s="2" t="b">
        <f>+SUM(G56:J56)=K56</f>
        <v>1</v>
      </c>
      <c r="AJ56" s="2" t="b">
        <f>+SUM(L56:O56)=P56</f>
        <v>1</v>
      </c>
      <c r="AK56" s="2" t="b">
        <f>+ROUND(SUM(Q56:T56),0)=ROUND(U56,0)</f>
        <v>1</v>
      </c>
      <c r="AL56" s="2" t="b">
        <f>ROUND(SUM(V56:Y56),0)=ROUND(Z56,0)</f>
        <v>1</v>
      </c>
      <c r="AM56" s="2" t="b">
        <f>ROUND(SUM(AA56:AD56),0)=ROUND(AE56,0)</f>
        <v>1</v>
      </c>
    </row>
    <row r="57" spans="1:39" x14ac:dyDescent="0.2">
      <c r="A57" s="671" t="s">
        <v>734</v>
      </c>
      <c r="B57" s="632">
        <f>+'FC - 3FS'!L164</f>
        <v>10463</v>
      </c>
      <c r="C57" s="612">
        <f>+'FC - 3FS'!M164</f>
        <v>6759</v>
      </c>
      <c r="D57" s="612">
        <f>+'FC - 3FS'!N164</f>
        <v>7878</v>
      </c>
      <c r="E57" s="612">
        <f>+'FC - 3FS'!O164</f>
        <v>4143</v>
      </c>
      <c r="F57" s="953">
        <f>+'FC - 3FS'!AM164</f>
        <v>10463</v>
      </c>
      <c r="G57" s="612">
        <f>+'FC - 3FS'!P164</f>
        <v>6703</v>
      </c>
      <c r="H57" s="612">
        <f>+'FC - 3FS'!Q164</f>
        <v>3320</v>
      </c>
      <c r="I57" s="612">
        <f>+'FC - 3FS'!R164</f>
        <v>3226</v>
      </c>
      <c r="J57" s="612">
        <f>+'FC - 3FS'!S164</f>
        <v>6989</v>
      </c>
      <c r="K57" s="953">
        <f>+'FC - 3FS'!AN164</f>
        <v>6703</v>
      </c>
      <c r="L57" s="612">
        <f>+'FC - 3FS'!T164</f>
        <v>4674</v>
      </c>
      <c r="M57" s="612">
        <f>+'FC - 3FS'!U164</f>
        <v>4724</v>
      </c>
      <c r="N57" s="612">
        <f>+'FC - 3FS'!V164</f>
        <v>6808</v>
      </c>
      <c r="O57" s="612">
        <f>+'FC - 3FS'!W164</f>
        <v>5199</v>
      </c>
      <c r="P57" s="953">
        <f>+'FC - 3FS'!AO164</f>
        <v>4674</v>
      </c>
      <c r="Q57" s="612">
        <f>+'FC - 3FS'!X164</f>
        <v>5307</v>
      </c>
      <c r="R57" s="612">
        <f>+'FC - 3FS'!Y164</f>
        <v>6938</v>
      </c>
      <c r="S57" s="612">
        <f>+'FC - 3FS'!Z164</f>
        <v>6647</v>
      </c>
      <c r="T57" s="612">
        <f>+'FC - 3FS'!AA164</f>
        <v>9986</v>
      </c>
      <c r="U57" s="953">
        <f>+'FC - 3FS'!AP164</f>
        <v>5307</v>
      </c>
      <c r="V57" s="612">
        <f>+'FC - 3FS'!AB164</f>
        <v>5713</v>
      </c>
      <c r="W57" s="612">
        <f>+'FC - 3FS'!AC164</f>
        <v>12344</v>
      </c>
      <c r="X57" s="612">
        <f>+'FC - 3FS'!AD164</f>
        <v>10572</v>
      </c>
      <c r="Y57" s="940">
        <f>+'FC - 3FS'!AE164</f>
        <v>3652</v>
      </c>
      <c r="Z57" s="979">
        <f>+'FC - 3FS'!AQ164</f>
        <v>5713</v>
      </c>
      <c r="AA57" s="940">
        <f>+'FC - 3FS'!AF164</f>
        <v>2200.3843139600867</v>
      </c>
      <c r="AB57" s="940">
        <f>+'FC - 3FS'!AG164</f>
        <v>2517.0272291116407</v>
      </c>
      <c r="AC57" s="940">
        <f>+'FC - 3FS'!AH164</f>
        <v>3944.8934301426052</v>
      </c>
      <c r="AD57" s="970">
        <f>+'FC - 3FS'!AI164</f>
        <v>6225.6863139935776</v>
      </c>
      <c r="AE57" s="979">
        <f>+'FC - 3FS'!AR164</f>
        <v>2200.3843139600831</v>
      </c>
      <c r="AH57" s="2" t="b">
        <f>B57=F57</f>
        <v>1</v>
      </c>
      <c r="AI57" s="2" t="b">
        <f>G57=K57</f>
        <v>1</v>
      </c>
      <c r="AJ57" s="2" t="b">
        <f>L57=P57</f>
        <v>1</v>
      </c>
      <c r="AK57" s="2" t="b">
        <f>Q57=U57</f>
        <v>1</v>
      </c>
      <c r="AL57" s="2" t="b">
        <f>V57=Z57</f>
        <v>1</v>
      </c>
      <c r="AM57" s="2" t="b">
        <f>ROUND(AA57,1)=ROUND(AE57,1)</f>
        <v>1</v>
      </c>
    </row>
    <row r="58" spans="1:39" x14ac:dyDescent="0.2">
      <c r="A58" s="671" t="s">
        <v>735</v>
      </c>
      <c r="B58" s="632">
        <f>+B57+B56</f>
        <v>6759</v>
      </c>
      <c r="C58" s="612">
        <f t="shared" ref="C58:AE58" si="60">+C57+C56</f>
        <v>7878</v>
      </c>
      <c r="D58" s="612">
        <f t="shared" si="60"/>
        <v>4143</v>
      </c>
      <c r="E58" s="612">
        <f t="shared" si="60"/>
        <v>6703</v>
      </c>
      <c r="F58" s="953">
        <f t="shared" si="60"/>
        <v>6703</v>
      </c>
      <c r="G58" s="612">
        <f t="shared" si="60"/>
        <v>3320</v>
      </c>
      <c r="H58" s="612">
        <f t="shared" si="60"/>
        <v>3226</v>
      </c>
      <c r="I58" s="612">
        <f t="shared" si="60"/>
        <v>6989</v>
      </c>
      <c r="J58" s="612">
        <f t="shared" si="60"/>
        <v>4674</v>
      </c>
      <c r="K58" s="953">
        <f t="shared" si="60"/>
        <v>4674</v>
      </c>
      <c r="L58" s="612">
        <f t="shared" si="60"/>
        <v>4724</v>
      </c>
      <c r="M58" s="612">
        <f t="shared" si="60"/>
        <v>6808</v>
      </c>
      <c r="N58" s="612">
        <f t="shared" si="60"/>
        <v>5199</v>
      </c>
      <c r="O58" s="612">
        <f t="shared" si="60"/>
        <v>5307</v>
      </c>
      <c r="P58" s="953">
        <f t="shared" si="60"/>
        <v>5307</v>
      </c>
      <c r="Q58" s="612">
        <f t="shared" si="60"/>
        <v>6938</v>
      </c>
      <c r="R58" s="612">
        <f t="shared" si="60"/>
        <v>6647</v>
      </c>
      <c r="S58" s="612">
        <f t="shared" si="60"/>
        <v>9986</v>
      </c>
      <c r="T58" s="612">
        <f t="shared" si="60"/>
        <v>5713</v>
      </c>
      <c r="U58" s="953">
        <f t="shared" si="60"/>
        <v>5713</v>
      </c>
      <c r="V58" s="612">
        <f t="shared" si="60"/>
        <v>12344</v>
      </c>
      <c r="W58" s="612">
        <f t="shared" si="60"/>
        <v>10572</v>
      </c>
      <c r="X58" s="612">
        <f t="shared" si="60"/>
        <v>3652</v>
      </c>
      <c r="Y58" s="940">
        <f t="shared" si="60"/>
        <v>2200.3843139600867</v>
      </c>
      <c r="Z58" s="979">
        <f t="shared" si="60"/>
        <v>2200.3843139600831</v>
      </c>
      <c r="AA58" s="940">
        <f t="shared" si="60"/>
        <v>2517.0272291116403</v>
      </c>
      <c r="AB58" s="940">
        <f t="shared" si="60"/>
        <v>3944.8934301426052</v>
      </c>
      <c r="AC58" s="940">
        <f t="shared" si="60"/>
        <v>6225.6863139935776</v>
      </c>
      <c r="AD58" s="970">
        <f t="shared" si="60"/>
        <v>7382.4039150683648</v>
      </c>
      <c r="AE58" s="979">
        <f t="shared" si="60"/>
        <v>7382.4039150683566</v>
      </c>
      <c r="AH58" s="2" t="b">
        <f>E58=F58</f>
        <v>1</v>
      </c>
      <c r="AI58" s="2" t="b">
        <f>J58=K58</f>
        <v>1</v>
      </c>
      <c r="AJ58" s="2" t="b">
        <f>O58=P58</f>
        <v>1</v>
      </c>
      <c r="AK58" s="2" t="b">
        <f>T58=U58</f>
        <v>1</v>
      </c>
      <c r="AL58" s="2" t="b">
        <f>ROUND(Y58,0)=ROUND(Z58,0)</f>
        <v>1</v>
      </c>
      <c r="AM58" s="2" t="b">
        <f>ROUND(AD58,0)=ROUND(AE58,0)</f>
        <v>1</v>
      </c>
    </row>
    <row r="59" spans="1:39" x14ac:dyDescent="0.2">
      <c r="A59" s="681" t="s">
        <v>233</v>
      </c>
      <c r="B59" s="951">
        <f>'FC - 3FS'!L173</f>
        <v>1369</v>
      </c>
      <c r="C59" s="668">
        <f>'FC - 3FS'!M173</f>
        <v>1677</v>
      </c>
      <c r="D59" s="668">
        <f>'FC - 3FS'!N173</f>
        <v>1604</v>
      </c>
      <c r="E59" s="668">
        <f>'FC - 3FS'!O173</f>
        <v>1112</v>
      </c>
      <c r="F59" s="964">
        <f>'FC - 3FS'!AM173</f>
        <v>5762</v>
      </c>
      <c r="G59" s="668">
        <f>'FC - 3FS'!P173</f>
        <v>1649</v>
      </c>
      <c r="H59" s="668">
        <f>'FC - 3FS'!Q173</f>
        <v>1758</v>
      </c>
      <c r="I59" s="668">
        <f>'FC - 3FS'!R173</f>
        <v>2065</v>
      </c>
      <c r="J59" s="668">
        <f>'FC - 3FS'!S173</f>
        <v>2184</v>
      </c>
      <c r="K59" s="964">
        <f>'FC - 3FS'!AN173</f>
        <v>7656</v>
      </c>
      <c r="L59" s="668">
        <f>'FC - 3FS'!T173</f>
        <v>2401</v>
      </c>
      <c r="M59" s="668">
        <f>'FC - 3FS'!U173</f>
        <v>2877</v>
      </c>
      <c r="N59" s="668">
        <f>'FC - 3FS'!V173</f>
        <v>4003</v>
      </c>
      <c r="O59" s="668">
        <f>'FC - 3FS'!W173</f>
        <v>4305</v>
      </c>
      <c r="P59" s="964">
        <f>'FC - 3FS'!AO173</f>
        <v>13586</v>
      </c>
      <c r="Q59" s="668">
        <f>'FC - 3FS'!X173</f>
        <v>3347</v>
      </c>
      <c r="R59" s="668">
        <f>'FC - 3FS'!Y173</f>
        <v>4439</v>
      </c>
      <c r="S59" s="668">
        <f>'FC - 3FS'!Z173</f>
        <v>5162</v>
      </c>
      <c r="T59" s="668">
        <f>'FC - 3FS'!AA173</f>
        <v>4084</v>
      </c>
      <c r="U59" s="964">
        <f>'FC - 3FS'!AP173</f>
        <v>17032</v>
      </c>
      <c r="V59" s="668">
        <f>'FC - 3FS'!AB173</f>
        <v>4396</v>
      </c>
      <c r="W59" s="668">
        <f>'FC - 3FS'!AC173</f>
        <v>4596</v>
      </c>
      <c r="X59" s="668">
        <f>'FC - 3FS'!AD173</f>
        <v>4818</v>
      </c>
      <c r="Y59" s="942">
        <f>'FC - 3FS'!AE173</f>
        <v>4013.5992271694608</v>
      </c>
      <c r="Z59" s="991">
        <f>'FC - 3FS'!AQ173</f>
        <v>17823.599227169456</v>
      </c>
      <c r="AA59" s="942">
        <f>'FC - 3FS'!AF173</f>
        <v>4248.6668142721464</v>
      </c>
      <c r="AB59" s="942">
        <f>'FC - 3FS'!AG173</f>
        <v>5341.7208239769716</v>
      </c>
      <c r="AC59" s="942">
        <f>'FC - 3FS'!AH173</f>
        <v>6176.7809464977081</v>
      </c>
      <c r="AD59" s="978">
        <f>'FC - 3FS'!AI173</f>
        <v>5183.7806969320827</v>
      </c>
      <c r="AE59" s="991">
        <f>'FC - 3FS'!AR173</f>
        <v>20950.949281678906</v>
      </c>
      <c r="AH59" s="2" t="b">
        <f>+SUM(B59:E59)=F59</f>
        <v>1</v>
      </c>
      <c r="AI59" s="2" t="b">
        <f>+SUM(G59:J59)=K59</f>
        <v>1</v>
      </c>
      <c r="AJ59" s="2" t="b">
        <f>+SUM(L59:O59)=P59</f>
        <v>1</v>
      </c>
      <c r="AK59" s="2" t="b">
        <f>ROUND(SUM(Q59:T59),0)=ROUND(U59,0)</f>
        <v>1</v>
      </c>
      <c r="AL59" s="2" t="b">
        <f>ROUND(SUM(V59:Y59),0)=ROUND(Z59,0)</f>
        <v>1</v>
      </c>
      <c r="AM59" s="2" t="b">
        <f>+SUM(AA59:AD59)=AE59</f>
        <v>1</v>
      </c>
    </row>
  </sheetData>
  <conditionalFormatting sqref="AH5:AM11">
    <cfRule type="cellIs" dxfId="151" priority="12" operator="equal">
      <formula>FALSE</formula>
    </cfRule>
  </conditionalFormatting>
  <conditionalFormatting sqref="AH13:AM22">
    <cfRule type="cellIs" dxfId="150" priority="11" operator="equal">
      <formula>FALSE</formula>
    </cfRule>
  </conditionalFormatting>
  <conditionalFormatting sqref="AH24:AM25">
    <cfRule type="cellIs" dxfId="149" priority="10" operator="equal">
      <formula>FALSE</formula>
    </cfRule>
  </conditionalFormatting>
  <conditionalFormatting sqref="AH29:AM30">
    <cfRule type="cellIs" dxfId="148" priority="1" operator="equal">
      <formula>FALSE</formula>
    </cfRule>
  </conditionalFormatting>
  <conditionalFormatting sqref="AH33:AM50">
    <cfRule type="cellIs" dxfId="147" priority="5" operator="equal">
      <formula>FALSE</formula>
    </cfRule>
  </conditionalFormatting>
  <conditionalFormatting sqref="AH53:AM59">
    <cfRule type="cellIs" dxfId="146" priority="2" operator="equal">
      <formula>FALSE</formula>
    </cfRule>
  </conditionalFormatting>
  <pageMargins left="0.7" right="0.7" top="0.75" bottom="0.75" header="0.3" footer="0.3"/>
  <pageSetup scale="68" orientation="portrait" r:id="rId1"/>
  <colBreaks count="1" manualBreakCount="1">
    <brk id="31"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DA0E-5C87-4850-B514-47A50E2F3932}">
  <sheetPr>
    <tabColor theme="6" tint="0.79998168889431442"/>
  </sheetPr>
  <dimension ref="A1:W2519"/>
  <sheetViews>
    <sheetView showGridLines="0" zoomScale="115" zoomScaleNormal="115" workbookViewId="0">
      <selection activeCell="J45" sqref="J45"/>
    </sheetView>
  </sheetViews>
  <sheetFormatPr defaultColWidth="9" defaultRowHeight="12" x14ac:dyDescent="0.2"/>
  <cols>
    <col min="1" max="1" width="9" style="2"/>
    <col min="2" max="2" width="23.625" style="2" bestFit="1" customWidth="1"/>
    <col min="3" max="3" width="10.5" style="2" bestFit="1" customWidth="1"/>
    <col min="4" max="4" width="9.75" style="2" bestFit="1" customWidth="1"/>
    <col min="5" max="6" width="9.125" style="2" bestFit="1" customWidth="1"/>
    <col min="7" max="7" width="9.625" style="2" bestFit="1" customWidth="1"/>
    <col min="8" max="8" width="11.125" style="2" bestFit="1" customWidth="1"/>
    <col min="9" max="9" width="10.5" style="2" bestFit="1" customWidth="1"/>
    <col min="10" max="18" width="9.625" style="2" bestFit="1" customWidth="1"/>
    <col min="19" max="16384" width="9" style="2"/>
  </cols>
  <sheetData>
    <row r="1" spans="1:23" x14ac:dyDescent="0.2">
      <c r="A1" s="2" t="s">
        <v>699</v>
      </c>
    </row>
    <row r="2" spans="1:23" x14ac:dyDescent="0.2">
      <c r="B2" s="575" t="s">
        <v>669</v>
      </c>
      <c r="C2" s="575"/>
      <c r="D2" s="575"/>
      <c r="E2" s="575"/>
      <c r="F2" s="575"/>
      <c r="G2" s="575"/>
      <c r="H2" s="575"/>
      <c r="I2" s="575"/>
      <c r="J2" s="575"/>
      <c r="K2" s="575"/>
      <c r="L2" s="575"/>
      <c r="M2" s="575"/>
      <c r="N2" s="575"/>
      <c r="O2" s="575"/>
      <c r="T2" s="2" t="s">
        <v>700</v>
      </c>
      <c r="U2" s="616">
        <f ca="1">TODAY()-365*10</f>
        <v>42576</v>
      </c>
    </row>
    <row r="3" spans="1:23" x14ac:dyDescent="0.2">
      <c r="Q3" s="576"/>
      <c r="T3" s="2" t="s">
        <v>701</v>
      </c>
      <c r="U3" s="2" t="s">
        <v>794</v>
      </c>
      <c r="V3" s="2" t="s">
        <v>795</v>
      </c>
      <c r="W3" s="2" t="s">
        <v>715</v>
      </c>
    </row>
    <row r="4" spans="1:23" x14ac:dyDescent="0.2">
      <c r="B4" s="577" t="s">
        <v>670</v>
      </c>
      <c r="C4" s="136" t="str">
        <f>N6&amp;"Q"&amp;RIGHT(O6,2)</f>
        <v>1Q25</v>
      </c>
      <c r="H4" s="1356" t="s">
        <v>662</v>
      </c>
      <c r="I4" s="1356"/>
      <c r="J4" s="1356"/>
      <c r="K4" s="1356"/>
      <c r="L4" s="1356"/>
      <c r="N4" s="1357" t="s">
        <v>663</v>
      </c>
      <c r="O4" s="1357"/>
      <c r="T4" s="2" t="s">
        <v>634</v>
      </c>
      <c r="U4" s="616">
        <v>42380</v>
      </c>
      <c r="W4" s="620" t="e">
        <f t="shared" ref="W4:W67" si="0">AVERAGE($V$4:$V$2517)</f>
        <v>#DIV/0!</v>
      </c>
    </row>
    <row r="5" spans="1:23" x14ac:dyDescent="0.2">
      <c r="B5" s="578" t="s">
        <v>671</v>
      </c>
      <c r="C5" s="136" t="str">
        <f>N8&amp;"Q"&amp;RIGHT(O8,2)</f>
        <v>1Q26</v>
      </c>
      <c r="H5" s="3" t="s">
        <v>668</v>
      </c>
      <c r="I5" s="1284">
        <v>0.08</v>
      </c>
      <c r="K5" s="2" t="s">
        <v>659</v>
      </c>
      <c r="L5" s="622">
        <v>0.8</v>
      </c>
      <c r="N5" s="579" t="s">
        <v>664</v>
      </c>
      <c r="O5" s="579" t="s">
        <v>665</v>
      </c>
      <c r="U5" s="616"/>
      <c r="W5" s="620" t="e">
        <f t="shared" si="0"/>
        <v>#DIV/0!</v>
      </c>
    </row>
    <row r="6" spans="1:23" x14ac:dyDescent="0.2">
      <c r="B6" s="577" t="s">
        <v>672</v>
      </c>
      <c r="C6" s="580">
        <f>L10</f>
        <v>259.64</v>
      </c>
      <c r="H6" s="2" t="s">
        <v>673</v>
      </c>
      <c r="I6" s="1078">
        <f>INDEX('BS Drivers'!97:97,MATCH(Valuation!C4,'BS Drivers'!4:4,0))</f>
        <v>87997</v>
      </c>
      <c r="K6" s="2" t="s">
        <v>674</v>
      </c>
      <c r="L6" s="581">
        <v>0.03</v>
      </c>
      <c r="N6" s="582">
        <v>1</v>
      </c>
      <c r="O6" s="582">
        <v>2025</v>
      </c>
      <c r="U6" s="616"/>
      <c r="W6" s="620" t="e">
        <f t="shared" si="0"/>
        <v>#DIV/0!</v>
      </c>
    </row>
    <row r="7" spans="1:23" x14ac:dyDescent="0.2">
      <c r="B7" s="583" t="s">
        <v>422</v>
      </c>
      <c r="C7" s="584">
        <f>C48</f>
        <v>-28</v>
      </c>
      <c r="E7" s="173"/>
      <c r="H7" s="2" t="s">
        <v>433</v>
      </c>
      <c r="I7" s="161">
        <f>L9*L10</f>
        <v>297198.30131308001</v>
      </c>
      <c r="K7" s="2" t="s">
        <v>675</v>
      </c>
      <c r="L7" s="621">
        <v>0.08</v>
      </c>
      <c r="N7" s="1358" t="s">
        <v>666</v>
      </c>
      <c r="O7" s="1357"/>
      <c r="U7" s="616"/>
      <c r="W7" s="620" t="e">
        <f t="shared" si="0"/>
        <v>#DIV/0!</v>
      </c>
    </row>
    <row r="8" spans="1:23" x14ac:dyDescent="0.2">
      <c r="B8" s="2" t="s">
        <v>676</v>
      </c>
      <c r="C8" s="1277">
        <f>C7/C6-1</f>
        <v>-1.1078416268679709</v>
      </c>
      <c r="D8" s="173"/>
      <c r="E8" s="173"/>
      <c r="H8" s="2" t="s">
        <v>667</v>
      </c>
      <c r="I8" s="586">
        <f>I6/(I6+I7)</f>
        <v>0.22844775027117367</v>
      </c>
      <c r="K8" s="2" t="s">
        <v>677</v>
      </c>
      <c r="L8" s="581">
        <v>0.23</v>
      </c>
      <c r="N8" s="587">
        <f>N6</f>
        <v>1</v>
      </c>
      <c r="O8" s="587">
        <f>O6+1</f>
        <v>2026</v>
      </c>
      <c r="U8" s="616"/>
      <c r="W8" s="620" t="e">
        <f t="shared" si="0"/>
        <v>#DIV/0!</v>
      </c>
    </row>
    <row r="9" spans="1:23" x14ac:dyDescent="0.2">
      <c r="C9" s="588"/>
      <c r="H9" s="2" t="s">
        <v>678</v>
      </c>
      <c r="I9" s="1266">
        <v>0.04</v>
      </c>
      <c r="K9" s="2" t="s">
        <v>679</v>
      </c>
      <c r="L9" s="161">
        <f>INDEX('FC - 3FS'!39:39, MATCH(Valuation!C4,'FC - 3FS'!4:4, 0))</f>
        <v>1144.655297</v>
      </c>
      <c r="N9" s="2" t="s">
        <v>680</v>
      </c>
      <c r="U9" s="616"/>
      <c r="W9" s="620" t="e">
        <f t="shared" si="0"/>
        <v>#DIV/0!</v>
      </c>
    </row>
    <row r="10" spans="1:23" x14ac:dyDescent="0.2">
      <c r="B10" s="2" t="s">
        <v>702</v>
      </c>
      <c r="C10" s="617">
        <v>270</v>
      </c>
      <c r="H10" s="2" t="s">
        <v>681</v>
      </c>
      <c r="I10" s="174">
        <f>L6+L5*L7</f>
        <v>9.4E-2</v>
      </c>
      <c r="K10" s="2" t="s">
        <v>682</v>
      </c>
      <c r="L10" s="589">
        <v>259.64</v>
      </c>
      <c r="N10" s="2">
        <v>198.6</v>
      </c>
      <c r="U10" s="616"/>
      <c r="W10" s="620" t="e">
        <f t="shared" si="0"/>
        <v>#DIV/0!</v>
      </c>
    </row>
    <row r="11" spans="1:23" x14ac:dyDescent="0.2">
      <c r="C11" s="588"/>
      <c r="D11" s="590"/>
      <c r="H11" s="3" t="s">
        <v>935</v>
      </c>
      <c r="I11" s="1285">
        <f>I9*(1-L8)*I8+I10*(1-I8)</f>
        <v>7.9562102182861819E-2</v>
      </c>
      <c r="K11" s="2" t="s">
        <v>683</v>
      </c>
      <c r="L11" s="621">
        <v>0.02</v>
      </c>
      <c r="U11" s="616"/>
      <c r="W11" s="620" t="e">
        <f t="shared" si="0"/>
        <v>#DIV/0!</v>
      </c>
    </row>
    <row r="12" spans="1:23" x14ac:dyDescent="0.2">
      <c r="C12" s="592"/>
      <c r="D12" s="593"/>
      <c r="H12" s="1359"/>
      <c r="I12" s="1359"/>
      <c r="J12" s="1359"/>
      <c r="K12" s="1359"/>
      <c r="L12" s="1359"/>
      <c r="U12" s="616"/>
      <c r="W12" s="620" t="e">
        <f t="shared" si="0"/>
        <v>#DIV/0!</v>
      </c>
    </row>
    <row r="13" spans="1:23" x14ac:dyDescent="0.2">
      <c r="B13" s="648" t="s">
        <v>710</v>
      </c>
      <c r="C13" s="1001">
        <v>2020</v>
      </c>
      <c r="D13" s="649">
        <v>2021</v>
      </c>
      <c r="E13" s="649">
        <v>2022</v>
      </c>
      <c r="F13" s="649">
        <f>E13+1</f>
        <v>2023</v>
      </c>
      <c r="G13" s="649">
        <f t="shared" ref="G13:K13" si="1">F13+1</f>
        <v>2024</v>
      </c>
      <c r="H13" s="651">
        <f t="shared" si="1"/>
        <v>2025</v>
      </c>
      <c r="I13" s="651">
        <f t="shared" si="1"/>
        <v>2026</v>
      </c>
      <c r="J13" s="651">
        <f t="shared" si="1"/>
        <v>2027</v>
      </c>
      <c r="K13" s="651">
        <f t="shared" si="1"/>
        <v>2028</v>
      </c>
      <c r="L13" s="651">
        <f t="shared" ref="L13" si="2">K13+1</f>
        <v>2029</v>
      </c>
      <c r="M13" s="652">
        <f t="shared" ref="M13" si="3">L13+1</f>
        <v>2030</v>
      </c>
      <c r="N13" s="626"/>
      <c r="O13" s="626"/>
      <c r="P13" s="626"/>
      <c r="Q13" s="626"/>
      <c r="R13" s="626"/>
      <c r="U13" s="616"/>
      <c r="W13" s="620" t="e">
        <f t="shared" si="0"/>
        <v>#DIV/0!</v>
      </c>
    </row>
    <row r="14" spans="1:23" x14ac:dyDescent="0.2">
      <c r="B14" s="594"/>
      <c r="C14" s="594"/>
      <c r="G14" s="594"/>
      <c r="M14" s="595"/>
      <c r="N14" s="167"/>
      <c r="U14" s="616"/>
      <c r="W14" s="620" t="e">
        <f t="shared" si="0"/>
        <v>#DIV/0!</v>
      </c>
    </row>
    <row r="15" spans="1:23" x14ac:dyDescent="0.2">
      <c r="B15" s="594" t="s">
        <v>684</v>
      </c>
      <c r="C15" s="597">
        <f>'FC - 3FS'!AL14</f>
        <v>68397</v>
      </c>
      <c r="D15" s="596">
        <f>'FC - 3FS'!AM14</f>
        <v>80118</v>
      </c>
      <c r="E15" s="596">
        <f>'FC - 3FS'!AN14</f>
        <v>79571</v>
      </c>
      <c r="F15" s="596">
        <f>'FC - 3FS'!AO14</f>
        <v>78558</v>
      </c>
      <c r="G15" s="597">
        <f>'FC - 3FS'!AP14</f>
        <v>81400</v>
      </c>
      <c r="H15" s="596">
        <f>'FC - 3FS'!AQ14</f>
        <v>87847.495279587922</v>
      </c>
      <c r="I15" s="596">
        <f>'FC - 3FS'!AR14</f>
        <v>94417.322357573066</v>
      </c>
      <c r="J15" s="596">
        <f>'FC - 3FS'!AS14</f>
        <v>99251.786914963712</v>
      </c>
      <c r="K15" s="596">
        <f>'FC - 3FS'!AT14</f>
        <v>0</v>
      </c>
      <c r="L15" s="596">
        <f>'FC - 3FS'!AU14</f>
        <v>0</v>
      </c>
      <c r="M15" s="598">
        <f>'FC - 3FS'!AV14</f>
        <v>0</v>
      </c>
      <c r="N15" s="596"/>
      <c r="O15" s="596"/>
      <c r="P15" s="596"/>
      <c r="Q15" s="596"/>
      <c r="R15" s="596"/>
      <c r="U15" s="616"/>
      <c r="W15" s="620" t="e">
        <f t="shared" si="0"/>
        <v>#DIV/0!</v>
      </c>
    </row>
    <row r="16" spans="1:23" x14ac:dyDescent="0.2">
      <c r="B16" s="643" t="s">
        <v>704</v>
      </c>
      <c r="C16" s="606"/>
      <c r="D16" s="586">
        <f>D15/C15-1</f>
        <v>0.17136716522654494</v>
      </c>
      <c r="E16" s="586">
        <f>E15/D15-1</f>
        <v>-6.8274295414263442E-3</v>
      </c>
      <c r="F16" s="586">
        <f>F15/E15-1</f>
        <v>-1.2730768747407972E-2</v>
      </c>
      <c r="G16" s="600">
        <f>G15/F15-1</f>
        <v>3.6177092084828999E-2</v>
      </c>
      <c r="H16" s="623">
        <f t="shared" ref="H16:I16" si="4">H15/G15-1</f>
        <v>7.9207558717296234E-2</v>
      </c>
      <c r="I16" s="623">
        <f t="shared" si="4"/>
        <v>7.478673190482743E-2</v>
      </c>
      <c r="J16" s="623">
        <f t="shared" ref="J16" si="5">J15/I15-1</f>
        <v>5.1203152521968054E-2</v>
      </c>
      <c r="K16" s="623">
        <f t="shared" ref="K16" si="6">K15/J15-1</f>
        <v>-1</v>
      </c>
      <c r="L16" s="623" t="e">
        <f t="shared" ref="L16" si="7">L15/K15-1</f>
        <v>#DIV/0!</v>
      </c>
      <c r="M16" s="601" t="e">
        <f t="shared" ref="M16" si="8">M15/L15-1</f>
        <v>#DIV/0!</v>
      </c>
      <c r="N16" s="627"/>
      <c r="O16" s="627"/>
      <c r="P16" s="627"/>
      <c r="Q16" s="627"/>
      <c r="R16" s="627"/>
      <c r="U16" s="616"/>
      <c r="W16" s="620" t="e">
        <f t="shared" si="0"/>
        <v>#DIV/0!</v>
      </c>
    </row>
    <row r="17" spans="1:23" x14ac:dyDescent="0.2">
      <c r="B17" s="594"/>
      <c r="C17" s="594"/>
      <c r="G17" s="594"/>
      <c r="M17" s="595"/>
      <c r="N17" s="167"/>
      <c r="U17" s="616"/>
      <c r="W17" s="620" t="e">
        <f t="shared" si="0"/>
        <v>#DIV/0!</v>
      </c>
    </row>
    <row r="18" spans="1:23" x14ac:dyDescent="0.2">
      <c r="B18" s="600" t="s">
        <v>559</v>
      </c>
      <c r="C18" s="597">
        <f>+'FC - 3FS'!AL23</f>
        <v>6636</v>
      </c>
      <c r="D18" s="596">
        <f>+'FC - 3FS'!AM23</f>
        <v>6892</v>
      </c>
      <c r="E18" s="596">
        <f>+'FC - 3FS'!AN23</f>
        <v>6543</v>
      </c>
      <c r="F18" s="596">
        <f>+'FC - 3FS'!AO23</f>
        <v>14266</v>
      </c>
      <c r="G18" s="597">
        <f>+'FC - 3FS'!AP23</f>
        <v>18010</v>
      </c>
      <c r="H18" s="596">
        <f>+'FC - 3FS'!AQ23</f>
        <v>18579.344278309713</v>
      </c>
      <c r="I18" s="596">
        <f>+'FC - 3FS'!AR23</f>
        <v>20628.684712978196</v>
      </c>
      <c r="J18" s="596">
        <f>+'FC - 3FS'!AS23</f>
        <v>23736.334888768208</v>
      </c>
      <c r="K18" s="596">
        <f>+'FC - 3FS'!AT23</f>
        <v>0</v>
      </c>
      <c r="L18" s="596">
        <f>+'FC - 3FS'!AU23</f>
        <v>0</v>
      </c>
      <c r="M18" s="598">
        <f>+'FC - 3FS'!AV23</f>
        <v>0</v>
      </c>
      <c r="N18" s="596"/>
      <c r="O18" s="596"/>
      <c r="P18" s="596"/>
      <c r="Q18" s="596"/>
      <c r="R18" s="596"/>
      <c r="U18" s="616"/>
      <c r="W18" s="620" t="e">
        <f t="shared" si="0"/>
        <v>#DIV/0!</v>
      </c>
    </row>
    <row r="19" spans="1:23" x14ac:dyDescent="0.2">
      <c r="B19" s="600" t="s">
        <v>944</v>
      </c>
      <c r="C19" s="597"/>
      <c r="D19" s="596"/>
      <c r="E19" s="596"/>
      <c r="F19" s="596"/>
      <c r="G19" s="597"/>
      <c r="H19" s="596">
        <f>'IS Drivers'!AQ218</f>
        <v>460</v>
      </c>
      <c r="I19" s="596">
        <f>'IS Drivers'!AR218</f>
        <v>1540</v>
      </c>
      <c r="J19" s="596">
        <f>'IS Drivers'!AS218</f>
        <v>660</v>
      </c>
      <c r="K19" s="596">
        <f>'IS Drivers'!AT218</f>
        <v>0</v>
      </c>
      <c r="L19" s="596">
        <f>'IS Drivers'!AU218</f>
        <v>0</v>
      </c>
      <c r="M19" s="598">
        <f>'IS Drivers'!AV218</f>
        <v>0</v>
      </c>
      <c r="N19" s="596"/>
      <c r="O19" s="596"/>
      <c r="P19" s="596"/>
      <c r="Q19" s="596"/>
      <c r="R19" s="596"/>
      <c r="U19" s="616"/>
      <c r="W19" s="620" t="e">
        <f t="shared" si="0"/>
        <v>#DIV/0!</v>
      </c>
    </row>
    <row r="20" spans="1:23" x14ac:dyDescent="0.2">
      <c r="B20" s="600" t="s">
        <v>958</v>
      </c>
      <c r="C20" s="597"/>
      <c r="D20" s="596"/>
      <c r="E20" s="596"/>
      <c r="F20" s="596"/>
      <c r="G20" s="597"/>
      <c r="H20" s="596">
        <f>SUM(H18:H19)</f>
        <v>19039.344278309713</v>
      </c>
      <c r="I20" s="596">
        <f t="shared" ref="I20:M20" si="9">SUM(I18:I19)</f>
        <v>22168.684712978196</v>
      </c>
      <c r="J20" s="596">
        <f t="shared" si="9"/>
        <v>24396.334888768208</v>
      </c>
      <c r="K20" s="596">
        <f t="shared" si="9"/>
        <v>0</v>
      </c>
      <c r="L20" s="596">
        <f t="shared" si="9"/>
        <v>0</v>
      </c>
      <c r="M20" s="598">
        <f t="shared" si="9"/>
        <v>0</v>
      </c>
      <c r="N20" s="596"/>
      <c r="O20" s="596"/>
      <c r="P20" s="596"/>
      <c r="Q20" s="596"/>
      <c r="R20" s="596"/>
      <c r="U20" s="616"/>
      <c r="W20" s="620" t="e">
        <f t="shared" si="0"/>
        <v>#DIV/0!</v>
      </c>
    </row>
    <row r="21" spans="1:23" x14ac:dyDescent="0.2">
      <c r="B21" s="644" t="s">
        <v>703</v>
      </c>
      <c r="C21" s="600">
        <f>C18/C15</f>
        <v>9.7021799201719369E-2</v>
      </c>
      <c r="D21" s="586">
        <f>D18/D15</f>
        <v>8.6023115904041533E-2</v>
      </c>
      <c r="E21" s="586">
        <f>E18/E15</f>
        <v>8.2228450063465339E-2</v>
      </c>
      <c r="F21" s="586">
        <f>F18/F15</f>
        <v>0.18159830952926501</v>
      </c>
      <c r="G21" s="625">
        <f>G18/G15</f>
        <v>0.22125307125307125</v>
      </c>
      <c r="H21" s="623">
        <f>H20/H15</f>
        <v>0.21673178293489329</v>
      </c>
      <c r="I21" s="623">
        <f t="shared" ref="I21:M21" si="10">I20/I15</f>
        <v>0.23479467707230611</v>
      </c>
      <c r="J21" s="623">
        <f t="shared" si="10"/>
        <v>0.24580247517024895</v>
      </c>
      <c r="K21" s="623" t="e">
        <f t="shared" si="10"/>
        <v>#DIV/0!</v>
      </c>
      <c r="L21" s="623" t="e">
        <f t="shared" si="10"/>
        <v>#DIV/0!</v>
      </c>
      <c r="M21" s="601" t="e">
        <f t="shared" si="10"/>
        <v>#DIV/0!</v>
      </c>
      <c r="N21" s="627"/>
      <c r="O21" s="627"/>
      <c r="P21" s="627"/>
      <c r="Q21" s="627"/>
      <c r="R21" s="627"/>
      <c r="U21" s="616"/>
      <c r="W21" s="620" t="e">
        <f t="shared" si="0"/>
        <v>#DIV/0!</v>
      </c>
    </row>
    <row r="22" spans="1:23" x14ac:dyDescent="0.2">
      <c r="B22" s="644"/>
      <c r="C22" s="600"/>
      <c r="D22" s="586"/>
      <c r="E22" s="586"/>
      <c r="F22" s="586"/>
      <c r="G22" s="625"/>
      <c r="H22" s="623"/>
      <c r="I22" s="623"/>
      <c r="J22" s="623"/>
      <c r="K22" s="623"/>
      <c r="L22" s="623"/>
      <c r="M22" s="601"/>
      <c r="N22" s="627"/>
      <c r="O22" s="627"/>
      <c r="P22" s="627"/>
      <c r="Q22" s="627"/>
      <c r="R22" s="627"/>
      <c r="U22" s="616"/>
      <c r="W22" s="620" t="e">
        <f t="shared" si="0"/>
        <v>#DIV/0!</v>
      </c>
    </row>
    <row r="23" spans="1:23" x14ac:dyDescent="0.2">
      <c r="B23" s="631" t="s">
        <v>705</v>
      </c>
      <c r="C23" s="631">
        <f>-'BS Drivers'!AL124</f>
        <v>0.22266288951841359</v>
      </c>
      <c r="D23" s="630">
        <f>-'BS Drivers'!AM124</f>
        <v>9.7582811101163833E-2</v>
      </c>
      <c r="E23" s="630">
        <f>-'BS Drivers'!AN124</f>
        <v>0.17673235855054037</v>
      </c>
      <c r="F23" s="630">
        <f>-'BS Drivers'!AO124</f>
        <v>0.24384034912264752</v>
      </c>
      <c r="G23" s="631">
        <f>-'BS Drivers'!AP124</f>
        <v>0.22926862425231104</v>
      </c>
      <c r="H23" s="630">
        <f>-'BS Drivers'!AQ124</f>
        <v>0.23552142439040605</v>
      </c>
      <c r="I23" s="630">
        <f>-'BS Drivers'!AR124</f>
        <v>0.23072562358276649</v>
      </c>
      <c r="J23" s="630">
        <f>-'BS Drivers'!AS124</f>
        <v>0.23072562358276649</v>
      </c>
      <c r="K23" s="630">
        <f>-'BS Drivers'!AT124</f>
        <v>0</v>
      </c>
      <c r="L23" s="630">
        <f>-'BS Drivers'!AU124</f>
        <v>0</v>
      </c>
      <c r="M23" s="639">
        <f>-'BS Drivers'!AV124</f>
        <v>0</v>
      </c>
      <c r="N23" s="602"/>
      <c r="O23" s="602"/>
      <c r="P23" s="602"/>
      <c r="Q23" s="602"/>
      <c r="R23" s="602"/>
      <c r="U23" s="616"/>
      <c r="W23" s="620" t="e">
        <f t="shared" si="0"/>
        <v>#DIV/0!</v>
      </c>
    </row>
    <row r="24" spans="1:23" x14ac:dyDescent="0.2">
      <c r="B24" s="600" t="s">
        <v>706</v>
      </c>
      <c r="C24" s="597">
        <f>+(1-C23)*C18</f>
        <v>5158.4090651558072</v>
      </c>
      <c r="D24" s="596">
        <f>+(1-D23)*D18</f>
        <v>6219.4592658907786</v>
      </c>
      <c r="E24" s="596">
        <f>+(1-E23)*E18</f>
        <v>5386.6401780038141</v>
      </c>
      <c r="F24" s="596">
        <f>+(1-F23)*F18</f>
        <v>10787.373579416311</v>
      </c>
      <c r="G24" s="597">
        <f>+(1-G23)*G18</f>
        <v>13880.872077215879</v>
      </c>
      <c r="H24" s="596">
        <f>+(1-H23)*H20</f>
        <v>14555.170794422882</v>
      </c>
      <c r="I24" s="596">
        <f t="shared" ref="I24:M24" si="11">+(1-I23)*I20</f>
        <v>17053.80110856656</v>
      </c>
      <c r="J24" s="596">
        <f t="shared" si="11"/>
        <v>18767.47530842316</v>
      </c>
      <c r="K24" s="596">
        <f t="shared" si="11"/>
        <v>0</v>
      </c>
      <c r="L24" s="596">
        <f t="shared" si="11"/>
        <v>0</v>
      </c>
      <c r="M24" s="598">
        <f t="shared" si="11"/>
        <v>0</v>
      </c>
      <c r="N24" s="596"/>
      <c r="O24" s="596"/>
      <c r="P24" s="596"/>
      <c r="Q24" s="596"/>
      <c r="R24" s="596"/>
      <c r="U24" s="616"/>
      <c r="W24" s="620" t="e">
        <f t="shared" si="0"/>
        <v>#DIV/0!</v>
      </c>
    </row>
    <row r="25" spans="1:23" x14ac:dyDescent="0.2">
      <c r="B25" s="645" t="s">
        <v>707</v>
      </c>
      <c r="C25" s="632">
        <f>SUM('FC - 3FS'!AL131:AL138)+'FC - 3FS'!AL145</f>
        <v>-8751</v>
      </c>
      <c r="D25" s="161">
        <f>SUM('FC - 3FS'!AM131:AM138)+'FC - 3FS'!AM145</f>
        <v>-2983</v>
      </c>
      <c r="E25" s="161">
        <f>SUM('FC - 3FS'!AN131:AN138)+'FC - 3FS'!AN145</f>
        <v>1781</v>
      </c>
      <c r="F25" s="161">
        <f>SUM('FC - 3FS'!AO131:AO138)+'FC - 3FS'!AO145</f>
        <v>-2242</v>
      </c>
      <c r="G25" s="632">
        <f>SUM('FC - 3FS'!AP131:AP138)+'FC - 3FS'!AP145</f>
        <v>-3430</v>
      </c>
      <c r="H25" s="161">
        <f>SUM('FC - 3FS'!AQ131:AQ138)</f>
        <v>-2766.9767894033521</v>
      </c>
      <c r="I25" s="161">
        <f>SUM('FC - 3FS'!AR131:AR138)</f>
        <v>-2340.0683663566424</v>
      </c>
      <c r="J25" s="161">
        <f>SUM('FC - 3FS'!AS131:AS138)</f>
        <v>-1865.3836032623126</v>
      </c>
      <c r="K25" s="612">
        <f>SUM('FC - 3FS'!AT131:AT138)</f>
        <v>0</v>
      </c>
      <c r="L25" s="612">
        <f>SUM('FC - 3FS'!AU131:AU138)</f>
        <v>0</v>
      </c>
      <c r="M25" s="640">
        <f>SUM('FC - 3FS'!AV131:AV138)</f>
        <v>0</v>
      </c>
      <c r="N25" s="627"/>
      <c r="O25" s="627"/>
      <c r="P25" s="627"/>
      <c r="Q25" s="627"/>
      <c r="R25" s="627"/>
      <c r="U25" s="616"/>
      <c r="W25" s="620" t="e">
        <f t="shared" si="0"/>
        <v>#DIV/0!</v>
      </c>
    </row>
    <row r="26" spans="1:23" x14ac:dyDescent="0.2">
      <c r="B26" s="645" t="s">
        <v>939</v>
      </c>
      <c r="C26" s="632">
        <f>'FC - 3FS'!AL122</f>
        <v>14151</v>
      </c>
      <c r="D26" s="161">
        <f>'FC - 3FS'!AM122</f>
        <v>16383</v>
      </c>
      <c r="E26" s="161">
        <f>'FC - 3FS'!AN122</f>
        <v>13651</v>
      </c>
      <c r="F26" s="161">
        <f>'FC - 3FS'!AO122</f>
        <v>12818</v>
      </c>
      <c r="G26" s="632">
        <f>'FC - 3FS'!AP122</f>
        <v>12919</v>
      </c>
      <c r="H26" s="161">
        <f>'FC - 3FS'!AQ122</f>
        <v>13422.032122885717</v>
      </c>
      <c r="I26" s="161">
        <f>'FC - 3FS'!AR122</f>
        <v>14308.594296384867</v>
      </c>
      <c r="J26" s="161">
        <f>'FC - 3FS'!AS122</f>
        <v>14771.98306379588</v>
      </c>
      <c r="K26" s="612">
        <f>'FC - 3FS'!AT122</f>
        <v>0</v>
      </c>
      <c r="L26" s="612">
        <f>'FC - 3FS'!AU122</f>
        <v>0</v>
      </c>
      <c r="M26" s="640">
        <f>'FC - 3FS'!AV122</f>
        <v>0</v>
      </c>
      <c r="N26" s="627"/>
      <c r="O26" s="627"/>
      <c r="P26" s="627"/>
      <c r="Q26" s="627"/>
      <c r="R26" s="627"/>
      <c r="U26" s="616"/>
      <c r="W26" s="620" t="e">
        <f t="shared" si="0"/>
        <v>#DIV/0!</v>
      </c>
    </row>
    <row r="27" spans="1:23" x14ac:dyDescent="0.2">
      <c r="B27" s="645" t="s">
        <v>708</v>
      </c>
      <c r="C27" s="632">
        <f>+'FC - 3FS'!AL142</f>
        <v>-11034</v>
      </c>
      <c r="D27" s="161">
        <f>+'FC - 3FS'!AM142</f>
        <v>-12326</v>
      </c>
      <c r="E27" s="161">
        <f>+'FC - 3FS'!AN142</f>
        <v>-13970</v>
      </c>
      <c r="F27" s="161">
        <f>+'FC - 3FS'!AO142</f>
        <v>-9801</v>
      </c>
      <c r="G27" s="632">
        <f>+'FC - 3FS'!AP142</f>
        <v>-8840</v>
      </c>
      <c r="H27" s="161">
        <f>+'FC - 3FS'!AQ142</f>
        <v>-10023.267067247947</v>
      </c>
      <c r="I27" s="161">
        <f>+'FC - 3FS'!AR142</f>
        <v>-10562.246690569233</v>
      </c>
      <c r="J27" s="161">
        <f>+'FC - 3FS'!AS142</f>
        <v>-10941.003531939117</v>
      </c>
      <c r="K27" s="612">
        <f>+'FC - 3FS'!AT142</f>
        <v>0</v>
      </c>
      <c r="L27" s="612">
        <f>+'FC - 3FS'!AU142</f>
        <v>0</v>
      </c>
      <c r="M27" s="640">
        <f>+'FC - 3FS'!AV142</f>
        <v>0</v>
      </c>
      <c r="N27" s="627"/>
      <c r="O27" s="627"/>
      <c r="P27" s="627"/>
      <c r="Q27" s="627"/>
      <c r="R27" s="627"/>
      <c r="U27" s="616"/>
      <c r="W27" s="620"/>
    </row>
    <row r="28" spans="1:23" x14ac:dyDescent="0.2">
      <c r="B28" s="1050" t="s">
        <v>810</v>
      </c>
      <c r="C28" s="1065">
        <f t="shared" ref="C28:M28" si="12">C27/C15</f>
        <v>-0.16132286503794027</v>
      </c>
      <c r="D28" s="246">
        <f t="shared" si="12"/>
        <v>-0.15384807409071619</v>
      </c>
      <c r="E28" s="246">
        <f t="shared" si="12"/>
        <v>-0.17556647522338539</v>
      </c>
      <c r="F28" s="246">
        <f t="shared" si="12"/>
        <v>-0.12476132284426793</v>
      </c>
      <c r="G28" s="1065">
        <f t="shared" si="12"/>
        <v>-0.10859950859950859</v>
      </c>
      <c r="H28" s="246">
        <f t="shared" si="12"/>
        <v>-0.11409849575502848</v>
      </c>
      <c r="I28" s="246">
        <f t="shared" si="12"/>
        <v>-0.11186767879911234</v>
      </c>
      <c r="J28" s="246">
        <f t="shared" si="12"/>
        <v>-0.11023482671715601</v>
      </c>
      <c r="K28" s="264" t="e">
        <f t="shared" si="12"/>
        <v>#DIV/0!</v>
      </c>
      <c r="L28" s="264" t="e">
        <f t="shared" si="12"/>
        <v>#DIV/0!</v>
      </c>
      <c r="M28" s="878" t="e">
        <f t="shared" si="12"/>
        <v>#DIV/0!</v>
      </c>
      <c r="N28" s="627"/>
      <c r="O28" s="627"/>
      <c r="P28" s="627"/>
      <c r="Q28" s="627"/>
      <c r="R28" s="627"/>
      <c r="U28" s="1032"/>
      <c r="V28" s="3"/>
      <c r="W28" s="620" t="e">
        <f t="shared" si="0"/>
        <v>#DIV/0!</v>
      </c>
    </row>
    <row r="29" spans="1:23" s="3" customFormat="1" x14ac:dyDescent="0.2">
      <c r="A29" s="2"/>
      <c r="B29" s="1294" t="s">
        <v>704</v>
      </c>
      <c r="C29" s="1272"/>
      <c r="D29" s="246">
        <f>D27/C27-1</f>
        <v>0.11709262280224753</v>
      </c>
      <c r="E29" s="246">
        <f t="shared" ref="E29:M29" si="13">E27/D27-1</f>
        <v>0.13337660230407278</v>
      </c>
      <c r="F29" s="246">
        <f t="shared" si="13"/>
        <v>-0.2984251968503937</v>
      </c>
      <c r="G29" s="1065">
        <f t="shared" si="13"/>
        <v>-9.8051219263340483E-2</v>
      </c>
      <c r="H29" s="246">
        <f t="shared" si="13"/>
        <v>0.13385374063890798</v>
      </c>
      <c r="I29" s="246">
        <f t="shared" si="13"/>
        <v>5.3772848683485419E-2</v>
      </c>
      <c r="J29" s="246">
        <f t="shared" si="13"/>
        <v>3.5859495850259604E-2</v>
      </c>
      <c r="K29" s="264">
        <f t="shared" si="13"/>
        <v>-1</v>
      </c>
      <c r="L29" s="264" t="e">
        <f t="shared" si="13"/>
        <v>#DIV/0!</v>
      </c>
      <c r="M29" s="878" t="e">
        <f t="shared" si="13"/>
        <v>#DIV/0!</v>
      </c>
      <c r="N29" s="627"/>
      <c r="O29" s="627"/>
      <c r="P29" s="627"/>
      <c r="Q29" s="627"/>
      <c r="R29" s="627"/>
      <c r="S29" s="2"/>
      <c r="U29" s="616"/>
      <c r="V29" s="2"/>
      <c r="W29" s="620" t="e">
        <f t="shared" si="0"/>
        <v>#DIV/0!</v>
      </c>
    </row>
    <row r="30" spans="1:23" x14ac:dyDescent="0.2">
      <c r="B30" s="603"/>
      <c r="C30" s="603"/>
      <c r="D30" s="602"/>
      <c r="E30" s="602"/>
      <c r="F30" s="602"/>
      <c r="G30" s="603"/>
      <c r="H30" s="602"/>
      <c r="I30" s="602"/>
      <c r="J30" s="602"/>
      <c r="K30" s="602"/>
      <c r="L30" s="602"/>
      <c r="M30" s="604"/>
      <c r="N30" s="602"/>
      <c r="O30" s="602"/>
      <c r="P30" s="602"/>
      <c r="Q30" s="602"/>
      <c r="R30" s="602"/>
      <c r="S30" s="3"/>
      <c r="U30" s="616"/>
      <c r="W30" s="620" t="e">
        <f t="shared" si="0"/>
        <v>#DIV/0!</v>
      </c>
    </row>
    <row r="31" spans="1:23" x14ac:dyDescent="0.2">
      <c r="A31" s="3"/>
      <c r="B31" s="646" t="s">
        <v>686</v>
      </c>
      <c r="C31" s="634">
        <f>SUM(C24:C27)</f>
        <v>-475.59093484419282</v>
      </c>
      <c r="D31" s="633">
        <f t="shared" ref="D31:M31" si="14">SUM(D24:D27)</f>
        <v>7293.4592658907786</v>
      </c>
      <c r="E31" s="633">
        <f t="shared" si="14"/>
        <v>6848.6401780038141</v>
      </c>
      <c r="F31" s="633">
        <f t="shared" si="14"/>
        <v>11562.373579416311</v>
      </c>
      <c r="G31" s="634">
        <f t="shared" si="14"/>
        <v>14529.872077215878</v>
      </c>
      <c r="H31" s="633">
        <f t="shared" si="14"/>
        <v>15186.9590606573</v>
      </c>
      <c r="I31" s="633">
        <f t="shared" si="14"/>
        <v>18460.080348025549</v>
      </c>
      <c r="J31" s="633">
        <f t="shared" si="14"/>
        <v>20733.071237017612</v>
      </c>
      <c r="K31" s="633">
        <f t="shared" si="14"/>
        <v>0</v>
      </c>
      <c r="L31" s="633">
        <f t="shared" si="14"/>
        <v>0</v>
      </c>
      <c r="M31" s="641">
        <f t="shared" si="14"/>
        <v>0</v>
      </c>
      <c r="N31" s="633"/>
      <c r="O31" s="633"/>
      <c r="P31" s="633"/>
      <c r="Q31" s="633"/>
      <c r="R31" s="633"/>
      <c r="U31" s="616"/>
      <c r="W31" s="620" t="e">
        <f t="shared" si="0"/>
        <v>#DIV/0!</v>
      </c>
    </row>
    <row r="32" spans="1:23" x14ac:dyDescent="0.2">
      <c r="B32" s="643" t="s">
        <v>704</v>
      </c>
      <c r="C32" s="606"/>
      <c r="D32" s="586"/>
      <c r="E32" s="586">
        <f>E31/D31-1</f>
        <v>-6.0988767013102296E-2</v>
      </c>
      <c r="F32" s="586">
        <f>F31/E31-1</f>
        <v>0.68827289489552612</v>
      </c>
      <c r="G32" s="600">
        <f>G31/F31-1</f>
        <v>0.25665132487004194</v>
      </c>
      <c r="H32" s="623">
        <f t="shared" ref="H32" si="15">H31/G31-1</f>
        <v>4.5223177461541031E-2</v>
      </c>
      <c r="I32" s="623">
        <f t="shared" ref="I32" si="16">I31/H31-1</f>
        <v>0.21552183516761159</v>
      </c>
      <c r="J32" s="623">
        <f t="shared" ref="J32" si="17">J31/I31-1</f>
        <v>0.12313006477434851</v>
      </c>
      <c r="K32" s="623">
        <f t="shared" ref="K32" si="18">K31/J31-1</f>
        <v>-1</v>
      </c>
      <c r="L32" s="623" t="e">
        <f t="shared" ref="L32" si="19">L31/K31-1</f>
        <v>#DIV/0!</v>
      </c>
      <c r="M32" s="601" t="e">
        <f t="shared" ref="M32" si="20">M31/L31-1</f>
        <v>#DIV/0!</v>
      </c>
      <c r="N32" s="596"/>
      <c r="O32" s="596"/>
      <c r="P32" s="596"/>
      <c r="Q32" s="596"/>
      <c r="R32" s="596"/>
      <c r="U32" s="616"/>
      <c r="W32" s="620" t="e">
        <f t="shared" si="0"/>
        <v>#DIV/0!</v>
      </c>
    </row>
    <row r="33" spans="1:23" x14ac:dyDescent="0.2">
      <c r="B33" s="607" t="s">
        <v>685</v>
      </c>
      <c r="C33" s="600">
        <f t="shared" ref="C33:M33" si="21">C31/C15</f>
        <v>-6.9533888159450385E-3</v>
      </c>
      <c r="D33" s="586">
        <f t="shared" si="21"/>
        <v>9.1033965724191548E-2</v>
      </c>
      <c r="E33" s="586">
        <f t="shared" si="21"/>
        <v>8.6069550187930458E-2</v>
      </c>
      <c r="F33" s="586">
        <f t="shared" si="21"/>
        <v>0.14718263677049201</v>
      </c>
      <c r="G33" s="600">
        <f t="shared" si="21"/>
        <v>0.17849965696825404</v>
      </c>
      <c r="H33" s="586">
        <f t="shared" si="21"/>
        <v>0.17287868040315219</v>
      </c>
      <c r="I33" s="586">
        <f t="shared" si="21"/>
        <v>0.19551582153658581</v>
      </c>
      <c r="J33" s="586">
        <f t="shared" si="21"/>
        <v>0.20889368223446853</v>
      </c>
      <c r="K33" s="586" t="e">
        <f t="shared" si="21"/>
        <v>#DIV/0!</v>
      </c>
      <c r="L33" s="586" t="e">
        <f t="shared" si="21"/>
        <v>#DIV/0!</v>
      </c>
      <c r="M33" s="605" t="e">
        <f t="shared" si="21"/>
        <v>#DIV/0!</v>
      </c>
      <c r="N33" s="586"/>
      <c r="O33" s="586"/>
      <c r="P33" s="586"/>
      <c r="Q33" s="586"/>
      <c r="R33" s="586"/>
      <c r="U33" s="616"/>
      <c r="W33" s="620" t="e">
        <f t="shared" si="0"/>
        <v>#DIV/0!</v>
      </c>
    </row>
    <row r="34" spans="1:23" x14ac:dyDescent="0.2">
      <c r="B34" s="607"/>
      <c r="C34" s="606"/>
      <c r="D34" s="599"/>
      <c r="E34" s="599"/>
      <c r="F34" s="599"/>
      <c r="G34" s="606"/>
      <c r="H34" s="599"/>
      <c r="I34" s="599"/>
      <c r="J34" s="624"/>
      <c r="K34" s="624"/>
      <c r="L34" s="624"/>
      <c r="M34" s="608"/>
      <c r="N34" s="628"/>
      <c r="O34" s="624"/>
      <c r="P34" s="624"/>
      <c r="Q34" s="624"/>
      <c r="R34" s="624"/>
      <c r="U34" s="616"/>
      <c r="W34" s="620" t="e">
        <f t="shared" si="0"/>
        <v>#DIV/0!</v>
      </c>
    </row>
    <row r="35" spans="1:23" s="3" customFormat="1" x14ac:dyDescent="0.2">
      <c r="A35" s="2"/>
      <c r="B35" s="594" t="s">
        <v>687</v>
      </c>
      <c r="C35" s="606"/>
      <c r="D35" s="599"/>
      <c r="E35" s="610"/>
      <c r="F35" s="610"/>
      <c r="G35" s="609">
        <f t="shared" ref="G35:M35" si="22">((G13-$O$6)+(4-$N$6)/4)</f>
        <v>-0.25</v>
      </c>
      <c r="H35" s="610">
        <f t="shared" si="22"/>
        <v>0.75</v>
      </c>
      <c r="I35" s="610">
        <f t="shared" si="22"/>
        <v>1.75</v>
      </c>
      <c r="J35" s="610">
        <f t="shared" si="22"/>
        <v>2.75</v>
      </c>
      <c r="K35" s="610">
        <f t="shared" si="22"/>
        <v>3.75</v>
      </c>
      <c r="L35" s="610">
        <f t="shared" si="22"/>
        <v>4.75</v>
      </c>
      <c r="M35" s="611">
        <f t="shared" si="22"/>
        <v>5.75</v>
      </c>
      <c r="N35" s="629"/>
      <c r="O35" s="629"/>
      <c r="P35" s="629"/>
      <c r="Q35" s="629"/>
      <c r="R35" s="629"/>
      <c r="S35" s="2"/>
      <c r="U35" s="616"/>
      <c r="V35" s="2"/>
      <c r="W35" s="620" t="e">
        <f t="shared" si="0"/>
        <v>#DIV/0!</v>
      </c>
    </row>
    <row r="36" spans="1:23" x14ac:dyDescent="0.2">
      <c r="B36" s="594" t="s">
        <v>688</v>
      </c>
      <c r="C36" s="594"/>
      <c r="E36" s="610"/>
      <c r="F36" s="610"/>
      <c r="G36" s="609">
        <f t="shared" ref="G36:K36" si="23">IF(G35&gt;0,1/(1+$I$5)^G35,0)</f>
        <v>0</v>
      </c>
      <c r="H36" s="610">
        <f t="shared" si="23"/>
        <v>0.94391346935951248</v>
      </c>
      <c r="I36" s="610">
        <f t="shared" si="23"/>
        <v>0.87399395311065964</v>
      </c>
      <c r="J36" s="610">
        <f t="shared" si="23"/>
        <v>0.80925366028764767</v>
      </c>
      <c r="K36" s="610">
        <f t="shared" si="23"/>
        <v>0.74930894471078491</v>
      </c>
      <c r="L36" s="610">
        <f t="shared" ref="L36:M36" si="24">IF(L35&gt;0,1/(1+$I$5)^L35,0)</f>
        <v>0.69380457843591192</v>
      </c>
      <c r="M36" s="611">
        <f t="shared" si="24"/>
        <v>0.64241164669991835</v>
      </c>
      <c r="N36" s="629"/>
      <c r="O36" s="629"/>
      <c r="P36" s="629"/>
      <c r="Q36" s="629"/>
      <c r="R36" s="629"/>
      <c r="S36" s="3"/>
      <c r="U36" s="616"/>
      <c r="W36" s="620" t="e">
        <f t="shared" si="0"/>
        <v>#DIV/0!</v>
      </c>
    </row>
    <row r="37" spans="1:23" x14ac:dyDescent="0.2">
      <c r="A37" s="3"/>
      <c r="B37" s="647" t="s">
        <v>689</v>
      </c>
      <c r="C37" s="647"/>
      <c r="D37" s="196"/>
      <c r="E37" s="635"/>
      <c r="F37" s="635"/>
      <c r="G37" s="636">
        <f>G31*G36</f>
        <v>0</v>
      </c>
      <c r="H37" s="635">
        <f t="shared" ref="H37:K37" si="25">H31*H36</f>
        <v>14335.175215965915</v>
      </c>
      <c r="I37" s="635">
        <f t="shared" si="25"/>
        <v>16133.998598111251</v>
      </c>
      <c r="J37" s="635">
        <f t="shared" si="25"/>
        <v>16778.313787561048</v>
      </c>
      <c r="K37" s="635">
        <f t="shared" si="25"/>
        <v>0</v>
      </c>
      <c r="L37" s="635">
        <f t="shared" ref="L37:M37" si="26">L31*L36</f>
        <v>0</v>
      </c>
      <c r="M37" s="642">
        <f t="shared" si="26"/>
        <v>0</v>
      </c>
      <c r="N37" s="637"/>
      <c r="O37" s="637"/>
      <c r="P37" s="637"/>
      <c r="Q37" s="637"/>
      <c r="R37" s="637"/>
      <c r="U37" s="616"/>
      <c r="W37" s="620" t="e">
        <f t="shared" si="0"/>
        <v>#DIV/0!</v>
      </c>
    </row>
    <row r="38" spans="1:23" x14ac:dyDescent="0.2">
      <c r="E38" s="612"/>
      <c r="F38" s="613"/>
      <c r="G38" s="613"/>
      <c r="H38" s="613"/>
      <c r="I38" s="613"/>
      <c r="J38" s="613"/>
      <c r="K38" s="613"/>
      <c r="L38" s="613"/>
      <c r="M38" s="613"/>
      <c r="N38" s="613"/>
      <c r="O38" s="613"/>
      <c r="P38" s="613"/>
      <c r="Q38" s="613"/>
      <c r="R38" s="613"/>
      <c r="U38" s="616"/>
      <c r="W38" s="620" t="e">
        <f t="shared" si="0"/>
        <v>#DIV/0!</v>
      </c>
    </row>
    <row r="39" spans="1:23" x14ac:dyDescent="0.2">
      <c r="B39" s="2" t="s">
        <v>690</v>
      </c>
      <c r="C39" s="596">
        <f>M31*(1+L11)/(I5-L11)</f>
        <v>0</v>
      </c>
      <c r="D39" s="167" t="s">
        <v>691</v>
      </c>
      <c r="U39" s="616"/>
      <c r="W39" s="620" t="e">
        <f t="shared" si="0"/>
        <v>#DIV/0!</v>
      </c>
    </row>
    <row r="40" spans="1:23" x14ac:dyDescent="0.2">
      <c r="B40" s="2" t="s">
        <v>692</v>
      </c>
      <c r="C40" s="596">
        <f>C39*M36</f>
        <v>0</v>
      </c>
      <c r="D40" s="586">
        <f>+C40/C41</f>
        <v>0</v>
      </c>
      <c r="U40" s="616"/>
      <c r="W40" s="620" t="e">
        <f t="shared" si="0"/>
        <v>#DIV/0!</v>
      </c>
    </row>
    <row r="41" spans="1:23" x14ac:dyDescent="0.2">
      <c r="B41" s="614" t="s">
        <v>693</v>
      </c>
      <c r="C41" s="615">
        <f>SUM(G37:M37,C40)</f>
        <v>47247.487601638219</v>
      </c>
      <c r="D41" s="167"/>
      <c r="E41" s="576"/>
      <c r="F41" s="576"/>
      <c r="G41" s="576"/>
      <c r="H41" s="576"/>
      <c r="I41" s="576"/>
      <c r="J41" s="576"/>
      <c r="K41" s="576"/>
      <c r="L41" s="576"/>
      <c r="M41" s="161"/>
      <c r="N41" s="173"/>
      <c r="O41" s="576"/>
      <c r="P41" s="576"/>
      <c r="Q41" s="576"/>
      <c r="R41" s="576"/>
      <c r="U41" s="616"/>
      <c r="W41" s="620" t="e">
        <f t="shared" si="0"/>
        <v>#DIV/0!</v>
      </c>
    </row>
    <row r="42" spans="1:23" x14ac:dyDescent="0.2">
      <c r="B42" s="2" t="s">
        <v>921</v>
      </c>
      <c r="C42" s="5">
        <f>I6</f>
        <v>87997</v>
      </c>
      <c r="D42" s="160"/>
      <c r="F42" s="616"/>
      <c r="H42" s="617"/>
      <c r="I42" s="617"/>
      <c r="J42" s="617"/>
      <c r="K42" s="617"/>
      <c r="L42" s="617"/>
      <c r="M42" s="617"/>
      <c r="U42" s="616"/>
      <c r="W42" s="620" t="e">
        <f t="shared" si="0"/>
        <v>#DIV/0!</v>
      </c>
    </row>
    <row r="43" spans="1:23" x14ac:dyDescent="0.2">
      <c r="B43" s="2" t="s">
        <v>694</v>
      </c>
      <c r="C43" s="5">
        <f>+INDEX('FC - 3FS'!69:69, MATCH(Valuation!C4,'FC - 3FS'!4:4, 0))</f>
        <v>12003</v>
      </c>
      <c r="F43" s="616"/>
      <c r="U43" s="616"/>
      <c r="W43" s="620" t="e">
        <f t="shared" si="0"/>
        <v>#DIV/0!</v>
      </c>
    </row>
    <row r="44" spans="1:23" x14ac:dyDescent="0.2">
      <c r="B44" s="2" t="s">
        <v>695</v>
      </c>
      <c r="C44" s="5">
        <f>+C41-C42+C43</f>
        <v>-28746.512398361781</v>
      </c>
      <c r="D44" s="5"/>
      <c r="E44" s="5"/>
      <c r="U44" s="616"/>
      <c r="W44" s="620" t="e">
        <f t="shared" si="0"/>
        <v>#DIV/0!</v>
      </c>
    </row>
    <row r="45" spans="1:23" x14ac:dyDescent="0.2">
      <c r="B45" s="2" t="s">
        <v>696</v>
      </c>
      <c r="C45" s="5">
        <f>C44*(1+I10)</f>
        <v>-31448.68456380779</v>
      </c>
      <c r="D45" s="5"/>
      <c r="E45" s="5"/>
      <c r="U45" s="616"/>
      <c r="W45" s="620" t="e">
        <f t="shared" si="0"/>
        <v>#DIV/0!</v>
      </c>
    </row>
    <row r="46" spans="1:23" x14ac:dyDescent="0.2">
      <c r="B46" s="2" t="s">
        <v>697</v>
      </c>
      <c r="C46" s="5">
        <f>INDEX('FC - 3FS'!39:39, MATCH(Valuation!C5,'FC - 3FS'!4:4, 0))</f>
        <v>1120.5853765396919</v>
      </c>
      <c r="D46" s="617"/>
      <c r="E46" s="617"/>
      <c r="U46" s="616"/>
      <c r="W46" s="620" t="e">
        <f t="shared" si="0"/>
        <v>#DIV/0!</v>
      </c>
    </row>
    <row r="47" spans="1:23" x14ac:dyDescent="0.2">
      <c r="U47" s="616"/>
      <c r="W47" s="620" t="e">
        <f t="shared" si="0"/>
        <v>#DIV/0!</v>
      </c>
    </row>
    <row r="48" spans="1:23" x14ac:dyDescent="0.2">
      <c r="B48" s="618" t="s">
        <v>698</v>
      </c>
      <c r="C48" s="619">
        <f>ROUND(C45/C46,0)</f>
        <v>-28</v>
      </c>
      <c r="D48" s="167"/>
      <c r="E48" s="167"/>
      <c r="U48" s="616"/>
      <c r="W48" s="620" t="e">
        <f t="shared" si="0"/>
        <v>#DIV/0!</v>
      </c>
    </row>
    <row r="49" spans="2:23" x14ac:dyDescent="0.2">
      <c r="B49" s="2" t="s">
        <v>676</v>
      </c>
      <c r="C49" s="585">
        <f>C48/C6-1</f>
        <v>-1.1078416268679709</v>
      </c>
      <c r="U49" s="616"/>
      <c r="W49" s="620" t="e">
        <f t="shared" si="0"/>
        <v>#DIV/0!</v>
      </c>
    </row>
    <row r="50" spans="2:23" x14ac:dyDescent="0.2">
      <c r="U50" s="616"/>
      <c r="W50" s="620" t="e">
        <f t="shared" si="0"/>
        <v>#DIV/0!</v>
      </c>
    </row>
    <row r="51" spans="2:23" x14ac:dyDescent="0.2">
      <c r="U51" s="616"/>
      <c r="W51" s="620" t="e">
        <f t="shared" si="0"/>
        <v>#DIV/0!</v>
      </c>
    </row>
    <row r="52" spans="2:23" ht="12.75" x14ac:dyDescent="0.2">
      <c r="B52" s="574" t="s">
        <v>711</v>
      </c>
      <c r="C52" s="574"/>
      <c r="D52" s="574"/>
      <c r="E52" s="574"/>
      <c r="F52" s="574"/>
      <c r="G52" s="574"/>
      <c r="H52" s="574"/>
      <c r="I52" s="574"/>
      <c r="J52" s="574"/>
      <c r="K52" s="574"/>
      <c r="L52" s="574"/>
      <c r="M52" s="574"/>
      <c r="N52" s="574"/>
      <c r="O52" s="574"/>
      <c r="P52" s="574"/>
      <c r="Q52" s="653"/>
      <c r="R52" s="653"/>
      <c r="U52" s="616"/>
      <c r="W52" s="620" t="e">
        <f t="shared" si="0"/>
        <v>#DIV/0!</v>
      </c>
    </row>
    <row r="53" spans="2:23" ht="14.25" x14ac:dyDescent="0.2">
      <c r="B53"/>
      <c r="C53"/>
      <c r="D53"/>
      <c r="E53"/>
      <c r="F53"/>
      <c r="G53"/>
      <c r="H53"/>
      <c r="I53"/>
      <c r="J53"/>
      <c r="K53"/>
      <c r="L53"/>
      <c r="M53"/>
      <c r="N53"/>
      <c r="O53"/>
      <c r="P53"/>
      <c r="Q53"/>
      <c r="R53"/>
      <c r="U53" s="616"/>
      <c r="W53" s="620" t="e">
        <f t="shared" si="0"/>
        <v>#DIV/0!</v>
      </c>
    </row>
    <row r="54" spans="2:23" ht="14.25" x14ac:dyDescent="0.2">
      <c r="B54" s="3" t="s">
        <v>712</v>
      </c>
      <c r="C54" s="590" t="str">
        <f>IF($N$6=4,"1Q"&amp;RIGHT($O$6,2)+1,$N$6+1&amp;"Q"&amp;RIGHT($O$6,2))</f>
        <v>2Q25</v>
      </c>
      <c r="D54" s="590" t="str">
        <f>IF(LEFT(C54,1)="4","1Q"&amp;RIGHT(C54,2)+1,LEFT(C54,1)+1&amp;"Q"&amp;RIGHT(C54,2))</f>
        <v>3Q25</v>
      </c>
      <c r="E54" s="590" t="str">
        <f t="shared" ref="E54:F54" si="27">IF(LEFT(D54,1)="4","1Q"&amp;RIGHT(D54,2)+1,LEFT(D54,1)+1&amp;"Q"&amp;RIGHT(D54,2))</f>
        <v>4Q25</v>
      </c>
      <c r="F54" s="590" t="str">
        <f t="shared" si="27"/>
        <v>1Q26</v>
      </c>
      <c r="G54" s="658" t="s">
        <v>714</v>
      </c>
      <c r="H54" s="270" t="s">
        <v>927</v>
      </c>
      <c r="I54" s="270" t="s">
        <v>923</v>
      </c>
      <c r="J54"/>
      <c r="K54"/>
      <c r="L54"/>
      <c r="M54"/>
      <c r="N54"/>
      <c r="O54"/>
      <c r="P54"/>
      <c r="Q54"/>
      <c r="R54"/>
      <c r="U54" s="616"/>
      <c r="W54" s="620" t="e">
        <f t="shared" si="0"/>
        <v>#DIV/0!</v>
      </c>
    </row>
    <row r="55" spans="2:23" ht="14.25" x14ac:dyDescent="0.2">
      <c r="B55" s="2" t="s">
        <v>684</v>
      </c>
      <c r="C55" s="657">
        <f>INDEX('FC - 3FS'!14:14, MATCH(Valuation!C54, 'FC - 3FS'!4:4,0))</f>
        <v>21132</v>
      </c>
      <c r="D55" s="657">
        <f>INDEX('FC - 3FS'!14:14, MATCH(Valuation!D54, 'FC - 3FS'!4:4,0))</f>
        <v>21957</v>
      </c>
      <c r="E55" s="657">
        <f>INDEX('FC - 3FS'!14:14, MATCH(Valuation!E54, 'FC - 3FS'!4:4,0))</f>
        <v>23872.495279587929</v>
      </c>
      <c r="F55" s="657">
        <f>INDEX('FC - 3FS'!14:14, MATCH(Valuation!F54, 'FC - 3FS'!4:4,0))</f>
        <v>22550.284677636831</v>
      </c>
      <c r="G55" s="659">
        <f>+SUM(C55:F55)</f>
        <v>89511.77995722476</v>
      </c>
      <c r="H55" s="1270">
        <f>'FC - 3FS'!AQ14</f>
        <v>87847.495279587922</v>
      </c>
      <c r="I55" s="1270">
        <f>Consensus!AA6</f>
        <v>86037.607000000004</v>
      </c>
      <c r="J55"/>
      <c r="K55"/>
      <c r="L55"/>
      <c r="M55"/>
      <c r="N55"/>
      <c r="O55"/>
      <c r="P55"/>
      <c r="Q55"/>
      <c r="R55"/>
      <c r="U55" s="616"/>
      <c r="W55" s="620" t="e">
        <f t="shared" si="0"/>
        <v>#DIV/0!</v>
      </c>
    </row>
    <row r="56" spans="2:23" ht="14.25" x14ac:dyDescent="0.2">
      <c r="B56" s="2" t="s">
        <v>546</v>
      </c>
      <c r="C56" s="657">
        <f>INDEX('FC - 3FS'!56:56, MATCH(Valuation!C$54, 'FC - 3FS'!$4:$4,0))</f>
        <v>8547</v>
      </c>
      <c r="D56" s="657">
        <f>INDEX('FC - 3FS'!56:56, MATCH(Valuation!D$54, 'FC - 3FS'!$4:$4,0))</f>
        <v>8684</v>
      </c>
      <c r="E56" s="657">
        <f>INDEX('FC - 3FS'!56:56, MATCH(Valuation!E$54, 'FC - 3FS'!$4:$4,0))</f>
        <v>8394.3924876278943</v>
      </c>
      <c r="F56" s="657">
        <f>INDEX('FC - 3FS'!56:56, MATCH(Valuation!F$54, 'FC - 3FS'!$4:$4,0))</f>
        <v>9279.30164781641</v>
      </c>
      <c r="G56" s="659">
        <f t="shared" ref="G56:G58" si="28">+SUM(C56:F56)</f>
        <v>34904.694135444304</v>
      </c>
      <c r="H56" s="1270">
        <f>'FC - 3FS'!AQ56</f>
        <v>33884.392487627898</v>
      </c>
      <c r="I56" s="1270">
        <f>Consensus!AA22</f>
        <v>33463.739000000001</v>
      </c>
      <c r="J56"/>
      <c r="K56"/>
      <c r="L56"/>
      <c r="M56"/>
      <c r="N56"/>
      <c r="O56"/>
      <c r="P56"/>
      <c r="Q56"/>
      <c r="R56"/>
      <c r="U56" s="616"/>
      <c r="W56" s="620" t="e">
        <f t="shared" si="0"/>
        <v>#DIV/0!</v>
      </c>
    </row>
    <row r="57" spans="2:23" ht="14.25" x14ac:dyDescent="0.2">
      <c r="B57" s="2" t="s">
        <v>559</v>
      </c>
      <c r="C57" s="657">
        <f>INDEX('FC - 3FS'!23:23, MATCH(Valuation!C$54, 'FC - 3FS'!$4:$4,0))</f>
        <v>5213</v>
      </c>
      <c r="D57" s="657">
        <f>INDEX('FC - 3FS'!23:23, MATCH(Valuation!D$54, 'FC - 3FS'!$4:$4,0))</f>
        <v>4530</v>
      </c>
      <c r="E57" s="657">
        <f>INDEX('FC - 3FS'!23:23, MATCH(Valuation!E$54, 'FC - 3FS'!$4:$4,0))</f>
        <v>4036.3442783097198</v>
      </c>
      <c r="F57" s="657">
        <f>INDEX('FC - 3FS'!23:23, MATCH(Valuation!F$54, 'FC - 3FS'!$4:$4,0))</f>
        <v>4950.2703791280146</v>
      </c>
      <c r="G57" s="659">
        <f t="shared" si="28"/>
        <v>18729.614657437734</v>
      </c>
      <c r="H57" s="1270">
        <f>'FC - 3FS'!AQ23</f>
        <v>18579.344278309713</v>
      </c>
      <c r="I57" s="1270">
        <f>Consensus!AA14</f>
        <v>19729.905334106181</v>
      </c>
      <c r="J57"/>
      <c r="K57"/>
      <c r="L57"/>
      <c r="M57"/>
      <c r="N57"/>
      <c r="O57"/>
      <c r="P57"/>
      <c r="Q57"/>
      <c r="R57"/>
      <c r="U57" s="616"/>
      <c r="W57" s="620" t="e">
        <f t="shared" si="0"/>
        <v>#DIV/0!</v>
      </c>
    </row>
    <row r="58" spans="2:23" ht="14.25" x14ac:dyDescent="0.2">
      <c r="B58" s="2" t="s">
        <v>713</v>
      </c>
      <c r="C58" s="160">
        <f>INDEX('FC - 3FS'!36:36, MATCH(Valuation!C$54, 'FC - 3FS'!$4:$4,0))</f>
        <v>2.8391493272054089</v>
      </c>
      <c r="D58" s="160">
        <f>INDEX('FC - 3FS'!36:36, MATCH(Valuation!D$54, 'FC - 3FS'!$4:$4,0))</f>
        <v>2.4089590383125925</v>
      </c>
      <c r="E58" s="160">
        <f>INDEX('FC - 3FS'!36:36, MATCH(Valuation!E$54, 'FC - 3FS'!$4:$4,0))</f>
        <v>1.9960941321045262</v>
      </c>
      <c r="F58" s="160">
        <f>INDEX('FC - 3FS'!36:36, MATCH(Valuation!F$54, 'FC - 3FS'!$4:$4,0))</f>
        <v>2.7042673730801008</v>
      </c>
      <c r="G58" s="660">
        <f t="shared" si="28"/>
        <v>9.9484698707026276</v>
      </c>
      <c r="H58" s="1269">
        <f>'FC - 3FS'!AQ36</f>
        <v>9.8240184542161391</v>
      </c>
      <c r="I58" s="1269">
        <f>Consensus!AA46</f>
        <v>10.732000000000001</v>
      </c>
      <c r="J58"/>
      <c r="K58"/>
      <c r="L58"/>
      <c r="M58"/>
      <c r="N58"/>
      <c r="O58"/>
      <c r="P58"/>
      <c r="Q58"/>
      <c r="R58"/>
      <c r="U58" s="616"/>
      <c r="W58" s="620" t="e">
        <f t="shared" si="0"/>
        <v>#DIV/0!</v>
      </c>
    </row>
    <row r="59" spans="2:23" ht="14.25" x14ac:dyDescent="0.2">
      <c r="D59" s="654"/>
      <c r="E59" s="654"/>
      <c r="F59" s="654"/>
      <c r="G59"/>
      <c r="H59"/>
      <c r="I59"/>
      <c r="J59"/>
      <c r="K59"/>
      <c r="L59"/>
      <c r="M59"/>
      <c r="N59"/>
      <c r="O59"/>
      <c r="P59"/>
      <c r="Q59"/>
      <c r="R59"/>
      <c r="U59" s="616"/>
      <c r="W59" s="620" t="e">
        <f t="shared" si="0"/>
        <v>#DIV/0!</v>
      </c>
    </row>
    <row r="60" spans="2:23" ht="14.25" x14ac:dyDescent="0.2">
      <c r="C60" s="2" t="s">
        <v>933</v>
      </c>
      <c r="E60" s="2" t="s">
        <v>932</v>
      </c>
      <c r="F60"/>
      <c r="G60" s="2" t="s">
        <v>926</v>
      </c>
      <c r="H60" s="655"/>
      <c r="I60"/>
      <c r="J60"/>
      <c r="K60"/>
      <c r="L60"/>
      <c r="M60"/>
      <c r="N60"/>
      <c r="O60"/>
      <c r="P60"/>
      <c r="Q60"/>
      <c r="R60"/>
      <c r="U60" s="616"/>
      <c r="W60" s="620" t="e">
        <f t="shared" si="0"/>
        <v>#DIV/0!</v>
      </c>
    </row>
    <row r="61" spans="2:23" ht="14.25" x14ac:dyDescent="0.2">
      <c r="B61" s="572" t="s">
        <v>408</v>
      </c>
      <c r="C61" s="1080">
        <f>C45</f>
        <v>-31448.68456380779</v>
      </c>
      <c r="E61" s="1080">
        <f>C10*L9</f>
        <v>309056.93018999998</v>
      </c>
      <c r="F61"/>
      <c r="G61" s="1080">
        <f>C6*L9</f>
        <v>297198.30131308001</v>
      </c>
      <c r="H61"/>
      <c r="I61"/>
      <c r="J61"/>
      <c r="K61"/>
      <c r="L61"/>
      <c r="M61"/>
      <c r="N61"/>
      <c r="O61"/>
      <c r="P61"/>
      <c r="Q61"/>
      <c r="R61"/>
      <c r="U61" s="616"/>
      <c r="W61" s="620" t="e">
        <f t="shared" si="0"/>
        <v>#DIV/0!</v>
      </c>
    </row>
    <row r="62" spans="2:23" ht="14.25" x14ac:dyDescent="0.2">
      <c r="B62" s="572" t="s">
        <v>412</v>
      </c>
      <c r="C62" s="573">
        <f>C41*(1+I5)</f>
        <v>51027.286609769282</v>
      </c>
      <c r="E62" s="573">
        <f>E61+C42-C43</f>
        <v>385050.93018999998</v>
      </c>
      <c r="F62"/>
      <c r="G62" s="573">
        <f>G61+C42-C43</f>
        <v>373192.30131308001</v>
      </c>
      <c r="H62"/>
      <c r="I62"/>
      <c r="J62"/>
      <c r="K62"/>
      <c r="L62"/>
      <c r="M62"/>
      <c r="N62"/>
      <c r="O62"/>
      <c r="P62"/>
      <c r="Q62"/>
      <c r="R62"/>
      <c r="U62" s="616"/>
      <c r="W62" s="620" t="e">
        <f t="shared" si="0"/>
        <v>#DIV/0!</v>
      </c>
    </row>
    <row r="63" spans="2:23" ht="14.25" x14ac:dyDescent="0.2">
      <c r="C63" s="1271" t="s">
        <v>712</v>
      </c>
      <c r="D63" s="3">
        <v>2025</v>
      </c>
      <c r="E63" s="2" t="s">
        <v>923</v>
      </c>
      <c r="G63" s="2">
        <v>2025</v>
      </c>
      <c r="H63" s="136" t="s">
        <v>712</v>
      </c>
      <c r="I63"/>
      <c r="J63"/>
      <c r="K63"/>
      <c r="L63"/>
      <c r="M63"/>
      <c r="N63"/>
      <c r="O63"/>
      <c r="P63"/>
      <c r="Q63"/>
      <c r="R63"/>
      <c r="U63" s="616"/>
      <c r="W63" s="620" t="e">
        <f t="shared" si="0"/>
        <v>#DIV/0!</v>
      </c>
    </row>
    <row r="64" spans="2:23" ht="14.25" x14ac:dyDescent="0.2">
      <c r="B64" s="656" t="s">
        <v>917</v>
      </c>
      <c r="C64" s="661">
        <f>$C$62/$G56</f>
        <v>1.4619032732893407</v>
      </c>
      <c r="D64" s="661">
        <f>$C$62/$H56</f>
        <v>1.5059230183454142</v>
      </c>
      <c r="E64" s="662">
        <f>$E$62/I56</f>
        <v>11.506512472799288</v>
      </c>
      <c r="G64" s="662">
        <f>G62/I56</f>
        <v>11.152139971958304</v>
      </c>
      <c r="H64" s="555">
        <v>8.2818274559898075</v>
      </c>
      <c r="I64"/>
      <c r="J64"/>
      <c r="K64"/>
      <c r="L64"/>
      <c r="M64"/>
      <c r="N64"/>
      <c r="O64"/>
      <c r="P64"/>
      <c r="Q64"/>
      <c r="R64"/>
      <c r="U64" s="616"/>
      <c r="W64" s="620" t="e">
        <f t="shared" si="0"/>
        <v>#DIV/0!</v>
      </c>
    </row>
    <row r="65" spans="2:23" ht="12.75" x14ac:dyDescent="0.2">
      <c r="B65" s="656" t="s">
        <v>920</v>
      </c>
      <c r="C65" s="661">
        <f>$C$62/$G57</f>
        <v>2.7244173221420649</v>
      </c>
      <c r="D65" s="661">
        <f>$C$62/$H57</f>
        <v>2.7464525036731584</v>
      </c>
      <c r="E65" s="662">
        <f>$E$62/I57</f>
        <v>19.516106320306573</v>
      </c>
      <c r="G65" s="662">
        <f>G62/I57</f>
        <v>18.915057877543873</v>
      </c>
      <c r="H65" s="555">
        <v>15.056695044172479</v>
      </c>
      <c r="U65" s="616"/>
      <c r="W65" s="620" t="e">
        <f t="shared" si="0"/>
        <v>#DIV/0!</v>
      </c>
    </row>
    <row r="66" spans="2:23" ht="12.75" x14ac:dyDescent="0.2">
      <c r="B66" s="656" t="s">
        <v>918</v>
      </c>
      <c r="C66" s="661">
        <f>$C$48/$G58</f>
        <v>-2.8145031712321456</v>
      </c>
      <c r="D66" s="661">
        <f>$C$48/$H58</f>
        <v>-2.8501575124773244</v>
      </c>
      <c r="E66" s="1276">
        <f>C10/I58</f>
        <v>25.158404770778976</v>
      </c>
      <c r="G66" s="1276">
        <f>L10/I58</f>
        <v>24.193067461796492</v>
      </c>
      <c r="H66" s="662">
        <v>18.739495798319325</v>
      </c>
      <c r="U66" s="616"/>
      <c r="W66" s="620" t="e">
        <f t="shared" si="0"/>
        <v>#DIV/0!</v>
      </c>
    </row>
    <row r="67" spans="2:23" ht="12.75" x14ac:dyDescent="0.2">
      <c r="B67" s="656" t="s">
        <v>919</v>
      </c>
      <c r="C67" s="661">
        <f>$C$62/$G55</f>
        <v>0.57006224917160431</v>
      </c>
      <c r="D67" s="661">
        <f>$C$62/$H55</f>
        <v>0.58086216854979456</v>
      </c>
      <c r="H67" s="555">
        <v>3.6183573116883267</v>
      </c>
      <c r="U67" s="616"/>
      <c r="W67" s="620" t="e">
        <f t="shared" si="0"/>
        <v>#DIV/0!</v>
      </c>
    </row>
    <row r="68" spans="2:23" x14ac:dyDescent="0.2">
      <c r="B68" s="1268"/>
      <c r="H68" s="1267"/>
      <c r="U68" s="616"/>
      <c r="W68" s="620" t="e">
        <f t="shared" ref="W68:W131" si="29">AVERAGE($V$4:$V$2517)</f>
        <v>#DIV/0!</v>
      </c>
    </row>
    <row r="69" spans="2:23" ht="14.25" x14ac:dyDescent="0.2">
      <c r="B69" s="572"/>
      <c r="C69" s="1080"/>
      <c r="D69"/>
      <c r="U69" s="616"/>
      <c r="W69" s="620" t="e">
        <f t="shared" si="29"/>
        <v>#DIV/0!</v>
      </c>
    </row>
    <row r="70" spans="2:23" ht="12.75" x14ac:dyDescent="0.2">
      <c r="B70" s="572"/>
      <c r="C70" s="573"/>
      <c r="U70" s="616"/>
      <c r="W70" s="620" t="e">
        <f t="shared" si="29"/>
        <v>#DIV/0!</v>
      </c>
    </row>
    <row r="71" spans="2:23" ht="12.75" x14ac:dyDescent="0.2">
      <c r="B71" s="656"/>
      <c r="C71" s="661"/>
      <c r="D71" s="662"/>
      <c r="U71" s="616"/>
      <c r="W71" s="620" t="e">
        <f t="shared" si="29"/>
        <v>#DIV/0!</v>
      </c>
    </row>
    <row r="72" spans="2:23" ht="12.75" x14ac:dyDescent="0.2">
      <c r="B72" s="656"/>
      <c r="C72" s="661"/>
      <c r="D72" s="662"/>
      <c r="U72" s="616"/>
      <c r="W72" s="620" t="e">
        <f t="shared" si="29"/>
        <v>#DIV/0!</v>
      </c>
    </row>
    <row r="73" spans="2:23" ht="12.75" x14ac:dyDescent="0.2">
      <c r="B73" s="656"/>
      <c r="C73" s="661"/>
      <c r="D73" s="662"/>
      <c r="U73" s="616"/>
      <c r="W73" s="620" t="e">
        <f t="shared" si="29"/>
        <v>#DIV/0!</v>
      </c>
    </row>
    <row r="74" spans="2:23" ht="12.75" x14ac:dyDescent="0.2">
      <c r="B74" s="656"/>
      <c r="C74" s="661"/>
      <c r="D74" s="555"/>
      <c r="U74" s="616"/>
      <c r="W74" s="620" t="e">
        <f t="shared" si="29"/>
        <v>#DIV/0!</v>
      </c>
    </row>
    <row r="75" spans="2:23" x14ac:dyDescent="0.2">
      <c r="U75" s="616"/>
      <c r="W75" s="620" t="e">
        <f t="shared" si="29"/>
        <v>#DIV/0!</v>
      </c>
    </row>
    <row r="76" spans="2:23" x14ac:dyDescent="0.2">
      <c r="U76" s="616"/>
      <c r="W76" s="620" t="e">
        <f t="shared" si="29"/>
        <v>#DIV/0!</v>
      </c>
    </row>
    <row r="77" spans="2:23" x14ac:dyDescent="0.2">
      <c r="U77" s="616"/>
      <c r="W77" s="620" t="e">
        <f t="shared" si="29"/>
        <v>#DIV/0!</v>
      </c>
    </row>
    <row r="78" spans="2:23" x14ac:dyDescent="0.2">
      <c r="U78" s="616"/>
      <c r="W78" s="620" t="e">
        <f t="shared" si="29"/>
        <v>#DIV/0!</v>
      </c>
    </row>
    <row r="79" spans="2:23" x14ac:dyDescent="0.2">
      <c r="U79" s="616"/>
      <c r="W79" s="620" t="e">
        <f t="shared" si="29"/>
        <v>#DIV/0!</v>
      </c>
    </row>
    <row r="80" spans="2:23" x14ac:dyDescent="0.2">
      <c r="U80" s="616"/>
      <c r="W80" s="620" t="e">
        <f t="shared" si="29"/>
        <v>#DIV/0!</v>
      </c>
    </row>
    <row r="81" spans="21:23" x14ac:dyDescent="0.2">
      <c r="U81" s="616"/>
      <c r="W81" s="620" t="e">
        <f t="shared" si="29"/>
        <v>#DIV/0!</v>
      </c>
    </row>
    <row r="82" spans="21:23" x14ac:dyDescent="0.2">
      <c r="U82" s="616"/>
      <c r="W82" s="620" t="e">
        <f t="shared" si="29"/>
        <v>#DIV/0!</v>
      </c>
    </row>
    <row r="83" spans="21:23" x14ac:dyDescent="0.2">
      <c r="U83" s="616"/>
      <c r="W83" s="620" t="e">
        <f t="shared" si="29"/>
        <v>#DIV/0!</v>
      </c>
    </row>
    <row r="84" spans="21:23" x14ac:dyDescent="0.2">
      <c r="U84" s="616"/>
      <c r="W84" s="620" t="e">
        <f t="shared" si="29"/>
        <v>#DIV/0!</v>
      </c>
    </row>
    <row r="85" spans="21:23" x14ac:dyDescent="0.2">
      <c r="U85" s="616"/>
      <c r="W85" s="620" t="e">
        <f t="shared" si="29"/>
        <v>#DIV/0!</v>
      </c>
    </row>
    <row r="86" spans="21:23" x14ac:dyDescent="0.2">
      <c r="U86" s="616"/>
      <c r="W86" s="620" t="e">
        <f t="shared" si="29"/>
        <v>#DIV/0!</v>
      </c>
    </row>
    <row r="87" spans="21:23" x14ac:dyDescent="0.2">
      <c r="U87" s="616"/>
      <c r="W87" s="620" t="e">
        <f t="shared" si="29"/>
        <v>#DIV/0!</v>
      </c>
    </row>
    <row r="88" spans="21:23" x14ac:dyDescent="0.2">
      <c r="U88" s="616"/>
      <c r="W88" s="620" t="e">
        <f t="shared" si="29"/>
        <v>#DIV/0!</v>
      </c>
    </row>
    <row r="89" spans="21:23" x14ac:dyDescent="0.2">
      <c r="U89" s="616"/>
      <c r="W89" s="620" t="e">
        <f t="shared" si="29"/>
        <v>#DIV/0!</v>
      </c>
    </row>
    <row r="90" spans="21:23" x14ac:dyDescent="0.2">
      <c r="U90" s="616"/>
      <c r="W90" s="620" t="e">
        <f t="shared" si="29"/>
        <v>#DIV/0!</v>
      </c>
    </row>
    <row r="91" spans="21:23" x14ac:dyDescent="0.2">
      <c r="U91" s="616"/>
      <c r="W91" s="620" t="e">
        <f t="shared" si="29"/>
        <v>#DIV/0!</v>
      </c>
    </row>
    <row r="92" spans="21:23" x14ac:dyDescent="0.2">
      <c r="U92" s="616"/>
      <c r="W92" s="620" t="e">
        <f t="shared" si="29"/>
        <v>#DIV/0!</v>
      </c>
    </row>
    <row r="93" spans="21:23" x14ac:dyDescent="0.2">
      <c r="U93" s="616"/>
      <c r="W93" s="620" t="e">
        <f t="shared" si="29"/>
        <v>#DIV/0!</v>
      </c>
    </row>
    <row r="94" spans="21:23" x14ac:dyDescent="0.2">
      <c r="U94" s="616"/>
      <c r="W94" s="620" t="e">
        <f t="shared" si="29"/>
        <v>#DIV/0!</v>
      </c>
    </row>
    <row r="95" spans="21:23" x14ac:dyDescent="0.2">
      <c r="U95" s="616"/>
      <c r="W95" s="620" t="e">
        <f t="shared" si="29"/>
        <v>#DIV/0!</v>
      </c>
    </row>
    <row r="96" spans="21:23" x14ac:dyDescent="0.2">
      <c r="U96" s="616"/>
      <c r="W96" s="620" t="e">
        <f t="shared" si="29"/>
        <v>#DIV/0!</v>
      </c>
    </row>
    <row r="97" spans="21:23" x14ac:dyDescent="0.2">
      <c r="U97" s="616"/>
      <c r="W97" s="620" t="e">
        <f t="shared" si="29"/>
        <v>#DIV/0!</v>
      </c>
    </row>
    <row r="98" spans="21:23" x14ac:dyDescent="0.2">
      <c r="U98" s="616"/>
      <c r="W98" s="620" t="e">
        <f t="shared" si="29"/>
        <v>#DIV/0!</v>
      </c>
    </row>
    <row r="99" spans="21:23" x14ac:dyDescent="0.2">
      <c r="U99" s="616"/>
      <c r="W99" s="620" t="e">
        <f t="shared" si="29"/>
        <v>#DIV/0!</v>
      </c>
    </row>
    <row r="100" spans="21:23" x14ac:dyDescent="0.2">
      <c r="U100" s="616"/>
      <c r="W100" s="620" t="e">
        <f t="shared" si="29"/>
        <v>#DIV/0!</v>
      </c>
    </row>
    <row r="101" spans="21:23" x14ac:dyDescent="0.2">
      <c r="U101" s="616"/>
      <c r="W101" s="620" t="e">
        <f t="shared" si="29"/>
        <v>#DIV/0!</v>
      </c>
    </row>
    <row r="102" spans="21:23" x14ac:dyDescent="0.2">
      <c r="U102" s="616"/>
      <c r="W102" s="620" t="e">
        <f t="shared" si="29"/>
        <v>#DIV/0!</v>
      </c>
    </row>
    <row r="103" spans="21:23" x14ac:dyDescent="0.2">
      <c r="U103" s="616"/>
      <c r="W103" s="620" t="e">
        <f t="shared" si="29"/>
        <v>#DIV/0!</v>
      </c>
    </row>
    <row r="104" spans="21:23" x14ac:dyDescent="0.2">
      <c r="U104" s="616"/>
      <c r="W104" s="620" t="e">
        <f t="shared" si="29"/>
        <v>#DIV/0!</v>
      </c>
    </row>
    <row r="105" spans="21:23" x14ac:dyDescent="0.2">
      <c r="U105" s="616"/>
      <c r="W105" s="620" t="e">
        <f t="shared" si="29"/>
        <v>#DIV/0!</v>
      </c>
    </row>
    <row r="106" spans="21:23" x14ac:dyDescent="0.2">
      <c r="U106" s="616"/>
      <c r="W106" s="620" t="e">
        <f t="shared" si="29"/>
        <v>#DIV/0!</v>
      </c>
    </row>
    <row r="107" spans="21:23" x14ac:dyDescent="0.2">
      <c r="U107" s="616"/>
      <c r="W107" s="620" t="e">
        <f t="shared" si="29"/>
        <v>#DIV/0!</v>
      </c>
    </row>
    <row r="108" spans="21:23" x14ac:dyDescent="0.2">
      <c r="U108" s="616"/>
      <c r="W108" s="620" t="e">
        <f t="shared" si="29"/>
        <v>#DIV/0!</v>
      </c>
    </row>
    <row r="109" spans="21:23" x14ac:dyDescent="0.2">
      <c r="U109" s="616"/>
      <c r="W109" s="620" t="e">
        <f t="shared" si="29"/>
        <v>#DIV/0!</v>
      </c>
    </row>
    <row r="110" spans="21:23" x14ac:dyDescent="0.2">
      <c r="U110" s="616"/>
      <c r="W110" s="620" t="e">
        <f t="shared" si="29"/>
        <v>#DIV/0!</v>
      </c>
    </row>
    <row r="111" spans="21:23" x14ac:dyDescent="0.2">
      <c r="U111" s="616"/>
      <c r="W111" s="620" t="e">
        <f t="shared" si="29"/>
        <v>#DIV/0!</v>
      </c>
    </row>
    <row r="112" spans="21:23" x14ac:dyDescent="0.2">
      <c r="U112" s="616"/>
      <c r="W112" s="620" t="e">
        <f t="shared" si="29"/>
        <v>#DIV/0!</v>
      </c>
    </row>
    <row r="113" spans="21:23" x14ac:dyDescent="0.2">
      <c r="U113" s="616"/>
      <c r="W113" s="620" t="e">
        <f t="shared" si="29"/>
        <v>#DIV/0!</v>
      </c>
    </row>
    <row r="114" spans="21:23" x14ac:dyDescent="0.2">
      <c r="U114" s="616"/>
      <c r="W114" s="620" t="e">
        <f t="shared" si="29"/>
        <v>#DIV/0!</v>
      </c>
    </row>
    <row r="115" spans="21:23" x14ac:dyDescent="0.2">
      <c r="U115" s="616"/>
      <c r="W115" s="620" t="e">
        <f t="shared" si="29"/>
        <v>#DIV/0!</v>
      </c>
    </row>
    <row r="116" spans="21:23" x14ac:dyDescent="0.2">
      <c r="U116" s="616"/>
      <c r="W116" s="620" t="e">
        <f t="shared" si="29"/>
        <v>#DIV/0!</v>
      </c>
    </row>
    <row r="117" spans="21:23" x14ac:dyDescent="0.2">
      <c r="U117" s="616"/>
      <c r="W117" s="620" t="e">
        <f t="shared" si="29"/>
        <v>#DIV/0!</v>
      </c>
    </row>
    <row r="118" spans="21:23" x14ac:dyDescent="0.2">
      <c r="U118" s="616"/>
      <c r="W118" s="620" t="e">
        <f t="shared" si="29"/>
        <v>#DIV/0!</v>
      </c>
    </row>
    <row r="119" spans="21:23" x14ac:dyDescent="0.2">
      <c r="U119" s="616"/>
      <c r="W119" s="620" t="e">
        <f t="shared" si="29"/>
        <v>#DIV/0!</v>
      </c>
    </row>
    <row r="120" spans="21:23" x14ac:dyDescent="0.2">
      <c r="U120" s="616"/>
      <c r="W120" s="620" t="e">
        <f t="shared" si="29"/>
        <v>#DIV/0!</v>
      </c>
    </row>
    <row r="121" spans="21:23" x14ac:dyDescent="0.2">
      <c r="U121" s="616"/>
      <c r="W121" s="620" t="e">
        <f t="shared" si="29"/>
        <v>#DIV/0!</v>
      </c>
    </row>
    <row r="122" spans="21:23" x14ac:dyDescent="0.2">
      <c r="U122" s="616"/>
      <c r="W122" s="620" t="e">
        <f t="shared" si="29"/>
        <v>#DIV/0!</v>
      </c>
    </row>
    <row r="123" spans="21:23" x14ac:dyDescent="0.2">
      <c r="U123" s="616"/>
      <c r="W123" s="620" t="e">
        <f t="shared" si="29"/>
        <v>#DIV/0!</v>
      </c>
    </row>
    <row r="124" spans="21:23" x14ac:dyDescent="0.2">
      <c r="U124" s="616"/>
      <c r="W124" s="620" t="e">
        <f t="shared" si="29"/>
        <v>#DIV/0!</v>
      </c>
    </row>
    <row r="125" spans="21:23" x14ac:dyDescent="0.2">
      <c r="U125" s="616"/>
      <c r="W125" s="620" t="e">
        <f t="shared" si="29"/>
        <v>#DIV/0!</v>
      </c>
    </row>
    <row r="126" spans="21:23" x14ac:dyDescent="0.2">
      <c r="U126" s="616"/>
      <c r="W126" s="620" t="e">
        <f t="shared" si="29"/>
        <v>#DIV/0!</v>
      </c>
    </row>
    <row r="127" spans="21:23" x14ac:dyDescent="0.2">
      <c r="U127" s="616"/>
      <c r="W127" s="620" t="e">
        <f t="shared" si="29"/>
        <v>#DIV/0!</v>
      </c>
    </row>
    <row r="128" spans="21:23" x14ac:dyDescent="0.2">
      <c r="U128" s="616"/>
      <c r="W128" s="620" t="e">
        <f t="shared" si="29"/>
        <v>#DIV/0!</v>
      </c>
    </row>
    <row r="129" spans="21:23" x14ac:dyDescent="0.2">
      <c r="U129" s="616"/>
      <c r="W129" s="620" t="e">
        <f t="shared" si="29"/>
        <v>#DIV/0!</v>
      </c>
    </row>
    <row r="130" spans="21:23" x14ac:dyDescent="0.2">
      <c r="U130" s="616"/>
      <c r="W130" s="620" t="e">
        <f t="shared" si="29"/>
        <v>#DIV/0!</v>
      </c>
    </row>
    <row r="131" spans="21:23" x14ac:dyDescent="0.2">
      <c r="U131" s="616"/>
      <c r="W131" s="620" t="e">
        <f t="shared" si="29"/>
        <v>#DIV/0!</v>
      </c>
    </row>
    <row r="132" spans="21:23" x14ac:dyDescent="0.2">
      <c r="U132" s="616"/>
      <c r="W132" s="620" t="e">
        <f t="shared" ref="W132:W195" si="30">AVERAGE($V$4:$V$2517)</f>
        <v>#DIV/0!</v>
      </c>
    </row>
    <row r="133" spans="21:23" x14ac:dyDescent="0.2">
      <c r="U133" s="616"/>
      <c r="W133" s="620" t="e">
        <f t="shared" si="30"/>
        <v>#DIV/0!</v>
      </c>
    </row>
    <row r="134" spans="21:23" x14ac:dyDescent="0.2">
      <c r="U134" s="616"/>
      <c r="W134" s="620" t="e">
        <f t="shared" si="30"/>
        <v>#DIV/0!</v>
      </c>
    </row>
    <row r="135" spans="21:23" x14ac:dyDescent="0.2">
      <c r="U135" s="616"/>
      <c r="W135" s="620" t="e">
        <f t="shared" si="30"/>
        <v>#DIV/0!</v>
      </c>
    </row>
    <row r="136" spans="21:23" x14ac:dyDescent="0.2">
      <c r="U136" s="616"/>
      <c r="W136" s="620" t="e">
        <f t="shared" si="30"/>
        <v>#DIV/0!</v>
      </c>
    </row>
    <row r="137" spans="21:23" x14ac:dyDescent="0.2">
      <c r="U137" s="616"/>
      <c r="W137" s="620" t="e">
        <f t="shared" si="30"/>
        <v>#DIV/0!</v>
      </c>
    </row>
    <row r="138" spans="21:23" x14ac:dyDescent="0.2">
      <c r="U138" s="616"/>
      <c r="W138" s="620" t="e">
        <f t="shared" si="30"/>
        <v>#DIV/0!</v>
      </c>
    </row>
    <row r="139" spans="21:23" x14ac:dyDescent="0.2">
      <c r="U139" s="616"/>
      <c r="W139" s="620" t="e">
        <f t="shared" si="30"/>
        <v>#DIV/0!</v>
      </c>
    </row>
    <row r="140" spans="21:23" x14ac:dyDescent="0.2">
      <c r="U140" s="616"/>
      <c r="W140" s="620" t="e">
        <f t="shared" si="30"/>
        <v>#DIV/0!</v>
      </c>
    </row>
    <row r="141" spans="21:23" x14ac:dyDescent="0.2">
      <c r="U141" s="616"/>
      <c r="W141" s="620" t="e">
        <f t="shared" si="30"/>
        <v>#DIV/0!</v>
      </c>
    </row>
    <row r="142" spans="21:23" x14ac:dyDescent="0.2">
      <c r="U142" s="616"/>
      <c r="W142" s="620" t="e">
        <f t="shared" si="30"/>
        <v>#DIV/0!</v>
      </c>
    </row>
    <row r="143" spans="21:23" x14ac:dyDescent="0.2">
      <c r="U143" s="616"/>
      <c r="W143" s="620" t="e">
        <f t="shared" si="30"/>
        <v>#DIV/0!</v>
      </c>
    </row>
    <row r="144" spans="21:23" x14ac:dyDescent="0.2">
      <c r="U144" s="616"/>
      <c r="W144" s="620" t="e">
        <f t="shared" si="30"/>
        <v>#DIV/0!</v>
      </c>
    </row>
    <row r="145" spans="21:23" x14ac:dyDescent="0.2">
      <c r="U145" s="616"/>
      <c r="W145" s="620" t="e">
        <f t="shared" si="30"/>
        <v>#DIV/0!</v>
      </c>
    </row>
    <row r="146" spans="21:23" x14ac:dyDescent="0.2">
      <c r="U146" s="616"/>
      <c r="W146" s="620" t="e">
        <f t="shared" si="30"/>
        <v>#DIV/0!</v>
      </c>
    </row>
    <row r="147" spans="21:23" x14ac:dyDescent="0.2">
      <c r="U147" s="616"/>
      <c r="W147" s="620" t="e">
        <f t="shared" si="30"/>
        <v>#DIV/0!</v>
      </c>
    </row>
    <row r="148" spans="21:23" x14ac:dyDescent="0.2">
      <c r="U148" s="616"/>
      <c r="W148" s="620" t="e">
        <f t="shared" si="30"/>
        <v>#DIV/0!</v>
      </c>
    </row>
    <row r="149" spans="21:23" x14ac:dyDescent="0.2">
      <c r="U149" s="616"/>
      <c r="W149" s="620" t="e">
        <f t="shared" si="30"/>
        <v>#DIV/0!</v>
      </c>
    </row>
    <row r="150" spans="21:23" x14ac:dyDescent="0.2">
      <c r="U150" s="616"/>
      <c r="W150" s="620" t="e">
        <f t="shared" si="30"/>
        <v>#DIV/0!</v>
      </c>
    </row>
    <row r="151" spans="21:23" x14ac:dyDescent="0.2">
      <c r="U151" s="616"/>
      <c r="W151" s="620" t="e">
        <f t="shared" si="30"/>
        <v>#DIV/0!</v>
      </c>
    </row>
    <row r="152" spans="21:23" x14ac:dyDescent="0.2">
      <c r="U152" s="616"/>
      <c r="W152" s="620" t="e">
        <f t="shared" si="30"/>
        <v>#DIV/0!</v>
      </c>
    </row>
    <row r="153" spans="21:23" x14ac:dyDescent="0.2">
      <c r="U153" s="616"/>
      <c r="W153" s="620" t="e">
        <f t="shared" si="30"/>
        <v>#DIV/0!</v>
      </c>
    </row>
    <row r="154" spans="21:23" x14ac:dyDescent="0.2">
      <c r="U154" s="616"/>
      <c r="W154" s="620" t="e">
        <f t="shared" si="30"/>
        <v>#DIV/0!</v>
      </c>
    </row>
    <row r="155" spans="21:23" x14ac:dyDescent="0.2">
      <c r="U155" s="616"/>
      <c r="W155" s="620" t="e">
        <f t="shared" si="30"/>
        <v>#DIV/0!</v>
      </c>
    </row>
    <row r="156" spans="21:23" x14ac:dyDescent="0.2">
      <c r="U156" s="616"/>
      <c r="W156" s="620" t="e">
        <f t="shared" si="30"/>
        <v>#DIV/0!</v>
      </c>
    </row>
    <row r="157" spans="21:23" x14ac:dyDescent="0.2">
      <c r="U157" s="616"/>
      <c r="W157" s="620" t="e">
        <f t="shared" si="30"/>
        <v>#DIV/0!</v>
      </c>
    </row>
    <row r="158" spans="21:23" x14ac:dyDescent="0.2">
      <c r="U158" s="616"/>
      <c r="W158" s="620" t="e">
        <f t="shared" si="30"/>
        <v>#DIV/0!</v>
      </c>
    </row>
    <row r="159" spans="21:23" x14ac:dyDescent="0.2">
      <c r="U159" s="616"/>
      <c r="W159" s="620" t="e">
        <f t="shared" si="30"/>
        <v>#DIV/0!</v>
      </c>
    </row>
    <row r="160" spans="21:23" x14ac:dyDescent="0.2">
      <c r="U160" s="616"/>
      <c r="W160" s="620" t="e">
        <f t="shared" si="30"/>
        <v>#DIV/0!</v>
      </c>
    </row>
    <row r="161" spans="21:23" x14ac:dyDescent="0.2">
      <c r="U161" s="616"/>
      <c r="W161" s="620" t="e">
        <f t="shared" si="30"/>
        <v>#DIV/0!</v>
      </c>
    </row>
    <row r="162" spans="21:23" x14ac:dyDescent="0.2">
      <c r="U162" s="616"/>
      <c r="W162" s="620" t="e">
        <f t="shared" si="30"/>
        <v>#DIV/0!</v>
      </c>
    </row>
    <row r="163" spans="21:23" x14ac:dyDescent="0.2">
      <c r="U163" s="616"/>
      <c r="W163" s="620" t="e">
        <f t="shared" si="30"/>
        <v>#DIV/0!</v>
      </c>
    </row>
    <row r="164" spans="21:23" x14ac:dyDescent="0.2">
      <c r="U164" s="616"/>
      <c r="W164" s="620" t="e">
        <f t="shared" si="30"/>
        <v>#DIV/0!</v>
      </c>
    </row>
    <row r="165" spans="21:23" x14ac:dyDescent="0.2">
      <c r="U165" s="616"/>
      <c r="W165" s="620" t="e">
        <f t="shared" si="30"/>
        <v>#DIV/0!</v>
      </c>
    </row>
    <row r="166" spans="21:23" x14ac:dyDescent="0.2">
      <c r="U166" s="616"/>
      <c r="W166" s="620" t="e">
        <f t="shared" si="30"/>
        <v>#DIV/0!</v>
      </c>
    </row>
    <row r="167" spans="21:23" x14ac:dyDescent="0.2">
      <c r="U167" s="616"/>
      <c r="W167" s="620" t="e">
        <f t="shared" si="30"/>
        <v>#DIV/0!</v>
      </c>
    </row>
    <row r="168" spans="21:23" x14ac:dyDescent="0.2">
      <c r="U168" s="616"/>
      <c r="W168" s="620" t="e">
        <f t="shared" si="30"/>
        <v>#DIV/0!</v>
      </c>
    </row>
    <row r="169" spans="21:23" x14ac:dyDescent="0.2">
      <c r="U169" s="616"/>
      <c r="W169" s="620" t="e">
        <f t="shared" si="30"/>
        <v>#DIV/0!</v>
      </c>
    </row>
    <row r="170" spans="21:23" x14ac:dyDescent="0.2">
      <c r="U170" s="616"/>
      <c r="W170" s="620" t="e">
        <f t="shared" si="30"/>
        <v>#DIV/0!</v>
      </c>
    </row>
    <row r="171" spans="21:23" x14ac:dyDescent="0.2">
      <c r="U171" s="616"/>
      <c r="W171" s="620" t="e">
        <f t="shared" si="30"/>
        <v>#DIV/0!</v>
      </c>
    </row>
    <row r="172" spans="21:23" x14ac:dyDescent="0.2">
      <c r="U172" s="616"/>
      <c r="W172" s="620" t="e">
        <f t="shared" si="30"/>
        <v>#DIV/0!</v>
      </c>
    </row>
    <row r="173" spans="21:23" x14ac:dyDescent="0.2">
      <c r="U173" s="616"/>
      <c r="W173" s="620" t="e">
        <f t="shared" si="30"/>
        <v>#DIV/0!</v>
      </c>
    </row>
    <row r="174" spans="21:23" x14ac:dyDescent="0.2">
      <c r="U174" s="616"/>
      <c r="W174" s="620" t="e">
        <f t="shared" si="30"/>
        <v>#DIV/0!</v>
      </c>
    </row>
    <row r="175" spans="21:23" x14ac:dyDescent="0.2">
      <c r="U175" s="616"/>
      <c r="W175" s="620" t="e">
        <f t="shared" si="30"/>
        <v>#DIV/0!</v>
      </c>
    </row>
    <row r="176" spans="21:23" x14ac:dyDescent="0.2">
      <c r="U176" s="616"/>
      <c r="W176" s="620" t="e">
        <f t="shared" si="30"/>
        <v>#DIV/0!</v>
      </c>
    </row>
    <row r="177" spans="21:23" x14ac:dyDescent="0.2">
      <c r="U177" s="616"/>
      <c r="W177" s="620" t="e">
        <f t="shared" si="30"/>
        <v>#DIV/0!</v>
      </c>
    </row>
    <row r="178" spans="21:23" x14ac:dyDescent="0.2">
      <c r="U178" s="616"/>
      <c r="W178" s="620" t="e">
        <f t="shared" si="30"/>
        <v>#DIV/0!</v>
      </c>
    </row>
    <row r="179" spans="21:23" x14ac:dyDescent="0.2">
      <c r="U179" s="616"/>
      <c r="W179" s="620" t="e">
        <f t="shared" si="30"/>
        <v>#DIV/0!</v>
      </c>
    </row>
    <row r="180" spans="21:23" x14ac:dyDescent="0.2">
      <c r="U180" s="616"/>
      <c r="W180" s="620" t="e">
        <f t="shared" si="30"/>
        <v>#DIV/0!</v>
      </c>
    </row>
    <row r="181" spans="21:23" x14ac:dyDescent="0.2">
      <c r="U181" s="616"/>
      <c r="W181" s="620" t="e">
        <f t="shared" si="30"/>
        <v>#DIV/0!</v>
      </c>
    </row>
    <row r="182" spans="21:23" x14ac:dyDescent="0.2">
      <c r="U182" s="616"/>
      <c r="W182" s="620" t="e">
        <f t="shared" si="30"/>
        <v>#DIV/0!</v>
      </c>
    </row>
    <row r="183" spans="21:23" x14ac:dyDescent="0.2">
      <c r="U183" s="616"/>
      <c r="W183" s="620" t="e">
        <f t="shared" si="30"/>
        <v>#DIV/0!</v>
      </c>
    </row>
    <row r="184" spans="21:23" x14ac:dyDescent="0.2">
      <c r="U184" s="616"/>
      <c r="W184" s="620" t="e">
        <f t="shared" si="30"/>
        <v>#DIV/0!</v>
      </c>
    </row>
    <row r="185" spans="21:23" x14ac:dyDescent="0.2">
      <c r="U185" s="616"/>
      <c r="W185" s="620" t="e">
        <f t="shared" si="30"/>
        <v>#DIV/0!</v>
      </c>
    </row>
    <row r="186" spans="21:23" x14ac:dyDescent="0.2">
      <c r="U186" s="616"/>
      <c r="W186" s="620" t="e">
        <f t="shared" si="30"/>
        <v>#DIV/0!</v>
      </c>
    </row>
    <row r="187" spans="21:23" x14ac:dyDescent="0.2">
      <c r="U187" s="616"/>
      <c r="W187" s="620" t="e">
        <f t="shared" si="30"/>
        <v>#DIV/0!</v>
      </c>
    </row>
    <row r="188" spans="21:23" x14ac:dyDescent="0.2">
      <c r="U188" s="616"/>
      <c r="W188" s="620" t="e">
        <f t="shared" si="30"/>
        <v>#DIV/0!</v>
      </c>
    </row>
    <row r="189" spans="21:23" x14ac:dyDescent="0.2">
      <c r="U189" s="616"/>
      <c r="W189" s="620" t="e">
        <f t="shared" si="30"/>
        <v>#DIV/0!</v>
      </c>
    </row>
    <row r="190" spans="21:23" x14ac:dyDescent="0.2">
      <c r="U190" s="616"/>
      <c r="W190" s="620" t="e">
        <f t="shared" si="30"/>
        <v>#DIV/0!</v>
      </c>
    </row>
    <row r="191" spans="21:23" x14ac:dyDescent="0.2">
      <c r="U191" s="616"/>
      <c r="W191" s="620" t="e">
        <f t="shared" si="30"/>
        <v>#DIV/0!</v>
      </c>
    </row>
    <row r="192" spans="21:23" x14ac:dyDescent="0.2">
      <c r="U192" s="616"/>
      <c r="W192" s="620" t="e">
        <f t="shared" si="30"/>
        <v>#DIV/0!</v>
      </c>
    </row>
    <row r="193" spans="21:23" x14ac:dyDescent="0.2">
      <c r="U193" s="616"/>
      <c r="W193" s="620" t="e">
        <f t="shared" si="30"/>
        <v>#DIV/0!</v>
      </c>
    </row>
    <row r="194" spans="21:23" x14ac:dyDescent="0.2">
      <c r="U194" s="616"/>
      <c r="W194" s="620" t="e">
        <f t="shared" si="30"/>
        <v>#DIV/0!</v>
      </c>
    </row>
    <row r="195" spans="21:23" x14ac:dyDescent="0.2">
      <c r="U195" s="616"/>
      <c r="W195" s="620" t="e">
        <f t="shared" si="30"/>
        <v>#DIV/0!</v>
      </c>
    </row>
    <row r="196" spans="21:23" x14ac:dyDescent="0.2">
      <c r="U196" s="616"/>
      <c r="W196" s="620" t="e">
        <f t="shared" ref="W196:W259" si="31">AVERAGE($V$4:$V$2517)</f>
        <v>#DIV/0!</v>
      </c>
    </row>
    <row r="197" spans="21:23" x14ac:dyDescent="0.2">
      <c r="U197" s="616"/>
      <c r="W197" s="620" t="e">
        <f t="shared" si="31"/>
        <v>#DIV/0!</v>
      </c>
    </row>
    <row r="198" spans="21:23" x14ac:dyDescent="0.2">
      <c r="U198" s="616"/>
      <c r="W198" s="620" t="e">
        <f t="shared" si="31"/>
        <v>#DIV/0!</v>
      </c>
    </row>
    <row r="199" spans="21:23" x14ac:dyDescent="0.2">
      <c r="U199" s="616"/>
      <c r="W199" s="620" t="e">
        <f t="shared" si="31"/>
        <v>#DIV/0!</v>
      </c>
    </row>
    <row r="200" spans="21:23" x14ac:dyDescent="0.2">
      <c r="U200" s="616"/>
      <c r="W200" s="620" t="e">
        <f t="shared" si="31"/>
        <v>#DIV/0!</v>
      </c>
    </row>
    <row r="201" spans="21:23" x14ac:dyDescent="0.2">
      <c r="U201" s="616"/>
      <c r="W201" s="620" t="e">
        <f t="shared" si="31"/>
        <v>#DIV/0!</v>
      </c>
    </row>
    <row r="202" spans="21:23" x14ac:dyDescent="0.2">
      <c r="U202" s="616"/>
      <c r="W202" s="620" t="e">
        <f t="shared" si="31"/>
        <v>#DIV/0!</v>
      </c>
    </row>
    <row r="203" spans="21:23" x14ac:dyDescent="0.2">
      <c r="U203" s="616"/>
      <c r="W203" s="620" t="e">
        <f t="shared" si="31"/>
        <v>#DIV/0!</v>
      </c>
    </row>
    <row r="204" spans="21:23" x14ac:dyDescent="0.2">
      <c r="U204" s="616"/>
      <c r="W204" s="620" t="e">
        <f t="shared" si="31"/>
        <v>#DIV/0!</v>
      </c>
    </row>
    <row r="205" spans="21:23" x14ac:dyDescent="0.2">
      <c r="U205" s="616"/>
      <c r="W205" s="620" t="e">
        <f t="shared" si="31"/>
        <v>#DIV/0!</v>
      </c>
    </row>
    <row r="206" spans="21:23" x14ac:dyDescent="0.2">
      <c r="U206" s="616"/>
      <c r="W206" s="620" t="e">
        <f t="shared" si="31"/>
        <v>#DIV/0!</v>
      </c>
    </row>
    <row r="207" spans="21:23" x14ac:dyDescent="0.2">
      <c r="U207" s="616"/>
      <c r="W207" s="620" t="e">
        <f t="shared" si="31"/>
        <v>#DIV/0!</v>
      </c>
    </row>
    <row r="208" spans="21:23" x14ac:dyDescent="0.2">
      <c r="U208" s="616"/>
      <c r="W208" s="620" t="e">
        <f t="shared" si="31"/>
        <v>#DIV/0!</v>
      </c>
    </row>
    <row r="209" spans="21:23" x14ac:dyDescent="0.2">
      <c r="U209" s="616"/>
      <c r="W209" s="620" t="e">
        <f t="shared" si="31"/>
        <v>#DIV/0!</v>
      </c>
    </row>
    <row r="210" spans="21:23" x14ac:dyDescent="0.2">
      <c r="U210" s="616"/>
      <c r="W210" s="620" t="e">
        <f t="shared" si="31"/>
        <v>#DIV/0!</v>
      </c>
    </row>
    <row r="211" spans="21:23" x14ac:dyDescent="0.2">
      <c r="U211" s="616"/>
      <c r="W211" s="620" t="e">
        <f t="shared" si="31"/>
        <v>#DIV/0!</v>
      </c>
    </row>
    <row r="212" spans="21:23" x14ac:dyDescent="0.2">
      <c r="U212" s="616"/>
      <c r="W212" s="620" t="e">
        <f t="shared" si="31"/>
        <v>#DIV/0!</v>
      </c>
    </row>
    <row r="213" spans="21:23" x14ac:dyDescent="0.2">
      <c r="U213" s="616"/>
      <c r="W213" s="620" t="e">
        <f t="shared" si="31"/>
        <v>#DIV/0!</v>
      </c>
    </row>
    <row r="214" spans="21:23" x14ac:dyDescent="0.2">
      <c r="U214" s="616"/>
      <c r="W214" s="620" t="e">
        <f t="shared" si="31"/>
        <v>#DIV/0!</v>
      </c>
    </row>
    <row r="215" spans="21:23" x14ac:dyDescent="0.2">
      <c r="U215" s="616"/>
      <c r="W215" s="620" t="e">
        <f t="shared" si="31"/>
        <v>#DIV/0!</v>
      </c>
    </row>
    <row r="216" spans="21:23" x14ac:dyDescent="0.2">
      <c r="U216" s="616"/>
      <c r="W216" s="620" t="e">
        <f t="shared" si="31"/>
        <v>#DIV/0!</v>
      </c>
    </row>
    <row r="217" spans="21:23" x14ac:dyDescent="0.2">
      <c r="U217" s="616"/>
      <c r="W217" s="620" t="e">
        <f t="shared" si="31"/>
        <v>#DIV/0!</v>
      </c>
    </row>
    <row r="218" spans="21:23" x14ac:dyDescent="0.2">
      <c r="U218" s="616"/>
      <c r="W218" s="620" t="e">
        <f t="shared" si="31"/>
        <v>#DIV/0!</v>
      </c>
    </row>
    <row r="219" spans="21:23" x14ac:dyDescent="0.2">
      <c r="U219" s="616"/>
      <c r="W219" s="620" t="e">
        <f t="shared" si="31"/>
        <v>#DIV/0!</v>
      </c>
    </row>
    <row r="220" spans="21:23" x14ac:dyDescent="0.2">
      <c r="U220" s="616"/>
      <c r="W220" s="620" t="e">
        <f t="shared" si="31"/>
        <v>#DIV/0!</v>
      </c>
    </row>
    <row r="221" spans="21:23" x14ac:dyDescent="0.2">
      <c r="U221" s="616"/>
      <c r="W221" s="620" t="e">
        <f t="shared" si="31"/>
        <v>#DIV/0!</v>
      </c>
    </row>
    <row r="222" spans="21:23" x14ac:dyDescent="0.2">
      <c r="U222" s="616"/>
      <c r="W222" s="620" t="e">
        <f t="shared" si="31"/>
        <v>#DIV/0!</v>
      </c>
    </row>
    <row r="223" spans="21:23" x14ac:dyDescent="0.2">
      <c r="U223" s="616"/>
      <c r="W223" s="620" t="e">
        <f t="shared" si="31"/>
        <v>#DIV/0!</v>
      </c>
    </row>
    <row r="224" spans="21:23" x14ac:dyDescent="0.2">
      <c r="U224" s="616"/>
      <c r="W224" s="620" t="e">
        <f t="shared" si="31"/>
        <v>#DIV/0!</v>
      </c>
    </row>
    <row r="225" spans="21:23" x14ac:dyDescent="0.2">
      <c r="U225" s="616"/>
      <c r="W225" s="620" t="e">
        <f t="shared" si="31"/>
        <v>#DIV/0!</v>
      </c>
    </row>
    <row r="226" spans="21:23" x14ac:dyDescent="0.2">
      <c r="U226" s="616"/>
      <c r="W226" s="620" t="e">
        <f t="shared" si="31"/>
        <v>#DIV/0!</v>
      </c>
    </row>
    <row r="227" spans="21:23" x14ac:dyDescent="0.2">
      <c r="U227" s="616"/>
      <c r="W227" s="620" t="e">
        <f t="shared" si="31"/>
        <v>#DIV/0!</v>
      </c>
    </row>
    <row r="228" spans="21:23" x14ac:dyDescent="0.2">
      <c r="U228" s="616"/>
      <c r="W228" s="620" t="e">
        <f t="shared" si="31"/>
        <v>#DIV/0!</v>
      </c>
    </row>
    <row r="229" spans="21:23" x14ac:dyDescent="0.2">
      <c r="U229" s="616"/>
      <c r="W229" s="620" t="e">
        <f t="shared" si="31"/>
        <v>#DIV/0!</v>
      </c>
    </row>
    <row r="230" spans="21:23" x14ac:dyDescent="0.2">
      <c r="U230" s="616"/>
      <c r="W230" s="620" t="e">
        <f t="shared" si="31"/>
        <v>#DIV/0!</v>
      </c>
    </row>
    <row r="231" spans="21:23" x14ac:dyDescent="0.2">
      <c r="U231" s="616"/>
      <c r="W231" s="620" t="e">
        <f t="shared" si="31"/>
        <v>#DIV/0!</v>
      </c>
    </row>
    <row r="232" spans="21:23" x14ac:dyDescent="0.2">
      <c r="U232" s="616"/>
      <c r="W232" s="620" t="e">
        <f t="shared" si="31"/>
        <v>#DIV/0!</v>
      </c>
    </row>
    <row r="233" spans="21:23" x14ac:dyDescent="0.2">
      <c r="U233" s="616"/>
      <c r="W233" s="620" t="e">
        <f t="shared" si="31"/>
        <v>#DIV/0!</v>
      </c>
    </row>
    <row r="234" spans="21:23" x14ac:dyDescent="0.2">
      <c r="U234" s="616"/>
      <c r="W234" s="620" t="e">
        <f t="shared" si="31"/>
        <v>#DIV/0!</v>
      </c>
    </row>
    <row r="235" spans="21:23" x14ac:dyDescent="0.2">
      <c r="U235" s="616"/>
      <c r="W235" s="620" t="e">
        <f t="shared" si="31"/>
        <v>#DIV/0!</v>
      </c>
    </row>
    <row r="236" spans="21:23" x14ac:dyDescent="0.2">
      <c r="U236" s="616"/>
      <c r="W236" s="620" t="e">
        <f t="shared" si="31"/>
        <v>#DIV/0!</v>
      </c>
    </row>
    <row r="237" spans="21:23" x14ac:dyDescent="0.2">
      <c r="U237" s="616"/>
      <c r="W237" s="620" t="e">
        <f t="shared" si="31"/>
        <v>#DIV/0!</v>
      </c>
    </row>
    <row r="238" spans="21:23" x14ac:dyDescent="0.2">
      <c r="U238" s="616"/>
      <c r="W238" s="620" t="e">
        <f t="shared" si="31"/>
        <v>#DIV/0!</v>
      </c>
    </row>
    <row r="239" spans="21:23" x14ac:dyDescent="0.2">
      <c r="U239" s="616"/>
      <c r="W239" s="620" t="e">
        <f t="shared" si="31"/>
        <v>#DIV/0!</v>
      </c>
    </row>
    <row r="240" spans="21:23" x14ac:dyDescent="0.2">
      <c r="U240" s="616"/>
      <c r="W240" s="620" t="e">
        <f t="shared" si="31"/>
        <v>#DIV/0!</v>
      </c>
    </row>
    <row r="241" spans="21:23" x14ac:dyDescent="0.2">
      <c r="U241" s="616"/>
      <c r="W241" s="620" t="e">
        <f t="shared" si="31"/>
        <v>#DIV/0!</v>
      </c>
    </row>
    <row r="242" spans="21:23" x14ac:dyDescent="0.2">
      <c r="U242" s="616"/>
      <c r="W242" s="620" t="e">
        <f t="shared" si="31"/>
        <v>#DIV/0!</v>
      </c>
    </row>
    <row r="243" spans="21:23" x14ac:dyDescent="0.2">
      <c r="U243" s="616"/>
      <c r="W243" s="620" t="e">
        <f t="shared" si="31"/>
        <v>#DIV/0!</v>
      </c>
    </row>
    <row r="244" spans="21:23" x14ac:dyDescent="0.2">
      <c r="U244" s="616"/>
      <c r="W244" s="620" t="e">
        <f t="shared" si="31"/>
        <v>#DIV/0!</v>
      </c>
    </row>
    <row r="245" spans="21:23" x14ac:dyDescent="0.2">
      <c r="U245" s="616"/>
      <c r="W245" s="620" t="e">
        <f t="shared" si="31"/>
        <v>#DIV/0!</v>
      </c>
    </row>
    <row r="246" spans="21:23" x14ac:dyDescent="0.2">
      <c r="U246" s="616"/>
      <c r="W246" s="620" t="e">
        <f t="shared" si="31"/>
        <v>#DIV/0!</v>
      </c>
    </row>
    <row r="247" spans="21:23" x14ac:dyDescent="0.2">
      <c r="U247" s="616"/>
      <c r="W247" s="620" t="e">
        <f t="shared" si="31"/>
        <v>#DIV/0!</v>
      </c>
    </row>
    <row r="248" spans="21:23" x14ac:dyDescent="0.2">
      <c r="U248" s="616"/>
      <c r="W248" s="620" t="e">
        <f t="shared" si="31"/>
        <v>#DIV/0!</v>
      </c>
    </row>
    <row r="249" spans="21:23" x14ac:dyDescent="0.2">
      <c r="U249" s="616"/>
      <c r="W249" s="620" t="e">
        <f t="shared" si="31"/>
        <v>#DIV/0!</v>
      </c>
    </row>
    <row r="250" spans="21:23" x14ac:dyDescent="0.2">
      <c r="U250" s="616"/>
      <c r="W250" s="620" t="e">
        <f t="shared" si="31"/>
        <v>#DIV/0!</v>
      </c>
    </row>
    <row r="251" spans="21:23" x14ac:dyDescent="0.2">
      <c r="U251" s="616"/>
      <c r="W251" s="620" t="e">
        <f t="shared" si="31"/>
        <v>#DIV/0!</v>
      </c>
    </row>
    <row r="252" spans="21:23" x14ac:dyDescent="0.2">
      <c r="U252" s="616"/>
      <c r="W252" s="620" t="e">
        <f t="shared" si="31"/>
        <v>#DIV/0!</v>
      </c>
    </row>
    <row r="253" spans="21:23" x14ac:dyDescent="0.2">
      <c r="U253" s="616"/>
      <c r="W253" s="620" t="e">
        <f t="shared" si="31"/>
        <v>#DIV/0!</v>
      </c>
    </row>
    <row r="254" spans="21:23" x14ac:dyDescent="0.2">
      <c r="U254" s="616"/>
      <c r="W254" s="620" t="e">
        <f t="shared" si="31"/>
        <v>#DIV/0!</v>
      </c>
    </row>
    <row r="255" spans="21:23" x14ac:dyDescent="0.2">
      <c r="U255" s="616"/>
      <c r="W255" s="620" t="e">
        <f t="shared" si="31"/>
        <v>#DIV/0!</v>
      </c>
    </row>
    <row r="256" spans="21:23" x14ac:dyDescent="0.2">
      <c r="U256" s="616"/>
      <c r="W256" s="620" t="e">
        <f t="shared" si="31"/>
        <v>#DIV/0!</v>
      </c>
    </row>
    <row r="257" spans="21:23" x14ac:dyDescent="0.2">
      <c r="U257" s="616"/>
      <c r="W257" s="620" t="e">
        <f t="shared" si="31"/>
        <v>#DIV/0!</v>
      </c>
    </row>
    <row r="258" spans="21:23" x14ac:dyDescent="0.2">
      <c r="U258" s="616"/>
      <c r="W258" s="620" t="e">
        <f t="shared" si="31"/>
        <v>#DIV/0!</v>
      </c>
    </row>
    <row r="259" spans="21:23" x14ac:dyDescent="0.2">
      <c r="U259" s="616"/>
      <c r="W259" s="620" t="e">
        <f t="shared" si="31"/>
        <v>#DIV/0!</v>
      </c>
    </row>
    <row r="260" spans="21:23" x14ac:dyDescent="0.2">
      <c r="U260" s="616"/>
      <c r="W260" s="620" t="e">
        <f t="shared" ref="W260:W323" si="32">AVERAGE($V$4:$V$2517)</f>
        <v>#DIV/0!</v>
      </c>
    </row>
    <row r="261" spans="21:23" x14ac:dyDescent="0.2">
      <c r="U261" s="616"/>
      <c r="W261" s="620" t="e">
        <f t="shared" si="32"/>
        <v>#DIV/0!</v>
      </c>
    </row>
    <row r="262" spans="21:23" x14ac:dyDescent="0.2">
      <c r="U262" s="616"/>
      <c r="W262" s="620" t="e">
        <f t="shared" si="32"/>
        <v>#DIV/0!</v>
      </c>
    </row>
    <row r="263" spans="21:23" x14ac:dyDescent="0.2">
      <c r="U263" s="616"/>
      <c r="W263" s="620" t="e">
        <f t="shared" si="32"/>
        <v>#DIV/0!</v>
      </c>
    </row>
    <row r="264" spans="21:23" x14ac:dyDescent="0.2">
      <c r="U264" s="616"/>
      <c r="W264" s="620" t="e">
        <f t="shared" si="32"/>
        <v>#DIV/0!</v>
      </c>
    </row>
    <row r="265" spans="21:23" x14ac:dyDescent="0.2">
      <c r="U265" s="616"/>
      <c r="W265" s="620" t="e">
        <f t="shared" si="32"/>
        <v>#DIV/0!</v>
      </c>
    </row>
    <row r="266" spans="21:23" x14ac:dyDescent="0.2">
      <c r="U266" s="616"/>
      <c r="W266" s="620" t="e">
        <f t="shared" si="32"/>
        <v>#DIV/0!</v>
      </c>
    </row>
    <row r="267" spans="21:23" x14ac:dyDescent="0.2">
      <c r="U267" s="616"/>
      <c r="W267" s="620" t="e">
        <f t="shared" si="32"/>
        <v>#DIV/0!</v>
      </c>
    </row>
    <row r="268" spans="21:23" x14ac:dyDescent="0.2">
      <c r="U268" s="616"/>
      <c r="W268" s="620" t="e">
        <f t="shared" si="32"/>
        <v>#DIV/0!</v>
      </c>
    </row>
    <row r="269" spans="21:23" x14ac:dyDescent="0.2">
      <c r="U269" s="616"/>
      <c r="W269" s="620" t="e">
        <f t="shared" si="32"/>
        <v>#DIV/0!</v>
      </c>
    </row>
    <row r="270" spans="21:23" x14ac:dyDescent="0.2">
      <c r="U270" s="616"/>
      <c r="W270" s="620" t="e">
        <f t="shared" si="32"/>
        <v>#DIV/0!</v>
      </c>
    </row>
    <row r="271" spans="21:23" x14ac:dyDescent="0.2">
      <c r="U271" s="616"/>
      <c r="W271" s="620" t="e">
        <f t="shared" si="32"/>
        <v>#DIV/0!</v>
      </c>
    </row>
    <row r="272" spans="21:23" x14ac:dyDescent="0.2">
      <c r="U272" s="616"/>
      <c r="W272" s="620" t="e">
        <f t="shared" si="32"/>
        <v>#DIV/0!</v>
      </c>
    </row>
    <row r="273" spans="21:23" x14ac:dyDescent="0.2">
      <c r="U273" s="616"/>
      <c r="W273" s="620" t="e">
        <f t="shared" si="32"/>
        <v>#DIV/0!</v>
      </c>
    </row>
    <row r="274" spans="21:23" x14ac:dyDescent="0.2">
      <c r="U274" s="616"/>
      <c r="W274" s="620" t="e">
        <f t="shared" si="32"/>
        <v>#DIV/0!</v>
      </c>
    </row>
    <row r="275" spans="21:23" x14ac:dyDescent="0.2">
      <c r="U275" s="616"/>
      <c r="W275" s="620" t="e">
        <f t="shared" si="32"/>
        <v>#DIV/0!</v>
      </c>
    </row>
    <row r="276" spans="21:23" x14ac:dyDescent="0.2">
      <c r="U276" s="616"/>
      <c r="W276" s="620" t="e">
        <f t="shared" si="32"/>
        <v>#DIV/0!</v>
      </c>
    </row>
    <row r="277" spans="21:23" x14ac:dyDescent="0.2">
      <c r="U277" s="616"/>
      <c r="W277" s="620" t="e">
        <f t="shared" si="32"/>
        <v>#DIV/0!</v>
      </c>
    </row>
    <row r="278" spans="21:23" x14ac:dyDescent="0.2">
      <c r="U278" s="616"/>
      <c r="W278" s="620" t="e">
        <f t="shared" si="32"/>
        <v>#DIV/0!</v>
      </c>
    </row>
    <row r="279" spans="21:23" x14ac:dyDescent="0.2">
      <c r="U279" s="616"/>
      <c r="W279" s="620" t="e">
        <f t="shared" si="32"/>
        <v>#DIV/0!</v>
      </c>
    </row>
    <row r="280" spans="21:23" x14ac:dyDescent="0.2">
      <c r="U280" s="616"/>
      <c r="W280" s="620" t="e">
        <f t="shared" si="32"/>
        <v>#DIV/0!</v>
      </c>
    </row>
    <row r="281" spans="21:23" x14ac:dyDescent="0.2">
      <c r="U281" s="616"/>
      <c r="W281" s="620" t="e">
        <f t="shared" si="32"/>
        <v>#DIV/0!</v>
      </c>
    </row>
    <row r="282" spans="21:23" x14ac:dyDescent="0.2">
      <c r="U282" s="616"/>
      <c r="W282" s="620" t="e">
        <f t="shared" si="32"/>
        <v>#DIV/0!</v>
      </c>
    </row>
    <row r="283" spans="21:23" x14ac:dyDescent="0.2">
      <c r="U283" s="616"/>
      <c r="W283" s="620" t="e">
        <f t="shared" si="32"/>
        <v>#DIV/0!</v>
      </c>
    </row>
    <row r="284" spans="21:23" x14ac:dyDescent="0.2">
      <c r="U284" s="616"/>
      <c r="W284" s="620" t="e">
        <f t="shared" si="32"/>
        <v>#DIV/0!</v>
      </c>
    </row>
    <row r="285" spans="21:23" x14ac:dyDescent="0.2">
      <c r="U285" s="616"/>
      <c r="W285" s="620" t="e">
        <f t="shared" si="32"/>
        <v>#DIV/0!</v>
      </c>
    </row>
    <row r="286" spans="21:23" x14ac:dyDescent="0.2">
      <c r="U286" s="616"/>
      <c r="W286" s="620" t="e">
        <f t="shared" si="32"/>
        <v>#DIV/0!</v>
      </c>
    </row>
    <row r="287" spans="21:23" x14ac:dyDescent="0.2">
      <c r="U287" s="616"/>
      <c r="W287" s="620" t="e">
        <f t="shared" si="32"/>
        <v>#DIV/0!</v>
      </c>
    </row>
    <row r="288" spans="21:23" x14ac:dyDescent="0.2">
      <c r="U288" s="616"/>
      <c r="W288" s="620" t="e">
        <f t="shared" si="32"/>
        <v>#DIV/0!</v>
      </c>
    </row>
    <row r="289" spans="21:23" x14ac:dyDescent="0.2">
      <c r="U289" s="616"/>
      <c r="W289" s="620" t="e">
        <f t="shared" si="32"/>
        <v>#DIV/0!</v>
      </c>
    </row>
    <row r="290" spans="21:23" x14ac:dyDescent="0.2">
      <c r="U290" s="616"/>
      <c r="W290" s="620" t="e">
        <f t="shared" si="32"/>
        <v>#DIV/0!</v>
      </c>
    </row>
    <row r="291" spans="21:23" x14ac:dyDescent="0.2">
      <c r="U291" s="616"/>
      <c r="W291" s="620" t="e">
        <f t="shared" si="32"/>
        <v>#DIV/0!</v>
      </c>
    </row>
    <row r="292" spans="21:23" x14ac:dyDescent="0.2">
      <c r="U292" s="616"/>
      <c r="W292" s="620" t="e">
        <f t="shared" si="32"/>
        <v>#DIV/0!</v>
      </c>
    </row>
    <row r="293" spans="21:23" x14ac:dyDescent="0.2">
      <c r="U293" s="616"/>
      <c r="W293" s="620" t="e">
        <f t="shared" si="32"/>
        <v>#DIV/0!</v>
      </c>
    </row>
    <row r="294" spans="21:23" x14ac:dyDescent="0.2">
      <c r="U294" s="616"/>
      <c r="W294" s="620" t="e">
        <f t="shared" si="32"/>
        <v>#DIV/0!</v>
      </c>
    </row>
    <row r="295" spans="21:23" x14ac:dyDescent="0.2">
      <c r="U295" s="616"/>
      <c r="W295" s="620" t="e">
        <f t="shared" si="32"/>
        <v>#DIV/0!</v>
      </c>
    </row>
    <row r="296" spans="21:23" x14ac:dyDescent="0.2">
      <c r="U296" s="616"/>
      <c r="W296" s="620" t="e">
        <f t="shared" si="32"/>
        <v>#DIV/0!</v>
      </c>
    </row>
    <row r="297" spans="21:23" x14ac:dyDescent="0.2">
      <c r="U297" s="616"/>
      <c r="W297" s="620" t="e">
        <f t="shared" si="32"/>
        <v>#DIV/0!</v>
      </c>
    </row>
    <row r="298" spans="21:23" x14ac:dyDescent="0.2">
      <c r="U298" s="616"/>
      <c r="W298" s="620" t="e">
        <f t="shared" si="32"/>
        <v>#DIV/0!</v>
      </c>
    </row>
    <row r="299" spans="21:23" x14ac:dyDescent="0.2">
      <c r="U299" s="616"/>
      <c r="W299" s="620" t="e">
        <f t="shared" si="32"/>
        <v>#DIV/0!</v>
      </c>
    </row>
    <row r="300" spans="21:23" x14ac:dyDescent="0.2">
      <c r="U300" s="616"/>
      <c r="W300" s="620" t="e">
        <f t="shared" si="32"/>
        <v>#DIV/0!</v>
      </c>
    </row>
    <row r="301" spans="21:23" x14ac:dyDescent="0.2">
      <c r="U301" s="616"/>
      <c r="W301" s="620" t="e">
        <f t="shared" si="32"/>
        <v>#DIV/0!</v>
      </c>
    </row>
    <row r="302" spans="21:23" x14ac:dyDescent="0.2">
      <c r="U302" s="616"/>
      <c r="W302" s="620" t="e">
        <f t="shared" si="32"/>
        <v>#DIV/0!</v>
      </c>
    </row>
    <row r="303" spans="21:23" x14ac:dyDescent="0.2">
      <c r="U303" s="616"/>
      <c r="W303" s="620" t="e">
        <f t="shared" si="32"/>
        <v>#DIV/0!</v>
      </c>
    </row>
    <row r="304" spans="21:23" x14ac:dyDescent="0.2">
      <c r="U304" s="616"/>
      <c r="W304" s="620" t="e">
        <f t="shared" si="32"/>
        <v>#DIV/0!</v>
      </c>
    </row>
    <row r="305" spans="21:23" x14ac:dyDescent="0.2">
      <c r="U305" s="616"/>
      <c r="W305" s="620" t="e">
        <f t="shared" si="32"/>
        <v>#DIV/0!</v>
      </c>
    </row>
    <row r="306" spans="21:23" x14ac:dyDescent="0.2">
      <c r="U306" s="616"/>
      <c r="W306" s="620" t="e">
        <f t="shared" si="32"/>
        <v>#DIV/0!</v>
      </c>
    </row>
    <row r="307" spans="21:23" x14ac:dyDescent="0.2">
      <c r="U307" s="616"/>
      <c r="W307" s="620" t="e">
        <f t="shared" si="32"/>
        <v>#DIV/0!</v>
      </c>
    </row>
    <row r="308" spans="21:23" x14ac:dyDescent="0.2">
      <c r="U308" s="616"/>
      <c r="W308" s="620" t="e">
        <f t="shared" si="32"/>
        <v>#DIV/0!</v>
      </c>
    </row>
    <row r="309" spans="21:23" x14ac:dyDescent="0.2">
      <c r="U309" s="616"/>
      <c r="W309" s="620" t="e">
        <f t="shared" si="32"/>
        <v>#DIV/0!</v>
      </c>
    </row>
    <row r="310" spans="21:23" x14ac:dyDescent="0.2">
      <c r="U310" s="616"/>
      <c r="W310" s="620" t="e">
        <f t="shared" si="32"/>
        <v>#DIV/0!</v>
      </c>
    </row>
    <row r="311" spans="21:23" x14ac:dyDescent="0.2">
      <c r="U311" s="616"/>
      <c r="W311" s="620" t="e">
        <f t="shared" si="32"/>
        <v>#DIV/0!</v>
      </c>
    </row>
    <row r="312" spans="21:23" x14ac:dyDescent="0.2">
      <c r="U312" s="616"/>
      <c r="W312" s="620" t="e">
        <f t="shared" si="32"/>
        <v>#DIV/0!</v>
      </c>
    </row>
    <row r="313" spans="21:23" x14ac:dyDescent="0.2">
      <c r="U313" s="616"/>
      <c r="W313" s="620" t="e">
        <f t="shared" si="32"/>
        <v>#DIV/0!</v>
      </c>
    </row>
    <row r="314" spans="21:23" x14ac:dyDescent="0.2">
      <c r="U314" s="616"/>
      <c r="W314" s="620" t="e">
        <f t="shared" si="32"/>
        <v>#DIV/0!</v>
      </c>
    </row>
    <row r="315" spans="21:23" x14ac:dyDescent="0.2">
      <c r="U315" s="616"/>
      <c r="W315" s="620" t="e">
        <f t="shared" si="32"/>
        <v>#DIV/0!</v>
      </c>
    </row>
    <row r="316" spans="21:23" x14ac:dyDescent="0.2">
      <c r="U316" s="616"/>
      <c r="W316" s="620" t="e">
        <f t="shared" si="32"/>
        <v>#DIV/0!</v>
      </c>
    </row>
    <row r="317" spans="21:23" x14ac:dyDescent="0.2">
      <c r="U317" s="616"/>
      <c r="W317" s="620" t="e">
        <f t="shared" si="32"/>
        <v>#DIV/0!</v>
      </c>
    </row>
    <row r="318" spans="21:23" x14ac:dyDescent="0.2">
      <c r="U318" s="616"/>
      <c r="W318" s="620" t="e">
        <f t="shared" si="32"/>
        <v>#DIV/0!</v>
      </c>
    </row>
    <row r="319" spans="21:23" x14ac:dyDescent="0.2">
      <c r="U319" s="616"/>
      <c r="W319" s="620" t="e">
        <f t="shared" si="32"/>
        <v>#DIV/0!</v>
      </c>
    </row>
    <row r="320" spans="21:23" x14ac:dyDescent="0.2">
      <c r="U320" s="616"/>
      <c r="W320" s="620" t="e">
        <f t="shared" si="32"/>
        <v>#DIV/0!</v>
      </c>
    </row>
    <row r="321" spans="21:23" x14ac:dyDescent="0.2">
      <c r="U321" s="616"/>
      <c r="W321" s="620" t="e">
        <f t="shared" si="32"/>
        <v>#DIV/0!</v>
      </c>
    </row>
    <row r="322" spans="21:23" x14ac:dyDescent="0.2">
      <c r="U322" s="616"/>
      <c r="W322" s="620" t="e">
        <f t="shared" si="32"/>
        <v>#DIV/0!</v>
      </c>
    </row>
    <row r="323" spans="21:23" x14ac:dyDescent="0.2">
      <c r="U323" s="616"/>
      <c r="W323" s="620" t="e">
        <f t="shared" si="32"/>
        <v>#DIV/0!</v>
      </c>
    </row>
    <row r="324" spans="21:23" x14ac:dyDescent="0.2">
      <c r="U324" s="616"/>
      <c r="W324" s="620" t="e">
        <f t="shared" ref="W324:W387" si="33">AVERAGE($V$4:$V$2517)</f>
        <v>#DIV/0!</v>
      </c>
    </row>
    <row r="325" spans="21:23" x14ac:dyDescent="0.2">
      <c r="U325" s="616"/>
      <c r="W325" s="620" t="e">
        <f t="shared" si="33"/>
        <v>#DIV/0!</v>
      </c>
    </row>
    <row r="326" spans="21:23" x14ac:dyDescent="0.2">
      <c r="U326" s="616"/>
      <c r="W326" s="620" t="e">
        <f t="shared" si="33"/>
        <v>#DIV/0!</v>
      </c>
    </row>
    <row r="327" spans="21:23" x14ac:dyDescent="0.2">
      <c r="U327" s="616"/>
      <c r="W327" s="620" t="e">
        <f t="shared" si="33"/>
        <v>#DIV/0!</v>
      </c>
    </row>
    <row r="328" spans="21:23" x14ac:dyDescent="0.2">
      <c r="U328" s="616"/>
      <c r="W328" s="620" t="e">
        <f t="shared" si="33"/>
        <v>#DIV/0!</v>
      </c>
    </row>
    <row r="329" spans="21:23" x14ac:dyDescent="0.2">
      <c r="U329" s="616"/>
      <c r="W329" s="620" t="e">
        <f t="shared" si="33"/>
        <v>#DIV/0!</v>
      </c>
    </row>
    <row r="330" spans="21:23" x14ac:dyDescent="0.2">
      <c r="U330" s="616"/>
      <c r="W330" s="620" t="e">
        <f t="shared" si="33"/>
        <v>#DIV/0!</v>
      </c>
    </row>
    <row r="331" spans="21:23" x14ac:dyDescent="0.2">
      <c r="U331" s="616"/>
      <c r="W331" s="620" t="e">
        <f t="shared" si="33"/>
        <v>#DIV/0!</v>
      </c>
    </row>
    <row r="332" spans="21:23" x14ac:dyDescent="0.2">
      <c r="U332" s="616"/>
      <c r="W332" s="620" t="e">
        <f t="shared" si="33"/>
        <v>#DIV/0!</v>
      </c>
    </row>
    <row r="333" spans="21:23" x14ac:dyDescent="0.2">
      <c r="U333" s="616"/>
      <c r="W333" s="620" t="e">
        <f t="shared" si="33"/>
        <v>#DIV/0!</v>
      </c>
    </row>
    <row r="334" spans="21:23" x14ac:dyDescent="0.2">
      <c r="U334" s="616"/>
      <c r="W334" s="620" t="e">
        <f t="shared" si="33"/>
        <v>#DIV/0!</v>
      </c>
    </row>
    <row r="335" spans="21:23" x14ac:dyDescent="0.2">
      <c r="U335" s="616"/>
      <c r="W335" s="620" t="e">
        <f t="shared" si="33"/>
        <v>#DIV/0!</v>
      </c>
    </row>
    <row r="336" spans="21:23" x14ac:dyDescent="0.2">
      <c r="U336" s="616"/>
      <c r="W336" s="620" t="e">
        <f t="shared" si="33"/>
        <v>#DIV/0!</v>
      </c>
    </row>
    <row r="337" spans="21:23" x14ac:dyDescent="0.2">
      <c r="U337" s="616"/>
      <c r="W337" s="620" t="e">
        <f t="shared" si="33"/>
        <v>#DIV/0!</v>
      </c>
    </row>
    <row r="338" spans="21:23" x14ac:dyDescent="0.2">
      <c r="U338" s="616"/>
      <c r="W338" s="620" t="e">
        <f t="shared" si="33"/>
        <v>#DIV/0!</v>
      </c>
    </row>
    <row r="339" spans="21:23" x14ac:dyDescent="0.2">
      <c r="U339" s="616"/>
      <c r="W339" s="620" t="e">
        <f t="shared" si="33"/>
        <v>#DIV/0!</v>
      </c>
    </row>
    <row r="340" spans="21:23" x14ac:dyDescent="0.2">
      <c r="U340" s="616"/>
      <c r="W340" s="620" t="e">
        <f t="shared" si="33"/>
        <v>#DIV/0!</v>
      </c>
    </row>
    <row r="341" spans="21:23" x14ac:dyDescent="0.2">
      <c r="U341" s="616"/>
      <c r="W341" s="620" t="e">
        <f t="shared" si="33"/>
        <v>#DIV/0!</v>
      </c>
    </row>
    <row r="342" spans="21:23" x14ac:dyDescent="0.2">
      <c r="U342" s="616"/>
      <c r="W342" s="620" t="e">
        <f t="shared" si="33"/>
        <v>#DIV/0!</v>
      </c>
    </row>
    <row r="343" spans="21:23" x14ac:dyDescent="0.2">
      <c r="U343" s="616"/>
      <c r="W343" s="620" t="e">
        <f t="shared" si="33"/>
        <v>#DIV/0!</v>
      </c>
    </row>
    <row r="344" spans="21:23" x14ac:dyDescent="0.2">
      <c r="U344" s="616"/>
      <c r="W344" s="620" t="e">
        <f t="shared" si="33"/>
        <v>#DIV/0!</v>
      </c>
    </row>
    <row r="345" spans="21:23" x14ac:dyDescent="0.2">
      <c r="U345" s="616"/>
      <c r="W345" s="620" t="e">
        <f t="shared" si="33"/>
        <v>#DIV/0!</v>
      </c>
    </row>
    <row r="346" spans="21:23" x14ac:dyDescent="0.2">
      <c r="U346" s="616"/>
      <c r="W346" s="620" t="e">
        <f t="shared" si="33"/>
        <v>#DIV/0!</v>
      </c>
    </row>
    <row r="347" spans="21:23" x14ac:dyDescent="0.2">
      <c r="U347" s="616"/>
      <c r="W347" s="620" t="e">
        <f t="shared" si="33"/>
        <v>#DIV/0!</v>
      </c>
    </row>
    <row r="348" spans="21:23" x14ac:dyDescent="0.2">
      <c r="U348" s="616"/>
      <c r="W348" s="620" t="e">
        <f t="shared" si="33"/>
        <v>#DIV/0!</v>
      </c>
    </row>
    <row r="349" spans="21:23" x14ac:dyDescent="0.2">
      <c r="U349" s="616"/>
      <c r="W349" s="620" t="e">
        <f t="shared" si="33"/>
        <v>#DIV/0!</v>
      </c>
    </row>
    <row r="350" spans="21:23" x14ac:dyDescent="0.2">
      <c r="U350" s="616"/>
      <c r="W350" s="620" t="e">
        <f t="shared" si="33"/>
        <v>#DIV/0!</v>
      </c>
    </row>
    <row r="351" spans="21:23" x14ac:dyDescent="0.2">
      <c r="U351" s="616"/>
      <c r="W351" s="620" t="e">
        <f t="shared" si="33"/>
        <v>#DIV/0!</v>
      </c>
    </row>
    <row r="352" spans="21:23" x14ac:dyDescent="0.2">
      <c r="U352" s="616"/>
      <c r="W352" s="620" t="e">
        <f t="shared" si="33"/>
        <v>#DIV/0!</v>
      </c>
    </row>
    <row r="353" spans="21:23" x14ac:dyDescent="0.2">
      <c r="U353" s="616"/>
      <c r="W353" s="620" t="e">
        <f t="shared" si="33"/>
        <v>#DIV/0!</v>
      </c>
    </row>
    <row r="354" spans="21:23" x14ac:dyDescent="0.2">
      <c r="U354" s="616"/>
      <c r="W354" s="620" t="e">
        <f t="shared" si="33"/>
        <v>#DIV/0!</v>
      </c>
    </row>
    <row r="355" spans="21:23" x14ac:dyDescent="0.2">
      <c r="U355" s="616"/>
      <c r="W355" s="620" t="e">
        <f t="shared" si="33"/>
        <v>#DIV/0!</v>
      </c>
    </row>
    <row r="356" spans="21:23" x14ac:dyDescent="0.2">
      <c r="U356" s="616"/>
      <c r="W356" s="620" t="e">
        <f t="shared" si="33"/>
        <v>#DIV/0!</v>
      </c>
    </row>
    <row r="357" spans="21:23" x14ac:dyDescent="0.2">
      <c r="U357" s="616"/>
      <c r="W357" s="620" t="e">
        <f t="shared" si="33"/>
        <v>#DIV/0!</v>
      </c>
    </row>
    <row r="358" spans="21:23" x14ac:dyDescent="0.2">
      <c r="U358" s="616"/>
      <c r="W358" s="620" t="e">
        <f t="shared" si="33"/>
        <v>#DIV/0!</v>
      </c>
    </row>
    <row r="359" spans="21:23" x14ac:dyDescent="0.2">
      <c r="U359" s="616"/>
      <c r="W359" s="620" t="e">
        <f t="shared" si="33"/>
        <v>#DIV/0!</v>
      </c>
    </row>
    <row r="360" spans="21:23" x14ac:dyDescent="0.2">
      <c r="U360" s="616"/>
      <c r="W360" s="620" t="e">
        <f t="shared" si="33"/>
        <v>#DIV/0!</v>
      </c>
    </row>
    <row r="361" spans="21:23" x14ac:dyDescent="0.2">
      <c r="U361" s="616"/>
      <c r="W361" s="620" t="e">
        <f t="shared" si="33"/>
        <v>#DIV/0!</v>
      </c>
    </row>
    <row r="362" spans="21:23" x14ac:dyDescent="0.2">
      <c r="U362" s="616"/>
      <c r="W362" s="620" t="e">
        <f t="shared" si="33"/>
        <v>#DIV/0!</v>
      </c>
    </row>
    <row r="363" spans="21:23" x14ac:dyDescent="0.2">
      <c r="U363" s="616"/>
      <c r="W363" s="620" t="e">
        <f t="shared" si="33"/>
        <v>#DIV/0!</v>
      </c>
    </row>
    <row r="364" spans="21:23" x14ac:dyDescent="0.2">
      <c r="U364" s="616"/>
      <c r="W364" s="620" t="e">
        <f t="shared" si="33"/>
        <v>#DIV/0!</v>
      </c>
    </row>
    <row r="365" spans="21:23" x14ac:dyDescent="0.2">
      <c r="U365" s="616"/>
      <c r="W365" s="620" t="e">
        <f t="shared" si="33"/>
        <v>#DIV/0!</v>
      </c>
    </row>
    <row r="366" spans="21:23" x14ac:dyDescent="0.2">
      <c r="U366" s="616"/>
      <c r="W366" s="620" t="e">
        <f t="shared" si="33"/>
        <v>#DIV/0!</v>
      </c>
    </row>
    <row r="367" spans="21:23" x14ac:dyDescent="0.2">
      <c r="U367" s="616"/>
      <c r="W367" s="620" t="e">
        <f t="shared" si="33"/>
        <v>#DIV/0!</v>
      </c>
    </row>
    <row r="368" spans="21:23" x14ac:dyDescent="0.2">
      <c r="U368" s="616"/>
      <c r="W368" s="620" t="e">
        <f t="shared" si="33"/>
        <v>#DIV/0!</v>
      </c>
    </row>
    <row r="369" spans="21:23" x14ac:dyDescent="0.2">
      <c r="U369" s="616"/>
      <c r="W369" s="620" t="e">
        <f t="shared" si="33"/>
        <v>#DIV/0!</v>
      </c>
    </row>
    <row r="370" spans="21:23" x14ac:dyDescent="0.2">
      <c r="U370" s="616"/>
      <c r="W370" s="620" t="e">
        <f t="shared" si="33"/>
        <v>#DIV/0!</v>
      </c>
    </row>
    <row r="371" spans="21:23" x14ac:dyDescent="0.2">
      <c r="U371" s="616"/>
      <c r="W371" s="620" t="e">
        <f t="shared" si="33"/>
        <v>#DIV/0!</v>
      </c>
    </row>
    <row r="372" spans="21:23" x14ac:dyDescent="0.2">
      <c r="U372" s="616"/>
      <c r="W372" s="620" t="e">
        <f t="shared" si="33"/>
        <v>#DIV/0!</v>
      </c>
    </row>
    <row r="373" spans="21:23" x14ac:dyDescent="0.2">
      <c r="U373" s="616"/>
      <c r="W373" s="620" t="e">
        <f t="shared" si="33"/>
        <v>#DIV/0!</v>
      </c>
    </row>
    <row r="374" spans="21:23" x14ac:dyDescent="0.2">
      <c r="U374" s="616"/>
      <c r="W374" s="620" t="e">
        <f t="shared" si="33"/>
        <v>#DIV/0!</v>
      </c>
    </row>
    <row r="375" spans="21:23" x14ac:dyDescent="0.2">
      <c r="U375" s="616"/>
      <c r="W375" s="620" t="e">
        <f t="shared" si="33"/>
        <v>#DIV/0!</v>
      </c>
    </row>
    <row r="376" spans="21:23" x14ac:dyDescent="0.2">
      <c r="U376" s="616"/>
      <c r="W376" s="620" t="e">
        <f t="shared" si="33"/>
        <v>#DIV/0!</v>
      </c>
    </row>
    <row r="377" spans="21:23" x14ac:dyDescent="0.2">
      <c r="U377" s="616"/>
      <c r="W377" s="620" t="e">
        <f t="shared" si="33"/>
        <v>#DIV/0!</v>
      </c>
    </row>
    <row r="378" spans="21:23" x14ac:dyDescent="0.2">
      <c r="U378" s="616"/>
      <c r="W378" s="620" t="e">
        <f t="shared" si="33"/>
        <v>#DIV/0!</v>
      </c>
    </row>
    <row r="379" spans="21:23" x14ac:dyDescent="0.2">
      <c r="U379" s="616"/>
      <c r="W379" s="620" t="e">
        <f t="shared" si="33"/>
        <v>#DIV/0!</v>
      </c>
    </row>
    <row r="380" spans="21:23" x14ac:dyDescent="0.2">
      <c r="U380" s="616"/>
      <c r="W380" s="620" t="e">
        <f t="shared" si="33"/>
        <v>#DIV/0!</v>
      </c>
    </row>
    <row r="381" spans="21:23" x14ac:dyDescent="0.2">
      <c r="U381" s="616"/>
      <c r="W381" s="620" t="e">
        <f t="shared" si="33"/>
        <v>#DIV/0!</v>
      </c>
    </row>
    <row r="382" spans="21:23" x14ac:dyDescent="0.2">
      <c r="U382" s="616"/>
      <c r="W382" s="620" t="e">
        <f t="shared" si="33"/>
        <v>#DIV/0!</v>
      </c>
    </row>
    <row r="383" spans="21:23" x14ac:dyDescent="0.2">
      <c r="U383" s="616"/>
      <c r="W383" s="620" t="e">
        <f t="shared" si="33"/>
        <v>#DIV/0!</v>
      </c>
    </row>
    <row r="384" spans="21:23" x14ac:dyDescent="0.2">
      <c r="U384" s="616"/>
      <c r="W384" s="620" t="e">
        <f t="shared" si="33"/>
        <v>#DIV/0!</v>
      </c>
    </row>
    <row r="385" spans="21:23" x14ac:dyDescent="0.2">
      <c r="U385" s="616"/>
      <c r="W385" s="620" t="e">
        <f t="shared" si="33"/>
        <v>#DIV/0!</v>
      </c>
    </row>
    <row r="386" spans="21:23" x14ac:dyDescent="0.2">
      <c r="U386" s="616"/>
      <c r="W386" s="620" t="e">
        <f t="shared" si="33"/>
        <v>#DIV/0!</v>
      </c>
    </row>
    <row r="387" spans="21:23" x14ac:dyDescent="0.2">
      <c r="U387" s="616"/>
      <c r="W387" s="620" t="e">
        <f t="shared" si="33"/>
        <v>#DIV/0!</v>
      </c>
    </row>
    <row r="388" spans="21:23" x14ac:dyDescent="0.2">
      <c r="U388" s="616"/>
      <c r="W388" s="620" t="e">
        <f t="shared" ref="W388:W451" si="34">AVERAGE($V$4:$V$2517)</f>
        <v>#DIV/0!</v>
      </c>
    </row>
    <row r="389" spans="21:23" x14ac:dyDescent="0.2">
      <c r="U389" s="616"/>
      <c r="W389" s="620" t="e">
        <f t="shared" si="34"/>
        <v>#DIV/0!</v>
      </c>
    </row>
    <row r="390" spans="21:23" x14ac:dyDescent="0.2">
      <c r="U390" s="616"/>
      <c r="W390" s="620" t="e">
        <f t="shared" si="34"/>
        <v>#DIV/0!</v>
      </c>
    </row>
    <row r="391" spans="21:23" x14ac:dyDescent="0.2">
      <c r="U391" s="616"/>
      <c r="W391" s="620" t="e">
        <f t="shared" si="34"/>
        <v>#DIV/0!</v>
      </c>
    </row>
    <row r="392" spans="21:23" x14ac:dyDescent="0.2">
      <c r="U392" s="616"/>
      <c r="W392" s="620" t="e">
        <f t="shared" si="34"/>
        <v>#DIV/0!</v>
      </c>
    </row>
    <row r="393" spans="21:23" x14ac:dyDescent="0.2">
      <c r="U393" s="616"/>
      <c r="W393" s="620" t="e">
        <f t="shared" si="34"/>
        <v>#DIV/0!</v>
      </c>
    </row>
    <row r="394" spans="21:23" x14ac:dyDescent="0.2">
      <c r="U394" s="616"/>
      <c r="W394" s="620" t="e">
        <f t="shared" si="34"/>
        <v>#DIV/0!</v>
      </c>
    </row>
    <row r="395" spans="21:23" x14ac:dyDescent="0.2">
      <c r="U395" s="616"/>
      <c r="W395" s="620" t="e">
        <f t="shared" si="34"/>
        <v>#DIV/0!</v>
      </c>
    </row>
    <row r="396" spans="21:23" x14ac:dyDescent="0.2">
      <c r="U396" s="616"/>
      <c r="W396" s="620" t="e">
        <f t="shared" si="34"/>
        <v>#DIV/0!</v>
      </c>
    </row>
    <row r="397" spans="21:23" x14ac:dyDescent="0.2">
      <c r="U397" s="616"/>
      <c r="W397" s="620" t="e">
        <f t="shared" si="34"/>
        <v>#DIV/0!</v>
      </c>
    </row>
    <row r="398" spans="21:23" x14ac:dyDescent="0.2">
      <c r="U398" s="616"/>
      <c r="W398" s="620" t="e">
        <f t="shared" si="34"/>
        <v>#DIV/0!</v>
      </c>
    </row>
    <row r="399" spans="21:23" x14ac:dyDescent="0.2">
      <c r="U399" s="616"/>
      <c r="W399" s="620" t="e">
        <f t="shared" si="34"/>
        <v>#DIV/0!</v>
      </c>
    </row>
    <row r="400" spans="21:23" x14ac:dyDescent="0.2">
      <c r="U400" s="616"/>
      <c r="W400" s="620" t="e">
        <f t="shared" si="34"/>
        <v>#DIV/0!</v>
      </c>
    </row>
    <row r="401" spans="21:23" x14ac:dyDescent="0.2">
      <c r="U401" s="616"/>
      <c r="W401" s="620" t="e">
        <f t="shared" si="34"/>
        <v>#DIV/0!</v>
      </c>
    </row>
    <row r="402" spans="21:23" x14ac:dyDescent="0.2">
      <c r="U402" s="616"/>
      <c r="W402" s="620" t="e">
        <f t="shared" si="34"/>
        <v>#DIV/0!</v>
      </c>
    </row>
    <row r="403" spans="21:23" x14ac:dyDescent="0.2">
      <c r="U403" s="616"/>
      <c r="W403" s="620" t="e">
        <f t="shared" si="34"/>
        <v>#DIV/0!</v>
      </c>
    </row>
    <row r="404" spans="21:23" x14ac:dyDescent="0.2">
      <c r="U404" s="616"/>
      <c r="W404" s="620" t="e">
        <f t="shared" si="34"/>
        <v>#DIV/0!</v>
      </c>
    </row>
    <row r="405" spans="21:23" x14ac:dyDescent="0.2">
      <c r="U405" s="616"/>
      <c r="W405" s="620" t="e">
        <f t="shared" si="34"/>
        <v>#DIV/0!</v>
      </c>
    </row>
    <row r="406" spans="21:23" x14ac:dyDescent="0.2">
      <c r="U406" s="616"/>
      <c r="W406" s="620" t="e">
        <f t="shared" si="34"/>
        <v>#DIV/0!</v>
      </c>
    </row>
    <row r="407" spans="21:23" x14ac:dyDescent="0.2">
      <c r="U407" s="616"/>
      <c r="W407" s="620" t="e">
        <f t="shared" si="34"/>
        <v>#DIV/0!</v>
      </c>
    </row>
    <row r="408" spans="21:23" x14ac:dyDescent="0.2">
      <c r="U408" s="616"/>
      <c r="W408" s="620" t="e">
        <f t="shared" si="34"/>
        <v>#DIV/0!</v>
      </c>
    </row>
    <row r="409" spans="21:23" x14ac:dyDescent="0.2">
      <c r="U409" s="616"/>
      <c r="W409" s="620" t="e">
        <f t="shared" si="34"/>
        <v>#DIV/0!</v>
      </c>
    </row>
    <row r="410" spans="21:23" x14ac:dyDescent="0.2">
      <c r="U410" s="616"/>
      <c r="W410" s="620" t="e">
        <f t="shared" si="34"/>
        <v>#DIV/0!</v>
      </c>
    </row>
    <row r="411" spans="21:23" x14ac:dyDescent="0.2">
      <c r="U411" s="616"/>
      <c r="W411" s="620" t="e">
        <f t="shared" si="34"/>
        <v>#DIV/0!</v>
      </c>
    </row>
    <row r="412" spans="21:23" x14ac:dyDescent="0.2">
      <c r="U412" s="616"/>
      <c r="W412" s="620" t="e">
        <f t="shared" si="34"/>
        <v>#DIV/0!</v>
      </c>
    </row>
    <row r="413" spans="21:23" x14ac:dyDescent="0.2">
      <c r="U413" s="616"/>
      <c r="W413" s="620" t="e">
        <f t="shared" si="34"/>
        <v>#DIV/0!</v>
      </c>
    </row>
    <row r="414" spans="21:23" x14ac:dyDescent="0.2">
      <c r="U414" s="616"/>
      <c r="W414" s="620" t="e">
        <f t="shared" si="34"/>
        <v>#DIV/0!</v>
      </c>
    </row>
    <row r="415" spans="21:23" x14ac:dyDescent="0.2">
      <c r="U415" s="616"/>
      <c r="W415" s="620" t="e">
        <f t="shared" si="34"/>
        <v>#DIV/0!</v>
      </c>
    </row>
    <row r="416" spans="21:23" x14ac:dyDescent="0.2">
      <c r="U416" s="616"/>
      <c r="W416" s="620" t="e">
        <f t="shared" si="34"/>
        <v>#DIV/0!</v>
      </c>
    </row>
    <row r="417" spans="21:23" x14ac:dyDescent="0.2">
      <c r="U417" s="616"/>
      <c r="W417" s="620" t="e">
        <f t="shared" si="34"/>
        <v>#DIV/0!</v>
      </c>
    </row>
    <row r="418" spans="21:23" x14ac:dyDescent="0.2">
      <c r="U418" s="616"/>
      <c r="W418" s="620" t="e">
        <f t="shared" si="34"/>
        <v>#DIV/0!</v>
      </c>
    </row>
    <row r="419" spans="21:23" x14ac:dyDescent="0.2">
      <c r="U419" s="616"/>
      <c r="W419" s="620" t="e">
        <f t="shared" si="34"/>
        <v>#DIV/0!</v>
      </c>
    </row>
    <row r="420" spans="21:23" x14ac:dyDescent="0.2">
      <c r="U420" s="616"/>
      <c r="W420" s="620" t="e">
        <f t="shared" si="34"/>
        <v>#DIV/0!</v>
      </c>
    </row>
    <row r="421" spans="21:23" x14ac:dyDescent="0.2">
      <c r="U421" s="616"/>
      <c r="W421" s="620" t="e">
        <f t="shared" si="34"/>
        <v>#DIV/0!</v>
      </c>
    </row>
    <row r="422" spans="21:23" x14ac:dyDescent="0.2">
      <c r="U422" s="616"/>
      <c r="W422" s="620" t="e">
        <f t="shared" si="34"/>
        <v>#DIV/0!</v>
      </c>
    </row>
    <row r="423" spans="21:23" x14ac:dyDescent="0.2">
      <c r="U423" s="616"/>
      <c r="W423" s="620" t="e">
        <f t="shared" si="34"/>
        <v>#DIV/0!</v>
      </c>
    </row>
    <row r="424" spans="21:23" x14ac:dyDescent="0.2">
      <c r="U424" s="616"/>
      <c r="W424" s="620" t="e">
        <f t="shared" si="34"/>
        <v>#DIV/0!</v>
      </c>
    </row>
    <row r="425" spans="21:23" x14ac:dyDescent="0.2">
      <c r="U425" s="616"/>
      <c r="W425" s="620" t="e">
        <f t="shared" si="34"/>
        <v>#DIV/0!</v>
      </c>
    </row>
    <row r="426" spans="21:23" x14ac:dyDescent="0.2">
      <c r="U426" s="616"/>
      <c r="W426" s="620" t="e">
        <f t="shared" si="34"/>
        <v>#DIV/0!</v>
      </c>
    </row>
    <row r="427" spans="21:23" x14ac:dyDescent="0.2">
      <c r="U427" s="616"/>
      <c r="W427" s="620" t="e">
        <f t="shared" si="34"/>
        <v>#DIV/0!</v>
      </c>
    </row>
    <row r="428" spans="21:23" x14ac:dyDescent="0.2">
      <c r="U428" s="616"/>
      <c r="W428" s="620" t="e">
        <f t="shared" si="34"/>
        <v>#DIV/0!</v>
      </c>
    </row>
    <row r="429" spans="21:23" x14ac:dyDescent="0.2">
      <c r="U429" s="616"/>
      <c r="W429" s="620" t="e">
        <f t="shared" si="34"/>
        <v>#DIV/0!</v>
      </c>
    </row>
    <row r="430" spans="21:23" x14ac:dyDescent="0.2">
      <c r="U430" s="616"/>
      <c r="W430" s="620" t="e">
        <f t="shared" si="34"/>
        <v>#DIV/0!</v>
      </c>
    </row>
    <row r="431" spans="21:23" x14ac:dyDescent="0.2">
      <c r="U431" s="616"/>
      <c r="W431" s="620" t="e">
        <f t="shared" si="34"/>
        <v>#DIV/0!</v>
      </c>
    </row>
    <row r="432" spans="21:23" x14ac:dyDescent="0.2">
      <c r="U432" s="616"/>
      <c r="W432" s="620" t="e">
        <f t="shared" si="34"/>
        <v>#DIV/0!</v>
      </c>
    </row>
    <row r="433" spans="21:23" x14ac:dyDescent="0.2">
      <c r="U433" s="616"/>
      <c r="W433" s="620" t="e">
        <f t="shared" si="34"/>
        <v>#DIV/0!</v>
      </c>
    </row>
    <row r="434" spans="21:23" x14ac:dyDescent="0.2">
      <c r="U434" s="616"/>
      <c r="W434" s="620" t="e">
        <f t="shared" si="34"/>
        <v>#DIV/0!</v>
      </c>
    </row>
    <row r="435" spans="21:23" x14ac:dyDescent="0.2">
      <c r="U435" s="616"/>
      <c r="W435" s="620" t="e">
        <f t="shared" si="34"/>
        <v>#DIV/0!</v>
      </c>
    </row>
    <row r="436" spans="21:23" x14ac:dyDescent="0.2">
      <c r="U436" s="616"/>
      <c r="W436" s="620" t="e">
        <f t="shared" si="34"/>
        <v>#DIV/0!</v>
      </c>
    </row>
    <row r="437" spans="21:23" x14ac:dyDescent="0.2">
      <c r="U437" s="616"/>
      <c r="W437" s="620" t="e">
        <f t="shared" si="34"/>
        <v>#DIV/0!</v>
      </c>
    </row>
    <row r="438" spans="21:23" x14ac:dyDescent="0.2">
      <c r="U438" s="616"/>
      <c r="W438" s="620" t="e">
        <f t="shared" si="34"/>
        <v>#DIV/0!</v>
      </c>
    </row>
    <row r="439" spans="21:23" x14ac:dyDescent="0.2">
      <c r="U439" s="616"/>
      <c r="W439" s="620" t="e">
        <f t="shared" si="34"/>
        <v>#DIV/0!</v>
      </c>
    </row>
    <row r="440" spans="21:23" x14ac:dyDescent="0.2">
      <c r="U440" s="616"/>
      <c r="W440" s="620" t="e">
        <f t="shared" si="34"/>
        <v>#DIV/0!</v>
      </c>
    </row>
    <row r="441" spans="21:23" x14ac:dyDescent="0.2">
      <c r="U441" s="616"/>
      <c r="W441" s="620" t="e">
        <f t="shared" si="34"/>
        <v>#DIV/0!</v>
      </c>
    </row>
    <row r="442" spans="21:23" x14ac:dyDescent="0.2">
      <c r="U442" s="616"/>
      <c r="W442" s="620" t="e">
        <f t="shared" si="34"/>
        <v>#DIV/0!</v>
      </c>
    </row>
    <row r="443" spans="21:23" x14ac:dyDescent="0.2">
      <c r="U443" s="616"/>
      <c r="W443" s="620" t="e">
        <f t="shared" si="34"/>
        <v>#DIV/0!</v>
      </c>
    </row>
    <row r="444" spans="21:23" x14ac:dyDescent="0.2">
      <c r="U444" s="616"/>
      <c r="W444" s="620" t="e">
        <f t="shared" si="34"/>
        <v>#DIV/0!</v>
      </c>
    </row>
    <row r="445" spans="21:23" x14ac:dyDescent="0.2">
      <c r="U445" s="616"/>
      <c r="W445" s="620" t="e">
        <f t="shared" si="34"/>
        <v>#DIV/0!</v>
      </c>
    </row>
    <row r="446" spans="21:23" x14ac:dyDescent="0.2">
      <c r="U446" s="616"/>
      <c r="W446" s="620" t="e">
        <f t="shared" si="34"/>
        <v>#DIV/0!</v>
      </c>
    </row>
    <row r="447" spans="21:23" x14ac:dyDescent="0.2">
      <c r="U447" s="616"/>
      <c r="W447" s="620" t="e">
        <f t="shared" si="34"/>
        <v>#DIV/0!</v>
      </c>
    </row>
    <row r="448" spans="21:23" x14ac:dyDescent="0.2">
      <c r="U448" s="616"/>
      <c r="W448" s="620" t="e">
        <f t="shared" si="34"/>
        <v>#DIV/0!</v>
      </c>
    </row>
    <row r="449" spans="21:23" x14ac:dyDescent="0.2">
      <c r="U449" s="616"/>
      <c r="W449" s="620" t="e">
        <f t="shared" si="34"/>
        <v>#DIV/0!</v>
      </c>
    </row>
    <row r="450" spans="21:23" x14ac:dyDescent="0.2">
      <c r="U450" s="616"/>
      <c r="W450" s="620" t="e">
        <f t="shared" si="34"/>
        <v>#DIV/0!</v>
      </c>
    </row>
    <row r="451" spans="21:23" x14ac:dyDescent="0.2">
      <c r="U451" s="616"/>
      <c r="W451" s="620" t="e">
        <f t="shared" si="34"/>
        <v>#DIV/0!</v>
      </c>
    </row>
    <row r="452" spans="21:23" x14ac:dyDescent="0.2">
      <c r="U452" s="616"/>
      <c r="W452" s="620" t="e">
        <f t="shared" ref="W452:W515" si="35">AVERAGE($V$4:$V$2517)</f>
        <v>#DIV/0!</v>
      </c>
    </row>
    <row r="453" spans="21:23" x14ac:dyDescent="0.2">
      <c r="U453" s="616"/>
      <c r="W453" s="620" t="e">
        <f t="shared" si="35"/>
        <v>#DIV/0!</v>
      </c>
    </row>
    <row r="454" spans="21:23" x14ac:dyDescent="0.2">
      <c r="U454" s="616"/>
      <c r="W454" s="620" t="e">
        <f t="shared" si="35"/>
        <v>#DIV/0!</v>
      </c>
    </row>
    <row r="455" spans="21:23" x14ac:dyDescent="0.2">
      <c r="U455" s="616"/>
      <c r="W455" s="620" t="e">
        <f t="shared" si="35"/>
        <v>#DIV/0!</v>
      </c>
    </row>
    <row r="456" spans="21:23" x14ac:dyDescent="0.2">
      <c r="U456" s="616"/>
      <c r="W456" s="620" t="e">
        <f t="shared" si="35"/>
        <v>#DIV/0!</v>
      </c>
    </row>
    <row r="457" spans="21:23" x14ac:dyDescent="0.2">
      <c r="U457" s="616"/>
      <c r="W457" s="620" t="e">
        <f t="shared" si="35"/>
        <v>#DIV/0!</v>
      </c>
    </row>
    <row r="458" spans="21:23" x14ac:dyDescent="0.2">
      <c r="U458" s="616"/>
      <c r="W458" s="620" t="e">
        <f t="shared" si="35"/>
        <v>#DIV/0!</v>
      </c>
    </row>
    <row r="459" spans="21:23" x14ac:dyDescent="0.2">
      <c r="U459" s="616"/>
      <c r="W459" s="620" t="e">
        <f t="shared" si="35"/>
        <v>#DIV/0!</v>
      </c>
    </row>
    <row r="460" spans="21:23" x14ac:dyDescent="0.2">
      <c r="U460" s="616"/>
      <c r="W460" s="620" t="e">
        <f t="shared" si="35"/>
        <v>#DIV/0!</v>
      </c>
    </row>
    <row r="461" spans="21:23" x14ac:dyDescent="0.2">
      <c r="U461" s="616"/>
      <c r="W461" s="620" t="e">
        <f t="shared" si="35"/>
        <v>#DIV/0!</v>
      </c>
    </row>
    <row r="462" spans="21:23" x14ac:dyDescent="0.2">
      <c r="U462" s="616"/>
      <c r="W462" s="620" t="e">
        <f t="shared" si="35"/>
        <v>#DIV/0!</v>
      </c>
    </row>
    <row r="463" spans="21:23" x14ac:dyDescent="0.2">
      <c r="U463" s="616"/>
      <c r="W463" s="620" t="e">
        <f t="shared" si="35"/>
        <v>#DIV/0!</v>
      </c>
    </row>
    <row r="464" spans="21:23" x14ac:dyDescent="0.2">
      <c r="U464" s="616"/>
      <c r="W464" s="620" t="e">
        <f t="shared" si="35"/>
        <v>#DIV/0!</v>
      </c>
    </row>
    <row r="465" spans="21:23" x14ac:dyDescent="0.2">
      <c r="U465" s="616"/>
      <c r="W465" s="620" t="e">
        <f t="shared" si="35"/>
        <v>#DIV/0!</v>
      </c>
    </row>
    <row r="466" spans="21:23" x14ac:dyDescent="0.2">
      <c r="U466" s="616"/>
      <c r="W466" s="620" t="e">
        <f t="shared" si="35"/>
        <v>#DIV/0!</v>
      </c>
    </row>
    <row r="467" spans="21:23" x14ac:dyDescent="0.2">
      <c r="U467" s="616"/>
      <c r="W467" s="620" t="e">
        <f t="shared" si="35"/>
        <v>#DIV/0!</v>
      </c>
    </row>
    <row r="468" spans="21:23" x14ac:dyDescent="0.2">
      <c r="U468" s="616"/>
      <c r="W468" s="620" t="e">
        <f t="shared" si="35"/>
        <v>#DIV/0!</v>
      </c>
    </row>
    <row r="469" spans="21:23" x14ac:dyDescent="0.2">
      <c r="U469" s="616"/>
      <c r="W469" s="620" t="e">
        <f t="shared" si="35"/>
        <v>#DIV/0!</v>
      </c>
    </row>
    <row r="470" spans="21:23" x14ac:dyDescent="0.2">
      <c r="U470" s="616"/>
      <c r="W470" s="620" t="e">
        <f t="shared" si="35"/>
        <v>#DIV/0!</v>
      </c>
    </row>
    <row r="471" spans="21:23" x14ac:dyDescent="0.2">
      <c r="U471" s="616"/>
      <c r="W471" s="620" t="e">
        <f t="shared" si="35"/>
        <v>#DIV/0!</v>
      </c>
    </row>
    <row r="472" spans="21:23" x14ac:dyDescent="0.2">
      <c r="U472" s="616"/>
      <c r="W472" s="620" t="e">
        <f t="shared" si="35"/>
        <v>#DIV/0!</v>
      </c>
    </row>
    <row r="473" spans="21:23" x14ac:dyDescent="0.2">
      <c r="U473" s="616"/>
      <c r="W473" s="620" t="e">
        <f t="shared" si="35"/>
        <v>#DIV/0!</v>
      </c>
    </row>
    <row r="474" spans="21:23" x14ac:dyDescent="0.2">
      <c r="U474" s="616"/>
      <c r="W474" s="620" t="e">
        <f t="shared" si="35"/>
        <v>#DIV/0!</v>
      </c>
    </row>
    <row r="475" spans="21:23" x14ac:dyDescent="0.2">
      <c r="U475" s="616"/>
      <c r="W475" s="620" t="e">
        <f t="shared" si="35"/>
        <v>#DIV/0!</v>
      </c>
    </row>
    <row r="476" spans="21:23" x14ac:dyDescent="0.2">
      <c r="U476" s="616"/>
      <c r="W476" s="620" t="e">
        <f t="shared" si="35"/>
        <v>#DIV/0!</v>
      </c>
    </row>
    <row r="477" spans="21:23" x14ac:dyDescent="0.2">
      <c r="U477" s="616"/>
      <c r="W477" s="620" t="e">
        <f t="shared" si="35"/>
        <v>#DIV/0!</v>
      </c>
    </row>
    <row r="478" spans="21:23" x14ac:dyDescent="0.2">
      <c r="U478" s="616"/>
      <c r="W478" s="620" t="e">
        <f t="shared" si="35"/>
        <v>#DIV/0!</v>
      </c>
    </row>
    <row r="479" spans="21:23" x14ac:dyDescent="0.2">
      <c r="U479" s="616"/>
      <c r="W479" s="620" t="e">
        <f t="shared" si="35"/>
        <v>#DIV/0!</v>
      </c>
    </row>
    <row r="480" spans="21:23" x14ac:dyDescent="0.2">
      <c r="U480" s="616"/>
      <c r="W480" s="620" t="e">
        <f t="shared" si="35"/>
        <v>#DIV/0!</v>
      </c>
    </row>
    <row r="481" spans="21:23" x14ac:dyDescent="0.2">
      <c r="U481" s="616"/>
      <c r="W481" s="620" t="e">
        <f t="shared" si="35"/>
        <v>#DIV/0!</v>
      </c>
    </row>
    <row r="482" spans="21:23" x14ac:dyDescent="0.2">
      <c r="U482" s="616"/>
      <c r="W482" s="620" t="e">
        <f t="shared" si="35"/>
        <v>#DIV/0!</v>
      </c>
    </row>
    <row r="483" spans="21:23" x14ac:dyDescent="0.2">
      <c r="U483" s="616"/>
      <c r="W483" s="620" t="e">
        <f t="shared" si="35"/>
        <v>#DIV/0!</v>
      </c>
    </row>
    <row r="484" spans="21:23" x14ac:dyDescent="0.2">
      <c r="U484" s="616"/>
      <c r="W484" s="620" t="e">
        <f t="shared" si="35"/>
        <v>#DIV/0!</v>
      </c>
    </row>
    <row r="485" spans="21:23" x14ac:dyDescent="0.2">
      <c r="U485" s="616"/>
      <c r="W485" s="620" t="e">
        <f t="shared" si="35"/>
        <v>#DIV/0!</v>
      </c>
    </row>
    <row r="486" spans="21:23" x14ac:dyDescent="0.2">
      <c r="U486" s="616"/>
      <c r="W486" s="620" t="e">
        <f t="shared" si="35"/>
        <v>#DIV/0!</v>
      </c>
    </row>
    <row r="487" spans="21:23" x14ac:dyDescent="0.2">
      <c r="U487" s="616"/>
      <c r="W487" s="620" t="e">
        <f t="shared" si="35"/>
        <v>#DIV/0!</v>
      </c>
    </row>
    <row r="488" spans="21:23" x14ac:dyDescent="0.2">
      <c r="U488" s="616"/>
      <c r="W488" s="620" t="e">
        <f t="shared" si="35"/>
        <v>#DIV/0!</v>
      </c>
    </row>
    <row r="489" spans="21:23" x14ac:dyDescent="0.2">
      <c r="U489" s="616"/>
      <c r="W489" s="620" t="e">
        <f t="shared" si="35"/>
        <v>#DIV/0!</v>
      </c>
    </row>
    <row r="490" spans="21:23" x14ac:dyDescent="0.2">
      <c r="U490" s="616"/>
      <c r="W490" s="620" t="e">
        <f t="shared" si="35"/>
        <v>#DIV/0!</v>
      </c>
    </row>
    <row r="491" spans="21:23" x14ac:dyDescent="0.2">
      <c r="U491" s="616"/>
      <c r="W491" s="620" t="e">
        <f t="shared" si="35"/>
        <v>#DIV/0!</v>
      </c>
    </row>
    <row r="492" spans="21:23" x14ac:dyDescent="0.2">
      <c r="U492" s="616"/>
      <c r="W492" s="620" t="e">
        <f t="shared" si="35"/>
        <v>#DIV/0!</v>
      </c>
    </row>
    <row r="493" spans="21:23" x14ac:dyDescent="0.2">
      <c r="U493" s="616"/>
      <c r="W493" s="620" t="e">
        <f t="shared" si="35"/>
        <v>#DIV/0!</v>
      </c>
    </row>
    <row r="494" spans="21:23" x14ac:dyDescent="0.2">
      <c r="U494" s="616"/>
      <c r="W494" s="620" t="e">
        <f t="shared" si="35"/>
        <v>#DIV/0!</v>
      </c>
    </row>
    <row r="495" spans="21:23" x14ac:dyDescent="0.2">
      <c r="U495" s="616"/>
      <c r="W495" s="620" t="e">
        <f t="shared" si="35"/>
        <v>#DIV/0!</v>
      </c>
    </row>
    <row r="496" spans="21:23" x14ac:dyDescent="0.2">
      <c r="U496" s="616"/>
      <c r="W496" s="620" t="e">
        <f t="shared" si="35"/>
        <v>#DIV/0!</v>
      </c>
    </row>
    <row r="497" spans="21:23" x14ac:dyDescent="0.2">
      <c r="U497" s="616"/>
      <c r="W497" s="620" t="e">
        <f t="shared" si="35"/>
        <v>#DIV/0!</v>
      </c>
    </row>
    <row r="498" spans="21:23" x14ac:dyDescent="0.2">
      <c r="U498" s="616"/>
      <c r="W498" s="620" t="e">
        <f t="shared" si="35"/>
        <v>#DIV/0!</v>
      </c>
    </row>
    <row r="499" spans="21:23" x14ac:dyDescent="0.2">
      <c r="U499" s="616"/>
      <c r="W499" s="620" t="e">
        <f t="shared" si="35"/>
        <v>#DIV/0!</v>
      </c>
    </row>
    <row r="500" spans="21:23" x14ac:dyDescent="0.2">
      <c r="U500" s="616"/>
      <c r="W500" s="620" t="e">
        <f t="shared" si="35"/>
        <v>#DIV/0!</v>
      </c>
    </row>
    <row r="501" spans="21:23" x14ac:dyDescent="0.2">
      <c r="U501" s="616"/>
      <c r="W501" s="620" t="e">
        <f t="shared" si="35"/>
        <v>#DIV/0!</v>
      </c>
    </row>
    <row r="502" spans="21:23" x14ac:dyDescent="0.2">
      <c r="U502" s="616"/>
      <c r="W502" s="620" t="e">
        <f t="shared" si="35"/>
        <v>#DIV/0!</v>
      </c>
    </row>
    <row r="503" spans="21:23" x14ac:dyDescent="0.2">
      <c r="U503" s="616"/>
      <c r="W503" s="620" t="e">
        <f t="shared" si="35"/>
        <v>#DIV/0!</v>
      </c>
    </row>
    <row r="504" spans="21:23" x14ac:dyDescent="0.2">
      <c r="U504" s="616"/>
      <c r="W504" s="620" t="e">
        <f t="shared" si="35"/>
        <v>#DIV/0!</v>
      </c>
    </row>
    <row r="505" spans="21:23" x14ac:dyDescent="0.2">
      <c r="U505" s="616"/>
      <c r="W505" s="620" t="e">
        <f t="shared" si="35"/>
        <v>#DIV/0!</v>
      </c>
    </row>
    <row r="506" spans="21:23" x14ac:dyDescent="0.2">
      <c r="U506" s="616"/>
      <c r="W506" s="620" t="e">
        <f t="shared" si="35"/>
        <v>#DIV/0!</v>
      </c>
    </row>
    <row r="507" spans="21:23" x14ac:dyDescent="0.2">
      <c r="U507" s="616"/>
      <c r="W507" s="620" t="e">
        <f t="shared" si="35"/>
        <v>#DIV/0!</v>
      </c>
    </row>
    <row r="508" spans="21:23" x14ac:dyDescent="0.2">
      <c r="U508" s="616"/>
      <c r="W508" s="620" t="e">
        <f t="shared" si="35"/>
        <v>#DIV/0!</v>
      </c>
    </row>
    <row r="509" spans="21:23" x14ac:dyDescent="0.2">
      <c r="U509" s="616"/>
      <c r="W509" s="620" t="e">
        <f t="shared" si="35"/>
        <v>#DIV/0!</v>
      </c>
    </row>
    <row r="510" spans="21:23" x14ac:dyDescent="0.2">
      <c r="U510" s="616"/>
      <c r="W510" s="620" t="e">
        <f t="shared" si="35"/>
        <v>#DIV/0!</v>
      </c>
    </row>
    <row r="511" spans="21:23" x14ac:dyDescent="0.2">
      <c r="U511" s="616"/>
      <c r="W511" s="620" t="e">
        <f t="shared" si="35"/>
        <v>#DIV/0!</v>
      </c>
    </row>
    <row r="512" spans="21:23" x14ac:dyDescent="0.2">
      <c r="U512" s="616"/>
      <c r="W512" s="620" t="e">
        <f t="shared" si="35"/>
        <v>#DIV/0!</v>
      </c>
    </row>
    <row r="513" spans="21:23" x14ac:dyDescent="0.2">
      <c r="U513" s="616"/>
      <c r="W513" s="620" t="e">
        <f t="shared" si="35"/>
        <v>#DIV/0!</v>
      </c>
    </row>
    <row r="514" spans="21:23" x14ac:dyDescent="0.2">
      <c r="U514" s="616"/>
      <c r="W514" s="620" t="e">
        <f t="shared" si="35"/>
        <v>#DIV/0!</v>
      </c>
    </row>
    <row r="515" spans="21:23" x14ac:dyDescent="0.2">
      <c r="U515" s="616"/>
      <c r="W515" s="620" t="e">
        <f t="shared" si="35"/>
        <v>#DIV/0!</v>
      </c>
    </row>
    <row r="516" spans="21:23" x14ac:dyDescent="0.2">
      <c r="U516" s="616"/>
      <c r="W516" s="620" t="e">
        <f t="shared" ref="W516:W579" si="36">AVERAGE($V$4:$V$2517)</f>
        <v>#DIV/0!</v>
      </c>
    </row>
    <row r="517" spans="21:23" x14ac:dyDescent="0.2">
      <c r="U517" s="616"/>
      <c r="W517" s="620" t="e">
        <f t="shared" si="36"/>
        <v>#DIV/0!</v>
      </c>
    </row>
    <row r="518" spans="21:23" x14ac:dyDescent="0.2">
      <c r="U518" s="616"/>
      <c r="W518" s="620" t="e">
        <f t="shared" si="36"/>
        <v>#DIV/0!</v>
      </c>
    </row>
    <row r="519" spans="21:23" x14ac:dyDescent="0.2">
      <c r="U519" s="616"/>
      <c r="W519" s="620" t="e">
        <f t="shared" si="36"/>
        <v>#DIV/0!</v>
      </c>
    </row>
    <row r="520" spans="21:23" x14ac:dyDescent="0.2">
      <c r="U520" s="616"/>
      <c r="W520" s="620" t="e">
        <f t="shared" si="36"/>
        <v>#DIV/0!</v>
      </c>
    </row>
    <row r="521" spans="21:23" x14ac:dyDescent="0.2">
      <c r="U521" s="616"/>
      <c r="W521" s="620" t="e">
        <f t="shared" si="36"/>
        <v>#DIV/0!</v>
      </c>
    </row>
    <row r="522" spans="21:23" x14ac:dyDescent="0.2">
      <c r="U522" s="616"/>
      <c r="W522" s="620" t="e">
        <f t="shared" si="36"/>
        <v>#DIV/0!</v>
      </c>
    </row>
    <row r="523" spans="21:23" x14ac:dyDescent="0.2">
      <c r="U523" s="616"/>
      <c r="W523" s="620" t="e">
        <f t="shared" si="36"/>
        <v>#DIV/0!</v>
      </c>
    </row>
    <row r="524" spans="21:23" x14ac:dyDescent="0.2">
      <c r="U524" s="616"/>
      <c r="W524" s="620" t="e">
        <f t="shared" si="36"/>
        <v>#DIV/0!</v>
      </c>
    </row>
    <row r="525" spans="21:23" x14ac:dyDescent="0.2">
      <c r="U525" s="616"/>
      <c r="W525" s="620" t="e">
        <f t="shared" si="36"/>
        <v>#DIV/0!</v>
      </c>
    </row>
    <row r="526" spans="21:23" x14ac:dyDescent="0.2">
      <c r="U526" s="616"/>
      <c r="W526" s="620" t="e">
        <f t="shared" si="36"/>
        <v>#DIV/0!</v>
      </c>
    </row>
    <row r="527" spans="21:23" x14ac:dyDescent="0.2">
      <c r="U527" s="616"/>
      <c r="W527" s="620" t="e">
        <f t="shared" si="36"/>
        <v>#DIV/0!</v>
      </c>
    </row>
    <row r="528" spans="21:23" x14ac:dyDescent="0.2">
      <c r="U528" s="616"/>
      <c r="W528" s="620" t="e">
        <f t="shared" si="36"/>
        <v>#DIV/0!</v>
      </c>
    </row>
    <row r="529" spans="21:23" x14ac:dyDescent="0.2">
      <c r="U529" s="616"/>
      <c r="W529" s="620" t="e">
        <f t="shared" si="36"/>
        <v>#DIV/0!</v>
      </c>
    </row>
    <row r="530" spans="21:23" x14ac:dyDescent="0.2">
      <c r="U530" s="616"/>
      <c r="W530" s="620" t="e">
        <f t="shared" si="36"/>
        <v>#DIV/0!</v>
      </c>
    </row>
    <row r="531" spans="21:23" x14ac:dyDescent="0.2">
      <c r="U531" s="616"/>
      <c r="W531" s="620" t="e">
        <f t="shared" si="36"/>
        <v>#DIV/0!</v>
      </c>
    </row>
    <row r="532" spans="21:23" x14ac:dyDescent="0.2">
      <c r="U532" s="616"/>
      <c r="W532" s="620" t="e">
        <f t="shared" si="36"/>
        <v>#DIV/0!</v>
      </c>
    </row>
    <row r="533" spans="21:23" x14ac:dyDescent="0.2">
      <c r="U533" s="616"/>
      <c r="W533" s="620" t="e">
        <f t="shared" si="36"/>
        <v>#DIV/0!</v>
      </c>
    </row>
    <row r="534" spans="21:23" x14ac:dyDescent="0.2">
      <c r="U534" s="616"/>
      <c r="W534" s="620" t="e">
        <f t="shared" si="36"/>
        <v>#DIV/0!</v>
      </c>
    </row>
    <row r="535" spans="21:23" x14ac:dyDescent="0.2">
      <c r="U535" s="616"/>
      <c r="W535" s="620" t="e">
        <f t="shared" si="36"/>
        <v>#DIV/0!</v>
      </c>
    </row>
    <row r="536" spans="21:23" x14ac:dyDescent="0.2">
      <c r="U536" s="616"/>
      <c r="W536" s="620" t="e">
        <f t="shared" si="36"/>
        <v>#DIV/0!</v>
      </c>
    </row>
    <row r="537" spans="21:23" x14ac:dyDescent="0.2">
      <c r="U537" s="616"/>
      <c r="W537" s="620" t="e">
        <f t="shared" si="36"/>
        <v>#DIV/0!</v>
      </c>
    </row>
    <row r="538" spans="21:23" x14ac:dyDescent="0.2">
      <c r="U538" s="616"/>
      <c r="W538" s="620" t="e">
        <f t="shared" si="36"/>
        <v>#DIV/0!</v>
      </c>
    </row>
    <row r="539" spans="21:23" x14ac:dyDescent="0.2">
      <c r="U539" s="616"/>
      <c r="W539" s="620" t="e">
        <f t="shared" si="36"/>
        <v>#DIV/0!</v>
      </c>
    </row>
    <row r="540" spans="21:23" x14ac:dyDescent="0.2">
      <c r="U540" s="616"/>
      <c r="W540" s="620" t="e">
        <f t="shared" si="36"/>
        <v>#DIV/0!</v>
      </c>
    </row>
    <row r="541" spans="21:23" x14ac:dyDescent="0.2">
      <c r="U541" s="616"/>
      <c r="W541" s="620" t="e">
        <f t="shared" si="36"/>
        <v>#DIV/0!</v>
      </c>
    </row>
    <row r="542" spans="21:23" x14ac:dyDescent="0.2">
      <c r="U542" s="616"/>
      <c r="W542" s="620" t="e">
        <f t="shared" si="36"/>
        <v>#DIV/0!</v>
      </c>
    </row>
    <row r="543" spans="21:23" x14ac:dyDescent="0.2">
      <c r="U543" s="616"/>
      <c r="W543" s="620" t="e">
        <f t="shared" si="36"/>
        <v>#DIV/0!</v>
      </c>
    </row>
    <row r="544" spans="21:23" x14ac:dyDescent="0.2">
      <c r="U544" s="616"/>
      <c r="W544" s="620" t="e">
        <f t="shared" si="36"/>
        <v>#DIV/0!</v>
      </c>
    </row>
    <row r="545" spans="21:23" x14ac:dyDescent="0.2">
      <c r="U545" s="616"/>
      <c r="W545" s="620" t="e">
        <f t="shared" si="36"/>
        <v>#DIV/0!</v>
      </c>
    </row>
    <row r="546" spans="21:23" x14ac:dyDescent="0.2">
      <c r="U546" s="616"/>
      <c r="W546" s="620" t="e">
        <f t="shared" si="36"/>
        <v>#DIV/0!</v>
      </c>
    </row>
    <row r="547" spans="21:23" x14ac:dyDescent="0.2">
      <c r="U547" s="616"/>
      <c r="W547" s="620" t="e">
        <f t="shared" si="36"/>
        <v>#DIV/0!</v>
      </c>
    </row>
    <row r="548" spans="21:23" x14ac:dyDescent="0.2">
      <c r="U548" s="616"/>
      <c r="W548" s="620" t="e">
        <f t="shared" si="36"/>
        <v>#DIV/0!</v>
      </c>
    </row>
    <row r="549" spans="21:23" x14ac:dyDescent="0.2">
      <c r="U549" s="616"/>
      <c r="W549" s="620" t="e">
        <f t="shared" si="36"/>
        <v>#DIV/0!</v>
      </c>
    </row>
    <row r="550" spans="21:23" x14ac:dyDescent="0.2">
      <c r="U550" s="616"/>
      <c r="W550" s="620" t="e">
        <f t="shared" si="36"/>
        <v>#DIV/0!</v>
      </c>
    </row>
    <row r="551" spans="21:23" x14ac:dyDescent="0.2">
      <c r="U551" s="616"/>
      <c r="W551" s="620" t="e">
        <f t="shared" si="36"/>
        <v>#DIV/0!</v>
      </c>
    </row>
    <row r="552" spans="21:23" x14ac:dyDescent="0.2">
      <c r="U552" s="616"/>
      <c r="W552" s="620" t="e">
        <f t="shared" si="36"/>
        <v>#DIV/0!</v>
      </c>
    </row>
    <row r="553" spans="21:23" x14ac:dyDescent="0.2">
      <c r="U553" s="616"/>
      <c r="W553" s="620" t="e">
        <f t="shared" si="36"/>
        <v>#DIV/0!</v>
      </c>
    </row>
    <row r="554" spans="21:23" x14ac:dyDescent="0.2">
      <c r="U554" s="616"/>
      <c r="W554" s="620" t="e">
        <f t="shared" si="36"/>
        <v>#DIV/0!</v>
      </c>
    </row>
    <row r="555" spans="21:23" x14ac:dyDescent="0.2">
      <c r="U555" s="616"/>
      <c r="W555" s="620" t="e">
        <f t="shared" si="36"/>
        <v>#DIV/0!</v>
      </c>
    </row>
    <row r="556" spans="21:23" x14ac:dyDescent="0.2">
      <c r="U556" s="616"/>
      <c r="W556" s="620" t="e">
        <f t="shared" si="36"/>
        <v>#DIV/0!</v>
      </c>
    </row>
    <row r="557" spans="21:23" x14ac:dyDescent="0.2">
      <c r="U557" s="616"/>
      <c r="W557" s="620" t="e">
        <f t="shared" si="36"/>
        <v>#DIV/0!</v>
      </c>
    </row>
    <row r="558" spans="21:23" x14ac:dyDescent="0.2">
      <c r="U558" s="616"/>
      <c r="W558" s="620" t="e">
        <f t="shared" si="36"/>
        <v>#DIV/0!</v>
      </c>
    </row>
    <row r="559" spans="21:23" x14ac:dyDescent="0.2">
      <c r="U559" s="616"/>
      <c r="W559" s="620" t="e">
        <f t="shared" si="36"/>
        <v>#DIV/0!</v>
      </c>
    </row>
    <row r="560" spans="21:23" x14ac:dyDescent="0.2">
      <c r="U560" s="616"/>
      <c r="W560" s="620" t="e">
        <f t="shared" si="36"/>
        <v>#DIV/0!</v>
      </c>
    </row>
    <row r="561" spans="21:23" x14ac:dyDescent="0.2">
      <c r="U561" s="616"/>
      <c r="W561" s="620" t="e">
        <f t="shared" si="36"/>
        <v>#DIV/0!</v>
      </c>
    </row>
    <row r="562" spans="21:23" x14ac:dyDescent="0.2">
      <c r="U562" s="616"/>
      <c r="W562" s="620" t="e">
        <f t="shared" si="36"/>
        <v>#DIV/0!</v>
      </c>
    </row>
    <row r="563" spans="21:23" x14ac:dyDescent="0.2">
      <c r="U563" s="616"/>
      <c r="W563" s="620" t="e">
        <f t="shared" si="36"/>
        <v>#DIV/0!</v>
      </c>
    </row>
    <row r="564" spans="21:23" x14ac:dyDescent="0.2">
      <c r="U564" s="616"/>
      <c r="W564" s="620" t="e">
        <f t="shared" si="36"/>
        <v>#DIV/0!</v>
      </c>
    </row>
    <row r="565" spans="21:23" x14ac:dyDescent="0.2">
      <c r="U565" s="616"/>
      <c r="W565" s="620" t="e">
        <f t="shared" si="36"/>
        <v>#DIV/0!</v>
      </c>
    </row>
    <row r="566" spans="21:23" x14ac:dyDescent="0.2">
      <c r="U566" s="616"/>
      <c r="W566" s="620" t="e">
        <f t="shared" si="36"/>
        <v>#DIV/0!</v>
      </c>
    </row>
    <row r="567" spans="21:23" x14ac:dyDescent="0.2">
      <c r="U567" s="616"/>
      <c r="W567" s="620" t="e">
        <f t="shared" si="36"/>
        <v>#DIV/0!</v>
      </c>
    </row>
    <row r="568" spans="21:23" x14ac:dyDescent="0.2">
      <c r="U568" s="616"/>
      <c r="W568" s="620" t="e">
        <f t="shared" si="36"/>
        <v>#DIV/0!</v>
      </c>
    </row>
    <row r="569" spans="21:23" x14ac:dyDescent="0.2">
      <c r="U569" s="616"/>
      <c r="W569" s="620" t="e">
        <f t="shared" si="36"/>
        <v>#DIV/0!</v>
      </c>
    </row>
    <row r="570" spans="21:23" x14ac:dyDescent="0.2">
      <c r="U570" s="616"/>
      <c r="W570" s="620" t="e">
        <f t="shared" si="36"/>
        <v>#DIV/0!</v>
      </c>
    </row>
    <row r="571" spans="21:23" x14ac:dyDescent="0.2">
      <c r="U571" s="616"/>
      <c r="W571" s="620" t="e">
        <f t="shared" si="36"/>
        <v>#DIV/0!</v>
      </c>
    </row>
    <row r="572" spans="21:23" x14ac:dyDescent="0.2">
      <c r="U572" s="616"/>
      <c r="W572" s="620" t="e">
        <f t="shared" si="36"/>
        <v>#DIV/0!</v>
      </c>
    </row>
    <row r="573" spans="21:23" x14ac:dyDescent="0.2">
      <c r="U573" s="616"/>
      <c r="W573" s="620" t="e">
        <f t="shared" si="36"/>
        <v>#DIV/0!</v>
      </c>
    </row>
    <row r="574" spans="21:23" x14ac:dyDescent="0.2">
      <c r="U574" s="616"/>
      <c r="W574" s="620" t="e">
        <f t="shared" si="36"/>
        <v>#DIV/0!</v>
      </c>
    </row>
    <row r="575" spans="21:23" x14ac:dyDescent="0.2">
      <c r="U575" s="616"/>
      <c r="W575" s="620" t="e">
        <f t="shared" si="36"/>
        <v>#DIV/0!</v>
      </c>
    </row>
    <row r="576" spans="21:23" x14ac:dyDescent="0.2">
      <c r="U576" s="616"/>
      <c r="W576" s="620" t="e">
        <f t="shared" si="36"/>
        <v>#DIV/0!</v>
      </c>
    </row>
    <row r="577" spans="21:23" x14ac:dyDescent="0.2">
      <c r="U577" s="616"/>
      <c r="W577" s="620" t="e">
        <f t="shared" si="36"/>
        <v>#DIV/0!</v>
      </c>
    </row>
    <row r="578" spans="21:23" x14ac:dyDescent="0.2">
      <c r="U578" s="616"/>
      <c r="W578" s="620" t="e">
        <f t="shared" si="36"/>
        <v>#DIV/0!</v>
      </c>
    </row>
    <row r="579" spans="21:23" x14ac:dyDescent="0.2">
      <c r="U579" s="616"/>
      <c r="W579" s="620" t="e">
        <f t="shared" si="36"/>
        <v>#DIV/0!</v>
      </c>
    </row>
    <row r="580" spans="21:23" x14ac:dyDescent="0.2">
      <c r="U580" s="616"/>
      <c r="W580" s="620" t="e">
        <f t="shared" ref="W580:W643" si="37">AVERAGE($V$4:$V$2517)</f>
        <v>#DIV/0!</v>
      </c>
    </row>
    <row r="581" spans="21:23" x14ac:dyDescent="0.2">
      <c r="U581" s="616"/>
      <c r="W581" s="620" t="e">
        <f t="shared" si="37"/>
        <v>#DIV/0!</v>
      </c>
    </row>
    <row r="582" spans="21:23" x14ac:dyDescent="0.2">
      <c r="U582" s="616"/>
      <c r="W582" s="620" t="e">
        <f t="shared" si="37"/>
        <v>#DIV/0!</v>
      </c>
    </row>
    <row r="583" spans="21:23" x14ac:dyDescent="0.2">
      <c r="U583" s="616"/>
      <c r="W583" s="620" t="e">
        <f t="shared" si="37"/>
        <v>#DIV/0!</v>
      </c>
    </row>
    <row r="584" spans="21:23" x14ac:dyDescent="0.2">
      <c r="U584" s="616"/>
      <c r="W584" s="620" t="e">
        <f t="shared" si="37"/>
        <v>#DIV/0!</v>
      </c>
    </row>
    <row r="585" spans="21:23" x14ac:dyDescent="0.2">
      <c r="U585" s="616"/>
      <c r="W585" s="620" t="e">
        <f t="shared" si="37"/>
        <v>#DIV/0!</v>
      </c>
    </row>
    <row r="586" spans="21:23" x14ac:dyDescent="0.2">
      <c r="U586" s="616"/>
      <c r="W586" s="620" t="e">
        <f t="shared" si="37"/>
        <v>#DIV/0!</v>
      </c>
    </row>
    <row r="587" spans="21:23" x14ac:dyDescent="0.2">
      <c r="U587" s="616"/>
      <c r="W587" s="620" t="e">
        <f t="shared" si="37"/>
        <v>#DIV/0!</v>
      </c>
    </row>
    <row r="588" spans="21:23" x14ac:dyDescent="0.2">
      <c r="U588" s="616"/>
      <c r="W588" s="620" t="e">
        <f t="shared" si="37"/>
        <v>#DIV/0!</v>
      </c>
    </row>
    <row r="589" spans="21:23" x14ac:dyDescent="0.2">
      <c r="U589" s="616"/>
      <c r="W589" s="620" t="e">
        <f t="shared" si="37"/>
        <v>#DIV/0!</v>
      </c>
    </row>
    <row r="590" spans="21:23" x14ac:dyDescent="0.2">
      <c r="U590" s="616"/>
      <c r="W590" s="620" t="e">
        <f t="shared" si="37"/>
        <v>#DIV/0!</v>
      </c>
    </row>
    <row r="591" spans="21:23" x14ac:dyDescent="0.2">
      <c r="U591" s="616"/>
      <c r="W591" s="620" t="e">
        <f t="shared" si="37"/>
        <v>#DIV/0!</v>
      </c>
    </row>
    <row r="592" spans="21:23" x14ac:dyDescent="0.2">
      <c r="U592" s="616"/>
      <c r="W592" s="620" t="e">
        <f t="shared" si="37"/>
        <v>#DIV/0!</v>
      </c>
    </row>
    <row r="593" spans="21:23" x14ac:dyDescent="0.2">
      <c r="U593" s="616"/>
      <c r="W593" s="620" t="e">
        <f t="shared" si="37"/>
        <v>#DIV/0!</v>
      </c>
    </row>
    <row r="594" spans="21:23" x14ac:dyDescent="0.2">
      <c r="U594" s="616"/>
      <c r="W594" s="620" t="e">
        <f t="shared" si="37"/>
        <v>#DIV/0!</v>
      </c>
    </row>
    <row r="595" spans="21:23" x14ac:dyDescent="0.2">
      <c r="U595" s="616"/>
      <c r="W595" s="620" t="e">
        <f t="shared" si="37"/>
        <v>#DIV/0!</v>
      </c>
    </row>
    <row r="596" spans="21:23" x14ac:dyDescent="0.2">
      <c r="U596" s="616"/>
      <c r="W596" s="620" t="e">
        <f t="shared" si="37"/>
        <v>#DIV/0!</v>
      </c>
    </row>
    <row r="597" spans="21:23" x14ac:dyDescent="0.2">
      <c r="U597" s="616"/>
      <c r="W597" s="620" t="e">
        <f t="shared" si="37"/>
        <v>#DIV/0!</v>
      </c>
    </row>
    <row r="598" spans="21:23" x14ac:dyDescent="0.2">
      <c r="U598" s="616"/>
      <c r="W598" s="620" t="e">
        <f t="shared" si="37"/>
        <v>#DIV/0!</v>
      </c>
    </row>
    <row r="599" spans="21:23" x14ac:dyDescent="0.2">
      <c r="U599" s="616"/>
      <c r="W599" s="620" t="e">
        <f t="shared" si="37"/>
        <v>#DIV/0!</v>
      </c>
    </row>
    <row r="600" spans="21:23" x14ac:dyDescent="0.2">
      <c r="U600" s="616"/>
      <c r="W600" s="620" t="e">
        <f t="shared" si="37"/>
        <v>#DIV/0!</v>
      </c>
    </row>
    <row r="601" spans="21:23" x14ac:dyDescent="0.2">
      <c r="U601" s="616"/>
      <c r="W601" s="620" t="e">
        <f t="shared" si="37"/>
        <v>#DIV/0!</v>
      </c>
    </row>
    <row r="602" spans="21:23" x14ac:dyDescent="0.2">
      <c r="U602" s="616"/>
      <c r="W602" s="620" t="e">
        <f t="shared" si="37"/>
        <v>#DIV/0!</v>
      </c>
    </row>
    <row r="603" spans="21:23" x14ac:dyDescent="0.2">
      <c r="U603" s="616"/>
      <c r="W603" s="620" t="e">
        <f t="shared" si="37"/>
        <v>#DIV/0!</v>
      </c>
    </row>
    <row r="604" spans="21:23" x14ac:dyDescent="0.2">
      <c r="U604" s="616"/>
      <c r="W604" s="620" t="e">
        <f t="shared" si="37"/>
        <v>#DIV/0!</v>
      </c>
    </row>
    <row r="605" spans="21:23" x14ac:dyDescent="0.2">
      <c r="U605" s="616"/>
      <c r="W605" s="620" t="e">
        <f t="shared" si="37"/>
        <v>#DIV/0!</v>
      </c>
    </row>
    <row r="606" spans="21:23" x14ac:dyDescent="0.2">
      <c r="U606" s="616"/>
      <c r="W606" s="620" t="e">
        <f t="shared" si="37"/>
        <v>#DIV/0!</v>
      </c>
    </row>
    <row r="607" spans="21:23" x14ac:dyDescent="0.2">
      <c r="U607" s="616"/>
      <c r="W607" s="620" t="e">
        <f t="shared" si="37"/>
        <v>#DIV/0!</v>
      </c>
    </row>
    <row r="608" spans="21:23" x14ac:dyDescent="0.2">
      <c r="U608" s="616"/>
      <c r="W608" s="620" t="e">
        <f t="shared" si="37"/>
        <v>#DIV/0!</v>
      </c>
    </row>
    <row r="609" spans="21:23" x14ac:dyDescent="0.2">
      <c r="U609" s="616"/>
      <c r="W609" s="620" t="e">
        <f t="shared" si="37"/>
        <v>#DIV/0!</v>
      </c>
    </row>
    <row r="610" spans="21:23" x14ac:dyDescent="0.2">
      <c r="U610" s="616"/>
      <c r="W610" s="620" t="e">
        <f t="shared" si="37"/>
        <v>#DIV/0!</v>
      </c>
    </row>
    <row r="611" spans="21:23" x14ac:dyDescent="0.2">
      <c r="U611" s="616"/>
      <c r="W611" s="620" t="e">
        <f t="shared" si="37"/>
        <v>#DIV/0!</v>
      </c>
    </row>
    <row r="612" spans="21:23" x14ac:dyDescent="0.2">
      <c r="U612" s="616"/>
      <c r="W612" s="620" t="e">
        <f t="shared" si="37"/>
        <v>#DIV/0!</v>
      </c>
    </row>
    <row r="613" spans="21:23" x14ac:dyDescent="0.2">
      <c r="U613" s="616"/>
      <c r="W613" s="620" t="e">
        <f t="shared" si="37"/>
        <v>#DIV/0!</v>
      </c>
    </row>
    <row r="614" spans="21:23" x14ac:dyDescent="0.2">
      <c r="U614" s="616"/>
      <c r="W614" s="620" t="e">
        <f t="shared" si="37"/>
        <v>#DIV/0!</v>
      </c>
    </row>
    <row r="615" spans="21:23" x14ac:dyDescent="0.2">
      <c r="U615" s="616"/>
      <c r="W615" s="620" t="e">
        <f t="shared" si="37"/>
        <v>#DIV/0!</v>
      </c>
    </row>
    <row r="616" spans="21:23" x14ac:dyDescent="0.2">
      <c r="U616" s="616"/>
      <c r="W616" s="620" t="e">
        <f t="shared" si="37"/>
        <v>#DIV/0!</v>
      </c>
    </row>
    <row r="617" spans="21:23" x14ac:dyDescent="0.2">
      <c r="U617" s="616"/>
      <c r="W617" s="620" t="e">
        <f t="shared" si="37"/>
        <v>#DIV/0!</v>
      </c>
    </row>
    <row r="618" spans="21:23" x14ac:dyDescent="0.2">
      <c r="U618" s="616"/>
      <c r="W618" s="620" t="e">
        <f t="shared" si="37"/>
        <v>#DIV/0!</v>
      </c>
    </row>
    <row r="619" spans="21:23" x14ac:dyDescent="0.2">
      <c r="U619" s="616"/>
      <c r="W619" s="620" t="e">
        <f t="shared" si="37"/>
        <v>#DIV/0!</v>
      </c>
    </row>
    <row r="620" spans="21:23" x14ac:dyDescent="0.2">
      <c r="U620" s="616"/>
      <c r="W620" s="620" t="e">
        <f t="shared" si="37"/>
        <v>#DIV/0!</v>
      </c>
    </row>
    <row r="621" spans="21:23" x14ac:dyDescent="0.2">
      <c r="U621" s="616"/>
      <c r="W621" s="620" t="e">
        <f t="shared" si="37"/>
        <v>#DIV/0!</v>
      </c>
    </row>
    <row r="622" spans="21:23" x14ac:dyDescent="0.2">
      <c r="U622" s="616"/>
      <c r="W622" s="620" t="e">
        <f t="shared" si="37"/>
        <v>#DIV/0!</v>
      </c>
    </row>
    <row r="623" spans="21:23" x14ac:dyDescent="0.2">
      <c r="U623" s="616"/>
      <c r="W623" s="620" t="e">
        <f t="shared" si="37"/>
        <v>#DIV/0!</v>
      </c>
    </row>
    <row r="624" spans="21:23" x14ac:dyDescent="0.2">
      <c r="U624" s="616"/>
      <c r="W624" s="620" t="e">
        <f t="shared" si="37"/>
        <v>#DIV/0!</v>
      </c>
    </row>
    <row r="625" spans="21:23" x14ac:dyDescent="0.2">
      <c r="U625" s="616"/>
      <c r="W625" s="620" t="e">
        <f t="shared" si="37"/>
        <v>#DIV/0!</v>
      </c>
    </row>
    <row r="626" spans="21:23" x14ac:dyDescent="0.2">
      <c r="U626" s="616"/>
      <c r="W626" s="620" t="e">
        <f t="shared" si="37"/>
        <v>#DIV/0!</v>
      </c>
    </row>
    <row r="627" spans="21:23" x14ac:dyDescent="0.2">
      <c r="U627" s="616"/>
      <c r="W627" s="620" t="e">
        <f t="shared" si="37"/>
        <v>#DIV/0!</v>
      </c>
    </row>
    <row r="628" spans="21:23" x14ac:dyDescent="0.2">
      <c r="U628" s="616"/>
      <c r="W628" s="620" t="e">
        <f t="shared" si="37"/>
        <v>#DIV/0!</v>
      </c>
    </row>
    <row r="629" spans="21:23" x14ac:dyDescent="0.2">
      <c r="U629" s="616"/>
      <c r="W629" s="620" t="e">
        <f t="shared" si="37"/>
        <v>#DIV/0!</v>
      </c>
    </row>
    <row r="630" spans="21:23" x14ac:dyDescent="0.2">
      <c r="U630" s="616"/>
      <c r="W630" s="620" t="e">
        <f t="shared" si="37"/>
        <v>#DIV/0!</v>
      </c>
    </row>
    <row r="631" spans="21:23" x14ac:dyDescent="0.2">
      <c r="U631" s="616"/>
      <c r="W631" s="620" t="e">
        <f t="shared" si="37"/>
        <v>#DIV/0!</v>
      </c>
    </row>
    <row r="632" spans="21:23" x14ac:dyDescent="0.2">
      <c r="U632" s="616"/>
      <c r="W632" s="620" t="e">
        <f t="shared" si="37"/>
        <v>#DIV/0!</v>
      </c>
    </row>
    <row r="633" spans="21:23" x14ac:dyDescent="0.2">
      <c r="U633" s="616"/>
      <c r="W633" s="620" t="e">
        <f t="shared" si="37"/>
        <v>#DIV/0!</v>
      </c>
    </row>
    <row r="634" spans="21:23" x14ac:dyDescent="0.2">
      <c r="U634" s="616"/>
      <c r="W634" s="620" t="e">
        <f t="shared" si="37"/>
        <v>#DIV/0!</v>
      </c>
    </row>
    <row r="635" spans="21:23" x14ac:dyDescent="0.2">
      <c r="U635" s="616"/>
      <c r="W635" s="620" t="e">
        <f t="shared" si="37"/>
        <v>#DIV/0!</v>
      </c>
    </row>
    <row r="636" spans="21:23" x14ac:dyDescent="0.2">
      <c r="U636" s="616"/>
      <c r="W636" s="620" t="e">
        <f t="shared" si="37"/>
        <v>#DIV/0!</v>
      </c>
    </row>
    <row r="637" spans="21:23" x14ac:dyDescent="0.2">
      <c r="U637" s="616"/>
      <c r="W637" s="620" t="e">
        <f t="shared" si="37"/>
        <v>#DIV/0!</v>
      </c>
    </row>
    <row r="638" spans="21:23" x14ac:dyDescent="0.2">
      <c r="U638" s="616"/>
      <c r="W638" s="620" t="e">
        <f t="shared" si="37"/>
        <v>#DIV/0!</v>
      </c>
    </row>
    <row r="639" spans="21:23" x14ac:dyDescent="0.2">
      <c r="U639" s="616"/>
      <c r="W639" s="620" t="e">
        <f t="shared" si="37"/>
        <v>#DIV/0!</v>
      </c>
    </row>
    <row r="640" spans="21:23" x14ac:dyDescent="0.2">
      <c r="U640" s="616"/>
      <c r="W640" s="620" t="e">
        <f t="shared" si="37"/>
        <v>#DIV/0!</v>
      </c>
    </row>
    <row r="641" spans="21:23" x14ac:dyDescent="0.2">
      <c r="U641" s="616"/>
      <c r="W641" s="620" t="e">
        <f t="shared" si="37"/>
        <v>#DIV/0!</v>
      </c>
    </row>
    <row r="642" spans="21:23" x14ac:dyDescent="0.2">
      <c r="U642" s="616"/>
      <c r="W642" s="620" t="e">
        <f t="shared" si="37"/>
        <v>#DIV/0!</v>
      </c>
    </row>
    <row r="643" spans="21:23" x14ac:dyDescent="0.2">
      <c r="U643" s="616"/>
      <c r="W643" s="620" t="e">
        <f t="shared" si="37"/>
        <v>#DIV/0!</v>
      </c>
    </row>
    <row r="644" spans="21:23" x14ac:dyDescent="0.2">
      <c r="U644" s="616"/>
      <c r="W644" s="620" t="e">
        <f t="shared" ref="W644:W707" si="38">AVERAGE($V$4:$V$2517)</f>
        <v>#DIV/0!</v>
      </c>
    </row>
    <row r="645" spans="21:23" x14ac:dyDescent="0.2">
      <c r="U645" s="616"/>
      <c r="W645" s="620" t="e">
        <f t="shared" si="38"/>
        <v>#DIV/0!</v>
      </c>
    </row>
    <row r="646" spans="21:23" x14ac:dyDescent="0.2">
      <c r="U646" s="616"/>
      <c r="W646" s="620" t="e">
        <f t="shared" si="38"/>
        <v>#DIV/0!</v>
      </c>
    </row>
    <row r="647" spans="21:23" x14ac:dyDescent="0.2">
      <c r="U647" s="616"/>
      <c r="W647" s="620" t="e">
        <f t="shared" si="38"/>
        <v>#DIV/0!</v>
      </c>
    </row>
    <row r="648" spans="21:23" x14ac:dyDescent="0.2">
      <c r="U648" s="616"/>
      <c r="W648" s="620" t="e">
        <f t="shared" si="38"/>
        <v>#DIV/0!</v>
      </c>
    </row>
    <row r="649" spans="21:23" x14ac:dyDescent="0.2">
      <c r="U649" s="616"/>
      <c r="W649" s="620" t="e">
        <f t="shared" si="38"/>
        <v>#DIV/0!</v>
      </c>
    </row>
    <row r="650" spans="21:23" x14ac:dyDescent="0.2">
      <c r="U650" s="616"/>
      <c r="W650" s="620" t="e">
        <f t="shared" si="38"/>
        <v>#DIV/0!</v>
      </c>
    </row>
    <row r="651" spans="21:23" x14ac:dyDescent="0.2">
      <c r="U651" s="616"/>
      <c r="W651" s="620" t="e">
        <f t="shared" si="38"/>
        <v>#DIV/0!</v>
      </c>
    </row>
    <row r="652" spans="21:23" x14ac:dyDescent="0.2">
      <c r="U652" s="616"/>
      <c r="W652" s="620" t="e">
        <f t="shared" si="38"/>
        <v>#DIV/0!</v>
      </c>
    </row>
    <row r="653" spans="21:23" x14ac:dyDescent="0.2">
      <c r="U653" s="616"/>
      <c r="W653" s="620" t="e">
        <f t="shared" si="38"/>
        <v>#DIV/0!</v>
      </c>
    </row>
    <row r="654" spans="21:23" x14ac:dyDescent="0.2">
      <c r="U654" s="616"/>
      <c r="W654" s="620" t="e">
        <f t="shared" si="38"/>
        <v>#DIV/0!</v>
      </c>
    </row>
    <row r="655" spans="21:23" x14ac:dyDescent="0.2">
      <c r="U655" s="616"/>
      <c r="W655" s="620" t="e">
        <f t="shared" si="38"/>
        <v>#DIV/0!</v>
      </c>
    </row>
    <row r="656" spans="21:23" x14ac:dyDescent="0.2">
      <c r="U656" s="616"/>
      <c r="W656" s="620" t="e">
        <f t="shared" si="38"/>
        <v>#DIV/0!</v>
      </c>
    </row>
    <row r="657" spans="21:23" x14ac:dyDescent="0.2">
      <c r="U657" s="616"/>
      <c r="W657" s="620" t="e">
        <f t="shared" si="38"/>
        <v>#DIV/0!</v>
      </c>
    </row>
    <row r="658" spans="21:23" x14ac:dyDescent="0.2">
      <c r="U658" s="616"/>
      <c r="W658" s="620" t="e">
        <f t="shared" si="38"/>
        <v>#DIV/0!</v>
      </c>
    </row>
    <row r="659" spans="21:23" x14ac:dyDescent="0.2">
      <c r="U659" s="616"/>
      <c r="W659" s="620" t="e">
        <f t="shared" si="38"/>
        <v>#DIV/0!</v>
      </c>
    </row>
    <row r="660" spans="21:23" x14ac:dyDescent="0.2">
      <c r="U660" s="616"/>
      <c r="W660" s="620" t="e">
        <f t="shared" si="38"/>
        <v>#DIV/0!</v>
      </c>
    </row>
    <row r="661" spans="21:23" x14ac:dyDescent="0.2">
      <c r="U661" s="616"/>
      <c r="W661" s="620" t="e">
        <f t="shared" si="38"/>
        <v>#DIV/0!</v>
      </c>
    </row>
    <row r="662" spans="21:23" x14ac:dyDescent="0.2">
      <c r="U662" s="616"/>
      <c r="W662" s="620" t="e">
        <f t="shared" si="38"/>
        <v>#DIV/0!</v>
      </c>
    </row>
    <row r="663" spans="21:23" x14ac:dyDescent="0.2">
      <c r="U663" s="616"/>
      <c r="W663" s="620" t="e">
        <f t="shared" si="38"/>
        <v>#DIV/0!</v>
      </c>
    </row>
    <row r="664" spans="21:23" x14ac:dyDescent="0.2">
      <c r="U664" s="616"/>
      <c r="W664" s="620" t="e">
        <f t="shared" si="38"/>
        <v>#DIV/0!</v>
      </c>
    </row>
    <row r="665" spans="21:23" x14ac:dyDescent="0.2">
      <c r="U665" s="616"/>
      <c r="W665" s="620" t="e">
        <f t="shared" si="38"/>
        <v>#DIV/0!</v>
      </c>
    </row>
    <row r="666" spans="21:23" x14ac:dyDescent="0.2">
      <c r="U666" s="616"/>
      <c r="W666" s="620" t="e">
        <f t="shared" si="38"/>
        <v>#DIV/0!</v>
      </c>
    </row>
    <row r="667" spans="21:23" x14ac:dyDescent="0.2">
      <c r="U667" s="616"/>
      <c r="W667" s="620" t="e">
        <f t="shared" si="38"/>
        <v>#DIV/0!</v>
      </c>
    </row>
    <row r="668" spans="21:23" x14ac:dyDescent="0.2">
      <c r="U668" s="616"/>
      <c r="W668" s="620" t="e">
        <f t="shared" si="38"/>
        <v>#DIV/0!</v>
      </c>
    </row>
    <row r="669" spans="21:23" x14ac:dyDescent="0.2">
      <c r="U669" s="616"/>
      <c r="W669" s="620" t="e">
        <f t="shared" si="38"/>
        <v>#DIV/0!</v>
      </c>
    </row>
    <row r="670" spans="21:23" x14ac:dyDescent="0.2">
      <c r="U670" s="616"/>
      <c r="W670" s="620" t="e">
        <f t="shared" si="38"/>
        <v>#DIV/0!</v>
      </c>
    </row>
    <row r="671" spans="21:23" x14ac:dyDescent="0.2">
      <c r="U671" s="616"/>
      <c r="W671" s="620" t="e">
        <f t="shared" si="38"/>
        <v>#DIV/0!</v>
      </c>
    </row>
    <row r="672" spans="21:23" x14ac:dyDescent="0.2">
      <c r="U672" s="616"/>
      <c r="W672" s="620" t="e">
        <f t="shared" si="38"/>
        <v>#DIV/0!</v>
      </c>
    </row>
    <row r="673" spans="21:23" x14ac:dyDescent="0.2">
      <c r="U673" s="616"/>
      <c r="W673" s="620" t="e">
        <f t="shared" si="38"/>
        <v>#DIV/0!</v>
      </c>
    </row>
    <row r="674" spans="21:23" x14ac:dyDescent="0.2">
      <c r="U674" s="616"/>
      <c r="W674" s="620" t="e">
        <f t="shared" si="38"/>
        <v>#DIV/0!</v>
      </c>
    </row>
    <row r="675" spans="21:23" x14ac:dyDescent="0.2">
      <c r="U675" s="616"/>
      <c r="W675" s="620" t="e">
        <f t="shared" si="38"/>
        <v>#DIV/0!</v>
      </c>
    </row>
    <row r="676" spans="21:23" x14ac:dyDescent="0.2">
      <c r="U676" s="616"/>
      <c r="W676" s="620" t="e">
        <f t="shared" si="38"/>
        <v>#DIV/0!</v>
      </c>
    </row>
    <row r="677" spans="21:23" x14ac:dyDescent="0.2">
      <c r="U677" s="616"/>
      <c r="W677" s="620" t="e">
        <f t="shared" si="38"/>
        <v>#DIV/0!</v>
      </c>
    </row>
    <row r="678" spans="21:23" x14ac:dyDescent="0.2">
      <c r="U678" s="616"/>
      <c r="W678" s="620" t="e">
        <f t="shared" si="38"/>
        <v>#DIV/0!</v>
      </c>
    </row>
    <row r="679" spans="21:23" x14ac:dyDescent="0.2">
      <c r="U679" s="616"/>
      <c r="W679" s="620" t="e">
        <f t="shared" si="38"/>
        <v>#DIV/0!</v>
      </c>
    </row>
    <row r="680" spans="21:23" x14ac:dyDescent="0.2">
      <c r="U680" s="616"/>
      <c r="W680" s="620" t="e">
        <f t="shared" si="38"/>
        <v>#DIV/0!</v>
      </c>
    </row>
    <row r="681" spans="21:23" x14ac:dyDescent="0.2">
      <c r="U681" s="616"/>
      <c r="W681" s="620" t="e">
        <f t="shared" si="38"/>
        <v>#DIV/0!</v>
      </c>
    </row>
    <row r="682" spans="21:23" x14ac:dyDescent="0.2">
      <c r="U682" s="616"/>
      <c r="W682" s="620" t="e">
        <f t="shared" si="38"/>
        <v>#DIV/0!</v>
      </c>
    </row>
    <row r="683" spans="21:23" x14ac:dyDescent="0.2">
      <c r="U683" s="616"/>
      <c r="W683" s="620" t="e">
        <f t="shared" si="38"/>
        <v>#DIV/0!</v>
      </c>
    </row>
    <row r="684" spans="21:23" x14ac:dyDescent="0.2">
      <c r="U684" s="616"/>
      <c r="W684" s="620" t="e">
        <f t="shared" si="38"/>
        <v>#DIV/0!</v>
      </c>
    </row>
    <row r="685" spans="21:23" x14ac:dyDescent="0.2">
      <c r="U685" s="616"/>
      <c r="W685" s="620" t="e">
        <f t="shared" si="38"/>
        <v>#DIV/0!</v>
      </c>
    </row>
    <row r="686" spans="21:23" x14ac:dyDescent="0.2">
      <c r="U686" s="616"/>
      <c r="W686" s="620" t="e">
        <f t="shared" si="38"/>
        <v>#DIV/0!</v>
      </c>
    </row>
    <row r="687" spans="21:23" x14ac:dyDescent="0.2">
      <c r="U687" s="616"/>
      <c r="W687" s="620" t="e">
        <f t="shared" si="38"/>
        <v>#DIV/0!</v>
      </c>
    </row>
    <row r="688" spans="21:23" x14ac:dyDescent="0.2">
      <c r="U688" s="616"/>
      <c r="W688" s="620" t="e">
        <f t="shared" si="38"/>
        <v>#DIV/0!</v>
      </c>
    </row>
    <row r="689" spans="21:23" x14ac:dyDescent="0.2">
      <c r="U689" s="616"/>
      <c r="W689" s="620" t="e">
        <f t="shared" si="38"/>
        <v>#DIV/0!</v>
      </c>
    </row>
    <row r="690" spans="21:23" x14ac:dyDescent="0.2">
      <c r="U690" s="616"/>
      <c r="W690" s="620" t="e">
        <f t="shared" si="38"/>
        <v>#DIV/0!</v>
      </c>
    </row>
    <row r="691" spans="21:23" x14ac:dyDescent="0.2">
      <c r="U691" s="616"/>
      <c r="W691" s="620" t="e">
        <f t="shared" si="38"/>
        <v>#DIV/0!</v>
      </c>
    </row>
    <row r="692" spans="21:23" x14ac:dyDescent="0.2">
      <c r="U692" s="616"/>
      <c r="W692" s="620" t="e">
        <f t="shared" si="38"/>
        <v>#DIV/0!</v>
      </c>
    </row>
    <row r="693" spans="21:23" x14ac:dyDescent="0.2">
      <c r="U693" s="616"/>
      <c r="W693" s="620" t="e">
        <f t="shared" si="38"/>
        <v>#DIV/0!</v>
      </c>
    </row>
    <row r="694" spans="21:23" x14ac:dyDescent="0.2">
      <c r="U694" s="616"/>
      <c r="W694" s="620" t="e">
        <f t="shared" si="38"/>
        <v>#DIV/0!</v>
      </c>
    </row>
    <row r="695" spans="21:23" x14ac:dyDescent="0.2">
      <c r="U695" s="616"/>
      <c r="W695" s="620" t="e">
        <f t="shared" si="38"/>
        <v>#DIV/0!</v>
      </c>
    </row>
    <row r="696" spans="21:23" x14ac:dyDescent="0.2">
      <c r="U696" s="616"/>
      <c r="W696" s="620" t="e">
        <f t="shared" si="38"/>
        <v>#DIV/0!</v>
      </c>
    </row>
    <row r="697" spans="21:23" x14ac:dyDescent="0.2">
      <c r="U697" s="616"/>
      <c r="W697" s="620" t="e">
        <f t="shared" si="38"/>
        <v>#DIV/0!</v>
      </c>
    </row>
    <row r="698" spans="21:23" x14ac:dyDescent="0.2">
      <c r="U698" s="616"/>
      <c r="W698" s="620" t="e">
        <f t="shared" si="38"/>
        <v>#DIV/0!</v>
      </c>
    </row>
    <row r="699" spans="21:23" x14ac:dyDescent="0.2">
      <c r="U699" s="616"/>
      <c r="W699" s="620" t="e">
        <f t="shared" si="38"/>
        <v>#DIV/0!</v>
      </c>
    </row>
    <row r="700" spans="21:23" x14ac:dyDescent="0.2">
      <c r="U700" s="616"/>
      <c r="W700" s="620" t="e">
        <f t="shared" si="38"/>
        <v>#DIV/0!</v>
      </c>
    </row>
    <row r="701" spans="21:23" x14ac:dyDescent="0.2">
      <c r="U701" s="616"/>
      <c r="W701" s="620" t="e">
        <f t="shared" si="38"/>
        <v>#DIV/0!</v>
      </c>
    </row>
    <row r="702" spans="21:23" x14ac:dyDescent="0.2">
      <c r="U702" s="616"/>
      <c r="W702" s="620" t="e">
        <f t="shared" si="38"/>
        <v>#DIV/0!</v>
      </c>
    </row>
    <row r="703" spans="21:23" x14ac:dyDescent="0.2">
      <c r="U703" s="616"/>
      <c r="W703" s="620" t="e">
        <f t="shared" si="38"/>
        <v>#DIV/0!</v>
      </c>
    </row>
    <row r="704" spans="21:23" x14ac:dyDescent="0.2">
      <c r="U704" s="616"/>
      <c r="W704" s="620" t="e">
        <f t="shared" si="38"/>
        <v>#DIV/0!</v>
      </c>
    </row>
    <row r="705" spans="21:23" x14ac:dyDescent="0.2">
      <c r="U705" s="616"/>
      <c r="W705" s="620" t="e">
        <f t="shared" si="38"/>
        <v>#DIV/0!</v>
      </c>
    </row>
    <row r="706" spans="21:23" x14ac:dyDescent="0.2">
      <c r="U706" s="616"/>
      <c r="W706" s="620" t="e">
        <f t="shared" si="38"/>
        <v>#DIV/0!</v>
      </c>
    </row>
    <row r="707" spans="21:23" x14ac:dyDescent="0.2">
      <c r="U707" s="616"/>
      <c r="W707" s="620" t="e">
        <f t="shared" si="38"/>
        <v>#DIV/0!</v>
      </c>
    </row>
    <row r="708" spans="21:23" x14ac:dyDescent="0.2">
      <c r="U708" s="616"/>
      <c r="W708" s="620" t="e">
        <f t="shared" ref="W708:W771" si="39">AVERAGE($V$4:$V$2517)</f>
        <v>#DIV/0!</v>
      </c>
    </row>
    <row r="709" spans="21:23" x14ac:dyDescent="0.2">
      <c r="U709" s="616"/>
      <c r="W709" s="620" t="e">
        <f t="shared" si="39"/>
        <v>#DIV/0!</v>
      </c>
    </row>
    <row r="710" spans="21:23" x14ac:dyDescent="0.2">
      <c r="U710" s="616"/>
      <c r="W710" s="620" t="e">
        <f t="shared" si="39"/>
        <v>#DIV/0!</v>
      </c>
    </row>
    <row r="711" spans="21:23" x14ac:dyDescent="0.2">
      <c r="U711" s="616"/>
      <c r="W711" s="620" t="e">
        <f t="shared" si="39"/>
        <v>#DIV/0!</v>
      </c>
    </row>
    <row r="712" spans="21:23" x14ac:dyDescent="0.2">
      <c r="U712" s="616"/>
      <c r="W712" s="620" t="e">
        <f t="shared" si="39"/>
        <v>#DIV/0!</v>
      </c>
    </row>
    <row r="713" spans="21:23" x14ac:dyDescent="0.2">
      <c r="U713" s="616"/>
      <c r="W713" s="620" t="e">
        <f t="shared" si="39"/>
        <v>#DIV/0!</v>
      </c>
    </row>
    <row r="714" spans="21:23" x14ac:dyDescent="0.2">
      <c r="U714" s="616"/>
      <c r="W714" s="620" t="e">
        <f t="shared" si="39"/>
        <v>#DIV/0!</v>
      </c>
    </row>
    <row r="715" spans="21:23" x14ac:dyDescent="0.2">
      <c r="U715" s="616"/>
      <c r="W715" s="620" t="e">
        <f t="shared" si="39"/>
        <v>#DIV/0!</v>
      </c>
    </row>
    <row r="716" spans="21:23" x14ac:dyDescent="0.2">
      <c r="U716" s="616"/>
      <c r="W716" s="620" t="e">
        <f t="shared" si="39"/>
        <v>#DIV/0!</v>
      </c>
    </row>
    <row r="717" spans="21:23" x14ac:dyDescent="0.2">
      <c r="U717" s="616"/>
      <c r="W717" s="620" t="e">
        <f t="shared" si="39"/>
        <v>#DIV/0!</v>
      </c>
    </row>
    <row r="718" spans="21:23" x14ac:dyDescent="0.2">
      <c r="U718" s="616"/>
      <c r="W718" s="620" t="e">
        <f t="shared" si="39"/>
        <v>#DIV/0!</v>
      </c>
    </row>
    <row r="719" spans="21:23" x14ac:dyDescent="0.2">
      <c r="U719" s="616"/>
      <c r="W719" s="620" t="e">
        <f t="shared" si="39"/>
        <v>#DIV/0!</v>
      </c>
    </row>
    <row r="720" spans="21:23" x14ac:dyDescent="0.2">
      <c r="U720" s="616"/>
      <c r="W720" s="620" t="e">
        <f t="shared" si="39"/>
        <v>#DIV/0!</v>
      </c>
    </row>
    <row r="721" spans="21:23" x14ac:dyDescent="0.2">
      <c r="U721" s="616"/>
      <c r="W721" s="620" t="e">
        <f t="shared" si="39"/>
        <v>#DIV/0!</v>
      </c>
    </row>
    <row r="722" spans="21:23" x14ac:dyDescent="0.2">
      <c r="U722" s="616"/>
      <c r="W722" s="620" t="e">
        <f t="shared" si="39"/>
        <v>#DIV/0!</v>
      </c>
    </row>
    <row r="723" spans="21:23" x14ac:dyDescent="0.2">
      <c r="U723" s="616"/>
      <c r="W723" s="620" t="e">
        <f t="shared" si="39"/>
        <v>#DIV/0!</v>
      </c>
    </row>
    <row r="724" spans="21:23" x14ac:dyDescent="0.2">
      <c r="U724" s="616"/>
      <c r="W724" s="620" t="e">
        <f t="shared" si="39"/>
        <v>#DIV/0!</v>
      </c>
    </row>
    <row r="725" spans="21:23" x14ac:dyDescent="0.2">
      <c r="U725" s="616"/>
      <c r="W725" s="620" t="e">
        <f t="shared" si="39"/>
        <v>#DIV/0!</v>
      </c>
    </row>
    <row r="726" spans="21:23" x14ac:dyDescent="0.2">
      <c r="U726" s="616"/>
      <c r="W726" s="620" t="e">
        <f t="shared" si="39"/>
        <v>#DIV/0!</v>
      </c>
    </row>
    <row r="727" spans="21:23" x14ac:dyDescent="0.2">
      <c r="U727" s="616"/>
      <c r="W727" s="620" t="e">
        <f t="shared" si="39"/>
        <v>#DIV/0!</v>
      </c>
    </row>
    <row r="728" spans="21:23" x14ac:dyDescent="0.2">
      <c r="U728" s="616"/>
      <c r="W728" s="620" t="e">
        <f t="shared" si="39"/>
        <v>#DIV/0!</v>
      </c>
    </row>
    <row r="729" spans="21:23" x14ac:dyDescent="0.2">
      <c r="U729" s="616"/>
      <c r="W729" s="620" t="e">
        <f t="shared" si="39"/>
        <v>#DIV/0!</v>
      </c>
    </row>
    <row r="730" spans="21:23" x14ac:dyDescent="0.2">
      <c r="U730" s="616"/>
      <c r="W730" s="620" t="e">
        <f t="shared" si="39"/>
        <v>#DIV/0!</v>
      </c>
    </row>
    <row r="731" spans="21:23" x14ac:dyDescent="0.2">
      <c r="U731" s="616"/>
      <c r="W731" s="620" t="e">
        <f t="shared" si="39"/>
        <v>#DIV/0!</v>
      </c>
    </row>
    <row r="732" spans="21:23" x14ac:dyDescent="0.2">
      <c r="U732" s="616"/>
      <c r="W732" s="620" t="e">
        <f t="shared" si="39"/>
        <v>#DIV/0!</v>
      </c>
    </row>
    <row r="733" spans="21:23" x14ac:dyDescent="0.2">
      <c r="U733" s="616"/>
      <c r="W733" s="620" t="e">
        <f t="shared" si="39"/>
        <v>#DIV/0!</v>
      </c>
    </row>
    <row r="734" spans="21:23" x14ac:dyDescent="0.2">
      <c r="U734" s="616"/>
      <c r="W734" s="620" t="e">
        <f t="shared" si="39"/>
        <v>#DIV/0!</v>
      </c>
    </row>
    <row r="735" spans="21:23" x14ac:dyDescent="0.2">
      <c r="U735" s="616"/>
      <c r="W735" s="620" t="e">
        <f t="shared" si="39"/>
        <v>#DIV/0!</v>
      </c>
    </row>
    <row r="736" spans="21:23" x14ac:dyDescent="0.2">
      <c r="U736" s="616"/>
      <c r="W736" s="620" t="e">
        <f t="shared" si="39"/>
        <v>#DIV/0!</v>
      </c>
    </row>
    <row r="737" spans="21:23" x14ac:dyDescent="0.2">
      <c r="U737" s="616"/>
      <c r="W737" s="620" t="e">
        <f t="shared" si="39"/>
        <v>#DIV/0!</v>
      </c>
    </row>
    <row r="738" spans="21:23" x14ac:dyDescent="0.2">
      <c r="U738" s="616"/>
      <c r="W738" s="620" t="e">
        <f t="shared" si="39"/>
        <v>#DIV/0!</v>
      </c>
    </row>
    <row r="739" spans="21:23" x14ac:dyDescent="0.2">
      <c r="U739" s="616"/>
      <c r="W739" s="620" t="e">
        <f t="shared" si="39"/>
        <v>#DIV/0!</v>
      </c>
    </row>
    <row r="740" spans="21:23" x14ac:dyDescent="0.2">
      <c r="U740" s="616"/>
      <c r="W740" s="620" t="e">
        <f t="shared" si="39"/>
        <v>#DIV/0!</v>
      </c>
    </row>
    <row r="741" spans="21:23" x14ac:dyDescent="0.2">
      <c r="U741" s="616"/>
      <c r="W741" s="620" t="e">
        <f t="shared" si="39"/>
        <v>#DIV/0!</v>
      </c>
    </row>
    <row r="742" spans="21:23" x14ac:dyDescent="0.2">
      <c r="U742" s="616"/>
      <c r="W742" s="620" t="e">
        <f t="shared" si="39"/>
        <v>#DIV/0!</v>
      </c>
    </row>
    <row r="743" spans="21:23" x14ac:dyDescent="0.2">
      <c r="U743" s="616"/>
      <c r="W743" s="620" t="e">
        <f t="shared" si="39"/>
        <v>#DIV/0!</v>
      </c>
    </row>
    <row r="744" spans="21:23" x14ac:dyDescent="0.2">
      <c r="U744" s="616"/>
      <c r="W744" s="620" t="e">
        <f t="shared" si="39"/>
        <v>#DIV/0!</v>
      </c>
    </row>
    <row r="745" spans="21:23" x14ac:dyDescent="0.2">
      <c r="U745" s="616"/>
      <c r="W745" s="620" t="e">
        <f t="shared" si="39"/>
        <v>#DIV/0!</v>
      </c>
    </row>
    <row r="746" spans="21:23" x14ac:dyDescent="0.2">
      <c r="U746" s="616"/>
      <c r="W746" s="620" t="e">
        <f t="shared" si="39"/>
        <v>#DIV/0!</v>
      </c>
    </row>
    <row r="747" spans="21:23" x14ac:dyDescent="0.2">
      <c r="U747" s="616"/>
      <c r="W747" s="620" t="e">
        <f t="shared" si="39"/>
        <v>#DIV/0!</v>
      </c>
    </row>
    <row r="748" spans="21:23" x14ac:dyDescent="0.2">
      <c r="U748" s="616"/>
      <c r="W748" s="620" t="e">
        <f t="shared" si="39"/>
        <v>#DIV/0!</v>
      </c>
    </row>
    <row r="749" spans="21:23" x14ac:dyDescent="0.2">
      <c r="U749" s="616"/>
      <c r="W749" s="620" t="e">
        <f t="shared" si="39"/>
        <v>#DIV/0!</v>
      </c>
    </row>
    <row r="750" spans="21:23" x14ac:dyDescent="0.2">
      <c r="U750" s="616"/>
      <c r="W750" s="620" t="e">
        <f t="shared" si="39"/>
        <v>#DIV/0!</v>
      </c>
    </row>
    <row r="751" spans="21:23" x14ac:dyDescent="0.2">
      <c r="U751" s="616"/>
      <c r="W751" s="620" t="e">
        <f t="shared" si="39"/>
        <v>#DIV/0!</v>
      </c>
    </row>
    <row r="752" spans="21:23" x14ac:dyDescent="0.2">
      <c r="U752" s="616"/>
      <c r="W752" s="620" t="e">
        <f t="shared" si="39"/>
        <v>#DIV/0!</v>
      </c>
    </row>
    <row r="753" spans="21:23" x14ac:dyDescent="0.2">
      <c r="U753" s="616"/>
      <c r="W753" s="620" t="e">
        <f t="shared" si="39"/>
        <v>#DIV/0!</v>
      </c>
    </row>
    <row r="754" spans="21:23" x14ac:dyDescent="0.2">
      <c r="U754" s="616"/>
      <c r="W754" s="620" t="e">
        <f t="shared" si="39"/>
        <v>#DIV/0!</v>
      </c>
    </row>
    <row r="755" spans="21:23" x14ac:dyDescent="0.2">
      <c r="U755" s="616"/>
      <c r="W755" s="620" t="e">
        <f t="shared" si="39"/>
        <v>#DIV/0!</v>
      </c>
    </row>
    <row r="756" spans="21:23" x14ac:dyDescent="0.2">
      <c r="U756" s="616"/>
      <c r="W756" s="620" t="e">
        <f t="shared" si="39"/>
        <v>#DIV/0!</v>
      </c>
    </row>
    <row r="757" spans="21:23" x14ac:dyDescent="0.2">
      <c r="U757" s="616"/>
      <c r="W757" s="620" t="e">
        <f t="shared" si="39"/>
        <v>#DIV/0!</v>
      </c>
    </row>
    <row r="758" spans="21:23" x14ac:dyDescent="0.2">
      <c r="U758" s="616"/>
      <c r="W758" s="620" t="e">
        <f t="shared" si="39"/>
        <v>#DIV/0!</v>
      </c>
    </row>
    <row r="759" spans="21:23" x14ac:dyDescent="0.2">
      <c r="U759" s="616"/>
      <c r="W759" s="620" t="e">
        <f t="shared" si="39"/>
        <v>#DIV/0!</v>
      </c>
    </row>
    <row r="760" spans="21:23" x14ac:dyDescent="0.2">
      <c r="U760" s="616"/>
      <c r="W760" s="620" t="e">
        <f t="shared" si="39"/>
        <v>#DIV/0!</v>
      </c>
    </row>
    <row r="761" spans="21:23" x14ac:dyDescent="0.2">
      <c r="U761" s="616"/>
      <c r="W761" s="620" t="e">
        <f t="shared" si="39"/>
        <v>#DIV/0!</v>
      </c>
    </row>
    <row r="762" spans="21:23" x14ac:dyDescent="0.2">
      <c r="U762" s="616"/>
      <c r="W762" s="620" t="e">
        <f t="shared" si="39"/>
        <v>#DIV/0!</v>
      </c>
    </row>
    <row r="763" spans="21:23" x14ac:dyDescent="0.2">
      <c r="U763" s="616"/>
      <c r="W763" s="620" t="e">
        <f t="shared" si="39"/>
        <v>#DIV/0!</v>
      </c>
    </row>
    <row r="764" spans="21:23" x14ac:dyDescent="0.2">
      <c r="U764" s="616"/>
      <c r="W764" s="620" t="e">
        <f t="shared" si="39"/>
        <v>#DIV/0!</v>
      </c>
    </row>
    <row r="765" spans="21:23" x14ac:dyDescent="0.2">
      <c r="U765" s="616"/>
      <c r="W765" s="620" t="e">
        <f t="shared" si="39"/>
        <v>#DIV/0!</v>
      </c>
    </row>
    <row r="766" spans="21:23" x14ac:dyDescent="0.2">
      <c r="U766" s="616"/>
      <c r="W766" s="620" t="e">
        <f t="shared" si="39"/>
        <v>#DIV/0!</v>
      </c>
    </row>
    <row r="767" spans="21:23" x14ac:dyDescent="0.2">
      <c r="U767" s="616"/>
      <c r="W767" s="620" t="e">
        <f t="shared" si="39"/>
        <v>#DIV/0!</v>
      </c>
    </row>
    <row r="768" spans="21:23" x14ac:dyDescent="0.2">
      <c r="U768" s="616"/>
      <c r="W768" s="620" t="e">
        <f t="shared" si="39"/>
        <v>#DIV/0!</v>
      </c>
    </row>
    <row r="769" spans="21:23" x14ac:dyDescent="0.2">
      <c r="U769" s="616"/>
      <c r="W769" s="620" t="e">
        <f t="shared" si="39"/>
        <v>#DIV/0!</v>
      </c>
    </row>
    <row r="770" spans="21:23" x14ac:dyDescent="0.2">
      <c r="U770" s="616"/>
      <c r="W770" s="620" t="e">
        <f t="shared" si="39"/>
        <v>#DIV/0!</v>
      </c>
    </row>
    <row r="771" spans="21:23" x14ac:dyDescent="0.2">
      <c r="U771" s="616"/>
      <c r="W771" s="620" t="e">
        <f t="shared" si="39"/>
        <v>#DIV/0!</v>
      </c>
    </row>
    <row r="772" spans="21:23" x14ac:dyDescent="0.2">
      <c r="U772" s="616"/>
      <c r="W772" s="620" t="e">
        <f t="shared" ref="W772:W835" si="40">AVERAGE($V$4:$V$2517)</f>
        <v>#DIV/0!</v>
      </c>
    </row>
    <row r="773" spans="21:23" x14ac:dyDescent="0.2">
      <c r="U773" s="616"/>
      <c r="W773" s="620" t="e">
        <f t="shared" si="40"/>
        <v>#DIV/0!</v>
      </c>
    </row>
    <row r="774" spans="21:23" x14ac:dyDescent="0.2">
      <c r="U774" s="616"/>
      <c r="W774" s="620" t="e">
        <f t="shared" si="40"/>
        <v>#DIV/0!</v>
      </c>
    </row>
    <row r="775" spans="21:23" x14ac:dyDescent="0.2">
      <c r="U775" s="616"/>
      <c r="W775" s="620" t="e">
        <f t="shared" si="40"/>
        <v>#DIV/0!</v>
      </c>
    </row>
    <row r="776" spans="21:23" x14ac:dyDescent="0.2">
      <c r="U776" s="616"/>
      <c r="W776" s="620" t="e">
        <f t="shared" si="40"/>
        <v>#DIV/0!</v>
      </c>
    </row>
    <row r="777" spans="21:23" x14ac:dyDescent="0.2">
      <c r="U777" s="616"/>
      <c r="W777" s="620" t="e">
        <f t="shared" si="40"/>
        <v>#DIV/0!</v>
      </c>
    </row>
    <row r="778" spans="21:23" x14ac:dyDescent="0.2">
      <c r="U778" s="616"/>
      <c r="W778" s="620" t="e">
        <f t="shared" si="40"/>
        <v>#DIV/0!</v>
      </c>
    </row>
    <row r="779" spans="21:23" x14ac:dyDescent="0.2">
      <c r="U779" s="616"/>
      <c r="W779" s="620" t="e">
        <f t="shared" si="40"/>
        <v>#DIV/0!</v>
      </c>
    </row>
    <row r="780" spans="21:23" x14ac:dyDescent="0.2">
      <c r="U780" s="616"/>
      <c r="W780" s="620" t="e">
        <f t="shared" si="40"/>
        <v>#DIV/0!</v>
      </c>
    </row>
    <row r="781" spans="21:23" x14ac:dyDescent="0.2">
      <c r="U781" s="616"/>
      <c r="W781" s="620" t="e">
        <f t="shared" si="40"/>
        <v>#DIV/0!</v>
      </c>
    </row>
    <row r="782" spans="21:23" x14ac:dyDescent="0.2">
      <c r="U782" s="616"/>
      <c r="W782" s="620" t="e">
        <f t="shared" si="40"/>
        <v>#DIV/0!</v>
      </c>
    </row>
    <row r="783" spans="21:23" x14ac:dyDescent="0.2">
      <c r="U783" s="616"/>
      <c r="W783" s="620" t="e">
        <f t="shared" si="40"/>
        <v>#DIV/0!</v>
      </c>
    </row>
    <row r="784" spans="21:23" x14ac:dyDescent="0.2">
      <c r="U784" s="616"/>
      <c r="W784" s="620" t="e">
        <f t="shared" si="40"/>
        <v>#DIV/0!</v>
      </c>
    </row>
    <row r="785" spans="21:23" x14ac:dyDescent="0.2">
      <c r="U785" s="616"/>
      <c r="W785" s="620" t="e">
        <f t="shared" si="40"/>
        <v>#DIV/0!</v>
      </c>
    </row>
    <row r="786" spans="21:23" x14ac:dyDescent="0.2">
      <c r="U786" s="616"/>
      <c r="W786" s="620" t="e">
        <f t="shared" si="40"/>
        <v>#DIV/0!</v>
      </c>
    </row>
    <row r="787" spans="21:23" x14ac:dyDescent="0.2">
      <c r="U787" s="616"/>
      <c r="W787" s="620" t="e">
        <f t="shared" si="40"/>
        <v>#DIV/0!</v>
      </c>
    </row>
    <row r="788" spans="21:23" x14ac:dyDescent="0.2">
      <c r="U788" s="616"/>
      <c r="W788" s="620" t="e">
        <f t="shared" si="40"/>
        <v>#DIV/0!</v>
      </c>
    </row>
    <row r="789" spans="21:23" x14ac:dyDescent="0.2">
      <c r="U789" s="616"/>
      <c r="W789" s="620" t="e">
        <f t="shared" si="40"/>
        <v>#DIV/0!</v>
      </c>
    </row>
    <row r="790" spans="21:23" x14ac:dyDescent="0.2">
      <c r="U790" s="616"/>
      <c r="W790" s="620" t="e">
        <f t="shared" si="40"/>
        <v>#DIV/0!</v>
      </c>
    </row>
    <row r="791" spans="21:23" x14ac:dyDescent="0.2">
      <c r="U791" s="616"/>
      <c r="W791" s="620" t="e">
        <f t="shared" si="40"/>
        <v>#DIV/0!</v>
      </c>
    </row>
    <row r="792" spans="21:23" x14ac:dyDescent="0.2">
      <c r="U792" s="616"/>
      <c r="W792" s="620" t="e">
        <f t="shared" si="40"/>
        <v>#DIV/0!</v>
      </c>
    </row>
    <row r="793" spans="21:23" x14ac:dyDescent="0.2">
      <c r="U793" s="616"/>
      <c r="W793" s="620" t="e">
        <f t="shared" si="40"/>
        <v>#DIV/0!</v>
      </c>
    </row>
    <row r="794" spans="21:23" x14ac:dyDescent="0.2">
      <c r="U794" s="616"/>
      <c r="W794" s="620" t="e">
        <f t="shared" si="40"/>
        <v>#DIV/0!</v>
      </c>
    </row>
    <row r="795" spans="21:23" x14ac:dyDescent="0.2">
      <c r="U795" s="616"/>
      <c r="W795" s="620" t="e">
        <f t="shared" si="40"/>
        <v>#DIV/0!</v>
      </c>
    </row>
    <row r="796" spans="21:23" x14ac:dyDescent="0.2">
      <c r="U796" s="616"/>
      <c r="W796" s="620" t="e">
        <f t="shared" si="40"/>
        <v>#DIV/0!</v>
      </c>
    </row>
    <row r="797" spans="21:23" x14ac:dyDescent="0.2">
      <c r="U797" s="616"/>
      <c r="W797" s="620" t="e">
        <f t="shared" si="40"/>
        <v>#DIV/0!</v>
      </c>
    </row>
    <row r="798" spans="21:23" x14ac:dyDescent="0.2">
      <c r="U798" s="616"/>
      <c r="W798" s="620" t="e">
        <f t="shared" si="40"/>
        <v>#DIV/0!</v>
      </c>
    </row>
    <row r="799" spans="21:23" x14ac:dyDescent="0.2">
      <c r="U799" s="616"/>
      <c r="W799" s="620" t="e">
        <f t="shared" si="40"/>
        <v>#DIV/0!</v>
      </c>
    </row>
    <row r="800" spans="21:23" x14ac:dyDescent="0.2">
      <c r="U800" s="616"/>
      <c r="W800" s="620" t="e">
        <f t="shared" si="40"/>
        <v>#DIV/0!</v>
      </c>
    </row>
    <row r="801" spans="21:23" x14ac:dyDescent="0.2">
      <c r="U801" s="616"/>
      <c r="W801" s="620" t="e">
        <f t="shared" si="40"/>
        <v>#DIV/0!</v>
      </c>
    </row>
    <row r="802" spans="21:23" x14ac:dyDescent="0.2">
      <c r="U802" s="616"/>
      <c r="W802" s="620" t="e">
        <f t="shared" si="40"/>
        <v>#DIV/0!</v>
      </c>
    </row>
    <row r="803" spans="21:23" x14ac:dyDescent="0.2">
      <c r="U803" s="616"/>
      <c r="W803" s="620" t="e">
        <f t="shared" si="40"/>
        <v>#DIV/0!</v>
      </c>
    </row>
    <row r="804" spans="21:23" x14ac:dyDescent="0.2">
      <c r="U804" s="616"/>
      <c r="W804" s="620" t="e">
        <f t="shared" si="40"/>
        <v>#DIV/0!</v>
      </c>
    </row>
    <row r="805" spans="21:23" x14ac:dyDescent="0.2">
      <c r="U805" s="616"/>
      <c r="W805" s="620" t="e">
        <f t="shared" si="40"/>
        <v>#DIV/0!</v>
      </c>
    </row>
    <row r="806" spans="21:23" x14ac:dyDescent="0.2">
      <c r="U806" s="616"/>
      <c r="W806" s="620" t="e">
        <f t="shared" si="40"/>
        <v>#DIV/0!</v>
      </c>
    </row>
    <row r="807" spans="21:23" x14ac:dyDescent="0.2">
      <c r="U807" s="616"/>
      <c r="W807" s="620" t="e">
        <f t="shared" si="40"/>
        <v>#DIV/0!</v>
      </c>
    </row>
    <row r="808" spans="21:23" x14ac:dyDescent="0.2">
      <c r="U808" s="616"/>
      <c r="W808" s="620" t="e">
        <f t="shared" si="40"/>
        <v>#DIV/0!</v>
      </c>
    </row>
    <row r="809" spans="21:23" x14ac:dyDescent="0.2">
      <c r="U809" s="616"/>
      <c r="W809" s="620" t="e">
        <f t="shared" si="40"/>
        <v>#DIV/0!</v>
      </c>
    </row>
    <row r="810" spans="21:23" x14ac:dyDescent="0.2">
      <c r="U810" s="616"/>
      <c r="W810" s="620" t="e">
        <f t="shared" si="40"/>
        <v>#DIV/0!</v>
      </c>
    </row>
    <row r="811" spans="21:23" x14ac:dyDescent="0.2">
      <c r="U811" s="616"/>
      <c r="W811" s="620" t="e">
        <f t="shared" si="40"/>
        <v>#DIV/0!</v>
      </c>
    </row>
    <row r="812" spans="21:23" x14ac:dyDescent="0.2">
      <c r="U812" s="616"/>
      <c r="W812" s="620" t="e">
        <f t="shared" si="40"/>
        <v>#DIV/0!</v>
      </c>
    </row>
    <row r="813" spans="21:23" x14ac:dyDescent="0.2">
      <c r="U813" s="616"/>
      <c r="W813" s="620" t="e">
        <f t="shared" si="40"/>
        <v>#DIV/0!</v>
      </c>
    </row>
    <row r="814" spans="21:23" x14ac:dyDescent="0.2">
      <c r="U814" s="616"/>
      <c r="W814" s="620" t="e">
        <f t="shared" si="40"/>
        <v>#DIV/0!</v>
      </c>
    </row>
    <row r="815" spans="21:23" x14ac:dyDescent="0.2">
      <c r="U815" s="616"/>
      <c r="W815" s="620" t="e">
        <f t="shared" si="40"/>
        <v>#DIV/0!</v>
      </c>
    </row>
    <row r="816" spans="21:23" x14ac:dyDescent="0.2">
      <c r="U816" s="616"/>
      <c r="W816" s="620" t="e">
        <f t="shared" si="40"/>
        <v>#DIV/0!</v>
      </c>
    </row>
    <row r="817" spans="21:23" x14ac:dyDescent="0.2">
      <c r="U817" s="616"/>
      <c r="W817" s="620" t="e">
        <f t="shared" si="40"/>
        <v>#DIV/0!</v>
      </c>
    </row>
    <row r="818" spans="21:23" x14ac:dyDescent="0.2">
      <c r="U818" s="616"/>
      <c r="W818" s="620" t="e">
        <f t="shared" si="40"/>
        <v>#DIV/0!</v>
      </c>
    </row>
    <row r="819" spans="21:23" x14ac:dyDescent="0.2">
      <c r="U819" s="616"/>
      <c r="W819" s="620" t="e">
        <f t="shared" si="40"/>
        <v>#DIV/0!</v>
      </c>
    </row>
    <row r="820" spans="21:23" x14ac:dyDescent="0.2">
      <c r="U820" s="616"/>
      <c r="W820" s="620" t="e">
        <f t="shared" si="40"/>
        <v>#DIV/0!</v>
      </c>
    </row>
    <row r="821" spans="21:23" x14ac:dyDescent="0.2">
      <c r="U821" s="616"/>
      <c r="W821" s="620" t="e">
        <f t="shared" si="40"/>
        <v>#DIV/0!</v>
      </c>
    </row>
    <row r="822" spans="21:23" x14ac:dyDescent="0.2">
      <c r="U822" s="616"/>
      <c r="W822" s="620" t="e">
        <f t="shared" si="40"/>
        <v>#DIV/0!</v>
      </c>
    </row>
    <row r="823" spans="21:23" x14ac:dyDescent="0.2">
      <c r="U823" s="616"/>
      <c r="W823" s="620" t="e">
        <f t="shared" si="40"/>
        <v>#DIV/0!</v>
      </c>
    </row>
    <row r="824" spans="21:23" x14ac:dyDescent="0.2">
      <c r="U824" s="616"/>
      <c r="W824" s="620" t="e">
        <f t="shared" si="40"/>
        <v>#DIV/0!</v>
      </c>
    </row>
    <row r="825" spans="21:23" x14ac:dyDescent="0.2">
      <c r="U825" s="616"/>
      <c r="W825" s="620" t="e">
        <f t="shared" si="40"/>
        <v>#DIV/0!</v>
      </c>
    </row>
    <row r="826" spans="21:23" x14ac:dyDescent="0.2">
      <c r="U826" s="616"/>
      <c r="W826" s="620" t="e">
        <f t="shared" si="40"/>
        <v>#DIV/0!</v>
      </c>
    </row>
    <row r="827" spans="21:23" x14ac:dyDescent="0.2">
      <c r="U827" s="616"/>
      <c r="W827" s="620" t="e">
        <f t="shared" si="40"/>
        <v>#DIV/0!</v>
      </c>
    </row>
    <row r="828" spans="21:23" x14ac:dyDescent="0.2">
      <c r="U828" s="616"/>
      <c r="W828" s="620" t="e">
        <f t="shared" si="40"/>
        <v>#DIV/0!</v>
      </c>
    </row>
    <row r="829" spans="21:23" x14ac:dyDescent="0.2">
      <c r="U829" s="616"/>
      <c r="W829" s="620" t="e">
        <f t="shared" si="40"/>
        <v>#DIV/0!</v>
      </c>
    </row>
    <row r="830" spans="21:23" x14ac:dyDescent="0.2">
      <c r="U830" s="616"/>
      <c r="W830" s="620" t="e">
        <f t="shared" si="40"/>
        <v>#DIV/0!</v>
      </c>
    </row>
    <row r="831" spans="21:23" x14ac:dyDescent="0.2">
      <c r="U831" s="616"/>
      <c r="W831" s="620" t="e">
        <f t="shared" si="40"/>
        <v>#DIV/0!</v>
      </c>
    </row>
    <row r="832" spans="21:23" x14ac:dyDescent="0.2">
      <c r="U832" s="616"/>
      <c r="W832" s="620" t="e">
        <f t="shared" si="40"/>
        <v>#DIV/0!</v>
      </c>
    </row>
    <row r="833" spans="21:23" x14ac:dyDescent="0.2">
      <c r="U833" s="616"/>
      <c r="W833" s="620" t="e">
        <f t="shared" si="40"/>
        <v>#DIV/0!</v>
      </c>
    </row>
    <row r="834" spans="21:23" x14ac:dyDescent="0.2">
      <c r="U834" s="616"/>
      <c r="W834" s="620" t="e">
        <f t="shared" si="40"/>
        <v>#DIV/0!</v>
      </c>
    </row>
    <row r="835" spans="21:23" x14ac:dyDescent="0.2">
      <c r="U835" s="616"/>
      <c r="W835" s="620" t="e">
        <f t="shared" si="40"/>
        <v>#DIV/0!</v>
      </c>
    </row>
    <row r="836" spans="21:23" x14ac:dyDescent="0.2">
      <c r="U836" s="616"/>
      <c r="W836" s="620" t="e">
        <f t="shared" ref="W836:W899" si="41">AVERAGE($V$4:$V$2517)</f>
        <v>#DIV/0!</v>
      </c>
    </row>
    <row r="837" spans="21:23" x14ac:dyDescent="0.2">
      <c r="U837" s="616"/>
      <c r="W837" s="620" t="e">
        <f t="shared" si="41"/>
        <v>#DIV/0!</v>
      </c>
    </row>
    <row r="838" spans="21:23" x14ac:dyDescent="0.2">
      <c r="U838" s="616"/>
      <c r="W838" s="620" t="e">
        <f t="shared" si="41"/>
        <v>#DIV/0!</v>
      </c>
    </row>
    <row r="839" spans="21:23" x14ac:dyDescent="0.2">
      <c r="U839" s="616"/>
      <c r="W839" s="620" t="e">
        <f t="shared" si="41"/>
        <v>#DIV/0!</v>
      </c>
    </row>
    <row r="840" spans="21:23" x14ac:dyDescent="0.2">
      <c r="U840" s="616"/>
      <c r="W840" s="620" t="e">
        <f t="shared" si="41"/>
        <v>#DIV/0!</v>
      </c>
    </row>
    <row r="841" spans="21:23" x14ac:dyDescent="0.2">
      <c r="U841" s="616"/>
      <c r="W841" s="620" t="e">
        <f t="shared" si="41"/>
        <v>#DIV/0!</v>
      </c>
    </row>
    <row r="842" spans="21:23" x14ac:dyDescent="0.2">
      <c r="U842" s="616"/>
      <c r="W842" s="620" t="e">
        <f t="shared" si="41"/>
        <v>#DIV/0!</v>
      </c>
    </row>
    <row r="843" spans="21:23" x14ac:dyDescent="0.2">
      <c r="U843" s="616"/>
      <c r="W843" s="620" t="e">
        <f t="shared" si="41"/>
        <v>#DIV/0!</v>
      </c>
    </row>
    <row r="844" spans="21:23" x14ac:dyDescent="0.2">
      <c r="U844" s="616"/>
      <c r="W844" s="620" t="e">
        <f t="shared" si="41"/>
        <v>#DIV/0!</v>
      </c>
    </row>
    <row r="845" spans="21:23" x14ac:dyDescent="0.2">
      <c r="U845" s="616"/>
      <c r="W845" s="620" t="e">
        <f t="shared" si="41"/>
        <v>#DIV/0!</v>
      </c>
    </row>
    <row r="846" spans="21:23" x14ac:dyDescent="0.2">
      <c r="U846" s="616"/>
      <c r="W846" s="620" t="e">
        <f t="shared" si="41"/>
        <v>#DIV/0!</v>
      </c>
    </row>
    <row r="847" spans="21:23" x14ac:dyDescent="0.2">
      <c r="U847" s="616"/>
      <c r="W847" s="620" t="e">
        <f t="shared" si="41"/>
        <v>#DIV/0!</v>
      </c>
    </row>
    <row r="848" spans="21:23" x14ac:dyDescent="0.2">
      <c r="U848" s="616"/>
      <c r="W848" s="620" t="e">
        <f t="shared" si="41"/>
        <v>#DIV/0!</v>
      </c>
    </row>
    <row r="849" spans="21:23" x14ac:dyDescent="0.2">
      <c r="U849" s="616"/>
      <c r="W849" s="620" t="e">
        <f t="shared" si="41"/>
        <v>#DIV/0!</v>
      </c>
    </row>
    <row r="850" spans="21:23" x14ac:dyDescent="0.2">
      <c r="U850" s="616"/>
      <c r="W850" s="620" t="e">
        <f t="shared" si="41"/>
        <v>#DIV/0!</v>
      </c>
    </row>
    <row r="851" spans="21:23" x14ac:dyDescent="0.2">
      <c r="U851" s="616"/>
      <c r="W851" s="620" t="e">
        <f t="shared" si="41"/>
        <v>#DIV/0!</v>
      </c>
    </row>
    <row r="852" spans="21:23" x14ac:dyDescent="0.2">
      <c r="U852" s="616"/>
      <c r="W852" s="620" t="e">
        <f t="shared" si="41"/>
        <v>#DIV/0!</v>
      </c>
    </row>
    <row r="853" spans="21:23" x14ac:dyDescent="0.2">
      <c r="U853" s="616"/>
      <c r="W853" s="620" t="e">
        <f t="shared" si="41"/>
        <v>#DIV/0!</v>
      </c>
    </row>
    <row r="854" spans="21:23" x14ac:dyDescent="0.2">
      <c r="U854" s="616"/>
      <c r="W854" s="620" t="e">
        <f t="shared" si="41"/>
        <v>#DIV/0!</v>
      </c>
    </row>
    <row r="855" spans="21:23" x14ac:dyDescent="0.2">
      <c r="U855" s="616"/>
      <c r="W855" s="620" t="e">
        <f t="shared" si="41"/>
        <v>#DIV/0!</v>
      </c>
    </row>
    <row r="856" spans="21:23" x14ac:dyDescent="0.2">
      <c r="U856" s="616"/>
      <c r="W856" s="620" t="e">
        <f t="shared" si="41"/>
        <v>#DIV/0!</v>
      </c>
    </row>
    <row r="857" spans="21:23" x14ac:dyDescent="0.2">
      <c r="U857" s="616"/>
      <c r="W857" s="620" t="e">
        <f t="shared" si="41"/>
        <v>#DIV/0!</v>
      </c>
    </row>
    <row r="858" spans="21:23" x14ac:dyDescent="0.2">
      <c r="U858" s="616"/>
      <c r="W858" s="620" t="e">
        <f t="shared" si="41"/>
        <v>#DIV/0!</v>
      </c>
    </row>
    <row r="859" spans="21:23" x14ac:dyDescent="0.2">
      <c r="U859" s="616"/>
      <c r="W859" s="620" t="e">
        <f t="shared" si="41"/>
        <v>#DIV/0!</v>
      </c>
    </row>
    <row r="860" spans="21:23" x14ac:dyDescent="0.2">
      <c r="U860" s="616"/>
      <c r="W860" s="620" t="e">
        <f t="shared" si="41"/>
        <v>#DIV/0!</v>
      </c>
    </row>
    <row r="861" spans="21:23" x14ac:dyDescent="0.2">
      <c r="U861" s="616"/>
      <c r="W861" s="620" t="e">
        <f t="shared" si="41"/>
        <v>#DIV/0!</v>
      </c>
    </row>
    <row r="862" spans="21:23" x14ac:dyDescent="0.2">
      <c r="U862" s="616"/>
      <c r="W862" s="620" t="e">
        <f t="shared" si="41"/>
        <v>#DIV/0!</v>
      </c>
    </row>
    <row r="863" spans="21:23" x14ac:dyDescent="0.2">
      <c r="U863" s="616"/>
      <c r="W863" s="620" t="e">
        <f t="shared" si="41"/>
        <v>#DIV/0!</v>
      </c>
    </row>
    <row r="864" spans="21:23" x14ac:dyDescent="0.2">
      <c r="U864" s="616"/>
      <c r="W864" s="620" t="e">
        <f t="shared" si="41"/>
        <v>#DIV/0!</v>
      </c>
    </row>
    <row r="865" spans="21:23" x14ac:dyDescent="0.2">
      <c r="U865" s="616"/>
      <c r="W865" s="620" t="e">
        <f t="shared" si="41"/>
        <v>#DIV/0!</v>
      </c>
    </row>
    <row r="866" spans="21:23" x14ac:dyDescent="0.2">
      <c r="U866" s="616"/>
      <c r="W866" s="620" t="e">
        <f t="shared" si="41"/>
        <v>#DIV/0!</v>
      </c>
    </row>
    <row r="867" spans="21:23" x14ac:dyDescent="0.2">
      <c r="U867" s="616"/>
      <c r="W867" s="620" t="e">
        <f t="shared" si="41"/>
        <v>#DIV/0!</v>
      </c>
    </row>
    <row r="868" spans="21:23" x14ac:dyDescent="0.2">
      <c r="U868" s="616"/>
      <c r="W868" s="620" t="e">
        <f t="shared" si="41"/>
        <v>#DIV/0!</v>
      </c>
    </row>
    <row r="869" spans="21:23" x14ac:dyDescent="0.2">
      <c r="U869" s="616"/>
      <c r="W869" s="620" t="e">
        <f t="shared" si="41"/>
        <v>#DIV/0!</v>
      </c>
    </row>
    <row r="870" spans="21:23" x14ac:dyDescent="0.2">
      <c r="U870" s="616"/>
      <c r="W870" s="620" t="e">
        <f t="shared" si="41"/>
        <v>#DIV/0!</v>
      </c>
    </row>
    <row r="871" spans="21:23" x14ac:dyDescent="0.2">
      <c r="U871" s="616"/>
      <c r="W871" s="620" t="e">
        <f t="shared" si="41"/>
        <v>#DIV/0!</v>
      </c>
    </row>
    <row r="872" spans="21:23" x14ac:dyDescent="0.2">
      <c r="U872" s="616"/>
      <c r="W872" s="620" t="e">
        <f t="shared" si="41"/>
        <v>#DIV/0!</v>
      </c>
    </row>
    <row r="873" spans="21:23" x14ac:dyDescent="0.2">
      <c r="U873" s="616"/>
      <c r="W873" s="620" t="e">
        <f t="shared" si="41"/>
        <v>#DIV/0!</v>
      </c>
    </row>
    <row r="874" spans="21:23" x14ac:dyDescent="0.2">
      <c r="U874" s="616"/>
      <c r="W874" s="620" t="e">
        <f t="shared" si="41"/>
        <v>#DIV/0!</v>
      </c>
    </row>
    <row r="875" spans="21:23" x14ac:dyDescent="0.2">
      <c r="U875" s="616"/>
      <c r="W875" s="620" t="e">
        <f t="shared" si="41"/>
        <v>#DIV/0!</v>
      </c>
    </row>
    <row r="876" spans="21:23" x14ac:dyDescent="0.2">
      <c r="U876" s="616"/>
      <c r="W876" s="620" t="e">
        <f t="shared" si="41"/>
        <v>#DIV/0!</v>
      </c>
    </row>
    <row r="877" spans="21:23" x14ac:dyDescent="0.2">
      <c r="U877" s="616"/>
      <c r="W877" s="620" t="e">
        <f t="shared" si="41"/>
        <v>#DIV/0!</v>
      </c>
    </row>
    <row r="878" spans="21:23" x14ac:dyDescent="0.2">
      <c r="U878" s="616"/>
      <c r="W878" s="620" t="e">
        <f t="shared" si="41"/>
        <v>#DIV/0!</v>
      </c>
    </row>
    <row r="879" spans="21:23" x14ac:dyDescent="0.2">
      <c r="U879" s="616"/>
      <c r="W879" s="620" t="e">
        <f t="shared" si="41"/>
        <v>#DIV/0!</v>
      </c>
    </row>
    <row r="880" spans="21:23" x14ac:dyDescent="0.2">
      <c r="U880" s="616"/>
      <c r="W880" s="620" t="e">
        <f t="shared" si="41"/>
        <v>#DIV/0!</v>
      </c>
    </row>
    <row r="881" spans="21:23" x14ac:dyDescent="0.2">
      <c r="U881" s="616"/>
      <c r="W881" s="620" t="e">
        <f t="shared" si="41"/>
        <v>#DIV/0!</v>
      </c>
    </row>
    <row r="882" spans="21:23" x14ac:dyDescent="0.2">
      <c r="U882" s="616"/>
      <c r="W882" s="620" t="e">
        <f t="shared" si="41"/>
        <v>#DIV/0!</v>
      </c>
    </row>
    <row r="883" spans="21:23" x14ac:dyDescent="0.2">
      <c r="U883" s="616"/>
      <c r="W883" s="620" t="e">
        <f t="shared" si="41"/>
        <v>#DIV/0!</v>
      </c>
    </row>
    <row r="884" spans="21:23" x14ac:dyDescent="0.2">
      <c r="U884" s="616"/>
      <c r="W884" s="620" t="e">
        <f t="shared" si="41"/>
        <v>#DIV/0!</v>
      </c>
    </row>
    <row r="885" spans="21:23" x14ac:dyDescent="0.2">
      <c r="U885" s="616"/>
      <c r="W885" s="620" t="e">
        <f t="shared" si="41"/>
        <v>#DIV/0!</v>
      </c>
    </row>
    <row r="886" spans="21:23" x14ac:dyDescent="0.2">
      <c r="U886" s="616"/>
      <c r="W886" s="620" t="e">
        <f t="shared" si="41"/>
        <v>#DIV/0!</v>
      </c>
    </row>
    <row r="887" spans="21:23" x14ac:dyDescent="0.2">
      <c r="U887" s="616"/>
      <c r="W887" s="620" t="e">
        <f t="shared" si="41"/>
        <v>#DIV/0!</v>
      </c>
    </row>
    <row r="888" spans="21:23" x14ac:dyDescent="0.2">
      <c r="U888" s="616"/>
      <c r="W888" s="620" t="e">
        <f t="shared" si="41"/>
        <v>#DIV/0!</v>
      </c>
    </row>
    <row r="889" spans="21:23" x14ac:dyDescent="0.2">
      <c r="U889" s="616"/>
      <c r="W889" s="620" t="e">
        <f t="shared" si="41"/>
        <v>#DIV/0!</v>
      </c>
    </row>
    <row r="890" spans="21:23" x14ac:dyDescent="0.2">
      <c r="U890" s="616"/>
      <c r="W890" s="620" t="e">
        <f t="shared" si="41"/>
        <v>#DIV/0!</v>
      </c>
    </row>
    <row r="891" spans="21:23" x14ac:dyDescent="0.2">
      <c r="U891" s="616"/>
      <c r="W891" s="620" t="e">
        <f t="shared" si="41"/>
        <v>#DIV/0!</v>
      </c>
    </row>
    <row r="892" spans="21:23" x14ac:dyDescent="0.2">
      <c r="U892" s="616"/>
      <c r="W892" s="620" t="e">
        <f t="shared" si="41"/>
        <v>#DIV/0!</v>
      </c>
    </row>
    <row r="893" spans="21:23" x14ac:dyDescent="0.2">
      <c r="U893" s="616"/>
      <c r="W893" s="620" t="e">
        <f t="shared" si="41"/>
        <v>#DIV/0!</v>
      </c>
    </row>
    <row r="894" spans="21:23" x14ac:dyDescent="0.2">
      <c r="U894" s="616"/>
      <c r="W894" s="620" t="e">
        <f t="shared" si="41"/>
        <v>#DIV/0!</v>
      </c>
    </row>
    <row r="895" spans="21:23" x14ac:dyDescent="0.2">
      <c r="U895" s="616"/>
      <c r="W895" s="620" t="e">
        <f t="shared" si="41"/>
        <v>#DIV/0!</v>
      </c>
    </row>
    <row r="896" spans="21:23" x14ac:dyDescent="0.2">
      <c r="U896" s="616"/>
      <c r="W896" s="620" t="e">
        <f t="shared" si="41"/>
        <v>#DIV/0!</v>
      </c>
    </row>
    <row r="897" spans="21:23" x14ac:dyDescent="0.2">
      <c r="U897" s="616"/>
      <c r="W897" s="620" t="e">
        <f t="shared" si="41"/>
        <v>#DIV/0!</v>
      </c>
    </row>
    <row r="898" spans="21:23" x14ac:dyDescent="0.2">
      <c r="U898" s="616"/>
      <c r="W898" s="620" t="e">
        <f t="shared" si="41"/>
        <v>#DIV/0!</v>
      </c>
    </row>
    <row r="899" spans="21:23" x14ac:dyDescent="0.2">
      <c r="U899" s="616"/>
      <c r="W899" s="620" t="e">
        <f t="shared" si="41"/>
        <v>#DIV/0!</v>
      </c>
    </row>
    <row r="900" spans="21:23" x14ac:dyDescent="0.2">
      <c r="U900" s="616"/>
      <c r="W900" s="620" t="e">
        <f t="shared" ref="W900:W963" si="42">AVERAGE($V$4:$V$2517)</f>
        <v>#DIV/0!</v>
      </c>
    </row>
    <row r="901" spans="21:23" x14ac:dyDescent="0.2">
      <c r="U901" s="616"/>
      <c r="W901" s="620" t="e">
        <f t="shared" si="42"/>
        <v>#DIV/0!</v>
      </c>
    </row>
    <row r="902" spans="21:23" x14ac:dyDescent="0.2">
      <c r="U902" s="616"/>
      <c r="W902" s="620" t="e">
        <f t="shared" si="42"/>
        <v>#DIV/0!</v>
      </c>
    </row>
    <row r="903" spans="21:23" x14ac:dyDescent="0.2">
      <c r="U903" s="616"/>
      <c r="W903" s="620" t="e">
        <f t="shared" si="42"/>
        <v>#DIV/0!</v>
      </c>
    </row>
    <row r="904" spans="21:23" x14ac:dyDescent="0.2">
      <c r="U904" s="616"/>
      <c r="W904" s="620" t="e">
        <f t="shared" si="42"/>
        <v>#DIV/0!</v>
      </c>
    </row>
    <row r="905" spans="21:23" x14ac:dyDescent="0.2">
      <c r="U905" s="616"/>
      <c r="W905" s="620" t="e">
        <f t="shared" si="42"/>
        <v>#DIV/0!</v>
      </c>
    </row>
    <row r="906" spans="21:23" x14ac:dyDescent="0.2">
      <c r="U906" s="616"/>
      <c r="W906" s="620" t="e">
        <f t="shared" si="42"/>
        <v>#DIV/0!</v>
      </c>
    </row>
    <row r="907" spans="21:23" x14ac:dyDescent="0.2">
      <c r="U907" s="616"/>
      <c r="W907" s="620" t="e">
        <f t="shared" si="42"/>
        <v>#DIV/0!</v>
      </c>
    </row>
    <row r="908" spans="21:23" x14ac:dyDescent="0.2">
      <c r="U908" s="616"/>
      <c r="W908" s="620" t="e">
        <f t="shared" si="42"/>
        <v>#DIV/0!</v>
      </c>
    </row>
    <row r="909" spans="21:23" x14ac:dyDescent="0.2">
      <c r="U909" s="616"/>
      <c r="W909" s="620" t="e">
        <f t="shared" si="42"/>
        <v>#DIV/0!</v>
      </c>
    </row>
    <row r="910" spans="21:23" x14ac:dyDescent="0.2">
      <c r="U910" s="616"/>
      <c r="W910" s="620" t="e">
        <f t="shared" si="42"/>
        <v>#DIV/0!</v>
      </c>
    </row>
    <row r="911" spans="21:23" x14ac:dyDescent="0.2">
      <c r="U911" s="616"/>
      <c r="W911" s="620" t="e">
        <f t="shared" si="42"/>
        <v>#DIV/0!</v>
      </c>
    </row>
    <row r="912" spans="21:23" x14ac:dyDescent="0.2">
      <c r="U912" s="616"/>
      <c r="W912" s="620" t="e">
        <f t="shared" si="42"/>
        <v>#DIV/0!</v>
      </c>
    </row>
    <row r="913" spans="21:23" x14ac:dyDescent="0.2">
      <c r="U913" s="616"/>
      <c r="W913" s="620" t="e">
        <f t="shared" si="42"/>
        <v>#DIV/0!</v>
      </c>
    </row>
    <row r="914" spans="21:23" x14ac:dyDescent="0.2">
      <c r="U914" s="616"/>
      <c r="W914" s="620" t="e">
        <f t="shared" si="42"/>
        <v>#DIV/0!</v>
      </c>
    </row>
    <row r="915" spans="21:23" x14ac:dyDescent="0.2">
      <c r="U915" s="616"/>
      <c r="W915" s="620" t="e">
        <f t="shared" si="42"/>
        <v>#DIV/0!</v>
      </c>
    </row>
    <row r="916" spans="21:23" x14ac:dyDescent="0.2">
      <c r="U916" s="616"/>
      <c r="W916" s="620" t="e">
        <f t="shared" si="42"/>
        <v>#DIV/0!</v>
      </c>
    </row>
    <row r="917" spans="21:23" x14ac:dyDescent="0.2">
      <c r="U917" s="616"/>
      <c r="W917" s="620" t="e">
        <f t="shared" si="42"/>
        <v>#DIV/0!</v>
      </c>
    </row>
    <row r="918" spans="21:23" x14ac:dyDescent="0.2">
      <c r="U918" s="616"/>
      <c r="W918" s="620" t="e">
        <f t="shared" si="42"/>
        <v>#DIV/0!</v>
      </c>
    </row>
    <row r="919" spans="21:23" x14ac:dyDescent="0.2">
      <c r="U919" s="616"/>
      <c r="W919" s="620" t="e">
        <f t="shared" si="42"/>
        <v>#DIV/0!</v>
      </c>
    </row>
    <row r="920" spans="21:23" x14ac:dyDescent="0.2">
      <c r="U920" s="616"/>
      <c r="W920" s="620" t="e">
        <f t="shared" si="42"/>
        <v>#DIV/0!</v>
      </c>
    </row>
    <row r="921" spans="21:23" x14ac:dyDescent="0.2">
      <c r="U921" s="616"/>
      <c r="W921" s="620" t="e">
        <f t="shared" si="42"/>
        <v>#DIV/0!</v>
      </c>
    </row>
    <row r="922" spans="21:23" x14ac:dyDescent="0.2">
      <c r="U922" s="616"/>
      <c r="W922" s="620" t="e">
        <f t="shared" si="42"/>
        <v>#DIV/0!</v>
      </c>
    </row>
    <row r="923" spans="21:23" x14ac:dyDescent="0.2">
      <c r="U923" s="616"/>
      <c r="W923" s="620" t="e">
        <f t="shared" si="42"/>
        <v>#DIV/0!</v>
      </c>
    </row>
    <row r="924" spans="21:23" x14ac:dyDescent="0.2">
      <c r="U924" s="616"/>
      <c r="W924" s="620" t="e">
        <f t="shared" si="42"/>
        <v>#DIV/0!</v>
      </c>
    </row>
    <row r="925" spans="21:23" x14ac:dyDescent="0.2">
      <c r="U925" s="616"/>
      <c r="W925" s="620" t="e">
        <f t="shared" si="42"/>
        <v>#DIV/0!</v>
      </c>
    </row>
    <row r="926" spans="21:23" x14ac:dyDescent="0.2">
      <c r="U926" s="616"/>
      <c r="W926" s="620" t="e">
        <f t="shared" si="42"/>
        <v>#DIV/0!</v>
      </c>
    </row>
    <row r="927" spans="21:23" x14ac:dyDescent="0.2">
      <c r="U927" s="616"/>
      <c r="W927" s="620" t="e">
        <f t="shared" si="42"/>
        <v>#DIV/0!</v>
      </c>
    </row>
    <row r="928" spans="21:23" x14ac:dyDescent="0.2">
      <c r="U928" s="616"/>
      <c r="W928" s="620" t="e">
        <f t="shared" si="42"/>
        <v>#DIV/0!</v>
      </c>
    </row>
    <row r="929" spans="21:23" x14ac:dyDescent="0.2">
      <c r="U929" s="616"/>
      <c r="W929" s="620" t="e">
        <f t="shared" si="42"/>
        <v>#DIV/0!</v>
      </c>
    </row>
    <row r="930" spans="21:23" x14ac:dyDescent="0.2">
      <c r="U930" s="616"/>
      <c r="W930" s="620" t="e">
        <f t="shared" si="42"/>
        <v>#DIV/0!</v>
      </c>
    </row>
    <row r="931" spans="21:23" x14ac:dyDescent="0.2">
      <c r="U931" s="616"/>
      <c r="W931" s="620" t="e">
        <f t="shared" si="42"/>
        <v>#DIV/0!</v>
      </c>
    </row>
    <row r="932" spans="21:23" x14ac:dyDescent="0.2">
      <c r="U932" s="616"/>
      <c r="W932" s="620" t="e">
        <f t="shared" si="42"/>
        <v>#DIV/0!</v>
      </c>
    </row>
    <row r="933" spans="21:23" x14ac:dyDescent="0.2">
      <c r="U933" s="616"/>
      <c r="W933" s="620" t="e">
        <f t="shared" si="42"/>
        <v>#DIV/0!</v>
      </c>
    </row>
    <row r="934" spans="21:23" x14ac:dyDescent="0.2">
      <c r="U934" s="616"/>
      <c r="W934" s="620" t="e">
        <f t="shared" si="42"/>
        <v>#DIV/0!</v>
      </c>
    </row>
    <row r="935" spans="21:23" x14ac:dyDescent="0.2">
      <c r="U935" s="616"/>
      <c r="W935" s="620" t="e">
        <f t="shared" si="42"/>
        <v>#DIV/0!</v>
      </c>
    </row>
    <row r="936" spans="21:23" x14ac:dyDescent="0.2">
      <c r="U936" s="616"/>
      <c r="W936" s="620" t="e">
        <f t="shared" si="42"/>
        <v>#DIV/0!</v>
      </c>
    </row>
    <row r="937" spans="21:23" x14ac:dyDescent="0.2">
      <c r="U937" s="616"/>
      <c r="W937" s="620" t="e">
        <f t="shared" si="42"/>
        <v>#DIV/0!</v>
      </c>
    </row>
    <row r="938" spans="21:23" x14ac:dyDescent="0.2">
      <c r="U938" s="616"/>
      <c r="W938" s="620" t="e">
        <f t="shared" si="42"/>
        <v>#DIV/0!</v>
      </c>
    </row>
    <row r="939" spans="21:23" x14ac:dyDescent="0.2">
      <c r="U939" s="616"/>
      <c r="W939" s="620" t="e">
        <f t="shared" si="42"/>
        <v>#DIV/0!</v>
      </c>
    </row>
    <row r="940" spans="21:23" x14ac:dyDescent="0.2">
      <c r="U940" s="616"/>
      <c r="W940" s="620" t="e">
        <f t="shared" si="42"/>
        <v>#DIV/0!</v>
      </c>
    </row>
    <row r="941" spans="21:23" x14ac:dyDescent="0.2">
      <c r="U941" s="616"/>
      <c r="W941" s="620" t="e">
        <f t="shared" si="42"/>
        <v>#DIV/0!</v>
      </c>
    </row>
    <row r="942" spans="21:23" x14ac:dyDescent="0.2">
      <c r="U942" s="616"/>
      <c r="W942" s="620" t="e">
        <f t="shared" si="42"/>
        <v>#DIV/0!</v>
      </c>
    </row>
    <row r="943" spans="21:23" x14ac:dyDescent="0.2">
      <c r="U943" s="616"/>
      <c r="W943" s="620" t="e">
        <f t="shared" si="42"/>
        <v>#DIV/0!</v>
      </c>
    </row>
    <row r="944" spans="21:23" x14ac:dyDescent="0.2">
      <c r="U944" s="616"/>
      <c r="W944" s="620" t="e">
        <f t="shared" si="42"/>
        <v>#DIV/0!</v>
      </c>
    </row>
    <row r="945" spans="21:23" x14ac:dyDescent="0.2">
      <c r="U945" s="616"/>
      <c r="W945" s="620" t="e">
        <f t="shared" si="42"/>
        <v>#DIV/0!</v>
      </c>
    </row>
    <row r="946" spans="21:23" x14ac:dyDescent="0.2">
      <c r="U946" s="616"/>
      <c r="W946" s="620" t="e">
        <f t="shared" si="42"/>
        <v>#DIV/0!</v>
      </c>
    </row>
    <row r="947" spans="21:23" x14ac:dyDescent="0.2">
      <c r="U947" s="616"/>
      <c r="W947" s="620" t="e">
        <f t="shared" si="42"/>
        <v>#DIV/0!</v>
      </c>
    </row>
    <row r="948" spans="21:23" x14ac:dyDescent="0.2">
      <c r="U948" s="616"/>
      <c r="W948" s="620" t="e">
        <f t="shared" si="42"/>
        <v>#DIV/0!</v>
      </c>
    </row>
    <row r="949" spans="21:23" x14ac:dyDescent="0.2">
      <c r="U949" s="616"/>
      <c r="W949" s="620" t="e">
        <f t="shared" si="42"/>
        <v>#DIV/0!</v>
      </c>
    </row>
    <row r="950" spans="21:23" x14ac:dyDescent="0.2">
      <c r="U950" s="616"/>
      <c r="W950" s="620" t="e">
        <f t="shared" si="42"/>
        <v>#DIV/0!</v>
      </c>
    </row>
    <row r="951" spans="21:23" x14ac:dyDescent="0.2">
      <c r="U951" s="616"/>
      <c r="W951" s="620" t="e">
        <f t="shared" si="42"/>
        <v>#DIV/0!</v>
      </c>
    </row>
    <row r="952" spans="21:23" x14ac:dyDescent="0.2">
      <c r="U952" s="616"/>
      <c r="W952" s="620" t="e">
        <f t="shared" si="42"/>
        <v>#DIV/0!</v>
      </c>
    </row>
    <row r="953" spans="21:23" x14ac:dyDescent="0.2">
      <c r="U953" s="616"/>
      <c r="W953" s="620" t="e">
        <f t="shared" si="42"/>
        <v>#DIV/0!</v>
      </c>
    </row>
    <row r="954" spans="21:23" x14ac:dyDescent="0.2">
      <c r="U954" s="616"/>
      <c r="W954" s="620" t="e">
        <f t="shared" si="42"/>
        <v>#DIV/0!</v>
      </c>
    </row>
    <row r="955" spans="21:23" x14ac:dyDescent="0.2">
      <c r="U955" s="616"/>
      <c r="W955" s="620" t="e">
        <f t="shared" si="42"/>
        <v>#DIV/0!</v>
      </c>
    </row>
    <row r="956" spans="21:23" x14ac:dyDescent="0.2">
      <c r="U956" s="616"/>
      <c r="W956" s="620" t="e">
        <f t="shared" si="42"/>
        <v>#DIV/0!</v>
      </c>
    </row>
    <row r="957" spans="21:23" x14ac:dyDescent="0.2">
      <c r="U957" s="616"/>
      <c r="W957" s="620" t="e">
        <f t="shared" si="42"/>
        <v>#DIV/0!</v>
      </c>
    </row>
    <row r="958" spans="21:23" x14ac:dyDescent="0.2">
      <c r="U958" s="616"/>
      <c r="W958" s="620" t="e">
        <f t="shared" si="42"/>
        <v>#DIV/0!</v>
      </c>
    </row>
    <row r="959" spans="21:23" x14ac:dyDescent="0.2">
      <c r="U959" s="616"/>
      <c r="W959" s="620" t="e">
        <f t="shared" si="42"/>
        <v>#DIV/0!</v>
      </c>
    </row>
    <row r="960" spans="21:23" x14ac:dyDescent="0.2">
      <c r="U960" s="616"/>
      <c r="W960" s="620" t="e">
        <f t="shared" si="42"/>
        <v>#DIV/0!</v>
      </c>
    </row>
    <row r="961" spans="21:23" x14ac:dyDescent="0.2">
      <c r="U961" s="616"/>
      <c r="W961" s="620" t="e">
        <f t="shared" si="42"/>
        <v>#DIV/0!</v>
      </c>
    </row>
    <row r="962" spans="21:23" x14ac:dyDescent="0.2">
      <c r="U962" s="616"/>
      <c r="W962" s="620" t="e">
        <f t="shared" si="42"/>
        <v>#DIV/0!</v>
      </c>
    </row>
    <row r="963" spans="21:23" x14ac:dyDescent="0.2">
      <c r="U963" s="616"/>
      <c r="W963" s="620" t="e">
        <f t="shared" si="42"/>
        <v>#DIV/0!</v>
      </c>
    </row>
    <row r="964" spans="21:23" x14ac:dyDescent="0.2">
      <c r="U964" s="616"/>
      <c r="W964" s="620" t="e">
        <f t="shared" ref="W964:W1027" si="43">AVERAGE($V$4:$V$2517)</f>
        <v>#DIV/0!</v>
      </c>
    </row>
    <row r="965" spans="21:23" x14ac:dyDescent="0.2">
      <c r="U965" s="616"/>
      <c r="W965" s="620" t="e">
        <f t="shared" si="43"/>
        <v>#DIV/0!</v>
      </c>
    </row>
    <row r="966" spans="21:23" x14ac:dyDescent="0.2">
      <c r="U966" s="616"/>
      <c r="W966" s="620" t="e">
        <f t="shared" si="43"/>
        <v>#DIV/0!</v>
      </c>
    </row>
    <row r="967" spans="21:23" x14ac:dyDescent="0.2">
      <c r="U967" s="616"/>
      <c r="W967" s="620" t="e">
        <f t="shared" si="43"/>
        <v>#DIV/0!</v>
      </c>
    </row>
    <row r="968" spans="21:23" x14ac:dyDescent="0.2">
      <c r="U968" s="616"/>
      <c r="W968" s="620" t="e">
        <f t="shared" si="43"/>
        <v>#DIV/0!</v>
      </c>
    </row>
    <row r="969" spans="21:23" x14ac:dyDescent="0.2">
      <c r="U969" s="616"/>
      <c r="W969" s="620" t="e">
        <f t="shared" si="43"/>
        <v>#DIV/0!</v>
      </c>
    </row>
    <row r="970" spans="21:23" x14ac:dyDescent="0.2">
      <c r="U970" s="616"/>
      <c r="W970" s="620" t="e">
        <f t="shared" si="43"/>
        <v>#DIV/0!</v>
      </c>
    </row>
    <row r="971" spans="21:23" x14ac:dyDescent="0.2">
      <c r="U971" s="616"/>
      <c r="W971" s="620" t="e">
        <f t="shared" si="43"/>
        <v>#DIV/0!</v>
      </c>
    </row>
    <row r="972" spans="21:23" x14ac:dyDescent="0.2">
      <c r="U972" s="616"/>
      <c r="W972" s="620" t="e">
        <f t="shared" si="43"/>
        <v>#DIV/0!</v>
      </c>
    </row>
    <row r="973" spans="21:23" x14ac:dyDescent="0.2">
      <c r="U973" s="616"/>
      <c r="W973" s="620" t="e">
        <f t="shared" si="43"/>
        <v>#DIV/0!</v>
      </c>
    </row>
    <row r="974" spans="21:23" x14ac:dyDescent="0.2">
      <c r="U974" s="616"/>
      <c r="W974" s="620" t="e">
        <f t="shared" si="43"/>
        <v>#DIV/0!</v>
      </c>
    </row>
    <row r="975" spans="21:23" x14ac:dyDescent="0.2">
      <c r="U975" s="616"/>
      <c r="W975" s="620" t="e">
        <f t="shared" si="43"/>
        <v>#DIV/0!</v>
      </c>
    </row>
    <row r="976" spans="21:23" x14ac:dyDescent="0.2">
      <c r="U976" s="616"/>
      <c r="W976" s="620" t="e">
        <f t="shared" si="43"/>
        <v>#DIV/0!</v>
      </c>
    </row>
    <row r="977" spans="21:23" x14ac:dyDescent="0.2">
      <c r="U977" s="616"/>
      <c r="W977" s="620" t="e">
        <f t="shared" si="43"/>
        <v>#DIV/0!</v>
      </c>
    </row>
    <row r="978" spans="21:23" x14ac:dyDescent="0.2">
      <c r="U978" s="616"/>
      <c r="W978" s="620" t="e">
        <f t="shared" si="43"/>
        <v>#DIV/0!</v>
      </c>
    </row>
    <row r="979" spans="21:23" x14ac:dyDescent="0.2">
      <c r="U979" s="616"/>
      <c r="W979" s="620" t="e">
        <f t="shared" si="43"/>
        <v>#DIV/0!</v>
      </c>
    </row>
    <row r="980" spans="21:23" x14ac:dyDescent="0.2">
      <c r="U980" s="616"/>
      <c r="W980" s="620" t="e">
        <f t="shared" si="43"/>
        <v>#DIV/0!</v>
      </c>
    </row>
    <row r="981" spans="21:23" x14ac:dyDescent="0.2">
      <c r="U981" s="616"/>
      <c r="W981" s="620" t="e">
        <f t="shared" si="43"/>
        <v>#DIV/0!</v>
      </c>
    </row>
    <row r="982" spans="21:23" x14ac:dyDescent="0.2">
      <c r="U982" s="616"/>
      <c r="W982" s="620" t="e">
        <f t="shared" si="43"/>
        <v>#DIV/0!</v>
      </c>
    </row>
    <row r="983" spans="21:23" x14ac:dyDescent="0.2">
      <c r="U983" s="616"/>
      <c r="W983" s="620" t="e">
        <f t="shared" si="43"/>
        <v>#DIV/0!</v>
      </c>
    </row>
    <row r="984" spans="21:23" x14ac:dyDescent="0.2">
      <c r="U984" s="616"/>
      <c r="W984" s="620" t="e">
        <f t="shared" si="43"/>
        <v>#DIV/0!</v>
      </c>
    </row>
    <row r="985" spans="21:23" x14ac:dyDescent="0.2">
      <c r="U985" s="616"/>
      <c r="W985" s="620" t="e">
        <f t="shared" si="43"/>
        <v>#DIV/0!</v>
      </c>
    </row>
    <row r="986" spans="21:23" x14ac:dyDescent="0.2">
      <c r="U986" s="616"/>
      <c r="W986" s="620" t="e">
        <f t="shared" si="43"/>
        <v>#DIV/0!</v>
      </c>
    </row>
    <row r="987" spans="21:23" x14ac:dyDescent="0.2">
      <c r="U987" s="616"/>
      <c r="W987" s="620" t="e">
        <f t="shared" si="43"/>
        <v>#DIV/0!</v>
      </c>
    </row>
    <row r="988" spans="21:23" x14ac:dyDescent="0.2">
      <c r="U988" s="616"/>
      <c r="W988" s="620" t="e">
        <f t="shared" si="43"/>
        <v>#DIV/0!</v>
      </c>
    </row>
    <row r="989" spans="21:23" x14ac:dyDescent="0.2">
      <c r="U989" s="616"/>
      <c r="W989" s="620" t="e">
        <f t="shared" si="43"/>
        <v>#DIV/0!</v>
      </c>
    </row>
    <row r="990" spans="21:23" x14ac:dyDescent="0.2">
      <c r="U990" s="616"/>
      <c r="W990" s="620" t="e">
        <f t="shared" si="43"/>
        <v>#DIV/0!</v>
      </c>
    </row>
    <row r="991" spans="21:23" x14ac:dyDescent="0.2">
      <c r="U991" s="616"/>
      <c r="W991" s="620" t="e">
        <f t="shared" si="43"/>
        <v>#DIV/0!</v>
      </c>
    </row>
    <row r="992" spans="21:23" x14ac:dyDescent="0.2">
      <c r="U992" s="616"/>
      <c r="W992" s="620" t="e">
        <f t="shared" si="43"/>
        <v>#DIV/0!</v>
      </c>
    </row>
    <row r="993" spans="21:23" x14ac:dyDescent="0.2">
      <c r="U993" s="616"/>
      <c r="W993" s="620" t="e">
        <f t="shared" si="43"/>
        <v>#DIV/0!</v>
      </c>
    </row>
    <row r="994" spans="21:23" x14ac:dyDescent="0.2">
      <c r="U994" s="616"/>
      <c r="W994" s="620" t="e">
        <f t="shared" si="43"/>
        <v>#DIV/0!</v>
      </c>
    </row>
    <row r="995" spans="21:23" x14ac:dyDescent="0.2">
      <c r="U995" s="616"/>
      <c r="W995" s="620" t="e">
        <f t="shared" si="43"/>
        <v>#DIV/0!</v>
      </c>
    </row>
    <row r="996" spans="21:23" x14ac:dyDescent="0.2">
      <c r="U996" s="616"/>
      <c r="W996" s="620" t="e">
        <f t="shared" si="43"/>
        <v>#DIV/0!</v>
      </c>
    </row>
    <row r="997" spans="21:23" x14ac:dyDescent="0.2">
      <c r="U997" s="616"/>
      <c r="W997" s="620" t="e">
        <f t="shared" si="43"/>
        <v>#DIV/0!</v>
      </c>
    </row>
    <row r="998" spans="21:23" x14ac:dyDescent="0.2">
      <c r="U998" s="616"/>
      <c r="W998" s="620" t="e">
        <f t="shared" si="43"/>
        <v>#DIV/0!</v>
      </c>
    </row>
    <row r="999" spans="21:23" x14ac:dyDescent="0.2">
      <c r="U999" s="616"/>
      <c r="W999" s="620" t="e">
        <f t="shared" si="43"/>
        <v>#DIV/0!</v>
      </c>
    </row>
    <row r="1000" spans="21:23" x14ac:dyDescent="0.2">
      <c r="U1000" s="616"/>
      <c r="W1000" s="620" t="e">
        <f t="shared" si="43"/>
        <v>#DIV/0!</v>
      </c>
    </row>
    <row r="1001" spans="21:23" x14ac:dyDescent="0.2">
      <c r="U1001" s="616"/>
      <c r="W1001" s="620" t="e">
        <f t="shared" si="43"/>
        <v>#DIV/0!</v>
      </c>
    </row>
    <row r="1002" spans="21:23" x14ac:dyDescent="0.2">
      <c r="U1002" s="616"/>
      <c r="W1002" s="620" t="e">
        <f t="shared" si="43"/>
        <v>#DIV/0!</v>
      </c>
    </row>
    <row r="1003" spans="21:23" x14ac:dyDescent="0.2">
      <c r="U1003" s="616"/>
      <c r="W1003" s="620" t="e">
        <f t="shared" si="43"/>
        <v>#DIV/0!</v>
      </c>
    </row>
    <row r="1004" spans="21:23" x14ac:dyDescent="0.2">
      <c r="U1004" s="616"/>
      <c r="W1004" s="620" t="e">
        <f t="shared" si="43"/>
        <v>#DIV/0!</v>
      </c>
    </row>
    <row r="1005" spans="21:23" x14ac:dyDescent="0.2">
      <c r="U1005" s="616"/>
      <c r="W1005" s="620" t="e">
        <f t="shared" si="43"/>
        <v>#DIV/0!</v>
      </c>
    </row>
    <row r="1006" spans="21:23" x14ac:dyDescent="0.2">
      <c r="U1006" s="616"/>
      <c r="W1006" s="620" t="e">
        <f t="shared" si="43"/>
        <v>#DIV/0!</v>
      </c>
    </row>
    <row r="1007" spans="21:23" x14ac:dyDescent="0.2">
      <c r="U1007" s="616"/>
      <c r="W1007" s="620" t="e">
        <f t="shared" si="43"/>
        <v>#DIV/0!</v>
      </c>
    </row>
    <row r="1008" spans="21:23" x14ac:dyDescent="0.2">
      <c r="U1008" s="616"/>
      <c r="W1008" s="620" t="e">
        <f t="shared" si="43"/>
        <v>#DIV/0!</v>
      </c>
    </row>
    <row r="1009" spans="21:23" x14ac:dyDescent="0.2">
      <c r="U1009" s="616"/>
      <c r="W1009" s="620" t="e">
        <f t="shared" si="43"/>
        <v>#DIV/0!</v>
      </c>
    </row>
    <row r="1010" spans="21:23" x14ac:dyDescent="0.2">
      <c r="U1010" s="616"/>
      <c r="W1010" s="620" t="e">
        <f t="shared" si="43"/>
        <v>#DIV/0!</v>
      </c>
    </row>
    <row r="1011" spans="21:23" x14ac:dyDescent="0.2">
      <c r="U1011" s="616"/>
      <c r="W1011" s="620" t="e">
        <f t="shared" si="43"/>
        <v>#DIV/0!</v>
      </c>
    </row>
    <row r="1012" spans="21:23" x14ac:dyDescent="0.2">
      <c r="U1012" s="616"/>
      <c r="W1012" s="620" t="e">
        <f t="shared" si="43"/>
        <v>#DIV/0!</v>
      </c>
    </row>
    <row r="1013" spans="21:23" x14ac:dyDescent="0.2">
      <c r="U1013" s="616"/>
      <c r="W1013" s="620" t="e">
        <f t="shared" si="43"/>
        <v>#DIV/0!</v>
      </c>
    </row>
    <row r="1014" spans="21:23" x14ac:dyDescent="0.2">
      <c r="U1014" s="616"/>
      <c r="W1014" s="620" t="e">
        <f t="shared" si="43"/>
        <v>#DIV/0!</v>
      </c>
    </row>
    <row r="1015" spans="21:23" x14ac:dyDescent="0.2">
      <c r="U1015" s="616"/>
      <c r="W1015" s="620" t="e">
        <f t="shared" si="43"/>
        <v>#DIV/0!</v>
      </c>
    </row>
    <row r="1016" spans="21:23" x14ac:dyDescent="0.2">
      <c r="U1016" s="616"/>
      <c r="W1016" s="620" t="e">
        <f t="shared" si="43"/>
        <v>#DIV/0!</v>
      </c>
    </row>
    <row r="1017" spans="21:23" x14ac:dyDescent="0.2">
      <c r="U1017" s="616"/>
      <c r="W1017" s="620" t="e">
        <f t="shared" si="43"/>
        <v>#DIV/0!</v>
      </c>
    </row>
    <row r="1018" spans="21:23" x14ac:dyDescent="0.2">
      <c r="U1018" s="616"/>
      <c r="W1018" s="620" t="e">
        <f t="shared" si="43"/>
        <v>#DIV/0!</v>
      </c>
    </row>
    <row r="1019" spans="21:23" x14ac:dyDescent="0.2">
      <c r="U1019" s="616"/>
      <c r="W1019" s="620" t="e">
        <f t="shared" si="43"/>
        <v>#DIV/0!</v>
      </c>
    </row>
    <row r="1020" spans="21:23" x14ac:dyDescent="0.2">
      <c r="U1020" s="616"/>
      <c r="W1020" s="620" t="e">
        <f t="shared" si="43"/>
        <v>#DIV/0!</v>
      </c>
    </row>
    <row r="1021" spans="21:23" x14ac:dyDescent="0.2">
      <c r="U1021" s="616"/>
      <c r="W1021" s="620" t="e">
        <f t="shared" si="43"/>
        <v>#DIV/0!</v>
      </c>
    </row>
    <row r="1022" spans="21:23" x14ac:dyDescent="0.2">
      <c r="U1022" s="616"/>
      <c r="W1022" s="620" t="e">
        <f t="shared" si="43"/>
        <v>#DIV/0!</v>
      </c>
    </row>
    <row r="1023" spans="21:23" x14ac:dyDescent="0.2">
      <c r="U1023" s="616"/>
      <c r="W1023" s="620" t="e">
        <f t="shared" si="43"/>
        <v>#DIV/0!</v>
      </c>
    </row>
    <row r="1024" spans="21:23" x14ac:dyDescent="0.2">
      <c r="U1024" s="616"/>
      <c r="W1024" s="620" t="e">
        <f t="shared" si="43"/>
        <v>#DIV/0!</v>
      </c>
    </row>
    <row r="1025" spans="21:23" x14ac:dyDescent="0.2">
      <c r="U1025" s="616"/>
      <c r="W1025" s="620" t="e">
        <f t="shared" si="43"/>
        <v>#DIV/0!</v>
      </c>
    </row>
    <row r="1026" spans="21:23" x14ac:dyDescent="0.2">
      <c r="U1026" s="616"/>
      <c r="W1026" s="620" t="e">
        <f t="shared" si="43"/>
        <v>#DIV/0!</v>
      </c>
    </row>
    <row r="1027" spans="21:23" x14ac:dyDescent="0.2">
      <c r="U1027" s="616"/>
      <c r="W1027" s="620" t="e">
        <f t="shared" si="43"/>
        <v>#DIV/0!</v>
      </c>
    </row>
    <row r="1028" spans="21:23" x14ac:dyDescent="0.2">
      <c r="U1028" s="616"/>
      <c r="W1028" s="620" t="e">
        <f t="shared" ref="W1028:W1091" si="44">AVERAGE($V$4:$V$2517)</f>
        <v>#DIV/0!</v>
      </c>
    </row>
    <row r="1029" spans="21:23" x14ac:dyDescent="0.2">
      <c r="U1029" s="616"/>
      <c r="W1029" s="620" t="e">
        <f t="shared" si="44"/>
        <v>#DIV/0!</v>
      </c>
    </row>
    <row r="1030" spans="21:23" x14ac:dyDescent="0.2">
      <c r="U1030" s="616"/>
      <c r="W1030" s="620" t="e">
        <f t="shared" si="44"/>
        <v>#DIV/0!</v>
      </c>
    </row>
    <row r="1031" spans="21:23" x14ac:dyDescent="0.2">
      <c r="U1031" s="616"/>
      <c r="W1031" s="620" t="e">
        <f t="shared" si="44"/>
        <v>#DIV/0!</v>
      </c>
    </row>
    <row r="1032" spans="21:23" x14ac:dyDescent="0.2">
      <c r="U1032" s="616"/>
      <c r="W1032" s="620" t="e">
        <f t="shared" si="44"/>
        <v>#DIV/0!</v>
      </c>
    </row>
    <row r="1033" spans="21:23" x14ac:dyDescent="0.2">
      <c r="U1033" s="616"/>
      <c r="W1033" s="620" t="e">
        <f t="shared" si="44"/>
        <v>#DIV/0!</v>
      </c>
    </row>
    <row r="1034" spans="21:23" x14ac:dyDescent="0.2">
      <c r="U1034" s="616"/>
      <c r="W1034" s="620" t="e">
        <f t="shared" si="44"/>
        <v>#DIV/0!</v>
      </c>
    </row>
    <row r="1035" spans="21:23" x14ac:dyDescent="0.2">
      <c r="U1035" s="616"/>
      <c r="W1035" s="620" t="e">
        <f t="shared" si="44"/>
        <v>#DIV/0!</v>
      </c>
    </row>
    <row r="1036" spans="21:23" x14ac:dyDescent="0.2">
      <c r="U1036" s="616"/>
      <c r="W1036" s="620" t="e">
        <f t="shared" si="44"/>
        <v>#DIV/0!</v>
      </c>
    </row>
    <row r="1037" spans="21:23" x14ac:dyDescent="0.2">
      <c r="U1037" s="616"/>
      <c r="W1037" s="620" t="e">
        <f t="shared" si="44"/>
        <v>#DIV/0!</v>
      </c>
    </row>
    <row r="1038" spans="21:23" x14ac:dyDescent="0.2">
      <c r="U1038" s="616"/>
      <c r="W1038" s="620" t="e">
        <f t="shared" si="44"/>
        <v>#DIV/0!</v>
      </c>
    </row>
    <row r="1039" spans="21:23" x14ac:dyDescent="0.2">
      <c r="U1039" s="616"/>
      <c r="W1039" s="620" t="e">
        <f t="shared" si="44"/>
        <v>#DIV/0!</v>
      </c>
    </row>
    <row r="1040" spans="21:23" x14ac:dyDescent="0.2">
      <c r="U1040" s="616"/>
      <c r="W1040" s="620" t="e">
        <f t="shared" si="44"/>
        <v>#DIV/0!</v>
      </c>
    </row>
    <row r="1041" spans="21:23" x14ac:dyDescent="0.2">
      <c r="U1041" s="616"/>
      <c r="W1041" s="620" t="e">
        <f t="shared" si="44"/>
        <v>#DIV/0!</v>
      </c>
    </row>
    <row r="1042" spans="21:23" x14ac:dyDescent="0.2">
      <c r="U1042" s="616"/>
      <c r="W1042" s="620" t="e">
        <f t="shared" si="44"/>
        <v>#DIV/0!</v>
      </c>
    </row>
    <row r="1043" spans="21:23" x14ac:dyDescent="0.2">
      <c r="U1043" s="616"/>
      <c r="W1043" s="620" t="e">
        <f t="shared" si="44"/>
        <v>#DIV/0!</v>
      </c>
    </row>
    <row r="1044" spans="21:23" x14ac:dyDescent="0.2">
      <c r="U1044" s="616"/>
      <c r="W1044" s="620" t="e">
        <f t="shared" si="44"/>
        <v>#DIV/0!</v>
      </c>
    </row>
    <row r="1045" spans="21:23" x14ac:dyDescent="0.2">
      <c r="U1045" s="616"/>
      <c r="W1045" s="620" t="e">
        <f t="shared" si="44"/>
        <v>#DIV/0!</v>
      </c>
    </row>
    <row r="1046" spans="21:23" x14ac:dyDescent="0.2">
      <c r="U1046" s="616"/>
      <c r="W1046" s="620" t="e">
        <f t="shared" si="44"/>
        <v>#DIV/0!</v>
      </c>
    </row>
    <row r="1047" spans="21:23" x14ac:dyDescent="0.2">
      <c r="U1047" s="616"/>
      <c r="W1047" s="620" t="e">
        <f t="shared" si="44"/>
        <v>#DIV/0!</v>
      </c>
    </row>
    <row r="1048" spans="21:23" x14ac:dyDescent="0.2">
      <c r="U1048" s="616"/>
      <c r="W1048" s="620" t="e">
        <f t="shared" si="44"/>
        <v>#DIV/0!</v>
      </c>
    </row>
    <row r="1049" spans="21:23" x14ac:dyDescent="0.2">
      <c r="U1049" s="616"/>
      <c r="W1049" s="620" t="e">
        <f t="shared" si="44"/>
        <v>#DIV/0!</v>
      </c>
    </row>
    <row r="1050" spans="21:23" x14ac:dyDescent="0.2">
      <c r="U1050" s="616"/>
      <c r="W1050" s="620" t="e">
        <f t="shared" si="44"/>
        <v>#DIV/0!</v>
      </c>
    </row>
    <row r="1051" spans="21:23" x14ac:dyDescent="0.2">
      <c r="U1051" s="616"/>
      <c r="W1051" s="620" t="e">
        <f t="shared" si="44"/>
        <v>#DIV/0!</v>
      </c>
    </row>
    <row r="1052" spans="21:23" x14ac:dyDescent="0.2">
      <c r="U1052" s="616"/>
      <c r="W1052" s="620" t="e">
        <f t="shared" si="44"/>
        <v>#DIV/0!</v>
      </c>
    </row>
    <row r="1053" spans="21:23" x14ac:dyDescent="0.2">
      <c r="U1053" s="616"/>
      <c r="W1053" s="620" t="e">
        <f t="shared" si="44"/>
        <v>#DIV/0!</v>
      </c>
    </row>
    <row r="1054" spans="21:23" x14ac:dyDescent="0.2">
      <c r="U1054" s="616"/>
      <c r="W1054" s="620" t="e">
        <f t="shared" si="44"/>
        <v>#DIV/0!</v>
      </c>
    </row>
    <row r="1055" spans="21:23" x14ac:dyDescent="0.2">
      <c r="U1055" s="616"/>
      <c r="W1055" s="620" t="e">
        <f t="shared" si="44"/>
        <v>#DIV/0!</v>
      </c>
    </row>
    <row r="1056" spans="21:23" x14ac:dyDescent="0.2">
      <c r="U1056" s="616"/>
      <c r="W1056" s="620" t="e">
        <f t="shared" si="44"/>
        <v>#DIV/0!</v>
      </c>
    </row>
    <row r="1057" spans="21:23" x14ac:dyDescent="0.2">
      <c r="U1057" s="616"/>
      <c r="W1057" s="620" t="e">
        <f t="shared" si="44"/>
        <v>#DIV/0!</v>
      </c>
    </row>
    <row r="1058" spans="21:23" x14ac:dyDescent="0.2">
      <c r="U1058" s="616"/>
      <c r="W1058" s="620" t="e">
        <f t="shared" si="44"/>
        <v>#DIV/0!</v>
      </c>
    </row>
    <row r="1059" spans="21:23" x14ac:dyDescent="0.2">
      <c r="U1059" s="616"/>
      <c r="W1059" s="620" t="e">
        <f t="shared" si="44"/>
        <v>#DIV/0!</v>
      </c>
    </row>
    <row r="1060" spans="21:23" x14ac:dyDescent="0.2">
      <c r="U1060" s="616"/>
      <c r="W1060" s="620" t="e">
        <f t="shared" si="44"/>
        <v>#DIV/0!</v>
      </c>
    </row>
    <row r="1061" spans="21:23" x14ac:dyDescent="0.2">
      <c r="U1061" s="616"/>
      <c r="W1061" s="620" t="e">
        <f t="shared" si="44"/>
        <v>#DIV/0!</v>
      </c>
    </row>
    <row r="1062" spans="21:23" x14ac:dyDescent="0.2">
      <c r="U1062" s="616"/>
      <c r="W1062" s="620" t="e">
        <f t="shared" si="44"/>
        <v>#DIV/0!</v>
      </c>
    </row>
    <row r="1063" spans="21:23" x14ac:dyDescent="0.2">
      <c r="U1063" s="616"/>
      <c r="W1063" s="620" t="e">
        <f t="shared" si="44"/>
        <v>#DIV/0!</v>
      </c>
    </row>
    <row r="1064" spans="21:23" x14ac:dyDescent="0.2">
      <c r="U1064" s="616"/>
      <c r="W1064" s="620" t="e">
        <f t="shared" si="44"/>
        <v>#DIV/0!</v>
      </c>
    </row>
    <row r="1065" spans="21:23" x14ac:dyDescent="0.2">
      <c r="U1065" s="616"/>
      <c r="W1065" s="620" t="e">
        <f t="shared" si="44"/>
        <v>#DIV/0!</v>
      </c>
    </row>
    <row r="1066" spans="21:23" x14ac:dyDescent="0.2">
      <c r="U1066" s="616"/>
      <c r="W1066" s="620" t="e">
        <f t="shared" si="44"/>
        <v>#DIV/0!</v>
      </c>
    </row>
    <row r="1067" spans="21:23" x14ac:dyDescent="0.2">
      <c r="U1067" s="616"/>
      <c r="W1067" s="620" t="e">
        <f t="shared" si="44"/>
        <v>#DIV/0!</v>
      </c>
    </row>
    <row r="1068" spans="21:23" x14ac:dyDescent="0.2">
      <c r="U1068" s="616"/>
      <c r="W1068" s="620" t="e">
        <f t="shared" si="44"/>
        <v>#DIV/0!</v>
      </c>
    </row>
    <row r="1069" spans="21:23" x14ac:dyDescent="0.2">
      <c r="U1069" s="616"/>
      <c r="W1069" s="620" t="e">
        <f t="shared" si="44"/>
        <v>#DIV/0!</v>
      </c>
    </row>
    <row r="1070" spans="21:23" x14ac:dyDescent="0.2">
      <c r="U1070" s="616"/>
      <c r="W1070" s="620" t="e">
        <f t="shared" si="44"/>
        <v>#DIV/0!</v>
      </c>
    </row>
    <row r="1071" spans="21:23" x14ac:dyDescent="0.2">
      <c r="U1071" s="616"/>
      <c r="W1071" s="620" t="e">
        <f t="shared" si="44"/>
        <v>#DIV/0!</v>
      </c>
    </row>
    <row r="1072" spans="21:23" x14ac:dyDescent="0.2">
      <c r="U1072" s="616"/>
      <c r="W1072" s="620" t="e">
        <f t="shared" si="44"/>
        <v>#DIV/0!</v>
      </c>
    </row>
    <row r="1073" spans="21:23" x14ac:dyDescent="0.2">
      <c r="U1073" s="616"/>
      <c r="W1073" s="620" t="e">
        <f t="shared" si="44"/>
        <v>#DIV/0!</v>
      </c>
    </row>
    <row r="1074" spans="21:23" x14ac:dyDescent="0.2">
      <c r="U1074" s="616"/>
      <c r="W1074" s="620" t="e">
        <f t="shared" si="44"/>
        <v>#DIV/0!</v>
      </c>
    </row>
    <row r="1075" spans="21:23" x14ac:dyDescent="0.2">
      <c r="U1075" s="616"/>
      <c r="W1075" s="620" t="e">
        <f t="shared" si="44"/>
        <v>#DIV/0!</v>
      </c>
    </row>
    <row r="1076" spans="21:23" x14ac:dyDescent="0.2">
      <c r="U1076" s="616"/>
      <c r="W1076" s="620" t="e">
        <f t="shared" si="44"/>
        <v>#DIV/0!</v>
      </c>
    </row>
    <row r="1077" spans="21:23" x14ac:dyDescent="0.2">
      <c r="U1077" s="616"/>
      <c r="W1077" s="620" t="e">
        <f t="shared" si="44"/>
        <v>#DIV/0!</v>
      </c>
    </row>
    <row r="1078" spans="21:23" x14ac:dyDescent="0.2">
      <c r="U1078" s="616"/>
      <c r="W1078" s="620" t="e">
        <f t="shared" si="44"/>
        <v>#DIV/0!</v>
      </c>
    </row>
    <row r="1079" spans="21:23" x14ac:dyDescent="0.2">
      <c r="U1079" s="616"/>
      <c r="W1079" s="620" t="e">
        <f t="shared" si="44"/>
        <v>#DIV/0!</v>
      </c>
    </row>
    <row r="1080" spans="21:23" x14ac:dyDescent="0.2">
      <c r="U1080" s="616"/>
      <c r="W1080" s="620" t="e">
        <f t="shared" si="44"/>
        <v>#DIV/0!</v>
      </c>
    </row>
    <row r="1081" spans="21:23" x14ac:dyDescent="0.2">
      <c r="U1081" s="616"/>
      <c r="W1081" s="620" t="e">
        <f t="shared" si="44"/>
        <v>#DIV/0!</v>
      </c>
    </row>
    <row r="1082" spans="21:23" x14ac:dyDescent="0.2">
      <c r="U1082" s="616"/>
      <c r="W1082" s="620" t="e">
        <f t="shared" si="44"/>
        <v>#DIV/0!</v>
      </c>
    </row>
    <row r="1083" spans="21:23" x14ac:dyDescent="0.2">
      <c r="U1083" s="616"/>
      <c r="W1083" s="620" t="e">
        <f t="shared" si="44"/>
        <v>#DIV/0!</v>
      </c>
    </row>
    <row r="1084" spans="21:23" x14ac:dyDescent="0.2">
      <c r="U1084" s="616"/>
      <c r="W1084" s="620" t="e">
        <f t="shared" si="44"/>
        <v>#DIV/0!</v>
      </c>
    </row>
    <row r="1085" spans="21:23" x14ac:dyDescent="0.2">
      <c r="U1085" s="616"/>
      <c r="W1085" s="620" t="e">
        <f t="shared" si="44"/>
        <v>#DIV/0!</v>
      </c>
    </row>
    <row r="1086" spans="21:23" x14ac:dyDescent="0.2">
      <c r="U1086" s="616"/>
      <c r="W1086" s="620" t="e">
        <f t="shared" si="44"/>
        <v>#DIV/0!</v>
      </c>
    </row>
    <row r="1087" spans="21:23" x14ac:dyDescent="0.2">
      <c r="U1087" s="616"/>
      <c r="W1087" s="620" t="e">
        <f t="shared" si="44"/>
        <v>#DIV/0!</v>
      </c>
    </row>
    <row r="1088" spans="21:23" x14ac:dyDescent="0.2">
      <c r="U1088" s="616"/>
      <c r="W1088" s="620" t="e">
        <f t="shared" si="44"/>
        <v>#DIV/0!</v>
      </c>
    </row>
    <row r="1089" spans="21:23" x14ac:dyDescent="0.2">
      <c r="U1089" s="616"/>
      <c r="W1089" s="620" t="e">
        <f t="shared" si="44"/>
        <v>#DIV/0!</v>
      </c>
    </row>
    <row r="1090" spans="21:23" x14ac:dyDescent="0.2">
      <c r="U1090" s="616"/>
      <c r="W1090" s="620" t="e">
        <f t="shared" si="44"/>
        <v>#DIV/0!</v>
      </c>
    </row>
    <row r="1091" spans="21:23" x14ac:dyDescent="0.2">
      <c r="U1091" s="616"/>
      <c r="W1091" s="620" t="e">
        <f t="shared" si="44"/>
        <v>#DIV/0!</v>
      </c>
    </row>
    <row r="1092" spans="21:23" x14ac:dyDescent="0.2">
      <c r="U1092" s="616"/>
      <c r="W1092" s="620" t="e">
        <f t="shared" ref="W1092:W1155" si="45">AVERAGE($V$4:$V$2517)</f>
        <v>#DIV/0!</v>
      </c>
    </row>
    <row r="1093" spans="21:23" x14ac:dyDescent="0.2">
      <c r="U1093" s="616"/>
      <c r="W1093" s="620" t="e">
        <f t="shared" si="45"/>
        <v>#DIV/0!</v>
      </c>
    </row>
    <row r="1094" spans="21:23" x14ac:dyDescent="0.2">
      <c r="U1094" s="616"/>
      <c r="W1094" s="620" t="e">
        <f t="shared" si="45"/>
        <v>#DIV/0!</v>
      </c>
    </row>
    <row r="1095" spans="21:23" x14ac:dyDescent="0.2">
      <c r="U1095" s="616"/>
      <c r="W1095" s="620" t="e">
        <f t="shared" si="45"/>
        <v>#DIV/0!</v>
      </c>
    </row>
    <row r="1096" spans="21:23" x14ac:dyDescent="0.2">
      <c r="U1096" s="616"/>
      <c r="W1096" s="620" t="e">
        <f t="shared" si="45"/>
        <v>#DIV/0!</v>
      </c>
    </row>
    <row r="1097" spans="21:23" x14ac:dyDescent="0.2">
      <c r="U1097" s="616"/>
      <c r="W1097" s="620" t="e">
        <f t="shared" si="45"/>
        <v>#DIV/0!</v>
      </c>
    </row>
    <row r="1098" spans="21:23" x14ac:dyDescent="0.2">
      <c r="U1098" s="616"/>
      <c r="W1098" s="620" t="e">
        <f t="shared" si="45"/>
        <v>#DIV/0!</v>
      </c>
    </row>
    <row r="1099" spans="21:23" x14ac:dyDescent="0.2">
      <c r="U1099" s="616"/>
      <c r="W1099" s="620" t="e">
        <f t="shared" si="45"/>
        <v>#DIV/0!</v>
      </c>
    </row>
    <row r="1100" spans="21:23" x14ac:dyDescent="0.2">
      <c r="U1100" s="616"/>
      <c r="W1100" s="620" t="e">
        <f t="shared" si="45"/>
        <v>#DIV/0!</v>
      </c>
    </row>
    <row r="1101" spans="21:23" x14ac:dyDescent="0.2">
      <c r="U1101" s="616"/>
      <c r="W1101" s="620" t="e">
        <f t="shared" si="45"/>
        <v>#DIV/0!</v>
      </c>
    </row>
    <row r="1102" spans="21:23" x14ac:dyDescent="0.2">
      <c r="U1102" s="616"/>
      <c r="W1102" s="620" t="e">
        <f t="shared" si="45"/>
        <v>#DIV/0!</v>
      </c>
    </row>
    <row r="1103" spans="21:23" x14ac:dyDescent="0.2">
      <c r="U1103" s="616"/>
      <c r="W1103" s="620" t="e">
        <f t="shared" si="45"/>
        <v>#DIV/0!</v>
      </c>
    </row>
    <row r="1104" spans="21:23" x14ac:dyDescent="0.2">
      <c r="U1104" s="616"/>
      <c r="W1104" s="620" t="e">
        <f t="shared" si="45"/>
        <v>#DIV/0!</v>
      </c>
    </row>
    <row r="1105" spans="21:23" x14ac:dyDescent="0.2">
      <c r="U1105" s="616"/>
      <c r="W1105" s="620" t="e">
        <f t="shared" si="45"/>
        <v>#DIV/0!</v>
      </c>
    </row>
    <row r="1106" spans="21:23" x14ac:dyDescent="0.2">
      <c r="U1106" s="616"/>
      <c r="W1106" s="620" t="e">
        <f t="shared" si="45"/>
        <v>#DIV/0!</v>
      </c>
    </row>
    <row r="1107" spans="21:23" x14ac:dyDescent="0.2">
      <c r="U1107" s="616"/>
      <c r="W1107" s="620" t="e">
        <f t="shared" si="45"/>
        <v>#DIV/0!</v>
      </c>
    </row>
    <row r="1108" spans="21:23" x14ac:dyDescent="0.2">
      <c r="U1108" s="616"/>
      <c r="W1108" s="620" t="e">
        <f t="shared" si="45"/>
        <v>#DIV/0!</v>
      </c>
    </row>
    <row r="1109" spans="21:23" x14ac:dyDescent="0.2">
      <c r="U1109" s="616"/>
      <c r="W1109" s="620" t="e">
        <f t="shared" si="45"/>
        <v>#DIV/0!</v>
      </c>
    </row>
    <row r="1110" spans="21:23" x14ac:dyDescent="0.2">
      <c r="U1110" s="616"/>
      <c r="W1110" s="620" t="e">
        <f t="shared" si="45"/>
        <v>#DIV/0!</v>
      </c>
    </row>
    <row r="1111" spans="21:23" x14ac:dyDescent="0.2">
      <c r="U1111" s="616"/>
      <c r="W1111" s="620" t="e">
        <f t="shared" si="45"/>
        <v>#DIV/0!</v>
      </c>
    </row>
    <row r="1112" spans="21:23" x14ac:dyDescent="0.2">
      <c r="U1112" s="616"/>
      <c r="W1112" s="620" t="e">
        <f t="shared" si="45"/>
        <v>#DIV/0!</v>
      </c>
    </row>
    <row r="1113" spans="21:23" x14ac:dyDescent="0.2">
      <c r="U1113" s="616"/>
      <c r="W1113" s="620" t="e">
        <f t="shared" si="45"/>
        <v>#DIV/0!</v>
      </c>
    </row>
    <row r="1114" spans="21:23" x14ac:dyDescent="0.2">
      <c r="U1114" s="616"/>
      <c r="W1114" s="620" t="e">
        <f t="shared" si="45"/>
        <v>#DIV/0!</v>
      </c>
    </row>
    <row r="1115" spans="21:23" x14ac:dyDescent="0.2">
      <c r="U1115" s="616"/>
      <c r="W1115" s="620" t="e">
        <f t="shared" si="45"/>
        <v>#DIV/0!</v>
      </c>
    </row>
    <row r="1116" spans="21:23" x14ac:dyDescent="0.2">
      <c r="U1116" s="616"/>
      <c r="W1116" s="620" t="e">
        <f t="shared" si="45"/>
        <v>#DIV/0!</v>
      </c>
    </row>
    <row r="1117" spans="21:23" x14ac:dyDescent="0.2">
      <c r="U1117" s="616"/>
      <c r="W1117" s="620" t="e">
        <f t="shared" si="45"/>
        <v>#DIV/0!</v>
      </c>
    </row>
    <row r="1118" spans="21:23" x14ac:dyDescent="0.2">
      <c r="U1118" s="616"/>
      <c r="W1118" s="620" t="e">
        <f t="shared" si="45"/>
        <v>#DIV/0!</v>
      </c>
    </row>
    <row r="1119" spans="21:23" x14ac:dyDescent="0.2">
      <c r="U1119" s="616"/>
      <c r="W1119" s="620" t="e">
        <f t="shared" si="45"/>
        <v>#DIV/0!</v>
      </c>
    </row>
    <row r="1120" spans="21:23" x14ac:dyDescent="0.2">
      <c r="U1120" s="616"/>
      <c r="W1120" s="620" t="e">
        <f t="shared" si="45"/>
        <v>#DIV/0!</v>
      </c>
    </row>
    <row r="1121" spans="21:23" x14ac:dyDescent="0.2">
      <c r="U1121" s="616"/>
      <c r="W1121" s="620" t="e">
        <f t="shared" si="45"/>
        <v>#DIV/0!</v>
      </c>
    </row>
    <row r="1122" spans="21:23" x14ac:dyDescent="0.2">
      <c r="U1122" s="616"/>
      <c r="W1122" s="620" t="e">
        <f t="shared" si="45"/>
        <v>#DIV/0!</v>
      </c>
    </row>
    <row r="1123" spans="21:23" x14ac:dyDescent="0.2">
      <c r="U1123" s="616"/>
      <c r="W1123" s="620" t="e">
        <f t="shared" si="45"/>
        <v>#DIV/0!</v>
      </c>
    </row>
    <row r="1124" spans="21:23" x14ac:dyDescent="0.2">
      <c r="U1124" s="616"/>
      <c r="W1124" s="620" t="e">
        <f t="shared" si="45"/>
        <v>#DIV/0!</v>
      </c>
    </row>
    <row r="1125" spans="21:23" x14ac:dyDescent="0.2">
      <c r="U1125" s="616"/>
      <c r="W1125" s="620" t="e">
        <f t="shared" si="45"/>
        <v>#DIV/0!</v>
      </c>
    </row>
    <row r="1126" spans="21:23" x14ac:dyDescent="0.2">
      <c r="U1126" s="616"/>
      <c r="W1126" s="620" t="e">
        <f t="shared" si="45"/>
        <v>#DIV/0!</v>
      </c>
    </row>
    <row r="1127" spans="21:23" x14ac:dyDescent="0.2">
      <c r="U1127" s="616"/>
      <c r="W1127" s="620" t="e">
        <f t="shared" si="45"/>
        <v>#DIV/0!</v>
      </c>
    </row>
    <row r="1128" spans="21:23" x14ac:dyDescent="0.2">
      <c r="U1128" s="616"/>
      <c r="W1128" s="620" t="e">
        <f t="shared" si="45"/>
        <v>#DIV/0!</v>
      </c>
    </row>
    <row r="1129" spans="21:23" x14ac:dyDescent="0.2">
      <c r="U1129" s="616"/>
      <c r="W1129" s="620" t="e">
        <f t="shared" si="45"/>
        <v>#DIV/0!</v>
      </c>
    </row>
    <row r="1130" spans="21:23" x14ac:dyDescent="0.2">
      <c r="U1130" s="616"/>
      <c r="W1130" s="620" t="e">
        <f t="shared" si="45"/>
        <v>#DIV/0!</v>
      </c>
    </row>
    <row r="1131" spans="21:23" x14ac:dyDescent="0.2">
      <c r="U1131" s="616"/>
      <c r="W1131" s="620" t="e">
        <f t="shared" si="45"/>
        <v>#DIV/0!</v>
      </c>
    </row>
    <row r="1132" spans="21:23" x14ac:dyDescent="0.2">
      <c r="U1132" s="616"/>
      <c r="W1132" s="620" t="e">
        <f t="shared" si="45"/>
        <v>#DIV/0!</v>
      </c>
    </row>
    <row r="1133" spans="21:23" x14ac:dyDescent="0.2">
      <c r="U1133" s="616"/>
      <c r="W1133" s="620" t="e">
        <f t="shared" si="45"/>
        <v>#DIV/0!</v>
      </c>
    </row>
    <row r="1134" spans="21:23" x14ac:dyDescent="0.2">
      <c r="U1134" s="616"/>
      <c r="W1134" s="620" t="e">
        <f t="shared" si="45"/>
        <v>#DIV/0!</v>
      </c>
    </row>
    <row r="1135" spans="21:23" x14ac:dyDescent="0.2">
      <c r="U1135" s="616"/>
      <c r="W1135" s="620" t="e">
        <f t="shared" si="45"/>
        <v>#DIV/0!</v>
      </c>
    </row>
    <row r="1136" spans="21:23" x14ac:dyDescent="0.2">
      <c r="U1136" s="616"/>
      <c r="W1136" s="620" t="e">
        <f t="shared" si="45"/>
        <v>#DIV/0!</v>
      </c>
    </row>
    <row r="1137" spans="21:23" x14ac:dyDescent="0.2">
      <c r="U1137" s="616"/>
      <c r="W1137" s="620" t="e">
        <f t="shared" si="45"/>
        <v>#DIV/0!</v>
      </c>
    </row>
    <row r="1138" spans="21:23" x14ac:dyDescent="0.2">
      <c r="U1138" s="616"/>
      <c r="W1138" s="620" t="e">
        <f t="shared" si="45"/>
        <v>#DIV/0!</v>
      </c>
    </row>
    <row r="1139" spans="21:23" x14ac:dyDescent="0.2">
      <c r="U1139" s="616"/>
      <c r="W1139" s="620" t="e">
        <f t="shared" si="45"/>
        <v>#DIV/0!</v>
      </c>
    </row>
    <row r="1140" spans="21:23" x14ac:dyDescent="0.2">
      <c r="U1140" s="616"/>
      <c r="W1140" s="620" t="e">
        <f t="shared" si="45"/>
        <v>#DIV/0!</v>
      </c>
    </row>
    <row r="1141" spans="21:23" x14ac:dyDescent="0.2">
      <c r="U1141" s="616"/>
      <c r="W1141" s="620" t="e">
        <f t="shared" si="45"/>
        <v>#DIV/0!</v>
      </c>
    </row>
    <row r="1142" spans="21:23" x14ac:dyDescent="0.2">
      <c r="U1142" s="616"/>
      <c r="W1142" s="620" t="e">
        <f t="shared" si="45"/>
        <v>#DIV/0!</v>
      </c>
    </row>
    <row r="1143" spans="21:23" x14ac:dyDescent="0.2">
      <c r="U1143" s="616"/>
      <c r="W1143" s="620" t="e">
        <f t="shared" si="45"/>
        <v>#DIV/0!</v>
      </c>
    </row>
    <row r="1144" spans="21:23" x14ac:dyDescent="0.2">
      <c r="U1144" s="616"/>
      <c r="W1144" s="620" t="e">
        <f t="shared" si="45"/>
        <v>#DIV/0!</v>
      </c>
    </row>
    <row r="1145" spans="21:23" x14ac:dyDescent="0.2">
      <c r="U1145" s="616"/>
      <c r="W1145" s="620" t="e">
        <f t="shared" si="45"/>
        <v>#DIV/0!</v>
      </c>
    </row>
    <row r="1146" spans="21:23" x14ac:dyDescent="0.2">
      <c r="U1146" s="616"/>
      <c r="W1146" s="620" t="e">
        <f t="shared" si="45"/>
        <v>#DIV/0!</v>
      </c>
    </row>
    <row r="1147" spans="21:23" x14ac:dyDescent="0.2">
      <c r="U1147" s="616"/>
      <c r="W1147" s="620" t="e">
        <f t="shared" si="45"/>
        <v>#DIV/0!</v>
      </c>
    </row>
    <row r="1148" spans="21:23" x14ac:dyDescent="0.2">
      <c r="U1148" s="616"/>
      <c r="W1148" s="620" t="e">
        <f t="shared" si="45"/>
        <v>#DIV/0!</v>
      </c>
    </row>
    <row r="1149" spans="21:23" x14ac:dyDescent="0.2">
      <c r="U1149" s="616"/>
      <c r="W1149" s="620" t="e">
        <f t="shared" si="45"/>
        <v>#DIV/0!</v>
      </c>
    </row>
    <row r="1150" spans="21:23" x14ac:dyDescent="0.2">
      <c r="U1150" s="616"/>
      <c r="W1150" s="620" t="e">
        <f t="shared" si="45"/>
        <v>#DIV/0!</v>
      </c>
    </row>
    <row r="1151" spans="21:23" x14ac:dyDescent="0.2">
      <c r="U1151" s="616"/>
      <c r="W1151" s="620" t="e">
        <f t="shared" si="45"/>
        <v>#DIV/0!</v>
      </c>
    </row>
    <row r="1152" spans="21:23" x14ac:dyDescent="0.2">
      <c r="U1152" s="616"/>
      <c r="W1152" s="620" t="e">
        <f t="shared" si="45"/>
        <v>#DIV/0!</v>
      </c>
    </row>
    <row r="1153" spans="21:23" x14ac:dyDescent="0.2">
      <c r="U1153" s="616"/>
      <c r="W1153" s="620" t="e">
        <f t="shared" si="45"/>
        <v>#DIV/0!</v>
      </c>
    </row>
    <row r="1154" spans="21:23" x14ac:dyDescent="0.2">
      <c r="U1154" s="616"/>
      <c r="W1154" s="620" t="e">
        <f t="shared" si="45"/>
        <v>#DIV/0!</v>
      </c>
    </row>
    <row r="1155" spans="21:23" x14ac:dyDescent="0.2">
      <c r="U1155" s="616"/>
      <c r="W1155" s="620" t="e">
        <f t="shared" si="45"/>
        <v>#DIV/0!</v>
      </c>
    </row>
    <row r="1156" spans="21:23" x14ac:dyDescent="0.2">
      <c r="U1156" s="616"/>
      <c r="W1156" s="620" t="e">
        <f t="shared" ref="W1156:W1219" si="46">AVERAGE($V$4:$V$2517)</f>
        <v>#DIV/0!</v>
      </c>
    </row>
    <row r="1157" spans="21:23" x14ac:dyDescent="0.2">
      <c r="U1157" s="616"/>
      <c r="W1157" s="620" t="e">
        <f t="shared" si="46"/>
        <v>#DIV/0!</v>
      </c>
    </row>
    <row r="1158" spans="21:23" x14ac:dyDescent="0.2">
      <c r="U1158" s="616"/>
      <c r="W1158" s="620" t="e">
        <f t="shared" si="46"/>
        <v>#DIV/0!</v>
      </c>
    </row>
    <row r="1159" spans="21:23" x14ac:dyDescent="0.2">
      <c r="U1159" s="616"/>
      <c r="W1159" s="620" t="e">
        <f t="shared" si="46"/>
        <v>#DIV/0!</v>
      </c>
    </row>
    <row r="1160" spans="21:23" x14ac:dyDescent="0.2">
      <c r="U1160" s="616"/>
      <c r="W1160" s="620" t="e">
        <f t="shared" si="46"/>
        <v>#DIV/0!</v>
      </c>
    </row>
    <row r="1161" spans="21:23" x14ac:dyDescent="0.2">
      <c r="U1161" s="616"/>
      <c r="W1161" s="620" t="e">
        <f t="shared" si="46"/>
        <v>#DIV/0!</v>
      </c>
    </row>
    <row r="1162" spans="21:23" x14ac:dyDescent="0.2">
      <c r="U1162" s="616"/>
      <c r="W1162" s="620" t="e">
        <f t="shared" si="46"/>
        <v>#DIV/0!</v>
      </c>
    </row>
    <row r="1163" spans="21:23" x14ac:dyDescent="0.2">
      <c r="U1163" s="616"/>
      <c r="W1163" s="620" t="e">
        <f t="shared" si="46"/>
        <v>#DIV/0!</v>
      </c>
    </row>
    <row r="1164" spans="21:23" x14ac:dyDescent="0.2">
      <c r="U1164" s="616"/>
      <c r="W1164" s="620" t="e">
        <f t="shared" si="46"/>
        <v>#DIV/0!</v>
      </c>
    </row>
    <row r="1165" spans="21:23" x14ac:dyDescent="0.2">
      <c r="U1165" s="616"/>
      <c r="W1165" s="620" t="e">
        <f t="shared" si="46"/>
        <v>#DIV/0!</v>
      </c>
    </row>
    <row r="1166" spans="21:23" x14ac:dyDescent="0.2">
      <c r="U1166" s="616"/>
      <c r="W1166" s="620" t="e">
        <f t="shared" si="46"/>
        <v>#DIV/0!</v>
      </c>
    </row>
    <row r="1167" spans="21:23" x14ac:dyDescent="0.2">
      <c r="U1167" s="616"/>
      <c r="W1167" s="620" t="e">
        <f t="shared" si="46"/>
        <v>#DIV/0!</v>
      </c>
    </row>
    <row r="1168" spans="21:23" x14ac:dyDescent="0.2">
      <c r="U1168" s="616"/>
      <c r="W1168" s="620" t="e">
        <f t="shared" si="46"/>
        <v>#DIV/0!</v>
      </c>
    </row>
    <row r="1169" spans="21:23" x14ac:dyDescent="0.2">
      <c r="U1169" s="616"/>
      <c r="W1169" s="620" t="e">
        <f t="shared" si="46"/>
        <v>#DIV/0!</v>
      </c>
    </row>
    <row r="1170" spans="21:23" x14ac:dyDescent="0.2">
      <c r="U1170" s="616"/>
      <c r="W1170" s="620" t="e">
        <f t="shared" si="46"/>
        <v>#DIV/0!</v>
      </c>
    </row>
    <row r="1171" spans="21:23" x14ac:dyDescent="0.2">
      <c r="U1171" s="616"/>
      <c r="W1171" s="620" t="e">
        <f t="shared" si="46"/>
        <v>#DIV/0!</v>
      </c>
    </row>
    <row r="1172" spans="21:23" x14ac:dyDescent="0.2">
      <c r="U1172" s="616"/>
      <c r="W1172" s="620" t="e">
        <f t="shared" si="46"/>
        <v>#DIV/0!</v>
      </c>
    </row>
    <row r="1173" spans="21:23" x14ac:dyDescent="0.2">
      <c r="U1173" s="616"/>
      <c r="W1173" s="620" t="e">
        <f t="shared" si="46"/>
        <v>#DIV/0!</v>
      </c>
    </row>
    <row r="1174" spans="21:23" x14ac:dyDescent="0.2">
      <c r="U1174" s="616"/>
      <c r="W1174" s="620" t="e">
        <f t="shared" si="46"/>
        <v>#DIV/0!</v>
      </c>
    </row>
    <row r="1175" spans="21:23" x14ac:dyDescent="0.2">
      <c r="U1175" s="616"/>
      <c r="W1175" s="620" t="e">
        <f t="shared" si="46"/>
        <v>#DIV/0!</v>
      </c>
    </row>
    <row r="1176" spans="21:23" x14ac:dyDescent="0.2">
      <c r="U1176" s="616"/>
      <c r="W1176" s="620" t="e">
        <f t="shared" si="46"/>
        <v>#DIV/0!</v>
      </c>
    </row>
    <row r="1177" spans="21:23" x14ac:dyDescent="0.2">
      <c r="U1177" s="616"/>
      <c r="W1177" s="620" t="e">
        <f t="shared" si="46"/>
        <v>#DIV/0!</v>
      </c>
    </row>
    <row r="1178" spans="21:23" x14ac:dyDescent="0.2">
      <c r="U1178" s="616"/>
      <c r="W1178" s="620" t="e">
        <f t="shared" si="46"/>
        <v>#DIV/0!</v>
      </c>
    </row>
    <row r="1179" spans="21:23" x14ac:dyDescent="0.2">
      <c r="U1179" s="616"/>
      <c r="W1179" s="620" t="e">
        <f t="shared" si="46"/>
        <v>#DIV/0!</v>
      </c>
    </row>
    <row r="1180" spans="21:23" x14ac:dyDescent="0.2">
      <c r="U1180" s="616"/>
      <c r="W1180" s="620" t="e">
        <f t="shared" si="46"/>
        <v>#DIV/0!</v>
      </c>
    </row>
    <row r="1181" spans="21:23" x14ac:dyDescent="0.2">
      <c r="U1181" s="616"/>
      <c r="W1181" s="620" t="e">
        <f t="shared" si="46"/>
        <v>#DIV/0!</v>
      </c>
    </row>
    <row r="1182" spans="21:23" x14ac:dyDescent="0.2">
      <c r="U1182" s="616"/>
      <c r="W1182" s="620" t="e">
        <f t="shared" si="46"/>
        <v>#DIV/0!</v>
      </c>
    </row>
    <row r="1183" spans="21:23" x14ac:dyDescent="0.2">
      <c r="U1183" s="616"/>
      <c r="W1183" s="620" t="e">
        <f t="shared" si="46"/>
        <v>#DIV/0!</v>
      </c>
    </row>
    <row r="1184" spans="21:23" x14ac:dyDescent="0.2">
      <c r="U1184" s="616"/>
      <c r="W1184" s="620" t="e">
        <f t="shared" si="46"/>
        <v>#DIV/0!</v>
      </c>
    </row>
    <row r="1185" spans="21:23" x14ac:dyDescent="0.2">
      <c r="U1185" s="616"/>
      <c r="W1185" s="620" t="e">
        <f t="shared" si="46"/>
        <v>#DIV/0!</v>
      </c>
    </row>
    <row r="1186" spans="21:23" x14ac:dyDescent="0.2">
      <c r="U1186" s="616"/>
      <c r="W1186" s="620" t="e">
        <f t="shared" si="46"/>
        <v>#DIV/0!</v>
      </c>
    </row>
    <row r="1187" spans="21:23" x14ac:dyDescent="0.2">
      <c r="U1187" s="616"/>
      <c r="W1187" s="620" t="e">
        <f t="shared" si="46"/>
        <v>#DIV/0!</v>
      </c>
    </row>
    <row r="1188" spans="21:23" x14ac:dyDescent="0.2">
      <c r="U1188" s="616"/>
      <c r="W1188" s="620" t="e">
        <f t="shared" si="46"/>
        <v>#DIV/0!</v>
      </c>
    </row>
    <row r="1189" spans="21:23" x14ac:dyDescent="0.2">
      <c r="U1189" s="616"/>
      <c r="W1189" s="620" t="e">
        <f t="shared" si="46"/>
        <v>#DIV/0!</v>
      </c>
    </row>
    <row r="1190" spans="21:23" x14ac:dyDescent="0.2">
      <c r="U1190" s="616"/>
      <c r="W1190" s="620" t="e">
        <f t="shared" si="46"/>
        <v>#DIV/0!</v>
      </c>
    </row>
    <row r="1191" spans="21:23" x14ac:dyDescent="0.2">
      <c r="U1191" s="616"/>
      <c r="W1191" s="620" t="e">
        <f t="shared" si="46"/>
        <v>#DIV/0!</v>
      </c>
    </row>
    <row r="1192" spans="21:23" x14ac:dyDescent="0.2">
      <c r="U1192" s="616"/>
      <c r="W1192" s="620" t="e">
        <f t="shared" si="46"/>
        <v>#DIV/0!</v>
      </c>
    </row>
    <row r="1193" spans="21:23" x14ac:dyDescent="0.2">
      <c r="U1193" s="616"/>
      <c r="W1193" s="620" t="e">
        <f t="shared" si="46"/>
        <v>#DIV/0!</v>
      </c>
    </row>
    <row r="1194" spans="21:23" x14ac:dyDescent="0.2">
      <c r="U1194" s="616"/>
      <c r="W1194" s="620" t="e">
        <f t="shared" si="46"/>
        <v>#DIV/0!</v>
      </c>
    </row>
    <row r="1195" spans="21:23" x14ac:dyDescent="0.2">
      <c r="U1195" s="616"/>
      <c r="W1195" s="620" t="e">
        <f t="shared" si="46"/>
        <v>#DIV/0!</v>
      </c>
    </row>
    <row r="1196" spans="21:23" x14ac:dyDescent="0.2">
      <c r="U1196" s="616"/>
      <c r="W1196" s="620" t="e">
        <f t="shared" si="46"/>
        <v>#DIV/0!</v>
      </c>
    </row>
    <row r="1197" spans="21:23" x14ac:dyDescent="0.2">
      <c r="U1197" s="616"/>
      <c r="W1197" s="620" t="e">
        <f t="shared" si="46"/>
        <v>#DIV/0!</v>
      </c>
    </row>
    <row r="1198" spans="21:23" x14ac:dyDescent="0.2">
      <c r="U1198" s="616"/>
      <c r="W1198" s="620" t="e">
        <f t="shared" si="46"/>
        <v>#DIV/0!</v>
      </c>
    </row>
    <row r="1199" spans="21:23" x14ac:dyDescent="0.2">
      <c r="U1199" s="616"/>
      <c r="W1199" s="620" t="e">
        <f t="shared" si="46"/>
        <v>#DIV/0!</v>
      </c>
    </row>
    <row r="1200" spans="21:23" x14ac:dyDescent="0.2">
      <c r="U1200" s="616"/>
      <c r="W1200" s="620" t="e">
        <f t="shared" si="46"/>
        <v>#DIV/0!</v>
      </c>
    </row>
    <row r="1201" spans="21:23" x14ac:dyDescent="0.2">
      <c r="U1201" s="616"/>
      <c r="W1201" s="620" t="e">
        <f t="shared" si="46"/>
        <v>#DIV/0!</v>
      </c>
    </row>
    <row r="1202" spans="21:23" x14ac:dyDescent="0.2">
      <c r="U1202" s="616"/>
      <c r="W1202" s="620" t="e">
        <f t="shared" si="46"/>
        <v>#DIV/0!</v>
      </c>
    </row>
    <row r="1203" spans="21:23" x14ac:dyDescent="0.2">
      <c r="U1203" s="616"/>
      <c r="W1203" s="620" t="e">
        <f t="shared" si="46"/>
        <v>#DIV/0!</v>
      </c>
    </row>
    <row r="1204" spans="21:23" x14ac:dyDescent="0.2">
      <c r="U1204" s="616"/>
      <c r="W1204" s="620" t="e">
        <f t="shared" si="46"/>
        <v>#DIV/0!</v>
      </c>
    </row>
    <row r="1205" spans="21:23" x14ac:dyDescent="0.2">
      <c r="U1205" s="616"/>
      <c r="W1205" s="620" t="e">
        <f t="shared" si="46"/>
        <v>#DIV/0!</v>
      </c>
    </row>
    <row r="1206" spans="21:23" x14ac:dyDescent="0.2">
      <c r="U1206" s="616"/>
      <c r="W1206" s="620" t="e">
        <f t="shared" si="46"/>
        <v>#DIV/0!</v>
      </c>
    </row>
    <row r="1207" spans="21:23" x14ac:dyDescent="0.2">
      <c r="U1207" s="616"/>
      <c r="W1207" s="620" t="e">
        <f t="shared" si="46"/>
        <v>#DIV/0!</v>
      </c>
    </row>
    <row r="1208" spans="21:23" x14ac:dyDescent="0.2">
      <c r="U1208" s="616"/>
      <c r="W1208" s="620" t="e">
        <f t="shared" si="46"/>
        <v>#DIV/0!</v>
      </c>
    </row>
    <row r="1209" spans="21:23" x14ac:dyDescent="0.2">
      <c r="U1209" s="616"/>
      <c r="W1209" s="620" t="e">
        <f t="shared" si="46"/>
        <v>#DIV/0!</v>
      </c>
    </row>
    <row r="1210" spans="21:23" x14ac:dyDescent="0.2">
      <c r="U1210" s="616"/>
      <c r="W1210" s="620" t="e">
        <f t="shared" si="46"/>
        <v>#DIV/0!</v>
      </c>
    </row>
    <row r="1211" spans="21:23" x14ac:dyDescent="0.2">
      <c r="U1211" s="616"/>
      <c r="W1211" s="620" t="e">
        <f t="shared" si="46"/>
        <v>#DIV/0!</v>
      </c>
    </row>
    <row r="1212" spans="21:23" x14ac:dyDescent="0.2">
      <c r="U1212" s="616"/>
      <c r="W1212" s="620" t="e">
        <f t="shared" si="46"/>
        <v>#DIV/0!</v>
      </c>
    </row>
    <row r="1213" spans="21:23" x14ac:dyDescent="0.2">
      <c r="U1213" s="616"/>
      <c r="W1213" s="620" t="e">
        <f t="shared" si="46"/>
        <v>#DIV/0!</v>
      </c>
    </row>
    <row r="1214" spans="21:23" x14ac:dyDescent="0.2">
      <c r="U1214" s="616"/>
      <c r="W1214" s="620" t="e">
        <f t="shared" si="46"/>
        <v>#DIV/0!</v>
      </c>
    </row>
    <row r="1215" spans="21:23" x14ac:dyDescent="0.2">
      <c r="U1215" s="616"/>
      <c r="W1215" s="620" t="e">
        <f t="shared" si="46"/>
        <v>#DIV/0!</v>
      </c>
    </row>
    <row r="1216" spans="21:23" x14ac:dyDescent="0.2">
      <c r="U1216" s="616"/>
      <c r="W1216" s="620" t="e">
        <f t="shared" si="46"/>
        <v>#DIV/0!</v>
      </c>
    </row>
    <row r="1217" spans="21:23" x14ac:dyDescent="0.2">
      <c r="U1217" s="616"/>
      <c r="W1217" s="620" t="e">
        <f t="shared" si="46"/>
        <v>#DIV/0!</v>
      </c>
    </row>
    <row r="1218" spans="21:23" x14ac:dyDescent="0.2">
      <c r="U1218" s="616"/>
      <c r="W1218" s="620" t="e">
        <f t="shared" si="46"/>
        <v>#DIV/0!</v>
      </c>
    </row>
    <row r="1219" spans="21:23" x14ac:dyDescent="0.2">
      <c r="U1219" s="616"/>
      <c r="W1219" s="620" t="e">
        <f t="shared" si="46"/>
        <v>#DIV/0!</v>
      </c>
    </row>
    <row r="1220" spans="21:23" x14ac:dyDescent="0.2">
      <c r="U1220" s="616"/>
      <c r="W1220" s="620" t="e">
        <f t="shared" ref="W1220:W1283" si="47">AVERAGE($V$4:$V$2517)</f>
        <v>#DIV/0!</v>
      </c>
    </row>
    <row r="1221" spans="21:23" x14ac:dyDescent="0.2">
      <c r="U1221" s="616"/>
      <c r="W1221" s="620" t="e">
        <f t="shared" si="47"/>
        <v>#DIV/0!</v>
      </c>
    </row>
    <row r="1222" spans="21:23" x14ac:dyDescent="0.2">
      <c r="U1222" s="616"/>
      <c r="W1222" s="620" t="e">
        <f t="shared" si="47"/>
        <v>#DIV/0!</v>
      </c>
    </row>
    <row r="1223" spans="21:23" x14ac:dyDescent="0.2">
      <c r="U1223" s="616"/>
      <c r="W1223" s="620" t="e">
        <f t="shared" si="47"/>
        <v>#DIV/0!</v>
      </c>
    </row>
    <row r="1224" spans="21:23" x14ac:dyDescent="0.2">
      <c r="U1224" s="616"/>
      <c r="W1224" s="620" t="e">
        <f t="shared" si="47"/>
        <v>#DIV/0!</v>
      </c>
    </row>
    <row r="1225" spans="21:23" x14ac:dyDescent="0.2">
      <c r="U1225" s="616"/>
      <c r="W1225" s="620" t="e">
        <f t="shared" si="47"/>
        <v>#DIV/0!</v>
      </c>
    </row>
    <row r="1226" spans="21:23" x14ac:dyDescent="0.2">
      <c r="U1226" s="616"/>
      <c r="W1226" s="620" t="e">
        <f t="shared" si="47"/>
        <v>#DIV/0!</v>
      </c>
    </row>
    <row r="1227" spans="21:23" x14ac:dyDescent="0.2">
      <c r="U1227" s="616"/>
      <c r="W1227" s="620" t="e">
        <f t="shared" si="47"/>
        <v>#DIV/0!</v>
      </c>
    </row>
    <row r="1228" spans="21:23" x14ac:dyDescent="0.2">
      <c r="U1228" s="616"/>
      <c r="W1228" s="620" t="e">
        <f t="shared" si="47"/>
        <v>#DIV/0!</v>
      </c>
    </row>
    <row r="1229" spans="21:23" x14ac:dyDescent="0.2">
      <c r="U1229" s="616"/>
      <c r="W1229" s="620" t="e">
        <f t="shared" si="47"/>
        <v>#DIV/0!</v>
      </c>
    </row>
    <row r="1230" spans="21:23" x14ac:dyDescent="0.2">
      <c r="U1230" s="616"/>
      <c r="W1230" s="620" t="e">
        <f t="shared" si="47"/>
        <v>#DIV/0!</v>
      </c>
    </row>
    <row r="1231" spans="21:23" x14ac:dyDescent="0.2">
      <c r="U1231" s="616"/>
      <c r="W1231" s="620" t="e">
        <f t="shared" si="47"/>
        <v>#DIV/0!</v>
      </c>
    </row>
    <row r="1232" spans="21:23" x14ac:dyDescent="0.2">
      <c r="U1232" s="616"/>
      <c r="W1232" s="620" t="e">
        <f t="shared" si="47"/>
        <v>#DIV/0!</v>
      </c>
    </row>
    <row r="1233" spans="21:23" x14ac:dyDescent="0.2">
      <c r="U1233" s="616"/>
      <c r="W1233" s="620" t="e">
        <f t="shared" si="47"/>
        <v>#DIV/0!</v>
      </c>
    </row>
    <row r="1234" spans="21:23" x14ac:dyDescent="0.2">
      <c r="U1234" s="616"/>
      <c r="W1234" s="620" t="e">
        <f t="shared" si="47"/>
        <v>#DIV/0!</v>
      </c>
    </row>
    <row r="1235" spans="21:23" x14ac:dyDescent="0.2">
      <c r="U1235" s="616"/>
      <c r="W1235" s="620" t="e">
        <f t="shared" si="47"/>
        <v>#DIV/0!</v>
      </c>
    </row>
    <row r="1236" spans="21:23" x14ac:dyDescent="0.2">
      <c r="U1236" s="616"/>
      <c r="W1236" s="620" t="e">
        <f t="shared" si="47"/>
        <v>#DIV/0!</v>
      </c>
    </row>
    <row r="1237" spans="21:23" x14ac:dyDescent="0.2">
      <c r="U1237" s="616"/>
      <c r="W1237" s="620" t="e">
        <f t="shared" si="47"/>
        <v>#DIV/0!</v>
      </c>
    </row>
    <row r="1238" spans="21:23" x14ac:dyDescent="0.2">
      <c r="U1238" s="616"/>
      <c r="W1238" s="620" t="e">
        <f t="shared" si="47"/>
        <v>#DIV/0!</v>
      </c>
    </row>
    <row r="1239" spans="21:23" x14ac:dyDescent="0.2">
      <c r="U1239" s="616"/>
      <c r="W1239" s="620" t="e">
        <f t="shared" si="47"/>
        <v>#DIV/0!</v>
      </c>
    </row>
    <row r="1240" spans="21:23" x14ac:dyDescent="0.2">
      <c r="U1240" s="616"/>
      <c r="W1240" s="620" t="e">
        <f t="shared" si="47"/>
        <v>#DIV/0!</v>
      </c>
    </row>
    <row r="1241" spans="21:23" x14ac:dyDescent="0.2">
      <c r="U1241" s="616"/>
      <c r="W1241" s="620" t="e">
        <f t="shared" si="47"/>
        <v>#DIV/0!</v>
      </c>
    </row>
    <row r="1242" spans="21:23" x14ac:dyDescent="0.2">
      <c r="U1242" s="616"/>
      <c r="W1242" s="620" t="e">
        <f t="shared" si="47"/>
        <v>#DIV/0!</v>
      </c>
    </row>
    <row r="1243" spans="21:23" x14ac:dyDescent="0.2">
      <c r="U1243" s="616"/>
      <c r="W1243" s="620" t="e">
        <f t="shared" si="47"/>
        <v>#DIV/0!</v>
      </c>
    </row>
    <row r="1244" spans="21:23" x14ac:dyDescent="0.2">
      <c r="U1244" s="616"/>
      <c r="W1244" s="620" t="e">
        <f t="shared" si="47"/>
        <v>#DIV/0!</v>
      </c>
    </row>
    <row r="1245" spans="21:23" x14ac:dyDescent="0.2">
      <c r="U1245" s="616"/>
      <c r="W1245" s="620" t="e">
        <f t="shared" si="47"/>
        <v>#DIV/0!</v>
      </c>
    </row>
    <row r="1246" spans="21:23" x14ac:dyDescent="0.2">
      <c r="U1246" s="616"/>
      <c r="W1246" s="620" t="e">
        <f t="shared" si="47"/>
        <v>#DIV/0!</v>
      </c>
    </row>
    <row r="1247" spans="21:23" x14ac:dyDescent="0.2">
      <c r="U1247" s="616"/>
      <c r="W1247" s="620" t="e">
        <f t="shared" si="47"/>
        <v>#DIV/0!</v>
      </c>
    </row>
    <row r="1248" spans="21:23" x14ac:dyDescent="0.2">
      <c r="U1248" s="616"/>
      <c r="W1248" s="620" t="e">
        <f t="shared" si="47"/>
        <v>#DIV/0!</v>
      </c>
    </row>
    <row r="1249" spans="21:23" x14ac:dyDescent="0.2">
      <c r="U1249" s="616"/>
      <c r="W1249" s="620" t="e">
        <f t="shared" si="47"/>
        <v>#DIV/0!</v>
      </c>
    </row>
    <row r="1250" spans="21:23" x14ac:dyDescent="0.2">
      <c r="U1250" s="616"/>
      <c r="W1250" s="620" t="e">
        <f t="shared" si="47"/>
        <v>#DIV/0!</v>
      </c>
    </row>
    <row r="1251" spans="21:23" x14ac:dyDescent="0.2">
      <c r="U1251" s="616"/>
      <c r="W1251" s="620" t="e">
        <f t="shared" si="47"/>
        <v>#DIV/0!</v>
      </c>
    </row>
    <row r="1252" spans="21:23" x14ac:dyDescent="0.2">
      <c r="U1252" s="616"/>
      <c r="W1252" s="620" t="e">
        <f t="shared" si="47"/>
        <v>#DIV/0!</v>
      </c>
    </row>
    <row r="1253" spans="21:23" x14ac:dyDescent="0.2">
      <c r="U1253" s="616"/>
      <c r="W1253" s="620" t="e">
        <f t="shared" si="47"/>
        <v>#DIV/0!</v>
      </c>
    </row>
    <row r="1254" spans="21:23" x14ac:dyDescent="0.2">
      <c r="U1254" s="616"/>
      <c r="W1254" s="620" t="e">
        <f t="shared" si="47"/>
        <v>#DIV/0!</v>
      </c>
    </row>
    <row r="1255" spans="21:23" x14ac:dyDescent="0.2">
      <c r="U1255" s="616"/>
      <c r="W1255" s="620" t="e">
        <f t="shared" si="47"/>
        <v>#DIV/0!</v>
      </c>
    </row>
    <row r="1256" spans="21:23" x14ac:dyDescent="0.2">
      <c r="U1256" s="616"/>
      <c r="W1256" s="620" t="e">
        <f t="shared" si="47"/>
        <v>#DIV/0!</v>
      </c>
    </row>
    <row r="1257" spans="21:23" x14ac:dyDescent="0.2">
      <c r="U1257" s="616"/>
      <c r="W1257" s="620" t="e">
        <f t="shared" si="47"/>
        <v>#DIV/0!</v>
      </c>
    </row>
    <row r="1258" spans="21:23" x14ac:dyDescent="0.2">
      <c r="U1258" s="616"/>
      <c r="W1258" s="620" t="e">
        <f t="shared" si="47"/>
        <v>#DIV/0!</v>
      </c>
    </row>
    <row r="1259" spans="21:23" x14ac:dyDescent="0.2">
      <c r="U1259" s="616"/>
      <c r="W1259" s="620" t="e">
        <f t="shared" si="47"/>
        <v>#DIV/0!</v>
      </c>
    </row>
    <row r="1260" spans="21:23" x14ac:dyDescent="0.2">
      <c r="U1260" s="616"/>
      <c r="W1260" s="620" t="e">
        <f t="shared" si="47"/>
        <v>#DIV/0!</v>
      </c>
    </row>
    <row r="1261" spans="21:23" x14ac:dyDescent="0.2">
      <c r="U1261" s="616"/>
      <c r="W1261" s="620" t="e">
        <f t="shared" si="47"/>
        <v>#DIV/0!</v>
      </c>
    </row>
    <row r="1262" spans="21:23" x14ac:dyDescent="0.2">
      <c r="U1262" s="616"/>
      <c r="W1262" s="620" t="e">
        <f t="shared" si="47"/>
        <v>#DIV/0!</v>
      </c>
    </row>
    <row r="1263" spans="21:23" x14ac:dyDescent="0.2">
      <c r="U1263" s="616"/>
      <c r="W1263" s="620" t="e">
        <f t="shared" si="47"/>
        <v>#DIV/0!</v>
      </c>
    </row>
    <row r="1264" spans="21:23" x14ac:dyDescent="0.2">
      <c r="U1264" s="616"/>
      <c r="W1264" s="620" t="e">
        <f t="shared" si="47"/>
        <v>#DIV/0!</v>
      </c>
    </row>
    <row r="1265" spans="21:23" x14ac:dyDescent="0.2">
      <c r="U1265" s="616"/>
      <c r="W1265" s="620" t="e">
        <f t="shared" si="47"/>
        <v>#DIV/0!</v>
      </c>
    </row>
    <row r="1266" spans="21:23" x14ac:dyDescent="0.2">
      <c r="U1266" s="616"/>
      <c r="W1266" s="620" t="e">
        <f t="shared" si="47"/>
        <v>#DIV/0!</v>
      </c>
    </row>
    <row r="1267" spans="21:23" x14ac:dyDescent="0.2">
      <c r="U1267" s="616"/>
      <c r="W1267" s="620" t="e">
        <f t="shared" si="47"/>
        <v>#DIV/0!</v>
      </c>
    </row>
    <row r="1268" spans="21:23" x14ac:dyDescent="0.2">
      <c r="U1268" s="616"/>
      <c r="W1268" s="620" t="e">
        <f t="shared" si="47"/>
        <v>#DIV/0!</v>
      </c>
    </row>
    <row r="1269" spans="21:23" x14ac:dyDescent="0.2">
      <c r="U1269" s="616"/>
      <c r="W1269" s="620" t="e">
        <f t="shared" si="47"/>
        <v>#DIV/0!</v>
      </c>
    </row>
    <row r="1270" spans="21:23" x14ac:dyDescent="0.2">
      <c r="U1270" s="616"/>
      <c r="W1270" s="620" t="e">
        <f t="shared" si="47"/>
        <v>#DIV/0!</v>
      </c>
    </row>
    <row r="1271" spans="21:23" x14ac:dyDescent="0.2">
      <c r="U1271" s="616"/>
      <c r="W1271" s="620" t="e">
        <f t="shared" si="47"/>
        <v>#DIV/0!</v>
      </c>
    </row>
    <row r="1272" spans="21:23" x14ac:dyDescent="0.2">
      <c r="U1272" s="616"/>
      <c r="W1272" s="620" t="e">
        <f t="shared" si="47"/>
        <v>#DIV/0!</v>
      </c>
    </row>
    <row r="1273" spans="21:23" x14ac:dyDescent="0.2">
      <c r="U1273" s="616"/>
      <c r="W1273" s="620" t="e">
        <f t="shared" si="47"/>
        <v>#DIV/0!</v>
      </c>
    </row>
    <row r="1274" spans="21:23" x14ac:dyDescent="0.2">
      <c r="U1274" s="616"/>
      <c r="W1274" s="620" t="e">
        <f t="shared" si="47"/>
        <v>#DIV/0!</v>
      </c>
    </row>
    <row r="1275" spans="21:23" x14ac:dyDescent="0.2">
      <c r="U1275" s="616"/>
      <c r="W1275" s="620" t="e">
        <f t="shared" si="47"/>
        <v>#DIV/0!</v>
      </c>
    </row>
    <row r="1276" spans="21:23" x14ac:dyDescent="0.2">
      <c r="U1276" s="616"/>
      <c r="W1276" s="620" t="e">
        <f t="shared" si="47"/>
        <v>#DIV/0!</v>
      </c>
    </row>
    <row r="1277" spans="21:23" x14ac:dyDescent="0.2">
      <c r="U1277" s="616"/>
      <c r="W1277" s="620" t="e">
        <f t="shared" si="47"/>
        <v>#DIV/0!</v>
      </c>
    </row>
    <row r="1278" spans="21:23" x14ac:dyDescent="0.2">
      <c r="U1278" s="616"/>
      <c r="W1278" s="620" t="e">
        <f t="shared" si="47"/>
        <v>#DIV/0!</v>
      </c>
    </row>
    <row r="1279" spans="21:23" x14ac:dyDescent="0.2">
      <c r="U1279" s="616"/>
      <c r="W1279" s="620" t="e">
        <f t="shared" si="47"/>
        <v>#DIV/0!</v>
      </c>
    </row>
    <row r="1280" spans="21:23" x14ac:dyDescent="0.2">
      <c r="U1280" s="616"/>
      <c r="W1280" s="620" t="e">
        <f t="shared" si="47"/>
        <v>#DIV/0!</v>
      </c>
    </row>
    <row r="1281" spans="21:23" x14ac:dyDescent="0.2">
      <c r="U1281" s="616"/>
      <c r="W1281" s="620" t="e">
        <f t="shared" si="47"/>
        <v>#DIV/0!</v>
      </c>
    </row>
    <row r="1282" spans="21:23" x14ac:dyDescent="0.2">
      <c r="U1282" s="616"/>
      <c r="W1282" s="620" t="e">
        <f t="shared" si="47"/>
        <v>#DIV/0!</v>
      </c>
    </row>
    <row r="1283" spans="21:23" x14ac:dyDescent="0.2">
      <c r="U1283" s="616"/>
      <c r="W1283" s="620" t="e">
        <f t="shared" si="47"/>
        <v>#DIV/0!</v>
      </c>
    </row>
    <row r="1284" spans="21:23" x14ac:dyDescent="0.2">
      <c r="U1284" s="616"/>
      <c r="W1284" s="620" t="e">
        <f t="shared" ref="W1284:W1347" si="48">AVERAGE($V$4:$V$2517)</f>
        <v>#DIV/0!</v>
      </c>
    </row>
    <row r="1285" spans="21:23" x14ac:dyDescent="0.2">
      <c r="U1285" s="616"/>
      <c r="W1285" s="620" t="e">
        <f t="shared" si="48"/>
        <v>#DIV/0!</v>
      </c>
    </row>
    <row r="1286" spans="21:23" x14ac:dyDescent="0.2">
      <c r="U1286" s="616"/>
      <c r="W1286" s="620" t="e">
        <f t="shared" si="48"/>
        <v>#DIV/0!</v>
      </c>
    </row>
    <row r="1287" spans="21:23" x14ac:dyDescent="0.2">
      <c r="U1287" s="616"/>
      <c r="W1287" s="620" t="e">
        <f t="shared" si="48"/>
        <v>#DIV/0!</v>
      </c>
    </row>
    <row r="1288" spans="21:23" x14ac:dyDescent="0.2">
      <c r="U1288" s="616"/>
      <c r="W1288" s="620" t="e">
        <f t="shared" si="48"/>
        <v>#DIV/0!</v>
      </c>
    </row>
    <row r="1289" spans="21:23" x14ac:dyDescent="0.2">
      <c r="U1289" s="616"/>
      <c r="W1289" s="620" t="e">
        <f t="shared" si="48"/>
        <v>#DIV/0!</v>
      </c>
    </row>
    <row r="1290" spans="21:23" x14ac:dyDescent="0.2">
      <c r="U1290" s="616"/>
      <c r="W1290" s="620" t="e">
        <f t="shared" si="48"/>
        <v>#DIV/0!</v>
      </c>
    </row>
    <row r="1291" spans="21:23" x14ac:dyDescent="0.2">
      <c r="U1291" s="616"/>
      <c r="W1291" s="620" t="e">
        <f t="shared" si="48"/>
        <v>#DIV/0!</v>
      </c>
    </row>
    <row r="1292" spans="21:23" x14ac:dyDescent="0.2">
      <c r="U1292" s="616"/>
      <c r="W1292" s="620" t="e">
        <f t="shared" si="48"/>
        <v>#DIV/0!</v>
      </c>
    </row>
    <row r="1293" spans="21:23" x14ac:dyDescent="0.2">
      <c r="U1293" s="616"/>
      <c r="W1293" s="620" t="e">
        <f t="shared" si="48"/>
        <v>#DIV/0!</v>
      </c>
    </row>
    <row r="1294" spans="21:23" x14ac:dyDescent="0.2">
      <c r="U1294" s="616"/>
      <c r="W1294" s="620" t="e">
        <f t="shared" si="48"/>
        <v>#DIV/0!</v>
      </c>
    </row>
    <row r="1295" spans="21:23" x14ac:dyDescent="0.2">
      <c r="U1295" s="616"/>
      <c r="W1295" s="620" t="e">
        <f t="shared" si="48"/>
        <v>#DIV/0!</v>
      </c>
    </row>
    <row r="1296" spans="21:23" x14ac:dyDescent="0.2">
      <c r="U1296" s="616"/>
      <c r="W1296" s="620" t="e">
        <f t="shared" si="48"/>
        <v>#DIV/0!</v>
      </c>
    </row>
    <row r="1297" spans="21:23" x14ac:dyDescent="0.2">
      <c r="U1297" s="616"/>
      <c r="W1297" s="620" t="e">
        <f t="shared" si="48"/>
        <v>#DIV/0!</v>
      </c>
    </row>
    <row r="1298" spans="21:23" x14ac:dyDescent="0.2">
      <c r="U1298" s="616"/>
      <c r="W1298" s="620" t="e">
        <f t="shared" si="48"/>
        <v>#DIV/0!</v>
      </c>
    </row>
    <row r="1299" spans="21:23" x14ac:dyDescent="0.2">
      <c r="U1299" s="616"/>
      <c r="W1299" s="620" t="e">
        <f t="shared" si="48"/>
        <v>#DIV/0!</v>
      </c>
    </row>
    <row r="1300" spans="21:23" x14ac:dyDescent="0.2">
      <c r="U1300" s="616"/>
      <c r="W1300" s="620" t="e">
        <f t="shared" si="48"/>
        <v>#DIV/0!</v>
      </c>
    </row>
    <row r="1301" spans="21:23" x14ac:dyDescent="0.2">
      <c r="U1301" s="616"/>
      <c r="W1301" s="620" t="e">
        <f t="shared" si="48"/>
        <v>#DIV/0!</v>
      </c>
    </row>
    <row r="1302" spans="21:23" x14ac:dyDescent="0.2">
      <c r="U1302" s="616"/>
      <c r="W1302" s="620" t="e">
        <f t="shared" si="48"/>
        <v>#DIV/0!</v>
      </c>
    </row>
    <row r="1303" spans="21:23" x14ac:dyDescent="0.2">
      <c r="U1303" s="616"/>
      <c r="W1303" s="620" t="e">
        <f t="shared" si="48"/>
        <v>#DIV/0!</v>
      </c>
    </row>
    <row r="1304" spans="21:23" x14ac:dyDescent="0.2">
      <c r="U1304" s="616"/>
      <c r="W1304" s="620" t="e">
        <f t="shared" si="48"/>
        <v>#DIV/0!</v>
      </c>
    </row>
    <row r="1305" spans="21:23" x14ac:dyDescent="0.2">
      <c r="U1305" s="616"/>
      <c r="W1305" s="620" t="e">
        <f t="shared" si="48"/>
        <v>#DIV/0!</v>
      </c>
    </row>
    <row r="1306" spans="21:23" x14ac:dyDescent="0.2">
      <c r="U1306" s="616"/>
      <c r="W1306" s="620" t="e">
        <f t="shared" si="48"/>
        <v>#DIV/0!</v>
      </c>
    </row>
    <row r="1307" spans="21:23" x14ac:dyDescent="0.2">
      <c r="U1307" s="616"/>
      <c r="W1307" s="620" t="e">
        <f t="shared" si="48"/>
        <v>#DIV/0!</v>
      </c>
    </row>
    <row r="1308" spans="21:23" x14ac:dyDescent="0.2">
      <c r="U1308" s="616"/>
      <c r="W1308" s="620" t="e">
        <f t="shared" si="48"/>
        <v>#DIV/0!</v>
      </c>
    </row>
    <row r="1309" spans="21:23" x14ac:dyDescent="0.2">
      <c r="U1309" s="616"/>
      <c r="W1309" s="620" t="e">
        <f t="shared" si="48"/>
        <v>#DIV/0!</v>
      </c>
    </row>
    <row r="1310" spans="21:23" x14ac:dyDescent="0.2">
      <c r="U1310" s="616"/>
      <c r="W1310" s="620" t="e">
        <f t="shared" si="48"/>
        <v>#DIV/0!</v>
      </c>
    </row>
    <row r="1311" spans="21:23" x14ac:dyDescent="0.2">
      <c r="U1311" s="616"/>
      <c r="W1311" s="620" t="e">
        <f t="shared" si="48"/>
        <v>#DIV/0!</v>
      </c>
    </row>
    <row r="1312" spans="21:23" x14ac:dyDescent="0.2">
      <c r="U1312" s="616"/>
      <c r="W1312" s="620" t="e">
        <f t="shared" si="48"/>
        <v>#DIV/0!</v>
      </c>
    </row>
    <row r="1313" spans="21:23" x14ac:dyDescent="0.2">
      <c r="U1313" s="616"/>
      <c r="W1313" s="620" t="e">
        <f t="shared" si="48"/>
        <v>#DIV/0!</v>
      </c>
    </row>
    <row r="1314" spans="21:23" x14ac:dyDescent="0.2">
      <c r="U1314" s="616"/>
      <c r="W1314" s="620" t="e">
        <f t="shared" si="48"/>
        <v>#DIV/0!</v>
      </c>
    </row>
    <row r="1315" spans="21:23" x14ac:dyDescent="0.2">
      <c r="U1315" s="616"/>
      <c r="W1315" s="620" t="e">
        <f t="shared" si="48"/>
        <v>#DIV/0!</v>
      </c>
    </row>
    <row r="1316" spans="21:23" x14ac:dyDescent="0.2">
      <c r="U1316" s="616"/>
      <c r="W1316" s="620" t="e">
        <f t="shared" si="48"/>
        <v>#DIV/0!</v>
      </c>
    </row>
    <row r="1317" spans="21:23" x14ac:dyDescent="0.2">
      <c r="U1317" s="616"/>
      <c r="W1317" s="620" t="e">
        <f t="shared" si="48"/>
        <v>#DIV/0!</v>
      </c>
    </row>
    <row r="1318" spans="21:23" x14ac:dyDescent="0.2">
      <c r="U1318" s="616"/>
      <c r="W1318" s="620" t="e">
        <f t="shared" si="48"/>
        <v>#DIV/0!</v>
      </c>
    </row>
    <row r="1319" spans="21:23" x14ac:dyDescent="0.2">
      <c r="U1319" s="616"/>
      <c r="W1319" s="620" t="e">
        <f t="shared" si="48"/>
        <v>#DIV/0!</v>
      </c>
    </row>
    <row r="1320" spans="21:23" x14ac:dyDescent="0.2">
      <c r="U1320" s="616"/>
      <c r="W1320" s="620" t="e">
        <f t="shared" si="48"/>
        <v>#DIV/0!</v>
      </c>
    </row>
    <row r="1321" spans="21:23" x14ac:dyDescent="0.2">
      <c r="U1321" s="616"/>
      <c r="W1321" s="620" t="e">
        <f t="shared" si="48"/>
        <v>#DIV/0!</v>
      </c>
    </row>
    <row r="1322" spans="21:23" x14ac:dyDescent="0.2">
      <c r="U1322" s="616"/>
      <c r="W1322" s="620" t="e">
        <f t="shared" si="48"/>
        <v>#DIV/0!</v>
      </c>
    </row>
    <row r="1323" spans="21:23" x14ac:dyDescent="0.2">
      <c r="U1323" s="616"/>
      <c r="W1323" s="620" t="e">
        <f t="shared" si="48"/>
        <v>#DIV/0!</v>
      </c>
    </row>
    <row r="1324" spans="21:23" x14ac:dyDescent="0.2">
      <c r="U1324" s="616"/>
      <c r="W1324" s="620" t="e">
        <f t="shared" si="48"/>
        <v>#DIV/0!</v>
      </c>
    </row>
    <row r="1325" spans="21:23" x14ac:dyDescent="0.2">
      <c r="U1325" s="616"/>
      <c r="W1325" s="620" t="e">
        <f t="shared" si="48"/>
        <v>#DIV/0!</v>
      </c>
    </row>
    <row r="1326" spans="21:23" x14ac:dyDescent="0.2">
      <c r="U1326" s="616"/>
      <c r="W1326" s="620" t="e">
        <f t="shared" si="48"/>
        <v>#DIV/0!</v>
      </c>
    </row>
    <row r="1327" spans="21:23" x14ac:dyDescent="0.2">
      <c r="U1327" s="616"/>
      <c r="W1327" s="620" t="e">
        <f t="shared" si="48"/>
        <v>#DIV/0!</v>
      </c>
    </row>
    <row r="1328" spans="21:23" x14ac:dyDescent="0.2">
      <c r="U1328" s="616"/>
      <c r="W1328" s="620" t="e">
        <f t="shared" si="48"/>
        <v>#DIV/0!</v>
      </c>
    </row>
    <row r="1329" spans="21:23" x14ac:dyDescent="0.2">
      <c r="U1329" s="616"/>
      <c r="W1329" s="620" t="e">
        <f t="shared" si="48"/>
        <v>#DIV/0!</v>
      </c>
    </row>
    <row r="1330" spans="21:23" x14ac:dyDescent="0.2">
      <c r="U1330" s="616"/>
      <c r="W1330" s="620" t="e">
        <f t="shared" si="48"/>
        <v>#DIV/0!</v>
      </c>
    </row>
    <row r="1331" spans="21:23" x14ac:dyDescent="0.2">
      <c r="U1331" s="616"/>
      <c r="W1331" s="620" t="e">
        <f t="shared" si="48"/>
        <v>#DIV/0!</v>
      </c>
    </row>
    <row r="1332" spans="21:23" x14ac:dyDescent="0.2">
      <c r="U1332" s="616"/>
      <c r="W1332" s="620" t="e">
        <f t="shared" si="48"/>
        <v>#DIV/0!</v>
      </c>
    </row>
    <row r="1333" spans="21:23" x14ac:dyDescent="0.2">
      <c r="U1333" s="616"/>
      <c r="W1333" s="620" t="e">
        <f t="shared" si="48"/>
        <v>#DIV/0!</v>
      </c>
    </row>
    <row r="1334" spans="21:23" x14ac:dyDescent="0.2">
      <c r="U1334" s="616"/>
      <c r="W1334" s="620" t="e">
        <f t="shared" si="48"/>
        <v>#DIV/0!</v>
      </c>
    </row>
    <row r="1335" spans="21:23" x14ac:dyDescent="0.2">
      <c r="U1335" s="616"/>
      <c r="W1335" s="620" t="e">
        <f t="shared" si="48"/>
        <v>#DIV/0!</v>
      </c>
    </row>
    <row r="1336" spans="21:23" x14ac:dyDescent="0.2">
      <c r="U1336" s="616"/>
      <c r="W1336" s="620" t="e">
        <f t="shared" si="48"/>
        <v>#DIV/0!</v>
      </c>
    </row>
    <row r="1337" spans="21:23" x14ac:dyDescent="0.2">
      <c r="U1337" s="616"/>
      <c r="W1337" s="620" t="e">
        <f t="shared" si="48"/>
        <v>#DIV/0!</v>
      </c>
    </row>
    <row r="1338" spans="21:23" x14ac:dyDescent="0.2">
      <c r="U1338" s="616"/>
      <c r="W1338" s="620" t="e">
        <f t="shared" si="48"/>
        <v>#DIV/0!</v>
      </c>
    </row>
    <row r="1339" spans="21:23" x14ac:dyDescent="0.2">
      <c r="U1339" s="616"/>
      <c r="W1339" s="620" t="e">
        <f t="shared" si="48"/>
        <v>#DIV/0!</v>
      </c>
    </row>
    <row r="1340" spans="21:23" x14ac:dyDescent="0.2">
      <c r="U1340" s="616"/>
      <c r="W1340" s="620" t="e">
        <f t="shared" si="48"/>
        <v>#DIV/0!</v>
      </c>
    </row>
    <row r="1341" spans="21:23" x14ac:dyDescent="0.2">
      <c r="U1341" s="616"/>
      <c r="W1341" s="620" t="e">
        <f t="shared" si="48"/>
        <v>#DIV/0!</v>
      </c>
    </row>
    <row r="1342" spans="21:23" x14ac:dyDescent="0.2">
      <c r="U1342" s="616"/>
      <c r="W1342" s="620" t="e">
        <f t="shared" si="48"/>
        <v>#DIV/0!</v>
      </c>
    </row>
    <row r="1343" spans="21:23" x14ac:dyDescent="0.2">
      <c r="U1343" s="616"/>
      <c r="W1343" s="620" t="e">
        <f t="shared" si="48"/>
        <v>#DIV/0!</v>
      </c>
    </row>
    <row r="1344" spans="21:23" x14ac:dyDescent="0.2">
      <c r="U1344" s="616"/>
      <c r="W1344" s="620" t="e">
        <f t="shared" si="48"/>
        <v>#DIV/0!</v>
      </c>
    </row>
    <row r="1345" spans="21:23" x14ac:dyDescent="0.2">
      <c r="U1345" s="616"/>
      <c r="W1345" s="620" t="e">
        <f t="shared" si="48"/>
        <v>#DIV/0!</v>
      </c>
    </row>
    <row r="1346" spans="21:23" x14ac:dyDescent="0.2">
      <c r="U1346" s="616"/>
      <c r="W1346" s="620" t="e">
        <f t="shared" si="48"/>
        <v>#DIV/0!</v>
      </c>
    </row>
    <row r="1347" spans="21:23" x14ac:dyDescent="0.2">
      <c r="U1347" s="616"/>
      <c r="W1347" s="620" t="e">
        <f t="shared" si="48"/>
        <v>#DIV/0!</v>
      </c>
    </row>
    <row r="1348" spans="21:23" x14ac:dyDescent="0.2">
      <c r="U1348" s="616"/>
      <c r="W1348" s="620" t="e">
        <f t="shared" ref="W1348:W1411" si="49">AVERAGE($V$4:$V$2517)</f>
        <v>#DIV/0!</v>
      </c>
    </row>
    <row r="1349" spans="21:23" x14ac:dyDescent="0.2">
      <c r="U1349" s="616"/>
      <c r="W1349" s="620" t="e">
        <f t="shared" si="49"/>
        <v>#DIV/0!</v>
      </c>
    </row>
    <row r="1350" spans="21:23" x14ac:dyDescent="0.2">
      <c r="U1350" s="616"/>
      <c r="W1350" s="620" t="e">
        <f t="shared" si="49"/>
        <v>#DIV/0!</v>
      </c>
    </row>
    <row r="1351" spans="21:23" x14ac:dyDescent="0.2">
      <c r="U1351" s="616"/>
      <c r="W1351" s="620" t="e">
        <f t="shared" si="49"/>
        <v>#DIV/0!</v>
      </c>
    </row>
    <row r="1352" spans="21:23" x14ac:dyDescent="0.2">
      <c r="U1352" s="616"/>
      <c r="W1352" s="620" t="e">
        <f t="shared" si="49"/>
        <v>#DIV/0!</v>
      </c>
    </row>
    <row r="1353" spans="21:23" x14ac:dyDescent="0.2">
      <c r="U1353" s="616"/>
      <c r="W1353" s="620" t="e">
        <f t="shared" si="49"/>
        <v>#DIV/0!</v>
      </c>
    </row>
    <row r="1354" spans="21:23" x14ac:dyDescent="0.2">
      <c r="U1354" s="616"/>
      <c r="W1354" s="620" t="e">
        <f t="shared" si="49"/>
        <v>#DIV/0!</v>
      </c>
    </row>
    <row r="1355" spans="21:23" x14ac:dyDescent="0.2">
      <c r="U1355" s="616"/>
      <c r="W1355" s="620" t="e">
        <f t="shared" si="49"/>
        <v>#DIV/0!</v>
      </c>
    </row>
    <row r="1356" spans="21:23" x14ac:dyDescent="0.2">
      <c r="U1356" s="616"/>
      <c r="W1356" s="620" t="e">
        <f t="shared" si="49"/>
        <v>#DIV/0!</v>
      </c>
    </row>
    <row r="1357" spans="21:23" x14ac:dyDescent="0.2">
      <c r="U1357" s="616"/>
      <c r="W1357" s="620" t="e">
        <f t="shared" si="49"/>
        <v>#DIV/0!</v>
      </c>
    </row>
    <row r="1358" spans="21:23" x14ac:dyDescent="0.2">
      <c r="U1358" s="616"/>
      <c r="W1358" s="620" t="e">
        <f t="shared" si="49"/>
        <v>#DIV/0!</v>
      </c>
    </row>
    <row r="1359" spans="21:23" x14ac:dyDescent="0.2">
      <c r="U1359" s="616"/>
      <c r="W1359" s="620" t="e">
        <f t="shared" si="49"/>
        <v>#DIV/0!</v>
      </c>
    </row>
    <row r="1360" spans="21:23" x14ac:dyDescent="0.2">
      <c r="U1360" s="616"/>
      <c r="W1360" s="620" t="e">
        <f t="shared" si="49"/>
        <v>#DIV/0!</v>
      </c>
    </row>
    <row r="1361" spans="21:23" x14ac:dyDescent="0.2">
      <c r="U1361" s="616"/>
      <c r="W1361" s="620" t="e">
        <f t="shared" si="49"/>
        <v>#DIV/0!</v>
      </c>
    </row>
    <row r="1362" spans="21:23" x14ac:dyDescent="0.2">
      <c r="U1362" s="616"/>
      <c r="W1362" s="620" t="e">
        <f t="shared" si="49"/>
        <v>#DIV/0!</v>
      </c>
    </row>
    <row r="1363" spans="21:23" x14ac:dyDescent="0.2">
      <c r="U1363" s="616"/>
      <c r="W1363" s="620" t="e">
        <f t="shared" si="49"/>
        <v>#DIV/0!</v>
      </c>
    </row>
    <row r="1364" spans="21:23" x14ac:dyDescent="0.2">
      <c r="U1364" s="616"/>
      <c r="W1364" s="620" t="e">
        <f t="shared" si="49"/>
        <v>#DIV/0!</v>
      </c>
    </row>
    <row r="1365" spans="21:23" x14ac:dyDescent="0.2">
      <c r="U1365" s="616"/>
      <c r="W1365" s="620" t="e">
        <f t="shared" si="49"/>
        <v>#DIV/0!</v>
      </c>
    </row>
    <row r="1366" spans="21:23" x14ac:dyDescent="0.2">
      <c r="U1366" s="616"/>
      <c r="W1366" s="620" t="e">
        <f t="shared" si="49"/>
        <v>#DIV/0!</v>
      </c>
    </row>
    <row r="1367" spans="21:23" x14ac:dyDescent="0.2">
      <c r="U1367" s="616"/>
      <c r="W1367" s="620" t="e">
        <f t="shared" si="49"/>
        <v>#DIV/0!</v>
      </c>
    </row>
    <row r="1368" spans="21:23" x14ac:dyDescent="0.2">
      <c r="U1368" s="616"/>
      <c r="W1368" s="620" t="e">
        <f t="shared" si="49"/>
        <v>#DIV/0!</v>
      </c>
    </row>
    <row r="1369" spans="21:23" x14ac:dyDescent="0.2">
      <c r="U1369" s="616"/>
      <c r="W1369" s="620" t="e">
        <f t="shared" si="49"/>
        <v>#DIV/0!</v>
      </c>
    </row>
    <row r="1370" spans="21:23" x14ac:dyDescent="0.2">
      <c r="U1370" s="616"/>
      <c r="W1370" s="620" t="e">
        <f t="shared" si="49"/>
        <v>#DIV/0!</v>
      </c>
    </row>
    <row r="1371" spans="21:23" x14ac:dyDescent="0.2">
      <c r="U1371" s="616"/>
      <c r="W1371" s="620" t="e">
        <f t="shared" si="49"/>
        <v>#DIV/0!</v>
      </c>
    </row>
    <row r="1372" spans="21:23" x14ac:dyDescent="0.2">
      <c r="U1372" s="616"/>
      <c r="W1372" s="620" t="e">
        <f t="shared" si="49"/>
        <v>#DIV/0!</v>
      </c>
    </row>
    <row r="1373" spans="21:23" x14ac:dyDescent="0.2">
      <c r="U1373" s="616"/>
      <c r="W1373" s="620" t="e">
        <f t="shared" si="49"/>
        <v>#DIV/0!</v>
      </c>
    </row>
    <row r="1374" spans="21:23" x14ac:dyDescent="0.2">
      <c r="U1374" s="616"/>
      <c r="W1374" s="620" t="e">
        <f t="shared" si="49"/>
        <v>#DIV/0!</v>
      </c>
    </row>
    <row r="1375" spans="21:23" x14ac:dyDescent="0.2">
      <c r="U1375" s="616"/>
      <c r="W1375" s="620" t="e">
        <f t="shared" si="49"/>
        <v>#DIV/0!</v>
      </c>
    </row>
    <row r="1376" spans="21:23" x14ac:dyDescent="0.2">
      <c r="U1376" s="616"/>
      <c r="W1376" s="620" t="e">
        <f t="shared" si="49"/>
        <v>#DIV/0!</v>
      </c>
    </row>
    <row r="1377" spans="21:23" x14ac:dyDescent="0.2">
      <c r="U1377" s="616"/>
      <c r="W1377" s="620" t="e">
        <f t="shared" si="49"/>
        <v>#DIV/0!</v>
      </c>
    </row>
    <row r="1378" spans="21:23" x14ac:dyDescent="0.2">
      <c r="U1378" s="616"/>
      <c r="W1378" s="620" t="e">
        <f t="shared" si="49"/>
        <v>#DIV/0!</v>
      </c>
    </row>
    <row r="1379" spans="21:23" x14ac:dyDescent="0.2">
      <c r="U1379" s="616"/>
      <c r="W1379" s="620" t="e">
        <f t="shared" si="49"/>
        <v>#DIV/0!</v>
      </c>
    </row>
    <row r="1380" spans="21:23" x14ac:dyDescent="0.2">
      <c r="U1380" s="616"/>
      <c r="W1380" s="620" t="e">
        <f t="shared" si="49"/>
        <v>#DIV/0!</v>
      </c>
    </row>
    <row r="1381" spans="21:23" x14ac:dyDescent="0.2">
      <c r="U1381" s="616"/>
      <c r="W1381" s="620" t="e">
        <f t="shared" si="49"/>
        <v>#DIV/0!</v>
      </c>
    </row>
    <row r="1382" spans="21:23" x14ac:dyDescent="0.2">
      <c r="U1382" s="616"/>
      <c r="W1382" s="620" t="e">
        <f t="shared" si="49"/>
        <v>#DIV/0!</v>
      </c>
    </row>
    <row r="1383" spans="21:23" x14ac:dyDescent="0.2">
      <c r="U1383" s="616"/>
      <c r="W1383" s="620" t="e">
        <f t="shared" si="49"/>
        <v>#DIV/0!</v>
      </c>
    </row>
    <row r="1384" spans="21:23" x14ac:dyDescent="0.2">
      <c r="U1384" s="616"/>
      <c r="W1384" s="620" t="e">
        <f t="shared" si="49"/>
        <v>#DIV/0!</v>
      </c>
    </row>
    <row r="1385" spans="21:23" x14ac:dyDescent="0.2">
      <c r="U1385" s="616"/>
      <c r="W1385" s="620" t="e">
        <f t="shared" si="49"/>
        <v>#DIV/0!</v>
      </c>
    </row>
    <row r="1386" spans="21:23" x14ac:dyDescent="0.2">
      <c r="U1386" s="616"/>
      <c r="W1386" s="620" t="e">
        <f t="shared" si="49"/>
        <v>#DIV/0!</v>
      </c>
    </row>
    <row r="1387" spans="21:23" x14ac:dyDescent="0.2">
      <c r="U1387" s="616"/>
      <c r="W1387" s="620" t="e">
        <f t="shared" si="49"/>
        <v>#DIV/0!</v>
      </c>
    </row>
    <row r="1388" spans="21:23" x14ac:dyDescent="0.2">
      <c r="U1388" s="616"/>
      <c r="W1388" s="620" t="e">
        <f t="shared" si="49"/>
        <v>#DIV/0!</v>
      </c>
    </row>
    <row r="1389" spans="21:23" x14ac:dyDescent="0.2">
      <c r="U1389" s="616"/>
      <c r="W1389" s="620" t="e">
        <f t="shared" si="49"/>
        <v>#DIV/0!</v>
      </c>
    </row>
    <row r="1390" spans="21:23" x14ac:dyDescent="0.2">
      <c r="U1390" s="616"/>
      <c r="W1390" s="620" t="e">
        <f t="shared" si="49"/>
        <v>#DIV/0!</v>
      </c>
    </row>
    <row r="1391" spans="21:23" x14ac:dyDescent="0.2">
      <c r="U1391" s="616"/>
      <c r="W1391" s="620" t="e">
        <f t="shared" si="49"/>
        <v>#DIV/0!</v>
      </c>
    </row>
    <row r="1392" spans="21:23" x14ac:dyDescent="0.2">
      <c r="U1392" s="616"/>
      <c r="W1392" s="620" t="e">
        <f t="shared" si="49"/>
        <v>#DIV/0!</v>
      </c>
    </row>
    <row r="1393" spans="21:23" x14ac:dyDescent="0.2">
      <c r="U1393" s="616"/>
      <c r="W1393" s="620" t="e">
        <f t="shared" si="49"/>
        <v>#DIV/0!</v>
      </c>
    </row>
    <row r="1394" spans="21:23" x14ac:dyDescent="0.2">
      <c r="U1394" s="616"/>
      <c r="W1394" s="620" t="e">
        <f t="shared" si="49"/>
        <v>#DIV/0!</v>
      </c>
    </row>
    <row r="1395" spans="21:23" x14ac:dyDescent="0.2">
      <c r="U1395" s="616"/>
      <c r="W1395" s="620" t="e">
        <f t="shared" si="49"/>
        <v>#DIV/0!</v>
      </c>
    </row>
    <row r="1396" spans="21:23" x14ac:dyDescent="0.2">
      <c r="U1396" s="616"/>
      <c r="W1396" s="620" t="e">
        <f t="shared" si="49"/>
        <v>#DIV/0!</v>
      </c>
    </row>
    <row r="1397" spans="21:23" x14ac:dyDescent="0.2">
      <c r="U1397" s="616"/>
      <c r="W1397" s="620" t="e">
        <f t="shared" si="49"/>
        <v>#DIV/0!</v>
      </c>
    </row>
    <row r="1398" spans="21:23" x14ac:dyDescent="0.2">
      <c r="U1398" s="616"/>
      <c r="W1398" s="620" t="e">
        <f t="shared" si="49"/>
        <v>#DIV/0!</v>
      </c>
    </row>
    <row r="1399" spans="21:23" x14ac:dyDescent="0.2">
      <c r="U1399" s="616"/>
      <c r="W1399" s="620" t="e">
        <f t="shared" si="49"/>
        <v>#DIV/0!</v>
      </c>
    </row>
    <row r="1400" spans="21:23" x14ac:dyDescent="0.2">
      <c r="U1400" s="616"/>
      <c r="W1400" s="620" t="e">
        <f t="shared" si="49"/>
        <v>#DIV/0!</v>
      </c>
    </row>
    <row r="1401" spans="21:23" x14ac:dyDescent="0.2">
      <c r="U1401" s="616"/>
      <c r="W1401" s="620" t="e">
        <f t="shared" si="49"/>
        <v>#DIV/0!</v>
      </c>
    </row>
    <row r="1402" spans="21:23" x14ac:dyDescent="0.2">
      <c r="U1402" s="616"/>
      <c r="W1402" s="620" t="e">
        <f t="shared" si="49"/>
        <v>#DIV/0!</v>
      </c>
    </row>
    <row r="1403" spans="21:23" x14ac:dyDescent="0.2">
      <c r="U1403" s="616"/>
      <c r="W1403" s="620" t="e">
        <f t="shared" si="49"/>
        <v>#DIV/0!</v>
      </c>
    </row>
    <row r="1404" spans="21:23" x14ac:dyDescent="0.2">
      <c r="U1404" s="616"/>
      <c r="W1404" s="620" t="e">
        <f t="shared" si="49"/>
        <v>#DIV/0!</v>
      </c>
    </row>
    <row r="1405" spans="21:23" x14ac:dyDescent="0.2">
      <c r="U1405" s="616"/>
      <c r="W1405" s="620" t="e">
        <f t="shared" si="49"/>
        <v>#DIV/0!</v>
      </c>
    </row>
    <row r="1406" spans="21:23" x14ac:dyDescent="0.2">
      <c r="U1406" s="616"/>
      <c r="W1406" s="620" t="e">
        <f t="shared" si="49"/>
        <v>#DIV/0!</v>
      </c>
    </row>
    <row r="1407" spans="21:23" x14ac:dyDescent="0.2">
      <c r="U1407" s="616"/>
      <c r="W1407" s="620" t="e">
        <f t="shared" si="49"/>
        <v>#DIV/0!</v>
      </c>
    </row>
    <row r="1408" spans="21:23" x14ac:dyDescent="0.2">
      <c r="U1408" s="616"/>
      <c r="W1408" s="620" t="e">
        <f t="shared" si="49"/>
        <v>#DIV/0!</v>
      </c>
    </row>
    <row r="1409" spans="21:23" x14ac:dyDescent="0.2">
      <c r="U1409" s="616"/>
      <c r="W1409" s="620" t="e">
        <f t="shared" si="49"/>
        <v>#DIV/0!</v>
      </c>
    </row>
    <row r="1410" spans="21:23" x14ac:dyDescent="0.2">
      <c r="U1410" s="616"/>
      <c r="W1410" s="620" t="e">
        <f t="shared" si="49"/>
        <v>#DIV/0!</v>
      </c>
    </row>
    <row r="1411" spans="21:23" x14ac:dyDescent="0.2">
      <c r="U1411" s="616"/>
      <c r="W1411" s="620" t="e">
        <f t="shared" si="49"/>
        <v>#DIV/0!</v>
      </c>
    </row>
    <row r="1412" spans="21:23" x14ac:dyDescent="0.2">
      <c r="U1412" s="616"/>
      <c r="W1412" s="620" t="e">
        <f t="shared" ref="W1412:W1475" si="50">AVERAGE($V$4:$V$2517)</f>
        <v>#DIV/0!</v>
      </c>
    </row>
    <row r="1413" spans="21:23" x14ac:dyDescent="0.2">
      <c r="U1413" s="616"/>
      <c r="W1413" s="620" t="e">
        <f t="shared" si="50"/>
        <v>#DIV/0!</v>
      </c>
    </row>
    <row r="1414" spans="21:23" x14ac:dyDescent="0.2">
      <c r="U1414" s="616"/>
      <c r="W1414" s="620" t="e">
        <f t="shared" si="50"/>
        <v>#DIV/0!</v>
      </c>
    </row>
    <row r="1415" spans="21:23" x14ac:dyDescent="0.2">
      <c r="U1415" s="616"/>
      <c r="W1415" s="620" t="e">
        <f t="shared" si="50"/>
        <v>#DIV/0!</v>
      </c>
    </row>
    <row r="1416" spans="21:23" x14ac:dyDescent="0.2">
      <c r="U1416" s="616"/>
      <c r="W1416" s="620" t="e">
        <f t="shared" si="50"/>
        <v>#DIV/0!</v>
      </c>
    </row>
    <row r="1417" spans="21:23" x14ac:dyDescent="0.2">
      <c r="U1417" s="616"/>
      <c r="W1417" s="620" t="e">
        <f t="shared" si="50"/>
        <v>#DIV/0!</v>
      </c>
    </row>
    <row r="1418" spans="21:23" x14ac:dyDescent="0.2">
      <c r="U1418" s="616"/>
      <c r="W1418" s="620" t="e">
        <f t="shared" si="50"/>
        <v>#DIV/0!</v>
      </c>
    </row>
    <row r="1419" spans="21:23" x14ac:dyDescent="0.2">
      <c r="U1419" s="616"/>
      <c r="W1419" s="620" t="e">
        <f t="shared" si="50"/>
        <v>#DIV/0!</v>
      </c>
    </row>
    <row r="1420" spans="21:23" x14ac:dyDescent="0.2">
      <c r="U1420" s="616"/>
      <c r="W1420" s="620" t="e">
        <f t="shared" si="50"/>
        <v>#DIV/0!</v>
      </c>
    </row>
    <row r="1421" spans="21:23" x14ac:dyDescent="0.2">
      <c r="U1421" s="616"/>
      <c r="W1421" s="620" t="e">
        <f t="shared" si="50"/>
        <v>#DIV/0!</v>
      </c>
    </row>
    <row r="1422" spans="21:23" x14ac:dyDescent="0.2">
      <c r="U1422" s="616"/>
      <c r="W1422" s="620" t="e">
        <f t="shared" si="50"/>
        <v>#DIV/0!</v>
      </c>
    </row>
    <row r="1423" spans="21:23" x14ac:dyDescent="0.2">
      <c r="U1423" s="616"/>
      <c r="W1423" s="620" t="e">
        <f t="shared" si="50"/>
        <v>#DIV/0!</v>
      </c>
    </row>
    <row r="1424" spans="21:23" x14ac:dyDescent="0.2">
      <c r="U1424" s="616"/>
      <c r="W1424" s="620" t="e">
        <f t="shared" si="50"/>
        <v>#DIV/0!</v>
      </c>
    </row>
    <row r="1425" spans="21:23" x14ac:dyDescent="0.2">
      <c r="U1425" s="616"/>
      <c r="W1425" s="620" t="e">
        <f t="shared" si="50"/>
        <v>#DIV/0!</v>
      </c>
    </row>
    <row r="1426" spans="21:23" x14ac:dyDescent="0.2">
      <c r="U1426" s="616"/>
      <c r="W1426" s="620" t="e">
        <f t="shared" si="50"/>
        <v>#DIV/0!</v>
      </c>
    </row>
    <row r="1427" spans="21:23" x14ac:dyDescent="0.2">
      <c r="U1427" s="616"/>
      <c r="W1427" s="620" t="e">
        <f t="shared" si="50"/>
        <v>#DIV/0!</v>
      </c>
    </row>
    <row r="1428" spans="21:23" x14ac:dyDescent="0.2">
      <c r="U1428" s="616"/>
      <c r="W1428" s="620" t="e">
        <f t="shared" si="50"/>
        <v>#DIV/0!</v>
      </c>
    </row>
    <row r="1429" spans="21:23" x14ac:dyDescent="0.2">
      <c r="U1429" s="616"/>
      <c r="W1429" s="620" t="e">
        <f t="shared" si="50"/>
        <v>#DIV/0!</v>
      </c>
    </row>
    <row r="1430" spans="21:23" x14ac:dyDescent="0.2">
      <c r="U1430" s="616"/>
      <c r="W1430" s="620" t="e">
        <f t="shared" si="50"/>
        <v>#DIV/0!</v>
      </c>
    </row>
    <row r="1431" spans="21:23" x14ac:dyDescent="0.2">
      <c r="U1431" s="616"/>
      <c r="W1431" s="620" t="e">
        <f t="shared" si="50"/>
        <v>#DIV/0!</v>
      </c>
    </row>
    <row r="1432" spans="21:23" x14ac:dyDescent="0.2">
      <c r="U1432" s="616"/>
      <c r="W1432" s="620" t="e">
        <f t="shared" si="50"/>
        <v>#DIV/0!</v>
      </c>
    </row>
    <row r="1433" spans="21:23" x14ac:dyDescent="0.2">
      <c r="U1433" s="616"/>
      <c r="W1433" s="620" t="e">
        <f t="shared" si="50"/>
        <v>#DIV/0!</v>
      </c>
    </row>
    <row r="1434" spans="21:23" x14ac:dyDescent="0.2">
      <c r="U1434" s="616"/>
      <c r="W1434" s="620" t="e">
        <f t="shared" si="50"/>
        <v>#DIV/0!</v>
      </c>
    </row>
    <row r="1435" spans="21:23" x14ac:dyDescent="0.2">
      <c r="U1435" s="616"/>
      <c r="W1435" s="620" t="e">
        <f t="shared" si="50"/>
        <v>#DIV/0!</v>
      </c>
    </row>
    <row r="1436" spans="21:23" x14ac:dyDescent="0.2">
      <c r="U1436" s="616"/>
      <c r="W1436" s="620" t="e">
        <f t="shared" si="50"/>
        <v>#DIV/0!</v>
      </c>
    </row>
    <row r="1437" spans="21:23" x14ac:dyDescent="0.2">
      <c r="U1437" s="616"/>
      <c r="W1437" s="620" t="e">
        <f t="shared" si="50"/>
        <v>#DIV/0!</v>
      </c>
    </row>
    <row r="1438" spans="21:23" x14ac:dyDescent="0.2">
      <c r="U1438" s="616"/>
      <c r="W1438" s="620" t="e">
        <f t="shared" si="50"/>
        <v>#DIV/0!</v>
      </c>
    </row>
    <row r="1439" spans="21:23" x14ac:dyDescent="0.2">
      <c r="U1439" s="616"/>
      <c r="W1439" s="620" t="e">
        <f t="shared" si="50"/>
        <v>#DIV/0!</v>
      </c>
    </row>
    <row r="1440" spans="21:23" x14ac:dyDescent="0.2">
      <c r="U1440" s="616"/>
      <c r="W1440" s="620" t="e">
        <f t="shared" si="50"/>
        <v>#DIV/0!</v>
      </c>
    </row>
    <row r="1441" spans="21:23" x14ac:dyDescent="0.2">
      <c r="U1441" s="616"/>
      <c r="W1441" s="620" t="e">
        <f t="shared" si="50"/>
        <v>#DIV/0!</v>
      </c>
    </row>
    <row r="1442" spans="21:23" x14ac:dyDescent="0.2">
      <c r="U1442" s="616"/>
      <c r="W1442" s="620" t="e">
        <f t="shared" si="50"/>
        <v>#DIV/0!</v>
      </c>
    </row>
    <row r="1443" spans="21:23" x14ac:dyDescent="0.2">
      <c r="U1443" s="616"/>
      <c r="W1443" s="620" t="e">
        <f t="shared" si="50"/>
        <v>#DIV/0!</v>
      </c>
    </row>
    <row r="1444" spans="21:23" x14ac:dyDescent="0.2">
      <c r="U1444" s="616"/>
      <c r="W1444" s="620" t="e">
        <f t="shared" si="50"/>
        <v>#DIV/0!</v>
      </c>
    </row>
    <row r="1445" spans="21:23" x14ac:dyDescent="0.2">
      <c r="U1445" s="616"/>
      <c r="W1445" s="620" t="e">
        <f t="shared" si="50"/>
        <v>#DIV/0!</v>
      </c>
    </row>
    <row r="1446" spans="21:23" x14ac:dyDescent="0.2">
      <c r="U1446" s="616"/>
      <c r="W1446" s="620" t="e">
        <f t="shared" si="50"/>
        <v>#DIV/0!</v>
      </c>
    </row>
    <row r="1447" spans="21:23" x14ac:dyDescent="0.2">
      <c r="U1447" s="616"/>
      <c r="W1447" s="620" t="e">
        <f t="shared" si="50"/>
        <v>#DIV/0!</v>
      </c>
    </row>
    <row r="1448" spans="21:23" x14ac:dyDescent="0.2">
      <c r="U1448" s="616"/>
      <c r="W1448" s="620" t="e">
        <f t="shared" si="50"/>
        <v>#DIV/0!</v>
      </c>
    </row>
    <row r="1449" spans="21:23" x14ac:dyDescent="0.2">
      <c r="U1449" s="616"/>
      <c r="W1449" s="620" t="e">
        <f t="shared" si="50"/>
        <v>#DIV/0!</v>
      </c>
    </row>
    <row r="1450" spans="21:23" x14ac:dyDescent="0.2">
      <c r="U1450" s="616"/>
      <c r="W1450" s="620" t="e">
        <f t="shared" si="50"/>
        <v>#DIV/0!</v>
      </c>
    </row>
    <row r="1451" spans="21:23" x14ac:dyDescent="0.2">
      <c r="U1451" s="616"/>
      <c r="W1451" s="620" t="e">
        <f t="shared" si="50"/>
        <v>#DIV/0!</v>
      </c>
    </row>
    <row r="1452" spans="21:23" x14ac:dyDescent="0.2">
      <c r="U1452" s="616"/>
      <c r="W1452" s="620" t="e">
        <f t="shared" si="50"/>
        <v>#DIV/0!</v>
      </c>
    </row>
    <row r="1453" spans="21:23" x14ac:dyDescent="0.2">
      <c r="U1453" s="616"/>
      <c r="W1453" s="620" t="e">
        <f t="shared" si="50"/>
        <v>#DIV/0!</v>
      </c>
    </row>
    <row r="1454" spans="21:23" x14ac:dyDescent="0.2">
      <c r="U1454" s="616"/>
      <c r="W1454" s="620" t="e">
        <f t="shared" si="50"/>
        <v>#DIV/0!</v>
      </c>
    </row>
    <row r="1455" spans="21:23" x14ac:dyDescent="0.2">
      <c r="U1455" s="616"/>
      <c r="W1455" s="620" t="e">
        <f t="shared" si="50"/>
        <v>#DIV/0!</v>
      </c>
    </row>
    <row r="1456" spans="21:23" x14ac:dyDescent="0.2">
      <c r="U1456" s="616"/>
      <c r="W1456" s="620" t="e">
        <f t="shared" si="50"/>
        <v>#DIV/0!</v>
      </c>
    </row>
    <row r="1457" spans="21:23" x14ac:dyDescent="0.2">
      <c r="U1457" s="616"/>
      <c r="W1457" s="620" t="e">
        <f t="shared" si="50"/>
        <v>#DIV/0!</v>
      </c>
    </row>
    <row r="1458" spans="21:23" x14ac:dyDescent="0.2">
      <c r="U1458" s="616"/>
      <c r="W1458" s="620" t="e">
        <f t="shared" si="50"/>
        <v>#DIV/0!</v>
      </c>
    </row>
    <row r="1459" spans="21:23" x14ac:dyDescent="0.2">
      <c r="U1459" s="616"/>
      <c r="W1459" s="620" t="e">
        <f t="shared" si="50"/>
        <v>#DIV/0!</v>
      </c>
    </row>
    <row r="1460" spans="21:23" x14ac:dyDescent="0.2">
      <c r="U1460" s="616"/>
      <c r="W1460" s="620" t="e">
        <f t="shared" si="50"/>
        <v>#DIV/0!</v>
      </c>
    </row>
    <row r="1461" spans="21:23" x14ac:dyDescent="0.2">
      <c r="U1461" s="616"/>
      <c r="W1461" s="620" t="e">
        <f t="shared" si="50"/>
        <v>#DIV/0!</v>
      </c>
    </row>
    <row r="1462" spans="21:23" x14ac:dyDescent="0.2">
      <c r="U1462" s="616"/>
      <c r="W1462" s="620" t="e">
        <f t="shared" si="50"/>
        <v>#DIV/0!</v>
      </c>
    </row>
    <row r="1463" spans="21:23" x14ac:dyDescent="0.2">
      <c r="U1463" s="616"/>
      <c r="W1463" s="620" t="e">
        <f t="shared" si="50"/>
        <v>#DIV/0!</v>
      </c>
    </row>
    <row r="1464" spans="21:23" x14ac:dyDescent="0.2">
      <c r="U1464" s="616"/>
      <c r="W1464" s="620" t="e">
        <f t="shared" si="50"/>
        <v>#DIV/0!</v>
      </c>
    </row>
    <row r="1465" spans="21:23" x14ac:dyDescent="0.2">
      <c r="U1465" s="616"/>
      <c r="W1465" s="620" t="e">
        <f t="shared" si="50"/>
        <v>#DIV/0!</v>
      </c>
    </row>
    <row r="1466" spans="21:23" x14ac:dyDescent="0.2">
      <c r="U1466" s="616"/>
      <c r="W1466" s="620" t="e">
        <f t="shared" si="50"/>
        <v>#DIV/0!</v>
      </c>
    </row>
    <row r="1467" spans="21:23" x14ac:dyDescent="0.2">
      <c r="U1467" s="616"/>
      <c r="W1467" s="620" t="e">
        <f t="shared" si="50"/>
        <v>#DIV/0!</v>
      </c>
    </row>
    <row r="1468" spans="21:23" x14ac:dyDescent="0.2">
      <c r="U1468" s="616"/>
      <c r="W1468" s="620" t="e">
        <f t="shared" si="50"/>
        <v>#DIV/0!</v>
      </c>
    </row>
    <row r="1469" spans="21:23" x14ac:dyDescent="0.2">
      <c r="U1469" s="616"/>
      <c r="W1469" s="620" t="e">
        <f t="shared" si="50"/>
        <v>#DIV/0!</v>
      </c>
    </row>
    <row r="1470" spans="21:23" x14ac:dyDescent="0.2">
      <c r="U1470" s="616"/>
      <c r="W1470" s="620" t="e">
        <f t="shared" si="50"/>
        <v>#DIV/0!</v>
      </c>
    </row>
    <row r="1471" spans="21:23" x14ac:dyDescent="0.2">
      <c r="U1471" s="616"/>
      <c r="W1471" s="620" t="e">
        <f t="shared" si="50"/>
        <v>#DIV/0!</v>
      </c>
    </row>
    <row r="1472" spans="21:23" x14ac:dyDescent="0.2">
      <c r="U1472" s="616"/>
      <c r="W1472" s="620" t="e">
        <f t="shared" si="50"/>
        <v>#DIV/0!</v>
      </c>
    </row>
    <row r="1473" spans="21:23" x14ac:dyDescent="0.2">
      <c r="U1473" s="616"/>
      <c r="W1473" s="620" t="e">
        <f t="shared" si="50"/>
        <v>#DIV/0!</v>
      </c>
    </row>
    <row r="1474" spans="21:23" x14ac:dyDescent="0.2">
      <c r="U1474" s="616"/>
      <c r="W1474" s="620" t="e">
        <f t="shared" si="50"/>
        <v>#DIV/0!</v>
      </c>
    </row>
    <row r="1475" spans="21:23" x14ac:dyDescent="0.2">
      <c r="U1475" s="616"/>
      <c r="W1475" s="620" t="e">
        <f t="shared" si="50"/>
        <v>#DIV/0!</v>
      </c>
    </row>
    <row r="1476" spans="21:23" x14ac:dyDescent="0.2">
      <c r="U1476" s="616"/>
      <c r="W1476" s="620" t="e">
        <f t="shared" ref="W1476:W1539" si="51">AVERAGE($V$4:$V$2517)</f>
        <v>#DIV/0!</v>
      </c>
    </row>
    <row r="1477" spans="21:23" x14ac:dyDescent="0.2">
      <c r="U1477" s="616"/>
      <c r="W1477" s="620" t="e">
        <f t="shared" si="51"/>
        <v>#DIV/0!</v>
      </c>
    </row>
    <row r="1478" spans="21:23" x14ac:dyDescent="0.2">
      <c r="U1478" s="616"/>
      <c r="W1478" s="620" t="e">
        <f t="shared" si="51"/>
        <v>#DIV/0!</v>
      </c>
    </row>
    <row r="1479" spans="21:23" x14ac:dyDescent="0.2">
      <c r="U1479" s="616"/>
      <c r="W1479" s="620" t="e">
        <f t="shared" si="51"/>
        <v>#DIV/0!</v>
      </c>
    </row>
    <row r="1480" spans="21:23" x14ac:dyDescent="0.2">
      <c r="U1480" s="616"/>
      <c r="W1480" s="620" t="e">
        <f t="shared" si="51"/>
        <v>#DIV/0!</v>
      </c>
    </row>
    <row r="1481" spans="21:23" x14ac:dyDescent="0.2">
      <c r="U1481" s="616"/>
      <c r="W1481" s="620" t="e">
        <f t="shared" si="51"/>
        <v>#DIV/0!</v>
      </c>
    </row>
    <row r="1482" spans="21:23" x14ac:dyDescent="0.2">
      <c r="U1482" s="616"/>
      <c r="W1482" s="620" t="e">
        <f t="shared" si="51"/>
        <v>#DIV/0!</v>
      </c>
    </row>
    <row r="1483" spans="21:23" x14ac:dyDescent="0.2">
      <c r="U1483" s="616"/>
      <c r="W1483" s="620" t="e">
        <f t="shared" si="51"/>
        <v>#DIV/0!</v>
      </c>
    </row>
    <row r="1484" spans="21:23" x14ac:dyDescent="0.2">
      <c r="U1484" s="616"/>
      <c r="W1484" s="620" t="e">
        <f t="shared" si="51"/>
        <v>#DIV/0!</v>
      </c>
    </row>
    <row r="1485" spans="21:23" x14ac:dyDescent="0.2">
      <c r="U1485" s="616"/>
      <c r="W1485" s="620" t="e">
        <f t="shared" si="51"/>
        <v>#DIV/0!</v>
      </c>
    </row>
    <row r="1486" spans="21:23" x14ac:dyDescent="0.2">
      <c r="U1486" s="616"/>
      <c r="W1486" s="620" t="e">
        <f t="shared" si="51"/>
        <v>#DIV/0!</v>
      </c>
    </row>
    <row r="1487" spans="21:23" x14ac:dyDescent="0.2">
      <c r="U1487" s="616"/>
      <c r="W1487" s="620" t="e">
        <f t="shared" si="51"/>
        <v>#DIV/0!</v>
      </c>
    </row>
    <row r="1488" spans="21:23" x14ac:dyDescent="0.2">
      <c r="U1488" s="616"/>
      <c r="W1488" s="620" t="e">
        <f t="shared" si="51"/>
        <v>#DIV/0!</v>
      </c>
    </row>
    <row r="1489" spans="21:23" x14ac:dyDescent="0.2">
      <c r="U1489" s="616"/>
      <c r="W1489" s="620" t="e">
        <f t="shared" si="51"/>
        <v>#DIV/0!</v>
      </c>
    </row>
    <row r="1490" spans="21:23" x14ac:dyDescent="0.2">
      <c r="U1490" s="616"/>
      <c r="W1490" s="620" t="e">
        <f t="shared" si="51"/>
        <v>#DIV/0!</v>
      </c>
    </row>
    <row r="1491" spans="21:23" x14ac:dyDescent="0.2">
      <c r="U1491" s="616"/>
      <c r="W1491" s="620" t="e">
        <f t="shared" si="51"/>
        <v>#DIV/0!</v>
      </c>
    </row>
    <row r="1492" spans="21:23" x14ac:dyDescent="0.2">
      <c r="U1492" s="616"/>
      <c r="W1492" s="620" t="e">
        <f t="shared" si="51"/>
        <v>#DIV/0!</v>
      </c>
    </row>
    <row r="1493" spans="21:23" x14ac:dyDescent="0.2">
      <c r="U1493" s="616"/>
      <c r="W1493" s="620" t="e">
        <f t="shared" si="51"/>
        <v>#DIV/0!</v>
      </c>
    </row>
    <row r="1494" spans="21:23" x14ac:dyDescent="0.2">
      <c r="U1494" s="616"/>
      <c r="W1494" s="620" t="e">
        <f t="shared" si="51"/>
        <v>#DIV/0!</v>
      </c>
    </row>
    <row r="1495" spans="21:23" x14ac:dyDescent="0.2">
      <c r="U1495" s="616"/>
      <c r="W1495" s="620" t="e">
        <f t="shared" si="51"/>
        <v>#DIV/0!</v>
      </c>
    </row>
    <row r="1496" spans="21:23" x14ac:dyDescent="0.2">
      <c r="U1496" s="616"/>
      <c r="W1496" s="620" t="e">
        <f t="shared" si="51"/>
        <v>#DIV/0!</v>
      </c>
    </row>
    <row r="1497" spans="21:23" x14ac:dyDescent="0.2">
      <c r="U1497" s="616"/>
      <c r="W1497" s="620" t="e">
        <f t="shared" si="51"/>
        <v>#DIV/0!</v>
      </c>
    </row>
    <row r="1498" spans="21:23" x14ac:dyDescent="0.2">
      <c r="U1498" s="616"/>
      <c r="W1498" s="620" t="e">
        <f t="shared" si="51"/>
        <v>#DIV/0!</v>
      </c>
    </row>
    <row r="1499" spans="21:23" x14ac:dyDescent="0.2">
      <c r="U1499" s="616"/>
      <c r="W1499" s="620" t="e">
        <f t="shared" si="51"/>
        <v>#DIV/0!</v>
      </c>
    </row>
    <row r="1500" spans="21:23" x14ac:dyDescent="0.2">
      <c r="U1500" s="616"/>
      <c r="W1500" s="620" t="e">
        <f t="shared" si="51"/>
        <v>#DIV/0!</v>
      </c>
    </row>
    <row r="1501" spans="21:23" x14ac:dyDescent="0.2">
      <c r="U1501" s="616"/>
      <c r="W1501" s="620" t="e">
        <f t="shared" si="51"/>
        <v>#DIV/0!</v>
      </c>
    </row>
    <row r="1502" spans="21:23" x14ac:dyDescent="0.2">
      <c r="U1502" s="616"/>
      <c r="W1502" s="620" t="e">
        <f t="shared" si="51"/>
        <v>#DIV/0!</v>
      </c>
    </row>
    <row r="1503" spans="21:23" x14ac:dyDescent="0.2">
      <c r="U1503" s="616"/>
      <c r="W1503" s="620" t="e">
        <f t="shared" si="51"/>
        <v>#DIV/0!</v>
      </c>
    </row>
    <row r="1504" spans="21:23" x14ac:dyDescent="0.2">
      <c r="U1504" s="616"/>
      <c r="W1504" s="620" t="e">
        <f t="shared" si="51"/>
        <v>#DIV/0!</v>
      </c>
    </row>
    <row r="1505" spans="21:23" x14ac:dyDescent="0.2">
      <c r="U1505" s="616"/>
      <c r="W1505" s="620" t="e">
        <f t="shared" si="51"/>
        <v>#DIV/0!</v>
      </c>
    </row>
    <row r="1506" spans="21:23" x14ac:dyDescent="0.2">
      <c r="U1506" s="616"/>
      <c r="W1506" s="620" t="e">
        <f t="shared" si="51"/>
        <v>#DIV/0!</v>
      </c>
    </row>
    <row r="1507" spans="21:23" x14ac:dyDescent="0.2">
      <c r="U1507" s="616"/>
      <c r="W1507" s="620" t="e">
        <f t="shared" si="51"/>
        <v>#DIV/0!</v>
      </c>
    </row>
    <row r="1508" spans="21:23" x14ac:dyDescent="0.2">
      <c r="U1508" s="616"/>
      <c r="W1508" s="620" t="e">
        <f t="shared" si="51"/>
        <v>#DIV/0!</v>
      </c>
    </row>
    <row r="1509" spans="21:23" x14ac:dyDescent="0.2">
      <c r="U1509" s="616"/>
      <c r="W1509" s="620" t="e">
        <f t="shared" si="51"/>
        <v>#DIV/0!</v>
      </c>
    </row>
    <row r="1510" spans="21:23" x14ac:dyDescent="0.2">
      <c r="U1510" s="616"/>
      <c r="W1510" s="620" t="e">
        <f t="shared" si="51"/>
        <v>#DIV/0!</v>
      </c>
    </row>
    <row r="1511" spans="21:23" x14ac:dyDescent="0.2">
      <c r="U1511" s="616"/>
      <c r="W1511" s="620" t="e">
        <f t="shared" si="51"/>
        <v>#DIV/0!</v>
      </c>
    </row>
    <row r="1512" spans="21:23" x14ac:dyDescent="0.2">
      <c r="U1512" s="616"/>
      <c r="W1512" s="620" t="e">
        <f t="shared" si="51"/>
        <v>#DIV/0!</v>
      </c>
    </row>
    <row r="1513" spans="21:23" x14ac:dyDescent="0.2">
      <c r="U1513" s="616"/>
      <c r="W1513" s="620" t="e">
        <f t="shared" si="51"/>
        <v>#DIV/0!</v>
      </c>
    </row>
    <row r="1514" spans="21:23" x14ac:dyDescent="0.2">
      <c r="U1514" s="616"/>
      <c r="W1514" s="620" t="e">
        <f t="shared" si="51"/>
        <v>#DIV/0!</v>
      </c>
    </row>
    <row r="1515" spans="21:23" x14ac:dyDescent="0.2">
      <c r="U1515" s="616"/>
      <c r="W1515" s="620" t="e">
        <f t="shared" si="51"/>
        <v>#DIV/0!</v>
      </c>
    </row>
    <row r="1516" spans="21:23" x14ac:dyDescent="0.2">
      <c r="U1516" s="616"/>
      <c r="W1516" s="620" t="e">
        <f t="shared" si="51"/>
        <v>#DIV/0!</v>
      </c>
    </row>
    <row r="1517" spans="21:23" x14ac:dyDescent="0.2">
      <c r="U1517" s="616"/>
      <c r="W1517" s="620" t="e">
        <f t="shared" si="51"/>
        <v>#DIV/0!</v>
      </c>
    </row>
    <row r="1518" spans="21:23" x14ac:dyDescent="0.2">
      <c r="U1518" s="616"/>
      <c r="W1518" s="620" t="e">
        <f t="shared" si="51"/>
        <v>#DIV/0!</v>
      </c>
    </row>
    <row r="1519" spans="21:23" x14ac:dyDescent="0.2">
      <c r="U1519" s="616"/>
      <c r="W1519" s="620" t="e">
        <f t="shared" si="51"/>
        <v>#DIV/0!</v>
      </c>
    </row>
    <row r="1520" spans="21:23" x14ac:dyDescent="0.2">
      <c r="U1520" s="616"/>
      <c r="W1520" s="620" t="e">
        <f t="shared" si="51"/>
        <v>#DIV/0!</v>
      </c>
    </row>
    <row r="1521" spans="21:23" x14ac:dyDescent="0.2">
      <c r="U1521" s="616"/>
      <c r="W1521" s="620" t="e">
        <f t="shared" si="51"/>
        <v>#DIV/0!</v>
      </c>
    </row>
    <row r="1522" spans="21:23" x14ac:dyDescent="0.2">
      <c r="U1522" s="616"/>
      <c r="W1522" s="620" t="e">
        <f t="shared" si="51"/>
        <v>#DIV/0!</v>
      </c>
    </row>
    <row r="1523" spans="21:23" x14ac:dyDescent="0.2">
      <c r="U1523" s="616"/>
      <c r="W1523" s="620" t="e">
        <f t="shared" si="51"/>
        <v>#DIV/0!</v>
      </c>
    </row>
    <row r="1524" spans="21:23" x14ac:dyDescent="0.2">
      <c r="U1524" s="616"/>
      <c r="W1524" s="620" t="e">
        <f t="shared" si="51"/>
        <v>#DIV/0!</v>
      </c>
    </row>
    <row r="1525" spans="21:23" x14ac:dyDescent="0.2">
      <c r="U1525" s="616"/>
      <c r="W1525" s="620" t="e">
        <f t="shared" si="51"/>
        <v>#DIV/0!</v>
      </c>
    </row>
    <row r="1526" spans="21:23" x14ac:dyDescent="0.2">
      <c r="U1526" s="616"/>
      <c r="W1526" s="620" t="e">
        <f t="shared" si="51"/>
        <v>#DIV/0!</v>
      </c>
    </row>
    <row r="1527" spans="21:23" x14ac:dyDescent="0.2">
      <c r="U1527" s="616"/>
      <c r="W1527" s="620" t="e">
        <f t="shared" si="51"/>
        <v>#DIV/0!</v>
      </c>
    </row>
    <row r="1528" spans="21:23" x14ac:dyDescent="0.2">
      <c r="U1528" s="616"/>
      <c r="W1528" s="620" t="e">
        <f t="shared" si="51"/>
        <v>#DIV/0!</v>
      </c>
    </row>
    <row r="1529" spans="21:23" x14ac:dyDescent="0.2">
      <c r="U1529" s="616"/>
      <c r="W1529" s="620" t="e">
        <f t="shared" si="51"/>
        <v>#DIV/0!</v>
      </c>
    </row>
    <row r="1530" spans="21:23" x14ac:dyDescent="0.2">
      <c r="U1530" s="616"/>
      <c r="W1530" s="620" t="e">
        <f t="shared" si="51"/>
        <v>#DIV/0!</v>
      </c>
    </row>
    <row r="1531" spans="21:23" x14ac:dyDescent="0.2">
      <c r="U1531" s="616"/>
      <c r="W1531" s="620" t="e">
        <f t="shared" si="51"/>
        <v>#DIV/0!</v>
      </c>
    </row>
    <row r="1532" spans="21:23" x14ac:dyDescent="0.2">
      <c r="U1532" s="616"/>
      <c r="W1532" s="620" t="e">
        <f t="shared" si="51"/>
        <v>#DIV/0!</v>
      </c>
    </row>
    <row r="1533" spans="21:23" x14ac:dyDescent="0.2">
      <c r="U1533" s="616"/>
      <c r="W1533" s="620" t="e">
        <f t="shared" si="51"/>
        <v>#DIV/0!</v>
      </c>
    </row>
    <row r="1534" spans="21:23" x14ac:dyDescent="0.2">
      <c r="U1534" s="616"/>
      <c r="W1534" s="620" t="e">
        <f t="shared" si="51"/>
        <v>#DIV/0!</v>
      </c>
    </row>
    <row r="1535" spans="21:23" x14ac:dyDescent="0.2">
      <c r="U1535" s="616"/>
      <c r="W1535" s="620" t="e">
        <f t="shared" si="51"/>
        <v>#DIV/0!</v>
      </c>
    </row>
    <row r="1536" spans="21:23" x14ac:dyDescent="0.2">
      <c r="U1536" s="616"/>
      <c r="W1536" s="620" t="e">
        <f t="shared" si="51"/>
        <v>#DIV/0!</v>
      </c>
    </row>
    <row r="1537" spans="21:23" x14ac:dyDescent="0.2">
      <c r="U1537" s="616"/>
      <c r="W1537" s="620" t="e">
        <f t="shared" si="51"/>
        <v>#DIV/0!</v>
      </c>
    </row>
    <row r="1538" spans="21:23" x14ac:dyDescent="0.2">
      <c r="U1538" s="616"/>
      <c r="W1538" s="620" t="e">
        <f t="shared" si="51"/>
        <v>#DIV/0!</v>
      </c>
    </row>
    <row r="1539" spans="21:23" x14ac:dyDescent="0.2">
      <c r="U1539" s="616"/>
      <c r="W1539" s="620" t="e">
        <f t="shared" si="51"/>
        <v>#DIV/0!</v>
      </c>
    </row>
    <row r="1540" spans="21:23" x14ac:dyDescent="0.2">
      <c r="U1540" s="616"/>
      <c r="W1540" s="620" t="e">
        <f t="shared" ref="W1540:W1603" si="52">AVERAGE($V$4:$V$2517)</f>
        <v>#DIV/0!</v>
      </c>
    </row>
    <row r="1541" spans="21:23" x14ac:dyDescent="0.2">
      <c r="U1541" s="616"/>
      <c r="W1541" s="620" t="e">
        <f t="shared" si="52"/>
        <v>#DIV/0!</v>
      </c>
    </row>
    <row r="1542" spans="21:23" x14ac:dyDescent="0.2">
      <c r="U1542" s="616"/>
      <c r="W1542" s="620" t="e">
        <f t="shared" si="52"/>
        <v>#DIV/0!</v>
      </c>
    </row>
    <row r="1543" spans="21:23" x14ac:dyDescent="0.2">
      <c r="U1543" s="616"/>
      <c r="W1543" s="620" t="e">
        <f t="shared" si="52"/>
        <v>#DIV/0!</v>
      </c>
    </row>
    <row r="1544" spans="21:23" x14ac:dyDescent="0.2">
      <c r="U1544" s="616"/>
      <c r="W1544" s="620" t="e">
        <f t="shared" si="52"/>
        <v>#DIV/0!</v>
      </c>
    </row>
    <row r="1545" spans="21:23" x14ac:dyDescent="0.2">
      <c r="U1545" s="616"/>
      <c r="W1545" s="620" t="e">
        <f t="shared" si="52"/>
        <v>#DIV/0!</v>
      </c>
    </row>
    <row r="1546" spans="21:23" x14ac:dyDescent="0.2">
      <c r="U1546" s="616"/>
      <c r="W1546" s="620" t="e">
        <f t="shared" si="52"/>
        <v>#DIV/0!</v>
      </c>
    </row>
    <row r="1547" spans="21:23" x14ac:dyDescent="0.2">
      <c r="U1547" s="616"/>
      <c r="W1547" s="620" t="e">
        <f t="shared" si="52"/>
        <v>#DIV/0!</v>
      </c>
    </row>
    <row r="1548" spans="21:23" x14ac:dyDescent="0.2">
      <c r="U1548" s="616"/>
      <c r="W1548" s="620" t="e">
        <f t="shared" si="52"/>
        <v>#DIV/0!</v>
      </c>
    </row>
    <row r="1549" spans="21:23" x14ac:dyDescent="0.2">
      <c r="U1549" s="616"/>
      <c r="W1549" s="620" t="e">
        <f t="shared" si="52"/>
        <v>#DIV/0!</v>
      </c>
    </row>
    <row r="1550" spans="21:23" x14ac:dyDescent="0.2">
      <c r="U1550" s="616"/>
      <c r="W1550" s="620" t="e">
        <f t="shared" si="52"/>
        <v>#DIV/0!</v>
      </c>
    </row>
    <row r="1551" spans="21:23" x14ac:dyDescent="0.2">
      <c r="U1551" s="616"/>
      <c r="W1551" s="620" t="e">
        <f t="shared" si="52"/>
        <v>#DIV/0!</v>
      </c>
    </row>
    <row r="1552" spans="21:23" x14ac:dyDescent="0.2">
      <c r="U1552" s="616"/>
      <c r="W1552" s="620" t="e">
        <f t="shared" si="52"/>
        <v>#DIV/0!</v>
      </c>
    </row>
    <row r="1553" spans="21:23" x14ac:dyDescent="0.2">
      <c r="U1553" s="616"/>
      <c r="W1553" s="620" t="e">
        <f t="shared" si="52"/>
        <v>#DIV/0!</v>
      </c>
    </row>
    <row r="1554" spans="21:23" x14ac:dyDescent="0.2">
      <c r="U1554" s="616"/>
      <c r="W1554" s="620" t="e">
        <f t="shared" si="52"/>
        <v>#DIV/0!</v>
      </c>
    </row>
    <row r="1555" spans="21:23" x14ac:dyDescent="0.2">
      <c r="U1555" s="616"/>
      <c r="W1555" s="620" t="e">
        <f t="shared" si="52"/>
        <v>#DIV/0!</v>
      </c>
    </row>
    <row r="1556" spans="21:23" x14ac:dyDescent="0.2">
      <c r="U1556" s="616"/>
      <c r="W1556" s="620" t="e">
        <f t="shared" si="52"/>
        <v>#DIV/0!</v>
      </c>
    </row>
    <row r="1557" spans="21:23" x14ac:dyDescent="0.2">
      <c r="U1557" s="616"/>
      <c r="W1557" s="620" t="e">
        <f t="shared" si="52"/>
        <v>#DIV/0!</v>
      </c>
    </row>
    <row r="1558" spans="21:23" x14ac:dyDescent="0.2">
      <c r="U1558" s="616"/>
      <c r="W1558" s="620" t="e">
        <f t="shared" si="52"/>
        <v>#DIV/0!</v>
      </c>
    </row>
    <row r="1559" spans="21:23" x14ac:dyDescent="0.2">
      <c r="U1559" s="616"/>
      <c r="W1559" s="620" t="e">
        <f t="shared" si="52"/>
        <v>#DIV/0!</v>
      </c>
    </row>
    <row r="1560" spans="21:23" x14ac:dyDescent="0.2">
      <c r="U1560" s="616"/>
      <c r="W1560" s="620" t="e">
        <f t="shared" si="52"/>
        <v>#DIV/0!</v>
      </c>
    </row>
    <row r="1561" spans="21:23" x14ac:dyDescent="0.2">
      <c r="U1561" s="616"/>
      <c r="W1561" s="620" t="e">
        <f t="shared" si="52"/>
        <v>#DIV/0!</v>
      </c>
    </row>
    <row r="1562" spans="21:23" x14ac:dyDescent="0.2">
      <c r="U1562" s="616"/>
      <c r="W1562" s="620" t="e">
        <f t="shared" si="52"/>
        <v>#DIV/0!</v>
      </c>
    </row>
    <row r="1563" spans="21:23" x14ac:dyDescent="0.2">
      <c r="U1563" s="616"/>
      <c r="W1563" s="620" t="e">
        <f t="shared" si="52"/>
        <v>#DIV/0!</v>
      </c>
    </row>
    <row r="1564" spans="21:23" x14ac:dyDescent="0.2">
      <c r="U1564" s="616"/>
      <c r="W1564" s="620" t="e">
        <f t="shared" si="52"/>
        <v>#DIV/0!</v>
      </c>
    </row>
    <row r="1565" spans="21:23" x14ac:dyDescent="0.2">
      <c r="U1565" s="616"/>
      <c r="W1565" s="620" t="e">
        <f t="shared" si="52"/>
        <v>#DIV/0!</v>
      </c>
    </row>
    <row r="1566" spans="21:23" x14ac:dyDescent="0.2">
      <c r="U1566" s="616"/>
      <c r="W1566" s="620" t="e">
        <f t="shared" si="52"/>
        <v>#DIV/0!</v>
      </c>
    </row>
    <row r="1567" spans="21:23" x14ac:dyDescent="0.2">
      <c r="U1567" s="616"/>
      <c r="W1567" s="620" t="e">
        <f t="shared" si="52"/>
        <v>#DIV/0!</v>
      </c>
    </row>
    <row r="1568" spans="21:23" x14ac:dyDescent="0.2">
      <c r="U1568" s="616"/>
      <c r="W1568" s="620" t="e">
        <f t="shared" si="52"/>
        <v>#DIV/0!</v>
      </c>
    </row>
    <row r="1569" spans="21:23" x14ac:dyDescent="0.2">
      <c r="U1569" s="616"/>
      <c r="W1569" s="620" t="e">
        <f t="shared" si="52"/>
        <v>#DIV/0!</v>
      </c>
    </row>
    <row r="1570" spans="21:23" x14ac:dyDescent="0.2">
      <c r="U1570" s="616"/>
      <c r="W1570" s="620" t="e">
        <f t="shared" si="52"/>
        <v>#DIV/0!</v>
      </c>
    </row>
    <row r="1571" spans="21:23" x14ac:dyDescent="0.2">
      <c r="U1571" s="616"/>
      <c r="W1571" s="620" t="e">
        <f t="shared" si="52"/>
        <v>#DIV/0!</v>
      </c>
    </row>
    <row r="1572" spans="21:23" x14ac:dyDescent="0.2">
      <c r="U1572" s="616"/>
      <c r="W1572" s="620" t="e">
        <f t="shared" si="52"/>
        <v>#DIV/0!</v>
      </c>
    </row>
    <row r="1573" spans="21:23" x14ac:dyDescent="0.2">
      <c r="U1573" s="616"/>
      <c r="W1573" s="620" t="e">
        <f t="shared" si="52"/>
        <v>#DIV/0!</v>
      </c>
    </row>
    <row r="1574" spans="21:23" x14ac:dyDescent="0.2">
      <c r="U1574" s="616"/>
      <c r="W1574" s="620" t="e">
        <f t="shared" si="52"/>
        <v>#DIV/0!</v>
      </c>
    </row>
    <row r="1575" spans="21:23" x14ac:dyDescent="0.2">
      <c r="U1575" s="616"/>
      <c r="W1575" s="620" t="e">
        <f t="shared" si="52"/>
        <v>#DIV/0!</v>
      </c>
    </row>
    <row r="1576" spans="21:23" x14ac:dyDescent="0.2">
      <c r="U1576" s="616"/>
      <c r="W1576" s="620" t="e">
        <f t="shared" si="52"/>
        <v>#DIV/0!</v>
      </c>
    </row>
    <row r="1577" spans="21:23" x14ac:dyDescent="0.2">
      <c r="U1577" s="616"/>
      <c r="W1577" s="620" t="e">
        <f t="shared" si="52"/>
        <v>#DIV/0!</v>
      </c>
    </row>
    <row r="1578" spans="21:23" x14ac:dyDescent="0.2">
      <c r="U1578" s="616"/>
      <c r="W1578" s="620" t="e">
        <f t="shared" si="52"/>
        <v>#DIV/0!</v>
      </c>
    </row>
    <row r="1579" spans="21:23" x14ac:dyDescent="0.2">
      <c r="U1579" s="616"/>
      <c r="W1579" s="620" t="e">
        <f t="shared" si="52"/>
        <v>#DIV/0!</v>
      </c>
    </row>
    <row r="1580" spans="21:23" x14ac:dyDescent="0.2">
      <c r="U1580" s="616"/>
      <c r="W1580" s="620" t="e">
        <f t="shared" si="52"/>
        <v>#DIV/0!</v>
      </c>
    </row>
    <row r="1581" spans="21:23" x14ac:dyDescent="0.2">
      <c r="U1581" s="616"/>
      <c r="W1581" s="620" t="e">
        <f t="shared" si="52"/>
        <v>#DIV/0!</v>
      </c>
    </row>
    <row r="1582" spans="21:23" x14ac:dyDescent="0.2">
      <c r="U1582" s="616"/>
      <c r="W1582" s="620" t="e">
        <f t="shared" si="52"/>
        <v>#DIV/0!</v>
      </c>
    </row>
    <row r="1583" spans="21:23" x14ac:dyDescent="0.2">
      <c r="U1583" s="616"/>
      <c r="W1583" s="620" t="e">
        <f t="shared" si="52"/>
        <v>#DIV/0!</v>
      </c>
    </row>
    <row r="1584" spans="21:23" x14ac:dyDescent="0.2">
      <c r="U1584" s="616"/>
      <c r="W1584" s="620" t="e">
        <f t="shared" si="52"/>
        <v>#DIV/0!</v>
      </c>
    </row>
    <row r="1585" spans="21:23" x14ac:dyDescent="0.2">
      <c r="U1585" s="616"/>
      <c r="W1585" s="620" t="e">
        <f t="shared" si="52"/>
        <v>#DIV/0!</v>
      </c>
    </row>
    <row r="1586" spans="21:23" x14ac:dyDescent="0.2">
      <c r="U1586" s="616"/>
      <c r="W1586" s="620" t="e">
        <f t="shared" si="52"/>
        <v>#DIV/0!</v>
      </c>
    </row>
    <row r="1587" spans="21:23" x14ac:dyDescent="0.2">
      <c r="U1587" s="616"/>
      <c r="W1587" s="620" t="e">
        <f t="shared" si="52"/>
        <v>#DIV/0!</v>
      </c>
    </row>
    <row r="1588" spans="21:23" x14ac:dyDescent="0.2">
      <c r="U1588" s="616"/>
      <c r="W1588" s="620" t="e">
        <f t="shared" si="52"/>
        <v>#DIV/0!</v>
      </c>
    </row>
    <row r="1589" spans="21:23" x14ac:dyDescent="0.2">
      <c r="U1589" s="616"/>
      <c r="W1589" s="620" t="e">
        <f t="shared" si="52"/>
        <v>#DIV/0!</v>
      </c>
    </row>
    <row r="1590" spans="21:23" x14ac:dyDescent="0.2">
      <c r="U1590" s="616"/>
      <c r="W1590" s="620" t="e">
        <f t="shared" si="52"/>
        <v>#DIV/0!</v>
      </c>
    </row>
    <row r="1591" spans="21:23" x14ac:dyDescent="0.2">
      <c r="U1591" s="616"/>
      <c r="W1591" s="620" t="e">
        <f t="shared" si="52"/>
        <v>#DIV/0!</v>
      </c>
    </row>
    <row r="1592" spans="21:23" x14ac:dyDescent="0.2">
      <c r="U1592" s="616"/>
      <c r="W1592" s="620" t="e">
        <f t="shared" si="52"/>
        <v>#DIV/0!</v>
      </c>
    </row>
    <row r="1593" spans="21:23" x14ac:dyDescent="0.2">
      <c r="U1593" s="616"/>
      <c r="W1593" s="620" t="e">
        <f t="shared" si="52"/>
        <v>#DIV/0!</v>
      </c>
    </row>
    <row r="1594" spans="21:23" x14ac:dyDescent="0.2">
      <c r="U1594" s="616"/>
      <c r="W1594" s="620" t="e">
        <f t="shared" si="52"/>
        <v>#DIV/0!</v>
      </c>
    </row>
    <row r="1595" spans="21:23" x14ac:dyDescent="0.2">
      <c r="U1595" s="616"/>
      <c r="W1595" s="620" t="e">
        <f t="shared" si="52"/>
        <v>#DIV/0!</v>
      </c>
    </row>
    <row r="1596" spans="21:23" x14ac:dyDescent="0.2">
      <c r="U1596" s="616"/>
      <c r="W1596" s="620" t="e">
        <f t="shared" si="52"/>
        <v>#DIV/0!</v>
      </c>
    </row>
    <row r="1597" spans="21:23" x14ac:dyDescent="0.2">
      <c r="U1597" s="616"/>
      <c r="W1597" s="620" t="e">
        <f t="shared" si="52"/>
        <v>#DIV/0!</v>
      </c>
    </row>
    <row r="1598" spans="21:23" x14ac:dyDescent="0.2">
      <c r="U1598" s="616"/>
      <c r="W1598" s="620" t="e">
        <f t="shared" si="52"/>
        <v>#DIV/0!</v>
      </c>
    </row>
    <row r="1599" spans="21:23" x14ac:dyDescent="0.2">
      <c r="U1599" s="616"/>
      <c r="W1599" s="620" t="e">
        <f t="shared" si="52"/>
        <v>#DIV/0!</v>
      </c>
    </row>
    <row r="1600" spans="21:23" x14ac:dyDescent="0.2">
      <c r="U1600" s="616"/>
      <c r="W1600" s="620" t="e">
        <f t="shared" si="52"/>
        <v>#DIV/0!</v>
      </c>
    </row>
    <row r="1601" spans="21:23" x14ac:dyDescent="0.2">
      <c r="U1601" s="616"/>
      <c r="W1601" s="620" t="e">
        <f t="shared" si="52"/>
        <v>#DIV/0!</v>
      </c>
    </row>
    <row r="1602" spans="21:23" x14ac:dyDescent="0.2">
      <c r="U1602" s="616"/>
      <c r="W1602" s="620" t="e">
        <f t="shared" si="52"/>
        <v>#DIV/0!</v>
      </c>
    </row>
    <row r="1603" spans="21:23" x14ac:dyDescent="0.2">
      <c r="U1603" s="616"/>
      <c r="W1603" s="620" t="e">
        <f t="shared" si="52"/>
        <v>#DIV/0!</v>
      </c>
    </row>
    <row r="1604" spans="21:23" x14ac:dyDescent="0.2">
      <c r="U1604" s="616"/>
      <c r="W1604" s="620" t="e">
        <f t="shared" ref="W1604:W1667" si="53">AVERAGE($V$4:$V$2517)</f>
        <v>#DIV/0!</v>
      </c>
    </row>
    <row r="1605" spans="21:23" x14ac:dyDescent="0.2">
      <c r="U1605" s="616"/>
      <c r="W1605" s="620" t="e">
        <f t="shared" si="53"/>
        <v>#DIV/0!</v>
      </c>
    </row>
    <row r="1606" spans="21:23" x14ac:dyDescent="0.2">
      <c r="U1606" s="616"/>
      <c r="W1606" s="620" t="e">
        <f t="shared" si="53"/>
        <v>#DIV/0!</v>
      </c>
    </row>
    <row r="1607" spans="21:23" x14ac:dyDescent="0.2">
      <c r="U1607" s="616"/>
      <c r="W1607" s="620" t="e">
        <f t="shared" si="53"/>
        <v>#DIV/0!</v>
      </c>
    </row>
    <row r="1608" spans="21:23" x14ac:dyDescent="0.2">
      <c r="U1608" s="616"/>
      <c r="W1608" s="620" t="e">
        <f t="shared" si="53"/>
        <v>#DIV/0!</v>
      </c>
    </row>
    <row r="1609" spans="21:23" x14ac:dyDescent="0.2">
      <c r="U1609" s="616"/>
      <c r="W1609" s="620" t="e">
        <f t="shared" si="53"/>
        <v>#DIV/0!</v>
      </c>
    </row>
    <row r="1610" spans="21:23" x14ac:dyDescent="0.2">
      <c r="U1610" s="616"/>
      <c r="W1610" s="620" t="e">
        <f t="shared" si="53"/>
        <v>#DIV/0!</v>
      </c>
    </row>
    <row r="1611" spans="21:23" x14ac:dyDescent="0.2">
      <c r="U1611" s="616"/>
      <c r="W1611" s="620" t="e">
        <f t="shared" si="53"/>
        <v>#DIV/0!</v>
      </c>
    </row>
    <row r="1612" spans="21:23" x14ac:dyDescent="0.2">
      <c r="U1612" s="616"/>
      <c r="W1612" s="620" t="e">
        <f t="shared" si="53"/>
        <v>#DIV/0!</v>
      </c>
    </row>
    <row r="1613" spans="21:23" x14ac:dyDescent="0.2">
      <c r="U1613" s="616"/>
      <c r="W1613" s="620" t="e">
        <f t="shared" si="53"/>
        <v>#DIV/0!</v>
      </c>
    </row>
    <row r="1614" spans="21:23" x14ac:dyDescent="0.2">
      <c r="U1614" s="616"/>
      <c r="W1614" s="620" t="e">
        <f t="shared" si="53"/>
        <v>#DIV/0!</v>
      </c>
    </row>
    <row r="1615" spans="21:23" x14ac:dyDescent="0.2">
      <c r="U1615" s="616"/>
      <c r="W1615" s="620" t="e">
        <f t="shared" si="53"/>
        <v>#DIV/0!</v>
      </c>
    </row>
    <row r="1616" spans="21:23" x14ac:dyDescent="0.2">
      <c r="U1616" s="616"/>
      <c r="W1616" s="620" t="e">
        <f t="shared" si="53"/>
        <v>#DIV/0!</v>
      </c>
    </row>
    <row r="1617" spans="21:23" x14ac:dyDescent="0.2">
      <c r="U1617" s="616"/>
      <c r="W1617" s="620" t="e">
        <f t="shared" si="53"/>
        <v>#DIV/0!</v>
      </c>
    </row>
    <row r="1618" spans="21:23" x14ac:dyDescent="0.2">
      <c r="U1618" s="616"/>
      <c r="W1618" s="620" t="e">
        <f t="shared" si="53"/>
        <v>#DIV/0!</v>
      </c>
    </row>
    <row r="1619" spans="21:23" x14ac:dyDescent="0.2">
      <c r="U1619" s="616"/>
      <c r="W1619" s="620" t="e">
        <f t="shared" si="53"/>
        <v>#DIV/0!</v>
      </c>
    </row>
    <row r="1620" spans="21:23" x14ac:dyDescent="0.2">
      <c r="U1620" s="616"/>
      <c r="W1620" s="620" t="e">
        <f t="shared" si="53"/>
        <v>#DIV/0!</v>
      </c>
    </row>
    <row r="1621" spans="21:23" x14ac:dyDescent="0.2">
      <c r="U1621" s="616"/>
      <c r="W1621" s="620" t="e">
        <f t="shared" si="53"/>
        <v>#DIV/0!</v>
      </c>
    </row>
    <row r="1622" spans="21:23" x14ac:dyDescent="0.2">
      <c r="U1622" s="616"/>
      <c r="W1622" s="620" t="e">
        <f t="shared" si="53"/>
        <v>#DIV/0!</v>
      </c>
    </row>
    <row r="1623" spans="21:23" x14ac:dyDescent="0.2">
      <c r="U1623" s="616"/>
      <c r="W1623" s="620" t="e">
        <f t="shared" si="53"/>
        <v>#DIV/0!</v>
      </c>
    </row>
    <row r="1624" spans="21:23" x14ac:dyDescent="0.2">
      <c r="U1624" s="616"/>
      <c r="W1624" s="620" t="e">
        <f t="shared" si="53"/>
        <v>#DIV/0!</v>
      </c>
    </row>
    <row r="1625" spans="21:23" x14ac:dyDescent="0.2">
      <c r="U1625" s="616"/>
      <c r="W1625" s="620" t="e">
        <f t="shared" si="53"/>
        <v>#DIV/0!</v>
      </c>
    </row>
    <row r="1626" spans="21:23" x14ac:dyDescent="0.2">
      <c r="U1626" s="616"/>
      <c r="W1626" s="620" t="e">
        <f t="shared" si="53"/>
        <v>#DIV/0!</v>
      </c>
    </row>
    <row r="1627" spans="21:23" x14ac:dyDescent="0.2">
      <c r="U1627" s="616"/>
      <c r="W1627" s="620" t="e">
        <f t="shared" si="53"/>
        <v>#DIV/0!</v>
      </c>
    </row>
    <row r="1628" spans="21:23" x14ac:dyDescent="0.2">
      <c r="U1628" s="616"/>
      <c r="W1628" s="620" t="e">
        <f t="shared" si="53"/>
        <v>#DIV/0!</v>
      </c>
    </row>
    <row r="1629" spans="21:23" x14ac:dyDescent="0.2">
      <c r="U1629" s="616"/>
      <c r="W1629" s="620" t="e">
        <f t="shared" si="53"/>
        <v>#DIV/0!</v>
      </c>
    </row>
    <row r="1630" spans="21:23" x14ac:dyDescent="0.2">
      <c r="U1630" s="616"/>
      <c r="W1630" s="620" t="e">
        <f t="shared" si="53"/>
        <v>#DIV/0!</v>
      </c>
    </row>
    <row r="1631" spans="21:23" x14ac:dyDescent="0.2">
      <c r="U1631" s="616"/>
      <c r="W1631" s="620" t="e">
        <f t="shared" si="53"/>
        <v>#DIV/0!</v>
      </c>
    </row>
    <row r="1632" spans="21:23" x14ac:dyDescent="0.2">
      <c r="U1632" s="616"/>
      <c r="W1632" s="620" t="e">
        <f t="shared" si="53"/>
        <v>#DIV/0!</v>
      </c>
    </row>
    <row r="1633" spans="21:23" x14ac:dyDescent="0.2">
      <c r="U1633" s="616"/>
      <c r="W1633" s="620" t="e">
        <f t="shared" si="53"/>
        <v>#DIV/0!</v>
      </c>
    </row>
    <row r="1634" spans="21:23" x14ac:dyDescent="0.2">
      <c r="U1634" s="616"/>
      <c r="W1634" s="620" t="e">
        <f t="shared" si="53"/>
        <v>#DIV/0!</v>
      </c>
    </row>
    <row r="1635" spans="21:23" x14ac:dyDescent="0.2">
      <c r="U1635" s="616"/>
      <c r="W1635" s="620" t="e">
        <f t="shared" si="53"/>
        <v>#DIV/0!</v>
      </c>
    </row>
    <row r="1636" spans="21:23" x14ac:dyDescent="0.2">
      <c r="U1636" s="616"/>
      <c r="W1636" s="620" t="e">
        <f t="shared" si="53"/>
        <v>#DIV/0!</v>
      </c>
    </row>
    <row r="1637" spans="21:23" x14ac:dyDescent="0.2">
      <c r="U1637" s="616"/>
      <c r="W1637" s="620" t="e">
        <f t="shared" si="53"/>
        <v>#DIV/0!</v>
      </c>
    </row>
    <row r="1638" spans="21:23" x14ac:dyDescent="0.2">
      <c r="U1638" s="616"/>
      <c r="W1638" s="620" t="e">
        <f t="shared" si="53"/>
        <v>#DIV/0!</v>
      </c>
    </row>
    <row r="1639" spans="21:23" x14ac:dyDescent="0.2">
      <c r="U1639" s="616"/>
      <c r="W1639" s="620" t="e">
        <f t="shared" si="53"/>
        <v>#DIV/0!</v>
      </c>
    </row>
    <row r="1640" spans="21:23" x14ac:dyDescent="0.2">
      <c r="U1640" s="616"/>
      <c r="W1640" s="620" t="e">
        <f t="shared" si="53"/>
        <v>#DIV/0!</v>
      </c>
    </row>
    <row r="1641" spans="21:23" x14ac:dyDescent="0.2">
      <c r="U1641" s="616"/>
      <c r="W1641" s="620" t="e">
        <f t="shared" si="53"/>
        <v>#DIV/0!</v>
      </c>
    </row>
    <row r="1642" spans="21:23" x14ac:dyDescent="0.2">
      <c r="U1642" s="616"/>
      <c r="W1642" s="620" t="e">
        <f t="shared" si="53"/>
        <v>#DIV/0!</v>
      </c>
    </row>
    <row r="1643" spans="21:23" x14ac:dyDescent="0.2">
      <c r="U1643" s="616"/>
      <c r="W1643" s="620" t="e">
        <f t="shared" si="53"/>
        <v>#DIV/0!</v>
      </c>
    </row>
    <row r="1644" spans="21:23" x14ac:dyDescent="0.2">
      <c r="U1644" s="616"/>
      <c r="W1644" s="620" t="e">
        <f t="shared" si="53"/>
        <v>#DIV/0!</v>
      </c>
    </row>
    <row r="1645" spans="21:23" x14ac:dyDescent="0.2">
      <c r="U1645" s="616"/>
      <c r="W1645" s="620" t="e">
        <f t="shared" si="53"/>
        <v>#DIV/0!</v>
      </c>
    </row>
    <row r="1646" spans="21:23" x14ac:dyDescent="0.2">
      <c r="U1646" s="616"/>
      <c r="W1646" s="620" t="e">
        <f t="shared" si="53"/>
        <v>#DIV/0!</v>
      </c>
    </row>
    <row r="1647" spans="21:23" x14ac:dyDescent="0.2">
      <c r="U1647" s="616"/>
      <c r="W1647" s="620" t="e">
        <f t="shared" si="53"/>
        <v>#DIV/0!</v>
      </c>
    </row>
    <row r="1648" spans="21:23" x14ac:dyDescent="0.2">
      <c r="U1648" s="616"/>
      <c r="W1648" s="620" t="e">
        <f t="shared" si="53"/>
        <v>#DIV/0!</v>
      </c>
    </row>
    <row r="1649" spans="21:23" x14ac:dyDescent="0.2">
      <c r="U1649" s="616"/>
      <c r="W1649" s="620" t="e">
        <f t="shared" si="53"/>
        <v>#DIV/0!</v>
      </c>
    </row>
    <row r="1650" spans="21:23" x14ac:dyDescent="0.2">
      <c r="U1650" s="616"/>
      <c r="W1650" s="620" t="e">
        <f t="shared" si="53"/>
        <v>#DIV/0!</v>
      </c>
    </row>
    <row r="1651" spans="21:23" x14ac:dyDescent="0.2">
      <c r="U1651" s="616"/>
      <c r="W1651" s="620" t="e">
        <f t="shared" si="53"/>
        <v>#DIV/0!</v>
      </c>
    </row>
    <row r="1652" spans="21:23" x14ac:dyDescent="0.2">
      <c r="U1652" s="616"/>
      <c r="W1652" s="620" t="e">
        <f t="shared" si="53"/>
        <v>#DIV/0!</v>
      </c>
    </row>
    <row r="1653" spans="21:23" x14ac:dyDescent="0.2">
      <c r="U1653" s="616"/>
      <c r="W1653" s="620" t="e">
        <f t="shared" si="53"/>
        <v>#DIV/0!</v>
      </c>
    </row>
    <row r="1654" spans="21:23" x14ac:dyDescent="0.2">
      <c r="U1654" s="616"/>
      <c r="W1654" s="620" t="e">
        <f t="shared" si="53"/>
        <v>#DIV/0!</v>
      </c>
    </row>
    <row r="1655" spans="21:23" x14ac:dyDescent="0.2">
      <c r="U1655" s="616"/>
      <c r="W1655" s="620" t="e">
        <f t="shared" si="53"/>
        <v>#DIV/0!</v>
      </c>
    </row>
    <row r="1656" spans="21:23" x14ac:dyDescent="0.2">
      <c r="U1656" s="616"/>
      <c r="W1656" s="620" t="e">
        <f t="shared" si="53"/>
        <v>#DIV/0!</v>
      </c>
    </row>
    <row r="1657" spans="21:23" x14ac:dyDescent="0.2">
      <c r="U1657" s="616"/>
      <c r="W1657" s="620" t="e">
        <f t="shared" si="53"/>
        <v>#DIV/0!</v>
      </c>
    </row>
    <row r="1658" spans="21:23" x14ac:dyDescent="0.2">
      <c r="U1658" s="616"/>
      <c r="W1658" s="620" t="e">
        <f t="shared" si="53"/>
        <v>#DIV/0!</v>
      </c>
    </row>
    <row r="1659" spans="21:23" x14ac:dyDescent="0.2">
      <c r="U1659" s="616"/>
      <c r="W1659" s="620" t="e">
        <f t="shared" si="53"/>
        <v>#DIV/0!</v>
      </c>
    </row>
    <row r="1660" spans="21:23" x14ac:dyDescent="0.2">
      <c r="U1660" s="616"/>
      <c r="W1660" s="620" t="e">
        <f t="shared" si="53"/>
        <v>#DIV/0!</v>
      </c>
    </row>
    <row r="1661" spans="21:23" x14ac:dyDescent="0.2">
      <c r="U1661" s="616"/>
      <c r="W1661" s="620" t="e">
        <f t="shared" si="53"/>
        <v>#DIV/0!</v>
      </c>
    </row>
    <row r="1662" spans="21:23" x14ac:dyDescent="0.2">
      <c r="U1662" s="616"/>
      <c r="W1662" s="620" t="e">
        <f t="shared" si="53"/>
        <v>#DIV/0!</v>
      </c>
    </row>
    <row r="1663" spans="21:23" x14ac:dyDescent="0.2">
      <c r="U1663" s="616"/>
      <c r="W1663" s="620" t="e">
        <f t="shared" si="53"/>
        <v>#DIV/0!</v>
      </c>
    </row>
    <row r="1664" spans="21:23" x14ac:dyDescent="0.2">
      <c r="U1664" s="616"/>
      <c r="W1664" s="620" t="e">
        <f t="shared" si="53"/>
        <v>#DIV/0!</v>
      </c>
    </row>
    <row r="1665" spans="21:23" x14ac:dyDescent="0.2">
      <c r="U1665" s="616"/>
      <c r="W1665" s="620" t="e">
        <f t="shared" si="53"/>
        <v>#DIV/0!</v>
      </c>
    </row>
    <row r="1666" spans="21:23" x14ac:dyDescent="0.2">
      <c r="U1666" s="616"/>
      <c r="W1666" s="620" t="e">
        <f t="shared" si="53"/>
        <v>#DIV/0!</v>
      </c>
    </row>
    <row r="1667" spans="21:23" x14ac:dyDescent="0.2">
      <c r="U1667" s="616"/>
      <c r="W1667" s="620" t="e">
        <f t="shared" si="53"/>
        <v>#DIV/0!</v>
      </c>
    </row>
    <row r="1668" spans="21:23" x14ac:dyDescent="0.2">
      <c r="U1668" s="616"/>
      <c r="W1668" s="620" t="e">
        <f t="shared" ref="W1668:W1731" si="54">AVERAGE($V$4:$V$2517)</f>
        <v>#DIV/0!</v>
      </c>
    </row>
    <row r="1669" spans="21:23" x14ac:dyDescent="0.2">
      <c r="U1669" s="616"/>
      <c r="W1669" s="620" t="e">
        <f t="shared" si="54"/>
        <v>#DIV/0!</v>
      </c>
    </row>
    <row r="1670" spans="21:23" x14ac:dyDescent="0.2">
      <c r="U1670" s="616"/>
      <c r="W1670" s="620" t="e">
        <f t="shared" si="54"/>
        <v>#DIV/0!</v>
      </c>
    </row>
    <row r="1671" spans="21:23" x14ac:dyDescent="0.2">
      <c r="U1671" s="616"/>
      <c r="W1671" s="620" t="e">
        <f t="shared" si="54"/>
        <v>#DIV/0!</v>
      </c>
    </row>
    <row r="1672" spans="21:23" x14ac:dyDescent="0.2">
      <c r="U1672" s="616"/>
      <c r="W1672" s="620" t="e">
        <f t="shared" si="54"/>
        <v>#DIV/0!</v>
      </c>
    </row>
    <row r="1673" spans="21:23" x14ac:dyDescent="0.2">
      <c r="U1673" s="616"/>
      <c r="W1673" s="620" t="e">
        <f t="shared" si="54"/>
        <v>#DIV/0!</v>
      </c>
    </row>
    <row r="1674" spans="21:23" x14ac:dyDescent="0.2">
      <c r="U1674" s="616"/>
      <c r="W1674" s="620" t="e">
        <f t="shared" si="54"/>
        <v>#DIV/0!</v>
      </c>
    </row>
    <row r="1675" spans="21:23" x14ac:dyDescent="0.2">
      <c r="U1675" s="616"/>
      <c r="W1675" s="620" t="e">
        <f t="shared" si="54"/>
        <v>#DIV/0!</v>
      </c>
    </row>
    <row r="1676" spans="21:23" x14ac:dyDescent="0.2">
      <c r="U1676" s="616"/>
      <c r="W1676" s="620" t="e">
        <f t="shared" si="54"/>
        <v>#DIV/0!</v>
      </c>
    </row>
    <row r="1677" spans="21:23" x14ac:dyDescent="0.2">
      <c r="U1677" s="616"/>
      <c r="W1677" s="620" t="e">
        <f t="shared" si="54"/>
        <v>#DIV/0!</v>
      </c>
    </row>
    <row r="1678" spans="21:23" x14ac:dyDescent="0.2">
      <c r="U1678" s="616"/>
      <c r="W1678" s="620" t="e">
        <f t="shared" si="54"/>
        <v>#DIV/0!</v>
      </c>
    </row>
    <row r="1679" spans="21:23" x14ac:dyDescent="0.2">
      <c r="U1679" s="616"/>
      <c r="W1679" s="620" t="e">
        <f t="shared" si="54"/>
        <v>#DIV/0!</v>
      </c>
    </row>
    <row r="1680" spans="21:23" x14ac:dyDescent="0.2">
      <c r="U1680" s="616"/>
      <c r="W1680" s="620" t="e">
        <f t="shared" si="54"/>
        <v>#DIV/0!</v>
      </c>
    </row>
    <row r="1681" spans="21:23" x14ac:dyDescent="0.2">
      <c r="U1681" s="616"/>
      <c r="W1681" s="620" t="e">
        <f t="shared" si="54"/>
        <v>#DIV/0!</v>
      </c>
    </row>
    <row r="1682" spans="21:23" x14ac:dyDescent="0.2">
      <c r="U1682" s="616"/>
      <c r="W1682" s="620" t="e">
        <f t="shared" si="54"/>
        <v>#DIV/0!</v>
      </c>
    </row>
    <row r="1683" spans="21:23" x14ac:dyDescent="0.2">
      <c r="U1683" s="616"/>
      <c r="W1683" s="620" t="e">
        <f t="shared" si="54"/>
        <v>#DIV/0!</v>
      </c>
    </row>
    <row r="1684" spans="21:23" x14ac:dyDescent="0.2">
      <c r="U1684" s="616"/>
      <c r="W1684" s="620" t="e">
        <f t="shared" si="54"/>
        <v>#DIV/0!</v>
      </c>
    </row>
    <row r="1685" spans="21:23" x14ac:dyDescent="0.2">
      <c r="U1685" s="616"/>
      <c r="W1685" s="620" t="e">
        <f t="shared" si="54"/>
        <v>#DIV/0!</v>
      </c>
    </row>
    <row r="1686" spans="21:23" x14ac:dyDescent="0.2">
      <c r="U1686" s="616"/>
      <c r="W1686" s="620" t="e">
        <f t="shared" si="54"/>
        <v>#DIV/0!</v>
      </c>
    </row>
    <row r="1687" spans="21:23" x14ac:dyDescent="0.2">
      <c r="U1687" s="616"/>
      <c r="W1687" s="620" t="e">
        <f t="shared" si="54"/>
        <v>#DIV/0!</v>
      </c>
    </row>
    <row r="1688" spans="21:23" x14ac:dyDescent="0.2">
      <c r="U1688" s="616"/>
      <c r="W1688" s="620" t="e">
        <f t="shared" si="54"/>
        <v>#DIV/0!</v>
      </c>
    </row>
    <row r="1689" spans="21:23" x14ac:dyDescent="0.2">
      <c r="U1689" s="616"/>
      <c r="W1689" s="620" t="e">
        <f t="shared" si="54"/>
        <v>#DIV/0!</v>
      </c>
    </row>
    <row r="1690" spans="21:23" x14ac:dyDescent="0.2">
      <c r="U1690" s="616"/>
      <c r="W1690" s="620" t="e">
        <f t="shared" si="54"/>
        <v>#DIV/0!</v>
      </c>
    </row>
    <row r="1691" spans="21:23" x14ac:dyDescent="0.2">
      <c r="U1691" s="616"/>
      <c r="W1691" s="620" t="e">
        <f t="shared" si="54"/>
        <v>#DIV/0!</v>
      </c>
    </row>
    <row r="1692" spans="21:23" x14ac:dyDescent="0.2">
      <c r="U1692" s="616"/>
      <c r="W1692" s="620" t="e">
        <f t="shared" si="54"/>
        <v>#DIV/0!</v>
      </c>
    </row>
    <row r="1693" spans="21:23" x14ac:dyDescent="0.2">
      <c r="U1693" s="616"/>
      <c r="W1693" s="620" t="e">
        <f t="shared" si="54"/>
        <v>#DIV/0!</v>
      </c>
    </row>
    <row r="1694" spans="21:23" x14ac:dyDescent="0.2">
      <c r="U1694" s="616"/>
      <c r="W1694" s="620" t="e">
        <f t="shared" si="54"/>
        <v>#DIV/0!</v>
      </c>
    </row>
    <row r="1695" spans="21:23" x14ac:dyDescent="0.2">
      <c r="U1695" s="616"/>
      <c r="W1695" s="620" t="e">
        <f t="shared" si="54"/>
        <v>#DIV/0!</v>
      </c>
    </row>
    <row r="1696" spans="21:23" x14ac:dyDescent="0.2">
      <c r="U1696" s="616"/>
      <c r="W1696" s="620" t="e">
        <f t="shared" si="54"/>
        <v>#DIV/0!</v>
      </c>
    </row>
    <row r="1697" spans="21:23" x14ac:dyDescent="0.2">
      <c r="U1697" s="616"/>
      <c r="W1697" s="620" t="e">
        <f t="shared" si="54"/>
        <v>#DIV/0!</v>
      </c>
    </row>
    <row r="1698" spans="21:23" x14ac:dyDescent="0.2">
      <c r="U1698" s="616"/>
      <c r="W1698" s="620" t="e">
        <f t="shared" si="54"/>
        <v>#DIV/0!</v>
      </c>
    </row>
    <row r="1699" spans="21:23" x14ac:dyDescent="0.2">
      <c r="U1699" s="616"/>
      <c r="W1699" s="620" t="e">
        <f t="shared" si="54"/>
        <v>#DIV/0!</v>
      </c>
    </row>
    <row r="1700" spans="21:23" x14ac:dyDescent="0.2">
      <c r="U1700" s="616"/>
      <c r="W1700" s="620" t="e">
        <f t="shared" si="54"/>
        <v>#DIV/0!</v>
      </c>
    </row>
    <row r="1701" spans="21:23" x14ac:dyDescent="0.2">
      <c r="U1701" s="616"/>
      <c r="W1701" s="620" t="e">
        <f t="shared" si="54"/>
        <v>#DIV/0!</v>
      </c>
    </row>
    <row r="1702" spans="21:23" x14ac:dyDescent="0.2">
      <c r="U1702" s="616"/>
      <c r="W1702" s="620" t="e">
        <f t="shared" si="54"/>
        <v>#DIV/0!</v>
      </c>
    </row>
    <row r="1703" spans="21:23" x14ac:dyDescent="0.2">
      <c r="U1703" s="616"/>
      <c r="W1703" s="620" t="e">
        <f t="shared" si="54"/>
        <v>#DIV/0!</v>
      </c>
    </row>
    <row r="1704" spans="21:23" x14ac:dyDescent="0.2">
      <c r="U1704" s="616"/>
      <c r="W1704" s="620" t="e">
        <f t="shared" si="54"/>
        <v>#DIV/0!</v>
      </c>
    </row>
    <row r="1705" spans="21:23" x14ac:dyDescent="0.2">
      <c r="U1705" s="616"/>
      <c r="W1705" s="620" t="e">
        <f t="shared" si="54"/>
        <v>#DIV/0!</v>
      </c>
    </row>
    <row r="1706" spans="21:23" x14ac:dyDescent="0.2">
      <c r="U1706" s="616"/>
      <c r="W1706" s="620" t="e">
        <f t="shared" si="54"/>
        <v>#DIV/0!</v>
      </c>
    </row>
    <row r="1707" spans="21:23" x14ac:dyDescent="0.2">
      <c r="U1707" s="616"/>
      <c r="W1707" s="620" t="e">
        <f t="shared" si="54"/>
        <v>#DIV/0!</v>
      </c>
    </row>
    <row r="1708" spans="21:23" x14ac:dyDescent="0.2">
      <c r="U1708" s="616"/>
      <c r="W1708" s="620" t="e">
        <f t="shared" si="54"/>
        <v>#DIV/0!</v>
      </c>
    </row>
    <row r="1709" spans="21:23" x14ac:dyDescent="0.2">
      <c r="U1709" s="616"/>
      <c r="W1709" s="620" t="e">
        <f t="shared" si="54"/>
        <v>#DIV/0!</v>
      </c>
    </row>
    <row r="1710" spans="21:23" x14ac:dyDescent="0.2">
      <c r="U1710" s="616"/>
      <c r="W1710" s="620" t="e">
        <f t="shared" si="54"/>
        <v>#DIV/0!</v>
      </c>
    </row>
    <row r="1711" spans="21:23" x14ac:dyDescent="0.2">
      <c r="U1711" s="616"/>
      <c r="W1711" s="620" t="e">
        <f t="shared" si="54"/>
        <v>#DIV/0!</v>
      </c>
    </row>
    <row r="1712" spans="21:23" x14ac:dyDescent="0.2">
      <c r="U1712" s="616"/>
      <c r="W1712" s="620" t="e">
        <f t="shared" si="54"/>
        <v>#DIV/0!</v>
      </c>
    </row>
    <row r="1713" spans="21:23" x14ac:dyDescent="0.2">
      <c r="U1713" s="616"/>
      <c r="W1713" s="620" t="e">
        <f t="shared" si="54"/>
        <v>#DIV/0!</v>
      </c>
    </row>
    <row r="1714" spans="21:23" x14ac:dyDescent="0.2">
      <c r="U1714" s="616"/>
      <c r="W1714" s="620" t="e">
        <f t="shared" si="54"/>
        <v>#DIV/0!</v>
      </c>
    </row>
    <row r="1715" spans="21:23" x14ac:dyDescent="0.2">
      <c r="U1715" s="616"/>
      <c r="W1715" s="620" t="e">
        <f t="shared" si="54"/>
        <v>#DIV/0!</v>
      </c>
    </row>
    <row r="1716" spans="21:23" x14ac:dyDescent="0.2">
      <c r="U1716" s="616"/>
      <c r="W1716" s="620" t="e">
        <f t="shared" si="54"/>
        <v>#DIV/0!</v>
      </c>
    </row>
    <row r="1717" spans="21:23" x14ac:dyDescent="0.2">
      <c r="U1717" s="616"/>
      <c r="W1717" s="620" t="e">
        <f t="shared" si="54"/>
        <v>#DIV/0!</v>
      </c>
    </row>
    <row r="1718" spans="21:23" x14ac:dyDescent="0.2">
      <c r="U1718" s="616"/>
      <c r="W1718" s="620" t="e">
        <f t="shared" si="54"/>
        <v>#DIV/0!</v>
      </c>
    </row>
    <row r="1719" spans="21:23" x14ac:dyDescent="0.2">
      <c r="U1719" s="616"/>
      <c r="W1719" s="620" t="e">
        <f t="shared" si="54"/>
        <v>#DIV/0!</v>
      </c>
    </row>
    <row r="1720" spans="21:23" x14ac:dyDescent="0.2">
      <c r="U1720" s="616"/>
      <c r="W1720" s="620" t="e">
        <f t="shared" si="54"/>
        <v>#DIV/0!</v>
      </c>
    </row>
    <row r="1721" spans="21:23" x14ac:dyDescent="0.2">
      <c r="U1721" s="616"/>
      <c r="W1721" s="620" t="e">
        <f t="shared" si="54"/>
        <v>#DIV/0!</v>
      </c>
    </row>
    <row r="1722" spans="21:23" x14ac:dyDescent="0.2">
      <c r="U1722" s="616"/>
      <c r="W1722" s="620" t="e">
        <f t="shared" si="54"/>
        <v>#DIV/0!</v>
      </c>
    </row>
    <row r="1723" spans="21:23" x14ac:dyDescent="0.2">
      <c r="U1723" s="616"/>
      <c r="W1723" s="620" t="e">
        <f t="shared" si="54"/>
        <v>#DIV/0!</v>
      </c>
    </row>
    <row r="1724" spans="21:23" x14ac:dyDescent="0.2">
      <c r="U1724" s="616"/>
      <c r="W1724" s="620" t="e">
        <f t="shared" si="54"/>
        <v>#DIV/0!</v>
      </c>
    </row>
    <row r="1725" spans="21:23" x14ac:dyDescent="0.2">
      <c r="U1725" s="616"/>
      <c r="W1725" s="620" t="e">
        <f t="shared" si="54"/>
        <v>#DIV/0!</v>
      </c>
    </row>
    <row r="1726" spans="21:23" x14ac:dyDescent="0.2">
      <c r="U1726" s="616"/>
      <c r="W1726" s="620" t="e">
        <f t="shared" si="54"/>
        <v>#DIV/0!</v>
      </c>
    </row>
    <row r="1727" spans="21:23" x14ac:dyDescent="0.2">
      <c r="U1727" s="616"/>
      <c r="W1727" s="620" t="e">
        <f t="shared" si="54"/>
        <v>#DIV/0!</v>
      </c>
    </row>
    <row r="1728" spans="21:23" x14ac:dyDescent="0.2">
      <c r="U1728" s="616"/>
      <c r="W1728" s="620" t="e">
        <f t="shared" si="54"/>
        <v>#DIV/0!</v>
      </c>
    </row>
    <row r="1729" spans="21:23" x14ac:dyDescent="0.2">
      <c r="U1729" s="616"/>
      <c r="W1729" s="620" t="e">
        <f t="shared" si="54"/>
        <v>#DIV/0!</v>
      </c>
    </row>
    <row r="1730" spans="21:23" x14ac:dyDescent="0.2">
      <c r="U1730" s="616"/>
      <c r="W1730" s="620" t="e">
        <f t="shared" si="54"/>
        <v>#DIV/0!</v>
      </c>
    </row>
    <row r="1731" spans="21:23" x14ac:dyDescent="0.2">
      <c r="U1731" s="616"/>
      <c r="W1731" s="620" t="e">
        <f t="shared" si="54"/>
        <v>#DIV/0!</v>
      </c>
    </row>
    <row r="1732" spans="21:23" x14ac:dyDescent="0.2">
      <c r="U1732" s="616"/>
      <c r="W1732" s="620" t="e">
        <f t="shared" ref="W1732:W1795" si="55">AVERAGE($V$4:$V$2517)</f>
        <v>#DIV/0!</v>
      </c>
    </row>
    <row r="1733" spans="21:23" x14ac:dyDescent="0.2">
      <c r="U1733" s="616"/>
      <c r="W1733" s="620" t="e">
        <f t="shared" si="55"/>
        <v>#DIV/0!</v>
      </c>
    </row>
    <row r="1734" spans="21:23" x14ac:dyDescent="0.2">
      <c r="U1734" s="616"/>
      <c r="W1734" s="620" t="e">
        <f t="shared" si="55"/>
        <v>#DIV/0!</v>
      </c>
    </row>
    <row r="1735" spans="21:23" x14ac:dyDescent="0.2">
      <c r="U1735" s="616"/>
      <c r="W1735" s="620" t="e">
        <f t="shared" si="55"/>
        <v>#DIV/0!</v>
      </c>
    </row>
    <row r="1736" spans="21:23" x14ac:dyDescent="0.2">
      <c r="U1736" s="616"/>
      <c r="W1736" s="620" t="e">
        <f t="shared" si="55"/>
        <v>#DIV/0!</v>
      </c>
    </row>
    <row r="1737" spans="21:23" x14ac:dyDescent="0.2">
      <c r="U1737" s="616"/>
      <c r="W1737" s="620" t="e">
        <f t="shared" si="55"/>
        <v>#DIV/0!</v>
      </c>
    </row>
    <row r="1738" spans="21:23" x14ac:dyDescent="0.2">
      <c r="U1738" s="616"/>
      <c r="W1738" s="620" t="e">
        <f t="shared" si="55"/>
        <v>#DIV/0!</v>
      </c>
    </row>
    <row r="1739" spans="21:23" x14ac:dyDescent="0.2">
      <c r="U1739" s="616"/>
      <c r="W1739" s="620" t="e">
        <f t="shared" si="55"/>
        <v>#DIV/0!</v>
      </c>
    </row>
    <row r="1740" spans="21:23" x14ac:dyDescent="0.2">
      <c r="U1740" s="616"/>
      <c r="W1740" s="620" t="e">
        <f t="shared" si="55"/>
        <v>#DIV/0!</v>
      </c>
    </row>
    <row r="1741" spans="21:23" x14ac:dyDescent="0.2">
      <c r="U1741" s="616"/>
      <c r="W1741" s="620" t="e">
        <f t="shared" si="55"/>
        <v>#DIV/0!</v>
      </c>
    </row>
    <row r="1742" spans="21:23" x14ac:dyDescent="0.2">
      <c r="U1742" s="616"/>
      <c r="W1742" s="620" t="e">
        <f t="shared" si="55"/>
        <v>#DIV/0!</v>
      </c>
    </row>
    <row r="1743" spans="21:23" x14ac:dyDescent="0.2">
      <c r="U1743" s="616"/>
      <c r="W1743" s="620" t="e">
        <f t="shared" si="55"/>
        <v>#DIV/0!</v>
      </c>
    </row>
    <row r="1744" spans="21:23" x14ac:dyDescent="0.2">
      <c r="U1744" s="616"/>
      <c r="W1744" s="620" t="e">
        <f t="shared" si="55"/>
        <v>#DIV/0!</v>
      </c>
    </row>
    <row r="1745" spans="21:23" x14ac:dyDescent="0.2">
      <c r="U1745" s="616"/>
      <c r="W1745" s="620" t="e">
        <f t="shared" si="55"/>
        <v>#DIV/0!</v>
      </c>
    </row>
    <row r="1746" spans="21:23" x14ac:dyDescent="0.2">
      <c r="U1746" s="616"/>
      <c r="W1746" s="620" t="e">
        <f t="shared" si="55"/>
        <v>#DIV/0!</v>
      </c>
    </row>
    <row r="1747" spans="21:23" x14ac:dyDescent="0.2">
      <c r="U1747" s="616"/>
      <c r="W1747" s="620" t="e">
        <f t="shared" si="55"/>
        <v>#DIV/0!</v>
      </c>
    </row>
    <row r="1748" spans="21:23" x14ac:dyDescent="0.2">
      <c r="U1748" s="616"/>
      <c r="W1748" s="620" t="e">
        <f t="shared" si="55"/>
        <v>#DIV/0!</v>
      </c>
    </row>
    <row r="1749" spans="21:23" x14ac:dyDescent="0.2">
      <c r="U1749" s="616"/>
      <c r="W1749" s="620" t="e">
        <f t="shared" si="55"/>
        <v>#DIV/0!</v>
      </c>
    </row>
    <row r="1750" spans="21:23" x14ac:dyDescent="0.2">
      <c r="U1750" s="616"/>
      <c r="W1750" s="620" t="e">
        <f t="shared" si="55"/>
        <v>#DIV/0!</v>
      </c>
    </row>
    <row r="1751" spans="21:23" x14ac:dyDescent="0.2">
      <c r="U1751" s="616"/>
      <c r="W1751" s="620" t="e">
        <f t="shared" si="55"/>
        <v>#DIV/0!</v>
      </c>
    </row>
    <row r="1752" spans="21:23" x14ac:dyDescent="0.2">
      <c r="U1752" s="616"/>
      <c r="W1752" s="620" t="e">
        <f t="shared" si="55"/>
        <v>#DIV/0!</v>
      </c>
    </row>
    <row r="1753" spans="21:23" x14ac:dyDescent="0.2">
      <c r="U1753" s="616"/>
      <c r="W1753" s="620" t="e">
        <f t="shared" si="55"/>
        <v>#DIV/0!</v>
      </c>
    </row>
    <row r="1754" spans="21:23" x14ac:dyDescent="0.2">
      <c r="U1754" s="616"/>
      <c r="W1754" s="620" t="e">
        <f t="shared" si="55"/>
        <v>#DIV/0!</v>
      </c>
    </row>
    <row r="1755" spans="21:23" x14ac:dyDescent="0.2">
      <c r="U1755" s="616"/>
      <c r="W1755" s="620" t="e">
        <f t="shared" si="55"/>
        <v>#DIV/0!</v>
      </c>
    </row>
    <row r="1756" spans="21:23" x14ac:dyDescent="0.2">
      <c r="U1756" s="616"/>
      <c r="W1756" s="620" t="e">
        <f t="shared" si="55"/>
        <v>#DIV/0!</v>
      </c>
    </row>
    <row r="1757" spans="21:23" x14ac:dyDescent="0.2">
      <c r="U1757" s="616"/>
      <c r="W1757" s="620" t="e">
        <f t="shared" si="55"/>
        <v>#DIV/0!</v>
      </c>
    </row>
    <row r="1758" spans="21:23" x14ac:dyDescent="0.2">
      <c r="U1758" s="616"/>
      <c r="W1758" s="620" t="e">
        <f t="shared" si="55"/>
        <v>#DIV/0!</v>
      </c>
    </row>
    <row r="1759" spans="21:23" x14ac:dyDescent="0.2">
      <c r="U1759" s="616"/>
      <c r="W1759" s="620" t="e">
        <f t="shared" si="55"/>
        <v>#DIV/0!</v>
      </c>
    </row>
    <row r="1760" spans="21:23" x14ac:dyDescent="0.2">
      <c r="U1760" s="616"/>
      <c r="W1760" s="620" t="e">
        <f t="shared" si="55"/>
        <v>#DIV/0!</v>
      </c>
    </row>
    <row r="1761" spans="21:23" x14ac:dyDescent="0.2">
      <c r="U1761" s="616"/>
      <c r="W1761" s="620" t="e">
        <f t="shared" si="55"/>
        <v>#DIV/0!</v>
      </c>
    </row>
    <row r="1762" spans="21:23" x14ac:dyDescent="0.2">
      <c r="U1762" s="616"/>
      <c r="W1762" s="620" t="e">
        <f t="shared" si="55"/>
        <v>#DIV/0!</v>
      </c>
    </row>
    <row r="1763" spans="21:23" x14ac:dyDescent="0.2">
      <c r="U1763" s="616"/>
      <c r="W1763" s="620" t="e">
        <f t="shared" si="55"/>
        <v>#DIV/0!</v>
      </c>
    </row>
    <row r="1764" spans="21:23" x14ac:dyDescent="0.2">
      <c r="U1764" s="616"/>
      <c r="W1764" s="620" t="e">
        <f t="shared" si="55"/>
        <v>#DIV/0!</v>
      </c>
    </row>
    <row r="1765" spans="21:23" x14ac:dyDescent="0.2">
      <c r="U1765" s="616"/>
      <c r="W1765" s="620" t="e">
        <f t="shared" si="55"/>
        <v>#DIV/0!</v>
      </c>
    </row>
    <row r="1766" spans="21:23" x14ac:dyDescent="0.2">
      <c r="U1766" s="616"/>
      <c r="W1766" s="620" t="e">
        <f t="shared" si="55"/>
        <v>#DIV/0!</v>
      </c>
    </row>
    <row r="1767" spans="21:23" x14ac:dyDescent="0.2">
      <c r="U1767" s="616"/>
      <c r="W1767" s="620" t="e">
        <f t="shared" si="55"/>
        <v>#DIV/0!</v>
      </c>
    </row>
    <row r="1768" spans="21:23" x14ac:dyDescent="0.2">
      <c r="U1768" s="616"/>
      <c r="W1768" s="620" t="e">
        <f t="shared" si="55"/>
        <v>#DIV/0!</v>
      </c>
    </row>
    <row r="1769" spans="21:23" x14ac:dyDescent="0.2">
      <c r="U1769" s="616"/>
      <c r="W1769" s="620" t="e">
        <f t="shared" si="55"/>
        <v>#DIV/0!</v>
      </c>
    </row>
    <row r="1770" spans="21:23" x14ac:dyDescent="0.2">
      <c r="U1770" s="616"/>
      <c r="W1770" s="620" t="e">
        <f t="shared" si="55"/>
        <v>#DIV/0!</v>
      </c>
    </row>
    <row r="1771" spans="21:23" x14ac:dyDescent="0.2">
      <c r="U1771" s="616"/>
      <c r="W1771" s="620" t="e">
        <f t="shared" si="55"/>
        <v>#DIV/0!</v>
      </c>
    </row>
    <row r="1772" spans="21:23" x14ac:dyDescent="0.2">
      <c r="U1772" s="616"/>
      <c r="W1772" s="620" t="e">
        <f t="shared" si="55"/>
        <v>#DIV/0!</v>
      </c>
    </row>
    <row r="1773" spans="21:23" x14ac:dyDescent="0.2">
      <c r="U1773" s="616"/>
      <c r="W1773" s="620" t="e">
        <f t="shared" si="55"/>
        <v>#DIV/0!</v>
      </c>
    </row>
    <row r="1774" spans="21:23" x14ac:dyDescent="0.2">
      <c r="U1774" s="616"/>
      <c r="W1774" s="620" t="e">
        <f t="shared" si="55"/>
        <v>#DIV/0!</v>
      </c>
    </row>
    <row r="1775" spans="21:23" x14ac:dyDescent="0.2">
      <c r="U1775" s="616"/>
      <c r="W1775" s="620" t="e">
        <f t="shared" si="55"/>
        <v>#DIV/0!</v>
      </c>
    </row>
    <row r="1776" spans="21:23" x14ac:dyDescent="0.2">
      <c r="U1776" s="616"/>
      <c r="W1776" s="620" t="e">
        <f t="shared" si="55"/>
        <v>#DIV/0!</v>
      </c>
    </row>
    <row r="1777" spans="21:23" x14ac:dyDescent="0.2">
      <c r="U1777" s="616"/>
      <c r="W1777" s="620" t="e">
        <f t="shared" si="55"/>
        <v>#DIV/0!</v>
      </c>
    </row>
    <row r="1778" spans="21:23" x14ac:dyDescent="0.2">
      <c r="U1778" s="616"/>
      <c r="W1778" s="620" t="e">
        <f t="shared" si="55"/>
        <v>#DIV/0!</v>
      </c>
    </row>
    <row r="1779" spans="21:23" x14ac:dyDescent="0.2">
      <c r="U1779" s="616"/>
      <c r="W1779" s="620" t="e">
        <f t="shared" si="55"/>
        <v>#DIV/0!</v>
      </c>
    </row>
    <row r="1780" spans="21:23" x14ac:dyDescent="0.2">
      <c r="U1780" s="616"/>
      <c r="W1780" s="620" t="e">
        <f t="shared" si="55"/>
        <v>#DIV/0!</v>
      </c>
    </row>
    <row r="1781" spans="21:23" x14ac:dyDescent="0.2">
      <c r="U1781" s="616"/>
      <c r="W1781" s="620" t="e">
        <f t="shared" si="55"/>
        <v>#DIV/0!</v>
      </c>
    </row>
    <row r="1782" spans="21:23" x14ac:dyDescent="0.2">
      <c r="U1782" s="616"/>
      <c r="W1782" s="620" t="e">
        <f t="shared" si="55"/>
        <v>#DIV/0!</v>
      </c>
    </row>
    <row r="1783" spans="21:23" x14ac:dyDescent="0.2">
      <c r="U1783" s="616"/>
      <c r="W1783" s="620" t="e">
        <f t="shared" si="55"/>
        <v>#DIV/0!</v>
      </c>
    </row>
    <row r="1784" spans="21:23" x14ac:dyDescent="0.2">
      <c r="U1784" s="616"/>
      <c r="W1784" s="620" t="e">
        <f t="shared" si="55"/>
        <v>#DIV/0!</v>
      </c>
    </row>
    <row r="1785" spans="21:23" x14ac:dyDescent="0.2">
      <c r="U1785" s="616"/>
      <c r="W1785" s="620" t="e">
        <f t="shared" si="55"/>
        <v>#DIV/0!</v>
      </c>
    </row>
    <row r="1786" spans="21:23" x14ac:dyDescent="0.2">
      <c r="U1786" s="616"/>
      <c r="W1786" s="620" t="e">
        <f t="shared" si="55"/>
        <v>#DIV/0!</v>
      </c>
    </row>
    <row r="1787" spans="21:23" x14ac:dyDescent="0.2">
      <c r="U1787" s="616"/>
      <c r="W1787" s="620" t="e">
        <f t="shared" si="55"/>
        <v>#DIV/0!</v>
      </c>
    </row>
    <row r="1788" spans="21:23" x14ac:dyDescent="0.2">
      <c r="U1788" s="616"/>
      <c r="W1788" s="620" t="e">
        <f t="shared" si="55"/>
        <v>#DIV/0!</v>
      </c>
    </row>
    <row r="1789" spans="21:23" x14ac:dyDescent="0.2">
      <c r="U1789" s="616"/>
      <c r="W1789" s="620" t="e">
        <f t="shared" si="55"/>
        <v>#DIV/0!</v>
      </c>
    </row>
    <row r="1790" spans="21:23" x14ac:dyDescent="0.2">
      <c r="U1790" s="616"/>
      <c r="W1790" s="620" t="e">
        <f t="shared" si="55"/>
        <v>#DIV/0!</v>
      </c>
    </row>
    <row r="1791" spans="21:23" x14ac:dyDescent="0.2">
      <c r="U1791" s="616"/>
      <c r="W1791" s="620" t="e">
        <f t="shared" si="55"/>
        <v>#DIV/0!</v>
      </c>
    </row>
    <row r="1792" spans="21:23" x14ac:dyDescent="0.2">
      <c r="U1792" s="616"/>
      <c r="W1792" s="620" t="e">
        <f t="shared" si="55"/>
        <v>#DIV/0!</v>
      </c>
    </row>
    <row r="1793" spans="21:23" x14ac:dyDescent="0.2">
      <c r="U1793" s="616"/>
      <c r="W1793" s="620" t="e">
        <f t="shared" si="55"/>
        <v>#DIV/0!</v>
      </c>
    </row>
    <row r="1794" spans="21:23" x14ac:dyDescent="0.2">
      <c r="U1794" s="616"/>
      <c r="W1794" s="620" t="e">
        <f t="shared" si="55"/>
        <v>#DIV/0!</v>
      </c>
    </row>
    <row r="1795" spans="21:23" x14ac:dyDescent="0.2">
      <c r="U1795" s="616"/>
      <c r="W1795" s="620" t="e">
        <f t="shared" si="55"/>
        <v>#DIV/0!</v>
      </c>
    </row>
    <row r="1796" spans="21:23" x14ac:dyDescent="0.2">
      <c r="U1796" s="616"/>
      <c r="W1796" s="620" t="e">
        <f t="shared" ref="W1796:W1859" si="56">AVERAGE($V$4:$V$2517)</f>
        <v>#DIV/0!</v>
      </c>
    </row>
    <row r="1797" spans="21:23" x14ac:dyDescent="0.2">
      <c r="U1797" s="616"/>
      <c r="W1797" s="620" t="e">
        <f t="shared" si="56"/>
        <v>#DIV/0!</v>
      </c>
    </row>
    <row r="1798" spans="21:23" x14ac:dyDescent="0.2">
      <c r="U1798" s="616"/>
      <c r="W1798" s="620" t="e">
        <f t="shared" si="56"/>
        <v>#DIV/0!</v>
      </c>
    </row>
    <row r="1799" spans="21:23" x14ac:dyDescent="0.2">
      <c r="U1799" s="616"/>
      <c r="W1799" s="620" t="e">
        <f t="shared" si="56"/>
        <v>#DIV/0!</v>
      </c>
    </row>
    <row r="1800" spans="21:23" x14ac:dyDescent="0.2">
      <c r="U1800" s="616"/>
      <c r="W1800" s="620" t="e">
        <f t="shared" si="56"/>
        <v>#DIV/0!</v>
      </c>
    </row>
    <row r="1801" spans="21:23" x14ac:dyDescent="0.2">
      <c r="U1801" s="616"/>
      <c r="W1801" s="620" t="e">
        <f t="shared" si="56"/>
        <v>#DIV/0!</v>
      </c>
    </row>
    <row r="1802" spans="21:23" x14ac:dyDescent="0.2">
      <c r="U1802" s="616"/>
      <c r="W1802" s="620" t="e">
        <f t="shared" si="56"/>
        <v>#DIV/0!</v>
      </c>
    </row>
    <row r="1803" spans="21:23" x14ac:dyDescent="0.2">
      <c r="U1803" s="616"/>
      <c r="W1803" s="620" t="e">
        <f t="shared" si="56"/>
        <v>#DIV/0!</v>
      </c>
    </row>
    <row r="1804" spans="21:23" x14ac:dyDescent="0.2">
      <c r="U1804" s="616"/>
      <c r="W1804" s="620" t="e">
        <f t="shared" si="56"/>
        <v>#DIV/0!</v>
      </c>
    </row>
    <row r="1805" spans="21:23" x14ac:dyDescent="0.2">
      <c r="U1805" s="616"/>
      <c r="W1805" s="620" t="e">
        <f t="shared" si="56"/>
        <v>#DIV/0!</v>
      </c>
    </row>
    <row r="1806" spans="21:23" x14ac:dyDescent="0.2">
      <c r="U1806" s="616"/>
      <c r="W1806" s="620" t="e">
        <f t="shared" si="56"/>
        <v>#DIV/0!</v>
      </c>
    </row>
    <row r="1807" spans="21:23" x14ac:dyDescent="0.2">
      <c r="U1807" s="616"/>
      <c r="W1807" s="620" t="e">
        <f t="shared" si="56"/>
        <v>#DIV/0!</v>
      </c>
    </row>
    <row r="1808" spans="21:23" x14ac:dyDescent="0.2">
      <c r="U1808" s="616"/>
      <c r="W1808" s="620" t="e">
        <f t="shared" si="56"/>
        <v>#DIV/0!</v>
      </c>
    </row>
    <row r="1809" spans="21:23" x14ac:dyDescent="0.2">
      <c r="U1809" s="616"/>
      <c r="W1809" s="620" t="e">
        <f t="shared" si="56"/>
        <v>#DIV/0!</v>
      </c>
    </row>
    <row r="1810" spans="21:23" x14ac:dyDescent="0.2">
      <c r="U1810" s="616"/>
      <c r="W1810" s="620" t="e">
        <f t="shared" si="56"/>
        <v>#DIV/0!</v>
      </c>
    </row>
    <row r="1811" spans="21:23" x14ac:dyDescent="0.2">
      <c r="U1811" s="616"/>
      <c r="W1811" s="620" t="e">
        <f t="shared" si="56"/>
        <v>#DIV/0!</v>
      </c>
    </row>
    <row r="1812" spans="21:23" x14ac:dyDescent="0.2">
      <c r="U1812" s="616"/>
      <c r="W1812" s="620" t="e">
        <f t="shared" si="56"/>
        <v>#DIV/0!</v>
      </c>
    </row>
    <row r="1813" spans="21:23" x14ac:dyDescent="0.2">
      <c r="U1813" s="616"/>
      <c r="W1813" s="620" t="e">
        <f t="shared" si="56"/>
        <v>#DIV/0!</v>
      </c>
    </row>
    <row r="1814" spans="21:23" x14ac:dyDescent="0.2">
      <c r="U1814" s="616"/>
      <c r="W1814" s="620" t="e">
        <f t="shared" si="56"/>
        <v>#DIV/0!</v>
      </c>
    </row>
    <row r="1815" spans="21:23" x14ac:dyDescent="0.2">
      <c r="U1815" s="616"/>
      <c r="W1815" s="620" t="e">
        <f t="shared" si="56"/>
        <v>#DIV/0!</v>
      </c>
    </row>
    <row r="1816" spans="21:23" x14ac:dyDescent="0.2">
      <c r="U1816" s="616"/>
      <c r="W1816" s="620" t="e">
        <f t="shared" si="56"/>
        <v>#DIV/0!</v>
      </c>
    </row>
    <row r="1817" spans="21:23" x14ac:dyDescent="0.2">
      <c r="U1817" s="616"/>
      <c r="W1817" s="620" t="e">
        <f t="shared" si="56"/>
        <v>#DIV/0!</v>
      </c>
    </row>
    <row r="1818" spans="21:23" x14ac:dyDescent="0.2">
      <c r="U1818" s="616"/>
      <c r="W1818" s="620" t="e">
        <f t="shared" si="56"/>
        <v>#DIV/0!</v>
      </c>
    </row>
    <row r="1819" spans="21:23" x14ac:dyDescent="0.2">
      <c r="U1819" s="616"/>
      <c r="W1819" s="620" t="e">
        <f t="shared" si="56"/>
        <v>#DIV/0!</v>
      </c>
    </row>
    <row r="1820" spans="21:23" x14ac:dyDescent="0.2">
      <c r="U1820" s="616"/>
      <c r="W1820" s="620" t="e">
        <f t="shared" si="56"/>
        <v>#DIV/0!</v>
      </c>
    </row>
    <row r="1821" spans="21:23" x14ac:dyDescent="0.2">
      <c r="U1821" s="616"/>
      <c r="W1821" s="620" t="e">
        <f t="shared" si="56"/>
        <v>#DIV/0!</v>
      </c>
    </row>
    <row r="1822" spans="21:23" x14ac:dyDescent="0.2">
      <c r="U1822" s="616"/>
      <c r="W1822" s="620" t="e">
        <f t="shared" si="56"/>
        <v>#DIV/0!</v>
      </c>
    </row>
    <row r="1823" spans="21:23" x14ac:dyDescent="0.2">
      <c r="U1823" s="616"/>
      <c r="W1823" s="620" t="e">
        <f t="shared" si="56"/>
        <v>#DIV/0!</v>
      </c>
    </row>
    <row r="1824" spans="21:23" x14ac:dyDescent="0.2">
      <c r="U1824" s="616"/>
      <c r="W1824" s="620" t="e">
        <f t="shared" si="56"/>
        <v>#DIV/0!</v>
      </c>
    </row>
    <row r="1825" spans="21:23" x14ac:dyDescent="0.2">
      <c r="U1825" s="616"/>
      <c r="W1825" s="620" t="e">
        <f t="shared" si="56"/>
        <v>#DIV/0!</v>
      </c>
    </row>
    <row r="1826" spans="21:23" x14ac:dyDescent="0.2">
      <c r="U1826" s="616"/>
      <c r="W1826" s="620" t="e">
        <f t="shared" si="56"/>
        <v>#DIV/0!</v>
      </c>
    </row>
    <row r="1827" spans="21:23" x14ac:dyDescent="0.2">
      <c r="U1827" s="616"/>
      <c r="W1827" s="620" t="e">
        <f t="shared" si="56"/>
        <v>#DIV/0!</v>
      </c>
    </row>
    <row r="1828" spans="21:23" x14ac:dyDescent="0.2">
      <c r="U1828" s="616"/>
      <c r="W1828" s="620" t="e">
        <f t="shared" si="56"/>
        <v>#DIV/0!</v>
      </c>
    </row>
    <row r="1829" spans="21:23" x14ac:dyDescent="0.2">
      <c r="U1829" s="616"/>
      <c r="W1829" s="620" t="e">
        <f t="shared" si="56"/>
        <v>#DIV/0!</v>
      </c>
    </row>
    <row r="1830" spans="21:23" x14ac:dyDescent="0.2">
      <c r="U1830" s="616"/>
      <c r="W1830" s="620" t="e">
        <f t="shared" si="56"/>
        <v>#DIV/0!</v>
      </c>
    </row>
    <row r="1831" spans="21:23" x14ac:dyDescent="0.2">
      <c r="U1831" s="616"/>
      <c r="W1831" s="620" t="e">
        <f t="shared" si="56"/>
        <v>#DIV/0!</v>
      </c>
    </row>
    <row r="1832" spans="21:23" x14ac:dyDescent="0.2">
      <c r="U1832" s="616"/>
      <c r="W1832" s="620" t="e">
        <f t="shared" si="56"/>
        <v>#DIV/0!</v>
      </c>
    </row>
    <row r="1833" spans="21:23" x14ac:dyDescent="0.2">
      <c r="U1833" s="616"/>
      <c r="W1833" s="620" t="e">
        <f t="shared" si="56"/>
        <v>#DIV/0!</v>
      </c>
    </row>
    <row r="1834" spans="21:23" x14ac:dyDescent="0.2">
      <c r="U1834" s="616"/>
      <c r="W1834" s="620" t="e">
        <f t="shared" si="56"/>
        <v>#DIV/0!</v>
      </c>
    </row>
    <row r="1835" spans="21:23" x14ac:dyDescent="0.2">
      <c r="U1835" s="616"/>
      <c r="W1835" s="620" t="e">
        <f t="shared" si="56"/>
        <v>#DIV/0!</v>
      </c>
    </row>
    <row r="1836" spans="21:23" x14ac:dyDescent="0.2">
      <c r="U1836" s="616"/>
      <c r="W1836" s="620" t="e">
        <f t="shared" si="56"/>
        <v>#DIV/0!</v>
      </c>
    </row>
    <row r="1837" spans="21:23" x14ac:dyDescent="0.2">
      <c r="U1837" s="616"/>
      <c r="W1837" s="620" t="e">
        <f t="shared" si="56"/>
        <v>#DIV/0!</v>
      </c>
    </row>
    <row r="1838" spans="21:23" x14ac:dyDescent="0.2">
      <c r="U1838" s="616"/>
      <c r="W1838" s="620" t="e">
        <f t="shared" si="56"/>
        <v>#DIV/0!</v>
      </c>
    </row>
    <row r="1839" spans="21:23" x14ac:dyDescent="0.2">
      <c r="U1839" s="616"/>
      <c r="W1839" s="620" t="e">
        <f t="shared" si="56"/>
        <v>#DIV/0!</v>
      </c>
    </row>
    <row r="1840" spans="21:23" x14ac:dyDescent="0.2">
      <c r="U1840" s="616"/>
      <c r="W1840" s="620" t="e">
        <f t="shared" si="56"/>
        <v>#DIV/0!</v>
      </c>
    </row>
    <row r="1841" spans="21:23" x14ac:dyDescent="0.2">
      <c r="U1841" s="616"/>
      <c r="W1841" s="620" t="e">
        <f t="shared" si="56"/>
        <v>#DIV/0!</v>
      </c>
    </row>
    <row r="1842" spans="21:23" x14ac:dyDescent="0.2">
      <c r="U1842" s="616"/>
      <c r="W1842" s="620" t="e">
        <f t="shared" si="56"/>
        <v>#DIV/0!</v>
      </c>
    </row>
    <row r="1843" spans="21:23" x14ac:dyDescent="0.2">
      <c r="U1843" s="616"/>
      <c r="W1843" s="620" t="e">
        <f t="shared" si="56"/>
        <v>#DIV/0!</v>
      </c>
    </row>
    <row r="1844" spans="21:23" x14ac:dyDescent="0.2">
      <c r="U1844" s="616"/>
      <c r="W1844" s="620" t="e">
        <f t="shared" si="56"/>
        <v>#DIV/0!</v>
      </c>
    </row>
    <row r="1845" spans="21:23" x14ac:dyDescent="0.2">
      <c r="U1845" s="616"/>
      <c r="W1845" s="620" t="e">
        <f t="shared" si="56"/>
        <v>#DIV/0!</v>
      </c>
    </row>
    <row r="1846" spans="21:23" x14ac:dyDescent="0.2">
      <c r="U1846" s="616"/>
      <c r="W1846" s="620" t="e">
        <f t="shared" si="56"/>
        <v>#DIV/0!</v>
      </c>
    </row>
    <row r="1847" spans="21:23" x14ac:dyDescent="0.2">
      <c r="U1847" s="616"/>
      <c r="W1847" s="620" t="e">
        <f t="shared" si="56"/>
        <v>#DIV/0!</v>
      </c>
    </row>
    <row r="1848" spans="21:23" x14ac:dyDescent="0.2">
      <c r="U1848" s="616"/>
      <c r="W1848" s="620" t="e">
        <f t="shared" si="56"/>
        <v>#DIV/0!</v>
      </c>
    </row>
    <row r="1849" spans="21:23" x14ac:dyDescent="0.2">
      <c r="U1849" s="616"/>
      <c r="W1849" s="620" t="e">
        <f t="shared" si="56"/>
        <v>#DIV/0!</v>
      </c>
    </row>
    <row r="1850" spans="21:23" x14ac:dyDescent="0.2">
      <c r="U1850" s="616"/>
      <c r="W1850" s="620" t="e">
        <f t="shared" si="56"/>
        <v>#DIV/0!</v>
      </c>
    </row>
    <row r="1851" spans="21:23" x14ac:dyDescent="0.2">
      <c r="U1851" s="616"/>
      <c r="W1851" s="620" t="e">
        <f t="shared" si="56"/>
        <v>#DIV/0!</v>
      </c>
    </row>
    <row r="1852" spans="21:23" x14ac:dyDescent="0.2">
      <c r="U1852" s="616"/>
      <c r="W1852" s="620" t="e">
        <f t="shared" si="56"/>
        <v>#DIV/0!</v>
      </c>
    </row>
    <row r="1853" spans="21:23" x14ac:dyDescent="0.2">
      <c r="U1853" s="616"/>
      <c r="W1853" s="620" t="e">
        <f t="shared" si="56"/>
        <v>#DIV/0!</v>
      </c>
    </row>
    <row r="1854" spans="21:23" x14ac:dyDescent="0.2">
      <c r="U1854" s="616"/>
      <c r="W1854" s="620" t="e">
        <f t="shared" si="56"/>
        <v>#DIV/0!</v>
      </c>
    </row>
    <row r="1855" spans="21:23" x14ac:dyDescent="0.2">
      <c r="U1855" s="616"/>
      <c r="W1855" s="620" t="e">
        <f t="shared" si="56"/>
        <v>#DIV/0!</v>
      </c>
    </row>
    <row r="1856" spans="21:23" x14ac:dyDescent="0.2">
      <c r="U1856" s="616"/>
      <c r="W1856" s="620" t="e">
        <f t="shared" si="56"/>
        <v>#DIV/0!</v>
      </c>
    </row>
    <row r="1857" spans="21:23" x14ac:dyDescent="0.2">
      <c r="U1857" s="616"/>
      <c r="W1857" s="620" t="e">
        <f t="shared" si="56"/>
        <v>#DIV/0!</v>
      </c>
    </row>
    <row r="1858" spans="21:23" x14ac:dyDescent="0.2">
      <c r="U1858" s="616"/>
      <c r="W1858" s="620" t="e">
        <f t="shared" si="56"/>
        <v>#DIV/0!</v>
      </c>
    </row>
    <row r="1859" spans="21:23" x14ac:dyDescent="0.2">
      <c r="U1859" s="616"/>
      <c r="W1859" s="620" t="e">
        <f t="shared" si="56"/>
        <v>#DIV/0!</v>
      </c>
    </row>
    <row r="1860" spans="21:23" x14ac:dyDescent="0.2">
      <c r="U1860" s="616"/>
      <c r="W1860" s="620" t="e">
        <f t="shared" ref="W1860:W1923" si="57">AVERAGE($V$4:$V$2517)</f>
        <v>#DIV/0!</v>
      </c>
    </row>
    <row r="1861" spans="21:23" x14ac:dyDescent="0.2">
      <c r="U1861" s="616"/>
      <c r="W1861" s="620" t="e">
        <f t="shared" si="57"/>
        <v>#DIV/0!</v>
      </c>
    </row>
    <row r="1862" spans="21:23" x14ac:dyDescent="0.2">
      <c r="U1862" s="616"/>
      <c r="W1862" s="620" t="e">
        <f t="shared" si="57"/>
        <v>#DIV/0!</v>
      </c>
    </row>
    <row r="1863" spans="21:23" x14ac:dyDescent="0.2">
      <c r="U1863" s="616"/>
      <c r="W1863" s="620" t="e">
        <f t="shared" si="57"/>
        <v>#DIV/0!</v>
      </c>
    </row>
    <row r="1864" spans="21:23" x14ac:dyDescent="0.2">
      <c r="U1864" s="616"/>
      <c r="W1864" s="620" t="e">
        <f t="shared" si="57"/>
        <v>#DIV/0!</v>
      </c>
    </row>
    <row r="1865" spans="21:23" x14ac:dyDescent="0.2">
      <c r="U1865" s="616"/>
      <c r="W1865" s="620" t="e">
        <f t="shared" si="57"/>
        <v>#DIV/0!</v>
      </c>
    </row>
    <row r="1866" spans="21:23" x14ac:dyDescent="0.2">
      <c r="U1866" s="616"/>
      <c r="W1866" s="620" t="e">
        <f t="shared" si="57"/>
        <v>#DIV/0!</v>
      </c>
    </row>
    <row r="1867" spans="21:23" x14ac:dyDescent="0.2">
      <c r="U1867" s="616"/>
      <c r="W1867" s="620" t="e">
        <f t="shared" si="57"/>
        <v>#DIV/0!</v>
      </c>
    </row>
    <row r="1868" spans="21:23" x14ac:dyDescent="0.2">
      <c r="U1868" s="616"/>
      <c r="W1868" s="620" t="e">
        <f t="shared" si="57"/>
        <v>#DIV/0!</v>
      </c>
    </row>
    <row r="1869" spans="21:23" x14ac:dyDescent="0.2">
      <c r="U1869" s="616"/>
      <c r="W1869" s="620" t="e">
        <f t="shared" si="57"/>
        <v>#DIV/0!</v>
      </c>
    </row>
    <row r="1870" spans="21:23" x14ac:dyDescent="0.2">
      <c r="U1870" s="616"/>
      <c r="W1870" s="620" t="e">
        <f t="shared" si="57"/>
        <v>#DIV/0!</v>
      </c>
    </row>
    <row r="1871" spans="21:23" x14ac:dyDescent="0.2">
      <c r="U1871" s="616"/>
      <c r="W1871" s="620" t="e">
        <f t="shared" si="57"/>
        <v>#DIV/0!</v>
      </c>
    </row>
    <row r="1872" spans="21:23" x14ac:dyDescent="0.2">
      <c r="U1872" s="616"/>
      <c r="W1872" s="620" t="e">
        <f t="shared" si="57"/>
        <v>#DIV/0!</v>
      </c>
    </row>
    <row r="1873" spans="21:23" x14ac:dyDescent="0.2">
      <c r="U1873" s="616"/>
      <c r="W1873" s="620" t="e">
        <f t="shared" si="57"/>
        <v>#DIV/0!</v>
      </c>
    </row>
    <row r="1874" spans="21:23" x14ac:dyDescent="0.2">
      <c r="U1874" s="616"/>
      <c r="W1874" s="620" t="e">
        <f t="shared" si="57"/>
        <v>#DIV/0!</v>
      </c>
    </row>
    <row r="1875" spans="21:23" x14ac:dyDescent="0.2">
      <c r="U1875" s="616"/>
      <c r="W1875" s="620" t="e">
        <f t="shared" si="57"/>
        <v>#DIV/0!</v>
      </c>
    </row>
    <row r="1876" spans="21:23" x14ac:dyDescent="0.2">
      <c r="U1876" s="616"/>
      <c r="W1876" s="620" t="e">
        <f t="shared" si="57"/>
        <v>#DIV/0!</v>
      </c>
    </row>
    <row r="1877" spans="21:23" x14ac:dyDescent="0.2">
      <c r="U1877" s="616"/>
      <c r="W1877" s="620" t="e">
        <f t="shared" si="57"/>
        <v>#DIV/0!</v>
      </c>
    </row>
    <row r="1878" spans="21:23" x14ac:dyDescent="0.2">
      <c r="U1878" s="616"/>
      <c r="W1878" s="620" t="e">
        <f t="shared" si="57"/>
        <v>#DIV/0!</v>
      </c>
    </row>
    <row r="1879" spans="21:23" x14ac:dyDescent="0.2">
      <c r="U1879" s="616"/>
      <c r="W1879" s="620" t="e">
        <f t="shared" si="57"/>
        <v>#DIV/0!</v>
      </c>
    </row>
    <row r="1880" spans="21:23" x14ac:dyDescent="0.2">
      <c r="U1880" s="616"/>
      <c r="W1880" s="620" t="e">
        <f t="shared" si="57"/>
        <v>#DIV/0!</v>
      </c>
    </row>
    <row r="1881" spans="21:23" x14ac:dyDescent="0.2">
      <c r="U1881" s="616"/>
      <c r="W1881" s="620" t="e">
        <f t="shared" si="57"/>
        <v>#DIV/0!</v>
      </c>
    </row>
    <row r="1882" spans="21:23" x14ac:dyDescent="0.2">
      <c r="U1882" s="616"/>
      <c r="W1882" s="620" t="e">
        <f t="shared" si="57"/>
        <v>#DIV/0!</v>
      </c>
    </row>
    <row r="1883" spans="21:23" x14ac:dyDescent="0.2">
      <c r="U1883" s="616"/>
      <c r="W1883" s="620" t="e">
        <f t="shared" si="57"/>
        <v>#DIV/0!</v>
      </c>
    </row>
    <row r="1884" spans="21:23" x14ac:dyDescent="0.2">
      <c r="U1884" s="616"/>
      <c r="W1884" s="620" t="e">
        <f t="shared" si="57"/>
        <v>#DIV/0!</v>
      </c>
    </row>
    <row r="1885" spans="21:23" x14ac:dyDescent="0.2">
      <c r="U1885" s="616"/>
      <c r="W1885" s="620" t="e">
        <f t="shared" si="57"/>
        <v>#DIV/0!</v>
      </c>
    </row>
    <row r="1886" spans="21:23" x14ac:dyDescent="0.2">
      <c r="U1886" s="616"/>
      <c r="W1886" s="620" t="e">
        <f t="shared" si="57"/>
        <v>#DIV/0!</v>
      </c>
    </row>
    <row r="1887" spans="21:23" x14ac:dyDescent="0.2">
      <c r="U1887" s="616"/>
      <c r="W1887" s="620" t="e">
        <f t="shared" si="57"/>
        <v>#DIV/0!</v>
      </c>
    </row>
    <row r="1888" spans="21:23" x14ac:dyDescent="0.2">
      <c r="U1888" s="616"/>
      <c r="W1888" s="620" t="e">
        <f t="shared" si="57"/>
        <v>#DIV/0!</v>
      </c>
    </row>
    <row r="1889" spans="21:23" x14ac:dyDescent="0.2">
      <c r="U1889" s="616"/>
      <c r="W1889" s="620" t="e">
        <f t="shared" si="57"/>
        <v>#DIV/0!</v>
      </c>
    </row>
    <row r="1890" spans="21:23" x14ac:dyDescent="0.2">
      <c r="U1890" s="616"/>
      <c r="W1890" s="620" t="e">
        <f t="shared" si="57"/>
        <v>#DIV/0!</v>
      </c>
    </row>
    <row r="1891" spans="21:23" x14ac:dyDescent="0.2">
      <c r="U1891" s="616"/>
      <c r="W1891" s="620" t="e">
        <f t="shared" si="57"/>
        <v>#DIV/0!</v>
      </c>
    </row>
    <row r="1892" spans="21:23" x14ac:dyDescent="0.2">
      <c r="U1892" s="616"/>
      <c r="W1892" s="620" t="e">
        <f t="shared" si="57"/>
        <v>#DIV/0!</v>
      </c>
    </row>
    <row r="1893" spans="21:23" x14ac:dyDescent="0.2">
      <c r="U1893" s="616"/>
      <c r="W1893" s="620" t="e">
        <f t="shared" si="57"/>
        <v>#DIV/0!</v>
      </c>
    </row>
    <row r="1894" spans="21:23" x14ac:dyDescent="0.2">
      <c r="U1894" s="616"/>
      <c r="W1894" s="620" t="e">
        <f t="shared" si="57"/>
        <v>#DIV/0!</v>
      </c>
    </row>
    <row r="1895" spans="21:23" x14ac:dyDescent="0.2">
      <c r="U1895" s="616"/>
      <c r="W1895" s="620" t="e">
        <f t="shared" si="57"/>
        <v>#DIV/0!</v>
      </c>
    </row>
    <row r="1896" spans="21:23" x14ac:dyDescent="0.2">
      <c r="U1896" s="616"/>
      <c r="W1896" s="620" t="e">
        <f t="shared" si="57"/>
        <v>#DIV/0!</v>
      </c>
    </row>
    <row r="1897" spans="21:23" x14ac:dyDescent="0.2">
      <c r="U1897" s="616"/>
      <c r="W1897" s="620" t="e">
        <f t="shared" si="57"/>
        <v>#DIV/0!</v>
      </c>
    </row>
    <row r="1898" spans="21:23" x14ac:dyDescent="0.2">
      <c r="U1898" s="616"/>
      <c r="W1898" s="620" t="e">
        <f t="shared" si="57"/>
        <v>#DIV/0!</v>
      </c>
    </row>
    <row r="1899" spans="21:23" x14ac:dyDescent="0.2">
      <c r="U1899" s="616"/>
      <c r="W1899" s="620" t="e">
        <f t="shared" si="57"/>
        <v>#DIV/0!</v>
      </c>
    </row>
    <row r="1900" spans="21:23" x14ac:dyDescent="0.2">
      <c r="U1900" s="616"/>
      <c r="W1900" s="620" t="e">
        <f t="shared" si="57"/>
        <v>#DIV/0!</v>
      </c>
    </row>
    <row r="1901" spans="21:23" x14ac:dyDescent="0.2">
      <c r="U1901" s="616"/>
      <c r="W1901" s="620" t="e">
        <f t="shared" si="57"/>
        <v>#DIV/0!</v>
      </c>
    </row>
    <row r="1902" spans="21:23" x14ac:dyDescent="0.2">
      <c r="U1902" s="616"/>
      <c r="W1902" s="620" t="e">
        <f t="shared" si="57"/>
        <v>#DIV/0!</v>
      </c>
    </row>
    <row r="1903" spans="21:23" x14ac:dyDescent="0.2">
      <c r="U1903" s="616"/>
      <c r="W1903" s="620" t="e">
        <f t="shared" si="57"/>
        <v>#DIV/0!</v>
      </c>
    </row>
    <row r="1904" spans="21:23" x14ac:dyDescent="0.2">
      <c r="U1904" s="616"/>
      <c r="W1904" s="620" t="e">
        <f t="shared" si="57"/>
        <v>#DIV/0!</v>
      </c>
    </row>
    <row r="1905" spans="21:23" x14ac:dyDescent="0.2">
      <c r="U1905" s="616"/>
      <c r="W1905" s="620" t="e">
        <f t="shared" si="57"/>
        <v>#DIV/0!</v>
      </c>
    </row>
    <row r="1906" spans="21:23" x14ac:dyDescent="0.2">
      <c r="U1906" s="616"/>
      <c r="W1906" s="620" t="e">
        <f t="shared" si="57"/>
        <v>#DIV/0!</v>
      </c>
    </row>
    <row r="1907" spans="21:23" x14ac:dyDescent="0.2">
      <c r="U1907" s="616"/>
      <c r="W1907" s="620" t="e">
        <f t="shared" si="57"/>
        <v>#DIV/0!</v>
      </c>
    </row>
    <row r="1908" spans="21:23" x14ac:dyDescent="0.2">
      <c r="U1908" s="616"/>
      <c r="W1908" s="620" t="e">
        <f t="shared" si="57"/>
        <v>#DIV/0!</v>
      </c>
    </row>
    <row r="1909" spans="21:23" x14ac:dyDescent="0.2">
      <c r="U1909" s="616"/>
      <c r="W1909" s="620" t="e">
        <f t="shared" si="57"/>
        <v>#DIV/0!</v>
      </c>
    </row>
    <row r="1910" spans="21:23" x14ac:dyDescent="0.2">
      <c r="U1910" s="616"/>
      <c r="W1910" s="620" t="e">
        <f t="shared" si="57"/>
        <v>#DIV/0!</v>
      </c>
    </row>
    <row r="1911" spans="21:23" x14ac:dyDescent="0.2">
      <c r="U1911" s="616"/>
      <c r="W1911" s="620" t="e">
        <f t="shared" si="57"/>
        <v>#DIV/0!</v>
      </c>
    </row>
    <row r="1912" spans="21:23" x14ac:dyDescent="0.2">
      <c r="U1912" s="616"/>
      <c r="W1912" s="620" t="e">
        <f t="shared" si="57"/>
        <v>#DIV/0!</v>
      </c>
    </row>
    <row r="1913" spans="21:23" x14ac:dyDescent="0.2">
      <c r="U1913" s="616"/>
      <c r="W1913" s="620" t="e">
        <f t="shared" si="57"/>
        <v>#DIV/0!</v>
      </c>
    </row>
    <row r="1914" spans="21:23" x14ac:dyDescent="0.2">
      <c r="U1914" s="616"/>
      <c r="W1914" s="620" t="e">
        <f t="shared" si="57"/>
        <v>#DIV/0!</v>
      </c>
    </row>
    <row r="1915" spans="21:23" x14ac:dyDescent="0.2">
      <c r="U1915" s="616"/>
      <c r="W1915" s="620" t="e">
        <f t="shared" si="57"/>
        <v>#DIV/0!</v>
      </c>
    </row>
    <row r="1916" spans="21:23" x14ac:dyDescent="0.2">
      <c r="U1916" s="616"/>
      <c r="W1916" s="620" t="e">
        <f t="shared" si="57"/>
        <v>#DIV/0!</v>
      </c>
    </row>
    <row r="1917" spans="21:23" x14ac:dyDescent="0.2">
      <c r="U1917" s="616"/>
      <c r="W1917" s="620" t="e">
        <f t="shared" si="57"/>
        <v>#DIV/0!</v>
      </c>
    </row>
    <row r="1918" spans="21:23" x14ac:dyDescent="0.2">
      <c r="U1918" s="616"/>
      <c r="W1918" s="620" t="e">
        <f t="shared" si="57"/>
        <v>#DIV/0!</v>
      </c>
    </row>
    <row r="1919" spans="21:23" x14ac:dyDescent="0.2">
      <c r="U1919" s="616"/>
      <c r="W1919" s="620" t="e">
        <f t="shared" si="57"/>
        <v>#DIV/0!</v>
      </c>
    </row>
    <row r="1920" spans="21:23" x14ac:dyDescent="0.2">
      <c r="U1920" s="616"/>
      <c r="W1920" s="620" t="e">
        <f t="shared" si="57"/>
        <v>#DIV/0!</v>
      </c>
    </row>
    <row r="1921" spans="21:23" x14ac:dyDescent="0.2">
      <c r="U1921" s="616"/>
      <c r="W1921" s="620" t="e">
        <f t="shared" si="57"/>
        <v>#DIV/0!</v>
      </c>
    </row>
    <row r="1922" spans="21:23" x14ac:dyDescent="0.2">
      <c r="U1922" s="616"/>
      <c r="W1922" s="620" t="e">
        <f t="shared" si="57"/>
        <v>#DIV/0!</v>
      </c>
    </row>
    <row r="1923" spans="21:23" x14ac:dyDescent="0.2">
      <c r="U1923" s="616"/>
      <c r="W1923" s="620" t="e">
        <f t="shared" si="57"/>
        <v>#DIV/0!</v>
      </c>
    </row>
    <row r="1924" spans="21:23" x14ac:dyDescent="0.2">
      <c r="U1924" s="616"/>
      <c r="W1924" s="620" t="e">
        <f t="shared" ref="W1924:W1987" si="58">AVERAGE($V$4:$V$2517)</f>
        <v>#DIV/0!</v>
      </c>
    </row>
    <row r="1925" spans="21:23" x14ac:dyDescent="0.2">
      <c r="U1925" s="616"/>
      <c r="W1925" s="620" t="e">
        <f t="shared" si="58"/>
        <v>#DIV/0!</v>
      </c>
    </row>
    <row r="1926" spans="21:23" x14ac:dyDescent="0.2">
      <c r="U1926" s="616"/>
      <c r="W1926" s="620" t="e">
        <f t="shared" si="58"/>
        <v>#DIV/0!</v>
      </c>
    </row>
    <row r="1927" spans="21:23" x14ac:dyDescent="0.2">
      <c r="U1927" s="616"/>
      <c r="W1927" s="620" t="e">
        <f t="shared" si="58"/>
        <v>#DIV/0!</v>
      </c>
    </row>
    <row r="1928" spans="21:23" x14ac:dyDescent="0.2">
      <c r="U1928" s="616"/>
      <c r="W1928" s="620" t="e">
        <f t="shared" si="58"/>
        <v>#DIV/0!</v>
      </c>
    </row>
    <row r="1929" spans="21:23" x14ac:dyDescent="0.2">
      <c r="U1929" s="616"/>
      <c r="W1929" s="620" t="e">
        <f t="shared" si="58"/>
        <v>#DIV/0!</v>
      </c>
    </row>
    <row r="1930" spans="21:23" x14ac:dyDescent="0.2">
      <c r="U1930" s="616"/>
      <c r="W1930" s="620" t="e">
        <f t="shared" si="58"/>
        <v>#DIV/0!</v>
      </c>
    </row>
    <row r="1931" spans="21:23" x14ac:dyDescent="0.2">
      <c r="U1931" s="616"/>
      <c r="W1931" s="620" t="e">
        <f t="shared" si="58"/>
        <v>#DIV/0!</v>
      </c>
    </row>
    <row r="1932" spans="21:23" x14ac:dyDescent="0.2">
      <c r="U1932" s="616"/>
      <c r="W1932" s="620" t="e">
        <f t="shared" si="58"/>
        <v>#DIV/0!</v>
      </c>
    </row>
    <row r="1933" spans="21:23" x14ac:dyDescent="0.2">
      <c r="U1933" s="616"/>
      <c r="W1933" s="620" t="e">
        <f t="shared" si="58"/>
        <v>#DIV/0!</v>
      </c>
    </row>
    <row r="1934" spans="21:23" x14ac:dyDescent="0.2">
      <c r="U1934" s="616"/>
      <c r="W1934" s="620" t="e">
        <f t="shared" si="58"/>
        <v>#DIV/0!</v>
      </c>
    </row>
    <row r="1935" spans="21:23" x14ac:dyDescent="0.2">
      <c r="U1935" s="616"/>
      <c r="W1935" s="620" t="e">
        <f t="shared" si="58"/>
        <v>#DIV/0!</v>
      </c>
    </row>
    <row r="1936" spans="21:23" x14ac:dyDescent="0.2">
      <c r="U1936" s="616"/>
      <c r="W1936" s="620" t="e">
        <f t="shared" si="58"/>
        <v>#DIV/0!</v>
      </c>
    </row>
    <row r="1937" spans="21:23" x14ac:dyDescent="0.2">
      <c r="U1937" s="616"/>
      <c r="W1937" s="620" t="e">
        <f t="shared" si="58"/>
        <v>#DIV/0!</v>
      </c>
    </row>
    <row r="1938" spans="21:23" x14ac:dyDescent="0.2">
      <c r="U1938" s="616"/>
      <c r="W1938" s="620" t="e">
        <f t="shared" si="58"/>
        <v>#DIV/0!</v>
      </c>
    </row>
    <row r="1939" spans="21:23" x14ac:dyDescent="0.2">
      <c r="U1939" s="616"/>
      <c r="W1939" s="620" t="e">
        <f t="shared" si="58"/>
        <v>#DIV/0!</v>
      </c>
    </row>
    <row r="1940" spans="21:23" x14ac:dyDescent="0.2">
      <c r="U1940" s="616"/>
      <c r="W1940" s="620" t="e">
        <f t="shared" si="58"/>
        <v>#DIV/0!</v>
      </c>
    </row>
    <row r="1941" spans="21:23" x14ac:dyDescent="0.2">
      <c r="U1941" s="616"/>
      <c r="W1941" s="620" t="e">
        <f t="shared" si="58"/>
        <v>#DIV/0!</v>
      </c>
    </row>
    <row r="1942" spans="21:23" x14ac:dyDescent="0.2">
      <c r="U1942" s="616"/>
      <c r="W1942" s="620" t="e">
        <f t="shared" si="58"/>
        <v>#DIV/0!</v>
      </c>
    </row>
    <row r="1943" spans="21:23" x14ac:dyDescent="0.2">
      <c r="U1943" s="616"/>
      <c r="W1943" s="620" t="e">
        <f t="shared" si="58"/>
        <v>#DIV/0!</v>
      </c>
    </row>
    <row r="1944" spans="21:23" x14ac:dyDescent="0.2">
      <c r="U1944" s="616"/>
      <c r="W1944" s="620" t="e">
        <f t="shared" si="58"/>
        <v>#DIV/0!</v>
      </c>
    </row>
    <row r="1945" spans="21:23" x14ac:dyDescent="0.2">
      <c r="U1945" s="616"/>
      <c r="W1945" s="620" t="e">
        <f t="shared" si="58"/>
        <v>#DIV/0!</v>
      </c>
    </row>
    <row r="1946" spans="21:23" x14ac:dyDescent="0.2">
      <c r="U1946" s="616"/>
      <c r="W1946" s="620" t="e">
        <f t="shared" si="58"/>
        <v>#DIV/0!</v>
      </c>
    </row>
    <row r="1947" spans="21:23" x14ac:dyDescent="0.2">
      <c r="U1947" s="616"/>
      <c r="W1947" s="620" t="e">
        <f t="shared" si="58"/>
        <v>#DIV/0!</v>
      </c>
    </row>
    <row r="1948" spans="21:23" x14ac:dyDescent="0.2">
      <c r="U1948" s="616"/>
      <c r="W1948" s="620" t="e">
        <f t="shared" si="58"/>
        <v>#DIV/0!</v>
      </c>
    </row>
    <row r="1949" spans="21:23" x14ac:dyDescent="0.2">
      <c r="U1949" s="616"/>
      <c r="W1949" s="620" t="e">
        <f t="shared" si="58"/>
        <v>#DIV/0!</v>
      </c>
    </row>
    <row r="1950" spans="21:23" x14ac:dyDescent="0.2">
      <c r="U1950" s="616"/>
      <c r="W1950" s="620" t="e">
        <f t="shared" si="58"/>
        <v>#DIV/0!</v>
      </c>
    </row>
    <row r="1951" spans="21:23" x14ac:dyDescent="0.2">
      <c r="U1951" s="616"/>
      <c r="W1951" s="620" t="e">
        <f t="shared" si="58"/>
        <v>#DIV/0!</v>
      </c>
    </row>
    <row r="1952" spans="21:23" x14ac:dyDescent="0.2">
      <c r="U1952" s="616"/>
      <c r="W1952" s="620" t="e">
        <f t="shared" si="58"/>
        <v>#DIV/0!</v>
      </c>
    </row>
    <row r="1953" spans="21:23" x14ac:dyDescent="0.2">
      <c r="U1953" s="616"/>
      <c r="W1953" s="620" t="e">
        <f t="shared" si="58"/>
        <v>#DIV/0!</v>
      </c>
    </row>
    <row r="1954" spans="21:23" x14ac:dyDescent="0.2">
      <c r="U1954" s="616"/>
      <c r="W1954" s="620" t="e">
        <f t="shared" si="58"/>
        <v>#DIV/0!</v>
      </c>
    </row>
    <row r="1955" spans="21:23" x14ac:dyDescent="0.2">
      <c r="U1955" s="616"/>
      <c r="W1955" s="620" t="e">
        <f t="shared" si="58"/>
        <v>#DIV/0!</v>
      </c>
    </row>
    <row r="1956" spans="21:23" x14ac:dyDescent="0.2">
      <c r="U1956" s="616"/>
      <c r="W1956" s="620" t="e">
        <f t="shared" si="58"/>
        <v>#DIV/0!</v>
      </c>
    </row>
    <row r="1957" spans="21:23" x14ac:dyDescent="0.2">
      <c r="U1957" s="616"/>
      <c r="W1957" s="620" t="e">
        <f t="shared" si="58"/>
        <v>#DIV/0!</v>
      </c>
    </row>
    <row r="1958" spans="21:23" x14ac:dyDescent="0.2">
      <c r="U1958" s="616"/>
      <c r="W1958" s="620" t="e">
        <f t="shared" si="58"/>
        <v>#DIV/0!</v>
      </c>
    </row>
    <row r="1959" spans="21:23" x14ac:dyDescent="0.2">
      <c r="U1959" s="616"/>
      <c r="W1959" s="620" t="e">
        <f t="shared" si="58"/>
        <v>#DIV/0!</v>
      </c>
    </row>
    <row r="1960" spans="21:23" x14ac:dyDescent="0.2">
      <c r="U1960" s="616"/>
      <c r="W1960" s="620" t="e">
        <f t="shared" si="58"/>
        <v>#DIV/0!</v>
      </c>
    </row>
    <row r="1961" spans="21:23" x14ac:dyDescent="0.2">
      <c r="U1961" s="616"/>
      <c r="W1961" s="620" t="e">
        <f t="shared" si="58"/>
        <v>#DIV/0!</v>
      </c>
    </row>
    <row r="1962" spans="21:23" x14ac:dyDescent="0.2">
      <c r="U1962" s="616"/>
      <c r="W1962" s="620" t="e">
        <f t="shared" si="58"/>
        <v>#DIV/0!</v>
      </c>
    </row>
    <row r="1963" spans="21:23" x14ac:dyDescent="0.2">
      <c r="U1963" s="616"/>
      <c r="W1963" s="620" t="e">
        <f t="shared" si="58"/>
        <v>#DIV/0!</v>
      </c>
    </row>
    <row r="1964" spans="21:23" x14ac:dyDescent="0.2">
      <c r="U1964" s="616"/>
      <c r="W1964" s="620" t="e">
        <f t="shared" si="58"/>
        <v>#DIV/0!</v>
      </c>
    </row>
    <row r="1965" spans="21:23" x14ac:dyDescent="0.2">
      <c r="U1965" s="616"/>
      <c r="W1965" s="620" t="e">
        <f t="shared" si="58"/>
        <v>#DIV/0!</v>
      </c>
    </row>
    <row r="1966" spans="21:23" x14ac:dyDescent="0.2">
      <c r="U1966" s="616"/>
      <c r="W1966" s="620" t="e">
        <f t="shared" si="58"/>
        <v>#DIV/0!</v>
      </c>
    </row>
    <row r="1967" spans="21:23" x14ac:dyDescent="0.2">
      <c r="U1967" s="616"/>
      <c r="W1967" s="620" t="e">
        <f t="shared" si="58"/>
        <v>#DIV/0!</v>
      </c>
    </row>
    <row r="1968" spans="21:23" x14ac:dyDescent="0.2">
      <c r="U1968" s="616"/>
      <c r="W1968" s="620" t="e">
        <f t="shared" si="58"/>
        <v>#DIV/0!</v>
      </c>
    </row>
    <row r="1969" spans="21:23" x14ac:dyDescent="0.2">
      <c r="U1969" s="616"/>
      <c r="W1969" s="620" t="e">
        <f t="shared" si="58"/>
        <v>#DIV/0!</v>
      </c>
    </row>
    <row r="1970" spans="21:23" x14ac:dyDescent="0.2">
      <c r="U1970" s="616"/>
      <c r="W1970" s="620" t="e">
        <f t="shared" si="58"/>
        <v>#DIV/0!</v>
      </c>
    </row>
    <row r="1971" spans="21:23" x14ac:dyDescent="0.2">
      <c r="U1971" s="616"/>
      <c r="W1971" s="620" t="e">
        <f t="shared" si="58"/>
        <v>#DIV/0!</v>
      </c>
    </row>
    <row r="1972" spans="21:23" x14ac:dyDescent="0.2">
      <c r="U1972" s="616"/>
      <c r="W1972" s="620" t="e">
        <f t="shared" si="58"/>
        <v>#DIV/0!</v>
      </c>
    </row>
    <row r="1973" spans="21:23" x14ac:dyDescent="0.2">
      <c r="U1973" s="616"/>
      <c r="W1973" s="620" t="e">
        <f t="shared" si="58"/>
        <v>#DIV/0!</v>
      </c>
    </row>
    <row r="1974" spans="21:23" x14ac:dyDescent="0.2">
      <c r="U1974" s="616"/>
      <c r="W1974" s="620" t="e">
        <f t="shared" si="58"/>
        <v>#DIV/0!</v>
      </c>
    </row>
    <row r="1975" spans="21:23" x14ac:dyDescent="0.2">
      <c r="U1975" s="616"/>
      <c r="W1975" s="620" t="e">
        <f t="shared" si="58"/>
        <v>#DIV/0!</v>
      </c>
    </row>
    <row r="1976" spans="21:23" x14ac:dyDescent="0.2">
      <c r="U1976" s="616"/>
      <c r="W1976" s="620" t="e">
        <f t="shared" si="58"/>
        <v>#DIV/0!</v>
      </c>
    </row>
    <row r="1977" spans="21:23" x14ac:dyDescent="0.2">
      <c r="U1977" s="616"/>
      <c r="W1977" s="620" t="e">
        <f t="shared" si="58"/>
        <v>#DIV/0!</v>
      </c>
    </row>
    <row r="1978" spans="21:23" x14ac:dyDescent="0.2">
      <c r="U1978" s="616"/>
      <c r="W1978" s="620" t="e">
        <f t="shared" si="58"/>
        <v>#DIV/0!</v>
      </c>
    </row>
    <row r="1979" spans="21:23" x14ac:dyDescent="0.2">
      <c r="U1979" s="616"/>
      <c r="W1979" s="620" t="e">
        <f t="shared" si="58"/>
        <v>#DIV/0!</v>
      </c>
    </row>
    <row r="1980" spans="21:23" x14ac:dyDescent="0.2">
      <c r="U1980" s="616"/>
      <c r="W1980" s="620" t="e">
        <f t="shared" si="58"/>
        <v>#DIV/0!</v>
      </c>
    </row>
    <row r="1981" spans="21:23" x14ac:dyDescent="0.2">
      <c r="U1981" s="616"/>
      <c r="W1981" s="620" t="e">
        <f t="shared" si="58"/>
        <v>#DIV/0!</v>
      </c>
    </row>
    <row r="1982" spans="21:23" x14ac:dyDescent="0.2">
      <c r="U1982" s="616"/>
      <c r="W1982" s="620" t="e">
        <f t="shared" si="58"/>
        <v>#DIV/0!</v>
      </c>
    </row>
    <row r="1983" spans="21:23" x14ac:dyDescent="0.2">
      <c r="U1983" s="616"/>
      <c r="W1983" s="620" t="e">
        <f t="shared" si="58"/>
        <v>#DIV/0!</v>
      </c>
    </row>
    <row r="1984" spans="21:23" x14ac:dyDescent="0.2">
      <c r="U1984" s="616"/>
      <c r="W1984" s="620" t="e">
        <f t="shared" si="58"/>
        <v>#DIV/0!</v>
      </c>
    </row>
    <row r="1985" spans="21:23" x14ac:dyDescent="0.2">
      <c r="U1985" s="616"/>
      <c r="W1985" s="620" t="e">
        <f t="shared" si="58"/>
        <v>#DIV/0!</v>
      </c>
    </row>
    <row r="1986" spans="21:23" x14ac:dyDescent="0.2">
      <c r="U1986" s="616"/>
      <c r="W1986" s="620" t="e">
        <f t="shared" si="58"/>
        <v>#DIV/0!</v>
      </c>
    </row>
    <row r="1987" spans="21:23" x14ac:dyDescent="0.2">
      <c r="U1987" s="616"/>
      <c r="W1987" s="620" t="e">
        <f t="shared" si="58"/>
        <v>#DIV/0!</v>
      </c>
    </row>
    <row r="1988" spans="21:23" x14ac:dyDescent="0.2">
      <c r="U1988" s="616"/>
      <c r="W1988" s="620" t="e">
        <f t="shared" ref="W1988:W2051" si="59">AVERAGE($V$4:$V$2517)</f>
        <v>#DIV/0!</v>
      </c>
    </row>
    <row r="1989" spans="21:23" x14ac:dyDescent="0.2">
      <c r="U1989" s="616"/>
      <c r="W1989" s="620" t="e">
        <f t="shared" si="59"/>
        <v>#DIV/0!</v>
      </c>
    </row>
    <row r="1990" spans="21:23" x14ac:dyDescent="0.2">
      <c r="U1990" s="616"/>
      <c r="W1990" s="620" t="e">
        <f t="shared" si="59"/>
        <v>#DIV/0!</v>
      </c>
    </row>
    <row r="1991" spans="21:23" x14ac:dyDescent="0.2">
      <c r="U1991" s="616"/>
      <c r="W1991" s="620" t="e">
        <f t="shared" si="59"/>
        <v>#DIV/0!</v>
      </c>
    </row>
    <row r="1992" spans="21:23" x14ac:dyDescent="0.2">
      <c r="U1992" s="616"/>
      <c r="W1992" s="620" t="e">
        <f t="shared" si="59"/>
        <v>#DIV/0!</v>
      </c>
    </row>
    <row r="1993" spans="21:23" x14ac:dyDescent="0.2">
      <c r="U1993" s="616"/>
      <c r="W1993" s="620" t="e">
        <f t="shared" si="59"/>
        <v>#DIV/0!</v>
      </c>
    </row>
    <row r="1994" spans="21:23" x14ac:dyDescent="0.2">
      <c r="U1994" s="616"/>
      <c r="W1994" s="620" t="e">
        <f t="shared" si="59"/>
        <v>#DIV/0!</v>
      </c>
    </row>
    <row r="1995" spans="21:23" x14ac:dyDescent="0.2">
      <c r="U1995" s="616"/>
      <c r="W1995" s="620" t="e">
        <f t="shared" si="59"/>
        <v>#DIV/0!</v>
      </c>
    </row>
    <row r="1996" spans="21:23" x14ac:dyDescent="0.2">
      <c r="U1996" s="616"/>
      <c r="W1996" s="620" t="e">
        <f t="shared" si="59"/>
        <v>#DIV/0!</v>
      </c>
    </row>
    <row r="1997" spans="21:23" x14ac:dyDescent="0.2">
      <c r="U1997" s="616"/>
      <c r="W1997" s="620" t="e">
        <f t="shared" si="59"/>
        <v>#DIV/0!</v>
      </c>
    </row>
    <row r="1998" spans="21:23" x14ac:dyDescent="0.2">
      <c r="U1998" s="616"/>
      <c r="W1998" s="620" t="e">
        <f t="shared" si="59"/>
        <v>#DIV/0!</v>
      </c>
    </row>
    <row r="1999" spans="21:23" x14ac:dyDescent="0.2">
      <c r="U1999" s="616"/>
      <c r="W1999" s="620" t="e">
        <f t="shared" si="59"/>
        <v>#DIV/0!</v>
      </c>
    </row>
    <row r="2000" spans="21:23" x14ac:dyDescent="0.2">
      <c r="U2000" s="616"/>
      <c r="W2000" s="620" t="e">
        <f t="shared" si="59"/>
        <v>#DIV/0!</v>
      </c>
    </row>
    <row r="2001" spans="21:23" x14ac:dyDescent="0.2">
      <c r="U2001" s="616"/>
      <c r="W2001" s="620" t="e">
        <f t="shared" si="59"/>
        <v>#DIV/0!</v>
      </c>
    </row>
    <row r="2002" spans="21:23" x14ac:dyDescent="0.2">
      <c r="U2002" s="616"/>
      <c r="W2002" s="620" t="e">
        <f t="shared" si="59"/>
        <v>#DIV/0!</v>
      </c>
    </row>
    <row r="2003" spans="21:23" x14ac:dyDescent="0.2">
      <c r="U2003" s="616"/>
      <c r="W2003" s="620" t="e">
        <f t="shared" si="59"/>
        <v>#DIV/0!</v>
      </c>
    </row>
    <row r="2004" spans="21:23" x14ac:dyDescent="0.2">
      <c r="U2004" s="616"/>
      <c r="W2004" s="620" t="e">
        <f t="shared" si="59"/>
        <v>#DIV/0!</v>
      </c>
    </row>
    <row r="2005" spans="21:23" x14ac:dyDescent="0.2">
      <c r="U2005" s="616"/>
      <c r="W2005" s="620" t="e">
        <f t="shared" si="59"/>
        <v>#DIV/0!</v>
      </c>
    </row>
    <row r="2006" spans="21:23" x14ac:dyDescent="0.2">
      <c r="U2006" s="616"/>
      <c r="W2006" s="620" t="e">
        <f t="shared" si="59"/>
        <v>#DIV/0!</v>
      </c>
    </row>
    <row r="2007" spans="21:23" x14ac:dyDescent="0.2">
      <c r="U2007" s="616"/>
      <c r="W2007" s="620" t="e">
        <f t="shared" si="59"/>
        <v>#DIV/0!</v>
      </c>
    </row>
    <row r="2008" spans="21:23" x14ac:dyDescent="0.2">
      <c r="U2008" s="616"/>
      <c r="W2008" s="620" t="e">
        <f t="shared" si="59"/>
        <v>#DIV/0!</v>
      </c>
    </row>
    <row r="2009" spans="21:23" x14ac:dyDescent="0.2">
      <c r="U2009" s="616"/>
      <c r="W2009" s="620" t="e">
        <f t="shared" si="59"/>
        <v>#DIV/0!</v>
      </c>
    </row>
    <row r="2010" spans="21:23" x14ac:dyDescent="0.2">
      <c r="U2010" s="616"/>
      <c r="W2010" s="620" t="e">
        <f t="shared" si="59"/>
        <v>#DIV/0!</v>
      </c>
    </row>
    <row r="2011" spans="21:23" x14ac:dyDescent="0.2">
      <c r="U2011" s="616"/>
      <c r="W2011" s="620" t="e">
        <f t="shared" si="59"/>
        <v>#DIV/0!</v>
      </c>
    </row>
    <row r="2012" spans="21:23" x14ac:dyDescent="0.2">
      <c r="U2012" s="616"/>
      <c r="W2012" s="620" t="e">
        <f t="shared" si="59"/>
        <v>#DIV/0!</v>
      </c>
    </row>
    <row r="2013" spans="21:23" x14ac:dyDescent="0.2">
      <c r="U2013" s="616"/>
      <c r="W2013" s="620" t="e">
        <f t="shared" si="59"/>
        <v>#DIV/0!</v>
      </c>
    </row>
    <row r="2014" spans="21:23" x14ac:dyDescent="0.2">
      <c r="U2014" s="616"/>
      <c r="W2014" s="620" t="e">
        <f t="shared" si="59"/>
        <v>#DIV/0!</v>
      </c>
    </row>
    <row r="2015" spans="21:23" x14ac:dyDescent="0.2">
      <c r="U2015" s="616"/>
      <c r="W2015" s="620" t="e">
        <f t="shared" si="59"/>
        <v>#DIV/0!</v>
      </c>
    </row>
    <row r="2016" spans="21:23" x14ac:dyDescent="0.2">
      <c r="U2016" s="616"/>
      <c r="W2016" s="620" t="e">
        <f t="shared" si="59"/>
        <v>#DIV/0!</v>
      </c>
    </row>
    <row r="2017" spans="21:23" x14ac:dyDescent="0.2">
      <c r="U2017" s="616"/>
      <c r="W2017" s="620" t="e">
        <f t="shared" si="59"/>
        <v>#DIV/0!</v>
      </c>
    </row>
    <row r="2018" spans="21:23" x14ac:dyDescent="0.2">
      <c r="U2018" s="616"/>
      <c r="W2018" s="620" t="e">
        <f t="shared" si="59"/>
        <v>#DIV/0!</v>
      </c>
    </row>
    <row r="2019" spans="21:23" x14ac:dyDescent="0.2">
      <c r="U2019" s="616"/>
      <c r="W2019" s="620" t="e">
        <f t="shared" si="59"/>
        <v>#DIV/0!</v>
      </c>
    </row>
    <row r="2020" spans="21:23" x14ac:dyDescent="0.2">
      <c r="U2020" s="616"/>
      <c r="W2020" s="620" t="e">
        <f t="shared" si="59"/>
        <v>#DIV/0!</v>
      </c>
    </row>
    <row r="2021" spans="21:23" x14ac:dyDescent="0.2">
      <c r="U2021" s="616"/>
      <c r="W2021" s="620" t="e">
        <f t="shared" si="59"/>
        <v>#DIV/0!</v>
      </c>
    </row>
    <row r="2022" spans="21:23" x14ac:dyDescent="0.2">
      <c r="U2022" s="616"/>
      <c r="W2022" s="620" t="e">
        <f t="shared" si="59"/>
        <v>#DIV/0!</v>
      </c>
    </row>
    <row r="2023" spans="21:23" x14ac:dyDescent="0.2">
      <c r="U2023" s="616"/>
      <c r="W2023" s="620" t="e">
        <f t="shared" si="59"/>
        <v>#DIV/0!</v>
      </c>
    </row>
    <row r="2024" spans="21:23" x14ac:dyDescent="0.2">
      <c r="U2024" s="616"/>
      <c r="W2024" s="620" t="e">
        <f t="shared" si="59"/>
        <v>#DIV/0!</v>
      </c>
    </row>
    <row r="2025" spans="21:23" x14ac:dyDescent="0.2">
      <c r="U2025" s="616"/>
      <c r="W2025" s="620" t="e">
        <f t="shared" si="59"/>
        <v>#DIV/0!</v>
      </c>
    </row>
    <row r="2026" spans="21:23" x14ac:dyDescent="0.2">
      <c r="U2026" s="616"/>
      <c r="W2026" s="620" t="e">
        <f t="shared" si="59"/>
        <v>#DIV/0!</v>
      </c>
    </row>
    <row r="2027" spans="21:23" x14ac:dyDescent="0.2">
      <c r="U2027" s="616"/>
      <c r="W2027" s="620" t="e">
        <f t="shared" si="59"/>
        <v>#DIV/0!</v>
      </c>
    </row>
    <row r="2028" spans="21:23" x14ac:dyDescent="0.2">
      <c r="U2028" s="616"/>
      <c r="W2028" s="620" t="e">
        <f t="shared" si="59"/>
        <v>#DIV/0!</v>
      </c>
    </row>
    <row r="2029" spans="21:23" x14ac:dyDescent="0.2">
      <c r="U2029" s="616"/>
      <c r="W2029" s="620" t="e">
        <f t="shared" si="59"/>
        <v>#DIV/0!</v>
      </c>
    </row>
    <row r="2030" spans="21:23" x14ac:dyDescent="0.2">
      <c r="U2030" s="616"/>
      <c r="W2030" s="620" t="e">
        <f t="shared" si="59"/>
        <v>#DIV/0!</v>
      </c>
    </row>
    <row r="2031" spans="21:23" x14ac:dyDescent="0.2">
      <c r="U2031" s="616"/>
      <c r="W2031" s="620" t="e">
        <f t="shared" si="59"/>
        <v>#DIV/0!</v>
      </c>
    </row>
    <row r="2032" spans="21:23" x14ac:dyDescent="0.2">
      <c r="U2032" s="616"/>
      <c r="W2032" s="620" t="e">
        <f t="shared" si="59"/>
        <v>#DIV/0!</v>
      </c>
    </row>
    <row r="2033" spans="21:23" x14ac:dyDescent="0.2">
      <c r="U2033" s="616"/>
      <c r="W2033" s="620" t="e">
        <f t="shared" si="59"/>
        <v>#DIV/0!</v>
      </c>
    </row>
    <row r="2034" spans="21:23" x14ac:dyDescent="0.2">
      <c r="U2034" s="616"/>
      <c r="W2034" s="620" t="e">
        <f t="shared" si="59"/>
        <v>#DIV/0!</v>
      </c>
    </row>
    <row r="2035" spans="21:23" x14ac:dyDescent="0.2">
      <c r="U2035" s="616"/>
      <c r="W2035" s="620" t="e">
        <f t="shared" si="59"/>
        <v>#DIV/0!</v>
      </c>
    </row>
    <row r="2036" spans="21:23" x14ac:dyDescent="0.2">
      <c r="U2036" s="616"/>
      <c r="W2036" s="620" t="e">
        <f t="shared" si="59"/>
        <v>#DIV/0!</v>
      </c>
    </row>
    <row r="2037" spans="21:23" x14ac:dyDescent="0.2">
      <c r="U2037" s="616"/>
      <c r="W2037" s="620" t="e">
        <f t="shared" si="59"/>
        <v>#DIV/0!</v>
      </c>
    </row>
    <row r="2038" spans="21:23" x14ac:dyDescent="0.2">
      <c r="U2038" s="616"/>
      <c r="W2038" s="620" t="e">
        <f t="shared" si="59"/>
        <v>#DIV/0!</v>
      </c>
    </row>
    <row r="2039" spans="21:23" x14ac:dyDescent="0.2">
      <c r="U2039" s="616"/>
      <c r="W2039" s="620" t="e">
        <f t="shared" si="59"/>
        <v>#DIV/0!</v>
      </c>
    </row>
    <row r="2040" spans="21:23" x14ac:dyDescent="0.2">
      <c r="U2040" s="616"/>
      <c r="W2040" s="620" t="e">
        <f t="shared" si="59"/>
        <v>#DIV/0!</v>
      </c>
    </row>
    <row r="2041" spans="21:23" x14ac:dyDescent="0.2">
      <c r="U2041" s="616"/>
      <c r="W2041" s="620" t="e">
        <f t="shared" si="59"/>
        <v>#DIV/0!</v>
      </c>
    </row>
    <row r="2042" spans="21:23" x14ac:dyDescent="0.2">
      <c r="U2042" s="616"/>
      <c r="W2042" s="620" t="e">
        <f t="shared" si="59"/>
        <v>#DIV/0!</v>
      </c>
    </row>
    <row r="2043" spans="21:23" x14ac:dyDescent="0.2">
      <c r="U2043" s="616"/>
      <c r="W2043" s="620" t="e">
        <f t="shared" si="59"/>
        <v>#DIV/0!</v>
      </c>
    </row>
    <row r="2044" spans="21:23" x14ac:dyDescent="0.2">
      <c r="U2044" s="616"/>
      <c r="W2044" s="620" t="e">
        <f t="shared" si="59"/>
        <v>#DIV/0!</v>
      </c>
    </row>
    <row r="2045" spans="21:23" x14ac:dyDescent="0.2">
      <c r="U2045" s="616"/>
      <c r="W2045" s="620" t="e">
        <f t="shared" si="59"/>
        <v>#DIV/0!</v>
      </c>
    </row>
    <row r="2046" spans="21:23" x14ac:dyDescent="0.2">
      <c r="U2046" s="616"/>
      <c r="W2046" s="620" t="e">
        <f t="shared" si="59"/>
        <v>#DIV/0!</v>
      </c>
    </row>
    <row r="2047" spans="21:23" x14ac:dyDescent="0.2">
      <c r="U2047" s="616"/>
      <c r="W2047" s="620" t="e">
        <f t="shared" si="59"/>
        <v>#DIV/0!</v>
      </c>
    </row>
    <row r="2048" spans="21:23" x14ac:dyDescent="0.2">
      <c r="U2048" s="616"/>
      <c r="W2048" s="620" t="e">
        <f t="shared" si="59"/>
        <v>#DIV/0!</v>
      </c>
    </row>
    <row r="2049" spans="21:23" x14ac:dyDescent="0.2">
      <c r="U2049" s="616"/>
      <c r="W2049" s="620" t="e">
        <f t="shared" si="59"/>
        <v>#DIV/0!</v>
      </c>
    </row>
    <row r="2050" spans="21:23" x14ac:dyDescent="0.2">
      <c r="U2050" s="616"/>
      <c r="W2050" s="620" t="e">
        <f t="shared" si="59"/>
        <v>#DIV/0!</v>
      </c>
    </row>
    <row r="2051" spans="21:23" x14ac:dyDescent="0.2">
      <c r="U2051" s="616"/>
      <c r="W2051" s="620" t="e">
        <f t="shared" si="59"/>
        <v>#DIV/0!</v>
      </c>
    </row>
    <row r="2052" spans="21:23" x14ac:dyDescent="0.2">
      <c r="U2052" s="616"/>
      <c r="W2052" s="620" t="e">
        <f t="shared" ref="W2052:W2115" si="60">AVERAGE($V$4:$V$2517)</f>
        <v>#DIV/0!</v>
      </c>
    </row>
    <row r="2053" spans="21:23" x14ac:dyDescent="0.2">
      <c r="U2053" s="616"/>
      <c r="W2053" s="620" t="e">
        <f t="shared" si="60"/>
        <v>#DIV/0!</v>
      </c>
    </row>
    <row r="2054" spans="21:23" x14ac:dyDescent="0.2">
      <c r="U2054" s="616"/>
      <c r="W2054" s="620" t="e">
        <f t="shared" si="60"/>
        <v>#DIV/0!</v>
      </c>
    </row>
    <row r="2055" spans="21:23" x14ac:dyDescent="0.2">
      <c r="U2055" s="616"/>
      <c r="W2055" s="620" t="e">
        <f t="shared" si="60"/>
        <v>#DIV/0!</v>
      </c>
    </row>
    <row r="2056" spans="21:23" x14ac:dyDescent="0.2">
      <c r="U2056" s="616"/>
      <c r="W2056" s="620" t="e">
        <f t="shared" si="60"/>
        <v>#DIV/0!</v>
      </c>
    </row>
    <row r="2057" spans="21:23" x14ac:dyDescent="0.2">
      <c r="U2057" s="616"/>
      <c r="W2057" s="620" t="e">
        <f t="shared" si="60"/>
        <v>#DIV/0!</v>
      </c>
    </row>
    <row r="2058" spans="21:23" x14ac:dyDescent="0.2">
      <c r="U2058" s="616"/>
      <c r="W2058" s="620" t="e">
        <f t="shared" si="60"/>
        <v>#DIV/0!</v>
      </c>
    </row>
    <row r="2059" spans="21:23" x14ac:dyDescent="0.2">
      <c r="U2059" s="616"/>
      <c r="W2059" s="620" t="e">
        <f t="shared" si="60"/>
        <v>#DIV/0!</v>
      </c>
    </row>
    <row r="2060" spans="21:23" x14ac:dyDescent="0.2">
      <c r="U2060" s="616"/>
      <c r="W2060" s="620" t="e">
        <f t="shared" si="60"/>
        <v>#DIV/0!</v>
      </c>
    </row>
    <row r="2061" spans="21:23" x14ac:dyDescent="0.2">
      <c r="U2061" s="616"/>
      <c r="W2061" s="620" t="e">
        <f t="shared" si="60"/>
        <v>#DIV/0!</v>
      </c>
    </row>
    <row r="2062" spans="21:23" x14ac:dyDescent="0.2">
      <c r="U2062" s="616"/>
      <c r="W2062" s="620" t="e">
        <f t="shared" si="60"/>
        <v>#DIV/0!</v>
      </c>
    </row>
    <row r="2063" spans="21:23" x14ac:dyDescent="0.2">
      <c r="U2063" s="616"/>
      <c r="W2063" s="620" t="e">
        <f t="shared" si="60"/>
        <v>#DIV/0!</v>
      </c>
    </row>
    <row r="2064" spans="21:23" x14ac:dyDescent="0.2">
      <c r="U2064" s="616"/>
      <c r="W2064" s="620" t="e">
        <f t="shared" si="60"/>
        <v>#DIV/0!</v>
      </c>
    </row>
    <row r="2065" spans="21:23" x14ac:dyDescent="0.2">
      <c r="U2065" s="616"/>
      <c r="W2065" s="620" t="e">
        <f t="shared" si="60"/>
        <v>#DIV/0!</v>
      </c>
    </row>
    <row r="2066" spans="21:23" x14ac:dyDescent="0.2">
      <c r="U2066" s="616"/>
      <c r="W2066" s="620" t="e">
        <f t="shared" si="60"/>
        <v>#DIV/0!</v>
      </c>
    </row>
    <row r="2067" spans="21:23" x14ac:dyDescent="0.2">
      <c r="U2067" s="616"/>
      <c r="W2067" s="620" t="e">
        <f t="shared" si="60"/>
        <v>#DIV/0!</v>
      </c>
    </row>
    <row r="2068" spans="21:23" x14ac:dyDescent="0.2">
      <c r="U2068" s="616"/>
      <c r="W2068" s="620" t="e">
        <f t="shared" si="60"/>
        <v>#DIV/0!</v>
      </c>
    </row>
    <row r="2069" spans="21:23" x14ac:dyDescent="0.2">
      <c r="U2069" s="616"/>
      <c r="W2069" s="620" t="e">
        <f t="shared" si="60"/>
        <v>#DIV/0!</v>
      </c>
    </row>
    <row r="2070" spans="21:23" x14ac:dyDescent="0.2">
      <c r="U2070" s="616"/>
      <c r="W2070" s="620" t="e">
        <f t="shared" si="60"/>
        <v>#DIV/0!</v>
      </c>
    </row>
    <row r="2071" spans="21:23" x14ac:dyDescent="0.2">
      <c r="U2071" s="616"/>
      <c r="W2071" s="620" t="e">
        <f t="shared" si="60"/>
        <v>#DIV/0!</v>
      </c>
    </row>
    <row r="2072" spans="21:23" x14ac:dyDescent="0.2">
      <c r="U2072" s="616"/>
      <c r="W2072" s="620" t="e">
        <f t="shared" si="60"/>
        <v>#DIV/0!</v>
      </c>
    </row>
    <row r="2073" spans="21:23" x14ac:dyDescent="0.2">
      <c r="U2073" s="616"/>
      <c r="W2073" s="620" t="e">
        <f t="shared" si="60"/>
        <v>#DIV/0!</v>
      </c>
    </row>
    <row r="2074" spans="21:23" x14ac:dyDescent="0.2">
      <c r="U2074" s="616"/>
      <c r="W2074" s="620" t="e">
        <f t="shared" si="60"/>
        <v>#DIV/0!</v>
      </c>
    </row>
    <row r="2075" spans="21:23" x14ac:dyDescent="0.2">
      <c r="U2075" s="616"/>
      <c r="W2075" s="620" t="e">
        <f t="shared" si="60"/>
        <v>#DIV/0!</v>
      </c>
    </row>
    <row r="2076" spans="21:23" x14ac:dyDescent="0.2">
      <c r="U2076" s="616"/>
      <c r="W2076" s="620" t="e">
        <f t="shared" si="60"/>
        <v>#DIV/0!</v>
      </c>
    </row>
    <row r="2077" spans="21:23" x14ac:dyDescent="0.2">
      <c r="U2077" s="616"/>
      <c r="W2077" s="620" t="e">
        <f t="shared" si="60"/>
        <v>#DIV/0!</v>
      </c>
    </row>
    <row r="2078" spans="21:23" x14ac:dyDescent="0.2">
      <c r="U2078" s="616"/>
      <c r="W2078" s="620" t="e">
        <f t="shared" si="60"/>
        <v>#DIV/0!</v>
      </c>
    </row>
    <row r="2079" spans="21:23" x14ac:dyDescent="0.2">
      <c r="U2079" s="616"/>
      <c r="W2079" s="620" t="e">
        <f t="shared" si="60"/>
        <v>#DIV/0!</v>
      </c>
    </row>
    <row r="2080" spans="21:23" x14ac:dyDescent="0.2">
      <c r="U2080" s="616"/>
      <c r="W2080" s="620" t="e">
        <f t="shared" si="60"/>
        <v>#DIV/0!</v>
      </c>
    </row>
    <row r="2081" spans="21:23" x14ac:dyDescent="0.2">
      <c r="U2081" s="616"/>
      <c r="W2081" s="620" t="e">
        <f t="shared" si="60"/>
        <v>#DIV/0!</v>
      </c>
    </row>
    <row r="2082" spans="21:23" x14ac:dyDescent="0.2">
      <c r="U2082" s="616"/>
      <c r="W2082" s="620" t="e">
        <f t="shared" si="60"/>
        <v>#DIV/0!</v>
      </c>
    </row>
    <row r="2083" spans="21:23" x14ac:dyDescent="0.2">
      <c r="U2083" s="616"/>
      <c r="W2083" s="620" t="e">
        <f t="shared" si="60"/>
        <v>#DIV/0!</v>
      </c>
    </row>
    <row r="2084" spans="21:23" x14ac:dyDescent="0.2">
      <c r="U2084" s="616"/>
      <c r="W2084" s="620" t="e">
        <f t="shared" si="60"/>
        <v>#DIV/0!</v>
      </c>
    </row>
    <row r="2085" spans="21:23" x14ac:dyDescent="0.2">
      <c r="U2085" s="616"/>
      <c r="W2085" s="620" t="e">
        <f t="shared" si="60"/>
        <v>#DIV/0!</v>
      </c>
    </row>
    <row r="2086" spans="21:23" x14ac:dyDescent="0.2">
      <c r="U2086" s="616"/>
      <c r="W2086" s="620" t="e">
        <f t="shared" si="60"/>
        <v>#DIV/0!</v>
      </c>
    </row>
    <row r="2087" spans="21:23" x14ac:dyDescent="0.2">
      <c r="U2087" s="616"/>
      <c r="W2087" s="620" t="e">
        <f t="shared" si="60"/>
        <v>#DIV/0!</v>
      </c>
    </row>
    <row r="2088" spans="21:23" x14ac:dyDescent="0.2">
      <c r="U2088" s="616"/>
      <c r="W2088" s="620" t="e">
        <f t="shared" si="60"/>
        <v>#DIV/0!</v>
      </c>
    </row>
    <row r="2089" spans="21:23" x14ac:dyDescent="0.2">
      <c r="U2089" s="616"/>
      <c r="W2089" s="620" t="e">
        <f t="shared" si="60"/>
        <v>#DIV/0!</v>
      </c>
    </row>
    <row r="2090" spans="21:23" x14ac:dyDescent="0.2">
      <c r="U2090" s="616"/>
      <c r="W2090" s="620" t="e">
        <f t="shared" si="60"/>
        <v>#DIV/0!</v>
      </c>
    </row>
    <row r="2091" spans="21:23" x14ac:dyDescent="0.2">
      <c r="U2091" s="616"/>
      <c r="W2091" s="620" t="e">
        <f t="shared" si="60"/>
        <v>#DIV/0!</v>
      </c>
    </row>
    <row r="2092" spans="21:23" x14ac:dyDescent="0.2">
      <c r="U2092" s="616"/>
      <c r="W2092" s="620" t="e">
        <f t="shared" si="60"/>
        <v>#DIV/0!</v>
      </c>
    </row>
    <row r="2093" spans="21:23" x14ac:dyDescent="0.2">
      <c r="U2093" s="616"/>
      <c r="W2093" s="620" t="e">
        <f t="shared" si="60"/>
        <v>#DIV/0!</v>
      </c>
    </row>
    <row r="2094" spans="21:23" x14ac:dyDescent="0.2">
      <c r="U2094" s="616"/>
      <c r="W2094" s="620" t="e">
        <f t="shared" si="60"/>
        <v>#DIV/0!</v>
      </c>
    </row>
    <row r="2095" spans="21:23" x14ac:dyDescent="0.2">
      <c r="U2095" s="616"/>
      <c r="W2095" s="620" t="e">
        <f t="shared" si="60"/>
        <v>#DIV/0!</v>
      </c>
    </row>
    <row r="2096" spans="21:23" x14ac:dyDescent="0.2">
      <c r="U2096" s="616"/>
      <c r="W2096" s="620" t="e">
        <f t="shared" si="60"/>
        <v>#DIV/0!</v>
      </c>
    </row>
    <row r="2097" spans="21:23" x14ac:dyDescent="0.2">
      <c r="U2097" s="616"/>
      <c r="W2097" s="620" t="e">
        <f t="shared" si="60"/>
        <v>#DIV/0!</v>
      </c>
    </row>
    <row r="2098" spans="21:23" x14ac:dyDescent="0.2">
      <c r="U2098" s="616"/>
      <c r="W2098" s="620" t="e">
        <f t="shared" si="60"/>
        <v>#DIV/0!</v>
      </c>
    </row>
    <row r="2099" spans="21:23" x14ac:dyDescent="0.2">
      <c r="U2099" s="616"/>
      <c r="W2099" s="620" t="e">
        <f t="shared" si="60"/>
        <v>#DIV/0!</v>
      </c>
    </row>
    <row r="2100" spans="21:23" x14ac:dyDescent="0.2">
      <c r="U2100" s="616"/>
      <c r="W2100" s="620" t="e">
        <f t="shared" si="60"/>
        <v>#DIV/0!</v>
      </c>
    </row>
    <row r="2101" spans="21:23" x14ac:dyDescent="0.2">
      <c r="U2101" s="616"/>
      <c r="W2101" s="620" t="e">
        <f t="shared" si="60"/>
        <v>#DIV/0!</v>
      </c>
    </row>
    <row r="2102" spans="21:23" x14ac:dyDescent="0.2">
      <c r="U2102" s="616"/>
      <c r="W2102" s="620" t="e">
        <f t="shared" si="60"/>
        <v>#DIV/0!</v>
      </c>
    </row>
    <row r="2103" spans="21:23" x14ac:dyDescent="0.2">
      <c r="U2103" s="616"/>
      <c r="W2103" s="620" t="e">
        <f t="shared" si="60"/>
        <v>#DIV/0!</v>
      </c>
    </row>
    <row r="2104" spans="21:23" x14ac:dyDescent="0.2">
      <c r="U2104" s="616"/>
      <c r="W2104" s="620" t="e">
        <f t="shared" si="60"/>
        <v>#DIV/0!</v>
      </c>
    </row>
    <row r="2105" spans="21:23" x14ac:dyDescent="0.2">
      <c r="U2105" s="616"/>
      <c r="W2105" s="620" t="e">
        <f t="shared" si="60"/>
        <v>#DIV/0!</v>
      </c>
    </row>
    <row r="2106" spans="21:23" x14ac:dyDescent="0.2">
      <c r="U2106" s="616"/>
      <c r="W2106" s="620" t="e">
        <f t="shared" si="60"/>
        <v>#DIV/0!</v>
      </c>
    </row>
    <row r="2107" spans="21:23" x14ac:dyDescent="0.2">
      <c r="U2107" s="616"/>
      <c r="W2107" s="620" t="e">
        <f t="shared" si="60"/>
        <v>#DIV/0!</v>
      </c>
    </row>
    <row r="2108" spans="21:23" x14ac:dyDescent="0.2">
      <c r="U2108" s="616"/>
      <c r="W2108" s="620" t="e">
        <f t="shared" si="60"/>
        <v>#DIV/0!</v>
      </c>
    </row>
    <row r="2109" spans="21:23" x14ac:dyDescent="0.2">
      <c r="U2109" s="616"/>
      <c r="W2109" s="620" t="e">
        <f t="shared" si="60"/>
        <v>#DIV/0!</v>
      </c>
    </row>
    <row r="2110" spans="21:23" x14ac:dyDescent="0.2">
      <c r="U2110" s="616"/>
      <c r="W2110" s="620" t="e">
        <f t="shared" si="60"/>
        <v>#DIV/0!</v>
      </c>
    </row>
    <row r="2111" spans="21:23" x14ac:dyDescent="0.2">
      <c r="U2111" s="616"/>
      <c r="W2111" s="620" t="e">
        <f t="shared" si="60"/>
        <v>#DIV/0!</v>
      </c>
    </row>
    <row r="2112" spans="21:23" x14ac:dyDescent="0.2">
      <c r="U2112" s="616"/>
      <c r="W2112" s="620" t="e">
        <f t="shared" si="60"/>
        <v>#DIV/0!</v>
      </c>
    </row>
    <row r="2113" spans="21:23" x14ac:dyDescent="0.2">
      <c r="U2113" s="616"/>
      <c r="W2113" s="620" t="e">
        <f t="shared" si="60"/>
        <v>#DIV/0!</v>
      </c>
    </row>
    <row r="2114" spans="21:23" x14ac:dyDescent="0.2">
      <c r="U2114" s="616"/>
      <c r="W2114" s="620" t="e">
        <f t="shared" si="60"/>
        <v>#DIV/0!</v>
      </c>
    </row>
    <row r="2115" spans="21:23" x14ac:dyDescent="0.2">
      <c r="U2115" s="616"/>
      <c r="W2115" s="620" t="e">
        <f t="shared" si="60"/>
        <v>#DIV/0!</v>
      </c>
    </row>
    <row r="2116" spans="21:23" x14ac:dyDescent="0.2">
      <c r="U2116" s="616"/>
      <c r="W2116" s="620" t="e">
        <f t="shared" ref="W2116:W2179" si="61">AVERAGE($V$4:$V$2517)</f>
        <v>#DIV/0!</v>
      </c>
    </row>
    <row r="2117" spans="21:23" x14ac:dyDescent="0.2">
      <c r="U2117" s="616"/>
      <c r="W2117" s="620" t="e">
        <f t="shared" si="61"/>
        <v>#DIV/0!</v>
      </c>
    </row>
    <row r="2118" spans="21:23" x14ac:dyDescent="0.2">
      <c r="U2118" s="616"/>
      <c r="W2118" s="620" t="e">
        <f t="shared" si="61"/>
        <v>#DIV/0!</v>
      </c>
    </row>
    <row r="2119" spans="21:23" x14ac:dyDescent="0.2">
      <c r="U2119" s="616"/>
      <c r="W2119" s="620" t="e">
        <f t="shared" si="61"/>
        <v>#DIV/0!</v>
      </c>
    </row>
    <row r="2120" spans="21:23" x14ac:dyDescent="0.2">
      <c r="U2120" s="616"/>
      <c r="W2120" s="620" t="e">
        <f t="shared" si="61"/>
        <v>#DIV/0!</v>
      </c>
    </row>
    <row r="2121" spans="21:23" x14ac:dyDescent="0.2">
      <c r="U2121" s="616"/>
      <c r="W2121" s="620" t="e">
        <f t="shared" si="61"/>
        <v>#DIV/0!</v>
      </c>
    </row>
    <row r="2122" spans="21:23" x14ac:dyDescent="0.2">
      <c r="U2122" s="616"/>
      <c r="W2122" s="620" t="e">
        <f t="shared" si="61"/>
        <v>#DIV/0!</v>
      </c>
    </row>
    <row r="2123" spans="21:23" x14ac:dyDescent="0.2">
      <c r="U2123" s="616"/>
      <c r="W2123" s="620" t="e">
        <f t="shared" si="61"/>
        <v>#DIV/0!</v>
      </c>
    </row>
    <row r="2124" spans="21:23" x14ac:dyDescent="0.2">
      <c r="U2124" s="616"/>
      <c r="W2124" s="620" t="e">
        <f t="shared" si="61"/>
        <v>#DIV/0!</v>
      </c>
    </row>
    <row r="2125" spans="21:23" x14ac:dyDescent="0.2">
      <c r="U2125" s="616"/>
      <c r="W2125" s="620" t="e">
        <f t="shared" si="61"/>
        <v>#DIV/0!</v>
      </c>
    </row>
    <row r="2126" spans="21:23" x14ac:dyDescent="0.2">
      <c r="U2126" s="616"/>
      <c r="W2126" s="620" t="e">
        <f t="shared" si="61"/>
        <v>#DIV/0!</v>
      </c>
    </row>
    <row r="2127" spans="21:23" x14ac:dyDescent="0.2">
      <c r="U2127" s="616"/>
      <c r="W2127" s="620" t="e">
        <f t="shared" si="61"/>
        <v>#DIV/0!</v>
      </c>
    </row>
    <row r="2128" spans="21:23" x14ac:dyDescent="0.2">
      <c r="U2128" s="616"/>
      <c r="W2128" s="620" t="e">
        <f t="shared" si="61"/>
        <v>#DIV/0!</v>
      </c>
    </row>
    <row r="2129" spans="21:23" x14ac:dyDescent="0.2">
      <c r="U2129" s="616"/>
      <c r="W2129" s="620" t="e">
        <f t="shared" si="61"/>
        <v>#DIV/0!</v>
      </c>
    </row>
    <row r="2130" spans="21:23" x14ac:dyDescent="0.2">
      <c r="U2130" s="616"/>
      <c r="W2130" s="620" t="e">
        <f t="shared" si="61"/>
        <v>#DIV/0!</v>
      </c>
    </row>
    <row r="2131" spans="21:23" x14ac:dyDescent="0.2">
      <c r="U2131" s="616"/>
      <c r="W2131" s="620" t="e">
        <f t="shared" si="61"/>
        <v>#DIV/0!</v>
      </c>
    </row>
    <row r="2132" spans="21:23" x14ac:dyDescent="0.2">
      <c r="U2132" s="616"/>
      <c r="W2132" s="620" t="e">
        <f t="shared" si="61"/>
        <v>#DIV/0!</v>
      </c>
    </row>
    <row r="2133" spans="21:23" x14ac:dyDescent="0.2">
      <c r="U2133" s="616"/>
      <c r="W2133" s="620" t="e">
        <f t="shared" si="61"/>
        <v>#DIV/0!</v>
      </c>
    </row>
    <row r="2134" spans="21:23" x14ac:dyDescent="0.2">
      <c r="U2134" s="616"/>
      <c r="W2134" s="620" t="e">
        <f t="shared" si="61"/>
        <v>#DIV/0!</v>
      </c>
    </row>
    <row r="2135" spans="21:23" x14ac:dyDescent="0.2">
      <c r="U2135" s="616"/>
      <c r="W2135" s="620" t="e">
        <f t="shared" si="61"/>
        <v>#DIV/0!</v>
      </c>
    </row>
    <row r="2136" spans="21:23" x14ac:dyDescent="0.2">
      <c r="U2136" s="616"/>
      <c r="W2136" s="620" t="e">
        <f t="shared" si="61"/>
        <v>#DIV/0!</v>
      </c>
    </row>
    <row r="2137" spans="21:23" x14ac:dyDescent="0.2">
      <c r="U2137" s="616"/>
      <c r="W2137" s="620" t="e">
        <f t="shared" si="61"/>
        <v>#DIV/0!</v>
      </c>
    </row>
    <row r="2138" spans="21:23" x14ac:dyDescent="0.2">
      <c r="U2138" s="616"/>
      <c r="W2138" s="620" t="e">
        <f t="shared" si="61"/>
        <v>#DIV/0!</v>
      </c>
    </row>
    <row r="2139" spans="21:23" x14ac:dyDescent="0.2">
      <c r="U2139" s="616"/>
      <c r="W2139" s="620" t="e">
        <f t="shared" si="61"/>
        <v>#DIV/0!</v>
      </c>
    </row>
    <row r="2140" spans="21:23" x14ac:dyDescent="0.2">
      <c r="U2140" s="616"/>
      <c r="W2140" s="620" t="e">
        <f t="shared" si="61"/>
        <v>#DIV/0!</v>
      </c>
    </row>
    <row r="2141" spans="21:23" x14ac:dyDescent="0.2">
      <c r="U2141" s="616"/>
      <c r="W2141" s="620" t="e">
        <f t="shared" si="61"/>
        <v>#DIV/0!</v>
      </c>
    </row>
    <row r="2142" spans="21:23" x14ac:dyDescent="0.2">
      <c r="U2142" s="616"/>
      <c r="W2142" s="620" t="e">
        <f t="shared" si="61"/>
        <v>#DIV/0!</v>
      </c>
    </row>
    <row r="2143" spans="21:23" x14ac:dyDescent="0.2">
      <c r="U2143" s="616"/>
      <c r="W2143" s="620" t="e">
        <f t="shared" si="61"/>
        <v>#DIV/0!</v>
      </c>
    </row>
    <row r="2144" spans="21:23" x14ac:dyDescent="0.2">
      <c r="U2144" s="616"/>
      <c r="W2144" s="620" t="e">
        <f t="shared" si="61"/>
        <v>#DIV/0!</v>
      </c>
    </row>
    <row r="2145" spans="21:23" x14ac:dyDescent="0.2">
      <c r="U2145" s="616"/>
      <c r="W2145" s="620" t="e">
        <f t="shared" si="61"/>
        <v>#DIV/0!</v>
      </c>
    </row>
    <row r="2146" spans="21:23" x14ac:dyDescent="0.2">
      <c r="U2146" s="616"/>
      <c r="W2146" s="620" t="e">
        <f t="shared" si="61"/>
        <v>#DIV/0!</v>
      </c>
    </row>
    <row r="2147" spans="21:23" x14ac:dyDescent="0.2">
      <c r="U2147" s="616"/>
      <c r="W2147" s="620" t="e">
        <f t="shared" si="61"/>
        <v>#DIV/0!</v>
      </c>
    </row>
    <row r="2148" spans="21:23" x14ac:dyDescent="0.2">
      <c r="U2148" s="616"/>
      <c r="W2148" s="620" t="e">
        <f t="shared" si="61"/>
        <v>#DIV/0!</v>
      </c>
    </row>
    <row r="2149" spans="21:23" x14ac:dyDescent="0.2">
      <c r="U2149" s="616"/>
      <c r="W2149" s="620" t="e">
        <f t="shared" si="61"/>
        <v>#DIV/0!</v>
      </c>
    </row>
    <row r="2150" spans="21:23" x14ac:dyDescent="0.2">
      <c r="U2150" s="616"/>
      <c r="W2150" s="620" t="e">
        <f t="shared" si="61"/>
        <v>#DIV/0!</v>
      </c>
    </row>
    <row r="2151" spans="21:23" x14ac:dyDescent="0.2">
      <c r="U2151" s="616"/>
      <c r="W2151" s="620" t="e">
        <f t="shared" si="61"/>
        <v>#DIV/0!</v>
      </c>
    </row>
    <row r="2152" spans="21:23" x14ac:dyDescent="0.2">
      <c r="U2152" s="616"/>
      <c r="W2152" s="620" t="e">
        <f t="shared" si="61"/>
        <v>#DIV/0!</v>
      </c>
    </row>
    <row r="2153" spans="21:23" x14ac:dyDescent="0.2">
      <c r="U2153" s="616"/>
      <c r="W2153" s="620" t="e">
        <f t="shared" si="61"/>
        <v>#DIV/0!</v>
      </c>
    </row>
    <row r="2154" spans="21:23" x14ac:dyDescent="0.2">
      <c r="U2154" s="616"/>
      <c r="W2154" s="620" t="e">
        <f t="shared" si="61"/>
        <v>#DIV/0!</v>
      </c>
    </row>
    <row r="2155" spans="21:23" x14ac:dyDescent="0.2">
      <c r="U2155" s="616"/>
      <c r="W2155" s="620" t="e">
        <f t="shared" si="61"/>
        <v>#DIV/0!</v>
      </c>
    </row>
    <row r="2156" spans="21:23" x14ac:dyDescent="0.2">
      <c r="U2156" s="616"/>
      <c r="W2156" s="620" t="e">
        <f t="shared" si="61"/>
        <v>#DIV/0!</v>
      </c>
    </row>
    <row r="2157" spans="21:23" x14ac:dyDescent="0.2">
      <c r="U2157" s="616"/>
      <c r="W2157" s="620" t="e">
        <f t="shared" si="61"/>
        <v>#DIV/0!</v>
      </c>
    </row>
    <row r="2158" spans="21:23" x14ac:dyDescent="0.2">
      <c r="U2158" s="616"/>
      <c r="W2158" s="620" t="e">
        <f t="shared" si="61"/>
        <v>#DIV/0!</v>
      </c>
    </row>
    <row r="2159" spans="21:23" x14ac:dyDescent="0.2">
      <c r="U2159" s="616"/>
      <c r="W2159" s="620" t="e">
        <f t="shared" si="61"/>
        <v>#DIV/0!</v>
      </c>
    </row>
    <row r="2160" spans="21:23" x14ac:dyDescent="0.2">
      <c r="U2160" s="616"/>
      <c r="W2160" s="620" t="e">
        <f t="shared" si="61"/>
        <v>#DIV/0!</v>
      </c>
    </row>
    <row r="2161" spans="21:23" x14ac:dyDescent="0.2">
      <c r="U2161" s="616"/>
      <c r="W2161" s="620" t="e">
        <f t="shared" si="61"/>
        <v>#DIV/0!</v>
      </c>
    </row>
    <row r="2162" spans="21:23" x14ac:dyDescent="0.2">
      <c r="U2162" s="616"/>
      <c r="W2162" s="620" t="e">
        <f t="shared" si="61"/>
        <v>#DIV/0!</v>
      </c>
    </row>
    <row r="2163" spans="21:23" x14ac:dyDescent="0.2">
      <c r="U2163" s="616"/>
      <c r="W2163" s="620" t="e">
        <f t="shared" si="61"/>
        <v>#DIV/0!</v>
      </c>
    </row>
    <row r="2164" spans="21:23" x14ac:dyDescent="0.2">
      <c r="U2164" s="616"/>
      <c r="W2164" s="620" t="e">
        <f t="shared" si="61"/>
        <v>#DIV/0!</v>
      </c>
    </row>
    <row r="2165" spans="21:23" x14ac:dyDescent="0.2">
      <c r="U2165" s="616"/>
      <c r="W2165" s="620" t="e">
        <f t="shared" si="61"/>
        <v>#DIV/0!</v>
      </c>
    </row>
    <row r="2166" spans="21:23" x14ac:dyDescent="0.2">
      <c r="U2166" s="616"/>
      <c r="W2166" s="620" t="e">
        <f t="shared" si="61"/>
        <v>#DIV/0!</v>
      </c>
    </row>
    <row r="2167" spans="21:23" x14ac:dyDescent="0.2">
      <c r="U2167" s="616"/>
      <c r="W2167" s="620" t="e">
        <f t="shared" si="61"/>
        <v>#DIV/0!</v>
      </c>
    </row>
    <row r="2168" spans="21:23" x14ac:dyDescent="0.2">
      <c r="U2168" s="616"/>
      <c r="W2168" s="620" t="e">
        <f t="shared" si="61"/>
        <v>#DIV/0!</v>
      </c>
    </row>
    <row r="2169" spans="21:23" x14ac:dyDescent="0.2">
      <c r="U2169" s="616"/>
      <c r="W2169" s="620" t="e">
        <f t="shared" si="61"/>
        <v>#DIV/0!</v>
      </c>
    </row>
    <row r="2170" spans="21:23" x14ac:dyDescent="0.2">
      <c r="U2170" s="616"/>
      <c r="W2170" s="620" t="e">
        <f t="shared" si="61"/>
        <v>#DIV/0!</v>
      </c>
    </row>
    <row r="2171" spans="21:23" x14ac:dyDescent="0.2">
      <c r="U2171" s="616"/>
      <c r="W2171" s="620" t="e">
        <f t="shared" si="61"/>
        <v>#DIV/0!</v>
      </c>
    </row>
    <row r="2172" spans="21:23" x14ac:dyDescent="0.2">
      <c r="U2172" s="616"/>
      <c r="W2172" s="620" t="e">
        <f t="shared" si="61"/>
        <v>#DIV/0!</v>
      </c>
    </row>
    <row r="2173" spans="21:23" x14ac:dyDescent="0.2">
      <c r="U2173" s="616"/>
      <c r="W2173" s="620" t="e">
        <f t="shared" si="61"/>
        <v>#DIV/0!</v>
      </c>
    </row>
    <row r="2174" spans="21:23" x14ac:dyDescent="0.2">
      <c r="U2174" s="616"/>
      <c r="W2174" s="620" t="e">
        <f t="shared" si="61"/>
        <v>#DIV/0!</v>
      </c>
    </row>
    <row r="2175" spans="21:23" x14ac:dyDescent="0.2">
      <c r="U2175" s="616"/>
      <c r="W2175" s="620" t="e">
        <f t="shared" si="61"/>
        <v>#DIV/0!</v>
      </c>
    </row>
    <row r="2176" spans="21:23" x14ac:dyDescent="0.2">
      <c r="U2176" s="616"/>
      <c r="W2176" s="620" t="e">
        <f t="shared" si="61"/>
        <v>#DIV/0!</v>
      </c>
    </row>
    <row r="2177" spans="21:23" x14ac:dyDescent="0.2">
      <c r="U2177" s="616"/>
      <c r="W2177" s="620" t="e">
        <f t="shared" si="61"/>
        <v>#DIV/0!</v>
      </c>
    </row>
    <row r="2178" spans="21:23" x14ac:dyDescent="0.2">
      <c r="U2178" s="616"/>
      <c r="W2178" s="620" t="e">
        <f t="shared" si="61"/>
        <v>#DIV/0!</v>
      </c>
    </row>
    <row r="2179" spans="21:23" x14ac:dyDescent="0.2">
      <c r="U2179" s="616"/>
      <c r="W2179" s="620" t="e">
        <f t="shared" si="61"/>
        <v>#DIV/0!</v>
      </c>
    </row>
    <row r="2180" spans="21:23" x14ac:dyDescent="0.2">
      <c r="U2180" s="616"/>
      <c r="W2180" s="620" t="e">
        <f t="shared" ref="W2180:W2243" si="62">AVERAGE($V$4:$V$2517)</f>
        <v>#DIV/0!</v>
      </c>
    </row>
    <row r="2181" spans="21:23" x14ac:dyDescent="0.2">
      <c r="U2181" s="616"/>
      <c r="W2181" s="620" t="e">
        <f t="shared" si="62"/>
        <v>#DIV/0!</v>
      </c>
    </row>
    <row r="2182" spans="21:23" x14ac:dyDescent="0.2">
      <c r="U2182" s="616"/>
      <c r="W2182" s="620" t="e">
        <f t="shared" si="62"/>
        <v>#DIV/0!</v>
      </c>
    </row>
    <row r="2183" spans="21:23" x14ac:dyDescent="0.2">
      <c r="U2183" s="616"/>
      <c r="W2183" s="620" t="e">
        <f t="shared" si="62"/>
        <v>#DIV/0!</v>
      </c>
    </row>
    <row r="2184" spans="21:23" x14ac:dyDescent="0.2">
      <c r="U2184" s="616"/>
      <c r="W2184" s="620" t="e">
        <f t="shared" si="62"/>
        <v>#DIV/0!</v>
      </c>
    </row>
    <row r="2185" spans="21:23" x14ac:dyDescent="0.2">
      <c r="U2185" s="616"/>
      <c r="W2185" s="620" t="e">
        <f t="shared" si="62"/>
        <v>#DIV/0!</v>
      </c>
    </row>
    <row r="2186" spans="21:23" x14ac:dyDescent="0.2">
      <c r="U2186" s="616"/>
      <c r="W2186" s="620" t="e">
        <f t="shared" si="62"/>
        <v>#DIV/0!</v>
      </c>
    </row>
    <row r="2187" spans="21:23" x14ac:dyDescent="0.2">
      <c r="U2187" s="616"/>
      <c r="W2187" s="620" t="e">
        <f t="shared" si="62"/>
        <v>#DIV/0!</v>
      </c>
    </row>
    <row r="2188" spans="21:23" x14ac:dyDescent="0.2">
      <c r="U2188" s="616"/>
      <c r="W2188" s="620" t="e">
        <f t="shared" si="62"/>
        <v>#DIV/0!</v>
      </c>
    </row>
    <row r="2189" spans="21:23" x14ac:dyDescent="0.2">
      <c r="U2189" s="616"/>
      <c r="W2189" s="620" t="e">
        <f t="shared" si="62"/>
        <v>#DIV/0!</v>
      </c>
    </row>
    <row r="2190" spans="21:23" x14ac:dyDescent="0.2">
      <c r="U2190" s="616"/>
      <c r="W2190" s="620" t="e">
        <f t="shared" si="62"/>
        <v>#DIV/0!</v>
      </c>
    </row>
    <row r="2191" spans="21:23" x14ac:dyDescent="0.2">
      <c r="U2191" s="616"/>
      <c r="W2191" s="620" t="e">
        <f t="shared" si="62"/>
        <v>#DIV/0!</v>
      </c>
    </row>
    <row r="2192" spans="21:23" x14ac:dyDescent="0.2">
      <c r="U2192" s="616"/>
      <c r="W2192" s="620" t="e">
        <f t="shared" si="62"/>
        <v>#DIV/0!</v>
      </c>
    </row>
    <row r="2193" spans="21:23" x14ac:dyDescent="0.2">
      <c r="U2193" s="616"/>
      <c r="W2193" s="620" t="e">
        <f t="shared" si="62"/>
        <v>#DIV/0!</v>
      </c>
    </row>
    <row r="2194" spans="21:23" x14ac:dyDescent="0.2">
      <c r="U2194" s="616"/>
      <c r="W2194" s="620" t="e">
        <f t="shared" si="62"/>
        <v>#DIV/0!</v>
      </c>
    </row>
    <row r="2195" spans="21:23" x14ac:dyDescent="0.2">
      <c r="U2195" s="616"/>
      <c r="W2195" s="620" t="e">
        <f t="shared" si="62"/>
        <v>#DIV/0!</v>
      </c>
    </row>
    <row r="2196" spans="21:23" x14ac:dyDescent="0.2">
      <c r="U2196" s="616"/>
      <c r="W2196" s="620" t="e">
        <f t="shared" si="62"/>
        <v>#DIV/0!</v>
      </c>
    </row>
    <row r="2197" spans="21:23" x14ac:dyDescent="0.2">
      <c r="U2197" s="616"/>
      <c r="W2197" s="620" t="e">
        <f t="shared" si="62"/>
        <v>#DIV/0!</v>
      </c>
    </row>
    <row r="2198" spans="21:23" x14ac:dyDescent="0.2">
      <c r="U2198" s="616"/>
      <c r="W2198" s="620" t="e">
        <f t="shared" si="62"/>
        <v>#DIV/0!</v>
      </c>
    </row>
    <row r="2199" spans="21:23" x14ac:dyDescent="0.2">
      <c r="U2199" s="616"/>
      <c r="W2199" s="620" t="e">
        <f t="shared" si="62"/>
        <v>#DIV/0!</v>
      </c>
    </row>
    <row r="2200" spans="21:23" x14ac:dyDescent="0.2">
      <c r="U2200" s="616"/>
      <c r="W2200" s="620" t="e">
        <f t="shared" si="62"/>
        <v>#DIV/0!</v>
      </c>
    </row>
    <row r="2201" spans="21:23" x14ac:dyDescent="0.2">
      <c r="U2201" s="616"/>
      <c r="W2201" s="620" t="e">
        <f t="shared" si="62"/>
        <v>#DIV/0!</v>
      </c>
    </row>
    <row r="2202" spans="21:23" x14ac:dyDescent="0.2">
      <c r="U2202" s="616"/>
      <c r="W2202" s="620" t="e">
        <f t="shared" si="62"/>
        <v>#DIV/0!</v>
      </c>
    </row>
    <row r="2203" spans="21:23" x14ac:dyDescent="0.2">
      <c r="U2203" s="616"/>
      <c r="W2203" s="620" t="e">
        <f t="shared" si="62"/>
        <v>#DIV/0!</v>
      </c>
    </row>
    <row r="2204" spans="21:23" x14ac:dyDescent="0.2">
      <c r="U2204" s="616"/>
      <c r="W2204" s="620" t="e">
        <f t="shared" si="62"/>
        <v>#DIV/0!</v>
      </c>
    </row>
    <row r="2205" spans="21:23" x14ac:dyDescent="0.2">
      <c r="U2205" s="616"/>
      <c r="W2205" s="620" t="e">
        <f t="shared" si="62"/>
        <v>#DIV/0!</v>
      </c>
    </row>
    <row r="2206" spans="21:23" x14ac:dyDescent="0.2">
      <c r="U2206" s="616"/>
      <c r="W2206" s="620" t="e">
        <f t="shared" si="62"/>
        <v>#DIV/0!</v>
      </c>
    </row>
    <row r="2207" spans="21:23" x14ac:dyDescent="0.2">
      <c r="U2207" s="616"/>
      <c r="W2207" s="620" t="e">
        <f t="shared" si="62"/>
        <v>#DIV/0!</v>
      </c>
    </row>
    <row r="2208" spans="21:23" x14ac:dyDescent="0.2">
      <c r="U2208" s="616"/>
      <c r="W2208" s="620" t="e">
        <f t="shared" si="62"/>
        <v>#DIV/0!</v>
      </c>
    </row>
    <row r="2209" spans="21:23" x14ac:dyDescent="0.2">
      <c r="U2209" s="616"/>
      <c r="W2209" s="620" t="e">
        <f t="shared" si="62"/>
        <v>#DIV/0!</v>
      </c>
    </row>
    <row r="2210" spans="21:23" x14ac:dyDescent="0.2">
      <c r="U2210" s="616"/>
      <c r="W2210" s="620" t="e">
        <f t="shared" si="62"/>
        <v>#DIV/0!</v>
      </c>
    </row>
    <row r="2211" spans="21:23" x14ac:dyDescent="0.2">
      <c r="U2211" s="616"/>
      <c r="W2211" s="620" t="e">
        <f t="shared" si="62"/>
        <v>#DIV/0!</v>
      </c>
    </row>
    <row r="2212" spans="21:23" x14ac:dyDescent="0.2">
      <c r="U2212" s="616"/>
      <c r="W2212" s="620" t="e">
        <f t="shared" si="62"/>
        <v>#DIV/0!</v>
      </c>
    </row>
    <row r="2213" spans="21:23" x14ac:dyDescent="0.2">
      <c r="U2213" s="616"/>
      <c r="W2213" s="620" t="e">
        <f t="shared" si="62"/>
        <v>#DIV/0!</v>
      </c>
    </row>
    <row r="2214" spans="21:23" x14ac:dyDescent="0.2">
      <c r="U2214" s="616"/>
      <c r="W2214" s="620" t="e">
        <f t="shared" si="62"/>
        <v>#DIV/0!</v>
      </c>
    </row>
    <row r="2215" spans="21:23" x14ac:dyDescent="0.2">
      <c r="U2215" s="616"/>
      <c r="W2215" s="620" t="e">
        <f t="shared" si="62"/>
        <v>#DIV/0!</v>
      </c>
    </row>
    <row r="2216" spans="21:23" x14ac:dyDescent="0.2">
      <c r="U2216" s="616"/>
      <c r="W2216" s="620" t="e">
        <f t="shared" si="62"/>
        <v>#DIV/0!</v>
      </c>
    </row>
    <row r="2217" spans="21:23" x14ac:dyDescent="0.2">
      <c r="U2217" s="616"/>
      <c r="W2217" s="620" t="e">
        <f t="shared" si="62"/>
        <v>#DIV/0!</v>
      </c>
    </row>
    <row r="2218" spans="21:23" x14ac:dyDescent="0.2">
      <c r="U2218" s="616"/>
      <c r="W2218" s="620" t="e">
        <f t="shared" si="62"/>
        <v>#DIV/0!</v>
      </c>
    </row>
    <row r="2219" spans="21:23" x14ac:dyDescent="0.2">
      <c r="U2219" s="616"/>
      <c r="W2219" s="620" t="e">
        <f t="shared" si="62"/>
        <v>#DIV/0!</v>
      </c>
    </row>
    <row r="2220" spans="21:23" x14ac:dyDescent="0.2">
      <c r="U2220" s="616"/>
      <c r="W2220" s="620" t="e">
        <f t="shared" si="62"/>
        <v>#DIV/0!</v>
      </c>
    </row>
    <row r="2221" spans="21:23" x14ac:dyDescent="0.2">
      <c r="U2221" s="616"/>
      <c r="W2221" s="620" t="e">
        <f t="shared" si="62"/>
        <v>#DIV/0!</v>
      </c>
    </row>
    <row r="2222" spans="21:23" x14ac:dyDescent="0.2">
      <c r="U2222" s="616"/>
      <c r="W2222" s="620" t="e">
        <f t="shared" si="62"/>
        <v>#DIV/0!</v>
      </c>
    </row>
    <row r="2223" spans="21:23" x14ac:dyDescent="0.2">
      <c r="U2223" s="616"/>
      <c r="W2223" s="620" t="e">
        <f t="shared" si="62"/>
        <v>#DIV/0!</v>
      </c>
    </row>
    <row r="2224" spans="21:23" x14ac:dyDescent="0.2">
      <c r="U2224" s="616"/>
      <c r="W2224" s="620" t="e">
        <f t="shared" si="62"/>
        <v>#DIV/0!</v>
      </c>
    </row>
    <row r="2225" spans="21:23" x14ac:dyDescent="0.2">
      <c r="U2225" s="616"/>
      <c r="W2225" s="620" t="e">
        <f t="shared" si="62"/>
        <v>#DIV/0!</v>
      </c>
    </row>
    <row r="2226" spans="21:23" x14ac:dyDescent="0.2">
      <c r="U2226" s="616"/>
      <c r="W2226" s="620" t="e">
        <f t="shared" si="62"/>
        <v>#DIV/0!</v>
      </c>
    </row>
    <row r="2227" spans="21:23" x14ac:dyDescent="0.2">
      <c r="U2227" s="616"/>
      <c r="W2227" s="620" t="e">
        <f t="shared" si="62"/>
        <v>#DIV/0!</v>
      </c>
    </row>
    <row r="2228" spans="21:23" x14ac:dyDescent="0.2">
      <c r="U2228" s="616"/>
      <c r="W2228" s="620" t="e">
        <f t="shared" si="62"/>
        <v>#DIV/0!</v>
      </c>
    </row>
    <row r="2229" spans="21:23" x14ac:dyDescent="0.2">
      <c r="U2229" s="616"/>
      <c r="W2229" s="620" t="e">
        <f t="shared" si="62"/>
        <v>#DIV/0!</v>
      </c>
    </row>
    <row r="2230" spans="21:23" x14ac:dyDescent="0.2">
      <c r="U2230" s="616"/>
      <c r="W2230" s="620" t="e">
        <f t="shared" si="62"/>
        <v>#DIV/0!</v>
      </c>
    </row>
    <row r="2231" spans="21:23" x14ac:dyDescent="0.2">
      <c r="U2231" s="616"/>
      <c r="W2231" s="620" t="e">
        <f t="shared" si="62"/>
        <v>#DIV/0!</v>
      </c>
    </row>
    <row r="2232" spans="21:23" x14ac:dyDescent="0.2">
      <c r="U2232" s="616"/>
      <c r="W2232" s="620" t="e">
        <f t="shared" si="62"/>
        <v>#DIV/0!</v>
      </c>
    </row>
    <row r="2233" spans="21:23" x14ac:dyDescent="0.2">
      <c r="U2233" s="616"/>
      <c r="W2233" s="620" t="e">
        <f t="shared" si="62"/>
        <v>#DIV/0!</v>
      </c>
    </row>
    <row r="2234" spans="21:23" x14ac:dyDescent="0.2">
      <c r="U2234" s="616"/>
      <c r="W2234" s="620" t="e">
        <f t="shared" si="62"/>
        <v>#DIV/0!</v>
      </c>
    </row>
    <row r="2235" spans="21:23" x14ac:dyDescent="0.2">
      <c r="U2235" s="616"/>
      <c r="W2235" s="620" t="e">
        <f t="shared" si="62"/>
        <v>#DIV/0!</v>
      </c>
    </row>
    <row r="2236" spans="21:23" x14ac:dyDescent="0.2">
      <c r="U2236" s="616"/>
      <c r="W2236" s="620" t="e">
        <f t="shared" si="62"/>
        <v>#DIV/0!</v>
      </c>
    </row>
    <row r="2237" spans="21:23" x14ac:dyDescent="0.2">
      <c r="U2237" s="616"/>
      <c r="W2237" s="620" t="e">
        <f t="shared" si="62"/>
        <v>#DIV/0!</v>
      </c>
    </row>
    <row r="2238" spans="21:23" x14ac:dyDescent="0.2">
      <c r="U2238" s="616"/>
      <c r="W2238" s="620" t="e">
        <f t="shared" si="62"/>
        <v>#DIV/0!</v>
      </c>
    </row>
    <row r="2239" spans="21:23" x14ac:dyDescent="0.2">
      <c r="U2239" s="616"/>
      <c r="W2239" s="620" t="e">
        <f t="shared" si="62"/>
        <v>#DIV/0!</v>
      </c>
    </row>
    <row r="2240" spans="21:23" x14ac:dyDescent="0.2">
      <c r="U2240" s="616"/>
      <c r="W2240" s="620" t="e">
        <f t="shared" si="62"/>
        <v>#DIV/0!</v>
      </c>
    </row>
    <row r="2241" spans="21:23" x14ac:dyDescent="0.2">
      <c r="U2241" s="616"/>
      <c r="W2241" s="620" t="e">
        <f t="shared" si="62"/>
        <v>#DIV/0!</v>
      </c>
    </row>
    <row r="2242" spans="21:23" x14ac:dyDescent="0.2">
      <c r="U2242" s="616"/>
      <c r="W2242" s="620" t="e">
        <f t="shared" si="62"/>
        <v>#DIV/0!</v>
      </c>
    </row>
    <row r="2243" spans="21:23" x14ac:dyDescent="0.2">
      <c r="U2243" s="616"/>
      <c r="W2243" s="620" t="e">
        <f t="shared" si="62"/>
        <v>#DIV/0!</v>
      </c>
    </row>
    <row r="2244" spans="21:23" x14ac:dyDescent="0.2">
      <c r="U2244" s="616"/>
      <c r="W2244" s="620" t="e">
        <f t="shared" ref="W2244:W2307" si="63">AVERAGE($V$4:$V$2517)</f>
        <v>#DIV/0!</v>
      </c>
    </row>
    <row r="2245" spans="21:23" x14ac:dyDescent="0.2">
      <c r="U2245" s="616"/>
      <c r="W2245" s="620" t="e">
        <f t="shared" si="63"/>
        <v>#DIV/0!</v>
      </c>
    </row>
    <row r="2246" spans="21:23" x14ac:dyDescent="0.2">
      <c r="U2246" s="616"/>
      <c r="W2246" s="620" t="e">
        <f t="shared" si="63"/>
        <v>#DIV/0!</v>
      </c>
    </row>
    <row r="2247" spans="21:23" x14ac:dyDescent="0.2">
      <c r="U2247" s="616"/>
      <c r="W2247" s="620" t="e">
        <f t="shared" si="63"/>
        <v>#DIV/0!</v>
      </c>
    </row>
    <row r="2248" spans="21:23" x14ac:dyDescent="0.2">
      <c r="U2248" s="616"/>
      <c r="W2248" s="620" t="e">
        <f t="shared" si="63"/>
        <v>#DIV/0!</v>
      </c>
    </row>
    <row r="2249" spans="21:23" x14ac:dyDescent="0.2">
      <c r="U2249" s="616"/>
      <c r="W2249" s="620" t="e">
        <f t="shared" si="63"/>
        <v>#DIV/0!</v>
      </c>
    </row>
    <row r="2250" spans="21:23" x14ac:dyDescent="0.2">
      <c r="U2250" s="616"/>
      <c r="W2250" s="620" t="e">
        <f t="shared" si="63"/>
        <v>#DIV/0!</v>
      </c>
    </row>
    <row r="2251" spans="21:23" x14ac:dyDescent="0.2">
      <c r="U2251" s="616"/>
      <c r="W2251" s="620" t="e">
        <f t="shared" si="63"/>
        <v>#DIV/0!</v>
      </c>
    </row>
    <row r="2252" spans="21:23" x14ac:dyDescent="0.2">
      <c r="U2252" s="616"/>
      <c r="W2252" s="620" t="e">
        <f t="shared" si="63"/>
        <v>#DIV/0!</v>
      </c>
    </row>
    <row r="2253" spans="21:23" x14ac:dyDescent="0.2">
      <c r="U2253" s="616"/>
      <c r="W2253" s="620" t="e">
        <f t="shared" si="63"/>
        <v>#DIV/0!</v>
      </c>
    </row>
    <row r="2254" spans="21:23" x14ac:dyDescent="0.2">
      <c r="U2254" s="616"/>
      <c r="W2254" s="620" t="e">
        <f t="shared" si="63"/>
        <v>#DIV/0!</v>
      </c>
    </row>
    <row r="2255" spans="21:23" x14ac:dyDescent="0.2">
      <c r="U2255" s="616"/>
      <c r="W2255" s="620" t="e">
        <f t="shared" si="63"/>
        <v>#DIV/0!</v>
      </c>
    </row>
    <row r="2256" spans="21:23" x14ac:dyDescent="0.2">
      <c r="U2256" s="616"/>
      <c r="W2256" s="620" t="e">
        <f t="shared" si="63"/>
        <v>#DIV/0!</v>
      </c>
    </row>
    <row r="2257" spans="21:23" x14ac:dyDescent="0.2">
      <c r="U2257" s="616"/>
      <c r="W2257" s="620" t="e">
        <f t="shared" si="63"/>
        <v>#DIV/0!</v>
      </c>
    </row>
    <row r="2258" spans="21:23" x14ac:dyDescent="0.2">
      <c r="U2258" s="616"/>
      <c r="W2258" s="620" t="e">
        <f t="shared" si="63"/>
        <v>#DIV/0!</v>
      </c>
    </row>
    <row r="2259" spans="21:23" x14ac:dyDescent="0.2">
      <c r="U2259" s="616"/>
      <c r="W2259" s="620" t="e">
        <f t="shared" si="63"/>
        <v>#DIV/0!</v>
      </c>
    </row>
    <row r="2260" spans="21:23" x14ac:dyDescent="0.2">
      <c r="U2260" s="616"/>
      <c r="W2260" s="620" t="e">
        <f t="shared" si="63"/>
        <v>#DIV/0!</v>
      </c>
    </row>
    <row r="2261" spans="21:23" x14ac:dyDescent="0.2">
      <c r="U2261" s="616"/>
      <c r="W2261" s="620" t="e">
        <f t="shared" si="63"/>
        <v>#DIV/0!</v>
      </c>
    </row>
    <row r="2262" spans="21:23" x14ac:dyDescent="0.2">
      <c r="U2262" s="616"/>
      <c r="W2262" s="620" t="e">
        <f t="shared" si="63"/>
        <v>#DIV/0!</v>
      </c>
    </row>
    <row r="2263" spans="21:23" x14ac:dyDescent="0.2">
      <c r="U2263" s="616"/>
      <c r="W2263" s="620" t="e">
        <f t="shared" si="63"/>
        <v>#DIV/0!</v>
      </c>
    </row>
    <row r="2264" spans="21:23" x14ac:dyDescent="0.2">
      <c r="U2264" s="616"/>
      <c r="W2264" s="620" t="e">
        <f t="shared" si="63"/>
        <v>#DIV/0!</v>
      </c>
    </row>
    <row r="2265" spans="21:23" x14ac:dyDescent="0.2">
      <c r="U2265" s="616"/>
      <c r="W2265" s="620" t="e">
        <f t="shared" si="63"/>
        <v>#DIV/0!</v>
      </c>
    </row>
    <row r="2266" spans="21:23" x14ac:dyDescent="0.2">
      <c r="U2266" s="616"/>
      <c r="W2266" s="620" t="e">
        <f t="shared" si="63"/>
        <v>#DIV/0!</v>
      </c>
    </row>
    <row r="2267" spans="21:23" x14ac:dyDescent="0.2">
      <c r="U2267" s="616"/>
      <c r="W2267" s="620" t="e">
        <f t="shared" si="63"/>
        <v>#DIV/0!</v>
      </c>
    </row>
    <row r="2268" spans="21:23" x14ac:dyDescent="0.2">
      <c r="U2268" s="616"/>
      <c r="W2268" s="620" t="e">
        <f t="shared" si="63"/>
        <v>#DIV/0!</v>
      </c>
    </row>
    <row r="2269" spans="21:23" x14ac:dyDescent="0.2">
      <c r="U2269" s="616"/>
      <c r="W2269" s="620" t="e">
        <f t="shared" si="63"/>
        <v>#DIV/0!</v>
      </c>
    </row>
    <row r="2270" spans="21:23" x14ac:dyDescent="0.2">
      <c r="U2270" s="616"/>
      <c r="W2270" s="620" t="e">
        <f t="shared" si="63"/>
        <v>#DIV/0!</v>
      </c>
    </row>
    <row r="2271" spans="21:23" x14ac:dyDescent="0.2">
      <c r="U2271" s="616"/>
      <c r="W2271" s="620" t="e">
        <f t="shared" si="63"/>
        <v>#DIV/0!</v>
      </c>
    </row>
    <row r="2272" spans="21:23" x14ac:dyDescent="0.2">
      <c r="U2272" s="616"/>
      <c r="W2272" s="620" t="e">
        <f t="shared" si="63"/>
        <v>#DIV/0!</v>
      </c>
    </row>
    <row r="2273" spans="21:23" x14ac:dyDescent="0.2">
      <c r="U2273" s="616"/>
      <c r="W2273" s="620" t="e">
        <f t="shared" si="63"/>
        <v>#DIV/0!</v>
      </c>
    </row>
    <row r="2274" spans="21:23" x14ac:dyDescent="0.2">
      <c r="U2274" s="616"/>
      <c r="W2274" s="620" t="e">
        <f t="shared" si="63"/>
        <v>#DIV/0!</v>
      </c>
    </row>
    <row r="2275" spans="21:23" x14ac:dyDescent="0.2">
      <c r="U2275" s="616"/>
      <c r="W2275" s="620" t="e">
        <f t="shared" si="63"/>
        <v>#DIV/0!</v>
      </c>
    </row>
    <row r="2276" spans="21:23" x14ac:dyDescent="0.2">
      <c r="U2276" s="616"/>
      <c r="W2276" s="620" t="e">
        <f t="shared" si="63"/>
        <v>#DIV/0!</v>
      </c>
    </row>
    <row r="2277" spans="21:23" x14ac:dyDescent="0.2">
      <c r="U2277" s="616"/>
      <c r="W2277" s="620" t="e">
        <f t="shared" si="63"/>
        <v>#DIV/0!</v>
      </c>
    </row>
    <row r="2278" spans="21:23" x14ac:dyDescent="0.2">
      <c r="U2278" s="616"/>
      <c r="W2278" s="620" t="e">
        <f t="shared" si="63"/>
        <v>#DIV/0!</v>
      </c>
    </row>
    <row r="2279" spans="21:23" x14ac:dyDescent="0.2">
      <c r="U2279" s="616"/>
      <c r="W2279" s="620" t="e">
        <f t="shared" si="63"/>
        <v>#DIV/0!</v>
      </c>
    </row>
    <row r="2280" spans="21:23" x14ac:dyDescent="0.2">
      <c r="U2280" s="616"/>
      <c r="W2280" s="620" t="e">
        <f t="shared" si="63"/>
        <v>#DIV/0!</v>
      </c>
    </row>
    <row r="2281" spans="21:23" x14ac:dyDescent="0.2">
      <c r="U2281" s="616"/>
      <c r="W2281" s="620" t="e">
        <f t="shared" si="63"/>
        <v>#DIV/0!</v>
      </c>
    </row>
    <row r="2282" spans="21:23" x14ac:dyDescent="0.2">
      <c r="U2282" s="616"/>
      <c r="W2282" s="620" t="e">
        <f t="shared" si="63"/>
        <v>#DIV/0!</v>
      </c>
    </row>
    <row r="2283" spans="21:23" x14ac:dyDescent="0.2">
      <c r="U2283" s="616"/>
      <c r="W2283" s="620" t="e">
        <f t="shared" si="63"/>
        <v>#DIV/0!</v>
      </c>
    </row>
    <row r="2284" spans="21:23" x14ac:dyDescent="0.2">
      <c r="U2284" s="616"/>
      <c r="W2284" s="620" t="e">
        <f t="shared" si="63"/>
        <v>#DIV/0!</v>
      </c>
    </row>
    <row r="2285" spans="21:23" x14ac:dyDescent="0.2">
      <c r="U2285" s="616"/>
      <c r="W2285" s="620" t="e">
        <f t="shared" si="63"/>
        <v>#DIV/0!</v>
      </c>
    </row>
    <row r="2286" spans="21:23" x14ac:dyDescent="0.2">
      <c r="U2286" s="616"/>
      <c r="W2286" s="620" t="e">
        <f t="shared" si="63"/>
        <v>#DIV/0!</v>
      </c>
    </row>
    <row r="2287" spans="21:23" x14ac:dyDescent="0.2">
      <c r="U2287" s="616"/>
      <c r="W2287" s="620" t="e">
        <f t="shared" si="63"/>
        <v>#DIV/0!</v>
      </c>
    </row>
    <row r="2288" spans="21:23" x14ac:dyDescent="0.2">
      <c r="U2288" s="616"/>
      <c r="W2288" s="620" t="e">
        <f t="shared" si="63"/>
        <v>#DIV/0!</v>
      </c>
    </row>
    <row r="2289" spans="21:23" x14ac:dyDescent="0.2">
      <c r="U2289" s="616"/>
      <c r="W2289" s="620" t="e">
        <f t="shared" si="63"/>
        <v>#DIV/0!</v>
      </c>
    </row>
    <row r="2290" spans="21:23" x14ac:dyDescent="0.2">
      <c r="U2290" s="616"/>
      <c r="W2290" s="620" t="e">
        <f t="shared" si="63"/>
        <v>#DIV/0!</v>
      </c>
    </row>
    <row r="2291" spans="21:23" x14ac:dyDescent="0.2">
      <c r="U2291" s="616"/>
      <c r="W2291" s="620" t="e">
        <f t="shared" si="63"/>
        <v>#DIV/0!</v>
      </c>
    </row>
    <row r="2292" spans="21:23" x14ac:dyDescent="0.2">
      <c r="U2292" s="616"/>
      <c r="W2292" s="620" t="e">
        <f t="shared" si="63"/>
        <v>#DIV/0!</v>
      </c>
    </row>
    <row r="2293" spans="21:23" x14ac:dyDescent="0.2">
      <c r="U2293" s="616"/>
      <c r="W2293" s="620" t="e">
        <f t="shared" si="63"/>
        <v>#DIV/0!</v>
      </c>
    </row>
    <row r="2294" spans="21:23" x14ac:dyDescent="0.2">
      <c r="U2294" s="616"/>
      <c r="W2294" s="620" t="e">
        <f t="shared" si="63"/>
        <v>#DIV/0!</v>
      </c>
    </row>
    <row r="2295" spans="21:23" x14ac:dyDescent="0.2">
      <c r="U2295" s="616"/>
      <c r="W2295" s="620" t="e">
        <f t="shared" si="63"/>
        <v>#DIV/0!</v>
      </c>
    </row>
    <row r="2296" spans="21:23" x14ac:dyDescent="0.2">
      <c r="U2296" s="616"/>
      <c r="W2296" s="620" t="e">
        <f t="shared" si="63"/>
        <v>#DIV/0!</v>
      </c>
    </row>
    <row r="2297" spans="21:23" x14ac:dyDescent="0.2">
      <c r="U2297" s="616"/>
      <c r="W2297" s="620" t="e">
        <f t="shared" si="63"/>
        <v>#DIV/0!</v>
      </c>
    </row>
    <row r="2298" spans="21:23" x14ac:dyDescent="0.2">
      <c r="U2298" s="616"/>
      <c r="W2298" s="620" t="e">
        <f t="shared" si="63"/>
        <v>#DIV/0!</v>
      </c>
    </row>
    <row r="2299" spans="21:23" x14ac:dyDescent="0.2">
      <c r="U2299" s="616"/>
      <c r="W2299" s="620" t="e">
        <f t="shared" si="63"/>
        <v>#DIV/0!</v>
      </c>
    </row>
    <row r="2300" spans="21:23" x14ac:dyDescent="0.2">
      <c r="U2300" s="616"/>
      <c r="W2300" s="620" t="e">
        <f t="shared" si="63"/>
        <v>#DIV/0!</v>
      </c>
    </row>
    <row r="2301" spans="21:23" x14ac:dyDescent="0.2">
      <c r="U2301" s="616"/>
      <c r="W2301" s="620" t="e">
        <f t="shared" si="63"/>
        <v>#DIV/0!</v>
      </c>
    </row>
    <row r="2302" spans="21:23" x14ac:dyDescent="0.2">
      <c r="U2302" s="616"/>
      <c r="W2302" s="620" t="e">
        <f t="shared" si="63"/>
        <v>#DIV/0!</v>
      </c>
    </row>
    <row r="2303" spans="21:23" x14ac:dyDescent="0.2">
      <c r="U2303" s="616"/>
      <c r="W2303" s="620" t="e">
        <f t="shared" si="63"/>
        <v>#DIV/0!</v>
      </c>
    </row>
    <row r="2304" spans="21:23" x14ac:dyDescent="0.2">
      <c r="U2304" s="616"/>
      <c r="W2304" s="620" t="e">
        <f t="shared" si="63"/>
        <v>#DIV/0!</v>
      </c>
    </row>
    <row r="2305" spans="21:23" x14ac:dyDescent="0.2">
      <c r="U2305" s="616"/>
      <c r="W2305" s="620" t="e">
        <f t="shared" si="63"/>
        <v>#DIV/0!</v>
      </c>
    </row>
    <row r="2306" spans="21:23" x14ac:dyDescent="0.2">
      <c r="U2306" s="616"/>
      <c r="W2306" s="620" t="e">
        <f t="shared" si="63"/>
        <v>#DIV/0!</v>
      </c>
    </row>
    <row r="2307" spans="21:23" x14ac:dyDescent="0.2">
      <c r="U2307" s="616"/>
      <c r="W2307" s="620" t="e">
        <f t="shared" si="63"/>
        <v>#DIV/0!</v>
      </c>
    </row>
    <row r="2308" spans="21:23" x14ac:dyDescent="0.2">
      <c r="U2308" s="616"/>
      <c r="W2308" s="620" t="e">
        <f t="shared" ref="W2308:W2371" si="64">AVERAGE($V$4:$V$2517)</f>
        <v>#DIV/0!</v>
      </c>
    </row>
    <row r="2309" spans="21:23" x14ac:dyDescent="0.2">
      <c r="U2309" s="616"/>
      <c r="W2309" s="620" t="e">
        <f t="shared" si="64"/>
        <v>#DIV/0!</v>
      </c>
    </row>
    <row r="2310" spans="21:23" x14ac:dyDescent="0.2">
      <c r="U2310" s="616"/>
      <c r="W2310" s="620" t="e">
        <f t="shared" si="64"/>
        <v>#DIV/0!</v>
      </c>
    </row>
    <row r="2311" spans="21:23" x14ac:dyDescent="0.2">
      <c r="U2311" s="616"/>
      <c r="W2311" s="620" t="e">
        <f t="shared" si="64"/>
        <v>#DIV/0!</v>
      </c>
    </row>
    <row r="2312" spans="21:23" x14ac:dyDescent="0.2">
      <c r="U2312" s="616"/>
      <c r="W2312" s="620" t="e">
        <f t="shared" si="64"/>
        <v>#DIV/0!</v>
      </c>
    </row>
    <row r="2313" spans="21:23" x14ac:dyDescent="0.2">
      <c r="U2313" s="616"/>
      <c r="W2313" s="620" t="e">
        <f t="shared" si="64"/>
        <v>#DIV/0!</v>
      </c>
    </row>
    <row r="2314" spans="21:23" x14ac:dyDescent="0.2">
      <c r="U2314" s="616"/>
      <c r="W2314" s="620" t="e">
        <f t="shared" si="64"/>
        <v>#DIV/0!</v>
      </c>
    </row>
    <row r="2315" spans="21:23" x14ac:dyDescent="0.2">
      <c r="U2315" s="616"/>
      <c r="W2315" s="620" t="e">
        <f t="shared" si="64"/>
        <v>#DIV/0!</v>
      </c>
    </row>
    <row r="2316" spans="21:23" x14ac:dyDescent="0.2">
      <c r="U2316" s="616"/>
      <c r="W2316" s="620" t="e">
        <f t="shared" si="64"/>
        <v>#DIV/0!</v>
      </c>
    </row>
    <row r="2317" spans="21:23" x14ac:dyDescent="0.2">
      <c r="U2317" s="616"/>
      <c r="W2317" s="620" t="e">
        <f t="shared" si="64"/>
        <v>#DIV/0!</v>
      </c>
    </row>
    <row r="2318" spans="21:23" x14ac:dyDescent="0.2">
      <c r="U2318" s="616"/>
      <c r="W2318" s="620" t="e">
        <f t="shared" si="64"/>
        <v>#DIV/0!</v>
      </c>
    </row>
    <row r="2319" spans="21:23" x14ac:dyDescent="0.2">
      <c r="U2319" s="616"/>
      <c r="W2319" s="620" t="e">
        <f t="shared" si="64"/>
        <v>#DIV/0!</v>
      </c>
    </row>
    <row r="2320" spans="21:23" x14ac:dyDescent="0.2">
      <c r="U2320" s="616"/>
      <c r="W2320" s="620" t="e">
        <f t="shared" si="64"/>
        <v>#DIV/0!</v>
      </c>
    </row>
    <row r="2321" spans="21:23" x14ac:dyDescent="0.2">
      <c r="U2321" s="616"/>
      <c r="W2321" s="620" t="e">
        <f t="shared" si="64"/>
        <v>#DIV/0!</v>
      </c>
    </row>
    <row r="2322" spans="21:23" x14ac:dyDescent="0.2">
      <c r="U2322" s="616"/>
      <c r="W2322" s="620" t="e">
        <f t="shared" si="64"/>
        <v>#DIV/0!</v>
      </c>
    </row>
    <row r="2323" spans="21:23" x14ac:dyDescent="0.2">
      <c r="U2323" s="616"/>
      <c r="W2323" s="620" t="e">
        <f t="shared" si="64"/>
        <v>#DIV/0!</v>
      </c>
    </row>
    <row r="2324" spans="21:23" x14ac:dyDescent="0.2">
      <c r="U2324" s="616"/>
      <c r="W2324" s="620" t="e">
        <f t="shared" si="64"/>
        <v>#DIV/0!</v>
      </c>
    </row>
    <row r="2325" spans="21:23" x14ac:dyDescent="0.2">
      <c r="U2325" s="616"/>
      <c r="W2325" s="620" t="e">
        <f t="shared" si="64"/>
        <v>#DIV/0!</v>
      </c>
    </row>
    <row r="2326" spans="21:23" x14ac:dyDescent="0.2">
      <c r="U2326" s="616"/>
      <c r="W2326" s="620" t="e">
        <f t="shared" si="64"/>
        <v>#DIV/0!</v>
      </c>
    </row>
    <row r="2327" spans="21:23" x14ac:dyDescent="0.2">
      <c r="U2327" s="616"/>
      <c r="W2327" s="620" t="e">
        <f t="shared" si="64"/>
        <v>#DIV/0!</v>
      </c>
    </row>
    <row r="2328" spans="21:23" x14ac:dyDescent="0.2">
      <c r="U2328" s="616"/>
      <c r="W2328" s="620" t="e">
        <f t="shared" si="64"/>
        <v>#DIV/0!</v>
      </c>
    </row>
    <row r="2329" spans="21:23" x14ac:dyDescent="0.2">
      <c r="U2329" s="616"/>
      <c r="W2329" s="620" t="e">
        <f t="shared" si="64"/>
        <v>#DIV/0!</v>
      </c>
    </row>
    <row r="2330" spans="21:23" x14ac:dyDescent="0.2">
      <c r="U2330" s="616"/>
      <c r="W2330" s="620" t="e">
        <f t="shared" si="64"/>
        <v>#DIV/0!</v>
      </c>
    </row>
    <row r="2331" spans="21:23" x14ac:dyDescent="0.2">
      <c r="U2331" s="616"/>
      <c r="W2331" s="620" t="e">
        <f t="shared" si="64"/>
        <v>#DIV/0!</v>
      </c>
    </row>
    <row r="2332" spans="21:23" x14ac:dyDescent="0.2">
      <c r="U2332" s="616"/>
      <c r="W2332" s="620" t="e">
        <f t="shared" si="64"/>
        <v>#DIV/0!</v>
      </c>
    </row>
    <row r="2333" spans="21:23" x14ac:dyDescent="0.2">
      <c r="U2333" s="616"/>
      <c r="W2333" s="620" t="e">
        <f t="shared" si="64"/>
        <v>#DIV/0!</v>
      </c>
    </row>
    <row r="2334" spans="21:23" x14ac:dyDescent="0.2">
      <c r="U2334" s="616"/>
      <c r="W2334" s="620" t="e">
        <f t="shared" si="64"/>
        <v>#DIV/0!</v>
      </c>
    </row>
    <row r="2335" spans="21:23" x14ac:dyDescent="0.2">
      <c r="U2335" s="616"/>
      <c r="W2335" s="620" t="e">
        <f t="shared" si="64"/>
        <v>#DIV/0!</v>
      </c>
    </row>
    <row r="2336" spans="21:23" x14ac:dyDescent="0.2">
      <c r="U2336" s="616"/>
      <c r="W2336" s="620" t="e">
        <f t="shared" si="64"/>
        <v>#DIV/0!</v>
      </c>
    </row>
    <row r="2337" spans="21:23" x14ac:dyDescent="0.2">
      <c r="U2337" s="616"/>
      <c r="W2337" s="620" t="e">
        <f t="shared" si="64"/>
        <v>#DIV/0!</v>
      </c>
    </row>
    <row r="2338" spans="21:23" x14ac:dyDescent="0.2">
      <c r="U2338" s="616"/>
      <c r="W2338" s="620" t="e">
        <f t="shared" si="64"/>
        <v>#DIV/0!</v>
      </c>
    </row>
    <row r="2339" spans="21:23" x14ac:dyDescent="0.2">
      <c r="U2339" s="616"/>
      <c r="W2339" s="620" t="e">
        <f t="shared" si="64"/>
        <v>#DIV/0!</v>
      </c>
    </row>
    <row r="2340" spans="21:23" x14ac:dyDescent="0.2">
      <c r="U2340" s="616"/>
      <c r="W2340" s="620" t="e">
        <f t="shared" si="64"/>
        <v>#DIV/0!</v>
      </c>
    </row>
    <row r="2341" spans="21:23" x14ac:dyDescent="0.2">
      <c r="U2341" s="616"/>
      <c r="W2341" s="620" t="e">
        <f t="shared" si="64"/>
        <v>#DIV/0!</v>
      </c>
    </row>
    <row r="2342" spans="21:23" x14ac:dyDescent="0.2">
      <c r="U2342" s="616"/>
      <c r="W2342" s="620" t="e">
        <f t="shared" si="64"/>
        <v>#DIV/0!</v>
      </c>
    </row>
    <row r="2343" spans="21:23" x14ac:dyDescent="0.2">
      <c r="U2343" s="616"/>
      <c r="W2343" s="620" t="e">
        <f t="shared" si="64"/>
        <v>#DIV/0!</v>
      </c>
    </row>
    <row r="2344" spans="21:23" x14ac:dyDescent="0.2">
      <c r="U2344" s="616"/>
      <c r="W2344" s="620" t="e">
        <f t="shared" si="64"/>
        <v>#DIV/0!</v>
      </c>
    </row>
    <row r="2345" spans="21:23" x14ac:dyDescent="0.2">
      <c r="U2345" s="616"/>
      <c r="W2345" s="620" t="e">
        <f t="shared" si="64"/>
        <v>#DIV/0!</v>
      </c>
    </row>
    <row r="2346" spans="21:23" x14ac:dyDescent="0.2">
      <c r="U2346" s="616"/>
      <c r="W2346" s="620" t="e">
        <f t="shared" si="64"/>
        <v>#DIV/0!</v>
      </c>
    </row>
    <row r="2347" spans="21:23" x14ac:dyDescent="0.2">
      <c r="U2347" s="616"/>
      <c r="W2347" s="620" t="e">
        <f t="shared" si="64"/>
        <v>#DIV/0!</v>
      </c>
    </row>
    <row r="2348" spans="21:23" x14ac:dyDescent="0.2">
      <c r="U2348" s="616"/>
      <c r="W2348" s="620" t="e">
        <f t="shared" si="64"/>
        <v>#DIV/0!</v>
      </c>
    </row>
    <row r="2349" spans="21:23" x14ac:dyDescent="0.2">
      <c r="U2349" s="616"/>
      <c r="W2349" s="620" t="e">
        <f t="shared" si="64"/>
        <v>#DIV/0!</v>
      </c>
    </row>
    <row r="2350" spans="21:23" x14ac:dyDescent="0.2">
      <c r="U2350" s="616"/>
      <c r="W2350" s="620" t="e">
        <f t="shared" si="64"/>
        <v>#DIV/0!</v>
      </c>
    </row>
    <row r="2351" spans="21:23" x14ac:dyDescent="0.2">
      <c r="U2351" s="616"/>
      <c r="W2351" s="620" t="e">
        <f t="shared" si="64"/>
        <v>#DIV/0!</v>
      </c>
    </row>
    <row r="2352" spans="21:23" x14ac:dyDescent="0.2">
      <c r="U2352" s="616"/>
      <c r="W2352" s="620" t="e">
        <f t="shared" si="64"/>
        <v>#DIV/0!</v>
      </c>
    </row>
    <row r="2353" spans="21:23" x14ac:dyDescent="0.2">
      <c r="U2353" s="616"/>
      <c r="W2353" s="620" t="e">
        <f t="shared" si="64"/>
        <v>#DIV/0!</v>
      </c>
    </row>
    <row r="2354" spans="21:23" x14ac:dyDescent="0.2">
      <c r="U2354" s="616"/>
      <c r="W2354" s="620" t="e">
        <f t="shared" si="64"/>
        <v>#DIV/0!</v>
      </c>
    </row>
    <row r="2355" spans="21:23" x14ac:dyDescent="0.2">
      <c r="U2355" s="616"/>
      <c r="W2355" s="620" t="e">
        <f t="shared" si="64"/>
        <v>#DIV/0!</v>
      </c>
    </row>
    <row r="2356" spans="21:23" x14ac:dyDescent="0.2">
      <c r="U2356" s="616"/>
      <c r="W2356" s="620" t="e">
        <f t="shared" si="64"/>
        <v>#DIV/0!</v>
      </c>
    </row>
    <row r="2357" spans="21:23" x14ac:dyDescent="0.2">
      <c r="U2357" s="616"/>
      <c r="W2357" s="620" t="e">
        <f t="shared" si="64"/>
        <v>#DIV/0!</v>
      </c>
    </row>
    <row r="2358" spans="21:23" x14ac:dyDescent="0.2">
      <c r="U2358" s="616"/>
      <c r="W2358" s="620" t="e">
        <f t="shared" si="64"/>
        <v>#DIV/0!</v>
      </c>
    </row>
    <row r="2359" spans="21:23" x14ac:dyDescent="0.2">
      <c r="U2359" s="616"/>
      <c r="W2359" s="620" t="e">
        <f t="shared" si="64"/>
        <v>#DIV/0!</v>
      </c>
    </row>
    <row r="2360" spans="21:23" x14ac:dyDescent="0.2">
      <c r="U2360" s="616"/>
      <c r="W2360" s="620" t="e">
        <f t="shared" si="64"/>
        <v>#DIV/0!</v>
      </c>
    </row>
    <row r="2361" spans="21:23" x14ac:dyDescent="0.2">
      <c r="U2361" s="616"/>
      <c r="W2361" s="620" t="e">
        <f t="shared" si="64"/>
        <v>#DIV/0!</v>
      </c>
    </row>
    <row r="2362" spans="21:23" x14ac:dyDescent="0.2">
      <c r="U2362" s="616"/>
      <c r="W2362" s="620" t="e">
        <f t="shared" si="64"/>
        <v>#DIV/0!</v>
      </c>
    </row>
    <row r="2363" spans="21:23" x14ac:dyDescent="0.2">
      <c r="U2363" s="616"/>
      <c r="W2363" s="620" t="e">
        <f t="shared" si="64"/>
        <v>#DIV/0!</v>
      </c>
    </row>
    <row r="2364" spans="21:23" x14ac:dyDescent="0.2">
      <c r="U2364" s="616"/>
      <c r="W2364" s="620" t="e">
        <f t="shared" si="64"/>
        <v>#DIV/0!</v>
      </c>
    </row>
    <row r="2365" spans="21:23" x14ac:dyDescent="0.2">
      <c r="U2365" s="616"/>
      <c r="W2365" s="620" t="e">
        <f t="shared" si="64"/>
        <v>#DIV/0!</v>
      </c>
    </row>
    <row r="2366" spans="21:23" x14ac:dyDescent="0.2">
      <c r="U2366" s="616"/>
      <c r="W2366" s="620" t="e">
        <f t="shared" si="64"/>
        <v>#DIV/0!</v>
      </c>
    </row>
    <row r="2367" spans="21:23" x14ac:dyDescent="0.2">
      <c r="U2367" s="616"/>
      <c r="W2367" s="620" t="e">
        <f t="shared" si="64"/>
        <v>#DIV/0!</v>
      </c>
    </row>
    <row r="2368" spans="21:23" x14ac:dyDescent="0.2">
      <c r="U2368" s="616"/>
      <c r="W2368" s="620" t="e">
        <f t="shared" si="64"/>
        <v>#DIV/0!</v>
      </c>
    </row>
    <row r="2369" spans="21:23" x14ac:dyDescent="0.2">
      <c r="U2369" s="616"/>
      <c r="W2369" s="620" t="e">
        <f t="shared" si="64"/>
        <v>#DIV/0!</v>
      </c>
    </row>
    <row r="2370" spans="21:23" x14ac:dyDescent="0.2">
      <c r="U2370" s="616"/>
      <c r="W2370" s="620" t="e">
        <f t="shared" si="64"/>
        <v>#DIV/0!</v>
      </c>
    </row>
    <row r="2371" spans="21:23" x14ac:dyDescent="0.2">
      <c r="U2371" s="616"/>
      <c r="W2371" s="620" t="e">
        <f t="shared" si="64"/>
        <v>#DIV/0!</v>
      </c>
    </row>
    <row r="2372" spans="21:23" x14ac:dyDescent="0.2">
      <c r="U2372" s="616"/>
      <c r="W2372" s="620" t="e">
        <f t="shared" ref="W2372:W2435" si="65">AVERAGE($V$4:$V$2517)</f>
        <v>#DIV/0!</v>
      </c>
    </row>
    <row r="2373" spans="21:23" x14ac:dyDescent="0.2">
      <c r="U2373" s="616"/>
      <c r="W2373" s="620" t="e">
        <f t="shared" si="65"/>
        <v>#DIV/0!</v>
      </c>
    </row>
    <row r="2374" spans="21:23" x14ac:dyDescent="0.2">
      <c r="U2374" s="616"/>
      <c r="W2374" s="620" t="e">
        <f t="shared" si="65"/>
        <v>#DIV/0!</v>
      </c>
    </row>
    <row r="2375" spans="21:23" x14ac:dyDescent="0.2">
      <c r="U2375" s="616"/>
      <c r="W2375" s="620" t="e">
        <f t="shared" si="65"/>
        <v>#DIV/0!</v>
      </c>
    </row>
    <row r="2376" spans="21:23" x14ac:dyDescent="0.2">
      <c r="U2376" s="616"/>
      <c r="W2376" s="620" t="e">
        <f t="shared" si="65"/>
        <v>#DIV/0!</v>
      </c>
    </row>
    <row r="2377" spans="21:23" x14ac:dyDescent="0.2">
      <c r="U2377" s="616"/>
      <c r="W2377" s="620" t="e">
        <f t="shared" si="65"/>
        <v>#DIV/0!</v>
      </c>
    </row>
    <row r="2378" spans="21:23" x14ac:dyDescent="0.2">
      <c r="U2378" s="616"/>
      <c r="W2378" s="620" t="e">
        <f t="shared" si="65"/>
        <v>#DIV/0!</v>
      </c>
    </row>
    <row r="2379" spans="21:23" x14ac:dyDescent="0.2">
      <c r="U2379" s="616"/>
      <c r="W2379" s="620" t="e">
        <f t="shared" si="65"/>
        <v>#DIV/0!</v>
      </c>
    </row>
    <row r="2380" spans="21:23" x14ac:dyDescent="0.2">
      <c r="U2380" s="616"/>
      <c r="W2380" s="620" t="e">
        <f t="shared" si="65"/>
        <v>#DIV/0!</v>
      </c>
    </row>
    <row r="2381" spans="21:23" x14ac:dyDescent="0.2">
      <c r="U2381" s="616"/>
      <c r="W2381" s="620" t="e">
        <f t="shared" si="65"/>
        <v>#DIV/0!</v>
      </c>
    </row>
    <row r="2382" spans="21:23" x14ac:dyDescent="0.2">
      <c r="U2382" s="616"/>
      <c r="W2382" s="620" t="e">
        <f t="shared" si="65"/>
        <v>#DIV/0!</v>
      </c>
    </row>
    <row r="2383" spans="21:23" x14ac:dyDescent="0.2">
      <c r="U2383" s="616"/>
      <c r="W2383" s="620" t="e">
        <f t="shared" si="65"/>
        <v>#DIV/0!</v>
      </c>
    </row>
    <row r="2384" spans="21:23" x14ac:dyDescent="0.2">
      <c r="U2384" s="616"/>
      <c r="W2384" s="620" t="e">
        <f t="shared" si="65"/>
        <v>#DIV/0!</v>
      </c>
    </row>
    <row r="2385" spans="21:23" x14ac:dyDescent="0.2">
      <c r="U2385" s="616"/>
      <c r="W2385" s="620" t="e">
        <f t="shared" si="65"/>
        <v>#DIV/0!</v>
      </c>
    </row>
    <row r="2386" spans="21:23" x14ac:dyDescent="0.2">
      <c r="U2386" s="616"/>
      <c r="W2386" s="620" t="e">
        <f t="shared" si="65"/>
        <v>#DIV/0!</v>
      </c>
    </row>
    <row r="2387" spans="21:23" x14ac:dyDescent="0.2">
      <c r="U2387" s="616"/>
      <c r="W2387" s="620" t="e">
        <f t="shared" si="65"/>
        <v>#DIV/0!</v>
      </c>
    </row>
    <row r="2388" spans="21:23" x14ac:dyDescent="0.2">
      <c r="U2388" s="616"/>
      <c r="W2388" s="620" t="e">
        <f t="shared" si="65"/>
        <v>#DIV/0!</v>
      </c>
    </row>
    <row r="2389" spans="21:23" x14ac:dyDescent="0.2">
      <c r="U2389" s="616"/>
      <c r="W2389" s="620" t="e">
        <f t="shared" si="65"/>
        <v>#DIV/0!</v>
      </c>
    </row>
    <row r="2390" spans="21:23" x14ac:dyDescent="0.2">
      <c r="U2390" s="616"/>
      <c r="W2390" s="620" t="e">
        <f t="shared" si="65"/>
        <v>#DIV/0!</v>
      </c>
    </row>
    <row r="2391" spans="21:23" x14ac:dyDescent="0.2">
      <c r="U2391" s="616"/>
      <c r="W2391" s="620" t="e">
        <f t="shared" si="65"/>
        <v>#DIV/0!</v>
      </c>
    </row>
    <row r="2392" spans="21:23" x14ac:dyDescent="0.2">
      <c r="U2392" s="616"/>
      <c r="W2392" s="620" t="e">
        <f t="shared" si="65"/>
        <v>#DIV/0!</v>
      </c>
    </row>
    <row r="2393" spans="21:23" x14ac:dyDescent="0.2">
      <c r="U2393" s="616"/>
      <c r="W2393" s="620" t="e">
        <f t="shared" si="65"/>
        <v>#DIV/0!</v>
      </c>
    </row>
    <row r="2394" spans="21:23" x14ac:dyDescent="0.2">
      <c r="U2394" s="616"/>
      <c r="W2394" s="620" t="e">
        <f t="shared" si="65"/>
        <v>#DIV/0!</v>
      </c>
    </row>
    <row r="2395" spans="21:23" x14ac:dyDescent="0.2">
      <c r="U2395" s="616"/>
      <c r="W2395" s="620" t="e">
        <f t="shared" si="65"/>
        <v>#DIV/0!</v>
      </c>
    </row>
    <row r="2396" spans="21:23" x14ac:dyDescent="0.2">
      <c r="U2396" s="616"/>
      <c r="W2396" s="620" t="e">
        <f t="shared" si="65"/>
        <v>#DIV/0!</v>
      </c>
    </row>
    <row r="2397" spans="21:23" x14ac:dyDescent="0.2">
      <c r="U2397" s="616"/>
      <c r="W2397" s="620" t="e">
        <f t="shared" si="65"/>
        <v>#DIV/0!</v>
      </c>
    </row>
    <row r="2398" spans="21:23" x14ac:dyDescent="0.2">
      <c r="U2398" s="616"/>
      <c r="W2398" s="620" t="e">
        <f t="shared" si="65"/>
        <v>#DIV/0!</v>
      </c>
    </row>
    <row r="2399" spans="21:23" x14ac:dyDescent="0.2">
      <c r="U2399" s="616"/>
      <c r="W2399" s="620" t="e">
        <f t="shared" si="65"/>
        <v>#DIV/0!</v>
      </c>
    </row>
    <row r="2400" spans="21:23" x14ac:dyDescent="0.2">
      <c r="U2400" s="616"/>
      <c r="W2400" s="620" t="e">
        <f t="shared" si="65"/>
        <v>#DIV/0!</v>
      </c>
    </row>
    <row r="2401" spans="21:23" x14ac:dyDescent="0.2">
      <c r="U2401" s="616"/>
      <c r="W2401" s="620" t="e">
        <f t="shared" si="65"/>
        <v>#DIV/0!</v>
      </c>
    </row>
    <row r="2402" spans="21:23" x14ac:dyDescent="0.2">
      <c r="U2402" s="616"/>
      <c r="W2402" s="620" t="e">
        <f t="shared" si="65"/>
        <v>#DIV/0!</v>
      </c>
    </row>
    <row r="2403" spans="21:23" x14ac:dyDescent="0.2">
      <c r="U2403" s="616"/>
      <c r="W2403" s="620" t="e">
        <f t="shared" si="65"/>
        <v>#DIV/0!</v>
      </c>
    </row>
    <row r="2404" spans="21:23" x14ac:dyDescent="0.2">
      <c r="U2404" s="616"/>
      <c r="W2404" s="620" t="e">
        <f t="shared" si="65"/>
        <v>#DIV/0!</v>
      </c>
    </row>
    <row r="2405" spans="21:23" x14ac:dyDescent="0.2">
      <c r="U2405" s="616"/>
      <c r="W2405" s="620" t="e">
        <f t="shared" si="65"/>
        <v>#DIV/0!</v>
      </c>
    </row>
    <row r="2406" spans="21:23" x14ac:dyDescent="0.2">
      <c r="U2406" s="616"/>
      <c r="W2406" s="620" t="e">
        <f t="shared" si="65"/>
        <v>#DIV/0!</v>
      </c>
    </row>
    <row r="2407" spans="21:23" x14ac:dyDescent="0.2">
      <c r="U2407" s="616"/>
      <c r="W2407" s="620" t="e">
        <f t="shared" si="65"/>
        <v>#DIV/0!</v>
      </c>
    </row>
    <row r="2408" spans="21:23" x14ac:dyDescent="0.2">
      <c r="U2408" s="616"/>
      <c r="W2408" s="620" t="e">
        <f t="shared" si="65"/>
        <v>#DIV/0!</v>
      </c>
    </row>
    <row r="2409" spans="21:23" x14ac:dyDescent="0.2">
      <c r="U2409" s="616"/>
      <c r="W2409" s="620" t="e">
        <f t="shared" si="65"/>
        <v>#DIV/0!</v>
      </c>
    </row>
    <row r="2410" spans="21:23" x14ac:dyDescent="0.2">
      <c r="U2410" s="616"/>
      <c r="W2410" s="620" t="e">
        <f t="shared" si="65"/>
        <v>#DIV/0!</v>
      </c>
    </row>
    <row r="2411" spans="21:23" x14ac:dyDescent="0.2">
      <c r="U2411" s="616"/>
      <c r="W2411" s="620" t="e">
        <f t="shared" si="65"/>
        <v>#DIV/0!</v>
      </c>
    </row>
    <row r="2412" spans="21:23" x14ac:dyDescent="0.2">
      <c r="U2412" s="616"/>
      <c r="W2412" s="620" t="e">
        <f t="shared" si="65"/>
        <v>#DIV/0!</v>
      </c>
    </row>
    <row r="2413" spans="21:23" x14ac:dyDescent="0.2">
      <c r="U2413" s="616"/>
      <c r="W2413" s="620" t="e">
        <f t="shared" si="65"/>
        <v>#DIV/0!</v>
      </c>
    </row>
    <row r="2414" spans="21:23" x14ac:dyDescent="0.2">
      <c r="U2414" s="616"/>
      <c r="W2414" s="620" t="e">
        <f t="shared" si="65"/>
        <v>#DIV/0!</v>
      </c>
    </row>
    <row r="2415" spans="21:23" x14ac:dyDescent="0.2">
      <c r="U2415" s="616"/>
      <c r="W2415" s="620" t="e">
        <f t="shared" si="65"/>
        <v>#DIV/0!</v>
      </c>
    </row>
    <row r="2416" spans="21:23" x14ac:dyDescent="0.2">
      <c r="U2416" s="616"/>
      <c r="W2416" s="620" t="e">
        <f t="shared" si="65"/>
        <v>#DIV/0!</v>
      </c>
    </row>
    <row r="2417" spans="21:23" x14ac:dyDescent="0.2">
      <c r="U2417" s="616"/>
      <c r="W2417" s="620" t="e">
        <f t="shared" si="65"/>
        <v>#DIV/0!</v>
      </c>
    </row>
    <row r="2418" spans="21:23" x14ac:dyDescent="0.2">
      <c r="U2418" s="616"/>
      <c r="W2418" s="620" t="e">
        <f t="shared" si="65"/>
        <v>#DIV/0!</v>
      </c>
    </row>
    <row r="2419" spans="21:23" x14ac:dyDescent="0.2">
      <c r="U2419" s="616"/>
      <c r="W2419" s="620" t="e">
        <f t="shared" si="65"/>
        <v>#DIV/0!</v>
      </c>
    </row>
    <row r="2420" spans="21:23" x14ac:dyDescent="0.2">
      <c r="U2420" s="616"/>
      <c r="W2420" s="620" t="e">
        <f t="shared" si="65"/>
        <v>#DIV/0!</v>
      </c>
    </row>
    <row r="2421" spans="21:23" x14ac:dyDescent="0.2">
      <c r="U2421" s="616"/>
      <c r="W2421" s="620" t="e">
        <f t="shared" si="65"/>
        <v>#DIV/0!</v>
      </c>
    </row>
    <row r="2422" spans="21:23" x14ac:dyDescent="0.2">
      <c r="U2422" s="616"/>
      <c r="W2422" s="620" t="e">
        <f t="shared" si="65"/>
        <v>#DIV/0!</v>
      </c>
    </row>
    <row r="2423" spans="21:23" x14ac:dyDescent="0.2">
      <c r="U2423" s="616"/>
      <c r="W2423" s="620" t="e">
        <f t="shared" si="65"/>
        <v>#DIV/0!</v>
      </c>
    </row>
    <row r="2424" spans="21:23" x14ac:dyDescent="0.2">
      <c r="U2424" s="616"/>
      <c r="W2424" s="620" t="e">
        <f t="shared" si="65"/>
        <v>#DIV/0!</v>
      </c>
    </row>
    <row r="2425" spans="21:23" x14ac:dyDescent="0.2">
      <c r="U2425" s="616"/>
      <c r="W2425" s="620" t="e">
        <f t="shared" si="65"/>
        <v>#DIV/0!</v>
      </c>
    </row>
    <row r="2426" spans="21:23" x14ac:dyDescent="0.2">
      <c r="U2426" s="616"/>
      <c r="W2426" s="620" t="e">
        <f t="shared" si="65"/>
        <v>#DIV/0!</v>
      </c>
    </row>
    <row r="2427" spans="21:23" x14ac:dyDescent="0.2">
      <c r="U2427" s="616"/>
      <c r="W2427" s="620" t="e">
        <f t="shared" si="65"/>
        <v>#DIV/0!</v>
      </c>
    </row>
    <row r="2428" spans="21:23" x14ac:dyDescent="0.2">
      <c r="U2428" s="616"/>
      <c r="W2428" s="620" t="e">
        <f t="shared" si="65"/>
        <v>#DIV/0!</v>
      </c>
    </row>
    <row r="2429" spans="21:23" x14ac:dyDescent="0.2">
      <c r="U2429" s="616"/>
      <c r="W2429" s="620" t="e">
        <f t="shared" si="65"/>
        <v>#DIV/0!</v>
      </c>
    </row>
    <row r="2430" spans="21:23" x14ac:dyDescent="0.2">
      <c r="U2430" s="616"/>
      <c r="W2430" s="620" t="e">
        <f t="shared" si="65"/>
        <v>#DIV/0!</v>
      </c>
    </row>
    <row r="2431" spans="21:23" x14ac:dyDescent="0.2">
      <c r="U2431" s="616"/>
      <c r="W2431" s="620" t="e">
        <f t="shared" si="65"/>
        <v>#DIV/0!</v>
      </c>
    </row>
    <row r="2432" spans="21:23" x14ac:dyDescent="0.2">
      <c r="U2432" s="616"/>
      <c r="W2432" s="620" t="e">
        <f t="shared" si="65"/>
        <v>#DIV/0!</v>
      </c>
    </row>
    <row r="2433" spans="21:23" x14ac:dyDescent="0.2">
      <c r="U2433" s="616"/>
      <c r="W2433" s="620" t="e">
        <f t="shared" si="65"/>
        <v>#DIV/0!</v>
      </c>
    </row>
    <row r="2434" spans="21:23" x14ac:dyDescent="0.2">
      <c r="U2434" s="616"/>
      <c r="W2434" s="620" t="e">
        <f t="shared" si="65"/>
        <v>#DIV/0!</v>
      </c>
    </row>
    <row r="2435" spans="21:23" x14ac:dyDescent="0.2">
      <c r="U2435" s="616"/>
      <c r="W2435" s="620" t="e">
        <f t="shared" si="65"/>
        <v>#DIV/0!</v>
      </c>
    </row>
    <row r="2436" spans="21:23" x14ac:dyDescent="0.2">
      <c r="U2436" s="616"/>
      <c r="W2436" s="620" t="e">
        <f t="shared" ref="W2436:W2499" si="66">AVERAGE($V$4:$V$2517)</f>
        <v>#DIV/0!</v>
      </c>
    </row>
    <row r="2437" spans="21:23" x14ac:dyDescent="0.2">
      <c r="U2437" s="616"/>
      <c r="W2437" s="620" t="e">
        <f t="shared" si="66"/>
        <v>#DIV/0!</v>
      </c>
    </row>
    <row r="2438" spans="21:23" x14ac:dyDescent="0.2">
      <c r="U2438" s="616"/>
      <c r="W2438" s="620" t="e">
        <f t="shared" si="66"/>
        <v>#DIV/0!</v>
      </c>
    </row>
    <row r="2439" spans="21:23" x14ac:dyDescent="0.2">
      <c r="U2439" s="616"/>
      <c r="W2439" s="620" t="e">
        <f t="shared" si="66"/>
        <v>#DIV/0!</v>
      </c>
    </row>
    <row r="2440" spans="21:23" x14ac:dyDescent="0.2">
      <c r="U2440" s="616"/>
      <c r="W2440" s="620" t="e">
        <f t="shared" si="66"/>
        <v>#DIV/0!</v>
      </c>
    </row>
    <row r="2441" spans="21:23" x14ac:dyDescent="0.2">
      <c r="U2441" s="616"/>
      <c r="W2441" s="620" t="e">
        <f t="shared" si="66"/>
        <v>#DIV/0!</v>
      </c>
    </row>
    <row r="2442" spans="21:23" x14ac:dyDescent="0.2">
      <c r="U2442" s="616"/>
      <c r="W2442" s="620" t="e">
        <f t="shared" si="66"/>
        <v>#DIV/0!</v>
      </c>
    </row>
    <row r="2443" spans="21:23" x14ac:dyDescent="0.2">
      <c r="U2443" s="616"/>
      <c r="W2443" s="620" t="e">
        <f t="shared" si="66"/>
        <v>#DIV/0!</v>
      </c>
    </row>
    <row r="2444" spans="21:23" x14ac:dyDescent="0.2">
      <c r="U2444" s="616"/>
      <c r="W2444" s="620" t="e">
        <f t="shared" si="66"/>
        <v>#DIV/0!</v>
      </c>
    </row>
    <row r="2445" spans="21:23" x14ac:dyDescent="0.2">
      <c r="U2445" s="616"/>
      <c r="W2445" s="620" t="e">
        <f t="shared" si="66"/>
        <v>#DIV/0!</v>
      </c>
    </row>
    <row r="2446" spans="21:23" x14ac:dyDescent="0.2">
      <c r="U2446" s="616"/>
      <c r="W2446" s="620" t="e">
        <f t="shared" si="66"/>
        <v>#DIV/0!</v>
      </c>
    </row>
    <row r="2447" spans="21:23" x14ac:dyDescent="0.2">
      <c r="U2447" s="616"/>
      <c r="W2447" s="620" t="e">
        <f t="shared" si="66"/>
        <v>#DIV/0!</v>
      </c>
    </row>
    <row r="2448" spans="21:23" x14ac:dyDescent="0.2">
      <c r="U2448" s="616"/>
      <c r="W2448" s="620" t="e">
        <f t="shared" si="66"/>
        <v>#DIV/0!</v>
      </c>
    </row>
    <row r="2449" spans="21:23" x14ac:dyDescent="0.2">
      <c r="U2449" s="616"/>
      <c r="W2449" s="620" t="e">
        <f t="shared" si="66"/>
        <v>#DIV/0!</v>
      </c>
    </row>
    <row r="2450" spans="21:23" x14ac:dyDescent="0.2">
      <c r="U2450" s="616"/>
      <c r="W2450" s="620" t="e">
        <f t="shared" si="66"/>
        <v>#DIV/0!</v>
      </c>
    </row>
    <row r="2451" spans="21:23" x14ac:dyDescent="0.2">
      <c r="U2451" s="616"/>
      <c r="W2451" s="620" t="e">
        <f t="shared" si="66"/>
        <v>#DIV/0!</v>
      </c>
    </row>
    <row r="2452" spans="21:23" x14ac:dyDescent="0.2">
      <c r="U2452" s="616"/>
      <c r="W2452" s="620" t="e">
        <f t="shared" si="66"/>
        <v>#DIV/0!</v>
      </c>
    </row>
    <row r="2453" spans="21:23" x14ac:dyDescent="0.2">
      <c r="U2453" s="616"/>
      <c r="W2453" s="620" t="e">
        <f t="shared" si="66"/>
        <v>#DIV/0!</v>
      </c>
    </row>
    <row r="2454" spans="21:23" x14ac:dyDescent="0.2">
      <c r="U2454" s="616"/>
      <c r="W2454" s="620" t="e">
        <f t="shared" si="66"/>
        <v>#DIV/0!</v>
      </c>
    </row>
    <row r="2455" spans="21:23" x14ac:dyDescent="0.2">
      <c r="U2455" s="616"/>
      <c r="W2455" s="620" t="e">
        <f t="shared" si="66"/>
        <v>#DIV/0!</v>
      </c>
    </row>
    <row r="2456" spans="21:23" x14ac:dyDescent="0.2">
      <c r="U2456" s="616"/>
      <c r="W2456" s="620" t="e">
        <f t="shared" si="66"/>
        <v>#DIV/0!</v>
      </c>
    </row>
    <row r="2457" spans="21:23" x14ac:dyDescent="0.2">
      <c r="U2457" s="616"/>
      <c r="W2457" s="620" t="e">
        <f t="shared" si="66"/>
        <v>#DIV/0!</v>
      </c>
    </row>
    <row r="2458" spans="21:23" x14ac:dyDescent="0.2">
      <c r="U2458" s="616"/>
      <c r="W2458" s="620" t="e">
        <f t="shared" si="66"/>
        <v>#DIV/0!</v>
      </c>
    </row>
    <row r="2459" spans="21:23" x14ac:dyDescent="0.2">
      <c r="U2459" s="616"/>
      <c r="W2459" s="620" t="e">
        <f t="shared" si="66"/>
        <v>#DIV/0!</v>
      </c>
    </row>
    <row r="2460" spans="21:23" x14ac:dyDescent="0.2">
      <c r="U2460" s="616"/>
      <c r="W2460" s="620" t="e">
        <f t="shared" si="66"/>
        <v>#DIV/0!</v>
      </c>
    </row>
    <row r="2461" spans="21:23" x14ac:dyDescent="0.2">
      <c r="U2461" s="616"/>
      <c r="W2461" s="620" t="e">
        <f t="shared" si="66"/>
        <v>#DIV/0!</v>
      </c>
    </row>
    <row r="2462" spans="21:23" x14ac:dyDescent="0.2">
      <c r="U2462" s="616"/>
      <c r="W2462" s="620" t="e">
        <f t="shared" si="66"/>
        <v>#DIV/0!</v>
      </c>
    </row>
    <row r="2463" spans="21:23" x14ac:dyDescent="0.2">
      <c r="U2463" s="616"/>
      <c r="W2463" s="620" t="e">
        <f t="shared" si="66"/>
        <v>#DIV/0!</v>
      </c>
    </row>
    <row r="2464" spans="21:23" x14ac:dyDescent="0.2">
      <c r="U2464" s="616"/>
      <c r="W2464" s="620" t="e">
        <f t="shared" si="66"/>
        <v>#DIV/0!</v>
      </c>
    </row>
    <row r="2465" spans="21:23" x14ac:dyDescent="0.2">
      <c r="U2465" s="616"/>
      <c r="W2465" s="620" t="e">
        <f t="shared" si="66"/>
        <v>#DIV/0!</v>
      </c>
    </row>
    <row r="2466" spans="21:23" x14ac:dyDescent="0.2">
      <c r="U2466" s="616"/>
      <c r="W2466" s="620" t="e">
        <f t="shared" si="66"/>
        <v>#DIV/0!</v>
      </c>
    </row>
    <row r="2467" spans="21:23" x14ac:dyDescent="0.2">
      <c r="U2467" s="616"/>
      <c r="W2467" s="620" t="e">
        <f t="shared" si="66"/>
        <v>#DIV/0!</v>
      </c>
    </row>
    <row r="2468" spans="21:23" x14ac:dyDescent="0.2">
      <c r="U2468" s="616"/>
      <c r="W2468" s="620" t="e">
        <f t="shared" si="66"/>
        <v>#DIV/0!</v>
      </c>
    </row>
    <row r="2469" spans="21:23" x14ac:dyDescent="0.2">
      <c r="U2469" s="616"/>
      <c r="W2469" s="620" t="e">
        <f t="shared" si="66"/>
        <v>#DIV/0!</v>
      </c>
    </row>
    <row r="2470" spans="21:23" x14ac:dyDescent="0.2">
      <c r="U2470" s="616"/>
      <c r="W2470" s="620" t="e">
        <f t="shared" si="66"/>
        <v>#DIV/0!</v>
      </c>
    </row>
    <row r="2471" spans="21:23" x14ac:dyDescent="0.2">
      <c r="U2471" s="616"/>
      <c r="W2471" s="620" t="e">
        <f t="shared" si="66"/>
        <v>#DIV/0!</v>
      </c>
    </row>
    <row r="2472" spans="21:23" x14ac:dyDescent="0.2">
      <c r="U2472" s="616"/>
      <c r="W2472" s="620" t="e">
        <f t="shared" si="66"/>
        <v>#DIV/0!</v>
      </c>
    </row>
    <row r="2473" spans="21:23" x14ac:dyDescent="0.2">
      <c r="U2473" s="616"/>
      <c r="W2473" s="620" t="e">
        <f t="shared" si="66"/>
        <v>#DIV/0!</v>
      </c>
    </row>
    <row r="2474" spans="21:23" x14ac:dyDescent="0.2">
      <c r="U2474" s="616"/>
      <c r="W2474" s="620" t="e">
        <f t="shared" si="66"/>
        <v>#DIV/0!</v>
      </c>
    </row>
    <row r="2475" spans="21:23" x14ac:dyDescent="0.2">
      <c r="U2475" s="616"/>
      <c r="W2475" s="620" t="e">
        <f t="shared" si="66"/>
        <v>#DIV/0!</v>
      </c>
    </row>
    <row r="2476" spans="21:23" x14ac:dyDescent="0.2">
      <c r="U2476" s="616"/>
      <c r="W2476" s="620" t="e">
        <f t="shared" si="66"/>
        <v>#DIV/0!</v>
      </c>
    </row>
    <row r="2477" spans="21:23" x14ac:dyDescent="0.2">
      <c r="U2477" s="616"/>
      <c r="W2477" s="620" t="e">
        <f t="shared" si="66"/>
        <v>#DIV/0!</v>
      </c>
    </row>
    <row r="2478" spans="21:23" x14ac:dyDescent="0.2">
      <c r="U2478" s="616"/>
      <c r="W2478" s="620" t="e">
        <f t="shared" si="66"/>
        <v>#DIV/0!</v>
      </c>
    </row>
    <row r="2479" spans="21:23" x14ac:dyDescent="0.2">
      <c r="U2479" s="616"/>
      <c r="W2479" s="620" t="e">
        <f t="shared" si="66"/>
        <v>#DIV/0!</v>
      </c>
    </row>
    <row r="2480" spans="21:23" x14ac:dyDescent="0.2">
      <c r="U2480" s="616"/>
      <c r="W2480" s="620" t="e">
        <f t="shared" si="66"/>
        <v>#DIV/0!</v>
      </c>
    </row>
    <row r="2481" spans="21:23" x14ac:dyDescent="0.2">
      <c r="U2481" s="616"/>
      <c r="W2481" s="620" t="e">
        <f t="shared" si="66"/>
        <v>#DIV/0!</v>
      </c>
    </row>
    <row r="2482" spans="21:23" x14ac:dyDescent="0.2">
      <c r="U2482" s="616"/>
      <c r="W2482" s="620" t="e">
        <f t="shared" si="66"/>
        <v>#DIV/0!</v>
      </c>
    </row>
    <row r="2483" spans="21:23" x14ac:dyDescent="0.2">
      <c r="U2483" s="616"/>
      <c r="W2483" s="620" t="e">
        <f t="shared" si="66"/>
        <v>#DIV/0!</v>
      </c>
    </row>
    <row r="2484" spans="21:23" x14ac:dyDescent="0.2">
      <c r="U2484" s="616"/>
      <c r="W2484" s="620" t="e">
        <f t="shared" si="66"/>
        <v>#DIV/0!</v>
      </c>
    </row>
    <row r="2485" spans="21:23" x14ac:dyDescent="0.2">
      <c r="U2485" s="616"/>
      <c r="W2485" s="620" t="e">
        <f t="shared" si="66"/>
        <v>#DIV/0!</v>
      </c>
    </row>
    <row r="2486" spans="21:23" x14ac:dyDescent="0.2">
      <c r="U2486" s="616"/>
      <c r="W2486" s="620" t="e">
        <f t="shared" si="66"/>
        <v>#DIV/0!</v>
      </c>
    </row>
    <row r="2487" spans="21:23" x14ac:dyDescent="0.2">
      <c r="U2487" s="616"/>
      <c r="W2487" s="620" t="e">
        <f t="shared" si="66"/>
        <v>#DIV/0!</v>
      </c>
    </row>
    <row r="2488" spans="21:23" x14ac:dyDescent="0.2">
      <c r="U2488" s="616"/>
      <c r="W2488" s="620" t="e">
        <f t="shared" si="66"/>
        <v>#DIV/0!</v>
      </c>
    </row>
    <row r="2489" spans="21:23" x14ac:dyDescent="0.2">
      <c r="U2489" s="616"/>
      <c r="W2489" s="620" t="e">
        <f t="shared" si="66"/>
        <v>#DIV/0!</v>
      </c>
    </row>
    <row r="2490" spans="21:23" x14ac:dyDescent="0.2">
      <c r="U2490" s="616"/>
      <c r="W2490" s="620" t="e">
        <f t="shared" si="66"/>
        <v>#DIV/0!</v>
      </c>
    </row>
    <row r="2491" spans="21:23" x14ac:dyDescent="0.2">
      <c r="U2491" s="616"/>
      <c r="W2491" s="620" t="e">
        <f t="shared" si="66"/>
        <v>#DIV/0!</v>
      </c>
    </row>
    <row r="2492" spans="21:23" x14ac:dyDescent="0.2">
      <c r="U2492" s="616"/>
      <c r="W2492" s="620" t="e">
        <f t="shared" si="66"/>
        <v>#DIV/0!</v>
      </c>
    </row>
    <row r="2493" spans="21:23" x14ac:dyDescent="0.2">
      <c r="U2493" s="616"/>
      <c r="W2493" s="620" t="e">
        <f t="shared" si="66"/>
        <v>#DIV/0!</v>
      </c>
    </row>
    <row r="2494" spans="21:23" x14ac:dyDescent="0.2">
      <c r="U2494" s="616"/>
      <c r="W2494" s="620" t="e">
        <f t="shared" si="66"/>
        <v>#DIV/0!</v>
      </c>
    </row>
    <row r="2495" spans="21:23" x14ac:dyDescent="0.2">
      <c r="U2495" s="616"/>
      <c r="W2495" s="620" t="e">
        <f t="shared" si="66"/>
        <v>#DIV/0!</v>
      </c>
    </row>
    <row r="2496" spans="21:23" x14ac:dyDescent="0.2">
      <c r="U2496" s="616"/>
      <c r="W2496" s="620" t="e">
        <f t="shared" si="66"/>
        <v>#DIV/0!</v>
      </c>
    </row>
    <row r="2497" spans="21:23" x14ac:dyDescent="0.2">
      <c r="U2497" s="616"/>
      <c r="W2497" s="620" t="e">
        <f t="shared" si="66"/>
        <v>#DIV/0!</v>
      </c>
    </row>
    <row r="2498" spans="21:23" x14ac:dyDescent="0.2">
      <c r="U2498" s="616"/>
      <c r="W2498" s="620" t="e">
        <f t="shared" si="66"/>
        <v>#DIV/0!</v>
      </c>
    </row>
    <row r="2499" spans="21:23" x14ac:dyDescent="0.2">
      <c r="U2499" s="616"/>
      <c r="W2499" s="620" t="e">
        <f t="shared" si="66"/>
        <v>#DIV/0!</v>
      </c>
    </row>
    <row r="2500" spans="21:23" x14ac:dyDescent="0.2">
      <c r="U2500" s="616"/>
      <c r="W2500" s="620" t="e">
        <f t="shared" ref="W2500:W2518" si="67">AVERAGE($V$4:$V$2517)</f>
        <v>#DIV/0!</v>
      </c>
    </row>
    <row r="2501" spans="21:23" x14ac:dyDescent="0.2">
      <c r="U2501" s="616"/>
      <c r="W2501" s="620" t="e">
        <f t="shared" si="67"/>
        <v>#DIV/0!</v>
      </c>
    </row>
    <row r="2502" spans="21:23" x14ac:dyDescent="0.2">
      <c r="U2502" s="616"/>
      <c r="W2502" s="620" t="e">
        <f t="shared" si="67"/>
        <v>#DIV/0!</v>
      </c>
    </row>
    <row r="2503" spans="21:23" x14ac:dyDescent="0.2">
      <c r="U2503" s="616"/>
      <c r="W2503" s="620" t="e">
        <f t="shared" si="67"/>
        <v>#DIV/0!</v>
      </c>
    </row>
    <row r="2504" spans="21:23" x14ac:dyDescent="0.2">
      <c r="U2504" s="616"/>
      <c r="W2504" s="620" t="e">
        <f t="shared" si="67"/>
        <v>#DIV/0!</v>
      </c>
    </row>
    <row r="2505" spans="21:23" x14ac:dyDescent="0.2">
      <c r="U2505" s="616"/>
      <c r="W2505" s="620" t="e">
        <f t="shared" si="67"/>
        <v>#DIV/0!</v>
      </c>
    </row>
    <row r="2506" spans="21:23" x14ac:dyDescent="0.2">
      <c r="U2506" s="616"/>
      <c r="W2506" s="620" t="e">
        <f t="shared" si="67"/>
        <v>#DIV/0!</v>
      </c>
    </row>
    <row r="2507" spans="21:23" x14ac:dyDescent="0.2">
      <c r="U2507" s="616"/>
      <c r="W2507" s="620" t="e">
        <f t="shared" si="67"/>
        <v>#DIV/0!</v>
      </c>
    </row>
    <row r="2508" spans="21:23" x14ac:dyDescent="0.2">
      <c r="U2508" s="616"/>
      <c r="W2508" s="620" t="e">
        <f t="shared" si="67"/>
        <v>#DIV/0!</v>
      </c>
    </row>
    <row r="2509" spans="21:23" x14ac:dyDescent="0.2">
      <c r="U2509" s="616"/>
      <c r="W2509" s="620" t="e">
        <f t="shared" si="67"/>
        <v>#DIV/0!</v>
      </c>
    </row>
    <row r="2510" spans="21:23" x14ac:dyDescent="0.2">
      <c r="U2510" s="616"/>
      <c r="W2510" s="620" t="e">
        <f t="shared" si="67"/>
        <v>#DIV/0!</v>
      </c>
    </row>
    <row r="2511" spans="21:23" x14ac:dyDescent="0.2">
      <c r="U2511" s="616"/>
      <c r="W2511" s="620" t="e">
        <f t="shared" si="67"/>
        <v>#DIV/0!</v>
      </c>
    </row>
    <row r="2512" spans="21:23" x14ac:dyDescent="0.2">
      <c r="U2512" s="616"/>
      <c r="W2512" s="620" t="e">
        <f t="shared" si="67"/>
        <v>#DIV/0!</v>
      </c>
    </row>
    <row r="2513" spans="21:23" x14ac:dyDescent="0.2">
      <c r="U2513" s="616"/>
      <c r="W2513" s="620" t="e">
        <f t="shared" si="67"/>
        <v>#DIV/0!</v>
      </c>
    </row>
    <row r="2514" spans="21:23" x14ac:dyDescent="0.2">
      <c r="U2514" s="616"/>
      <c r="W2514" s="620" t="e">
        <f t="shared" si="67"/>
        <v>#DIV/0!</v>
      </c>
    </row>
    <row r="2515" spans="21:23" x14ac:dyDescent="0.2">
      <c r="U2515" s="616"/>
      <c r="W2515" s="620" t="e">
        <f t="shared" si="67"/>
        <v>#DIV/0!</v>
      </c>
    </row>
    <row r="2516" spans="21:23" x14ac:dyDescent="0.2">
      <c r="U2516" s="616"/>
      <c r="W2516" s="620" t="e">
        <f t="shared" si="67"/>
        <v>#DIV/0!</v>
      </c>
    </row>
    <row r="2517" spans="21:23" x14ac:dyDescent="0.2">
      <c r="U2517" s="616"/>
      <c r="W2517" s="620" t="e">
        <f t="shared" si="67"/>
        <v>#DIV/0!</v>
      </c>
    </row>
    <row r="2518" spans="21:23" x14ac:dyDescent="0.2">
      <c r="U2518" s="616"/>
      <c r="W2518" s="620" t="e">
        <f t="shared" si="67"/>
        <v>#DIV/0!</v>
      </c>
    </row>
    <row r="2519" spans="21:23" x14ac:dyDescent="0.2">
      <c r="U2519" s="616"/>
    </row>
  </sheetData>
  <mergeCells count="4">
    <mergeCell ref="H4:L4"/>
    <mergeCell ref="N4:O4"/>
    <mergeCell ref="N7:O7"/>
    <mergeCell ref="H12:L1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9A897-C5D1-42DE-A78B-B9AC451D7D23}">
  <sheetPr>
    <tabColor theme="6" tint="0.79998168889431442"/>
  </sheetPr>
  <dimension ref="A1:W2519"/>
  <sheetViews>
    <sheetView showGridLines="0" zoomScale="115" zoomScaleNormal="115" workbookViewId="0">
      <selection activeCell="F38" sqref="F38"/>
    </sheetView>
  </sheetViews>
  <sheetFormatPr defaultColWidth="9" defaultRowHeight="12" x14ac:dyDescent="0.2"/>
  <cols>
    <col min="1" max="1" width="9" style="2"/>
    <col min="2" max="2" width="23.625" style="2" bestFit="1" customWidth="1"/>
    <col min="3" max="3" width="10.5" style="2" bestFit="1" customWidth="1"/>
    <col min="4" max="6" width="9.125" style="2" bestFit="1" customWidth="1"/>
    <col min="7" max="7" width="9.625" style="2" bestFit="1" customWidth="1"/>
    <col min="8" max="8" width="11.125" style="2" bestFit="1" customWidth="1"/>
    <col min="9" max="9" width="10.5" style="2" bestFit="1" customWidth="1"/>
    <col min="10" max="18" width="9.625" style="2" bestFit="1" customWidth="1"/>
    <col min="19" max="16384" width="9" style="2"/>
  </cols>
  <sheetData>
    <row r="1" spans="1:23" x14ac:dyDescent="0.2">
      <c r="A1" s="2" t="s">
        <v>699</v>
      </c>
    </row>
    <row r="2" spans="1:23" x14ac:dyDescent="0.2">
      <c r="B2" s="575" t="s">
        <v>669</v>
      </c>
      <c r="C2" s="575"/>
      <c r="D2" s="575"/>
      <c r="E2" s="575"/>
      <c r="F2" s="575"/>
      <c r="G2" s="575"/>
      <c r="H2" s="575"/>
      <c r="I2" s="575"/>
      <c r="J2" s="575"/>
      <c r="K2" s="575"/>
      <c r="L2" s="575"/>
      <c r="M2" s="575"/>
      <c r="N2" s="575"/>
      <c r="O2" s="575"/>
      <c r="T2" s="2" t="s">
        <v>700</v>
      </c>
      <c r="U2" s="616">
        <f ca="1">TODAY()-365*10</f>
        <v>42576</v>
      </c>
    </row>
    <row r="3" spans="1:23" x14ac:dyDescent="0.2">
      <c r="Q3" s="576"/>
      <c r="T3" s="2" t="s">
        <v>701</v>
      </c>
      <c r="U3" s="2" t="s">
        <v>794</v>
      </c>
      <c r="V3" s="2" t="s">
        <v>795</v>
      </c>
      <c r="W3" s="2" t="s">
        <v>715</v>
      </c>
    </row>
    <row r="4" spans="1:23" x14ac:dyDescent="0.2">
      <c r="B4" s="577" t="s">
        <v>670</v>
      </c>
      <c r="C4" s="136" t="str">
        <f>N6&amp;"Q"&amp;RIGHT(O6,2)</f>
        <v>3Q24</v>
      </c>
      <c r="H4" s="1356" t="s">
        <v>662</v>
      </c>
      <c r="I4" s="1356"/>
      <c r="J4" s="1356"/>
      <c r="K4" s="1356"/>
      <c r="L4" s="1356"/>
      <c r="N4" s="1357" t="s">
        <v>663</v>
      </c>
      <c r="O4" s="1357"/>
      <c r="T4" s="2" t="s">
        <v>634</v>
      </c>
      <c r="U4" s="616">
        <v>42380</v>
      </c>
      <c r="W4" s="620" t="e">
        <f t="shared" ref="W4:W67" si="0">AVERAGE($V$4:$V$2517)</f>
        <v>#DIV/0!</v>
      </c>
    </row>
    <row r="5" spans="1:23" x14ac:dyDescent="0.2">
      <c r="B5" s="578" t="s">
        <v>671</v>
      </c>
      <c r="C5" s="136" t="str">
        <f>N8&amp;"Q"&amp;RIGHT(O8,2)</f>
        <v>3Q25</v>
      </c>
      <c r="H5" s="3" t="s">
        <v>668</v>
      </c>
      <c r="I5" s="1079">
        <f>I9*(1-L8)*I8+I10*(1-I8)</f>
        <v>7.6299929236522887E-2</v>
      </c>
      <c r="K5" s="2" t="s">
        <v>659</v>
      </c>
      <c r="L5" s="622">
        <v>0.8</v>
      </c>
      <c r="N5" s="579" t="s">
        <v>664</v>
      </c>
      <c r="O5" s="579" t="s">
        <v>665</v>
      </c>
      <c r="U5" s="616"/>
      <c r="W5" s="620" t="e">
        <f t="shared" si="0"/>
        <v>#DIV/0!</v>
      </c>
    </row>
    <row r="6" spans="1:23" x14ac:dyDescent="0.2">
      <c r="B6" s="577" t="s">
        <v>672</v>
      </c>
      <c r="C6" s="580">
        <f>L10</f>
        <v>246.94</v>
      </c>
      <c r="H6" s="2" t="s">
        <v>673</v>
      </c>
      <c r="I6" s="1078">
        <f>INDEX('BS Drivers'!97:97,MATCH('Valuation (Don''t Use)'!C4,'BS Drivers'!4:4,0))+INDEX('BS Drivers'!112:112,MATCH('Valuation (Don''t Use)'!C4,'BS Drivers'!4:4,0))</f>
        <v>112456</v>
      </c>
      <c r="K6" s="2" t="s">
        <v>674</v>
      </c>
      <c r="L6" s="581">
        <v>0.03</v>
      </c>
      <c r="N6" s="582">
        <v>3</v>
      </c>
      <c r="O6" s="582">
        <v>2024</v>
      </c>
      <c r="U6" s="616"/>
      <c r="W6" s="620" t="e">
        <f t="shared" si="0"/>
        <v>#DIV/0!</v>
      </c>
    </row>
    <row r="7" spans="1:23" x14ac:dyDescent="0.2">
      <c r="B7" s="583" t="s">
        <v>422</v>
      </c>
      <c r="C7" s="584">
        <f>C46</f>
        <v>-27</v>
      </c>
      <c r="E7" s="173"/>
      <c r="H7" s="2" t="s">
        <v>433</v>
      </c>
      <c r="I7" s="161">
        <f>L9*L10</f>
        <v>289080.20259333996</v>
      </c>
      <c r="K7" s="2" t="s">
        <v>675</v>
      </c>
      <c r="L7" s="621">
        <v>0.08</v>
      </c>
      <c r="N7" s="1358" t="s">
        <v>666</v>
      </c>
      <c r="O7" s="1357"/>
      <c r="U7" s="616"/>
      <c r="W7" s="620" t="e">
        <f t="shared" si="0"/>
        <v>#DIV/0!</v>
      </c>
    </row>
    <row r="8" spans="1:23" x14ac:dyDescent="0.2">
      <c r="B8" s="2" t="s">
        <v>676</v>
      </c>
      <c r="C8" s="1277">
        <f>C7/C6-1</f>
        <v>-1.1093383008018143</v>
      </c>
      <c r="D8" s="173"/>
      <c r="E8" s="173"/>
      <c r="H8" s="2" t="s">
        <v>667</v>
      </c>
      <c r="I8" s="586">
        <f>I6/(I6+I7)</f>
        <v>0.28006441081451128</v>
      </c>
      <c r="K8" s="2" t="s">
        <v>677</v>
      </c>
      <c r="L8" s="581">
        <v>0.23</v>
      </c>
      <c r="N8" s="587">
        <f>N6</f>
        <v>3</v>
      </c>
      <c r="O8" s="587">
        <f>O6+1</f>
        <v>2025</v>
      </c>
      <c r="U8" s="616"/>
      <c r="W8" s="620" t="e">
        <f t="shared" si="0"/>
        <v>#DIV/0!</v>
      </c>
    </row>
    <row r="9" spans="1:23" x14ac:dyDescent="0.2">
      <c r="C9" s="588"/>
      <c r="H9" s="2" t="s">
        <v>678</v>
      </c>
      <c r="I9" s="1266">
        <v>0.04</v>
      </c>
      <c r="K9" s="2" t="s">
        <v>679</v>
      </c>
      <c r="L9" s="161">
        <f>INDEX('FC - 3FS'!39:39, MATCH('Valuation (Don''t Use)'!C4,'FC - 3FS'!4:4, 0))</f>
        <v>1170.6495609999999</v>
      </c>
      <c r="N9" s="2" t="s">
        <v>680</v>
      </c>
      <c r="U9" s="616"/>
      <c r="W9" s="620" t="e">
        <f t="shared" si="0"/>
        <v>#DIV/0!</v>
      </c>
    </row>
    <row r="10" spans="1:23" x14ac:dyDescent="0.2">
      <c r="B10" s="2" t="s">
        <v>702</v>
      </c>
      <c r="C10" s="617">
        <v>270</v>
      </c>
      <c r="H10" s="2" t="s">
        <v>681</v>
      </c>
      <c r="I10" s="174">
        <f>L6+L5*L7</f>
        <v>9.4E-2</v>
      </c>
      <c r="K10" s="2" t="s">
        <v>682</v>
      </c>
      <c r="L10" s="589">
        <v>246.94</v>
      </c>
      <c r="N10" s="2">
        <v>198.6</v>
      </c>
      <c r="U10" s="616"/>
      <c r="W10" s="620" t="e">
        <f t="shared" si="0"/>
        <v>#DIV/0!</v>
      </c>
    </row>
    <row r="11" spans="1:23" x14ac:dyDescent="0.2">
      <c r="C11" s="588"/>
      <c r="D11" s="590"/>
      <c r="I11" s="591"/>
      <c r="K11" s="2" t="s">
        <v>683</v>
      </c>
      <c r="L11" s="621">
        <v>0.02</v>
      </c>
      <c r="U11" s="616"/>
      <c r="W11" s="620" t="e">
        <f t="shared" si="0"/>
        <v>#DIV/0!</v>
      </c>
    </row>
    <row r="12" spans="1:23" x14ac:dyDescent="0.2">
      <c r="C12" s="592"/>
      <c r="D12" s="593"/>
      <c r="H12" s="1359"/>
      <c r="I12" s="1359"/>
      <c r="J12" s="1359"/>
      <c r="K12" s="1359"/>
      <c r="L12" s="1359"/>
      <c r="U12" s="616"/>
      <c r="W12" s="620" t="e">
        <f t="shared" si="0"/>
        <v>#DIV/0!</v>
      </c>
    </row>
    <row r="13" spans="1:23" x14ac:dyDescent="0.2">
      <c r="B13" s="648" t="s">
        <v>710</v>
      </c>
      <c r="C13" s="1001">
        <v>2020</v>
      </c>
      <c r="D13" s="649">
        <v>2021</v>
      </c>
      <c r="E13" s="649">
        <v>2022</v>
      </c>
      <c r="F13" s="649">
        <f>E13+1</f>
        <v>2023</v>
      </c>
      <c r="G13" s="650">
        <f t="shared" ref="G13:M13" si="1">F13+1</f>
        <v>2024</v>
      </c>
      <c r="H13" s="651">
        <f t="shared" si="1"/>
        <v>2025</v>
      </c>
      <c r="I13" s="651">
        <f t="shared" si="1"/>
        <v>2026</v>
      </c>
      <c r="J13" s="651">
        <f t="shared" si="1"/>
        <v>2027</v>
      </c>
      <c r="K13" s="651">
        <f t="shared" si="1"/>
        <v>2028</v>
      </c>
      <c r="L13" s="651">
        <f t="shared" si="1"/>
        <v>2029</v>
      </c>
      <c r="M13" s="652">
        <f t="shared" si="1"/>
        <v>2030</v>
      </c>
      <c r="N13" s="626"/>
      <c r="O13" s="626"/>
      <c r="P13" s="626"/>
      <c r="Q13" s="626"/>
      <c r="R13" s="626"/>
      <c r="U13" s="616"/>
      <c r="W13" s="620" t="e">
        <f t="shared" si="0"/>
        <v>#DIV/0!</v>
      </c>
    </row>
    <row r="14" spans="1:23" x14ac:dyDescent="0.2">
      <c r="B14" s="594"/>
      <c r="C14" s="594"/>
      <c r="G14" s="594"/>
      <c r="M14" s="595"/>
      <c r="N14" s="167"/>
      <c r="U14" s="616"/>
      <c r="W14" s="620" t="e">
        <f t="shared" si="0"/>
        <v>#DIV/0!</v>
      </c>
    </row>
    <row r="15" spans="1:23" x14ac:dyDescent="0.2">
      <c r="B15" s="594" t="s">
        <v>684</v>
      </c>
      <c r="C15" s="597">
        <f>'FC - 3FS'!AL14</f>
        <v>68397</v>
      </c>
      <c r="D15" s="596">
        <f>'FC - 3FS'!AM14</f>
        <v>80118</v>
      </c>
      <c r="E15" s="596">
        <f>'FC - 3FS'!AN14</f>
        <v>79571</v>
      </c>
      <c r="F15" s="596">
        <f>'FC - 3FS'!AO14</f>
        <v>78558</v>
      </c>
      <c r="G15" s="597">
        <f>'FC - 3FS'!AP14</f>
        <v>81400</v>
      </c>
      <c r="H15" s="596">
        <f>'FC - 3FS'!AQ14</f>
        <v>87847.495279587922</v>
      </c>
      <c r="I15" s="596">
        <f>'FC - 3FS'!AR14</f>
        <v>94417.322357573066</v>
      </c>
      <c r="J15" s="596">
        <f>'FC - 3FS'!AS14</f>
        <v>99251.786914963712</v>
      </c>
      <c r="K15" s="596">
        <f>'FC - 3FS'!AT14</f>
        <v>0</v>
      </c>
      <c r="L15" s="596">
        <f>'FC - 3FS'!AU14</f>
        <v>0</v>
      </c>
      <c r="M15" s="598">
        <f>'FC - 3FS'!AV14</f>
        <v>0</v>
      </c>
      <c r="N15" s="596"/>
      <c r="O15" s="596"/>
      <c r="P15" s="596"/>
      <c r="Q15" s="596"/>
      <c r="R15" s="596"/>
      <c r="U15" s="616"/>
      <c r="W15" s="620" t="e">
        <f t="shared" si="0"/>
        <v>#DIV/0!</v>
      </c>
    </row>
    <row r="16" spans="1:23" x14ac:dyDescent="0.2">
      <c r="B16" s="643" t="s">
        <v>704</v>
      </c>
      <c r="C16" s="606"/>
      <c r="D16" s="586">
        <f>D15/C15-1</f>
        <v>0.17136716522654494</v>
      </c>
      <c r="E16" s="586">
        <f>E15/D15-1</f>
        <v>-6.8274295414263442E-3</v>
      </c>
      <c r="F16" s="586">
        <f>F15/E15-1</f>
        <v>-1.2730768747407972E-2</v>
      </c>
      <c r="G16" s="600">
        <f>G15/F15-1</f>
        <v>3.6177092084828999E-2</v>
      </c>
      <c r="H16" s="623">
        <f t="shared" ref="H16:M16" si="2">H15/G15-1</f>
        <v>7.9207558717296234E-2</v>
      </c>
      <c r="I16" s="623">
        <f t="shared" si="2"/>
        <v>7.478673190482743E-2</v>
      </c>
      <c r="J16" s="623">
        <f t="shared" si="2"/>
        <v>5.1203152521968054E-2</v>
      </c>
      <c r="K16" s="623">
        <f t="shared" si="2"/>
        <v>-1</v>
      </c>
      <c r="L16" s="623" t="e">
        <f t="shared" si="2"/>
        <v>#DIV/0!</v>
      </c>
      <c r="M16" s="601" t="e">
        <f t="shared" si="2"/>
        <v>#DIV/0!</v>
      </c>
      <c r="N16" s="627"/>
      <c r="O16" s="627"/>
      <c r="P16" s="627"/>
      <c r="Q16" s="627"/>
      <c r="R16" s="627"/>
      <c r="U16" s="616"/>
      <c r="W16" s="620" t="e">
        <f t="shared" si="0"/>
        <v>#DIV/0!</v>
      </c>
    </row>
    <row r="17" spans="2:23" x14ac:dyDescent="0.2">
      <c r="B17" s="594"/>
      <c r="C17" s="594"/>
      <c r="G17" s="594"/>
      <c r="M17" s="595"/>
      <c r="N17" s="167"/>
      <c r="U17" s="616"/>
      <c r="W17" s="620" t="e">
        <f t="shared" si="0"/>
        <v>#DIV/0!</v>
      </c>
    </row>
    <row r="18" spans="2:23" x14ac:dyDescent="0.2">
      <c r="B18" s="600" t="s">
        <v>559</v>
      </c>
      <c r="C18" s="597">
        <f>+'FC - 3FS'!AL23</f>
        <v>6636</v>
      </c>
      <c r="D18" s="596">
        <f>+'FC - 3FS'!AM23</f>
        <v>6892</v>
      </c>
      <c r="E18" s="596">
        <f>+'FC - 3FS'!AN23</f>
        <v>6543</v>
      </c>
      <c r="F18" s="596">
        <f>+'FC - 3FS'!AO23</f>
        <v>14266</v>
      </c>
      <c r="G18" s="597">
        <f>+'FC - 3FS'!AP23</f>
        <v>18010</v>
      </c>
      <c r="H18" s="596">
        <f>+'FC - 3FS'!AQ23</f>
        <v>18579.344278309713</v>
      </c>
      <c r="I18" s="596">
        <f>+'FC - 3FS'!AR23</f>
        <v>20628.684712978196</v>
      </c>
      <c r="J18" s="596">
        <f>+'FC - 3FS'!AS23</f>
        <v>23736.334888768208</v>
      </c>
      <c r="K18" s="596">
        <f>+'FC - 3FS'!AT23</f>
        <v>0</v>
      </c>
      <c r="L18" s="596">
        <f>+'FC - 3FS'!AU23</f>
        <v>0</v>
      </c>
      <c r="M18" s="598">
        <f>+'FC - 3FS'!AV23</f>
        <v>0</v>
      </c>
      <c r="N18" s="596"/>
      <c r="O18" s="596"/>
      <c r="P18" s="596"/>
      <c r="Q18" s="596"/>
      <c r="R18" s="596"/>
      <c r="U18" s="616"/>
      <c r="W18" s="620" t="e">
        <f t="shared" si="0"/>
        <v>#DIV/0!</v>
      </c>
    </row>
    <row r="19" spans="2:23" x14ac:dyDescent="0.2">
      <c r="B19" s="644" t="s">
        <v>703</v>
      </c>
      <c r="C19" s="600">
        <f>C18/C15</f>
        <v>9.7021799201719369E-2</v>
      </c>
      <c r="D19" s="586">
        <f>D18/D15</f>
        <v>8.6023115904041533E-2</v>
      </c>
      <c r="E19" s="586">
        <f>E18/E15</f>
        <v>8.2228450063465339E-2</v>
      </c>
      <c r="F19" s="586">
        <f>F18/F15</f>
        <v>0.18159830952926501</v>
      </c>
      <c r="G19" s="625">
        <f>G18/G15</f>
        <v>0.22125307125307125</v>
      </c>
      <c r="H19" s="623">
        <f t="shared" ref="H19:M19" si="3">H18/H15</f>
        <v>0.21149543557477812</v>
      </c>
      <c r="I19" s="623">
        <f t="shared" si="3"/>
        <v>0.21848411073186511</v>
      </c>
      <c r="J19" s="623">
        <f t="shared" si="3"/>
        <v>0.2391527208382139</v>
      </c>
      <c r="K19" s="623" t="e">
        <f t="shared" si="3"/>
        <v>#DIV/0!</v>
      </c>
      <c r="L19" s="623" t="e">
        <f t="shared" si="3"/>
        <v>#DIV/0!</v>
      </c>
      <c r="M19" s="601" t="e">
        <f t="shared" si="3"/>
        <v>#DIV/0!</v>
      </c>
      <c r="N19" s="627"/>
      <c r="O19" s="627"/>
      <c r="P19" s="627"/>
      <c r="Q19" s="627"/>
      <c r="R19" s="627"/>
      <c r="U19" s="616"/>
      <c r="W19" s="620" t="e">
        <f t="shared" si="0"/>
        <v>#DIV/0!</v>
      </c>
    </row>
    <row r="20" spans="2:23" x14ac:dyDescent="0.2">
      <c r="B20" s="644"/>
      <c r="C20" s="600"/>
      <c r="D20" s="586"/>
      <c r="E20" s="586"/>
      <c r="F20" s="586"/>
      <c r="G20" s="625"/>
      <c r="H20" s="623"/>
      <c r="I20" s="623"/>
      <c r="J20" s="623"/>
      <c r="K20" s="623"/>
      <c r="L20" s="623"/>
      <c r="M20" s="601"/>
      <c r="N20" s="627"/>
      <c r="O20" s="627"/>
      <c r="P20" s="627"/>
      <c r="Q20" s="627"/>
      <c r="R20" s="627"/>
      <c r="U20" s="616"/>
      <c r="W20" s="620" t="e">
        <f t="shared" si="0"/>
        <v>#DIV/0!</v>
      </c>
    </row>
    <row r="21" spans="2:23" x14ac:dyDescent="0.2">
      <c r="B21" s="631" t="s">
        <v>705</v>
      </c>
      <c r="C21" s="631">
        <f>-'BS Drivers'!AL124</f>
        <v>0.22266288951841359</v>
      </c>
      <c r="D21" s="630">
        <f>-'BS Drivers'!AM124</f>
        <v>9.7582811101163833E-2</v>
      </c>
      <c r="E21" s="630">
        <f>-'BS Drivers'!AN124</f>
        <v>0.17673235855054037</v>
      </c>
      <c r="F21" s="630">
        <f>-'BS Drivers'!AO124</f>
        <v>0.24384034912264752</v>
      </c>
      <c r="G21" s="631">
        <f>-'BS Drivers'!AP124</f>
        <v>0.22926862425231104</v>
      </c>
      <c r="H21" s="630">
        <f>-'BS Drivers'!AQ124</f>
        <v>0.23552142439040605</v>
      </c>
      <c r="I21" s="630">
        <f>-'BS Drivers'!AR124</f>
        <v>0.23072562358276649</v>
      </c>
      <c r="J21" s="630">
        <f>-'BS Drivers'!AS124</f>
        <v>0.23072562358276649</v>
      </c>
      <c r="K21" s="630">
        <f>-'BS Drivers'!AT124</f>
        <v>0</v>
      </c>
      <c r="L21" s="630">
        <f>-'BS Drivers'!AU124</f>
        <v>0</v>
      </c>
      <c r="M21" s="639">
        <f>-'BS Drivers'!AV124</f>
        <v>0</v>
      </c>
      <c r="N21" s="602"/>
      <c r="O21" s="602"/>
      <c r="P21" s="602"/>
      <c r="Q21" s="602"/>
      <c r="R21" s="602"/>
      <c r="U21" s="616"/>
      <c r="W21" s="620" t="e">
        <f t="shared" si="0"/>
        <v>#DIV/0!</v>
      </c>
    </row>
    <row r="22" spans="2:23" x14ac:dyDescent="0.2">
      <c r="B22" s="600" t="s">
        <v>706</v>
      </c>
      <c r="C22" s="597">
        <f>+(1-C21)*C18</f>
        <v>5158.4090651558072</v>
      </c>
      <c r="D22" s="596">
        <f t="shared" ref="D22:M22" si="4">+(1-D21)*D18</f>
        <v>6219.4592658907786</v>
      </c>
      <c r="E22" s="596">
        <f t="shared" si="4"/>
        <v>5386.6401780038141</v>
      </c>
      <c r="F22" s="596">
        <f t="shared" si="4"/>
        <v>10787.373579416311</v>
      </c>
      <c r="G22" s="597">
        <f t="shared" si="4"/>
        <v>13880.872077215879</v>
      </c>
      <c r="H22" s="596">
        <f t="shared" si="4"/>
        <v>14203.510649642469</v>
      </c>
      <c r="I22" s="596">
        <f t="shared" si="4"/>
        <v>15869.11856888402</v>
      </c>
      <c r="J22" s="596">
        <f t="shared" si="4"/>
        <v>18259.754219987786</v>
      </c>
      <c r="K22" s="596">
        <f t="shared" si="4"/>
        <v>0</v>
      </c>
      <c r="L22" s="596">
        <f t="shared" si="4"/>
        <v>0</v>
      </c>
      <c r="M22" s="598">
        <f t="shared" si="4"/>
        <v>0</v>
      </c>
      <c r="N22" s="596"/>
      <c r="O22" s="596"/>
      <c r="P22" s="596"/>
      <c r="Q22" s="596"/>
      <c r="R22" s="596"/>
      <c r="U22" s="616"/>
      <c r="W22" s="620" t="e">
        <f t="shared" si="0"/>
        <v>#DIV/0!</v>
      </c>
    </row>
    <row r="23" spans="2:23" x14ac:dyDescent="0.2">
      <c r="B23" s="645" t="s">
        <v>707</v>
      </c>
      <c r="C23" s="632">
        <f>SUM('FC - 3FS'!AL131:AL138)</f>
        <v>-11885</v>
      </c>
      <c r="D23" s="161">
        <f>SUM('FC - 3FS'!AM131:AM138)</f>
        <v>-7114</v>
      </c>
      <c r="E23" s="161">
        <f>SUM('FC - 3FS'!AN131:AN138)</f>
        <v>-3055</v>
      </c>
      <c r="F23" s="161">
        <f>SUM('FC - 3FS'!AO131:AO138)</f>
        <v>-7058</v>
      </c>
      <c r="G23" s="632">
        <f>SUM('FC - 3FS'!AP131:AP138)</f>
        <v>-7009</v>
      </c>
      <c r="H23" s="161">
        <f>SUM('FC - 3FS'!AQ131:AQ138)</f>
        <v>-2766.9767894033521</v>
      </c>
      <c r="I23" s="161">
        <f>SUM('FC - 3FS'!AR131:AR138)</f>
        <v>-2340.0683663566424</v>
      </c>
      <c r="J23" s="161">
        <f>SUM('FC - 3FS'!AS131:AS138)</f>
        <v>-1865.3836032623126</v>
      </c>
      <c r="K23" s="612">
        <f>SUM('FC - 3FS'!AT131:AT138)</f>
        <v>0</v>
      </c>
      <c r="L23" s="612">
        <f>SUM('FC - 3FS'!AU131:AU138)</f>
        <v>0</v>
      </c>
      <c r="M23" s="640">
        <f>SUM('FC - 3FS'!AV131:AV138)</f>
        <v>0</v>
      </c>
      <c r="N23" s="627"/>
      <c r="O23" s="627"/>
      <c r="P23" s="627"/>
      <c r="Q23" s="627"/>
      <c r="R23" s="627"/>
      <c r="U23" s="616"/>
      <c r="W23" s="620" t="e">
        <f t="shared" si="0"/>
        <v>#DIV/0!</v>
      </c>
    </row>
    <row r="24" spans="2:23" x14ac:dyDescent="0.2">
      <c r="B24" s="645" t="s">
        <v>709</v>
      </c>
      <c r="C24" s="632">
        <f>SUM('FC - 3FS'!AL122:AL129,'FC - 3FS'!AL139)</f>
        <v>17461</v>
      </c>
      <c r="D24" s="161">
        <f>SUM('FC - 3FS'!AM122:AM129,'FC - 3FS'!AM139)</f>
        <v>18007</v>
      </c>
      <c r="E24" s="161">
        <f>SUM('FC - 3FS'!AN122:AN129,'FC - 3FS'!AN139)</f>
        <v>17246</v>
      </c>
      <c r="F24" s="161">
        <f>SUM('FC - 3FS'!AO122:AO129,'FC - 3FS'!AO139)</f>
        <v>17300</v>
      </c>
      <c r="G24" s="632">
        <f>SUM('FC - 3FS'!AP122:AP129,'FC - 3FS'!AP139)</f>
        <v>17963</v>
      </c>
      <c r="H24" s="161">
        <f>SUM('FC - 3FS'!AQ122:AQ129,'FC - 3FS'!AQ139)</f>
        <v>19460.31523043527</v>
      </c>
      <c r="I24" s="161">
        <f>SUM('FC - 3FS'!AR122:AR129,'FC - 3FS'!AR139)</f>
        <v>21186.463800308793</v>
      </c>
      <c r="J24" s="161">
        <f>SUM('FC - 3FS'!AS122:AS129,'FC - 3FS'!AS139)</f>
        <v>19478.430408624918</v>
      </c>
      <c r="K24" s="612">
        <f>SUM('FC - 3FS'!AT122:AT129,'FC - 3FS'!AT139)</f>
        <v>0</v>
      </c>
      <c r="L24" s="612">
        <f>SUM('FC - 3FS'!AU122:AU129,'FC - 3FS'!AU139)</f>
        <v>0</v>
      </c>
      <c r="M24" s="640">
        <f>SUM('FC - 3FS'!AV122:AV129,'FC - 3FS'!AV139)</f>
        <v>0</v>
      </c>
      <c r="N24" s="627"/>
      <c r="O24" s="627"/>
      <c r="P24" s="627"/>
      <c r="Q24" s="627"/>
      <c r="R24" s="627"/>
      <c r="U24" s="616"/>
      <c r="W24" s="620" t="e">
        <f t="shared" si="0"/>
        <v>#DIV/0!</v>
      </c>
    </row>
    <row r="25" spans="2:23" x14ac:dyDescent="0.2">
      <c r="B25" s="645" t="s">
        <v>708</v>
      </c>
      <c r="C25" s="632">
        <f>+'FC - 3FS'!AL142</f>
        <v>-11034</v>
      </c>
      <c r="D25" s="161">
        <f>+'FC - 3FS'!AM142</f>
        <v>-12326</v>
      </c>
      <c r="E25" s="161">
        <f>+'FC - 3FS'!AN142</f>
        <v>-13970</v>
      </c>
      <c r="F25" s="161">
        <f>+'FC - 3FS'!AO142</f>
        <v>-9801</v>
      </c>
      <c r="G25" s="632">
        <f>+'FC - 3FS'!AP142</f>
        <v>-8840</v>
      </c>
      <c r="H25" s="161">
        <f>+'FC - 3FS'!AQ142</f>
        <v>-10023.267067247947</v>
      </c>
      <c r="I25" s="161">
        <f>+'FC - 3FS'!AR142</f>
        <v>-10562.246690569233</v>
      </c>
      <c r="J25" s="161">
        <f>+'FC - 3FS'!AS142</f>
        <v>-10941.003531939117</v>
      </c>
      <c r="K25" s="612">
        <f>+'FC - 3FS'!AT142</f>
        <v>0</v>
      </c>
      <c r="L25" s="612">
        <f>+'FC - 3FS'!AU142</f>
        <v>0</v>
      </c>
      <c r="M25" s="640">
        <f>+'FC - 3FS'!AV142</f>
        <v>0</v>
      </c>
      <c r="N25" s="627"/>
      <c r="O25" s="627"/>
      <c r="P25" s="627"/>
      <c r="Q25" s="627"/>
      <c r="R25" s="627"/>
      <c r="U25" s="616"/>
      <c r="W25" s="620" t="e">
        <f t="shared" si="0"/>
        <v>#DIV/0!</v>
      </c>
    </row>
    <row r="26" spans="2:23" x14ac:dyDescent="0.2">
      <c r="B26" s="1050" t="s">
        <v>810</v>
      </c>
      <c r="C26" s="1065">
        <f>C25/C15</f>
        <v>-0.16132286503794027</v>
      </c>
      <c r="D26" s="246">
        <f t="shared" ref="D26:M26" si="5">D25/D15</f>
        <v>-0.15384807409071619</v>
      </c>
      <c r="E26" s="246">
        <f t="shared" si="5"/>
        <v>-0.17556647522338539</v>
      </c>
      <c r="F26" s="246">
        <f t="shared" si="5"/>
        <v>-0.12476132284426793</v>
      </c>
      <c r="G26" s="1065">
        <f t="shared" si="5"/>
        <v>-0.10859950859950859</v>
      </c>
      <c r="H26" s="246">
        <f t="shared" si="5"/>
        <v>-0.11409849575502848</v>
      </c>
      <c r="I26" s="246">
        <f t="shared" si="5"/>
        <v>-0.11186767879911234</v>
      </c>
      <c r="J26" s="246">
        <f t="shared" si="5"/>
        <v>-0.11023482671715601</v>
      </c>
      <c r="K26" s="264" t="e">
        <f t="shared" si="5"/>
        <v>#DIV/0!</v>
      </c>
      <c r="L26" s="264" t="e">
        <f t="shared" si="5"/>
        <v>#DIV/0!</v>
      </c>
      <c r="M26" s="878" t="e">
        <f t="shared" si="5"/>
        <v>#DIV/0!</v>
      </c>
      <c r="N26" s="627"/>
      <c r="O26" s="627"/>
      <c r="P26" s="627"/>
      <c r="Q26" s="627"/>
      <c r="R26" s="627"/>
      <c r="U26" s="616"/>
      <c r="W26" s="620" t="e">
        <f t="shared" si="0"/>
        <v>#DIV/0!</v>
      </c>
    </row>
    <row r="27" spans="2:23" x14ac:dyDescent="0.2">
      <c r="B27" s="645"/>
      <c r="C27" s="1272"/>
      <c r="D27" s="1078"/>
      <c r="E27" s="1078"/>
      <c r="F27" s="1078"/>
      <c r="G27" s="1272"/>
      <c r="H27" s="1078"/>
      <c r="I27" s="1078"/>
      <c r="J27" s="1078"/>
      <c r="K27" s="1270"/>
      <c r="L27" s="1270"/>
      <c r="M27" s="1273"/>
      <c r="N27" s="627"/>
      <c r="O27" s="627"/>
      <c r="P27" s="627"/>
      <c r="Q27" s="627"/>
      <c r="R27" s="627"/>
      <c r="U27" s="616"/>
      <c r="W27" s="620"/>
    </row>
    <row r="28" spans="2:23" x14ac:dyDescent="0.2">
      <c r="B28" s="603"/>
      <c r="C28" s="603"/>
      <c r="D28" s="602"/>
      <c r="E28" s="602"/>
      <c r="F28" s="602"/>
      <c r="G28" s="603"/>
      <c r="H28" s="602"/>
      <c r="I28" s="602"/>
      <c r="J28" s="602"/>
      <c r="K28" s="602"/>
      <c r="L28" s="602"/>
      <c r="M28" s="604"/>
      <c r="N28" s="602"/>
      <c r="O28" s="602"/>
      <c r="P28" s="602"/>
      <c r="Q28" s="602"/>
      <c r="R28" s="602"/>
      <c r="U28" s="1032"/>
      <c r="V28" s="3"/>
      <c r="W28" s="620" t="e">
        <f t="shared" si="0"/>
        <v>#DIV/0!</v>
      </c>
    </row>
    <row r="29" spans="2:23" s="3" customFormat="1" x14ac:dyDescent="0.2">
      <c r="B29" s="646" t="s">
        <v>686</v>
      </c>
      <c r="C29" s="634">
        <f>SUM(C22:C25)</f>
        <v>-299.59093484419282</v>
      </c>
      <c r="D29" s="633">
        <f t="shared" ref="D29:M29" si="6">SUM(D22:D25)</f>
        <v>4786.4592658907786</v>
      </c>
      <c r="E29" s="633">
        <f t="shared" si="6"/>
        <v>5607.6401780038141</v>
      </c>
      <c r="F29" s="633">
        <f t="shared" si="6"/>
        <v>11228.373579416311</v>
      </c>
      <c r="G29" s="634">
        <f t="shared" si="6"/>
        <v>15994.872077215878</v>
      </c>
      <c r="H29" s="633">
        <f t="shared" si="6"/>
        <v>20873.582023426439</v>
      </c>
      <c r="I29" s="633">
        <f t="shared" si="6"/>
        <v>24153.267312266937</v>
      </c>
      <c r="J29" s="633">
        <f t="shared" si="6"/>
        <v>24931.797493411272</v>
      </c>
      <c r="K29" s="633">
        <f t="shared" si="6"/>
        <v>0</v>
      </c>
      <c r="L29" s="633">
        <f t="shared" si="6"/>
        <v>0</v>
      </c>
      <c r="M29" s="641">
        <f t="shared" si="6"/>
        <v>0</v>
      </c>
      <c r="N29" s="633"/>
      <c r="O29" s="633"/>
      <c r="P29" s="633"/>
      <c r="Q29" s="633"/>
      <c r="R29" s="633"/>
      <c r="U29" s="616"/>
      <c r="V29" s="2"/>
      <c r="W29" s="620" t="e">
        <f t="shared" si="0"/>
        <v>#DIV/0!</v>
      </c>
    </row>
    <row r="30" spans="2:23" x14ac:dyDescent="0.2">
      <c r="B30" s="643" t="s">
        <v>704</v>
      </c>
      <c r="C30" s="606"/>
      <c r="D30" s="586"/>
      <c r="E30" s="586">
        <f>E29/D29-1</f>
        <v>0.1715633345017531</v>
      </c>
      <c r="F30" s="586">
        <f>F29/E29-1</f>
        <v>1.0023348900772988</v>
      </c>
      <c r="G30" s="600">
        <f>G29/F29-1</f>
        <v>0.42450480152686065</v>
      </c>
      <c r="H30" s="623">
        <f t="shared" ref="H30:M30" si="7">H29/G29-1</f>
        <v>0.30501712815572368</v>
      </c>
      <c r="I30" s="623">
        <f t="shared" si="7"/>
        <v>0.15712134530430388</v>
      </c>
      <c r="J30" s="623">
        <f t="shared" si="7"/>
        <v>3.2232913712213929E-2</v>
      </c>
      <c r="K30" s="623">
        <f t="shared" si="7"/>
        <v>-1</v>
      </c>
      <c r="L30" s="623" t="e">
        <f t="shared" si="7"/>
        <v>#DIV/0!</v>
      </c>
      <c r="M30" s="601" t="e">
        <f t="shared" si="7"/>
        <v>#DIV/0!</v>
      </c>
      <c r="N30" s="596"/>
      <c r="O30" s="596"/>
      <c r="P30" s="596"/>
      <c r="Q30" s="596"/>
      <c r="R30" s="596"/>
      <c r="U30" s="616"/>
      <c r="W30" s="620" t="e">
        <f t="shared" si="0"/>
        <v>#DIV/0!</v>
      </c>
    </row>
    <row r="31" spans="2:23" x14ac:dyDescent="0.2">
      <c r="B31" s="607" t="s">
        <v>685</v>
      </c>
      <c r="C31" s="600">
        <f t="shared" ref="C31:M31" si="8">C29/C15</f>
        <v>-4.3801765405528433E-3</v>
      </c>
      <c r="D31" s="586">
        <f t="shared" si="8"/>
        <v>5.9742620458458504E-2</v>
      </c>
      <c r="E31" s="586">
        <f t="shared" si="8"/>
        <v>7.0473415917907456E-2</v>
      </c>
      <c r="F31" s="586">
        <f t="shared" si="8"/>
        <v>0.14293100103638473</v>
      </c>
      <c r="G31" s="600">
        <f t="shared" si="8"/>
        <v>0.19649719996579701</v>
      </c>
      <c r="H31" s="586">
        <f t="shared" si="8"/>
        <v>0.23761157853155759</v>
      </c>
      <c r="I31" s="586">
        <f t="shared" si="8"/>
        <v>0.2558139408020359</v>
      </c>
      <c r="J31" s="586">
        <f t="shared" si="8"/>
        <v>0.25119746725338227</v>
      </c>
      <c r="K31" s="586" t="e">
        <f t="shared" si="8"/>
        <v>#DIV/0!</v>
      </c>
      <c r="L31" s="586" t="e">
        <f t="shared" si="8"/>
        <v>#DIV/0!</v>
      </c>
      <c r="M31" s="605" t="e">
        <f t="shared" si="8"/>
        <v>#DIV/0!</v>
      </c>
      <c r="N31" s="586"/>
      <c r="O31" s="586"/>
      <c r="P31" s="586"/>
      <c r="Q31" s="586"/>
      <c r="R31" s="586"/>
      <c r="U31" s="616"/>
      <c r="W31" s="620" t="e">
        <f t="shared" si="0"/>
        <v>#DIV/0!</v>
      </c>
    </row>
    <row r="32" spans="2:23" x14ac:dyDescent="0.2">
      <c r="B32" s="607"/>
      <c r="C32" s="606"/>
      <c r="D32" s="599"/>
      <c r="E32" s="599"/>
      <c r="F32" s="599"/>
      <c r="G32" s="606"/>
      <c r="H32" s="599"/>
      <c r="I32" s="599"/>
      <c r="J32" s="624"/>
      <c r="K32" s="624"/>
      <c r="L32" s="624"/>
      <c r="M32" s="608"/>
      <c r="N32" s="628"/>
      <c r="O32" s="624"/>
      <c r="P32" s="624"/>
      <c r="Q32" s="624"/>
      <c r="R32" s="624"/>
      <c r="U32" s="616"/>
      <c r="W32" s="620" t="e">
        <f t="shared" si="0"/>
        <v>#DIV/0!</v>
      </c>
    </row>
    <row r="33" spans="2:23" x14ac:dyDescent="0.2">
      <c r="B33" s="594" t="s">
        <v>687</v>
      </c>
      <c r="C33" s="606"/>
      <c r="D33" s="599"/>
      <c r="E33" s="610"/>
      <c r="F33" s="610"/>
      <c r="G33" s="609">
        <f>((G13-$O$6)+(4-$N$6)/4)</f>
        <v>0.25</v>
      </c>
      <c r="H33" s="610">
        <f>((H13-$O$6)+(4-$N$6)/4)</f>
        <v>1.25</v>
      </c>
      <c r="I33" s="610">
        <f>((I13-$O$6)+(4-$N$6)/4)</f>
        <v>2.25</v>
      </c>
      <c r="J33" s="610">
        <f>((J13-$O$6)+(4-$N$6)/4)</f>
        <v>3.25</v>
      </c>
      <c r="K33" s="610">
        <f>((K13-$O$6)+(4-$N$6)/4)</f>
        <v>4.25</v>
      </c>
      <c r="L33" s="610">
        <f t="shared" ref="L33:M33" si="9">((L13-$O$6)+(4-$N$6)/4)</f>
        <v>5.25</v>
      </c>
      <c r="M33" s="611">
        <f t="shared" si="9"/>
        <v>6.25</v>
      </c>
      <c r="N33" s="629"/>
      <c r="O33" s="629"/>
      <c r="P33" s="629"/>
      <c r="Q33" s="629"/>
      <c r="R33" s="629"/>
      <c r="U33" s="616"/>
      <c r="W33" s="620" t="e">
        <f t="shared" si="0"/>
        <v>#DIV/0!</v>
      </c>
    </row>
    <row r="34" spans="2:23" x14ac:dyDescent="0.2">
      <c r="B34" s="594" t="s">
        <v>688</v>
      </c>
      <c r="C34" s="594"/>
      <c r="E34" s="610"/>
      <c r="F34" s="610"/>
      <c r="G34" s="609">
        <f t="shared" ref="G34:M34" si="10">IF(G33&gt;0,1/(1+$I$5)^G33,0)</f>
        <v>0.98178563192643065</v>
      </c>
      <c r="H34" s="610">
        <f t="shared" si="10"/>
        <v>0.91218591143350114</v>
      </c>
      <c r="I34" s="610">
        <f t="shared" si="10"/>
        <v>0.84752018155437714</v>
      </c>
      <c r="J34" s="610">
        <f t="shared" si="10"/>
        <v>0.78743866698529696</v>
      </c>
      <c r="K34" s="610">
        <f t="shared" si="10"/>
        <v>0.73161638832761922</v>
      </c>
      <c r="L34" s="610">
        <f t="shared" si="10"/>
        <v>0.67975140428244174</v>
      </c>
      <c r="M34" s="611">
        <f t="shared" si="10"/>
        <v>0.63156317845772392</v>
      </c>
      <c r="N34" s="629"/>
      <c r="O34" s="629"/>
      <c r="P34" s="629"/>
      <c r="Q34" s="629"/>
      <c r="R34" s="629"/>
      <c r="U34" s="616"/>
      <c r="W34" s="620" t="e">
        <f t="shared" si="0"/>
        <v>#DIV/0!</v>
      </c>
    </row>
    <row r="35" spans="2:23" s="3" customFormat="1" x14ac:dyDescent="0.2">
      <c r="B35" s="647" t="s">
        <v>689</v>
      </c>
      <c r="C35" s="647"/>
      <c r="D35" s="196"/>
      <c r="E35" s="635"/>
      <c r="F35" s="635"/>
      <c r="G35" s="636">
        <f>G29*G34</f>
        <v>15703.535589911811</v>
      </c>
      <c r="H35" s="635">
        <f t="shared" ref="H35:M35" si="11">H29*H34</f>
        <v>19040.587442921191</v>
      </c>
      <c r="I35" s="635">
        <f t="shared" si="11"/>
        <v>20470.381497623875</v>
      </c>
      <c r="J35" s="635">
        <f t="shared" si="11"/>
        <v>19632.261383759142</v>
      </c>
      <c r="K35" s="635">
        <f t="shared" si="11"/>
        <v>0</v>
      </c>
      <c r="L35" s="635">
        <f t="shared" si="11"/>
        <v>0</v>
      </c>
      <c r="M35" s="642">
        <f t="shared" si="11"/>
        <v>0</v>
      </c>
      <c r="N35" s="637"/>
      <c r="O35" s="637"/>
      <c r="P35" s="637"/>
      <c r="Q35" s="637"/>
      <c r="R35" s="637"/>
      <c r="U35" s="616"/>
      <c r="V35" s="2"/>
      <c r="W35" s="620" t="e">
        <f t="shared" si="0"/>
        <v>#DIV/0!</v>
      </c>
    </row>
    <row r="36" spans="2:23" x14ac:dyDescent="0.2">
      <c r="E36" s="612"/>
      <c r="F36" s="613"/>
      <c r="G36" s="613"/>
      <c r="H36" s="613"/>
      <c r="I36" s="613"/>
      <c r="J36" s="613"/>
      <c r="K36" s="613"/>
      <c r="L36" s="613"/>
      <c r="M36" s="613"/>
      <c r="N36" s="613"/>
      <c r="O36" s="613"/>
      <c r="P36" s="613"/>
      <c r="Q36" s="613"/>
      <c r="R36" s="613"/>
      <c r="U36" s="616"/>
      <c r="W36" s="620" t="e">
        <f t="shared" si="0"/>
        <v>#DIV/0!</v>
      </c>
    </row>
    <row r="37" spans="2:23" x14ac:dyDescent="0.2">
      <c r="B37" s="2" t="s">
        <v>690</v>
      </c>
      <c r="C37" s="596">
        <f>M29*(1+L11)/(I5-L11)</f>
        <v>0</v>
      </c>
      <c r="D37" s="167" t="s">
        <v>691</v>
      </c>
      <c r="U37" s="616"/>
      <c r="W37" s="620" t="e">
        <f t="shared" si="0"/>
        <v>#DIV/0!</v>
      </c>
    </row>
    <row r="38" spans="2:23" x14ac:dyDescent="0.2">
      <c r="B38" s="2" t="s">
        <v>692</v>
      </c>
      <c r="C38" s="596">
        <f>C37*M34</f>
        <v>0</v>
      </c>
      <c r="D38" s="586">
        <f>+C38/C39</f>
        <v>0</v>
      </c>
      <c r="U38" s="616"/>
      <c r="W38" s="620" t="e">
        <f t="shared" si="0"/>
        <v>#DIV/0!</v>
      </c>
    </row>
    <row r="39" spans="2:23" x14ac:dyDescent="0.2">
      <c r="B39" s="614" t="s">
        <v>693</v>
      </c>
      <c r="C39" s="615">
        <f>SUM(G35:M35,C38)</f>
        <v>74846.765914216026</v>
      </c>
      <c r="E39" s="576"/>
      <c r="F39" s="576"/>
      <c r="G39" s="576"/>
      <c r="H39" s="576"/>
      <c r="I39" s="576"/>
      <c r="J39" s="576"/>
      <c r="K39" s="576"/>
      <c r="L39" s="576"/>
      <c r="M39" s="161"/>
      <c r="N39" s="173"/>
      <c r="O39" s="576"/>
      <c r="P39" s="576"/>
      <c r="Q39" s="576"/>
      <c r="R39" s="576"/>
      <c r="U39" s="616"/>
      <c r="W39" s="620" t="e">
        <f t="shared" si="0"/>
        <v>#DIV/0!</v>
      </c>
    </row>
    <row r="40" spans="2:23" x14ac:dyDescent="0.2">
      <c r="B40" s="2" t="s">
        <v>921</v>
      </c>
      <c r="C40" s="5">
        <f>I6</f>
        <v>112456</v>
      </c>
      <c r="D40" s="5"/>
      <c r="F40" s="616"/>
      <c r="U40" s="616"/>
      <c r="W40" s="620" t="e">
        <f t="shared" si="0"/>
        <v>#DIV/0!</v>
      </c>
    </row>
    <row r="41" spans="2:23" x14ac:dyDescent="0.2">
      <c r="B41" s="2" t="s">
        <v>694</v>
      </c>
      <c r="C41" s="5">
        <f>+INDEX('FC - 3FS'!69:69, MATCH('Valuation (Don''t Use)'!C4,'FC - 3FS'!4:4, 0))</f>
        <v>9754</v>
      </c>
      <c r="F41" s="616"/>
      <c r="U41" s="616"/>
      <c r="W41" s="620" t="e">
        <f t="shared" si="0"/>
        <v>#DIV/0!</v>
      </c>
    </row>
    <row r="42" spans="2:23" x14ac:dyDescent="0.2">
      <c r="B42" s="2" t="s">
        <v>695</v>
      </c>
      <c r="C42" s="5">
        <f>+C39-C40+C41</f>
        <v>-27855.234085783974</v>
      </c>
      <c r="D42" s="5"/>
      <c r="E42" s="5"/>
      <c r="U42" s="616"/>
      <c r="W42" s="620" t="e">
        <f t="shared" si="0"/>
        <v>#DIV/0!</v>
      </c>
    </row>
    <row r="43" spans="2:23" x14ac:dyDescent="0.2">
      <c r="B43" s="2" t="s">
        <v>696</v>
      </c>
      <c r="C43" s="5">
        <f>C42*(1+I10)</f>
        <v>-30473.626089847668</v>
      </c>
      <c r="D43" s="5"/>
      <c r="E43" s="5"/>
      <c r="U43" s="616"/>
      <c r="W43" s="620" t="e">
        <f t="shared" si="0"/>
        <v>#DIV/0!</v>
      </c>
    </row>
    <row r="44" spans="2:23" x14ac:dyDescent="0.2">
      <c r="B44" s="2" t="s">
        <v>697</v>
      </c>
      <c r="C44" s="5">
        <f>INDEX('FC - 3FS'!39:39, MATCH('Valuation (Don''t Use)'!C5,'FC - 3FS'!4:4, 0))</f>
        <v>1126.627708</v>
      </c>
      <c r="D44" s="617"/>
      <c r="E44" s="617"/>
      <c r="U44" s="616"/>
      <c r="W44" s="620" t="e">
        <f t="shared" si="0"/>
        <v>#DIV/0!</v>
      </c>
    </row>
    <row r="45" spans="2:23" x14ac:dyDescent="0.2">
      <c r="U45" s="616"/>
      <c r="W45" s="620" t="e">
        <f t="shared" si="0"/>
        <v>#DIV/0!</v>
      </c>
    </row>
    <row r="46" spans="2:23" x14ac:dyDescent="0.2">
      <c r="B46" s="618" t="s">
        <v>698</v>
      </c>
      <c r="C46" s="619">
        <f>ROUND(C43/C44,0)</f>
        <v>-27</v>
      </c>
      <c r="D46" s="167"/>
      <c r="E46" s="167"/>
      <c r="U46" s="616"/>
      <c r="W46" s="620" t="e">
        <f t="shared" si="0"/>
        <v>#DIV/0!</v>
      </c>
    </row>
    <row r="47" spans="2:23" x14ac:dyDescent="0.2">
      <c r="B47" s="2" t="s">
        <v>676</v>
      </c>
      <c r="C47" s="585">
        <f>C46/C6-1</f>
        <v>-1.1093383008018143</v>
      </c>
      <c r="U47" s="616"/>
      <c r="W47" s="620" t="e">
        <f t="shared" si="0"/>
        <v>#DIV/0!</v>
      </c>
    </row>
    <row r="48" spans="2:23" x14ac:dyDescent="0.2">
      <c r="U48" s="616"/>
      <c r="W48" s="620" t="e">
        <f t="shared" si="0"/>
        <v>#DIV/0!</v>
      </c>
    </row>
    <row r="49" spans="2:23" x14ac:dyDescent="0.2">
      <c r="U49" s="616"/>
      <c r="W49" s="620" t="e">
        <f t="shared" si="0"/>
        <v>#DIV/0!</v>
      </c>
    </row>
    <row r="50" spans="2:23" ht="12.75" x14ac:dyDescent="0.2">
      <c r="B50" s="574" t="s">
        <v>711</v>
      </c>
      <c r="C50" s="574"/>
      <c r="D50" s="574"/>
      <c r="E50" s="574"/>
      <c r="F50" s="574"/>
      <c r="G50" s="574"/>
      <c r="H50" s="574"/>
      <c r="I50" s="574"/>
      <c r="J50" s="574"/>
      <c r="K50" s="574"/>
      <c r="L50" s="574"/>
      <c r="M50" s="574"/>
      <c r="N50" s="574"/>
      <c r="O50" s="574"/>
      <c r="P50" s="574"/>
      <c r="Q50" s="653"/>
      <c r="R50" s="653"/>
      <c r="U50" s="616"/>
      <c r="W50" s="620" t="e">
        <f t="shared" si="0"/>
        <v>#DIV/0!</v>
      </c>
    </row>
    <row r="51" spans="2:23" ht="14.25" x14ac:dyDescent="0.2">
      <c r="B51"/>
      <c r="C51"/>
      <c r="D51"/>
      <c r="E51"/>
      <c r="F51"/>
      <c r="G51"/>
      <c r="H51"/>
      <c r="I51"/>
      <c r="J51"/>
      <c r="K51"/>
      <c r="L51"/>
      <c r="M51"/>
      <c r="N51"/>
      <c r="O51"/>
      <c r="P51"/>
      <c r="Q51"/>
      <c r="R51"/>
      <c r="U51" s="616"/>
      <c r="W51" s="620" t="e">
        <f t="shared" si="0"/>
        <v>#DIV/0!</v>
      </c>
    </row>
    <row r="52" spans="2:23" ht="14.25" x14ac:dyDescent="0.2">
      <c r="B52" s="3" t="s">
        <v>712</v>
      </c>
      <c r="C52" s="590" t="str">
        <f>IF($N$6=4,"1Q"&amp;RIGHT($O$6,2)+1,$N$6+1&amp;"Q"&amp;RIGHT($O$6,2))</f>
        <v>4Q24</v>
      </c>
      <c r="D52" s="590" t="str">
        <f>IF(LEFT(C52,1)="4","1Q"&amp;RIGHT(C52,2)+1,LEFT(C52,1)+1&amp;"Q"&amp;RIGHT(C52,2))</f>
        <v>1Q25</v>
      </c>
      <c r="E52" s="590" t="str">
        <f t="shared" ref="E52:F52" si="12">IF(LEFT(D52,1)="4","1Q"&amp;RIGHT(D52,2)+1,LEFT(D52,1)+1&amp;"Q"&amp;RIGHT(D52,2))</f>
        <v>2Q25</v>
      </c>
      <c r="F52" s="590" t="str">
        <f t="shared" si="12"/>
        <v>3Q25</v>
      </c>
      <c r="G52" s="658" t="s">
        <v>714</v>
      </c>
      <c r="H52" s="270" t="s">
        <v>927</v>
      </c>
      <c r="I52" s="270" t="s">
        <v>923</v>
      </c>
      <c r="J52"/>
      <c r="K52"/>
      <c r="L52"/>
      <c r="M52"/>
      <c r="N52"/>
      <c r="O52"/>
      <c r="P52"/>
      <c r="Q52"/>
      <c r="R52"/>
      <c r="U52" s="616"/>
      <c r="W52" s="620" t="e">
        <f t="shared" si="0"/>
        <v>#DIV/0!</v>
      </c>
    </row>
    <row r="53" spans="2:23" ht="14.25" x14ac:dyDescent="0.2">
      <c r="B53" s="2" t="s">
        <v>684</v>
      </c>
      <c r="C53" s="657">
        <f>INDEX('FC - 3FS'!14:14, MATCH('Valuation (Don''t Use)'!C52, 'FC - 3FS'!4:4,0))</f>
        <v>21872</v>
      </c>
      <c r="D53" s="657">
        <f>INDEX('FC - 3FS'!14:14, MATCH('Valuation (Don''t Use)'!D52, 'FC - 3FS'!4:4,0))</f>
        <v>20886</v>
      </c>
      <c r="E53" s="657">
        <f>INDEX('FC - 3FS'!14:14, MATCH('Valuation (Don''t Use)'!E52, 'FC - 3FS'!4:4,0))</f>
        <v>21132</v>
      </c>
      <c r="F53" s="657">
        <f>INDEX('FC - 3FS'!14:14, MATCH('Valuation (Don''t Use)'!F52, 'FC - 3FS'!4:4,0))</f>
        <v>21957</v>
      </c>
      <c r="G53" s="659">
        <f>+SUM(C53:F53)</f>
        <v>85847</v>
      </c>
      <c r="H53" s="1270">
        <f>'FC - 3FS'!AQ14</f>
        <v>87847.495279587922</v>
      </c>
      <c r="I53" s="1270">
        <f>Consensus!AA6</f>
        <v>86037.607000000004</v>
      </c>
      <c r="J53"/>
      <c r="K53"/>
      <c r="L53"/>
      <c r="M53"/>
      <c r="N53"/>
      <c r="O53"/>
      <c r="P53"/>
      <c r="Q53"/>
      <c r="R53"/>
      <c r="U53" s="616"/>
      <c r="W53" s="620" t="e">
        <f t="shared" si="0"/>
        <v>#DIV/0!</v>
      </c>
    </row>
    <row r="54" spans="2:23" ht="14.25" x14ac:dyDescent="0.2">
      <c r="B54" s="2" t="s">
        <v>546</v>
      </c>
      <c r="C54" s="657">
        <f>INDEX('FC - 3FS'!56:56, MATCH('Valuation (Don''t Use)'!C$52, 'FC - 3FS'!$4:$4,0))</f>
        <v>7916</v>
      </c>
      <c r="D54" s="657">
        <f>INDEX('FC - 3FS'!56:56, MATCH('Valuation (Don''t Use)'!D$52, 'FC - 3FS'!$4:$4,0))</f>
        <v>8259</v>
      </c>
      <c r="E54" s="657">
        <f>INDEX('FC - 3FS'!56:56, MATCH('Valuation (Don''t Use)'!E$52, 'FC - 3FS'!$4:$4,0))</f>
        <v>8547</v>
      </c>
      <c r="F54" s="657">
        <f>INDEX('FC - 3FS'!56:56, MATCH('Valuation (Don''t Use)'!F$52, 'FC - 3FS'!$4:$4,0))</f>
        <v>8684</v>
      </c>
      <c r="G54" s="659">
        <f t="shared" ref="G54:G56" si="13">+SUM(C54:F54)</f>
        <v>33406</v>
      </c>
      <c r="H54" s="1270">
        <f>'FC - 3FS'!AQ56</f>
        <v>33884.392487627898</v>
      </c>
      <c r="I54" s="1270">
        <f>Consensus!AA22</f>
        <v>33463.739000000001</v>
      </c>
      <c r="J54"/>
      <c r="K54"/>
      <c r="L54"/>
      <c r="M54"/>
      <c r="N54"/>
      <c r="O54"/>
      <c r="P54"/>
      <c r="Q54"/>
      <c r="R54"/>
      <c r="U54" s="616"/>
      <c r="W54" s="620" t="e">
        <f t="shared" si="0"/>
        <v>#DIV/0!</v>
      </c>
    </row>
    <row r="55" spans="2:23" ht="14.25" x14ac:dyDescent="0.2">
      <c r="B55" s="2" t="s">
        <v>559</v>
      </c>
      <c r="C55" s="657">
        <f>INDEX('FC - 3FS'!23:23, MATCH('Valuation (Don''t Use)'!C$52, 'FC - 3FS'!$4:$4,0))</f>
        <v>4586</v>
      </c>
      <c r="D55" s="657">
        <f>INDEX('FC - 3FS'!23:23, MATCH('Valuation (Don''t Use)'!D$52, 'FC - 3FS'!$4:$4,0))</f>
        <v>4800</v>
      </c>
      <c r="E55" s="657">
        <f>INDEX('FC - 3FS'!23:23, MATCH('Valuation (Don''t Use)'!E$52, 'FC - 3FS'!$4:$4,0))</f>
        <v>5213</v>
      </c>
      <c r="F55" s="657">
        <f>INDEX('FC - 3FS'!23:23, MATCH('Valuation (Don''t Use)'!F$52, 'FC - 3FS'!$4:$4,0))</f>
        <v>4530</v>
      </c>
      <c r="G55" s="659">
        <f t="shared" si="13"/>
        <v>19129</v>
      </c>
      <c r="H55" s="1270">
        <f>'FC - 3FS'!AQ23</f>
        <v>18579.344278309713</v>
      </c>
      <c r="I55" s="1270">
        <f>Consensus!AA14</f>
        <v>19729.905334106181</v>
      </c>
      <c r="J55"/>
      <c r="K55"/>
      <c r="L55"/>
      <c r="M55"/>
      <c r="N55"/>
      <c r="O55"/>
      <c r="P55"/>
      <c r="Q55"/>
      <c r="R55"/>
      <c r="U55" s="616"/>
      <c r="W55" s="620" t="e">
        <f t="shared" si="0"/>
        <v>#DIV/0!</v>
      </c>
    </row>
    <row r="56" spans="2:23" ht="14.25" x14ac:dyDescent="0.2">
      <c r="B56" s="2" t="s">
        <v>713</v>
      </c>
      <c r="C56" s="160">
        <f>INDEX('FC - 3FS'!36:36, MATCH('Valuation (Don''t Use)'!C$52, 'FC - 3FS'!$4:$4,0))</f>
        <v>2.5718325158891795</v>
      </c>
      <c r="D56" s="160">
        <f>INDEX('FC - 3FS'!36:36, MATCH('Valuation (Don''t Use)'!D$52, 'FC - 3FS'!$4:$4,0))</f>
        <v>2.5798159565936118</v>
      </c>
      <c r="E56" s="160">
        <f>INDEX('FC - 3FS'!36:36, MATCH('Valuation (Don''t Use)'!E$52, 'FC - 3FS'!$4:$4,0))</f>
        <v>2.8391493272054089</v>
      </c>
      <c r="F56" s="160">
        <f>INDEX('FC - 3FS'!36:36, MATCH('Valuation (Don''t Use)'!F$52, 'FC - 3FS'!$4:$4,0))</f>
        <v>2.4089590383125925</v>
      </c>
      <c r="G56" s="660">
        <f t="shared" si="13"/>
        <v>10.399756838000794</v>
      </c>
      <c r="H56" s="1269">
        <f>'FC - 3FS'!AQ36</f>
        <v>9.8240184542161391</v>
      </c>
      <c r="I56" s="1269">
        <f>Consensus!AA46</f>
        <v>10.732000000000001</v>
      </c>
      <c r="J56"/>
      <c r="K56"/>
      <c r="L56"/>
      <c r="M56"/>
      <c r="N56"/>
      <c r="O56"/>
      <c r="P56"/>
      <c r="Q56"/>
      <c r="R56"/>
      <c r="U56" s="616"/>
      <c r="W56" s="620" t="e">
        <f t="shared" si="0"/>
        <v>#DIV/0!</v>
      </c>
    </row>
    <row r="57" spans="2:23" ht="14.25" x14ac:dyDescent="0.2">
      <c r="D57" s="654"/>
      <c r="E57" s="654"/>
      <c r="F57" s="654"/>
      <c r="G57"/>
      <c r="H57"/>
      <c r="I57"/>
      <c r="J57"/>
      <c r="K57"/>
      <c r="L57"/>
      <c r="M57"/>
      <c r="N57"/>
      <c r="O57"/>
      <c r="P57"/>
      <c r="Q57"/>
      <c r="R57"/>
      <c r="U57" s="616"/>
      <c r="W57" s="620" t="e">
        <f t="shared" si="0"/>
        <v>#DIV/0!</v>
      </c>
    </row>
    <row r="58" spans="2:23" ht="14.25" x14ac:dyDescent="0.2">
      <c r="C58" s="2" t="s">
        <v>922</v>
      </c>
      <c r="E58" s="2" t="s">
        <v>932</v>
      </c>
      <c r="F58"/>
      <c r="G58" s="2" t="s">
        <v>926</v>
      </c>
      <c r="H58" s="655"/>
      <c r="I58"/>
      <c r="J58"/>
      <c r="K58"/>
      <c r="L58"/>
      <c r="M58"/>
      <c r="N58"/>
      <c r="O58"/>
      <c r="P58"/>
      <c r="Q58"/>
      <c r="R58"/>
      <c r="U58" s="616"/>
      <c r="W58" s="620" t="e">
        <f t="shared" si="0"/>
        <v>#DIV/0!</v>
      </c>
    </row>
    <row r="59" spans="2:23" ht="14.25" x14ac:dyDescent="0.2">
      <c r="B59" s="572" t="s">
        <v>408</v>
      </c>
      <c r="C59" s="1080">
        <f>C43</f>
        <v>-30473.626089847668</v>
      </c>
      <c r="E59" s="1080">
        <f>C10*L9</f>
        <v>316075.38146999996</v>
      </c>
      <c r="F59"/>
      <c r="G59" s="1080">
        <f>C6*L9</f>
        <v>289080.20259333996</v>
      </c>
      <c r="H59"/>
      <c r="I59"/>
      <c r="J59"/>
      <c r="K59"/>
      <c r="L59"/>
      <c r="M59"/>
      <c r="N59"/>
      <c r="O59"/>
      <c r="P59"/>
      <c r="Q59"/>
      <c r="R59"/>
      <c r="U59" s="616"/>
      <c r="W59" s="620" t="e">
        <f t="shared" si="0"/>
        <v>#DIV/0!</v>
      </c>
    </row>
    <row r="60" spans="2:23" ht="14.25" x14ac:dyDescent="0.2">
      <c r="B60" s="572" t="s">
        <v>412</v>
      </c>
      <c r="C60" s="573">
        <f>C59+C40-C41</f>
        <v>72228.373910152324</v>
      </c>
      <c r="E60" s="573">
        <f>E59+C40-C41</f>
        <v>418777.38146999996</v>
      </c>
      <c r="F60"/>
      <c r="G60" s="573">
        <f>G59+C40-C41</f>
        <v>391782.20259333996</v>
      </c>
      <c r="H60"/>
      <c r="I60"/>
      <c r="J60"/>
      <c r="K60"/>
      <c r="L60"/>
      <c r="M60"/>
      <c r="N60"/>
      <c r="O60"/>
      <c r="P60"/>
      <c r="Q60"/>
      <c r="R60"/>
      <c r="U60" s="616"/>
      <c r="W60" s="620" t="e">
        <f t="shared" si="0"/>
        <v>#DIV/0!</v>
      </c>
    </row>
    <row r="61" spans="2:23" ht="14.25" x14ac:dyDescent="0.2">
      <c r="C61" s="1271" t="s">
        <v>712</v>
      </c>
      <c r="D61" s="3">
        <v>2025</v>
      </c>
      <c r="E61" s="2" t="s">
        <v>923</v>
      </c>
      <c r="G61" s="2">
        <v>2025</v>
      </c>
      <c r="H61" s="136" t="s">
        <v>712</v>
      </c>
      <c r="I61"/>
      <c r="J61"/>
      <c r="K61"/>
      <c r="L61"/>
      <c r="M61"/>
      <c r="N61"/>
      <c r="O61"/>
      <c r="P61"/>
      <c r="Q61"/>
      <c r="R61"/>
      <c r="U61" s="616"/>
      <c r="W61" s="620" t="e">
        <f t="shared" si="0"/>
        <v>#DIV/0!</v>
      </c>
    </row>
    <row r="62" spans="2:23" ht="14.25" x14ac:dyDescent="0.2">
      <c r="B62" s="656" t="s">
        <v>917</v>
      </c>
      <c r="C62" s="661">
        <f>$C$60/$G54</f>
        <v>2.1621377569943223</v>
      </c>
      <c r="D62" s="661">
        <f>$C$60/$H54</f>
        <v>2.1316118899438687</v>
      </c>
      <c r="E62" s="662">
        <f>$E$60/I54</f>
        <v>12.514363128101134</v>
      </c>
      <c r="G62" s="662">
        <f>G60/I54</f>
        <v>11.707663707075289</v>
      </c>
      <c r="H62" s="555">
        <v>8.2818274559898075</v>
      </c>
      <c r="I62"/>
      <c r="J62"/>
      <c r="K62"/>
      <c r="L62"/>
      <c r="M62"/>
      <c r="N62"/>
      <c r="O62"/>
      <c r="P62"/>
      <c r="Q62"/>
      <c r="R62"/>
      <c r="U62" s="616"/>
      <c r="W62" s="620" t="e">
        <f t="shared" si="0"/>
        <v>#DIV/0!</v>
      </c>
    </row>
    <row r="63" spans="2:23" ht="12.75" x14ac:dyDescent="0.2">
      <c r="B63" s="656" t="s">
        <v>920</v>
      </c>
      <c r="C63" s="661">
        <f>$C$60/$G55</f>
        <v>3.7758572800539665</v>
      </c>
      <c r="D63" s="661">
        <f>$C$60/$H55</f>
        <v>3.887563136147635</v>
      </c>
      <c r="E63" s="662">
        <f>$E$60/I55</f>
        <v>21.22551397882679</v>
      </c>
      <c r="G63" s="662">
        <f>G60/I55</f>
        <v>19.85727736443236</v>
      </c>
      <c r="H63" s="555">
        <v>15.056695044172479</v>
      </c>
      <c r="U63" s="616"/>
      <c r="W63" s="620" t="e">
        <f t="shared" si="0"/>
        <v>#DIV/0!</v>
      </c>
    </row>
    <row r="64" spans="2:23" ht="12.75" x14ac:dyDescent="0.2">
      <c r="B64" s="656" t="s">
        <v>918</v>
      </c>
      <c r="C64" s="661">
        <f>$C$46/$G56</f>
        <v>-2.5962145481461438</v>
      </c>
      <c r="D64" s="661">
        <f>$C$46/$H56</f>
        <v>-2.7483661727459912</v>
      </c>
      <c r="E64" s="1276">
        <f>C10/I56</f>
        <v>25.158404770778976</v>
      </c>
      <c r="G64" s="1276">
        <f>L10/I56</f>
        <v>23.009690644800592</v>
      </c>
      <c r="H64" s="662">
        <v>18.739495798319325</v>
      </c>
      <c r="U64" s="616"/>
      <c r="W64" s="620" t="e">
        <f t="shared" si="0"/>
        <v>#DIV/0!</v>
      </c>
    </row>
    <row r="65" spans="2:23" ht="12.75" x14ac:dyDescent="0.2">
      <c r="B65" s="656" t="s">
        <v>919</v>
      </c>
      <c r="C65" s="661">
        <f>$C$60/$G53</f>
        <v>0.84136165399084795</v>
      </c>
      <c r="D65" s="661">
        <f>$C$60/$H53</f>
        <v>0.82220185880399455</v>
      </c>
      <c r="H65" s="555">
        <v>3.6183573116883267</v>
      </c>
      <c r="U65" s="616"/>
      <c r="W65" s="620" t="e">
        <f t="shared" si="0"/>
        <v>#DIV/0!</v>
      </c>
    </row>
    <row r="66" spans="2:23" x14ac:dyDescent="0.2">
      <c r="B66" s="1268"/>
      <c r="H66" s="1267"/>
      <c r="U66" s="616"/>
      <c r="W66" s="620" t="e">
        <f t="shared" si="0"/>
        <v>#DIV/0!</v>
      </c>
    </row>
    <row r="67" spans="2:23" ht="14.25" x14ac:dyDescent="0.2">
      <c r="B67" s="572"/>
      <c r="C67" s="1080"/>
      <c r="D67"/>
      <c r="U67" s="616"/>
      <c r="W67" s="620" t="e">
        <f t="shared" si="0"/>
        <v>#DIV/0!</v>
      </c>
    </row>
    <row r="68" spans="2:23" ht="12.75" x14ac:dyDescent="0.2">
      <c r="B68" s="572"/>
      <c r="C68" s="573"/>
      <c r="U68" s="616"/>
      <c r="W68" s="620" t="e">
        <f t="shared" ref="W68:W131" si="14">AVERAGE($V$4:$V$2517)</f>
        <v>#DIV/0!</v>
      </c>
    </row>
    <row r="69" spans="2:23" ht="12.75" x14ac:dyDescent="0.2">
      <c r="B69" s="656"/>
      <c r="C69" s="661"/>
      <c r="D69" s="662"/>
      <c r="U69" s="616"/>
      <c r="W69" s="620" t="e">
        <f t="shared" si="14"/>
        <v>#DIV/0!</v>
      </c>
    </row>
    <row r="70" spans="2:23" ht="12.75" x14ac:dyDescent="0.2">
      <c r="B70" s="656"/>
      <c r="C70" s="661"/>
      <c r="D70" s="662"/>
      <c r="U70" s="616"/>
      <c r="W70" s="620" t="e">
        <f t="shared" si="14"/>
        <v>#DIV/0!</v>
      </c>
    </row>
    <row r="71" spans="2:23" ht="12.75" x14ac:dyDescent="0.2">
      <c r="B71" s="656"/>
      <c r="C71" s="661"/>
      <c r="D71" s="662"/>
      <c r="U71" s="616"/>
      <c r="W71" s="620" t="e">
        <f t="shared" si="14"/>
        <v>#DIV/0!</v>
      </c>
    </row>
    <row r="72" spans="2:23" ht="12.75" x14ac:dyDescent="0.2">
      <c r="B72" s="656"/>
      <c r="C72" s="661"/>
      <c r="D72" s="555"/>
      <c r="U72" s="616"/>
      <c r="W72" s="620" t="e">
        <f t="shared" si="14"/>
        <v>#DIV/0!</v>
      </c>
    </row>
    <row r="73" spans="2:23" x14ac:dyDescent="0.2">
      <c r="U73" s="616"/>
      <c r="W73" s="620" t="e">
        <f t="shared" si="14"/>
        <v>#DIV/0!</v>
      </c>
    </row>
    <row r="74" spans="2:23" x14ac:dyDescent="0.2">
      <c r="U74" s="616"/>
      <c r="W74" s="620" t="e">
        <f t="shared" si="14"/>
        <v>#DIV/0!</v>
      </c>
    </row>
    <row r="75" spans="2:23" x14ac:dyDescent="0.2">
      <c r="U75" s="616"/>
      <c r="W75" s="620" t="e">
        <f t="shared" si="14"/>
        <v>#DIV/0!</v>
      </c>
    </row>
    <row r="76" spans="2:23" x14ac:dyDescent="0.2">
      <c r="U76" s="616"/>
      <c r="W76" s="620" t="e">
        <f t="shared" si="14"/>
        <v>#DIV/0!</v>
      </c>
    </row>
    <row r="77" spans="2:23" x14ac:dyDescent="0.2">
      <c r="U77" s="616"/>
      <c r="W77" s="620" t="e">
        <f t="shared" si="14"/>
        <v>#DIV/0!</v>
      </c>
    </row>
    <row r="78" spans="2:23" x14ac:dyDescent="0.2">
      <c r="U78" s="616"/>
      <c r="W78" s="620" t="e">
        <f t="shared" si="14"/>
        <v>#DIV/0!</v>
      </c>
    </row>
    <row r="79" spans="2:23" x14ac:dyDescent="0.2">
      <c r="U79" s="616"/>
      <c r="W79" s="620" t="e">
        <f t="shared" si="14"/>
        <v>#DIV/0!</v>
      </c>
    </row>
    <row r="80" spans="2:23" x14ac:dyDescent="0.2">
      <c r="U80" s="616"/>
      <c r="W80" s="620" t="e">
        <f t="shared" si="14"/>
        <v>#DIV/0!</v>
      </c>
    </row>
    <row r="81" spans="21:23" x14ac:dyDescent="0.2">
      <c r="U81" s="616"/>
      <c r="W81" s="620" t="e">
        <f t="shared" si="14"/>
        <v>#DIV/0!</v>
      </c>
    </row>
    <row r="82" spans="21:23" x14ac:dyDescent="0.2">
      <c r="U82" s="616"/>
      <c r="W82" s="620" t="e">
        <f t="shared" si="14"/>
        <v>#DIV/0!</v>
      </c>
    </row>
    <row r="83" spans="21:23" x14ac:dyDescent="0.2">
      <c r="U83" s="616"/>
      <c r="W83" s="620" t="e">
        <f t="shared" si="14"/>
        <v>#DIV/0!</v>
      </c>
    </row>
    <row r="84" spans="21:23" x14ac:dyDescent="0.2">
      <c r="U84" s="616"/>
      <c r="W84" s="620" t="e">
        <f t="shared" si="14"/>
        <v>#DIV/0!</v>
      </c>
    </row>
    <row r="85" spans="21:23" x14ac:dyDescent="0.2">
      <c r="U85" s="616"/>
      <c r="W85" s="620" t="e">
        <f t="shared" si="14"/>
        <v>#DIV/0!</v>
      </c>
    </row>
    <row r="86" spans="21:23" x14ac:dyDescent="0.2">
      <c r="U86" s="616"/>
      <c r="W86" s="620" t="e">
        <f t="shared" si="14"/>
        <v>#DIV/0!</v>
      </c>
    </row>
    <row r="87" spans="21:23" x14ac:dyDescent="0.2">
      <c r="U87" s="616"/>
      <c r="W87" s="620" t="e">
        <f t="shared" si="14"/>
        <v>#DIV/0!</v>
      </c>
    </row>
    <row r="88" spans="21:23" x14ac:dyDescent="0.2">
      <c r="U88" s="616"/>
      <c r="W88" s="620" t="e">
        <f t="shared" si="14"/>
        <v>#DIV/0!</v>
      </c>
    </row>
    <row r="89" spans="21:23" x14ac:dyDescent="0.2">
      <c r="U89" s="616"/>
      <c r="W89" s="620" t="e">
        <f t="shared" si="14"/>
        <v>#DIV/0!</v>
      </c>
    </row>
    <row r="90" spans="21:23" x14ac:dyDescent="0.2">
      <c r="U90" s="616"/>
      <c r="W90" s="620" t="e">
        <f t="shared" si="14"/>
        <v>#DIV/0!</v>
      </c>
    </row>
    <row r="91" spans="21:23" x14ac:dyDescent="0.2">
      <c r="U91" s="616"/>
      <c r="W91" s="620" t="e">
        <f t="shared" si="14"/>
        <v>#DIV/0!</v>
      </c>
    </row>
    <row r="92" spans="21:23" x14ac:dyDescent="0.2">
      <c r="U92" s="616"/>
      <c r="W92" s="620" t="e">
        <f t="shared" si="14"/>
        <v>#DIV/0!</v>
      </c>
    </row>
    <row r="93" spans="21:23" x14ac:dyDescent="0.2">
      <c r="U93" s="616"/>
      <c r="W93" s="620" t="e">
        <f t="shared" si="14"/>
        <v>#DIV/0!</v>
      </c>
    </row>
    <row r="94" spans="21:23" x14ac:dyDescent="0.2">
      <c r="U94" s="616"/>
      <c r="W94" s="620" t="e">
        <f t="shared" si="14"/>
        <v>#DIV/0!</v>
      </c>
    </row>
    <row r="95" spans="21:23" x14ac:dyDescent="0.2">
      <c r="U95" s="616"/>
      <c r="W95" s="620" t="e">
        <f t="shared" si="14"/>
        <v>#DIV/0!</v>
      </c>
    </row>
    <row r="96" spans="21:23" x14ac:dyDescent="0.2">
      <c r="U96" s="616"/>
      <c r="W96" s="620" t="e">
        <f t="shared" si="14"/>
        <v>#DIV/0!</v>
      </c>
    </row>
    <row r="97" spans="21:23" x14ac:dyDescent="0.2">
      <c r="U97" s="616"/>
      <c r="W97" s="620" t="e">
        <f t="shared" si="14"/>
        <v>#DIV/0!</v>
      </c>
    </row>
    <row r="98" spans="21:23" x14ac:dyDescent="0.2">
      <c r="U98" s="616"/>
      <c r="W98" s="620" t="e">
        <f t="shared" si="14"/>
        <v>#DIV/0!</v>
      </c>
    </row>
    <row r="99" spans="21:23" x14ac:dyDescent="0.2">
      <c r="U99" s="616"/>
      <c r="W99" s="620" t="e">
        <f t="shared" si="14"/>
        <v>#DIV/0!</v>
      </c>
    </row>
    <row r="100" spans="21:23" x14ac:dyDescent="0.2">
      <c r="U100" s="616"/>
      <c r="W100" s="620" t="e">
        <f t="shared" si="14"/>
        <v>#DIV/0!</v>
      </c>
    </row>
    <row r="101" spans="21:23" x14ac:dyDescent="0.2">
      <c r="U101" s="616"/>
      <c r="W101" s="620" t="e">
        <f t="shared" si="14"/>
        <v>#DIV/0!</v>
      </c>
    </row>
    <row r="102" spans="21:23" x14ac:dyDescent="0.2">
      <c r="U102" s="616"/>
      <c r="W102" s="620" t="e">
        <f t="shared" si="14"/>
        <v>#DIV/0!</v>
      </c>
    </row>
    <row r="103" spans="21:23" x14ac:dyDescent="0.2">
      <c r="U103" s="616"/>
      <c r="W103" s="620" t="e">
        <f t="shared" si="14"/>
        <v>#DIV/0!</v>
      </c>
    </row>
    <row r="104" spans="21:23" x14ac:dyDescent="0.2">
      <c r="U104" s="616"/>
      <c r="W104" s="620" t="e">
        <f t="shared" si="14"/>
        <v>#DIV/0!</v>
      </c>
    </row>
    <row r="105" spans="21:23" x14ac:dyDescent="0.2">
      <c r="U105" s="616"/>
      <c r="W105" s="620" t="e">
        <f t="shared" si="14"/>
        <v>#DIV/0!</v>
      </c>
    </row>
    <row r="106" spans="21:23" x14ac:dyDescent="0.2">
      <c r="U106" s="616"/>
      <c r="W106" s="620" t="e">
        <f t="shared" si="14"/>
        <v>#DIV/0!</v>
      </c>
    </row>
    <row r="107" spans="21:23" x14ac:dyDescent="0.2">
      <c r="U107" s="616"/>
      <c r="W107" s="620" t="e">
        <f t="shared" si="14"/>
        <v>#DIV/0!</v>
      </c>
    </row>
    <row r="108" spans="21:23" x14ac:dyDescent="0.2">
      <c r="U108" s="616"/>
      <c r="W108" s="620" t="e">
        <f t="shared" si="14"/>
        <v>#DIV/0!</v>
      </c>
    </row>
    <row r="109" spans="21:23" x14ac:dyDescent="0.2">
      <c r="U109" s="616"/>
      <c r="W109" s="620" t="e">
        <f t="shared" si="14"/>
        <v>#DIV/0!</v>
      </c>
    </row>
    <row r="110" spans="21:23" x14ac:dyDescent="0.2">
      <c r="U110" s="616"/>
      <c r="W110" s="620" t="e">
        <f t="shared" si="14"/>
        <v>#DIV/0!</v>
      </c>
    </row>
    <row r="111" spans="21:23" x14ac:dyDescent="0.2">
      <c r="U111" s="616"/>
      <c r="W111" s="620" t="e">
        <f t="shared" si="14"/>
        <v>#DIV/0!</v>
      </c>
    </row>
    <row r="112" spans="21:23" x14ac:dyDescent="0.2">
      <c r="U112" s="616"/>
      <c r="W112" s="620" t="e">
        <f t="shared" si="14"/>
        <v>#DIV/0!</v>
      </c>
    </row>
    <row r="113" spans="21:23" x14ac:dyDescent="0.2">
      <c r="U113" s="616"/>
      <c r="W113" s="620" t="e">
        <f t="shared" si="14"/>
        <v>#DIV/0!</v>
      </c>
    </row>
    <row r="114" spans="21:23" x14ac:dyDescent="0.2">
      <c r="U114" s="616"/>
      <c r="W114" s="620" t="e">
        <f t="shared" si="14"/>
        <v>#DIV/0!</v>
      </c>
    </row>
    <row r="115" spans="21:23" x14ac:dyDescent="0.2">
      <c r="U115" s="616"/>
      <c r="W115" s="620" t="e">
        <f t="shared" si="14"/>
        <v>#DIV/0!</v>
      </c>
    </row>
    <row r="116" spans="21:23" x14ac:dyDescent="0.2">
      <c r="U116" s="616"/>
      <c r="W116" s="620" t="e">
        <f t="shared" si="14"/>
        <v>#DIV/0!</v>
      </c>
    </row>
    <row r="117" spans="21:23" x14ac:dyDescent="0.2">
      <c r="U117" s="616"/>
      <c r="W117" s="620" t="e">
        <f t="shared" si="14"/>
        <v>#DIV/0!</v>
      </c>
    </row>
    <row r="118" spans="21:23" x14ac:dyDescent="0.2">
      <c r="U118" s="616"/>
      <c r="W118" s="620" t="e">
        <f t="shared" si="14"/>
        <v>#DIV/0!</v>
      </c>
    </row>
    <row r="119" spans="21:23" x14ac:dyDescent="0.2">
      <c r="U119" s="616"/>
      <c r="W119" s="620" t="e">
        <f t="shared" si="14"/>
        <v>#DIV/0!</v>
      </c>
    </row>
    <row r="120" spans="21:23" x14ac:dyDescent="0.2">
      <c r="U120" s="616"/>
      <c r="W120" s="620" t="e">
        <f t="shared" si="14"/>
        <v>#DIV/0!</v>
      </c>
    </row>
    <row r="121" spans="21:23" x14ac:dyDescent="0.2">
      <c r="U121" s="616"/>
      <c r="W121" s="620" t="e">
        <f t="shared" si="14"/>
        <v>#DIV/0!</v>
      </c>
    </row>
    <row r="122" spans="21:23" x14ac:dyDescent="0.2">
      <c r="U122" s="616"/>
      <c r="W122" s="620" t="e">
        <f t="shared" si="14"/>
        <v>#DIV/0!</v>
      </c>
    </row>
    <row r="123" spans="21:23" x14ac:dyDescent="0.2">
      <c r="U123" s="616"/>
      <c r="W123" s="620" t="e">
        <f t="shared" si="14"/>
        <v>#DIV/0!</v>
      </c>
    </row>
    <row r="124" spans="21:23" x14ac:dyDescent="0.2">
      <c r="U124" s="616"/>
      <c r="W124" s="620" t="e">
        <f t="shared" si="14"/>
        <v>#DIV/0!</v>
      </c>
    </row>
    <row r="125" spans="21:23" x14ac:dyDescent="0.2">
      <c r="U125" s="616"/>
      <c r="W125" s="620" t="e">
        <f t="shared" si="14"/>
        <v>#DIV/0!</v>
      </c>
    </row>
    <row r="126" spans="21:23" x14ac:dyDescent="0.2">
      <c r="U126" s="616"/>
      <c r="W126" s="620" t="e">
        <f t="shared" si="14"/>
        <v>#DIV/0!</v>
      </c>
    </row>
    <row r="127" spans="21:23" x14ac:dyDescent="0.2">
      <c r="U127" s="616"/>
      <c r="W127" s="620" t="e">
        <f t="shared" si="14"/>
        <v>#DIV/0!</v>
      </c>
    </row>
    <row r="128" spans="21:23" x14ac:dyDescent="0.2">
      <c r="U128" s="616"/>
      <c r="W128" s="620" t="e">
        <f t="shared" si="14"/>
        <v>#DIV/0!</v>
      </c>
    </row>
    <row r="129" spans="21:23" x14ac:dyDescent="0.2">
      <c r="U129" s="616"/>
      <c r="W129" s="620" t="e">
        <f t="shared" si="14"/>
        <v>#DIV/0!</v>
      </c>
    </row>
    <row r="130" spans="21:23" x14ac:dyDescent="0.2">
      <c r="U130" s="616"/>
      <c r="W130" s="620" t="e">
        <f t="shared" si="14"/>
        <v>#DIV/0!</v>
      </c>
    </row>
    <row r="131" spans="21:23" x14ac:dyDescent="0.2">
      <c r="U131" s="616"/>
      <c r="W131" s="620" t="e">
        <f t="shared" si="14"/>
        <v>#DIV/0!</v>
      </c>
    </row>
    <row r="132" spans="21:23" x14ac:dyDescent="0.2">
      <c r="U132" s="616"/>
      <c r="W132" s="620" t="e">
        <f t="shared" ref="W132:W195" si="15">AVERAGE($V$4:$V$2517)</f>
        <v>#DIV/0!</v>
      </c>
    </row>
    <row r="133" spans="21:23" x14ac:dyDescent="0.2">
      <c r="U133" s="616"/>
      <c r="W133" s="620" t="e">
        <f t="shared" si="15"/>
        <v>#DIV/0!</v>
      </c>
    </row>
    <row r="134" spans="21:23" x14ac:dyDescent="0.2">
      <c r="U134" s="616"/>
      <c r="W134" s="620" t="e">
        <f t="shared" si="15"/>
        <v>#DIV/0!</v>
      </c>
    </row>
    <row r="135" spans="21:23" x14ac:dyDescent="0.2">
      <c r="U135" s="616"/>
      <c r="W135" s="620" t="e">
        <f t="shared" si="15"/>
        <v>#DIV/0!</v>
      </c>
    </row>
    <row r="136" spans="21:23" x14ac:dyDescent="0.2">
      <c r="U136" s="616"/>
      <c r="W136" s="620" t="e">
        <f t="shared" si="15"/>
        <v>#DIV/0!</v>
      </c>
    </row>
    <row r="137" spans="21:23" x14ac:dyDescent="0.2">
      <c r="U137" s="616"/>
      <c r="W137" s="620" t="e">
        <f t="shared" si="15"/>
        <v>#DIV/0!</v>
      </c>
    </row>
    <row r="138" spans="21:23" x14ac:dyDescent="0.2">
      <c r="U138" s="616"/>
      <c r="W138" s="620" t="e">
        <f t="shared" si="15"/>
        <v>#DIV/0!</v>
      </c>
    </row>
    <row r="139" spans="21:23" x14ac:dyDescent="0.2">
      <c r="U139" s="616"/>
      <c r="W139" s="620" t="e">
        <f t="shared" si="15"/>
        <v>#DIV/0!</v>
      </c>
    </row>
    <row r="140" spans="21:23" x14ac:dyDescent="0.2">
      <c r="U140" s="616"/>
      <c r="W140" s="620" t="e">
        <f t="shared" si="15"/>
        <v>#DIV/0!</v>
      </c>
    </row>
    <row r="141" spans="21:23" x14ac:dyDescent="0.2">
      <c r="U141" s="616"/>
      <c r="W141" s="620" t="e">
        <f t="shared" si="15"/>
        <v>#DIV/0!</v>
      </c>
    </row>
    <row r="142" spans="21:23" x14ac:dyDescent="0.2">
      <c r="U142" s="616"/>
      <c r="W142" s="620" t="e">
        <f t="shared" si="15"/>
        <v>#DIV/0!</v>
      </c>
    </row>
    <row r="143" spans="21:23" x14ac:dyDescent="0.2">
      <c r="U143" s="616"/>
      <c r="W143" s="620" t="e">
        <f t="shared" si="15"/>
        <v>#DIV/0!</v>
      </c>
    </row>
    <row r="144" spans="21:23" x14ac:dyDescent="0.2">
      <c r="U144" s="616"/>
      <c r="W144" s="620" t="e">
        <f t="shared" si="15"/>
        <v>#DIV/0!</v>
      </c>
    </row>
    <row r="145" spans="21:23" x14ac:dyDescent="0.2">
      <c r="U145" s="616"/>
      <c r="W145" s="620" t="e">
        <f t="shared" si="15"/>
        <v>#DIV/0!</v>
      </c>
    </row>
    <row r="146" spans="21:23" x14ac:dyDescent="0.2">
      <c r="U146" s="616"/>
      <c r="W146" s="620" t="e">
        <f t="shared" si="15"/>
        <v>#DIV/0!</v>
      </c>
    </row>
    <row r="147" spans="21:23" x14ac:dyDescent="0.2">
      <c r="U147" s="616"/>
      <c r="W147" s="620" t="e">
        <f t="shared" si="15"/>
        <v>#DIV/0!</v>
      </c>
    </row>
    <row r="148" spans="21:23" x14ac:dyDescent="0.2">
      <c r="U148" s="616"/>
      <c r="W148" s="620" t="e">
        <f t="shared" si="15"/>
        <v>#DIV/0!</v>
      </c>
    </row>
    <row r="149" spans="21:23" x14ac:dyDescent="0.2">
      <c r="U149" s="616"/>
      <c r="W149" s="620" t="e">
        <f t="shared" si="15"/>
        <v>#DIV/0!</v>
      </c>
    </row>
    <row r="150" spans="21:23" x14ac:dyDescent="0.2">
      <c r="U150" s="616"/>
      <c r="W150" s="620" t="e">
        <f t="shared" si="15"/>
        <v>#DIV/0!</v>
      </c>
    </row>
    <row r="151" spans="21:23" x14ac:dyDescent="0.2">
      <c r="U151" s="616"/>
      <c r="W151" s="620" t="e">
        <f t="shared" si="15"/>
        <v>#DIV/0!</v>
      </c>
    </row>
    <row r="152" spans="21:23" x14ac:dyDescent="0.2">
      <c r="U152" s="616"/>
      <c r="W152" s="620" t="e">
        <f t="shared" si="15"/>
        <v>#DIV/0!</v>
      </c>
    </row>
    <row r="153" spans="21:23" x14ac:dyDescent="0.2">
      <c r="U153" s="616"/>
      <c r="W153" s="620" t="e">
        <f t="shared" si="15"/>
        <v>#DIV/0!</v>
      </c>
    </row>
    <row r="154" spans="21:23" x14ac:dyDescent="0.2">
      <c r="U154" s="616"/>
      <c r="W154" s="620" t="e">
        <f t="shared" si="15"/>
        <v>#DIV/0!</v>
      </c>
    </row>
    <row r="155" spans="21:23" x14ac:dyDescent="0.2">
      <c r="U155" s="616"/>
      <c r="W155" s="620" t="e">
        <f t="shared" si="15"/>
        <v>#DIV/0!</v>
      </c>
    </row>
    <row r="156" spans="21:23" x14ac:dyDescent="0.2">
      <c r="U156" s="616"/>
      <c r="W156" s="620" t="e">
        <f t="shared" si="15"/>
        <v>#DIV/0!</v>
      </c>
    </row>
    <row r="157" spans="21:23" x14ac:dyDescent="0.2">
      <c r="U157" s="616"/>
      <c r="W157" s="620" t="e">
        <f t="shared" si="15"/>
        <v>#DIV/0!</v>
      </c>
    </row>
    <row r="158" spans="21:23" x14ac:dyDescent="0.2">
      <c r="U158" s="616"/>
      <c r="W158" s="620" t="e">
        <f t="shared" si="15"/>
        <v>#DIV/0!</v>
      </c>
    </row>
    <row r="159" spans="21:23" x14ac:dyDescent="0.2">
      <c r="U159" s="616"/>
      <c r="W159" s="620" t="e">
        <f t="shared" si="15"/>
        <v>#DIV/0!</v>
      </c>
    </row>
    <row r="160" spans="21:23" x14ac:dyDescent="0.2">
      <c r="U160" s="616"/>
      <c r="W160" s="620" t="e">
        <f t="shared" si="15"/>
        <v>#DIV/0!</v>
      </c>
    </row>
    <row r="161" spans="21:23" x14ac:dyDescent="0.2">
      <c r="U161" s="616"/>
      <c r="W161" s="620" t="e">
        <f t="shared" si="15"/>
        <v>#DIV/0!</v>
      </c>
    </row>
    <row r="162" spans="21:23" x14ac:dyDescent="0.2">
      <c r="U162" s="616"/>
      <c r="W162" s="620" t="e">
        <f t="shared" si="15"/>
        <v>#DIV/0!</v>
      </c>
    </row>
    <row r="163" spans="21:23" x14ac:dyDescent="0.2">
      <c r="U163" s="616"/>
      <c r="W163" s="620" t="e">
        <f t="shared" si="15"/>
        <v>#DIV/0!</v>
      </c>
    </row>
    <row r="164" spans="21:23" x14ac:dyDescent="0.2">
      <c r="U164" s="616"/>
      <c r="W164" s="620" t="e">
        <f t="shared" si="15"/>
        <v>#DIV/0!</v>
      </c>
    </row>
    <row r="165" spans="21:23" x14ac:dyDescent="0.2">
      <c r="U165" s="616"/>
      <c r="W165" s="620" t="e">
        <f t="shared" si="15"/>
        <v>#DIV/0!</v>
      </c>
    </row>
    <row r="166" spans="21:23" x14ac:dyDescent="0.2">
      <c r="U166" s="616"/>
      <c r="W166" s="620" t="e">
        <f t="shared" si="15"/>
        <v>#DIV/0!</v>
      </c>
    </row>
    <row r="167" spans="21:23" x14ac:dyDescent="0.2">
      <c r="U167" s="616"/>
      <c r="W167" s="620" t="e">
        <f t="shared" si="15"/>
        <v>#DIV/0!</v>
      </c>
    </row>
    <row r="168" spans="21:23" x14ac:dyDescent="0.2">
      <c r="U168" s="616"/>
      <c r="W168" s="620" t="e">
        <f t="shared" si="15"/>
        <v>#DIV/0!</v>
      </c>
    </row>
    <row r="169" spans="21:23" x14ac:dyDescent="0.2">
      <c r="U169" s="616"/>
      <c r="W169" s="620" t="e">
        <f t="shared" si="15"/>
        <v>#DIV/0!</v>
      </c>
    </row>
    <row r="170" spans="21:23" x14ac:dyDescent="0.2">
      <c r="U170" s="616"/>
      <c r="W170" s="620" t="e">
        <f t="shared" si="15"/>
        <v>#DIV/0!</v>
      </c>
    </row>
    <row r="171" spans="21:23" x14ac:dyDescent="0.2">
      <c r="U171" s="616"/>
      <c r="W171" s="620" t="e">
        <f t="shared" si="15"/>
        <v>#DIV/0!</v>
      </c>
    </row>
    <row r="172" spans="21:23" x14ac:dyDescent="0.2">
      <c r="U172" s="616"/>
      <c r="W172" s="620" t="e">
        <f t="shared" si="15"/>
        <v>#DIV/0!</v>
      </c>
    </row>
    <row r="173" spans="21:23" x14ac:dyDescent="0.2">
      <c r="U173" s="616"/>
      <c r="W173" s="620" t="e">
        <f t="shared" si="15"/>
        <v>#DIV/0!</v>
      </c>
    </row>
    <row r="174" spans="21:23" x14ac:dyDescent="0.2">
      <c r="U174" s="616"/>
      <c r="W174" s="620" t="e">
        <f t="shared" si="15"/>
        <v>#DIV/0!</v>
      </c>
    </row>
    <row r="175" spans="21:23" x14ac:dyDescent="0.2">
      <c r="U175" s="616"/>
      <c r="W175" s="620" t="e">
        <f t="shared" si="15"/>
        <v>#DIV/0!</v>
      </c>
    </row>
    <row r="176" spans="21:23" x14ac:dyDescent="0.2">
      <c r="U176" s="616"/>
      <c r="W176" s="620" t="e">
        <f t="shared" si="15"/>
        <v>#DIV/0!</v>
      </c>
    </row>
    <row r="177" spans="21:23" x14ac:dyDescent="0.2">
      <c r="U177" s="616"/>
      <c r="W177" s="620" t="e">
        <f t="shared" si="15"/>
        <v>#DIV/0!</v>
      </c>
    </row>
    <row r="178" spans="21:23" x14ac:dyDescent="0.2">
      <c r="U178" s="616"/>
      <c r="W178" s="620" t="e">
        <f t="shared" si="15"/>
        <v>#DIV/0!</v>
      </c>
    </row>
    <row r="179" spans="21:23" x14ac:dyDescent="0.2">
      <c r="U179" s="616"/>
      <c r="W179" s="620" t="e">
        <f t="shared" si="15"/>
        <v>#DIV/0!</v>
      </c>
    </row>
    <row r="180" spans="21:23" x14ac:dyDescent="0.2">
      <c r="U180" s="616"/>
      <c r="W180" s="620" t="e">
        <f t="shared" si="15"/>
        <v>#DIV/0!</v>
      </c>
    </row>
    <row r="181" spans="21:23" x14ac:dyDescent="0.2">
      <c r="U181" s="616"/>
      <c r="W181" s="620" t="e">
        <f t="shared" si="15"/>
        <v>#DIV/0!</v>
      </c>
    </row>
    <row r="182" spans="21:23" x14ac:dyDescent="0.2">
      <c r="U182" s="616"/>
      <c r="W182" s="620" t="e">
        <f t="shared" si="15"/>
        <v>#DIV/0!</v>
      </c>
    </row>
    <row r="183" spans="21:23" x14ac:dyDescent="0.2">
      <c r="U183" s="616"/>
      <c r="W183" s="620" t="e">
        <f t="shared" si="15"/>
        <v>#DIV/0!</v>
      </c>
    </row>
    <row r="184" spans="21:23" x14ac:dyDescent="0.2">
      <c r="U184" s="616"/>
      <c r="W184" s="620" t="e">
        <f t="shared" si="15"/>
        <v>#DIV/0!</v>
      </c>
    </row>
    <row r="185" spans="21:23" x14ac:dyDescent="0.2">
      <c r="U185" s="616"/>
      <c r="W185" s="620" t="e">
        <f t="shared" si="15"/>
        <v>#DIV/0!</v>
      </c>
    </row>
    <row r="186" spans="21:23" x14ac:dyDescent="0.2">
      <c r="U186" s="616"/>
      <c r="W186" s="620" t="e">
        <f t="shared" si="15"/>
        <v>#DIV/0!</v>
      </c>
    </row>
    <row r="187" spans="21:23" x14ac:dyDescent="0.2">
      <c r="U187" s="616"/>
      <c r="W187" s="620" t="e">
        <f t="shared" si="15"/>
        <v>#DIV/0!</v>
      </c>
    </row>
    <row r="188" spans="21:23" x14ac:dyDescent="0.2">
      <c r="U188" s="616"/>
      <c r="W188" s="620" t="e">
        <f t="shared" si="15"/>
        <v>#DIV/0!</v>
      </c>
    </row>
    <row r="189" spans="21:23" x14ac:dyDescent="0.2">
      <c r="U189" s="616"/>
      <c r="W189" s="620" t="e">
        <f t="shared" si="15"/>
        <v>#DIV/0!</v>
      </c>
    </row>
    <row r="190" spans="21:23" x14ac:dyDescent="0.2">
      <c r="U190" s="616"/>
      <c r="W190" s="620" t="e">
        <f t="shared" si="15"/>
        <v>#DIV/0!</v>
      </c>
    </row>
    <row r="191" spans="21:23" x14ac:dyDescent="0.2">
      <c r="U191" s="616"/>
      <c r="W191" s="620" t="e">
        <f t="shared" si="15"/>
        <v>#DIV/0!</v>
      </c>
    </row>
    <row r="192" spans="21:23" x14ac:dyDescent="0.2">
      <c r="U192" s="616"/>
      <c r="W192" s="620" t="e">
        <f t="shared" si="15"/>
        <v>#DIV/0!</v>
      </c>
    </row>
    <row r="193" spans="21:23" x14ac:dyDescent="0.2">
      <c r="U193" s="616"/>
      <c r="W193" s="620" t="e">
        <f t="shared" si="15"/>
        <v>#DIV/0!</v>
      </c>
    </row>
    <row r="194" spans="21:23" x14ac:dyDescent="0.2">
      <c r="U194" s="616"/>
      <c r="W194" s="620" t="e">
        <f t="shared" si="15"/>
        <v>#DIV/0!</v>
      </c>
    </row>
    <row r="195" spans="21:23" x14ac:dyDescent="0.2">
      <c r="U195" s="616"/>
      <c r="W195" s="620" t="e">
        <f t="shared" si="15"/>
        <v>#DIV/0!</v>
      </c>
    </row>
    <row r="196" spans="21:23" x14ac:dyDescent="0.2">
      <c r="U196" s="616"/>
      <c r="W196" s="620" t="e">
        <f t="shared" ref="W196:W259" si="16">AVERAGE($V$4:$V$2517)</f>
        <v>#DIV/0!</v>
      </c>
    </row>
    <row r="197" spans="21:23" x14ac:dyDescent="0.2">
      <c r="U197" s="616"/>
      <c r="W197" s="620" t="e">
        <f t="shared" si="16"/>
        <v>#DIV/0!</v>
      </c>
    </row>
    <row r="198" spans="21:23" x14ac:dyDescent="0.2">
      <c r="U198" s="616"/>
      <c r="W198" s="620" t="e">
        <f t="shared" si="16"/>
        <v>#DIV/0!</v>
      </c>
    </row>
    <row r="199" spans="21:23" x14ac:dyDescent="0.2">
      <c r="U199" s="616"/>
      <c r="W199" s="620" t="e">
        <f t="shared" si="16"/>
        <v>#DIV/0!</v>
      </c>
    </row>
    <row r="200" spans="21:23" x14ac:dyDescent="0.2">
      <c r="U200" s="616"/>
      <c r="W200" s="620" t="e">
        <f t="shared" si="16"/>
        <v>#DIV/0!</v>
      </c>
    </row>
    <row r="201" spans="21:23" x14ac:dyDescent="0.2">
      <c r="U201" s="616"/>
      <c r="W201" s="620" t="e">
        <f t="shared" si="16"/>
        <v>#DIV/0!</v>
      </c>
    </row>
    <row r="202" spans="21:23" x14ac:dyDescent="0.2">
      <c r="U202" s="616"/>
      <c r="W202" s="620" t="e">
        <f t="shared" si="16"/>
        <v>#DIV/0!</v>
      </c>
    </row>
    <row r="203" spans="21:23" x14ac:dyDescent="0.2">
      <c r="U203" s="616"/>
      <c r="W203" s="620" t="e">
        <f t="shared" si="16"/>
        <v>#DIV/0!</v>
      </c>
    </row>
    <row r="204" spans="21:23" x14ac:dyDescent="0.2">
      <c r="U204" s="616"/>
      <c r="W204" s="620" t="e">
        <f t="shared" si="16"/>
        <v>#DIV/0!</v>
      </c>
    </row>
    <row r="205" spans="21:23" x14ac:dyDescent="0.2">
      <c r="U205" s="616"/>
      <c r="W205" s="620" t="e">
        <f t="shared" si="16"/>
        <v>#DIV/0!</v>
      </c>
    </row>
    <row r="206" spans="21:23" x14ac:dyDescent="0.2">
      <c r="U206" s="616"/>
      <c r="W206" s="620" t="e">
        <f t="shared" si="16"/>
        <v>#DIV/0!</v>
      </c>
    </row>
    <row r="207" spans="21:23" x14ac:dyDescent="0.2">
      <c r="U207" s="616"/>
      <c r="W207" s="620" t="e">
        <f t="shared" si="16"/>
        <v>#DIV/0!</v>
      </c>
    </row>
    <row r="208" spans="21:23" x14ac:dyDescent="0.2">
      <c r="U208" s="616"/>
      <c r="W208" s="620" t="e">
        <f t="shared" si="16"/>
        <v>#DIV/0!</v>
      </c>
    </row>
    <row r="209" spans="21:23" x14ac:dyDescent="0.2">
      <c r="U209" s="616"/>
      <c r="W209" s="620" t="e">
        <f t="shared" si="16"/>
        <v>#DIV/0!</v>
      </c>
    </row>
    <row r="210" spans="21:23" x14ac:dyDescent="0.2">
      <c r="U210" s="616"/>
      <c r="W210" s="620" t="e">
        <f t="shared" si="16"/>
        <v>#DIV/0!</v>
      </c>
    </row>
    <row r="211" spans="21:23" x14ac:dyDescent="0.2">
      <c r="U211" s="616"/>
      <c r="W211" s="620" t="e">
        <f t="shared" si="16"/>
        <v>#DIV/0!</v>
      </c>
    </row>
    <row r="212" spans="21:23" x14ac:dyDescent="0.2">
      <c r="U212" s="616"/>
      <c r="W212" s="620" t="e">
        <f t="shared" si="16"/>
        <v>#DIV/0!</v>
      </c>
    </row>
    <row r="213" spans="21:23" x14ac:dyDescent="0.2">
      <c r="U213" s="616"/>
      <c r="W213" s="620" t="e">
        <f t="shared" si="16"/>
        <v>#DIV/0!</v>
      </c>
    </row>
    <row r="214" spans="21:23" x14ac:dyDescent="0.2">
      <c r="U214" s="616"/>
      <c r="W214" s="620" t="e">
        <f t="shared" si="16"/>
        <v>#DIV/0!</v>
      </c>
    </row>
    <row r="215" spans="21:23" x14ac:dyDescent="0.2">
      <c r="U215" s="616"/>
      <c r="W215" s="620" t="e">
        <f t="shared" si="16"/>
        <v>#DIV/0!</v>
      </c>
    </row>
    <row r="216" spans="21:23" x14ac:dyDescent="0.2">
      <c r="U216" s="616"/>
      <c r="W216" s="620" t="e">
        <f t="shared" si="16"/>
        <v>#DIV/0!</v>
      </c>
    </row>
    <row r="217" spans="21:23" x14ac:dyDescent="0.2">
      <c r="U217" s="616"/>
      <c r="W217" s="620" t="e">
        <f t="shared" si="16"/>
        <v>#DIV/0!</v>
      </c>
    </row>
    <row r="218" spans="21:23" x14ac:dyDescent="0.2">
      <c r="U218" s="616"/>
      <c r="W218" s="620" t="e">
        <f t="shared" si="16"/>
        <v>#DIV/0!</v>
      </c>
    </row>
    <row r="219" spans="21:23" x14ac:dyDescent="0.2">
      <c r="U219" s="616"/>
      <c r="W219" s="620" t="e">
        <f t="shared" si="16"/>
        <v>#DIV/0!</v>
      </c>
    </row>
    <row r="220" spans="21:23" x14ac:dyDescent="0.2">
      <c r="U220" s="616"/>
      <c r="W220" s="620" t="e">
        <f t="shared" si="16"/>
        <v>#DIV/0!</v>
      </c>
    </row>
    <row r="221" spans="21:23" x14ac:dyDescent="0.2">
      <c r="U221" s="616"/>
      <c r="W221" s="620" t="e">
        <f t="shared" si="16"/>
        <v>#DIV/0!</v>
      </c>
    </row>
    <row r="222" spans="21:23" x14ac:dyDescent="0.2">
      <c r="U222" s="616"/>
      <c r="W222" s="620" t="e">
        <f t="shared" si="16"/>
        <v>#DIV/0!</v>
      </c>
    </row>
    <row r="223" spans="21:23" x14ac:dyDescent="0.2">
      <c r="U223" s="616"/>
      <c r="W223" s="620" t="e">
        <f t="shared" si="16"/>
        <v>#DIV/0!</v>
      </c>
    </row>
    <row r="224" spans="21:23" x14ac:dyDescent="0.2">
      <c r="U224" s="616"/>
      <c r="W224" s="620" t="e">
        <f t="shared" si="16"/>
        <v>#DIV/0!</v>
      </c>
    </row>
    <row r="225" spans="21:23" x14ac:dyDescent="0.2">
      <c r="U225" s="616"/>
      <c r="W225" s="620" t="e">
        <f t="shared" si="16"/>
        <v>#DIV/0!</v>
      </c>
    </row>
    <row r="226" spans="21:23" x14ac:dyDescent="0.2">
      <c r="U226" s="616"/>
      <c r="W226" s="620" t="e">
        <f t="shared" si="16"/>
        <v>#DIV/0!</v>
      </c>
    </row>
    <row r="227" spans="21:23" x14ac:dyDescent="0.2">
      <c r="U227" s="616"/>
      <c r="W227" s="620" t="e">
        <f t="shared" si="16"/>
        <v>#DIV/0!</v>
      </c>
    </row>
    <row r="228" spans="21:23" x14ac:dyDescent="0.2">
      <c r="U228" s="616"/>
      <c r="W228" s="620" t="e">
        <f t="shared" si="16"/>
        <v>#DIV/0!</v>
      </c>
    </row>
    <row r="229" spans="21:23" x14ac:dyDescent="0.2">
      <c r="U229" s="616"/>
      <c r="W229" s="620" t="e">
        <f t="shared" si="16"/>
        <v>#DIV/0!</v>
      </c>
    </row>
    <row r="230" spans="21:23" x14ac:dyDescent="0.2">
      <c r="U230" s="616"/>
      <c r="W230" s="620" t="e">
        <f t="shared" si="16"/>
        <v>#DIV/0!</v>
      </c>
    </row>
    <row r="231" spans="21:23" x14ac:dyDescent="0.2">
      <c r="U231" s="616"/>
      <c r="W231" s="620" t="e">
        <f t="shared" si="16"/>
        <v>#DIV/0!</v>
      </c>
    </row>
    <row r="232" spans="21:23" x14ac:dyDescent="0.2">
      <c r="U232" s="616"/>
      <c r="W232" s="620" t="e">
        <f t="shared" si="16"/>
        <v>#DIV/0!</v>
      </c>
    </row>
    <row r="233" spans="21:23" x14ac:dyDescent="0.2">
      <c r="U233" s="616"/>
      <c r="W233" s="620" t="e">
        <f t="shared" si="16"/>
        <v>#DIV/0!</v>
      </c>
    </row>
    <row r="234" spans="21:23" x14ac:dyDescent="0.2">
      <c r="U234" s="616"/>
      <c r="W234" s="620" t="e">
        <f t="shared" si="16"/>
        <v>#DIV/0!</v>
      </c>
    </row>
    <row r="235" spans="21:23" x14ac:dyDescent="0.2">
      <c r="U235" s="616"/>
      <c r="W235" s="620" t="e">
        <f t="shared" si="16"/>
        <v>#DIV/0!</v>
      </c>
    </row>
    <row r="236" spans="21:23" x14ac:dyDescent="0.2">
      <c r="U236" s="616"/>
      <c r="W236" s="620" t="e">
        <f t="shared" si="16"/>
        <v>#DIV/0!</v>
      </c>
    </row>
    <row r="237" spans="21:23" x14ac:dyDescent="0.2">
      <c r="U237" s="616"/>
      <c r="W237" s="620" t="e">
        <f t="shared" si="16"/>
        <v>#DIV/0!</v>
      </c>
    </row>
    <row r="238" spans="21:23" x14ac:dyDescent="0.2">
      <c r="U238" s="616"/>
      <c r="W238" s="620" t="e">
        <f t="shared" si="16"/>
        <v>#DIV/0!</v>
      </c>
    </row>
    <row r="239" spans="21:23" x14ac:dyDescent="0.2">
      <c r="U239" s="616"/>
      <c r="W239" s="620" t="e">
        <f t="shared" si="16"/>
        <v>#DIV/0!</v>
      </c>
    </row>
    <row r="240" spans="21:23" x14ac:dyDescent="0.2">
      <c r="U240" s="616"/>
      <c r="W240" s="620" t="e">
        <f t="shared" si="16"/>
        <v>#DIV/0!</v>
      </c>
    </row>
    <row r="241" spans="21:23" x14ac:dyDescent="0.2">
      <c r="U241" s="616"/>
      <c r="W241" s="620" t="e">
        <f t="shared" si="16"/>
        <v>#DIV/0!</v>
      </c>
    </row>
    <row r="242" spans="21:23" x14ac:dyDescent="0.2">
      <c r="U242" s="616"/>
      <c r="W242" s="620" t="e">
        <f t="shared" si="16"/>
        <v>#DIV/0!</v>
      </c>
    </row>
    <row r="243" spans="21:23" x14ac:dyDescent="0.2">
      <c r="U243" s="616"/>
      <c r="W243" s="620" t="e">
        <f t="shared" si="16"/>
        <v>#DIV/0!</v>
      </c>
    </row>
    <row r="244" spans="21:23" x14ac:dyDescent="0.2">
      <c r="U244" s="616"/>
      <c r="W244" s="620" t="e">
        <f t="shared" si="16"/>
        <v>#DIV/0!</v>
      </c>
    </row>
    <row r="245" spans="21:23" x14ac:dyDescent="0.2">
      <c r="U245" s="616"/>
      <c r="W245" s="620" t="e">
        <f t="shared" si="16"/>
        <v>#DIV/0!</v>
      </c>
    </row>
    <row r="246" spans="21:23" x14ac:dyDescent="0.2">
      <c r="U246" s="616"/>
      <c r="W246" s="620" t="e">
        <f t="shared" si="16"/>
        <v>#DIV/0!</v>
      </c>
    </row>
    <row r="247" spans="21:23" x14ac:dyDescent="0.2">
      <c r="U247" s="616"/>
      <c r="W247" s="620" t="e">
        <f t="shared" si="16"/>
        <v>#DIV/0!</v>
      </c>
    </row>
    <row r="248" spans="21:23" x14ac:dyDescent="0.2">
      <c r="U248" s="616"/>
      <c r="W248" s="620" t="e">
        <f t="shared" si="16"/>
        <v>#DIV/0!</v>
      </c>
    </row>
    <row r="249" spans="21:23" x14ac:dyDescent="0.2">
      <c r="U249" s="616"/>
      <c r="W249" s="620" t="e">
        <f t="shared" si="16"/>
        <v>#DIV/0!</v>
      </c>
    </row>
    <row r="250" spans="21:23" x14ac:dyDescent="0.2">
      <c r="U250" s="616"/>
      <c r="W250" s="620" t="e">
        <f t="shared" si="16"/>
        <v>#DIV/0!</v>
      </c>
    </row>
    <row r="251" spans="21:23" x14ac:dyDescent="0.2">
      <c r="U251" s="616"/>
      <c r="W251" s="620" t="e">
        <f t="shared" si="16"/>
        <v>#DIV/0!</v>
      </c>
    </row>
    <row r="252" spans="21:23" x14ac:dyDescent="0.2">
      <c r="U252" s="616"/>
      <c r="W252" s="620" t="e">
        <f t="shared" si="16"/>
        <v>#DIV/0!</v>
      </c>
    </row>
    <row r="253" spans="21:23" x14ac:dyDescent="0.2">
      <c r="U253" s="616"/>
      <c r="W253" s="620" t="e">
        <f t="shared" si="16"/>
        <v>#DIV/0!</v>
      </c>
    </row>
    <row r="254" spans="21:23" x14ac:dyDescent="0.2">
      <c r="U254" s="616"/>
      <c r="W254" s="620" t="e">
        <f t="shared" si="16"/>
        <v>#DIV/0!</v>
      </c>
    </row>
    <row r="255" spans="21:23" x14ac:dyDescent="0.2">
      <c r="U255" s="616"/>
      <c r="W255" s="620" t="e">
        <f t="shared" si="16"/>
        <v>#DIV/0!</v>
      </c>
    </row>
    <row r="256" spans="21:23" x14ac:dyDescent="0.2">
      <c r="U256" s="616"/>
      <c r="W256" s="620" t="e">
        <f t="shared" si="16"/>
        <v>#DIV/0!</v>
      </c>
    </row>
    <row r="257" spans="21:23" x14ac:dyDescent="0.2">
      <c r="U257" s="616"/>
      <c r="W257" s="620" t="e">
        <f t="shared" si="16"/>
        <v>#DIV/0!</v>
      </c>
    </row>
    <row r="258" spans="21:23" x14ac:dyDescent="0.2">
      <c r="U258" s="616"/>
      <c r="W258" s="620" t="e">
        <f t="shared" si="16"/>
        <v>#DIV/0!</v>
      </c>
    </row>
    <row r="259" spans="21:23" x14ac:dyDescent="0.2">
      <c r="U259" s="616"/>
      <c r="W259" s="620" t="e">
        <f t="shared" si="16"/>
        <v>#DIV/0!</v>
      </c>
    </row>
    <row r="260" spans="21:23" x14ac:dyDescent="0.2">
      <c r="U260" s="616"/>
      <c r="W260" s="620" t="e">
        <f t="shared" ref="W260:W323" si="17">AVERAGE($V$4:$V$2517)</f>
        <v>#DIV/0!</v>
      </c>
    </row>
    <row r="261" spans="21:23" x14ac:dyDescent="0.2">
      <c r="U261" s="616"/>
      <c r="W261" s="620" t="e">
        <f t="shared" si="17"/>
        <v>#DIV/0!</v>
      </c>
    </row>
    <row r="262" spans="21:23" x14ac:dyDescent="0.2">
      <c r="U262" s="616"/>
      <c r="W262" s="620" t="e">
        <f t="shared" si="17"/>
        <v>#DIV/0!</v>
      </c>
    </row>
    <row r="263" spans="21:23" x14ac:dyDescent="0.2">
      <c r="U263" s="616"/>
      <c r="W263" s="620" t="e">
        <f t="shared" si="17"/>
        <v>#DIV/0!</v>
      </c>
    </row>
    <row r="264" spans="21:23" x14ac:dyDescent="0.2">
      <c r="U264" s="616"/>
      <c r="W264" s="620" t="e">
        <f t="shared" si="17"/>
        <v>#DIV/0!</v>
      </c>
    </row>
    <row r="265" spans="21:23" x14ac:dyDescent="0.2">
      <c r="U265" s="616"/>
      <c r="W265" s="620" t="e">
        <f t="shared" si="17"/>
        <v>#DIV/0!</v>
      </c>
    </row>
    <row r="266" spans="21:23" x14ac:dyDescent="0.2">
      <c r="U266" s="616"/>
      <c r="W266" s="620" t="e">
        <f t="shared" si="17"/>
        <v>#DIV/0!</v>
      </c>
    </row>
    <row r="267" spans="21:23" x14ac:dyDescent="0.2">
      <c r="U267" s="616"/>
      <c r="W267" s="620" t="e">
        <f t="shared" si="17"/>
        <v>#DIV/0!</v>
      </c>
    </row>
    <row r="268" spans="21:23" x14ac:dyDescent="0.2">
      <c r="U268" s="616"/>
      <c r="W268" s="620" t="e">
        <f t="shared" si="17"/>
        <v>#DIV/0!</v>
      </c>
    </row>
    <row r="269" spans="21:23" x14ac:dyDescent="0.2">
      <c r="U269" s="616"/>
      <c r="W269" s="620" t="e">
        <f t="shared" si="17"/>
        <v>#DIV/0!</v>
      </c>
    </row>
    <row r="270" spans="21:23" x14ac:dyDescent="0.2">
      <c r="U270" s="616"/>
      <c r="W270" s="620" t="e">
        <f t="shared" si="17"/>
        <v>#DIV/0!</v>
      </c>
    </row>
    <row r="271" spans="21:23" x14ac:dyDescent="0.2">
      <c r="U271" s="616"/>
      <c r="W271" s="620" t="e">
        <f t="shared" si="17"/>
        <v>#DIV/0!</v>
      </c>
    </row>
    <row r="272" spans="21:23" x14ac:dyDescent="0.2">
      <c r="U272" s="616"/>
      <c r="W272" s="620" t="e">
        <f t="shared" si="17"/>
        <v>#DIV/0!</v>
      </c>
    </row>
    <row r="273" spans="21:23" x14ac:dyDescent="0.2">
      <c r="U273" s="616"/>
      <c r="W273" s="620" t="e">
        <f t="shared" si="17"/>
        <v>#DIV/0!</v>
      </c>
    </row>
    <row r="274" spans="21:23" x14ac:dyDescent="0.2">
      <c r="U274" s="616"/>
      <c r="W274" s="620" t="e">
        <f t="shared" si="17"/>
        <v>#DIV/0!</v>
      </c>
    </row>
    <row r="275" spans="21:23" x14ac:dyDescent="0.2">
      <c r="U275" s="616"/>
      <c r="W275" s="620" t="e">
        <f t="shared" si="17"/>
        <v>#DIV/0!</v>
      </c>
    </row>
    <row r="276" spans="21:23" x14ac:dyDescent="0.2">
      <c r="U276" s="616"/>
      <c r="W276" s="620" t="e">
        <f t="shared" si="17"/>
        <v>#DIV/0!</v>
      </c>
    </row>
    <row r="277" spans="21:23" x14ac:dyDescent="0.2">
      <c r="U277" s="616"/>
      <c r="W277" s="620" t="e">
        <f t="shared" si="17"/>
        <v>#DIV/0!</v>
      </c>
    </row>
    <row r="278" spans="21:23" x14ac:dyDescent="0.2">
      <c r="U278" s="616"/>
      <c r="W278" s="620" t="e">
        <f t="shared" si="17"/>
        <v>#DIV/0!</v>
      </c>
    </row>
    <row r="279" spans="21:23" x14ac:dyDescent="0.2">
      <c r="U279" s="616"/>
      <c r="W279" s="620" t="e">
        <f t="shared" si="17"/>
        <v>#DIV/0!</v>
      </c>
    </row>
    <row r="280" spans="21:23" x14ac:dyDescent="0.2">
      <c r="U280" s="616"/>
      <c r="W280" s="620" t="e">
        <f t="shared" si="17"/>
        <v>#DIV/0!</v>
      </c>
    </row>
    <row r="281" spans="21:23" x14ac:dyDescent="0.2">
      <c r="U281" s="616"/>
      <c r="W281" s="620" t="e">
        <f t="shared" si="17"/>
        <v>#DIV/0!</v>
      </c>
    </row>
    <row r="282" spans="21:23" x14ac:dyDescent="0.2">
      <c r="U282" s="616"/>
      <c r="W282" s="620" t="e">
        <f t="shared" si="17"/>
        <v>#DIV/0!</v>
      </c>
    </row>
    <row r="283" spans="21:23" x14ac:dyDescent="0.2">
      <c r="U283" s="616"/>
      <c r="W283" s="620" t="e">
        <f t="shared" si="17"/>
        <v>#DIV/0!</v>
      </c>
    </row>
    <row r="284" spans="21:23" x14ac:dyDescent="0.2">
      <c r="U284" s="616"/>
      <c r="W284" s="620" t="e">
        <f t="shared" si="17"/>
        <v>#DIV/0!</v>
      </c>
    </row>
    <row r="285" spans="21:23" x14ac:dyDescent="0.2">
      <c r="U285" s="616"/>
      <c r="W285" s="620" t="e">
        <f t="shared" si="17"/>
        <v>#DIV/0!</v>
      </c>
    </row>
    <row r="286" spans="21:23" x14ac:dyDescent="0.2">
      <c r="U286" s="616"/>
      <c r="W286" s="620" t="e">
        <f t="shared" si="17"/>
        <v>#DIV/0!</v>
      </c>
    </row>
    <row r="287" spans="21:23" x14ac:dyDescent="0.2">
      <c r="U287" s="616"/>
      <c r="W287" s="620" t="e">
        <f t="shared" si="17"/>
        <v>#DIV/0!</v>
      </c>
    </row>
    <row r="288" spans="21:23" x14ac:dyDescent="0.2">
      <c r="U288" s="616"/>
      <c r="W288" s="620" t="e">
        <f t="shared" si="17"/>
        <v>#DIV/0!</v>
      </c>
    </row>
    <row r="289" spans="21:23" x14ac:dyDescent="0.2">
      <c r="U289" s="616"/>
      <c r="W289" s="620" t="e">
        <f t="shared" si="17"/>
        <v>#DIV/0!</v>
      </c>
    </row>
    <row r="290" spans="21:23" x14ac:dyDescent="0.2">
      <c r="U290" s="616"/>
      <c r="W290" s="620" t="e">
        <f t="shared" si="17"/>
        <v>#DIV/0!</v>
      </c>
    </row>
    <row r="291" spans="21:23" x14ac:dyDescent="0.2">
      <c r="U291" s="616"/>
      <c r="W291" s="620" t="e">
        <f t="shared" si="17"/>
        <v>#DIV/0!</v>
      </c>
    </row>
    <row r="292" spans="21:23" x14ac:dyDescent="0.2">
      <c r="U292" s="616"/>
      <c r="W292" s="620" t="e">
        <f t="shared" si="17"/>
        <v>#DIV/0!</v>
      </c>
    </row>
    <row r="293" spans="21:23" x14ac:dyDescent="0.2">
      <c r="U293" s="616"/>
      <c r="W293" s="620" t="e">
        <f t="shared" si="17"/>
        <v>#DIV/0!</v>
      </c>
    </row>
    <row r="294" spans="21:23" x14ac:dyDescent="0.2">
      <c r="U294" s="616"/>
      <c r="W294" s="620" t="e">
        <f t="shared" si="17"/>
        <v>#DIV/0!</v>
      </c>
    </row>
    <row r="295" spans="21:23" x14ac:dyDescent="0.2">
      <c r="U295" s="616"/>
      <c r="W295" s="620" t="e">
        <f t="shared" si="17"/>
        <v>#DIV/0!</v>
      </c>
    </row>
    <row r="296" spans="21:23" x14ac:dyDescent="0.2">
      <c r="U296" s="616"/>
      <c r="W296" s="620" t="e">
        <f t="shared" si="17"/>
        <v>#DIV/0!</v>
      </c>
    </row>
    <row r="297" spans="21:23" x14ac:dyDescent="0.2">
      <c r="U297" s="616"/>
      <c r="W297" s="620" t="e">
        <f t="shared" si="17"/>
        <v>#DIV/0!</v>
      </c>
    </row>
    <row r="298" spans="21:23" x14ac:dyDescent="0.2">
      <c r="U298" s="616"/>
      <c r="W298" s="620" t="e">
        <f t="shared" si="17"/>
        <v>#DIV/0!</v>
      </c>
    </row>
    <row r="299" spans="21:23" x14ac:dyDescent="0.2">
      <c r="U299" s="616"/>
      <c r="W299" s="620" t="e">
        <f t="shared" si="17"/>
        <v>#DIV/0!</v>
      </c>
    </row>
    <row r="300" spans="21:23" x14ac:dyDescent="0.2">
      <c r="U300" s="616"/>
      <c r="W300" s="620" t="e">
        <f t="shared" si="17"/>
        <v>#DIV/0!</v>
      </c>
    </row>
    <row r="301" spans="21:23" x14ac:dyDescent="0.2">
      <c r="U301" s="616"/>
      <c r="W301" s="620" t="e">
        <f t="shared" si="17"/>
        <v>#DIV/0!</v>
      </c>
    </row>
    <row r="302" spans="21:23" x14ac:dyDescent="0.2">
      <c r="U302" s="616"/>
      <c r="W302" s="620" t="e">
        <f t="shared" si="17"/>
        <v>#DIV/0!</v>
      </c>
    </row>
    <row r="303" spans="21:23" x14ac:dyDescent="0.2">
      <c r="U303" s="616"/>
      <c r="W303" s="620" t="e">
        <f t="shared" si="17"/>
        <v>#DIV/0!</v>
      </c>
    </row>
    <row r="304" spans="21:23" x14ac:dyDescent="0.2">
      <c r="U304" s="616"/>
      <c r="W304" s="620" t="e">
        <f t="shared" si="17"/>
        <v>#DIV/0!</v>
      </c>
    </row>
    <row r="305" spans="21:23" x14ac:dyDescent="0.2">
      <c r="U305" s="616"/>
      <c r="W305" s="620" t="e">
        <f t="shared" si="17"/>
        <v>#DIV/0!</v>
      </c>
    </row>
    <row r="306" spans="21:23" x14ac:dyDescent="0.2">
      <c r="U306" s="616"/>
      <c r="W306" s="620" t="e">
        <f t="shared" si="17"/>
        <v>#DIV/0!</v>
      </c>
    </row>
    <row r="307" spans="21:23" x14ac:dyDescent="0.2">
      <c r="U307" s="616"/>
      <c r="W307" s="620" t="e">
        <f t="shared" si="17"/>
        <v>#DIV/0!</v>
      </c>
    </row>
    <row r="308" spans="21:23" x14ac:dyDescent="0.2">
      <c r="U308" s="616"/>
      <c r="W308" s="620" t="e">
        <f t="shared" si="17"/>
        <v>#DIV/0!</v>
      </c>
    </row>
    <row r="309" spans="21:23" x14ac:dyDescent="0.2">
      <c r="U309" s="616"/>
      <c r="W309" s="620" t="e">
        <f t="shared" si="17"/>
        <v>#DIV/0!</v>
      </c>
    </row>
    <row r="310" spans="21:23" x14ac:dyDescent="0.2">
      <c r="U310" s="616"/>
      <c r="W310" s="620" t="e">
        <f t="shared" si="17"/>
        <v>#DIV/0!</v>
      </c>
    </row>
    <row r="311" spans="21:23" x14ac:dyDescent="0.2">
      <c r="U311" s="616"/>
      <c r="W311" s="620" t="e">
        <f t="shared" si="17"/>
        <v>#DIV/0!</v>
      </c>
    </row>
    <row r="312" spans="21:23" x14ac:dyDescent="0.2">
      <c r="U312" s="616"/>
      <c r="W312" s="620" t="e">
        <f t="shared" si="17"/>
        <v>#DIV/0!</v>
      </c>
    </row>
    <row r="313" spans="21:23" x14ac:dyDescent="0.2">
      <c r="U313" s="616"/>
      <c r="W313" s="620" t="e">
        <f t="shared" si="17"/>
        <v>#DIV/0!</v>
      </c>
    </row>
    <row r="314" spans="21:23" x14ac:dyDescent="0.2">
      <c r="U314" s="616"/>
      <c r="W314" s="620" t="e">
        <f t="shared" si="17"/>
        <v>#DIV/0!</v>
      </c>
    </row>
    <row r="315" spans="21:23" x14ac:dyDescent="0.2">
      <c r="U315" s="616"/>
      <c r="W315" s="620" t="e">
        <f t="shared" si="17"/>
        <v>#DIV/0!</v>
      </c>
    </row>
    <row r="316" spans="21:23" x14ac:dyDescent="0.2">
      <c r="U316" s="616"/>
      <c r="W316" s="620" t="e">
        <f t="shared" si="17"/>
        <v>#DIV/0!</v>
      </c>
    </row>
    <row r="317" spans="21:23" x14ac:dyDescent="0.2">
      <c r="U317" s="616"/>
      <c r="W317" s="620" t="e">
        <f t="shared" si="17"/>
        <v>#DIV/0!</v>
      </c>
    </row>
    <row r="318" spans="21:23" x14ac:dyDescent="0.2">
      <c r="U318" s="616"/>
      <c r="W318" s="620" t="e">
        <f t="shared" si="17"/>
        <v>#DIV/0!</v>
      </c>
    </row>
    <row r="319" spans="21:23" x14ac:dyDescent="0.2">
      <c r="U319" s="616"/>
      <c r="W319" s="620" t="e">
        <f t="shared" si="17"/>
        <v>#DIV/0!</v>
      </c>
    </row>
    <row r="320" spans="21:23" x14ac:dyDescent="0.2">
      <c r="U320" s="616"/>
      <c r="W320" s="620" t="e">
        <f t="shared" si="17"/>
        <v>#DIV/0!</v>
      </c>
    </row>
    <row r="321" spans="21:23" x14ac:dyDescent="0.2">
      <c r="U321" s="616"/>
      <c r="W321" s="620" t="e">
        <f t="shared" si="17"/>
        <v>#DIV/0!</v>
      </c>
    </row>
    <row r="322" spans="21:23" x14ac:dyDescent="0.2">
      <c r="U322" s="616"/>
      <c r="W322" s="620" t="e">
        <f t="shared" si="17"/>
        <v>#DIV/0!</v>
      </c>
    </row>
    <row r="323" spans="21:23" x14ac:dyDescent="0.2">
      <c r="U323" s="616"/>
      <c r="W323" s="620" t="e">
        <f t="shared" si="17"/>
        <v>#DIV/0!</v>
      </c>
    </row>
    <row r="324" spans="21:23" x14ac:dyDescent="0.2">
      <c r="U324" s="616"/>
      <c r="W324" s="620" t="e">
        <f t="shared" ref="W324:W387" si="18">AVERAGE($V$4:$V$2517)</f>
        <v>#DIV/0!</v>
      </c>
    </row>
    <row r="325" spans="21:23" x14ac:dyDescent="0.2">
      <c r="U325" s="616"/>
      <c r="W325" s="620" t="e">
        <f t="shared" si="18"/>
        <v>#DIV/0!</v>
      </c>
    </row>
    <row r="326" spans="21:23" x14ac:dyDescent="0.2">
      <c r="U326" s="616"/>
      <c r="W326" s="620" t="e">
        <f t="shared" si="18"/>
        <v>#DIV/0!</v>
      </c>
    </row>
    <row r="327" spans="21:23" x14ac:dyDescent="0.2">
      <c r="U327" s="616"/>
      <c r="W327" s="620" t="e">
        <f t="shared" si="18"/>
        <v>#DIV/0!</v>
      </c>
    </row>
    <row r="328" spans="21:23" x14ac:dyDescent="0.2">
      <c r="U328" s="616"/>
      <c r="W328" s="620" t="e">
        <f t="shared" si="18"/>
        <v>#DIV/0!</v>
      </c>
    </row>
    <row r="329" spans="21:23" x14ac:dyDescent="0.2">
      <c r="U329" s="616"/>
      <c r="W329" s="620" t="e">
        <f t="shared" si="18"/>
        <v>#DIV/0!</v>
      </c>
    </row>
    <row r="330" spans="21:23" x14ac:dyDescent="0.2">
      <c r="U330" s="616"/>
      <c r="W330" s="620" t="e">
        <f t="shared" si="18"/>
        <v>#DIV/0!</v>
      </c>
    </row>
    <row r="331" spans="21:23" x14ac:dyDescent="0.2">
      <c r="U331" s="616"/>
      <c r="W331" s="620" t="e">
        <f t="shared" si="18"/>
        <v>#DIV/0!</v>
      </c>
    </row>
    <row r="332" spans="21:23" x14ac:dyDescent="0.2">
      <c r="U332" s="616"/>
      <c r="W332" s="620" t="e">
        <f t="shared" si="18"/>
        <v>#DIV/0!</v>
      </c>
    </row>
    <row r="333" spans="21:23" x14ac:dyDescent="0.2">
      <c r="U333" s="616"/>
      <c r="W333" s="620" t="e">
        <f t="shared" si="18"/>
        <v>#DIV/0!</v>
      </c>
    </row>
    <row r="334" spans="21:23" x14ac:dyDescent="0.2">
      <c r="U334" s="616"/>
      <c r="W334" s="620" t="e">
        <f t="shared" si="18"/>
        <v>#DIV/0!</v>
      </c>
    </row>
    <row r="335" spans="21:23" x14ac:dyDescent="0.2">
      <c r="U335" s="616"/>
      <c r="W335" s="620" t="e">
        <f t="shared" si="18"/>
        <v>#DIV/0!</v>
      </c>
    </row>
    <row r="336" spans="21:23" x14ac:dyDescent="0.2">
      <c r="U336" s="616"/>
      <c r="W336" s="620" t="e">
        <f t="shared" si="18"/>
        <v>#DIV/0!</v>
      </c>
    </row>
    <row r="337" spans="21:23" x14ac:dyDescent="0.2">
      <c r="U337" s="616"/>
      <c r="W337" s="620" t="e">
        <f t="shared" si="18"/>
        <v>#DIV/0!</v>
      </c>
    </row>
    <row r="338" spans="21:23" x14ac:dyDescent="0.2">
      <c r="U338" s="616"/>
      <c r="W338" s="620" t="e">
        <f t="shared" si="18"/>
        <v>#DIV/0!</v>
      </c>
    </row>
    <row r="339" spans="21:23" x14ac:dyDescent="0.2">
      <c r="U339" s="616"/>
      <c r="W339" s="620" t="e">
        <f t="shared" si="18"/>
        <v>#DIV/0!</v>
      </c>
    </row>
    <row r="340" spans="21:23" x14ac:dyDescent="0.2">
      <c r="U340" s="616"/>
      <c r="W340" s="620" t="e">
        <f t="shared" si="18"/>
        <v>#DIV/0!</v>
      </c>
    </row>
    <row r="341" spans="21:23" x14ac:dyDescent="0.2">
      <c r="U341" s="616"/>
      <c r="W341" s="620" t="e">
        <f t="shared" si="18"/>
        <v>#DIV/0!</v>
      </c>
    </row>
    <row r="342" spans="21:23" x14ac:dyDescent="0.2">
      <c r="U342" s="616"/>
      <c r="W342" s="620" t="e">
        <f t="shared" si="18"/>
        <v>#DIV/0!</v>
      </c>
    </row>
    <row r="343" spans="21:23" x14ac:dyDescent="0.2">
      <c r="U343" s="616"/>
      <c r="W343" s="620" t="e">
        <f t="shared" si="18"/>
        <v>#DIV/0!</v>
      </c>
    </row>
    <row r="344" spans="21:23" x14ac:dyDescent="0.2">
      <c r="U344" s="616"/>
      <c r="W344" s="620" t="e">
        <f t="shared" si="18"/>
        <v>#DIV/0!</v>
      </c>
    </row>
    <row r="345" spans="21:23" x14ac:dyDescent="0.2">
      <c r="U345" s="616"/>
      <c r="W345" s="620" t="e">
        <f t="shared" si="18"/>
        <v>#DIV/0!</v>
      </c>
    </row>
    <row r="346" spans="21:23" x14ac:dyDescent="0.2">
      <c r="U346" s="616"/>
      <c r="W346" s="620" t="e">
        <f t="shared" si="18"/>
        <v>#DIV/0!</v>
      </c>
    </row>
    <row r="347" spans="21:23" x14ac:dyDescent="0.2">
      <c r="U347" s="616"/>
      <c r="W347" s="620" t="e">
        <f t="shared" si="18"/>
        <v>#DIV/0!</v>
      </c>
    </row>
    <row r="348" spans="21:23" x14ac:dyDescent="0.2">
      <c r="U348" s="616"/>
      <c r="W348" s="620" t="e">
        <f t="shared" si="18"/>
        <v>#DIV/0!</v>
      </c>
    </row>
    <row r="349" spans="21:23" x14ac:dyDescent="0.2">
      <c r="U349" s="616"/>
      <c r="W349" s="620" t="e">
        <f t="shared" si="18"/>
        <v>#DIV/0!</v>
      </c>
    </row>
    <row r="350" spans="21:23" x14ac:dyDescent="0.2">
      <c r="U350" s="616"/>
      <c r="W350" s="620" t="e">
        <f t="shared" si="18"/>
        <v>#DIV/0!</v>
      </c>
    </row>
    <row r="351" spans="21:23" x14ac:dyDescent="0.2">
      <c r="U351" s="616"/>
      <c r="W351" s="620" t="e">
        <f t="shared" si="18"/>
        <v>#DIV/0!</v>
      </c>
    </row>
    <row r="352" spans="21:23" x14ac:dyDescent="0.2">
      <c r="U352" s="616"/>
      <c r="W352" s="620" t="e">
        <f t="shared" si="18"/>
        <v>#DIV/0!</v>
      </c>
    </row>
    <row r="353" spans="21:23" x14ac:dyDescent="0.2">
      <c r="U353" s="616"/>
      <c r="W353" s="620" t="e">
        <f t="shared" si="18"/>
        <v>#DIV/0!</v>
      </c>
    </row>
    <row r="354" spans="21:23" x14ac:dyDescent="0.2">
      <c r="U354" s="616"/>
      <c r="W354" s="620" t="e">
        <f t="shared" si="18"/>
        <v>#DIV/0!</v>
      </c>
    </row>
    <row r="355" spans="21:23" x14ac:dyDescent="0.2">
      <c r="U355" s="616"/>
      <c r="W355" s="620" t="e">
        <f t="shared" si="18"/>
        <v>#DIV/0!</v>
      </c>
    </row>
    <row r="356" spans="21:23" x14ac:dyDescent="0.2">
      <c r="U356" s="616"/>
      <c r="W356" s="620" t="e">
        <f t="shared" si="18"/>
        <v>#DIV/0!</v>
      </c>
    </row>
    <row r="357" spans="21:23" x14ac:dyDescent="0.2">
      <c r="U357" s="616"/>
      <c r="W357" s="620" t="e">
        <f t="shared" si="18"/>
        <v>#DIV/0!</v>
      </c>
    </row>
    <row r="358" spans="21:23" x14ac:dyDescent="0.2">
      <c r="U358" s="616"/>
      <c r="W358" s="620" t="e">
        <f t="shared" si="18"/>
        <v>#DIV/0!</v>
      </c>
    </row>
    <row r="359" spans="21:23" x14ac:dyDescent="0.2">
      <c r="U359" s="616"/>
      <c r="W359" s="620" t="e">
        <f t="shared" si="18"/>
        <v>#DIV/0!</v>
      </c>
    </row>
    <row r="360" spans="21:23" x14ac:dyDescent="0.2">
      <c r="U360" s="616"/>
      <c r="W360" s="620" t="e">
        <f t="shared" si="18"/>
        <v>#DIV/0!</v>
      </c>
    </row>
    <row r="361" spans="21:23" x14ac:dyDescent="0.2">
      <c r="U361" s="616"/>
      <c r="W361" s="620" t="e">
        <f t="shared" si="18"/>
        <v>#DIV/0!</v>
      </c>
    </row>
    <row r="362" spans="21:23" x14ac:dyDescent="0.2">
      <c r="U362" s="616"/>
      <c r="W362" s="620" t="e">
        <f t="shared" si="18"/>
        <v>#DIV/0!</v>
      </c>
    </row>
    <row r="363" spans="21:23" x14ac:dyDescent="0.2">
      <c r="U363" s="616"/>
      <c r="W363" s="620" t="e">
        <f t="shared" si="18"/>
        <v>#DIV/0!</v>
      </c>
    </row>
    <row r="364" spans="21:23" x14ac:dyDescent="0.2">
      <c r="U364" s="616"/>
      <c r="W364" s="620" t="e">
        <f t="shared" si="18"/>
        <v>#DIV/0!</v>
      </c>
    </row>
    <row r="365" spans="21:23" x14ac:dyDescent="0.2">
      <c r="U365" s="616"/>
      <c r="W365" s="620" t="e">
        <f t="shared" si="18"/>
        <v>#DIV/0!</v>
      </c>
    </row>
    <row r="366" spans="21:23" x14ac:dyDescent="0.2">
      <c r="U366" s="616"/>
      <c r="W366" s="620" t="e">
        <f t="shared" si="18"/>
        <v>#DIV/0!</v>
      </c>
    </row>
    <row r="367" spans="21:23" x14ac:dyDescent="0.2">
      <c r="U367" s="616"/>
      <c r="W367" s="620" t="e">
        <f t="shared" si="18"/>
        <v>#DIV/0!</v>
      </c>
    </row>
    <row r="368" spans="21:23" x14ac:dyDescent="0.2">
      <c r="U368" s="616"/>
      <c r="W368" s="620" t="e">
        <f t="shared" si="18"/>
        <v>#DIV/0!</v>
      </c>
    </row>
    <row r="369" spans="21:23" x14ac:dyDescent="0.2">
      <c r="U369" s="616"/>
      <c r="W369" s="620" t="e">
        <f t="shared" si="18"/>
        <v>#DIV/0!</v>
      </c>
    </row>
    <row r="370" spans="21:23" x14ac:dyDescent="0.2">
      <c r="U370" s="616"/>
      <c r="W370" s="620" t="e">
        <f t="shared" si="18"/>
        <v>#DIV/0!</v>
      </c>
    </row>
    <row r="371" spans="21:23" x14ac:dyDescent="0.2">
      <c r="U371" s="616"/>
      <c r="W371" s="620" t="e">
        <f t="shared" si="18"/>
        <v>#DIV/0!</v>
      </c>
    </row>
    <row r="372" spans="21:23" x14ac:dyDescent="0.2">
      <c r="U372" s="616"/>
      <c r="W372" s="620" t="e">
        <f t="shared" si="18"/>
        <v>#DIV/0!</v>
      </c>
    </row>
    <row r="373" spans="21:23" x14ac:dyDescent="0.2">
      <c r="U373" s="616"/>
      <c r="W373" s="620" t="e">
        <f t="shared" si="18"/>
        <v>#DIV/0!</v>
      </c>
    </row>
    <row r="374" spans="21:23" x14ac:dyDescent="0.2">
      <c r="U374" s="616"/>
      <c r="W374" s="620" t="e">
        <f t="shared" si="18"/>
        <v>#DIV/0!</v>
      </c>
    </row>
    <row r="375" spans="21:23" x14ac:dyDescent="0.2">
      <c r="U375" s="616"/>
      <c r="W375" s="620" t="e">
        <f t="shared" si="18"/>
        <v>#DIV/0!</v>
      </c>
    </row>
    <row r="376" spans="21:23" x14ac:dyDescent="0.2">
      <c r="U376" s="616"/>
      <c r="W376" s="620" t="e">
        <f t="shared" si="18"/>
        <v>#DIV/0!</v>
      </c>
    </row>
    <row r="377" spans="21:23" x14ac:dyDescent="0.2">
      <c r="U377" s="616"/>
      <c r="W377" s="620" t="e">
        <f t="shared" si="18"/>
        <v>#DIV/0!</v>
      </c>
    </row>
    <row r="378" spans="21:23" x14ac:dyDescent="0.2">
      <c r="U378" s="616"/>
      <c r="W378" s="620" t="e">
        <f t="shared" si="18"/>
        <v>#DIV/0!</v>
      </c>
    </row>
    <row r="379" spans="21:23" x14ac:dyDescent="0.2">
      <c r="U379" s="616"/>
      <c r="W379" s="620" t="e">
        <f t="shared" si="18"/>
        <v>#DIV/0!</v>
      </c>
    </row>
    <row r="380" spans="21:23" x14ac:dyDescent="0.2">
      <c r="U380" s="616"/>
      <c r="W380" s="620" t="e">
        <f t="shared" si="18"/>
        <v>#DIV/0!</v>
      </c>
    </row>
    <row r="381" spans="21:23" x14ac:dyDescent="0.2">
      <c r="U381" s="616"/>
      <c r="W381" s="620" t="e">
        <f t="shared" si="18"/>
        <v>#DIV/0!</v>
      </c>
    </row>
    <row r="382" spans="21:23" x14ac:dyDescent="0.2">
      <c r="U382" s="616"/>
      <c r="W382" s="620" t="e">
        <f t="shared" si="18"/>
        <v>#DIV/0!</v>
      </c>
    </row>
    <row r="383" spans="21:23" x14ac:dyDescent="0.2">
      <c r="U383" s="616"/>
      <c r="W383" s="620" t="e">
        <f t="shared" si="18"/>
        <v>#DIV/0!</v>
      </c>
    </row>
    <row r="384" spans="21:23" x14ac:dyDescent="0.2">
      <c r="U384" s="616"/>
      <c r="W384" s="620" t="e">
        <f t="shared" si="18"/>
        <v>#DIV/0!</v>
      </c>
    </row>
    <row r="385" spans="21:23" x14ac:dyDescent="0.2">
      <c r="U385" s="616"/>
      <c r="W385" s="620" t="e">
        <f t="shared" si="18"/>
        <v>#DIV/0!</v>
      </c>
    </row>
    <row r="386" spans="21:23" x14ac:dyDescent="0.2">
      <c r="U386" s="616"/>
      <c r="W386" s="620" t="e">
        <f t="shared" si="18"/>
        <v>#DIV/0!</v>
      </c>
    </row>
    <row r="387" spans="21:23" x14ac:dyDescent="0.2">
      <c r="U387" s="616"/>
      <c r="W387" s="620" t="e">
        <f t="shared" si="18"/>
        <v>#DIV/0!</v>
      </c>
    </row>
    <row r="388" spans="21:23" x14ac:dyDescent="0.2">
      <c r="U388" s="616"/>
      <c r="W388" s="620" t="e">
        <f t="shared" ref="W388:W451" si="19">AVERAGE($V$4:$V$2517)</f>
        <v>#DIV/0!</v>
      </c>
    </row>
    <row r="389" spans="21:23" x14ac:dyDescent="0.2">
      <c r="U389" s="616"/>
      <c r="W389" s="620" t="e">
        <f t="shared" si="19"/>
        <v>#DIV/0!</v>
      </c>
    </row>
    <row r="390" spans="21:23" x14ac:dyDescent="0.2">
      <c r="U390" s="616"/>
      <c r="W390" s="620" t="e">
        <f t="shared" si="19"/>
        <v>#DIV/0!</v>
      </c>
    </row>
    <row r="391" spans="21:23" x14ac:dyDescent="0.2">
      <c r="U391" s="616"/>
      <c r="W391" s="620" t="e">
        <f t="shared" si="19"/>
        <v>#DIV/0!</v>
      </c>
    </row>
    <row r="392" spans="21:23" x14ac:dyDescent="0.2">
      <c r="U392" s="616"/>
      <c r="W392" s="620" t="e">
        <f t="shared" si="19"/>
        <v>#DIV/0!</v>
      </c>
    </row>
    <row r="393" spans="21:23" x14ac:dyDescent="0.2">
      <c r="U393" s="616"/>
      <c r="W393" s="620" t="e">
        <f t="shared" si="19"/>
        <v>#DIV/0!</v>
      </c>
    </row>
    <row r="394" spans="21:23" x14ac:dyDescent="0.2">
      <c r="U394" s="616"/>
      <c r="W394" s="620" t="e">
        <f t="shared" si="19"/>
        <v>#DIV/0!</v>
      </c>
    </row>
    <row r="395" spans="21:23" x14ac:dyDescent="0.2">
      <c r="U395" s="616"/>
      <c r="W395" s="620" t="e">
        <f t="shared" si="19"/>
        <v>#DIV/0!</v>
      </c>
    </row>
    <row r="396" spans="21:23" x14ac:dyDescent="0.2">
      <c r="U396" s="616"/>
      <c r="W396" s="620" t="e">
        <f t="shared" si="19"/>
        <v>#DIV/0!</v>
      </c>
    </row>
    <row r="397" spans="21:23" x14ac:dyDescent="0.2">
      <c r="U397" s="616"/>
      <c r="W397" s="620" t="e">
        <f t="shared" si="19"/>
        <v>#DIV/0!</v>
      </c>
    </row>
    <row r="398" spans="21:23" x14ac:dyDescent="0.2">
      <c r="U398" s="616"/>
      <c r="W398" s="620" t="e">
        <f t="shared" si="19"/>
        <v>#DIV/0!</v>
      </c>
    </row>
    <row r="399" spans="21:23" x14ac:dyDescent="0.2">
      <c r="U399" s="616"/>
      <c r="W399" s="620" t="e">
        <f t="shared" si="19"/>
        <v>#DIV/0!</v>
      </c>
    </row>
    <row r="400" spans="21:23" x14ac:dyDescent="0.2">
      <c r="U400" s="616"/>
      <c r="W400" s="620" t="e">
        <f t="shared" si="19"/>
        <v>#DIV/0!</v>
      </c>
    </row>
    <row r="401" spans="21:23" x14ac:dyDescent="0.2">
      <c r="U401" s="616"/>
      <c r="W401" s="620" t="e">
        <f t="shared" si="19"/>
        <v>#DIV/0!</v>
      </c>
    </row>
    <row r="402" spans="21:23" x14ac:dyDescent="0.2">
      <c r="U402" s="616"/>
      <c r="W402" s="620" t="e">
        <f t="shared" si="19"/>
        <v>#DIV/0!</v>
      </c>
    </row>
    <row r="403" spans="21:23" x14ac:dyDescent="0.2">
      <c r="U403" s="616"/>
      <c r="W403" s="620" t="e">
        <f t="shared" si="19"/>
        <v>#DIV/0!</v>
      </c>
    </row>
    <row r="404" spans="21:23" x14ac:dyDescent="0.2">
      <c r="U404" s="616"/>
      <c r="W404" s="620" t="e">
        <f t="shared" si="19"/>
        <v>#DIV/0!</v>
      </c>
    </row>
    <row r="405" spans="21:23" x14ac:dyDescent="0.2">
      <c r="U405" s="616"/>
      <c r="W405" s="620" t="e">
        <f t="shared" si="19"/>
        <v>#DIV/0!</v>
      </c>
    </row>
    <row r="406" spans="21:23" x14ac:dyDescent="0.2">
      <c r="U406" s="616"/>
      <c r="W406" s="620" t="e">
        <f t="shared" si="19"/>
        <v>#DIV/0!</v>
      </c>
    </row>
    <row r="407" spans="21:23" x14ac:dyDescent="0.2">
      <c r="U407" s="616"/>
      <c r="W407" s="620" t="e">
        <f t="shared" si="19"/>
        <v>#DIV/0!</v>
      </c>
    </row>
    <row r="408" spans="21:23" x14ac:dyDescent="0.2">
      <c r="U408" s="616"/>
      <c r="W408" s="620" t="e">
        <f t="shared" si="19"/>
        <v>#DIV/0!</v>
      </c>
    </row>
    <row r="409" spans="21:23" x14ac:dyDescent="0.2">
      <c r="U409" s="616"/>
      <c r="W409" s="620" t="e">
        <f t="shared" si="19"/>
        <v>#DIV/0!</v>
      </c>
    </row>
    <row r="410" spans="21:23" x14ac:dyDescent="0.2">
      <c r="U410" s="616"/>
      <c r="W410" s="620" t="e">
        <f t="shared" si="19"/>
        <v>#DIV/0!</v>
      </c>
    </row>
    <row r="411" spans="21:23" x14ac:dyDescent="0.2">
      <c r="U411" s="616"/>
      <c r="W411" s="620" t="e">
        <f t="shared" si="19"/>
        <v>#DIV/0!</v>
      </c>
    </row>
    <row r="412" spans="21:23" x14ac:dyDescent="0.2">
      <c r="U412" s="616"/>
      <c r="W412" s="620" t="e">
        <f t="shared" si="19"/>
        <v>#DIV/0!</v>
      </c>
    </row>
    <row r="413" spans="21:23" x14ac:dyDescent="0.2">
      <c r="U413" s="616"/>
      <c r="W413" s="620" t="e">
        <f t="shared" si="19"/>
        <v>#DIV/0!</v>
      </c>
    </row>
    <row r="414" spans="21:23" x14ac:dyDescent="0.2">
      <c r="U414" s="616"/>
      <c r="W414" s="620" t="e">
        <f t="shared" si="19"/>
        <v>#DIV/0!</v>
      </c>
    </row>
    <row r="415" spans="21:23" x14ac:dyDescent="0.2">
      <c r="U415" s="616"/>
      <c r="W415" s="620" t="e">
        <f t="shared" si="19"/>
        <v>#DIV/0!</v>
      </c>
    </row>
    <row r="416" spans="21:23" x14ac:dyDescent="0.2">
      <c r="U416" s="616"/>
      <c r="W416" s="620" t="e">
        <f t="shared" si="19"/>
        <v>#DIV/0!</v>
      </c>
    </row>
    <row r="417" spans="21:23" x14ac:dyDescent="0.2">
      <c r="U417" s="616"/>
      <c r="W417" s="620" t="e">
        <f t="shared" si="19"/>
        <v>#DIV/0!</v>
      </c>
    </row>
    <row r="418" spans="21:23" x14ac:dyDescent="0.2">
      <c r="U418" s="616"/>
      <c r="W418" s="620" t="e">
        <f t="shared" si="19"/>
        <v>#DIV/0!</v>
      </c>
    </row>
    <row r="419" spans="21:23" x14ac:dyDescent="0.2">
      <c r="U419" s="616"/>
      <c r="W419" s="620" t="e">
        <f t="shared" si="19"/>
        <v>#DIV/0!</v>
      </c>
    </row>
    <row r="420" spans="21:23" x14ac:dyDescent="0.2">
      <c r="U420" s="616"/>
      <c r="W420" s="620" t="e">
        <f t="shared" si="19"/>
        <v>#DIV/0!</v>
      </c>
    </row>
    <row r="421" spans="21:23" x14ac:dyDescent="0.2">
      <c r="U421" s="616"/>
      <c r="W421" s="620" t="e">
        <f t="shared" si="19"/>
        <v>#DIV/0!</v>
      </c>
    </row>
    <row r="422" spans="21:23" x14ac:dyDescent="0.2">
      <c r="U422" s="616"/>
      <c r="W422" s="620" t="e">
        <f t="shared" si="19"/>
        <v>#DIV/0!</v>
      </c>
    </row>
    <row r="423" spans="21:23" x14ac:dyDescent="0.2">
      <c r="U423" s="616"/>
      <c r="W423" s="620" t="e">
        <f t="shared" si="19"/>
        <v>#DIV/0!</v>
      </c>
    </row>
    <row r="424" spans="21:23" x14ac:dyDescent="0.2">
      <c r="U424" s="616"/>
      <c r="W424" s="620" t="e">
        <f t="shared" si="19"/>
        <v>#DIV/0!</v>
      </c>
    </row>
    <row r="425" spans="21:23" x14ac:dyDescent="0.2">
      <c r="U425" s="616"/>
      <c r="W425" s="620" t="e">
        <f t="shared" si="19"/>
        <v>#DIV/0!</v>
      </c>
    </row>
    <row r="426" spans="21:23" x14ac:dyDescent="0.2">
      <c r="U426" s="616"/>
      <c r="W426" s="620" t="e">
        <f t="shared" si="19"/>
        <v>#DIV/0!</v>
      </c>
    </row>
    <row r="427" spans="21:23" x14ac:dyDescent="0.2">
      <c r="U427" s="616"/>
      <c r="W427" s="620" t="e">
        <f t="shared" si="19"/>
        <v>#DIV/0!</v>
      </c>
    </row>
    <row r="428" spans="21:23" x14ac:dyDescent="0.2">
      <c r="U428" s="616"/>
      <c r="W428" s="620" t="e">
        <f t="shared" si="19"/>
        <v>#DIV/0!</v>
      </c>
    </row>
    <row r="429" spans="21:23" x14ac:dyDescent="0.2">
      <c r="U429" s="616"/>
      <c r="W429" s="620" t="e">
        <f t="shared" si="19"/>
        <v>#DIV/0!</v>
      </c>
    </row>
    <row r="430" spans="21:23" x14ac:dyDescent="0.2">
      <c r="U430" s="616"/>
      <c r="W430" s="620" t="e">
        <f t="shared" si="19"/>
        <v>#DIV/0!</v>
      </c>
    </row>
    <row r="431" spans="21:23" x14ac:dyDescent="0.2">
      <c r="U431" s="616"/>
      <c r="W431" s="620" t="e">
        <f t="shared" si="19"/>
        <v>#DIV/0!</v>
      </c>
    </row>
    <row r="432" spans="21:23" x14ac:dyDescent="0.2">
      <c r="U432" s="616"/>
      <c r="W432" s="620" t="e">
        <f t="shared" si="19"/>
        <v>#DIV/0!</v>
      </c>
    </row>
    <row r="433" spans="21:23" x14ac:dyDescent="0.2">
      <c r="U433" s="616"/>
      <c r="W433" s="620" t="e">
        <f t="shared" si="19"/>
        <v>#DIV/0!</v>
      </c>
    </row>
    <row r="434" spans="21:23" x14ac:dyDescent="0.2">
      <c r="U434" s="616"/>
      <c r="W434" s="620" t="e">
        <f t="shared" si="19"/>
        <v>#DIV/0!</v>
      </c>
    </row>
    <row r="435" spans="21:23" x14ac:dyDescent="0.2">
      <c r="U435" s="616"/>
      <c r="W435" s="620" t="e">
        <f t="shared" si="19"/>
        <v>#DIV/0!</v>
      </c>
    </row>
    <row r="436" spans="21:23" x14ac:dyDescent="0.2">
      <c r="U436" s="616"/>
      <c r="W436" s="620" t="e">
        <f t="shared" si="19"/>
        <v>#DIV/0!</v>
      </c>
    </row>
    <row r="437" spans="21:23" x14ac:dyDescent="0.2">
      <c r="U437" s="616"/>
      <c r="W437" s="620" t="e">
        <f t="shared" si="19"/>
        <v>#DIV/0!</v>
      </c>
    </row>
    <row r="438" spans="21:23" x14ac:dyDescent="0.2">
      <c r="U438" s="616"/>
      <c r="W438" s="620" t="e">
        <f t="shared" si="19"/>
        <v>#DIV/0!</v>
      </c>
    </row>
    <row r="439" spans="21:23" x14ac:dyDescent="0.2">
      <c r="U439" s="616"/>
      <c r="W439" s="620" t="e">
        <f t="shared" si="19"/>
        <v>#DIV/0!</v>
      </c>
    </row>
    <row r="440" spans="21:23" x14ac:dyDescent="0.2">
      <c r="U440" s="616"/>
      <c r="W440" s="620" t="e">
        <f t="shared" si="19"/>
        <v>#DIV/0!</v>
      </c>
    </row>
    <row r="441" spans="21:23" x14ac:dyDescent="0.2">
      <c r="U441" s="616"/>
      <c r="W441" s="620" t="e">
        <f t="shared" si="19"/>
        <v>#DIV/0!</v>
      </c>
    </row>
    <row r="442" spans="21:23" x14ac:dyDescent="0.2">
      <c r="U442" s="616"/>
      <c r="W442" s="620" t="e">
        <f t="shared" si="19"/>
        <v>#DIV/0!</v>
      </c>
    </row>
    <row r="443" spans="21:23" x14ac:dyDescent="0.2">
      <c r="U443" s="616"/>
      <c r="W443" s="620" t="e">
        <f t="shared" si="19"/>
        <v>#DIV/0!</v>
      </c>
    </row>
    <row r="444" spans="21:23" x14ac:dyDescent="0.2">
      <c r="U444" s="616"/>
      <c r="W444" s="620" t="e">
        <f t="shared" si="19"/>
        <v>#DIV/0!</v>
      </c>
    </row>
    <row r="445" spans="21:23" x14ac:dyDescent="0.2">
      <c r="U445" s="616"/>
      <c r="W445" s="620" t="e">
        <f t="shared" si="19"/>
        <v>#DIV/0!</v>
      </c>
    </row>
    <row r="446" spans="21:23" x14ac:dyDescent="0.2">
      <c r="U446" s="616"/>
      <c r="W446" s="620" t="e">
        <f t="shared" si="19"/>
        <v>#DIV/0!</v>
      </c>
    </row>
    <row r="447" spans="21:23" x14ac:dyDescent="0.2">
      <c r="U447" s="616"/>
      <c r="W447" s="620" t="e">
        <f t="shared" si="19"/>
        <v>#DIV/0!</v>
      </c>
    </row>
    <row r="448" spans="21:23" x14ac:dyDescent="0.2">
      <c r="U448" s="616"/>
      <c r="W448" s="620" t="e">
        <f t="shared" si="19"/>
        <v>#DIV/0!</v>
      </c>
    </row>
    <row r="449" spans="21:23" x14ac:dyDescent="0.2">
      <c r="U449" s="616"/>
      <c r="W449" s="620" t="e">
        <f t="shared" si="19"/>
        <v>#DIV/0!</v>
      </c>
    </row>
    <row r="450" spans="21:23" x14ac:dyDescent="0.2">
      <c r="U450" s="616"/>
      <c r="W450" s="620" t="e">
        <f t="shared" si="19"/>
        <v>#DIV/0!</v>
      </c>
    </row>
    <row r="451" spans="21:23" x14ac:dyDescent="0.2">
      <c r="U451" s="616"/>
      <c r="W451" s="620" t="e">
        <f t="shared" si="19"/>
        <v>#DIV/0!</v>
      </c>
    </row>
    <row r="452" spans="21:23" x14ac:dyDescent="0.2">
      <c r="U452" s="616"/>
      <c r="W452" s="620" t="e">
        <f t="shared" ref="W452:W515" si="20">AVERAGE($V$4:$V$2517)</f>
        <v>#DIV/0!</v>
      </c>
    </row>
    <row r="453" spans="21:23" x14ac:dyDescent="0.2">
      <c r="U453" s="616"/>
      <c r="W453" s="620" t="e">
        <f t="shared" si="20"/>
        <v>#DIV/0!</v>
      </c>
    </row>
    <row r="454" spans="21:23" x14ac:dyDescent="0.2">
      <c r="U454" s="616"/>
      <c r="W454" s="620" t="e">
        <f t="shared" si="20"/>
        <v>#DIV/0!</v>
      </c>
    </row>
    <row r="455" spans="21:23" x14ac:dyDescent="0.2">
      <c r="U455" s="616"/>
      <c r="W455" s="620" t="e">
        <f t="shared" si="20"/>
        <v>#DIV/0!</v>
      </c>
    </row>
    <row r="456" spans="21:23" x14ac:dyDescent="0.2">
      <c r="U456" s="616"/>
      <c r="W456" s="620" t="e">
        <f t="shared" si="20"/>
        <v>#DIV/0!</v>
      </c>
    </row>
    <row r="457" spans="21:23" x14ac:dyDescent="0.2">
      <c r="U457" s="616"/>
      <c r="W457" s="620" t="e">
        <f t="shared" si="20"/>
        <v>#DIV/0!</v>
      </c>
    </row>
    <row r="458" spans="21:23" x14ac:dyDescent="0.2">
      <c r="U458" s="616"/>
      <c r="W458" s="620" t="e">
        <f t="shared" si="20"/>
        <v>#DIV/0!</v>
      </c>
    </row>
    <row r="459" spans="21:23" x14ac:dyDescent="0.2">
      <c r="U459" s="616"/>
      <c r="W459" s="620" t="e">
        <f t="shared" si="20"/>
        <v>#DIV/0!</v>
      </c>
    </row>
    <row r="460" spans="21:23" x14ac:dyDescent="0.2">
      <c r="U460" s="616"/>
      <c r="W460" s="620" t="e">
        <f t="shared" si="20"/>
        <v>#DIV/0!</v>
      </c>
    </row>
    <row r="461" spans="21:23" x14ac:dyDescent="0.2">
      <c r="U461" s="616"/>
      <c r="W461" s="620" t="e">
        <f t="shared" si="20"/>
        <v>#DIV/0!</v>
      </c>
    </row>
    <row r="462" spans="21:23" x14ac:dyDescent="0.2">
      <c r="U462" s="616"/>
      <c r="W462" s="620" t="e">
        <f t="shared" si="20"/>
        <v>#DIV/0!</v>
      </c>
    </row>
    <row r="463" spans="21:23" x14ac:dyDescent="0.2">
      <c r="U463" s="616"/>
      <c r="W463" s="620" t="e">
        <f t="shared" si="20"/>
        <v>#DIV/0!</v>
      </c>
    </row>
    <row r="464" spans="21:23" x14ac:dyDescent="0.2">
      <c r="U464" s="616"/>
      <c r="W464" s="620" t="e">
        <f t="shared" si="20"/>
        <v>#DIV/0!</v>
      </c>
    </row>
    <row r="465" spans="21:23" x14ac:dyDescent="0.2">
      <c r="U465" s="616"/>
      <c r="W465" s="620" t="e">
        <f t="shared" si="20"/>
        <v>#DIV/0!</v>
      </c>
    </row>
    <row r="466" spans="21:23" x14ac:dyDescent="0.2">
      <c r="U466" s="616"/>
      <c r="W466" s="620" t="e">
        <f t="shared" si="20"/>
        <v>#DIV/0!</v>
      </c>
    </row>
    <row r="467" spans="21:23" x14ac:dyDescent="0.2">
      <c r="U467" s="616"/>
      <c r="W467" s="620" t="e">
        <f t="shared" si="20"/>
        <v>#DIV/0!</v>
      </c>
    </row>
    <row r="468" spans="21:23" x14ac:dyDescent="0.2">
      <c r="U468" s="616"/>
      <c r="W468" s="620" t="e">
        <f t="shared" si="20"/>
        <v>#DIV/0!</v>
      </c>
    </row>
    <row r="469" spans="21:23" x14ac:dyDescent="0.2">
      <c r="U469" s="616"/>
      <c r="W469" s="620" t="e">
        <f t="shared" si="20"/>
        <v>#DIV/0!</v>
      </c>
    </row>
    <row r="470" spans="21:23" x14ac:dyDescent="0.2">
      <c r="U470" s="616"/>
      <c r="W470" s="620" t="e">
        <f t="shared" si="20"/>
        <v>#DIV/0!</v>
      </c>
    </row>
    <row r="471" spans="21:23" x14ac:dyDescent="0.2">
      <c r="U471" s="616"/>
      <c r="W471" s="620" t="e">
        <f t="shared" si="20"/>
        <v>#DIV/0!</v>
      </c>
    </row>
    <row r="472" spans="21:23" x14ac:dyDescent="0.2">
      <c r="U472" s="616"/>
      <c r="W472" s="620" t="e">
        <f t="shared" si="20"/>
        <v>#DIV/0!</v>
      </c>
    </row>
    <row r="473" spans="21:23" x14ac:dyDescent="0.2">
      <c r="U473" s="616"/>
      <c r="W473" s="620" t="e">
        <f t="shared" si="20"/>
        <v>#DIV/0!</v>
      </c>
    </row>
    <row r="474" spans="21:23" x14ac:dyDescent="0.2">
      <c r="U474" s="616"/>
      <c r="W474" s="620" t="e">
        <f t="shared" si="20"/>
        <v>#DIV/0!</v>
      </c>
    </row>
    <row r="475" spans="21:23" x14ac:dyDescent="0.2">
      <c r="U475" s="616"/>
      <c r="W475" s="620" t="e">
        <f t="shared" si="20"/>
        <v>#DIV/0!</v>
      </c>
    </row>
    <row r="476" spans="21:23" x14ac:dyDescent="0.2">
      <c r="U476" s="616"/>
      <c r="W476" s="620" t="e">
        <f t="shared" si="20"/>
        <v>#DIV/0!</v>
      </c>
    </row>
    <row r="477" spans="21:23" x14ac:dyDescent="0.2">
      <c r="U477" s="616"/>
      <c r="W477" s="620" t="e">
        <f t="shared" si="20"/>
        <v>#DIV/0!</v>
      </c>
    </row>
    <row r="478" spans="21:23" x14ac:dyDescent="0.2">
      <c r="U478" s="616"/>
      <c r="W478" s="620" t="e">
        <f t="shared" si="20"/>
        <v>#DIV/0!</v>
      </c>
    </row>
    <row r="479" spans="21:23" x14ac:dyDescent="0.2">
      <c r="U479" s="616"/>
      <c r="W479" s="620" t="e">
        <f t="shared" si="20"/>
        <v>#DIV/0!</v>
      </c>
    </row>
    <row r="480" spans="21:23" x14ac:dyDescent="0.2">
      <c r="U480" s="616"/>
      <c r="W480" s="620" t="e">
        <f t="shared" si="20"/>
        <v>#DIV/0!</v>
      </c>
    </row>
    <row r="481" spans="21:23" x14ac:dyDescent="0.2">
      <c r="U481" s="616"/>
      <c r="W481" s="620" t="e">
        <f t="shared" si="20"/>
        <v>#DIV/0!</v>
      </c>
    </row>
    <row r="482" spans="21:23" x14ac:dyDescent="0.2">
      <c r="U482" s="616"/>
      <c r="W482" s="620" t="e">
        <f t="shared" si="20"/>
        <v>#DIV/0!</v>
      </c>
    </row>
    <row r="483" spans="21:23" x14ac:dyDescent="0.2">
      <c r="U483" s="616"/>
      <c r="W483" s="620" t="e">
        <f t="shared" si="20"/>
        <v>#DIV/0!</v>
      </c>
    </row>
    <row r="484" spans="21:23" x14ac:dyDescent="0.2">
      <c r="U484" s="616"/>
      <c r="W484" s="620" t="e">
        <f t="shared" si="20"/>
        <v>#DIV/0!</v>
      </c>
    </row>
    <row r="485" spans="21:23" x14ac:dyDescent="0.2">
      <c r="U485" s="616"/>
      <c r="W485" s="620" t="e">
        <f t="shared" si="20"/>
        <v>#DIV/0!</v>
      </c>
    </row>
    <row r="486" spans="21:23" x14ac:dyDescent="0.2">
      <c r="U486" s="616"/>
      <c r="W486" s="620" t="e">
        <f t="shared" si="20"/>
        <v>#DIV/0!</v>
      </c>
    </row>
    <row r="487" spans="21:23" x14ac:dyDescent="0.2">
      <c r="U487" s="616"/>
      <c r="W487" s="620" t="e">
        <f t="shared" si="20"/>
        <v>#DIV/0!</v>
      </c>
    </row>
    <row r="488" spans="21:23" x14ac:dyDescent="0.2">
      <c r="U488" s="616"/>
      <c r="W488" s="620" t="e">
        <f t="shared" si="20"/>
        <v>#DIV/0!</v>
      </c>
    </row>
    <row r="489" spans="21:23" x14ac:dyDescent="0.2">
      <c r="U489" s="616"/>
      <c r="W489" s="620" t="e">
        <f t="shared" si="20"/>
        <v>#DIV/0!</v>
      </c>
    </row>
    <row r="490" spans="21:23" x14ac:dyDescent="0.2">
      <c r="U490" s="616"/>
      <c r="W490" s="620" t="e">
        <f t="shared" si="20"/>
        <v>#DIV/0!</v>
      </c>
    </row>
    <row r="491" spans="21:23" x14ac:dyDescent="0.2">
      <c r="U491" s="616"/>
      <c r="W491" s="620" t="e">
        <f t="shared" si="20"/>
        <v>#DIV/0!</v>
      </c>
    </row>
    <row r="492" spans="21:23" x14ac:dyDescent="0.2">
      <c r="U492" s="616"/>
      <c r="W492" s="620" t="e">
        <f t="shared" si="20"/>
        <v>#DIV/0!</v>
      </c>
    </row>
    <row r="493" spans="21:23" x14ac:dyDescent="0.2">
      <c r="U493" s="616"/>
      <c r="W493" s="620" t="e">
        <f t="shared" si="20"/>
        <v>#DIV/0!</v>
      </c>
    </row>
    <row r="494" spans="21:23" x14ac:dyDescent="0.2">
      <c r="U494" s="616"/>
      <c r="W494" s="620" t="e">
        <f t="shared" si="20"/>
        <v>#DIV/0!</v>
      </c>
    </row>
    <row r="495" spans="21:23" x14ac:dyDescent="0.2">
      <c r="U495" s="616"/>
      <c r="W495" s="620" t="e">
        <f t="shared" si="20"/>
        <v>#DIV/0!</v>
      </c>
    </row>
    <row r="496" spans="21:23" x14ac:dyDescent="0.2">
      <c r="U496" s="616"/>
      <c r="W496" s="620" t="e">
        <f t="shared" si="20"/>
        <v>#DIV/0!</v>
      </c>
    </row>
    <row r="497" spans="21:23" x14ac:dyDescent="0.2">
      <c r="U497" s="616"/>
      <c r="W497" s="620" t="e">
        <f t="shared" si="20"/>
        <v>#DIV/0!</v>
      </c>
    </row>
    <row r="498" spans="21:23" x14ac:dyDescent="0.2">
      <c r="U498" s="616"/>
      <c r="W498" s="620" t="e">
        <f t="shared" si="20"/>
        <v>#DIV/0!</v>
      </c>
    </row>
    <row r="499" spans="21:23" x14ac:dyDescent="0.2">
      <c r="U499" s="616"/>
      <c r="W499" s="620" t="e">
        <f t="shared" si="20"/>
        <v>#DIV/0!</v>
      </c>
    </row>
    <row r="500" spans="21:23" x14ac:dyDescent="0.2">
      <c r="U500" s="616"/>
      <c r="W500" s="620" t="e">
        <f t="shared" si="20"/>
        <v>#DIV/0!</v>
      </c>
    </row>
    <row r="501" spans="21:23" x14ac:dyDescent="0.2">
      <c r="U501" s="616"/>
      <c r="W501" s="620" t="e">
        <f t="shared" si="20"/>
        <v>#DIV/0!</v>
      </c>
    </row>
    <row r="502" spans="21:23" x14ac:dyDescent="0.2">
      <c r="U502" s="616"/>
      <c r="W502" s="620" t="e">
        <f t="shared" si="20"/>
        <v>#DIV/0!</v>
      </c>
    </row>
    <row r="503" spans="21:23" x14ac:dyDescent="0.2">
      <c r="U503" s="616"/>
      <c r="W503" s="620" t="e">
        <f t="shared" si="20"/>
        <v>#DIV/0!</v>
      </c>
    </row>
    <row r="504" spans="21:23" x14ac:dyDescent="0.2">
      <c r="U504" s="616"/>
      <c r="W504" s="620" t="e">
        <f t="shared" si="20"/>
        <v>#DIV/0!</v>
      </c>
    </row>
    <row r="505" spans="21:23" x14ac:dyDescent="0.2">
      <c r="U505" s="616"/>
      <c r="W505" s="620" t="e">
        <f t="shared" si="20"/>
        <v>#DIV/0!</v>
      </c>
    </row>
    <row r="506" spans="21:23" x14ac:dyDescent="0.2">
      <c r="U506" s="616"/>
      <c r="W506" s="620" t="e">
        <f t="shared" si="20"/>
        <v>#DIV/0!</v>
      </c>
    </row>
    <row r="507" spans="21:23" x14ac:dyDescent="0.2">
      <c r="U507" s="616"/>
      <c r="W507" s="620" t="e">
        <f t="shared" si="20"/>
        <v>#DIV/0!</v>
      </c>
    </row>
    <row r="508" spans="21:23" x14ac:dyDescent="0.2">
      <c r="U508" s="616"/>
      <c r="W508" s="620" t="e">
        <f t="shared" si="20"/>
        <v>#DIV/0!</v>
      </c>
    </row>
    <row r="509" spans="21:23" x14ac:dyDescent="0.2">
      <c r="U509" s="616"/>
      <c r="W509" s="620" t="e">
        <f t="shared" si="20"/>
        <v>#DIV/0!</v>
      </c>
    </row>
    <row r="510" spans="21:23" x14ac:dyDescent="0.2">
      <c r="U510" s="616"/>
      <c r="W510" s="620" t="e">
        <f t="shared" si="20"/>
        <v>#DIV/0!</v>
      </c>
    </row>
    <row r="511" spans="21:23" x14ac:dyDescent="0.2">
      <c r="U511" s="616"/>
      <c r="W511" s="620" t="e">
        <f t="shared" si="20"/>
        <v>#DIV/0!</v>
      </c>
    </row>
    <row r="512" spans="21:23" x14ac:dyDescent="0.2">
      <c r="U512" s="616"/>
      <c r="W512" s="620" t="e">
        <f t="shared" si="20"/>
        <v>#DIV/0!</v>
      </c>
    </row>
    <row r="513" spans="21:23" x14ac:dyDescent="0.2">
      <c r="U513" s="616"/>
      <c r="W513" s="620" t="e">
        <f t="shared" si="20"/>
        <v>#DIV/0!</v>
      </c>
    </row>
    <row r="514" spans="21:23" x14ac:dyDescent="0.2">
      <c r="U514" s="616"/>
      <c r="W514" s="620" t="e">
        <f t="shared" si="20"/>
        <v>#DIV/0!</v>
      </c>
    </row>
    <row r="515" spans="21:23" x14ac:dyDescent="0.2">
      <c r="U515" s="616"/>
      <c r="W515" s="620" t="e">
        <f t="shared" si="20"/>
        <v>#DIV/0!</v>
      </c>
    </row>
    <row r="516" spans="21:23" x14ac:dyDescent="0.2">
      <c r="U516" s="616"/>
      <c r="W516" s="620" t="e">
        <f t="shared" ref="W516:W579" si="21">AVERAGE($V$4:$V$2517)</f>
        <v>#DIV/0!</v>
      </c>
    </row>
    <row r="517" spans="21:23" x14ac:dyDescent="0.2">
      <c r="U517" s="616"/>
      <c r="W517" s="620" t="e">
        <f t="shared" si="21"/>
        <v>#DIV/0!</v>
      </c>
    </row>
    <row r="518" spans="21:23" x14ac:dyDescent="0.2">
      <c r="U518" s="616"/>
      <c r="W518" s="620" t="e">
        <f t="shared" si="21"/>
        <v>#DIV/0!</v>
      </c>
    </row>
    <row r="519" spans="21:23" x14ac:dyDescent="0.2">
      <c r="U519" s="616"/>
      <c r="W519" s="620" t="e">
        <f t="shared" si="21"/>
        <v>#DIV/0!</v>
      </c>
    </row>
    <row r="520" spans="21:23" x14ac:dyDescent="0.2">
      <c r="U520" s="616"/>
      <c r="W520" s="620" t="e">
        <f t="shared" si="21"/>
        <v>#DIV/0!</v>
      </c>
    </row>
    <row r="521" spans="21:23" x14ac:dyDescent="0.2">
      <c r="U521" s="616"/>
      <c r="W521" s="620" t="e">
        <f t="shared" si="21"/>
        <v>#DIV/0!</v>
      </c>
    </row>
    <row r="522" spans="21:23" x14ac:dyDescent="0.2">
      <c r="U522" s="616"/>
      <c r="W522" s="620" t="e">
        <f t="shared" si="21"/>
        <v>#DIV/0!</v>
      </c>
    </row>
    <row r="523" spans="21:23" x14ac:dyDescent="0.2">
      <c r="U523" s="616"/>
      <c r="W523" s="620" t="e">
        <f t="shared" si="21"/>
        <v>#DIV/0!</v>
      </c>
    </row>
    <row r="524" spans="21:23" x14ac:dyDescent="0.2">
      <c r="U524" s="616"/>
      <c r="W524" s="620" t="e">
        <f t="shared" si="21"/>
        <v>#DIV/0!</v>
      </c>
    </row>
    <row r="525" spans="21:23" x14ac:dyDescent="0.2">
      <c r="U525" s="616"/>
      <c r="W525" s="620" t="e">
        <f t="shared" si="21"/>
        <v>#DIV/0!</v>
      </c>
    </row>
    <row r="526" spans="21:23" x14ac:dyDescent="0.2">
      <c r="U526" s="616"/>
      <c r="W526" s="620" t="e">
        <f t="shared" si="21"/>
        <v>#DIV/0!</v>
      </c>
    </row>
    <row r="527" spans="21:23" x14ac:dyDescent="0.2">
      <c r="U527" s="616"/>
      <c r="W527" s="620" t="e">
        <f t="shared" si="21"/>
        <v>#DIV/0!</v>
      </c>
    </row>
    <row r="528" spans="21:23" x14ac:dyDescent="0.2">
      <c r="U528" s="616"/>
      <c r="W528" s="620" t="e">
        <f t="shared" si="21"/>
        <v>#DIV/0!</v>
      </c>
    </row>
    <row r="529" spans="21:23" x14ac:dyDescent="0.2">
      <c r="U529" s="616"/>
      <c r="W529" s="620" t="e">
        <f t="shared" si="21"/>
        <v>#DIV/0!</v>
      </c>
    </row>
    <row r="530" spans="21:23" x14ac:dyDescent="0.2">
      <c r="U530" s="616"/>
      <c r="W530" s="620" t="e">
        <f t="shared" si="21"/>
        <v>#DIV/0!</v>
      </c>
    </row>
    <row r="531" spans="21:23" x14ac:dyDescent="0.2">
      <c r="U531" s="616"/>
      <c r="W531" s="620" t="e">
        <f t="shared" si="21"/>
        <v>#DIV/0!</v>
      </c>
    </row>
    <row r="532" spans="21:23" x14ac:dyDescent="0.2">
      <c r="U532" s="616"/>
      <c r="W532" s="620" t="e">
        <f t="shared" si="21"/>
        <v>#DIV/0!</v>
      </c>
    </row>
    <row r="533" spans="21:23" x14ac:dyDescent="0.2">
      <c r="U533" s="616"/>
      <c r="W533" s="620" t="e">
        <f t="shared" si="21"/>
        <v>#DIV/0!</v>
      </c>
    </row>
    <row r="534" spans="21:23" x14ac:dyDescent="0.2">
      <c r="U534" s="616"/>
      <c r="W534" s="620" t="e">
        <f t="shared" si="21"/>
        <v>#DIV/0!</v>
      </c>
    </row>
    <row r="535" spans="21:23" x14ac:dyDescent="0.2">
      <c r="U535" s="616"/>
      <c r="W535" s="620" t="e">
        <f t="shared" si="21"/>
        <v>#DIV/0!</v>
      </c>
    </row>
    <row r="536" spans="21:23" x14ac:dyDescent="0.2">
      <c r="U536" s="616"/>
      <c r="W536" s="620" t="e">
        <f t="shared" si="21"/>
        <v>#DIV/0!</v>
      </c>
    </row>
    <row r="537" spans="21:23" x14ac:dyDescent="0.2">
      <c r="U537" s="616"/>
      <c r="W537" s="620" t="e">
        <f t="shared" si="21"/>
        <v>#DIV/0!</v>
      </c>
    </row>
    <row r="538" spans="21:23" x14ac:dyDescent="0.2">
      <c r="U538" s="616"/>
      <c r="W538" s="620" t="e">
        <f t="shared" si="21"/>
        <v>#DIV/0!</v>
      </c>
    </row>
    <row r="539" spans="21:23" x14ac:dyDescent="0.2">
      <c r="U539" s="616"/>
      <c r="W539" s="620" t="e">
        <f t="shared" si="21"/>
        <v>#DIV/0!</v>
      </c>
    </row>
    <row r="540" spans="21:23" x14ac:dyDescent="0.2">
      <c r="U540" s="616"/>
      <c r="W540" s="620" t="e">
        <f t="shared" si="21"/>
        <v>#DIV/0!</v>
      </c>
    </row>
    <row r="541" spans="21:23" x14ac:dyDescent="0.2">
      <c r="U541" s="616"/>
      <c r="W541" s="620" t="e">
        <f t="shared" si="21"/>
        <v>#DIV/0!</v>
      </c>
    </row>
    <row r="542" spans="21:23" x14ac:dyDescent="0.2">
      <c r="U542" s="616"/>
      <c r="W542" s="620" t="e">
        <f t="shared" si="21"/>
        <v>#DIV/0!</v>
      </c>
    </row>
    <row r="543" spans="21:23" x14ac:dyDescent="0.2">
      <c r="U543" s="616"/>
      <c r="W543" s="620" t="e">
        <f t="shared" si="21"/>
        <v>#DIV/0!</v>
      </c>
    </row>
    <row r="544" spans="21:23" x14ac:dyDescent="0.2">
      <c r="U544" s="616"/>
      <c r="W544" s="620" t="e">
        <f t="shared" si="21"/>
        <v>#DIV/0!</v>
      </c>
    </row>
    <row r="545" spans="21:23" x14ac:dyDescent="0.2">
      <c r="U545" s="616"/>
      <c r="W545" s="620" t="e">
        <f t="shared" si="21"/>
        <v>#DIV/0!</v>
      </c>
    </row>
    <row r="546" spans="21:23" x14ac:dyDescent="0.2">
      <c r="U546" s="616"/>
      <c r="W546" s="620" t="e">
        <f t="shared" si="21"/>
        <v>#DIV/0!</v>
      </c>
    </row>
    <row r="547" spans="21:23" x14ac:dyDescent="0.2">
      <c r="U547" s="616"/>
      <c r="W547" s="620" t="e">
        <f t="shared" si="21"/>
        <v>#DIV/0!</v>
      </c>
    </row>
    <row r="548" spans="21:23" x14ac:dyDescent="0.2">
      <c r="U548" s="616"/>
      <c r="W548" s="620" t="e">
        <f t="shared" si="21"/>
        <v>#DIV/0!</v>
      </c>
    </row>
    <row r="549" spans="21:23" x14ac:dyDescent="0.2">
      <c r="U549" s="616"/>
      <c r="W549" s="620" t="e">
        <f t="shared" si="21"/>
        <v>#DIV/0!</v>
      </c>
    </row>
    <row r="550" spans="21:23" x14ac:dyDescent="0.2">
      <c r="U550" s="616"/>
      <c r="W550" s="620" t="e">
        <f t="shared" si="21"/>
        <v>#DIV/0!</v>
      </c>
    </row>
    <row r="551" spans="21:23" x14ac:dyDescent="0.2">
      <c r="U551" s="616"/>
      <c r="W551" s="620" t="e">
        <f t="shared" si="21"/>
        <v>#DIV/0!</v>
      </c>
    </row>
    <row r="552" spans="21:23" x14ac:dyDescent="0.2">
      <c r="U552" s="616"/>
      <c r="W552" s="620" t="e">
        <f t="shared" si="21"/>
        <v>#DIV/0!</v>
      </c>
    </row>
    <row r="553" spans="21:23" x14ac:dyDescent="0.2">
      <c r="U553" s="616"/>
      <c r="W553" s="620" t="e">
        <f t="shared" si="21"/>
        <v>#DIV/0!</v>
      </c>
    </row>
    <row r="554" spans="21:23" x14ac:dyDescent="0.2">
      <c r="U554" s="616"/>
      <c r="W554" s="620" t="e">
        <f t="shared" si="21"/>
        <v>#DIV/0!</v>
      </c>
    </row>
    <row r="555" spans="21:23" x14ac:dyDescent="0.2">
      <c r="U555" s="616"/>
      <c r="W555" s="620" t="e">
        <f t="shared" si="21"/>
        <v>#DIV/0!</v>
      </c>
    </row>
    <row r="556" spans="21:23" x14ac:dyDescent="0.2">
      <c r="U556" s="616"/>
      <c r="W556" s="620" t="e">
        <f t="shared" si="21"/>
        <v>#DIV/0!</v>
      </c>
    </row>
    <row r="557" spans="21:23" x14ac:dyDescent="0.2">
      <c r="U557" s="616"/>
      <c r="W557" s="620" t="e">
        <f t="shared" si="21"/>
        <v>#DIV/0!</v>
      </c>
    </row>
    <row r="558" spans="21:23" x14ac:dyDescent="0.2">
      <c r="U558" s="616"/>
      <c r="W558" s="620" t="e">
        <f t="shared" si="21"/>
        <v>#DIV/0!</v>
      </c>
    </row>
    <row r="559" spans="21:23" x14ac:dyDescent="0.2">
      <c r="U559" s="616"/>
      <c r="W559" s="620" t="e">
        <f t="shared" si="21"/>
        <v>#DIV/0!</v>
      </c>
    </row>
    <row r="560" spans="21:23" x14ac:dyDescent="0.2">
      <c r="U560" s="616"/>
      <c r="W560" s="620" t="e">
        <f t="shared" si="21"/>
        <v>#DIV/0!</v>
      </c>
    </row>
    <row r="561" spans="21:23" x14ac:dyDescent="0.2">
      <c r="U561" s="616"/>
      <c r="W561" s="620" t="e">
        <f t="shared" si="21"/>
        <v>#DIV/0!</v>
      </c>
    </row>
    <row r="562" spans="21:23" x14ac:dyDescent="0.2">
      <c r="U562" s="616"/>
      <c r="W562" s="620" t="e">
        <f t="shared" si="21"/>
        <v>#DIV/0!</v>
      </c>
    </row>
    <row r="563" spans="21:23" x14ac:dyDescent="0.2">
      <c r="U563" s="616"/>
      <c r="W563" s="620" t="e">
        <f t="shared" si="21"/>
        <v>#DIV/0!</v>
      </c>
    </row>
    <row r="564" spans="21:23" x14ac:dyDescent="0.2">
      <c r="U564" s="616"/>
      <c r="W564" s="620" t="e">
        <f t="shared" si="21"/>
        <v>#DIV/0!</v>
      </c>
    </row>
    <row r="565" spans="21:23" x14ac:dyDescent="0.2">
      <c r="U565" s="616"/>
      <c r="W565" s="620" t="e">
        <f t="shared" si="21"/>
        <v>#DIV/0!</v>
      </c>
    </row>
    <row r="566" spans="21:23" x14ac:dyDescent="0.2">
      <c r="U566" s="616"/>
      <c r="W566" s="620" t="e">
        <f t="shared" si="21"/>
        <v>#DIV/0!</v>
      </c>
    </row>
    <row r="567" spans="21:23" x14ac:dyDescent="0.2">
      <c r="U567" s="616"/>
      <c r="W567" s="620" t="e">
        <f t="shared" si="21"/>
        <v>#DIV/0!</v>
      </c>
    </row>
    <row r="568" spans="21:23" x14ac:dyDescent="0.2">
      <c r="U568" s="616"/>
      <c r="W568" s="620" t="e">
        <f t="shared" si="21"/>
        <v>#DIV/0!</v>
      </c>
    </row>
    <row r="569" spans="21:23" x14ac:dyDescent="0.2">
      <c r="U569" s="616"/>
      <c r="W569" s="620" t="e">
        <f t="shared" si="21"/>
        <v>#DIV/0!</v>
      </c>
    </row>
    <row r="570" spans="21:23" x14ac:dyDescent="0.2">
      <c r="U570" s="616"/>
      <c r="W570" s="620" t="e">
        <f t="shared" si="21"/>
        <v>#DIV/0!</v>
      </c>
    </row>
    <row r="571" spans="21:23" x14ac:dyDescent="0.2">
      <c r="U571" s="616"/>
      <c r="W571" s="620" t="e">
        <f t="shared" si="21"/>
        <v>#DIV/0!</v>
      </c>
    </row>
    <row r="572" spans="21:23" x14ac:dyDescent="0.2">
      <c r="U572" s="616"/>
      <c r="W572" s="620" t="e">
        <f t="shared" si="21"/>
        <v>#DIV/0!</v>
      </c>
    </row>
    <row r="573" spans="21:23" x14ac:dyDescent="0.2">
      <c r="U573" s="616"/>
      <c r="W573" s="620" t="e">
        <f t="shared" si="21"/>
        <v>#DIV/0!</v>
      </c>
    </row>
    <row r="574" spans="21:23" x14ac:dyDescent="0.2">
      <c r="U574" s="616"/>
      <c r="W574" s="620" t="e">
        <f t="shared" si="21"/>
        <v>#DIV/0!</v>
      </c>
    </row>
    <row r="575" spans="21:23" x14ac:dyDescent="0.2">
      <c r="U575" s="616"/>
      <c r="W575" s="620" t="e">
        <f t="shared" si="21"/>
        <v>#DIV/0!</v>
      </c>
    </row>
    <row r="576" spans="21:23" x14ac:dyDescent="0.2">
      <c r="U576" s="616"/>
      <c r="W576" s="620" t="e">
        <f t="shared" si="21"/>
        <v>#DIV/0!</v>
      </c>
    </row>
    <row r="577" spans="21:23" x14ac:dyDescent="0.2">
      <c r="U577" s="616"/>
      <c r="W577" s="620" t="e">
        <f t="shared" si="21"/>
        <v>#DIV/0!</v>
      </c>
    </row>
    <row r="578" spans="21:23" x14ac:dyDescent="0.2">
      <c r="U578" s="616"/>
      <c r="W578" s="620" t="e">
        <f t="shared" si="21"/>
        <v>#DIV/0!</v>
      </c>
    </row>
    <row r="579" spans="21:23" x14ac:dyDescent="0.2">
      <c r="U579" s="616"/>
      <c r="W579" s="620" t="e">
        <f t="shared" si="21"/>
        <v>#DIV/0!</v>
      </c>
    </row>
    <row r="580" spans="21:23" x14ac:dyDescent="0.2">
      <c r="U580" s="616"/>
      <c r="W580" s="620" t="e">
        <f t="shared" ref="W580:W643" si="22">AVERAGE($V$4:$V$2517)</f>
        <v>#DIV/0!</v>
      </c>
    </row>
    <row r="581" spans="21:23" x14ac:dyDescent="0.2">
      <c r="U581" s="616"/>
      <c r="W581" s="620" t="e">
        <f t="shared" si="22"/>
        <v>#DIV/0!</v>
      </c>
    </row>
    <row r="582" spans="21:23" x14ac:dyDescent="0.2">
      <c r="U582" s="616"/>
      <c r="W582" s="620" t="e">
        <f t="shared" si="22"/>
        <v>#DIV/0!</v>
      </c>
    </row>
    <row r="583" spans="21:23" x14ac:dyDescent="0.2">
      <c r="U583" s="616"/>
      <c r="W583" s="620" t="e">
        <f t="shared" si="22"/>
        <v>#DIV/0!</v>
      </c>
    </row>
    <row r="584" spans="21:23" x14ac:dyDescent="0.2">
      <c r="U584" s="616"/>
      <c r="W584" s="620" t="e">
        <f t="shared" si="22"/>
        <v>#DIV/0!</v>
      </c>
    </row>
    <row r="585" spans="21:23" x14ac:dyDescent="0.2">
      <c r="U585" s="616"/>
      <c r="W585" s="620" t="e">
        <f t="shared" si="22"/>
        <v>#DIV/0!</v>
      </c>
    </row>
    <row r="586" spans="21:23" x14ac:dyDescent="0.2">
      <c r="U586" s="616"/>
      <c r="W586" s="620" t="e">
        <f t="shared" si="22"/>
        <v>#DIV/0!</v>
      </c>
    </row>
    <row r="587" spans="21:23" x14ac:dyDescent="0.2">
      <c r="U587" s="616"/>
      <c r="W587" s="620" t="e">
        <f t="shared" si="22"/>
        <v>#DIV/0!</v>
      </c>
    </row>
    <row r="588" spans="21:23" x14ac:dyDescent="0.2">
      <c r="U588" s="616"/>
      <c r="W588" s="620" t="e">
        <f t="shared" si="22"/>
        <v>#DIV/0!</v>
      </c>
    </row>
    <row r="589" spans="21:23" x14ac:dyDescent="0.2">
      <c r="U589" s="616"/>
      <c r="W589" s="620" t="e">
        <f t="shared" si="22"/>
        <v>#DIV/0!</v>
      </c>
    </row>
    <row r="590" spans="21:23" x14ac:dyDescent="0.2">
      <c r="U590" s="616"/>
      <c r="W590" s="620" t="e">
        <f t="shared" si="22"/>
        <v>#DIV/0!</v>
      </c>
    </row>
    <row r="591" spans="21:23" x14ac:dyDescent="0.2">
      <c r="U591" s="616"/>
      <c r="W591" s="620" t="e">
        <f t="shared" si="22"/>
        <v>#DIV/0!</v>
      </c>
    </row>
    <row r="592" spans="21:23" x14ac:dyDescent="0.2">
      <c r="U592" s="616"/>
      <c r="W592" s="620" t="e">
        <f t="shared" si="22"/>
        <v>#DIV/0!</v>
      </c>
    </row>
    <row r="593" spans="21:23" x14ac:dyDescent="0.2">
      <c r="U593" s="616"/>
      <c r="W593" s="620" t="e">
        <f t="shared" si="22"/>
        <v>#DIV/0!</v>
      </c>
    </row>
    <row r="594" spans="21:23" x14ac:dyDescent="0.2">
      <c r="U594" s="616"/>
      <c r="W594" s="620" t="e">
        <f t="shared" si="22"/>
        <v>#DIV/0!</v>
      </c>
    </row>
    <row r="595" spans="21:23" x14ac:dyDescent="0.2">
      <c r="U595" s="616"/>
      <c r="W595" s="620" t="e">
        <f t="shared" si="22"/>
        <v>#DIV/0!</v>
      </c>
    </row>
    <row r="596" spans="21:23" x14ac:dyDescent="0.2">
      <c r="U596" s="616"/>
      <c r="W596" s="620" t="e">
        <f t="shared" si="22"/>
        <v>#DIV/0!</v>
      </c>
    </row>
    <row r="597" spans="21:23" x14ac:dyDescent="0.2">
      <c r="U597" s="616"/>
      <c r="W597" s="620" t="e">
        <f t="shared" si="22"/>
        <v>#DIV/0!</v>
      </c>
    </row>
    <row r="598" spans="21:23" x14ac:dyDescent="0.2">
      <c r="U598" s="616"/>
      <c r="W598" s="620" t="e">
        <f t="shared" si="22"/>
        <v>#DIV/0!</v>
      </c>
    </row>
    <row r="599" spans="21:23" x14ac:dyDescent="0.2">
      <c r="U599" s="616"/>
      <c r="W599" s="620" t="e">
        <f t="shared" si="22"/>
        <v>#DIV/0!</v>
      </c>
    </row>
    <row r="600" spans="21:23" x14ac:dyDescent="0.2">
      <c r="U600" s="616"/>
      <c r="W600" s="620" t="e">
        <f t="shared" si="22"/>
        <v>#DIV/0!</v>
      </c>
    </row>
    <row r="601" spans="21:23" x14ac:dyDescent="0.2">
      <c r="U601" s="616"/>
      <c r="W601" s="620" t="e">
        <f t="shared" si="22"/>
        <v>#DIV/0!</v>
      </c>
    </row>
    <row r="602" spans="21:23" x14ac:dyDescent="0.2">
      <c r="U602" s="616"/>
      <c r="W602" s="620" t="e">
        <f t="shared" si="22"/>
        <v>#DIV/0!</v>
      </c>
    </row>
    <row r="603" spans="21:23" x14ac:dyDescent="0.2">
      <c r="U603" s="616"/>
      <c r="W603" s="620" t="e">
        <f t="shared" si="22"/>
        <v>#DIV/0!</v>
      </c>
    </row>
    <row r="604" spans="21:23" x14ac:dyDescent="0.2">
      <c r="U604" s="616"/>
      <c r="W604" s="620" t="e">
        <f t="shared" si="22"/>
        <v>#DIV/0!</v>
      </c>
    </row>
    <row r="605" spans="21:23" x14ac:dyDescent="0.2">
      <c r="U605" s="616"/>
      <c r="W605" s="620" t="e">
        <f t="shared" si="22"/>
        <v>#DIV/0!</v>
      </c>
    </row>
    <row r="606" spans="21:23" x14ac:dyDescent="0.2">
      <c r="U606" s="616"/>
      <c r="W606" s="620" t="e">
        <f t="shared" si="22"/>
        <v>#DIV/0!</v>
      </c>
    </row>
    <row r="607" spans="21:23" x14ac:dyDescent="0.2">
      <c r="U607" s="616"/>
      <c r="W607" s="620" t="e">
        <f t="shared" si="22"/>
        <v>#DIV/0!</v>
      </c>
    </row>
    <row r="608" spans="21:23" x14ac:dyDescent="0.2">
      <c r="U608" s="616"/>
      <c r="W608" s="620" t="e">
        <f t="shared" si="22"/>
        <v>#DIV/0!</v>
      </c>
    </row>
    <row r="609" spans="21:23" x14ac:dyDescent="0.2">
      <c r="U609" s="616"/>
      <c r="W609" s="620" t="e">
        <f t="shared" si="22"/>
        <v>#DIV/0!</v>
      </c>
    </row>
    <row r="610" spans="21:23" x14ac:dyDescent="0.2">
      <c r="U610" s="616"/>
      <c r="W610" s="620" t="e">
        <f t="shared" si="22"/>
        <v>#DIV/0!</v>
      </c>
    </row>
    <row r="611" spans="21:23" x14ac:dyDescent="0.2">
      <c r="U611" s="616"/>
      <c r="W611" s="620" t="e">
        <f t="shared" si="22"/>
        <v>#DIV/0!</v>
      </c>
    </row>
    <row r="612" spans="21:23" x14ac:dyDescent="0.2">
      <c r="U612" s="616"/>
      <c r="W612" s="620" t="e">
        <f t="shared" si="22"/>
        <v>#DIV/0!</v>
      </c>
    </row>
    <row r="613" spans="21:23" x14ac:dyDescent="0.2">
      <c r="U613" s="616"/>
      <c r="W613" s="620" t="e">
        <f t="shared" si="22"/>
        <v>#DIV/0!</v>
      </c>
    </row>
    <row r="614" spans="21:23" x14ac:dyDescent="0.2">
      <c r="U614" s="616"/>
      <c r="W614" s="620" t="e">
        <f t="shared" si="22"/>
        <v>#DIV/0!</v>
      </c>
    </row>
    <row r="615" spans="21:23" x14ac:dyDescent="0.2">
      <c r="U615" s="616"/>
      <c r="W615" s="620" t="e">
        <f t="shared" si="22"/>
        <v>#DIV/0!</v>
      </c>
    </row>
    <row r="616" spans="21:23" x14ac:dyDescent="0.2">
      <c r="U616" s="616"/>
      <c r="W616" s="620" t="e">
        <f t="shared" si="22"/>
        <v>#DIV/0!</v>
      </c>
    </row>
    <row r="617" spans="21:23" x14ac:dyDescent="0.2">
      <c r="U617" s="616"/>
      <c r="W617" s="620" t="e">
        <f t="shared" si="22"/>
        <v>#DIV/0!</v>
      </c>
    </row>
    <row r="618" spans="21:23" x14ac:dyDescent="0.2">
      <c r="U618" s="616"/>
      <c r="W618" s="620" t="e">
        <f t="shared" si="22"/>
        <v>#DIV/0!</v>
      </c>
    </row>
    <row r="619" spans="21:23" x14ac:dyDescent="0.2">
      <c r="U619" s="616"/>
      <c r="W619" s="620" t="e">
        <f t="shared" si="22"/>
        <v>#DIV/0!</v>
      </c>
    </row>
    <row r="620" spans="21:23" x14ac:dyDescent="0.2">
      <c r="U620" s="616"/>
      <c r="W620" s="620" t="e">
        <f t="shared" si="22"/>
        <v>#DIV/0!</v>
      </c>
    </row>
    <row r="621" spans="21:23" x14ac:dyDescent="0.2">
      <c r="U621" s="616"/>
      <c r="W621" s="620" t="e">
        <f t="shared" si="22"/>
        <v>#DIV/0!</v>
      </c>
    </row>
    <row r="622" spans="21:23" x14ac:dyDescent="0.2">
      <c r="U622" s="616"/>
      <c r="W622" s="620" t="e">
        <f t="shared" si="22"/>
        <v>#DIV/0!</v>
      </c>
    </row>
    <row r="623" spans="21:23" x14ac:dyDescent="0.2">
      <c r="U623" s="616"/>
      <c r="W623" s="620" t="e">
        <f t="shared" si="22"/>
        <v>#DIV/0!</v>
      </c>
    </row>
    <row r="624" spans="21:23" x14ac:dyDescent="0.2">
      <c r="U624" s="616"/>
      <c r="W624" s="620" t="e">
        <f t="shared" si="22"/>
        <v>#DIV/0!</v>
      </c>
    </row>
    <row r="625" spans="21:23" x14ac:dyDescent="0.2">
      <c r="U625" s="616"/>
      <c r="W625" s="620" t="e">
        <f t="shared" si="22"/>
        <v>#DIV/0!</v>
      </c>
    </row>
    <row r="626" spans="21:23" x14ac:dyDescent="0.2">
      <c r="U626" s="616"/>
      <c r="W626" s="620" t="e">
        <f t="shared" si="22"/>
        <v>#DIV/0!</v>
      </c>
    </row>
    <row r="627" spans="21:23" x14ac:dyDescent="0.2">
      <c r="U627" s="616"/>
      <c r="W627" s="620" t="e">
        <f t="shared" si="22"/>
        <v>#DIV/0!</v>
      </c>
    </row>
    <row r="628" spans="21:23" x14ac:dyDescent="0.2">
      <c r="U628" s="616"/>
      <c r="W628" s="620" t="e">
        <f t="shared" si="22"/>
        <v>#DIV/0!</v>
      </c>
    </row>
    <row r="629" spans="21:23" x14ac:dyDescent="0.2">
      <c r="U629" s="616"/>
      <c r="W629" s="620" t="e">
        <f t="shared" si="22"/>
        <v>#DIV/0!</v>
      </c>
    </row>
    <row r="630" spans="21:23" x14ac:dyDescent="0.2">
      <c r="U630" s="616"/>
      <c r="W630" s="620" t="e">
        <f t="shared" si="22"/>
        <v>#DIV/0!</v>
      </c>
    </row>
    <row r="631" spans="21:23" x14ac:dyDescent="0.2">
      <c r="U631" s="616"/>
      <c r="W631" s="620" t="e">
        <f t="shared" si="22"/>
        <v>#DIV/0!</v>
      </c>
    </row>
    <row r="632" spans="21:23" x14ac:dyDescent="0.2">
      <c r="U632" s="616"/>
      <c r="W632" s="620" t="e">
        <f t="shared" si="22"/>
        <v>#DIV/0!</v>
      </c>
    </row>
    <row r="633" spans="21:23" x14ac:dyDescent="0.2">
      <c r="U633" s="616"/>
      <c r="W633" s="620" t="e">
        <f t="shared" si="22"/>
        <v>#DIV/0!</v>
      </c>
    </row>
    <row r="634" spans="21:23" x14ac:dyDescent="0.2">
      <c r="U634" s="616"/>
      <c r="W634" s="620" t="e">
        <f t="shared" si="22"/>
        <v>#DIV/0!</v>
      </c>
    </row>
    <row r="635" spans="21:23" x14ac:dyDescent="0.2">
      <c r="U635" s="616"/>
      <c r="W635" s="620" t="e">
        <f t="shared" si="22"/>
        <v>#DIV/0!</v>
      </c>
    </row>
    <row r="636" spans="21:23" x14ac:dyDescent="0.2">
      <c r="U636" s="616"/>
      <c r="W636" s="620" t="e">
        <f t="shared" si="22"/>
        <v>#DIV/0!</v>
      </c>
    </row>
    <row r="637" spans="21:23" x14ac:dyDescent="0.2">
      <c r="U637" s="616"/>
      <c r="W637" s="620" t="e">
        <f t="shared" si="22"/>
        <v>#DIV/0!</v>
      </c>
    </row>
    <row r="638" spans="21:23" x14ac:dyDescent="0.2">
      <c r="U638" s="616"/>
      <c r="W638" s="620" t="e">
        <f t="shared" si="22"/>
        <v>#DIV/0!</v>
      </c>
    </row>
    <row r="639" spans="21:23" x14ac:dyDescent="0.2">
      <c r="U639" s="616"/>
      <c r="W639" s="620" t="e">
        <f t="shared" si="22"/>
        <v>#DIV/0!</v>
      </c>
    </row>
    <row r="640" spans="21:23" x14ac:dyDescent="0.2">
      <c r="U640" s="616"/>
      <c r="W640" s="620" t="e">
        <f t="shared" si="22"/>
        <v>#DIV/0!</v>
      </c>
    </row>
    <row r="641" spans="21:23" x14ac:dyDescent="0.2">
      <c r="U641" s="616"/>
      <c r="W641" s="620" t="e">
        <f t="shared" si="22"/>
        <v>#DIV/0!</v>
      </c>
    </row>
    <row r="642" spans="21:23" x14ac:dyDescent="0.2">
      <c r="U642" s="616"/>
      <c r="W642" s="620" t="e">
        <f t="shared" si="22"/>
        <v>#DIV/0!</v>
      </c>
    </row>
    <row r="643" spans="21:23" x14ac:dyDescent="0.2">
      <c r="U643" s="616"/>
      <c r="W643" s="620" t="e">
        <f t="shared" si="22"/>
        <v>#DIV/0!</v>
      </c>
    </row>
    <row r="644" spans="21:23" x14ac:dyDescent="0.2">
      <c r="U644" s="616"/>
      <c r="W644" s="620" t="e">
        <f t="shared" ref="W644:W707" si="23">AVERAGE($V$4:$V$2517)</f>
        <v>#DIV/0!</v>
      </c>
    </row>
    <row r="645" spans="21:23" x14ac:dyDescent="0.2">
      <c r="U645" s="616"/>
      <c r="W645" s="620" t="e">
        <f t="shared" si="23"/>
        <v>#DIV/0!</v>
      </c>
    </row>
    <row r="646" spans="21:23" x14ac:dyDescent="0.2">
      <c r="U646" s="616"/>
      <c r="W646" s="620" t="e">
        <f t="shared" si="23"/>
        <v>#DIV/0!</v>
      </c>
    </row>
    <row r="647" spans="21:23" x14ac:dyDescent="0.2">
      <c r="U647" s="616"/>
      <c r="W647" s="620" t="e">
        <f t="shared" si="23"/>
        <v>#DIV/0!</v>
      </c>
    </row>
    <row r="648" spans="21:23" x14ac:dyDescent="0.2">
      <c r="U648" s="616"/>
      <c r="W648" s="620" t="e">
        <f t="shared" si="23"/>
        <v>#DIV/0!</v>
      </c>
    </row>
    <row r="649" spans="21:23" x14ac:dyDescent="0.2">
      <c r="U649" s="616"/>
      <c r="W649" s="620" t="e">
        <f t="shared" si="23"/>
        <v>#DIV/0!</v>
      </c>
    </row>
    <row r="650" spans="21:23" x14ac:dyDescent="0.2">
      <c r="U650" s="616"/>
      <c r="W650" s="620" t="e">
        <f t="shared" si="23"/>
        <v>#DIV/0!</v>
      </c>
    </row>
    <row r="651" spans="21:23" x14ac:dyDescent="0.2">
      <c r="U651" s="616"/>
      <c r="W651" s="620" t="e">
        <f t="shared" si="23"/>
        <v>#DIV/0!</v>
      </c>
    </row>
    <row r="652" spans="21:23" x14ac:dyDescent="0.2">
      <c r="U652" s="616"/>
      <c r="W652" s="620" t="e">
        <f t="shared" si="23"/>
        <v>#DIV/0!</v>
      </c>
    </row>
    <row r="653" spans="21:23" x14ac:dyDescent="0.2">
      <c r="U653" s="616"/>
      <c r="W653" s="620" t="e">
        <f t="shared" si="23"/>
        <v>#DIV/0!</v>
      </c>
    </row>
    <row r="654" spans="21:23" x14ac:dyDescent="0.2">
      <c r="U654" s="616"/>
      <c r="W654" s="620" t="e">
        <f t="shared" si="23"/>
        <v>#DIV/0!</v>
      </c>
    </row>
    <row r="655" spans="21:23" x14ac:dyDescent="0.2">
      <c r="U655" s="616"/>
      <c r="W655" s="620" t="e">
        <f t="shared" si="23"/>
        <v>#DIV/0!</v>
      </c>
    </row>
    <row r="656" spans="21:23" x14ac:dyDescent="0.2">
      <c r="U656" s="616"/>
      <c r="W656" s="620" t="e">
        <f t="shared" si="23"/>
        <v>#DIV/0!</v>
      </c>
    </row>
    <row r="657" spans="21:23" x14ac:dyDescent="0.2">
      <c r="U657" s="616"/>
      <c r="W657" s="620" t="e">
        <f t="shared" si="23"/>
        <v>#DIV/0!</v>
      </c>
    </row>
    <row r="658" spans="21:23" x14ac:dyDescent="0.2">
      <c r="U658" s="616"/>
      <c r="W658" s="620" t="e">
        <f t="shared" si="23"/>
        <v>#DIV/0!</v>
      </c>
    </row>
    <row r="659" spans="21:23" x14ac:dyDescent="0.2">
      <c r="U659" s="616"/>
      <c r="W659" s="620" t="e">
        <f t="shared" si="23"/>
        <v>#DIV/0!</v>
      </c>
    </row>
    <row r="660" spans="21:23" x14ac:dyDescent="0.2">
      <c r="U660" s="616"/>
      <c r="W660" s="620" t="e">
        <f t="shared" si="23"/>
        <v>#DIV/0!</v>
      </c>
    </row>
    <row r="661" spans="21:23" x14ac:dyDescent="0.2">
      <c r="U661" s="616"/>
      <c r="W661" s="620" t="e">
        <f t="shared" si="23"/>
        <v>#DIV/0!</v>
      </c>
    </row>
    <row r="662" spans="21:23" x14ac:dyDescent="0.2">
      <c r="U662" s="616"/>
      <c r="W662" s="620" t="e">
        <f t="shared" si="23"/>
        <v>#DIV/0!</v>
      </c>
    </row>
    <row r="663" spans="21:23" x14ac:dyDescent="0.2">
      <c r="U663" s="616"/>
      <c r="W663" s="620" t="e">
        <f t="shared" si="23"/>
        <v>#DIV/0!</v>
      </c>
    </row>
    <row r="664" spans="21:23" x14ac:dyDescent="0.2">
      <c r="U664" s="616"/>
      <c r="W664" s="620" t="e">
        <f t="shared" si="23"/>
        <v>#DIV/0!</v>
      </c>
    </row>
    <row r="665" spans="21:23" x14ac:dyDescent="0.2">
      <c r="U665" s="616"/>
      <c r="W665" s="620" t="e">
        <f t="shared" si="23"/>
        <v>#DIV/0!</v>
      </c>
    </row>
    <row r="666" spans="21:23" x14ac:dyDescent="0.2">
      <c r="U666" s="616"/>
      <c r="W666" s="620" t="e">
        <f t="shared" si="23"/>
        <v>#DIV/0!</v>
      </c>
    </row>
    <row r="667" spans="21:23" x14ac:dyDescent="0.2">
      <c r="U667" s="616"/>
      <c r="W667" s="620" t="e">
        <f t="shared" si="23"/>
        <v>#DIV/0!</v>
      </c>
    </row>
    <row r="668" spans="21:23" x14ac:dyDescent="0.2">
      <c r="U668" s="616"/>
      <c r="W668" s="620" t="e">
        <f t="shared" si="23"/>
        <v>#DIV/0!</v>
      </c>
    </row>
    <row r="669" spans="21:23" x14ac:dyDescent="0.2">
      <c r="U669" s="616"/>
      <c r="W669" s="620" t="e">
        <f t="shared" si="23"/>
        <v>#DIV/0!</v>
      </c>
    </row>
    <row r="670" spans="21:23" x14ac:dyDescent="0.2">
      <c r="U670" s="616"/>
      <c r="W670" s="620" t="e">
        <f t="shared" si="23"/>
        <v>#DIV/0!</v>
      </c>
    </row>
    <row r="671" spans="21:23" x14ac:dyDescent="0.2">
      <c r="U671" s="616"/>
      <c r="W671" s="620" t="e">
        <f t="shared" si="23"/>
        <v>#DIV/0!</v>
      </c>
    </row>
    <row r="672" spans="21:23" x14ac:dyDescent="0.2">
      <c r="U672" s="616"/>
      <c r="W672" s="620" t="e">
        <f t="shared" si="23"/>
        <v>#DIV/0!</v>
      </c>
    </row>
    <row r="673" spans="21:23" x14ac:dyDescent="0.2">
      <c r="U673" s="616"/>
      <c r="W673" s="620" t="e">
        <f t="shared" si="23"/>
        <v>#DIV/0!</v>
      </c>
    </row>
    <row r="674" spans="21:23" x14ac:dyDescent="0.2">
      <c r="U674" s="616"/>
      <c r="W674" s="620" t="e">
        <f t="shared" si="23"/>
        <v>#DIV/0!</v>
      </c>
    </row>
    <row r="675" spans="21:23" x14ac:dyDescent="0.2">
      <c r="U675" s="616"/>
      <c r="W675" s="620" t="e">
        <f t="shared" si="23"/>
        <v>#DIV/0!</v>
      </c>
    </row>
    <row r="676" spans="21:23" x14ac:dyDescent="0.2">
      <c r="U676" s="616"/>
      <c r="W676" s="620" t="e">
        <f t="shared" si="23"/>
        <v>#DIV/0!</v>
      </c>
    </row>
    <row r="677" spans="21:23" x14ac:dyDescent="0.2">
      <c r="U677" s="616"/>
      <c r="W677" s="620" t="e">
        <f t="shared" si="23"/>
        <v>#DIV/0!</v>
      </c>
    </row>
    <row r="678" spans="21:23" x14ac:dyDescent="0.2">
      <c r="U678" s="616"/>
      <c r="W678" s="620" t="e">
        <f t="shared" si="23"/>
        <v>#DIV/0!</v>
      </c>
    </row>
    <row r="679" spans="21:23" x14ac:dyDescent="0.2">
      <c r="U679" s="616"/>
      <c r="W679" s="620" t="e">
        <f t="shared" si="23"/>
        <v>#DIV/0!</v>
      </c>
    </row>
    <row r="680" spans="21:23" x14ac:dyDescent="0.2">
      <c r="U680" s="616"/>
      <c r="W680" s="620" t="e">
        <f t="shared" si="23"/>
        <v>#DIV/0!</v>
      </c>
    </row>
    <row r="681" spans="21:23" x14ac:dyDescent="0.2">
      <c r="U681" s="616"/>
      <c r="W681" s="620" t="e">
        <f t="shared" si="23"/>
        <v>#DIV/0!</v>
      </c>
    </row>
    <row r="682" spans="21:23" x14ac:dyDescent="0.2">
      <c r="U682" s="616"/>
      <c r="W682" s="620" t="e">
        <f t="shared" si="23"/>
        <v>#DIV/0!</v>
      </c>
    </row>
    <row r="683" spans="21:23" x14ac:dyDescent="0.2">
      <c r="U683" s="616"/>
      <c r="W683" s="620" t="e">
        <f t="shared" si="23"/>
        <v>#DIV/0!</v>
      </c>
    </row>
    <row r="684" spans="21:23" x14ac:dyDescent="0.2">
      <c r="U684" s="616"/>
      <c r="W684" s="620" t="e">
        <f t="shared" si="23"/>
        <v>#DIV/0!</v>
      </c>
    </row>
    <row r="685" spans="21:23" x14ac:dyDescent="0.2">
      <c r="U685" s="616"/>
      <c r="W685" s="620" t="e">
        <f t="shared" si="23"/>
        <v>#DIV/0!</v>
      </c>
    </row>
    <row r="686" spans="21:23" x14ac:dyDescent="0.2">
      <c r="U686" s="616"/>
      <c r="W686" s="620" t="e">
        <f t="shared" si="23"/>
        <v>#DIV/0!</v>
      </c>
    </row>
    <row r="687" spans="21:23" x14ac:dyDescent="0.2">
      <c r="U687" s="616"/>
      <c r="W687" s="620" t="e">
        <f t="shared" si="23"/>
        <v>#DIV/0!</v>
      </c>
    </row>
    <row r="688" spans="21:23" x14ac:dyDescent="0.2">
      <c r="U688" s="616"/>
      <c r="W688" s="620" t="e">
        <f t="shared" si="23"/>
        <v>#DIV/0!</v>
      </c>
    </row>
    <row r="689" spans="21:23" x14ac:dyDescent="0.2">
      <c r="U689" s="616"/>
      <c r="W689" s="620" t="e">
        <f t="shared" si="23"/>
        <v>#DIV/0!</v>
      </c>
    </row>
    <row r="690" spans="21:23" x14ac:dyDescent="0.2">
      <c r="U690" s="616"/>
      <c r="W690" s="620" t="e">
        <f t="shared" si="23"/>
        <v>#DIV/0!</v>
      </c>
    </row>
    <row r="691" spans="21:23" x14ac:dyDescent="0.2">
      <c r="U691" s="616"/>
      <c r="W691" s="620" t="e">
        <f t="shared" si="23"/>
        <v>#DIV/0!</v>
      </c>
    </row>
    <row r="692" spans="21:23" x14ac:dyDescent="0.2">
      <c r="U692" s="616"/>
      <c r="W692" s="620" t="e">
        <f t="shared" si="23"/>
        <v>#DIV/0!</v>
      </c>
    </row>
    <row r="693" spans="21:23" x14ac:dyDescent="0.2">
      <c r="U693" s="616"/>
      <c r="W693" s="620" t="e">
        <f t="shared" si="23"/>
        <v>#DIV/0!</v>
      </c>
    </row>
    <row r="694" spans="21:23" x14ac:dyDescent="0.2">
      <c r="U694" s="616"/>
      <c r="W694" s="620" t="e">
        <f t="shared" si="23"/>
        <v>#DIV/0!</v>
      </c>
    </row>
    <row r="695" spans="21:23" x14ac:dyDescent="0.2">
      <c r="U695" s="616"/>
      <c r="W695" s="620" t="e">
        <f t="shared" si="23"/>
        <v>#DIV/0!</v>
      </c>
    </row>
    <row r="696" spans="21:23" x14ac:dyDescent="0.2">
      <c r="U696" s="616"/>
      <c r="W696" s="620" t="e">
        <f t="shared" si="23"/>
        <v>#DIV/0!</v>
      </c>
    </row>
    <row r="697" spans="21:23" x14ac:dyDescent="0.2">
      <c r="U697" s="616"/>
      <c r="W697" s="620" t="e">
        <f t="shared" si="23"/>
        <v>#DIV/0!</v>
      </c>
    </row>
    <row r="698" spans="21:23" x14ac:dyDescent="0.2">
      <c r="U698" s="616"/>
      <c r="W698" s="620" t="e">
        <f t="shared" si="23"/>
        <v>#DIV/0!</v>
      </c>
    </row>
    <row r="699" spans="21:23" x14ac:dyDescent="0.2">
      <c r="U699" s="616"/>
      <c r="W699" s="620" t="e">
        <f t="shared" si="23"/>
        <v>#DIV/0!</v>
      </c>
    </row>
    <row r="700" spans="21:23" x14ac:dyDescent="0.2">
      <c r="U700" s="616"/>
      <c r="W700" s="620" t="e">
        <f t="shared" si="23"/>
        <v>#DIV/0!</v>
      </c>
    </row>
    <row r="701" spans="21:23" x14ac:dyDescent="0.2">
      <c r="U701" s="616"/>
      <c r="W701" s="620" t="e">
        <f t="shared" si="23"/>
        <v>#DIV/0!</v>
      </c>
    </row>
    <row r="702" spans="21:23" x14ac:dyDescent="0.2">
      <c r="U702" s="616"/>
      <c r="W702" s="620" t="e">
        <f t="shared" si="23"/>
        <v>#DIV/0!</v>
      </c>
    </row>
    <row r="703" spans="21:23" x14ac:dyDescent="0.2">
      <c r="U703" s="616"/>
      <c r="W703" s="620" t="e">
        <f t="shared" si="23"/>
        <v>#DIV/0!</v>
      </c>
    </row>
    <row r="704" spans="21:23" x14ac:dyDescent="0.2">
      <c r="U704" s="616"/>
      <c r="W704" s="620" t="e">
        <f t="shared" si="23"/>
        <v>#DIV/0!</v>
      </c>
    </row>
    <row r="705" spans="21:23" x14ac:dyDescent="0.2">
      <c r="U705" s="616"/>
      <c r="W705" s="620" t="e">
        <f t="shared" si="23"/>
        <v>#DIV/0!</v>
      </c>
    </row>
    <row r="706" spans="21:23" x14ac:dyDescent="0.2">
      <c r="U706" s="616"/>
      <c r="W706" s="620" t="e">
        <f t="shared" si="23"/>
        <v>#DIV/0!</v>
      </c>
    </row>
    <row r="707" spans="21:23" x14ac:dyDescent="0.2">
      <c r="U707" s="616"/>
      <c r="W707" s="620" t="e">
        <f t="shared" si="23"/>
        <v>#DIV/0!</v>
      </c>
    </row>
    <row r="708" spans="21:23" x14ac:dyDescent="0.2">
      <c r="U708" s="616"/>
      <c r="W708" s="620" t="e">
        <f t="shared" ref="W708:W771" si="24">AVERAGE($V$4:$V$2517)</f>
        <v>#DIV/0!</v>
      </c>
    </row>
    <row r="709" spans="21:23" x14ac:dyDescent="0.2">
      <c r="U709" s="616"/>
      <c r="W709" s="620" t="e">
        <f t="shared" si="24"/>
        <v>#DIV/0!</v>
      </c>
    </row>
    <row r="710" spans="21:23" x14ac:dyDescent="0.2">
      <c r="U710" s="616"/>
      <c r="W710" s="620" t="e">
        <f t="shared" si="24"/>
        <v>#DIV/0!</v>
      </c>
    </row>
    <row r="711" spans="21:23" x14ac:dyDescent="0.2">
      <c r="U711" s="616"/>
      <c r="W711" s="620" t="e">
        <f t="shared" si="24"/>
        <v>#DIV/0!</v>
      </c>
    </row>
    <row r="712" spans="21:23" x14ac:dyDescent="0.2">
      <c r="U712" s="616"/>
      <c r="W712" s="620" t="e">
        <f t="shared" si="24"/>
        <v>#DIV/0!</v>
      </c>
    </row>
    <row r="713" spans="21:23" x14ac:dyDescent="0.2">
      <c r="U713" s="616"/>
      <c r="W713" s="620" t="e">
        <f t="shared" si="24"/>
        <v>#DIV/0!</v>
      </c>
    </row>
    <row r="714" spans="21:23" x14ac:dyDescent="0.2">
      <c r="U714" s="616"/>
      <c r="W714" s="620" t="e">
        <f t="shared" si="24"/>
        <v>#DIV/0!</v>
      </c>
    </row>
    <row r="715" spans="21:23" x14ac:dyDescent="0.2">
      <c r="U715" s="616"/>
      <c r="W715" s="620" t="e">
        <f t="shared" si="24"/>
        <v>#DIV/0!</v>
      </c>
    </row>
    <row r="716" spans="21:23" x14ac:dyDescent="0.2">
      <c r="U716" s="616"/>
      <c r="W716" s="620" t="e">
        <f t="shared" si="24"/>
        <v>#DIV/0!</v>
      </c>
    </row>
    <row r="717" spans="21:23" x14ac:dyDescent="0.2">
      <c r="U717" s="616"/>
      <c r="W717" s="620" t="e">
        <f t="shared" si="24"/>
        <v>#DIV/0!</v>
      </c>
    </row>
    <row r="718" spans="21:23" x14ac:dyDescent="0.2">
      <c r="U718" s="616"/>
      <c r="W718" s="620" t="e">
        <f t="shared" si="24"/>
        <v>#DIV/0!</v>
      </c>
    </row>
    <row r="719" spans="21:23" x14ac:dyDescent="0.2">
      <c r="U719" s="616"/>
      <c r="W719" s="620" t="e">
        <f t="shared" si="24"/>
        <v>#DIV/0!</v>
      </c>
    </row>
    <row r="720" spans="21:23" x14ac:dyDescent="0.2">
      <c r="U720" s="616"/>
      <c r="W720" s="620" t="e">
        <f t="shared" si="24"/>
        <v>#DIV/0!</v>
      </c>
    </row>
    <row r="721" spans="21:23" x14ac:dyDescent="0.2">
      <c r="U721" s="616"/>
      <c r="W721" s="620" t="e">
        <f t="shared" si="24"/>
        <v>#DIV/0!</v>
      </c>
    </row>
    <row r="722" spans="21:23" x14ac:dyDescent="0.2">
      <c r="U722" s="616"/>
      <c r="W722" s="620" t="e">
        <f t="shared" si="24"/>
        <v>#DIV/0!</v>
      </c>
    </row>
    <row r="723" spans="21:23" x14ac:dyDescent="0.2">
      <c r="U723" s="616"/>
      <c r="W723" s="620" t="e">
        <f t="shared" si="24"/>
        <v>#DIV/0!</v>
      </c>
    </row>
    <row r="724" spans="21:23" x14ac:dyDescent="0.2">
      <c r="U724" s="616"/>
      <c r="W724" s="620" t="e">
        <f t="shared" si="24"/>
        <v>#DIV/0!</v>
      </c>
    </row>
    <row r="725" spans="21:23" x14ac:dyDescent="0.2">
      <c r="U725" s="616"/>
      <c r="W725" s="620" t="e">
        <f t="shared" si="24"/>
        <v>#DIV/0!</v>
      </c>
    </row>
    <row r="726" spans="21:23" x14ac:dyDescent="0.2">
      <c r="U726" s="616"/>
      <c r="W726" s="620" t="e">
        <f t="shared" si="24"/>
        <v>#DIV/0!</v>
      </c>
    </row>
    <row r="727" spans="21:23" x14ac:dyDescent="0.2">
      <c r="U727" s="616"/>
      <c r="W727" s="620" t="e">
        <f t="shared" si="24"/>
        <v>#DIV/0!</v>
      </c>
    </row>
    <row r="728" spans="21:23" x14ac:dyDescent="0.2">
      <c r="U728" s="616"/>
      <c r="W728" s="620" t="e">
        <f t="shared" si="24"/>
        <v>#DIV/0!</v>
      </c>
    </row>
    <row r="729" spans="21:23" x14ac:dyDescent="0.2">
      <c r="U729" s="616"/>
      <c r="W729" s="620" t="e">
        <f t="shared" si="24"/>
        <v>#DIV/0!</v>
      </c>
    </row>
    <row r="730" spans="21:23" x14ac:dyDescent="0.2">
      <c r="U730" s="616"/>
      <c r="W730" s="620" t="e">
        <f t="shared" si="24"/>
        <v>#DIV/0!</v>
      </c>
    </row>
    <row r="731" spans="21:23" x14ac:dyDescent="0.2">
      <c r="U731" s="616"/>
      <c r="W731" s="620" t="e">
        <f t="shared" si="24"/>
        <v>#DIV/0!</v>
      </c>
    </row>
    <row r="732" spans="21:23" x14ac:dyDescent="0.2">
      <c r="U732" s="616"/>
      <c r="W732" s="620" t="e">
        <f t="shared" si="24"/>
        <v>#DIV/0!</v>
      </c>
    </row>
    <row r="733" spans="21:23" x14ac:dyDescent="0.2">
      <c r="U733" s="616"/>
      <c r="W733" s="620" t="e">
        <f t="shared" si="24"/>
        <v>#DIV/0!</v>
      </c>
    </row>
    <row r="734" spans="21:23" x14ac:dyDescent="0.2">
      <c r="U734" s="616"/>
      <c r="W734" s="620" t="e">
        <f t="shared" si="24"/>
        <v>#DIV/0!</v>
      </c>
    </row>
    <row r="735" spans="21:23" x14ac:dyDescent="0.2">
      <c r="U735" s="616"/>
      <c r="W735" s="620" t="e">
        <f t="shared" si="24"/>
        <v>#DIV/0!</v>
      </c>
    </row>
    <row r="736" spans="21:23" x14ac:dyDescent="0.2">
      <c r="U736" s="616"/>
      <c r="W736" s="620" t="e">
        <f t="shared" si="24"/>
        <v>#DIV/0!</v>
      </c>
    </row>
    <row r="737" spans="21:23" x14ac:dyDescent="0.2">
      <c r="U737" s="616"/>
      <c r="W737" s="620" t="e">
        <f t="shared" si="24"/>
        <v>#DIV/0!</v>
      </c>
    </row>
    <row r="738" spans="21:23" x14ac:dyDescent="0.2">
      <c r="U738" s="616"/>
      <c r="W738" s="620" t="e">
        <f t="shared" si="24"/>
        <v>#DIV/0!</v>
      </c>
    </row>
    <row r="739" spans="21:23" x14ac:dyDescent="0.2">
      <c r="U739" s="616"/>
      <c r="W739" s="620" t="e">
        <f t="shared" si="24"/>
        <v>#DIV/0!</v>
      </c>
    </row>
    <row r="740" spans="21:23" x14ac:dyDescent="0.2">
      <c r="U740" s="616"/>
      <c r="W740" s="620" t="e">
        <f t="shared" si="24"/>
        <v>#DIV/0!</v>
      </c>
    </row>
    <row r="741" spans="21:23" x14ac:dyDescent="0.2">
      <c r="U741" s="616"/>
      <c r="W741" s="620" t="e">
        <f t="shared" si="24"/>
        <v>#DIV/0!</v>
      </c>
    </row>
    <row r="742" spans="21:23" x14ac:dyDescent="0.2">
      <c r="U742" s="616"/>
      <c r="W742" s="620" t="e">
        <f t="shared" si="24"/>
        <v>#DIV/0!</v>
      </c>
    </row>
    <row r="743" spans="21:23" x14ac:dyDescent="0.2">
      <c r="U743" s="616"/>
      <c r="W743" s="620" t="e">
        <f t="shared" si="24"/>
        <v>#DIV/0!</v>
      </c>
    </row>
    <row r="744" spans="21:23" x14ac:dyDescent="0.2">
      <c r="U744" s="616"/>
      <c r="W744" s="620" t="e">
        <f t="shared" si="24"/>
        <v>#DIV/0!</v>
      </c>
    </row>
    <row r="745" spans="21:23" x14ac:dyDescent="0.2">
      <c r="U745" s="616"/>
      <c r="W745" s="620" t="e">
        <f t="shared" si="24"/>
        <v>#DIV/0!</v>
      </c>
    </row>
    <row r="746" spans="21:23" x14ac:dyDescent="0.2">
      <c r="U746" s="616"/>
      <c r="W746" s="620" t="e">
        <f t="shared" si="24"/>
        <v>#DIV/0!</v>
      </c>
    </row>
    <row r="747" spans="21:23" x14ac:dyDescent="0.2">
      <c r="U747" s="616"/>
      <c r="W747" s="620" t="e">
        <f t="shared" si="24"/>
        <v>#DIV/0!</v>
      </c>
    </row>
    <row r="748" spans="21:23" x14ac:dyDescent="0.2">
      <c r="U748" s="616"/>
      <c r="W748" s="620" t="e">
        <f t="shared" si="24"/>
        <v>#DIV/0!</v>
      </c>
    </row>
    <row r="749" spans="21:23" x14ac:dyDescent="0.2">
      <c r="U749" s="616"/>
      <c r="W749" s="620" t="e">
        <f t="shared" si="24"/>
        <v>#DIV/0!</v>
      </c>
    </row>
    <row r="750" spans="21:23" x14ac:dyDescent="0.2">
      <c r="U750" s="616"/>
      <c r="W750" s="620" t="e">
        <f t="shared" si="24"/>
        <v>#DIV/0!</v>
      </c>
    </row>
    <row r="751" spans="21:23" x14ac:dyDescent="0.2">
      <c r="U751" s="616"/>
      <c r="W751" s="620" t="e">
        <f t="shared" si="24"/>
        <v>#DIV/0!</v>
      </c>
    </row>
    <row r="752" spans="21:23" x14ac:dyDescent="0.2">
      <c r="U752" s="616"/>
      <c r="W752" s="620" t="e">
        <f t="shared" si="24"/>
        <v>#DIV/0!</v>
      </c>
    </row>
    <row r="753" spans="21:23" x14ac:dyDescent="0.2">
      <c r="U753" s="616"/>
      <c r="W753" s="620" t="e">
        <f t="shared" si="24"/>
        <v>#DIV/0!</v>
      </c>
    </row>
    <row r="754" spans="21:23" x14ac:dyDescent="0.2">
      <c r="U754" s="616"/>
      <c r="W754" s="620" t="e">
        <f t="shared" si="24"/>
        <v>#DIV/0!</v>
      </c>
    </row>
    <row r="755" spans="21:23" x14ac:dyDescent="0.2">
      <c r="U755" s="616"/>
      <c r="W755" s="620" t="e">
        <f t="shared" si="24"/>
        <v>#DIV/0!</v>
      </c>
    </row>
    <row r="756" spans="21:23" x14ac:dyDescent="0.2">
      <c r="U756" s="616"/>
      <c r="W756" s="620" t="e">
        <f t="shared" si="24"/>
        <v>#DIV/0!</v>
      </c>
    </row>
    <row r="757" spans="21:23" x14ac:dyDescent="0.2">
      <c r="U757" s="616"/>
      <c r="W757" s="620" t="e">
        <f t="shared" si="24"/>
        <v>#DIV/0!</v>
      </c>
    </row>
    <row r="758" spans="21:23" x14ac:dyDescent="0.2">
      <c r="U758" s="616"/>
      <c r="W758" s="620" t="e">
        <f t="shared" si="24"/>
        <v>#DIV/0!</v>
      </c>
    </row>
    <row r="759" spans="21:23" x14ac:dyDescent="0.2">
      <c r="U759" s="616"/>
      <c r="W759" s="620" t="e">
        <f t="shared" si="24"/>
        <v>#DIV/0!</v>
      </c>
    </row>
    <row r="760" spans="21:23" x14ac:dyDescent="0.2">
      <c r="U760" s="616"/>
      <c r="W760" s="620" t="e">
        <f t="shared" si="24"/>
        <v>#DIV/0!</v>
      </c>
    </row>
    <row r="761" spans="21:23" x14ac:dyDescent="0.2">
      <c r="U761" s="616"/>
      <c r="W761" s="620" t="e">
        <f t="shared" si="24"/>
        <v>#DIV/0!</v>
      </c>
    </row>
    <row r="762" spans="21:23" x14ac:dyDescent="0.2">
      <c r="U762" s="616"/>
      <c r="W762" s="620" t="e">
        <f t="shared" si="24"/>
        <v>#DIV/0!</v>
      </c>
    </row>
    <row r="763" spans="21:23" x14ac:dyDescent="0.2">
      <c r="U763" s="616"/>
      <c r="W763" s="620" t="e">
        <f t="shared" si="24"/>
        <v>#DIV/0!</v>
      </c>
    </row>
    <row r="764" spans="21:23" x14ac:dyDescent="0.2">
      <c r="U764" s="616"/>
      <c r="W764" s="620" t="e">
        <f t="shared" si="24"/>
        <v>#DIV/0!</v>
      </c>
    </row>
    <row r="765" spans="21:23" x14ac:dyDescent="0.2">
      <c r="U765" s="616"/>
      <c r="W765" s="620" t="e">
        <f t="shared" si="24"/>
        <v>#DIV/0!</v>
      </c>
    </row>
    <row r="766" spans="21:23" x14ac:dyDescent="0.2">
      <c r="U766" s="616"/>
      <c r="W766" s="620" t="e">
        <f t="shared" si="24"/>
        <v>#DIV/0!</v>
      </c>
    </row>
    <row r="767" spans="21:23" x14ac:dyDescent="0.2">
      <c r="U767" s="616"/>
      <c r="W767" s="620" t="e">
        <f t="shared" si="24"/>
        <v>#DIV/0!</v>
      </c>
    </row>
    <row r="768" spans="21:23" x14ac:dyDescent="0.2">
      <c r="U768" s="616"/>
      <c r="W768" s="620" t="e">
        <f t="shared" si="24"/>
        <v>#DIV/0!</v>
      </c>
    </row>
    <row r="769" spans="21:23" x14ac:dyDescent="0.2">
      <c r="U769" s="616"/>
      <c r="W769" s="620" t="e">
        <f t="shared" si="24"/>
        <v>#DIV/0!</v>
      </c>
    </row>
    <row r="770" spans="21:23" x14ac:dyDescent="0.2">
      <c r="U770" s="616"/>
      <c r="W770" s="620" t="e">
        <f t="shared" si="24"/>
        <v>#DIV/0!</v>
      </c>
    </row>
    <row r="771" spans="21:23" x14ac:dyDescent="0.2">
      <c r="U771" s="616"/>
      <c r="W771" s="620" t="e">
        <f t="shared" si="24"/>
        <v>#DIV/0!</v>
      </c>
    </row>
    <row r="772" spans="21:23" x14ac:dyDescent="0.2">
      <c r="U772" s="616"/>
      <c r="W772" s="620" t="e">
        <f t="shared" ref="W772:W835" si="25">AVERAGE($V$4:$V$2517)</f>
        <v>#DIV/0!</v>
      </c>
    </row>
    <row r="773" spans="21:23" x14ac:dyDescent="0.2">
      <c r="U773" s="616"/>
      <c r="W773" s="620" t="e">
        <f t="shared" si="25"/>
        <v>#DIV/0!</v>
      </c>
    </row>
    <row r="774" spans="21:23" x14ac:dyDescent="0.2">
      <c r="U774" s="616"/>
      <c r="W774" s="620" t="e">
        <f t="shared" si="25"/>
        <v>#DIV/0!</v>
      </c>
    </row>
    <row r="775" spans="21:23" x14ac:dyDescent="0.2">
      <c r="U775" s="616"/>
      <c r="W775" s="620" t="e">
        <f t="shared" si="25"/>
        <v>#DIV/0!</v>
      </c>
    </row>
    <row r="776" spans="21:23" x14ac:dyDescent="0.2">
      <c r="U776" s="616"/>
      <c r="W776" s="620" t="e">
        <f t="shared" si="25"/>
        <v>#DIV/0!</v>
      </c>
    </row>
    <row r="777" spans="21:23" x14ac:dyDescent="0.2">
      <c r="U777" s="616"/>
      <c r="W777" s="620" t="e">
        <f t="shared" si="25"/>
        <v>#DIV/0!</v>
      </c>
    </row>
    <row r="778" spans="21:23" x14ac:dyDescent="0.2">
      <c r="U778" s="616"/>
      <c r="W778" s="620" t="e">
        <f t="shared" si="25"/>
        <v>#DIV/0!</v>
      </c>
    </row>
    <row r="779" spans="21:23" x14ac:dyDescent="0.2">
      <c r="U779" s="616"/>
      <c r="W779" s="620" t="e">
        <f t="shared" si="25"/>
        <v>#DIV/0!</v>
      </c>
    </row>
    <row r="780" spans="21:23" x14ac:dyDescent="0.2">
      <c r="U780" s="616"/>
      <c r="W780" s="620" t="e">
        <f t="shared" si="25"/>
        <v>#DIV/0!</v>
      </c>
    </row>
    <row r="781" spans="21:23" x14ac:dyDescent="0.2">
      <c r="U781" s="616"/>
      <c r="W781" s="620" t="e">
        <f t="shared" si="25"/>
        <v>#DIV/0!</v>
      </c>
    </row>
    <row r="782" spans="21:23" x14ac:dyDescent="0.2">
      <c r="U782" s="616"/>
      <c r="W782" s="620" t="e">
        <f t="shared" si="25"/>
        <v>#DIV/0!</v>
      </c>
    </row>
    <row r="783" spans="21:23" x14ac:dyDescent="0.2">
      <c r="U783" s="616"/>
      <c r="W783" s="620" t="e">
        <f t="shared" si="25"/>
        <v>#DIV/0!</v>
      </c>
    </row>
    <row r="784" spans="21:23" x14ac:dyDescent="0.2">
      <c r="U784" s="616"/>
      <c r="W784" s="620" t="e">
        <f t="shared" si="25"/>
        <v>#DIV/0!</v>
      </c>
    </row>
    <row r="785" spans="21:23" x14ac:dyDescent="0.2">
      <c r="U785" s="616"/>
      <c r="W785" s="620" t="e">
        <f t="shared" si="25"/>
        <v>#DIV/0!</v>
      </c>
    </row>
    <row r="786" spans="21:23" x14ac:dyDescent="0.2">
      <c r="U786" s="616"/>
      <c r="W786" s="620" t="e">
        <f t="shared" si="25"/>
        <v>#DIV/0!</v>
      </c>
    </row>
    <row r="787" spans="21:23" x14ac:dyDescent="0.2">
      <c r="U787" s="616"/>
      <c r="W787" s="620" t="e">
        <f t="shared" si="25"/>
        <v>#DIV/0!</v>
      </c>
    </row>
    <row r="788" spans="21:23" x14ac:dyDescent="0.2">
      <c r="U788" s="616"/>
      <c r="W788" s="620" t="e">
        <f t="shared" si="25"/>
        <v>#DIV/0!</v>
      </c>
    </row>
    <row r="789" spans="21:23" x14ac:dyDescent="0.2">
      <c r="U789" s="616"/>
      <c r="W789" s="620" t="e">
        <f t="shared" si="25"/>
        <v>#DIV/0!</v>
      </c>
    </row>
    <row r="790" spans="21:23" x14ac:dyDescent="0.2">
      <c r="U790" s="616"/>
      <c r="W790" s="620" t="e">
        <f t="shared" si="25"/>
        <v>#DIV/0!</v>
      </c>
    </row>
    <row r="791" spans="21:23" x14ac:dyDescent="0.2">
      <c r="U791" s="616"/>
      <c r="W791" s="620" t="e">
        <f t="shared" si="25"/>
        <v>#DIV/0!</v>
      </c>
    </row>
    <row r="792" spans="21:23" x14ac:dyDescent="0.2">
      <c r="U792" s="616"/>
      <c r="W792" s="620" t="e">
        <f t="shared" si="25"/>
        <v>#DIV/0!</v>
      </c>
    </row>
    <row r="793" spans="21:23" x14ac:dyDescent="0.2">
      <c r="U793" s="616"/>
      <c r="W793" s="620" t="e">
        <f t="shared" si="25"/>
        <v>#DIV/0!</v>
      </c>
    </row>
    <row r="794" spans="21:23" x14ac:dyDescent="0.2">
      <c r="U794" s="616"/>
      <c r="W794" s="620" t="e">
        <f t="shared" si="25"/>
        <v>#DIV/0!</v>
      </c>
    </row>
    <row r="795" spans="21:23" x14ac:dyDescent="0.2">
      <c r="U795" s="616"/>
      <c r="W795" s="620" t="e">
        <f t="shared" si="25"/>
        <v>#DIV/0!</v>
      </c>
    </row>
    <row r="796" spans="21:23" x14ac:dyDescent="0.2">
      <c r="U796" s="616"/>
      <c r="W796" s="620" t="e">
        <f t="shared" si="25"/>
        <v>#DIV/0!</v>
      </c>
    </row>
    <row r="797" spans="21:23" x14ac:dyDescent="0.2">
      <c r="U797" s="616"/>
      <c r="W797" s="620" t="e">
        <f t="shared" si="25"/>
        <v>#DIV/0!</v>
      </c>
    </row>
    <row r="798" spans="21:23" x14ac:dyDescent="0.2">
      <c r="U798" s="616"/>
      <c r="W798" s="620" t="e">
        <f t="shared" si="25"/>
        <v>#DIV/0!</v>
      </c>
    </row>
    <row r="799" spans="21:23" x14ac:dyDescent="0.2">
      <c r="U799" s="616"/>
      <c r="W799" s="620" t="e">
        <f t="shared" si="25"/>
        <v>#DIV/0!</v>
      </c>
    </row>
    <row r="800" spans="21:23" x14ac:dyDescent="0.2">
      <c r="U800" s="616"/>
      <c r="W800" s="620" t="e">
        <f t="shared" si="25"/>
        <v>#DIV/0!</v>
      </c>
    </row>
    <row r="801" spans="21:23" x14ac:dyDescent="0.2">
      <c r="U801" s="616"/>
      <c r="W801" s="620" t="e">
        <f t="shared" si="25"/>
        <v>#DIV/0!</v>
      </c>
    </row>
    <row r="802" spans="21:23" x14ac:dyDescent="0.2">
      <c r="U802" s="616"/>
      <c r="W802" s="620" t="e">
        <f t="shared" si="25"/>
        <v>#DIV/0!</v>
      </c>
    </row>
    <row r="803" spans="21:23" x14ac:dyDescent="0.2">
      <c r="U803" s="616"/>
      <c r="W803" s="620" t="e">
        <f t="shared" si="25"/>
        <v>#DIV/0!</v>
      </c>
    </row>
    <row r="804" spans="21:23" x14ac:dyDescent="0.2">
      <c r="U804" s="616"/>
      <c r="W804" s="620" t="e">
        <f t="shared" si="25"/>
        <v>#DIV/0!</v>
      </c>
    </row>
    <row r="805" spans="21:23" x14ac:dyDescent="0.2">
      <c r="U805" s="616"/>
      <c r="W805" s="620" t="e">
        <f t="shared" si="25"/>
        <v>#DIV/0!</v>
      </c>
    </row>
    <row r="806" spans="21:23" x14ac:dyDescent="0.2">
      <c r="U806" s="616"/>
      <c r="W806" s="620" t="e">
        <f t="shared" si="25"/>
        <v>#DIV/0!</v>
      </c>
    </row>
    <row r="807" spans="21:23" x14ac:dyDescent="0.2">
      <c r="U807" s="616"/>
      <c r="W807" s="620" t="e">
        <f t="shared" si="25"/>
        <v>#DIV/0!</v>
      </c>
    </row>
    <row r="808" spans="21:23" x14ac:dyDescent="0.2">
      <c r="U808" s="616"/>
      <c r="W808" s="620" t="e">
        <f t="shared" si="25"/>
        <v>#DIV/0!</v>
      </c>
    </row>
    <row r="809" spans="21:23" x14ac:dyDescent="0.2">
      <c r="U809" s="616"/>
      <c r="W809" s="620" t="e">
        <f t="shared" si="25"/>
        <v>#DIV/0!</v>
      </c>
    </row>
    <row r="810" spans="21:23" x14ac:dyDescent="0.2">
      <c r="U810" s="616"/>
      <c r="W810" s="620" t="e">
        <f t="shared" si="25"/>
        <v>#DIV/0!</v>
      </c>
    </row>
    <row r="811" spans="21:23" x14ac:dyDescent="0.2">
      <c r="U811" s="616"/>
      <c r="W811" s="620" t="e">
        <f t="shared" si="25"/>
        <v>#DIV/0!</v>
      </c>
    </row>
    <row r="812" spans="21:23" x14ac:dyDescent="0.2">
      <c r="U812" s="616"/>
      <c r="W812" s="620" t="e">
        <f t="shared" si="25"/>
        <v>#DIV/0!</v>
      </c>
    </row>
    <row r="813" spans="21:23" x14ac:dyDescent="0.2">
      <c r="U813" s="616"/>
      <c r="W813" s="620" t="e">
        <f t="shared" si="25"/>
        <v>#DIV/0!</v>
      </c>
    </row>
    <row r="814" spans="21:23" x14ac:dyDescent="0.2">
      <c r="U814" s="616"/>
      <c r="W814" s="620" t="e">
        <f t="shared" si="25"/>
        <v>#DIV/0!</v>
      </c>
    </row>
    <row r="815" spans="21:23" x14ac:dyDescent="0.2">
      <c r="U815" s="616"/>
      <c r="W815" s="620" t="e">
        <f t="shared" si="25"/>
        <v>#DIV/0!</v>
      </c>
    </row>
    <row r="816" spans="21:23" x14ac:dyDescent="0.2">
      <c r="U816" s="616"/>
      <c r="W816" s="620" t="e">
        <f t="shared" si="25"/>
        <v>#DIV/0!</v>
      </c>
    </row>
    <row r="817" spans="21:23" x14ac:dyDescent="0.2">
      <c r="U817" s="616"/>
      <c r="W817" s="620" t="e">
        <f t="shared" si="25"/>
        <v>#DIV/0!</v>
      </c>
    </row>
    <row r="818" spans="21:23" x14ac:dyDescent="0.2">
      <c r="U818" s="616"/>
      <c r="W818" s="620" t="e">
        <f t="shared" si="25"/>
        <v>#DIV/0!</v>
      </c>
    </row>
    <row r="819" spans="21:23" x14ac:dyDescent="0.2">
      <c r="U819" s="616"/>
      <c r="W819" s="620" t="e">
        <f t="shared" si="25"/>
        <v>#DIV/0!</v>
      </c>
    </row>
    <row r="820" spans="21:23" x14ac:dyDescent="0.2">
      <c r="U820" s="616"/>
      <c r="W820" s="620" t="e">
        <f t="shared" si="25"/>
        <v>#DIV/0!</v>
      </c>
    </row>
    <row r="821" spans="21:23" x14ac:dyDescent="0.2">
      <c r="U821" s="616"/>
      <c r="W821" s="620" t="e">
        <f t="shared" si="25"/>
        <v>#DIV/0!</v>
      </c>
    </row>
    <row r="822" spans="21:23" x14ac:dyDescent="0.2">
      <c r="U822" s="616"/>
      <c r="W822" s="620" t="e">
        <f t="shared" si="25"/>
        <v>#DIV/0!</v>
      </c>
    </row>
    <row r="823" spans="21:23" x14ac:dyDescent="0.2">
      <c r="U823" s="616"/>
      <c r="W823" s="620" t="e">
        <f t="shared" si="25"/>
        <v>#DIV/0!</v>
      </c>
    </row>
    <row r="824" spans="21:23" x14ac:dyDescent="0.2">
      <c r="U824" s="616"/>
      <c r="W824" s="620" t="e">
        <f t="shared" si="25"/>
        <v>#DIV/0!</v>
      </c>
    </row>
    <row r="825" spans="21:23" x14ac:dyDescent="0.2">
      <c r="U825" s="616"/>
      <c r="W825" s="620" t="e">
        <f t="shared" si="25"/>
        <v>#DIV/0!</v>
      </c>
    </row>
    <row r="826" spans="21:23" x14ac:dyDescent="0.2">
      <c r="U826" s="616"/>
      <c r="W826" s="620" t="e">
        <f t="shared" si="25"/>
        <v>#DIV/0!</v>
      </c>
    </row>
    <row r="827" spans="21:23" x14ac:dyDescent="0.2">
      <c r="U827" s="616"/>
      <c r="W827" s="620" t="e">
        <f t="shared" si="25"/>
        <v>#DIV/0!</v>
      </c>
    </row>
    <row r="828" spans="21:23" x14ac:dyDescent="0.2">
      <c r="U828" s="616"/>
      <c r="W828" s="620" t="e">
        <f t="shared" si="25"/>
        <v>#DIV/0!</v>
      </c>
    </row>
    <row r="829" spans="21:23" x14ac:dyDescent="0.2">
      <c r="U829" s="616"/>
      <c r="W829" s="620" t="e">
        <f t="shared" si="25"/>
        <v>#DIV/0!</v>
      </c>
    </row>
    <row r="830" spans="21:23" x14ac:dyDescent="0.2">
      <c r="U830" s="616"/>
      <c r="W830" s="620" t="e">
        <f t="shared" si="25"/>
        <v>#DIV/0!</v>
      </c>
    </row>
    <row r="831" spans="21:23" x14ac:dyDescent="0.2">
      <c r="U831" s="616"/>
      <c r="W831" s="620" t="e">
        <f t="shared" si="25"/>
        <v>#DIV/0!</v>
      </c>
    </row>
    <row r="832" spans="21:23" x14ac:dyDescent="0.2">
      <c r="U832" s="616"/>
      <c r="W832" s="620" t="e">
        <f t="shared" si="25"/>
        <v>#DIV/0!</v>
      </c>
    </row>
    <row r="833" spans="21:23" x14ac:dyDescent="0.2">
      <c r="U833" s="616"/>
      <c r="W833" s="620" t="e">
        <f t="shared" si="25"/>
        <v>#DIV/0!</v>
      </c>
    </row>
    <row r="834" spans="21:23" x14ac:dyDescent="0.2">
      <c r="U834" s="616"/>
      <c r="W834" s="620" t="e">
        <f t="shared" si="25"/>
        <v>#DIV/0!</v>
      </c>
    </row>
    <row r="835" spans="21:23" x14ac:dyDescent="0.2">
      <c r="U835" s="616"/>
      <c r="W835" s="620" t="e">
        <f t="shared" si="25"/>
        <v>#DIV/0!</v>
      </c>
    </row>
    <row r="836" spans="21:23" x14ac:dyDescent="0.2">
      <c r="U836" s="616"/>
      <c r="W836" s="620" t="e">
        <f t="shared" ref="W836:W899" si="26">AVERAGE($V$4:$V$2517)</f>
        <v>#DIV/0!</v>
      </c>
    </row>
    <row r="837" spans="21:23" x14ac:dyDescent="0.2">
      <c r="U837" s="616"/>
      <c r="W837" s="620" t="e">
        <f t="shared" si="26"/>
        <v>#DIV/0!</v>
      </c>
    </row>
    <row r="838" spans="21:23" x14ac:dyDescent="0.2">
      <c r="U838" s="616"/>
      <c r="W838" s="620" t="e">
        <f t="shared" si="26"/>
        <v>#DIV/0!</v>
      </c>
    </row>
    <row r="839" spans="21:23" x14ac:dyDescent="0.2">
      <c r="U839" s="616"/>
      <c r="W839" s="620" t="e">
        <f t="shared" si="26"/>
        <v>#DIV/0!</v>
      </c>
    </row>
    <row r="840" spans="21:23" x14ac:dyDescent="0.2">
      <c r="U840" s="616"/>
      <c r="W840" s="620" t="e">
        <f t="shared" si="26"/>
        <v>#DIV/0!</v>
      </c>
    </row>
    <row r="841" spans="21:23" x14ac:dyDescent="0.2">
      <c r="U841" s="616"/>
      <c r="W841" s="620" t="e">
        <f t="shared" si="26"/>
        <v>#DIV/0!</v>
      </c>
    </row>
    <row r="842" spans="21:23" x14ac:dyDescent="0.2">
      <c r="U842" s="616"/>
      <c r="W842" s="620" t="e">
        <f t="shared" si="26"/>
        <v>#DIV/0!</v>
      </c>
    </row>
    <row r="843" spans="21:23" x14ac:dyDescent="0.2">
      <c r="U843" s="616"/>
      <c r="W843" s="620" t="e">
        <f t="shared" si="26"/>
        <v>#DIV/0!</v>
      </c>
    </row>
    <row r="844" spans="21:23" x14ac:dyDescent="0.2">
      <c r="U844" s="616"/>
      <c r="W844" s="620" t="e">
        <f t="shared" si="26"/>
        <v>#DIV/0!</v>
      </c>
    </row>
    <row r="845" spans="21:23" x14ac:dyDescent="0.2">
      <c r="U845" s="616"/>
      <c r="W845" s="620" t="e">
        <f t="shared" si="26"/>
        <v>#DIV/0!</v>
      </c>
    </row>
    <row r="846" spans="21:23" x14ac:dyDescent="0.2">
      <c r="U846" s="616"/>
      <c r="W846" s="620" t="e">
        <f t="shared" si="26"/>
        <v>#DIV/0!</v>
      </c>
    </row>
    <row r="847" spans="21:23" x14ac:dyDescent="0.2">
      <c r="U847" s="616"/>
      <c r="W847" s="620" t="e">
        <f t="shared" si="26"/>
        <v>#DIV/0!</v>
      </c>
    </row>
    <row r="848" spans="21:23" x14ac:dyDescent="0.2">
      <c r="U848" s="616"/>
      <c r="W848" s="620" t="e">
        <f t="shared" si="26"/>
        <v>#DIV/0!</v>
      </c>
    </row>
    <row r="849" spans="21:23" x14ac:dyDescent="0.2">
      <c r="U849" s="616"/>
      <c r="W849" s="620" t="e">
        <f t="shared" si="26"/>
        <v>#DIV/0!</v>
      </c>
    </row>
    <row r="850" spans="21:23" x14ac:dyDescent="0.2">
      <c r="U850" s="616"/>
      <c r="W850" s="620" t="e">
        <f t="shared" si="26"/>
        <v>#DIV/0!</v>
      </c>
    </row>
    <row r="851" spans="21:23" x14ac:dyDescent="0.2">
      <c r="U851" s="616"/>
      <c r="W851" s="620" t="e">
        <f t="shared" si="26"/>
        <v>#DIV/0!</v>
      </c>
    </row>
    <row r="852" spans="21:23" x14ac:dyDescent="0.2">
      <c r="U852" s="616"/>
      <c r="W852" s="620" t="e">
        <f t="shared" si="26"/>
        <v>#DIV/0!</v>
      </c>
    </row>
    <row r="853" spans="21:23" x14ac:dyDescent="0.2">
      <c r="U853" s="616"/>
      <c r="W853" s="620" t="e">
        <f t="shared" si="26"/>
        <v>#DIV/0!</v>
      </c>
    </row>
    <row r="854" spans="21:23" x14ac:dyDescent="0.2">
      <c r="U854" s="616"/>
      <c r="W854" s="620" t="e">
        <f t="shared" si="26"/>
        <v>#DIV/0!</v>
      </c>
    </row>
    <row r="855" spans="21:23" x14ac:dyDescent="0.2">
      <c r="U855" s="616"/>
      <c r="W855" s="620" t="e">
        <f t="shared" si="26"/>
        <v>#DIV/0!</v>
      </c>
    </row>
    <row r="856" spans="21:23" x14ac:dyDescent="0.2">
      <c r="U856" s="616"/>
      <c r="W856" s="620" t="e">
        <f t="shared" si="26"/>
        <v>#DIV/0!</v>
      </c>
    </row>
    <row r="857" spans="21:23" x14ac:dyDescent="0.2">
      <c r="U857" s="616"/>
      <c r="W857" s="620" t="e">
        <f t="shared" si="26"/>
        <v>#DIV/0!</v>
      </c>
    </row>
    <row r="858" spans="21:23" x14ac:dyDescent="0.2">
      <c r="U858" s="616"/>
      <c r="W858" s="620" t="e">
        <f t="shared" si="26"/>
        <v>#DIV/0!</v>
      </c>
    </row>
    <row r="859" spans="21:23" x14ac:dyDescent="0.2">
      <c r="U859" s="616"/>
      <c r="W859" s="620" t="e">
        <f t="shared" si="26"/>
        <v>#DIV/0!</v>
      </c>
    </row>
    <row r="860" spans="21:23" x14ac:dyDescent="0.2">
      <c r="U860" s="616"/>
      <c r="W860" s="620" t="e">
        <f t="shared" si="26"/>
        <v>#DIV/0!</v>
      </c>
    </row>
    <row r="861" spans="21:23" x14ac:dyDescent="0.2">
      <c r="U861" s="616"/>
      <c r="W861" s="620" t="e">
        <f t="shared" si="26"/>
        <v>#DIV/0!</v>
      </c>
    </row>
    <row r="862" spans="21:23" x14ac:dyDescent="0.2">
      <c r="U862" s="616"/>
      <c r="W862" s="620" t="e">
        <f t="shared" si="26"/>
        <v>#DIV/0!</v>
      </c>
    </row>
    <row r="863" spans="21:23" x14ac:dyDescent="0.2">
      <c r="U863" s="616"/>
      <c r="W863" s="620" t="e">
        <f t="shared" si="26"/>
        <v>#DIV/0!</v>
      </c>
    </row>
    <row r="864" spans="21:23" x14ac:dyDescent="0.2">
      <c r="U864" s="616"/>
      <c r="W864" s="620" t="e">
        <f t="shared" si="26"/>
        <v>#DIV/0!</v>
      </c>
    </row>
    <row r="865" spans="21:23" x14ac:dyDescent="0.2">
      <c r="U865" s="616"/>
      <c r="W865" s="620" t="e">
        <f t="shared" si="26"/>
        <v>#DIV/0!</v>
      </c>
    </row>
    <row r="866" spans="21:23" x14ac:dyDescent="0.2">
      <c r="U866" s="616"/>
      <c r="W866" s="620" t="e">
        <f t="shared" si="26"/>
        <v>#DIV/0!</v>
      </c>
    </row>
    <row r="867" spans="21:23" x14ac:dyDescent="0.2">
      <c r="U867" s="616"/>
      <c r="W867" s="620" t="e">
        <f t="shared" si="26"/>
        <v>#DIV/0!</v>
      </c>
    </row>
    <row r="868" spans="21:23" x14ac:dyDescent="0.2">
      <c r="U868" s="616"/>
      <c r="W868" s="620" t="e">
        <f t="shared" si="26"/>
        <v>#DIV/0!</v>
      </c>
    </row>
    <row r="869" spans="21:23" x14ac:dyDescent="0.2">
      <c r="U869" s="616"/>
      <c r="W869" s="620" t="e">
        <f t="shared" si="26"/>
        <v>#DIV/0!</v>
      </c>
    </row>
    <row r="870" spans="21:23" x14ac:dyDescent="0.2">
      <c r="U870" s="616"/>
      <c r="W870" s="620" t="e">
        <f t="shared" si="26"/>
        <v>#DIV/0!</v>
      </c>
    </row>
    <row r="871" spans="21:23" x14ac:dyDescent="0.2">
      <c r="U871" s="616"/>
      <c r="W871" s="620" t="e">
        <f t="shared" si="26"/>
        <v>#DIV/0!</v>
      </c>
    </row>
    <row r="872" spans="21:23" x14ac:dyDescent="0.2">
      <c r="U872" s="616"/>
      <c r="W872" s="620" t="e">
        <f t="shared" si="26"/>
        <v>#DIV/0!</v>
      </c>
    </row>
    <row r="873" spans="21:23" x14ac:dyDescent="0.2">
      <c r="U873" s="616"/>
      <c r="W873" s="620" t="e">
        <f t="shared" si="26"/>
        <v>#DIV/0!</v>
      </c>
    </row>
    <row r="874" spans="21:23" x14ac:dyDescent="0.2">
      <c r="U874" s="616"/>
      <c r="W874" s="620" t="e">
        <f t="shared" si="26"/>
        <v>#DIV/0!</v>
      </c>
    </row>
    <row r="875" spans="21:23" x14ac:dyDescent="0.2">
      <c r="U875" s="616"/>
      <c r="W875" s="620" t="e">
        <f t="shared" si="26"/>
        <v>#DIV/0!</v>
      </c>
    </row>
    <row r="876" spans="21:23" x14ac:dyDescent="0.2">
      <c r="U876" s="616"/>
      <c r="W876" s="620" t="e">
        <f t="shared" si="26"/>
        <v>#DIV/0!</v>
      </c>
    </row>
    <row r="877" spans="21:23" x14ac:dyDescent="0.2">
      <c r="U877" s="616"/>
      <c r="W877" s="620" t="e">
        <f t="shared" si="26"/>
        <v>#DIV/0!</v>
      </c>
    </row>
    <row r="878" spans="21:23" x14ac:dyDescent="0.2">
      <c r="U878" s="616"/>
      <c r="W878" s="620" t="e">
        <f t="shared" si="26"/>
        <v>#DIV/0!</v>
      </c>
    </row>
    <row r="879" spans="21:23" x14ac:dyDescent="0.2">
      <c r="U879" s="616"/>
      <c r="W879" s="620" t="e">
        <f t="shared" si="26"/>
        <v>#DIV/0!</v>
      </c>
    </row>
    <row r="880" spans="21:23" x14ac:dyDescent="0.2">
      <c r="U880" s="616"/>
      <c r="W880" s="620" t="e">
        <f t="shared" si="26"/>
        <v>#DIV/0!</v>
      </c>
    </row>
    <row r="881" spans="21:23" x14ac:dyDescent="0.2">
      <c r="U881" s="616"/>
      <c r="W881" s="620" t="e">
        <f t="shared" si="26"/>
        <v>#DIV/0!</v>
      </c>
    </row>
    <row r="882" spans="21:23" x14ac:dyDescent="0.2">
      <c r="U882" s="616"/>
      <c r="W882" s="620" t="e">
        <f t="shared" si="26"/>
        <v>#DIV/0!</v>
      </c>
    </row>
    <row r="883" spans="21:23" x14ac:dyDescent="0.2">
      <c r="U883" s="616"/>
      <c r="W883" s="620" t="e">
        <f t="shared" si="26"/>
        <v>#DIV/0!</v>
      </c>
    </row>
    <row r="884" spans="21:23" x14ac:dyDescent="0.2">
      <c r="U884" s="616"/>
      <c r="W884" s="620" t="e">
        <f t="shared" si="26"/>
        <v>#DIV/0!</v>
      </c>
    </row>
    <row r="885" spans="21:23" x14ac:dyDescent="0.2">
      <c r="U885" s="616"/>
      <c r="W885" s="620" t="e">
        <f t="shared" si="26"/>
        <v>#DIV/0!</v>
      </c>
    </row>
    <row r="886" spans="21:23" x14ac:dyDescent="0.2">
      <c r="U886" s="616"/>
      <c r="W886" s="620" t="e">
        <f t="shared" si="26"/>
        <v>#DIV/0!</v>
      </c>
    </row>
    <row r="887" spans="21:23" x14ac:dyDescent="0.2">
      <c r="U887" s="616"/>
      <c r="W887" s="620" t="e">
        <f t="shared" si="26"/>
        <v>#DIV/0!</v>
      </c>
    </row>
    <row r="888" spans="21:23" x14ac:dyDescent="0.2">
      <c r="U888" s="616"/>
      <c r="W888" s="620" t="e">
        <f t="shared" si="26"/>
        <v>#DIV/0!</v>
      </c>
    </row>
    <row r="889" spans="21:23" x14ac:dyDescent="0.2">
      <c r="U889" s="616"/>
      <c r="W889" s="620" t="e">
        <f t="shared" si="26"/>
        <v>#DIV/0!</v>
      </c>
    </row>
    <row r="890" spans="21:23" x14ac:dyDescent="0.2">
      <c r="U890" s="616"/>
      <c r="W890" s="620" t="e">
        <f t="shared" si="26"/>
        <v>#DIV/0!</v>
      </c>
    </row>
    <row r="891" spans="21:23" x14ac:dyDescent="0.2">
      <c r="U891" s="616"/>
      <c r="W891" s="620" t="e">
        <f t="shared" si="26"/>
        <v>#DIV/0!</v>
      </c>
    </row>
    <row r="892" spans="21:23" x14ac:dyDescent="0.2">
      <c r="U892" s="616"/>
      <c r="W892" s="620" t="e">
        <f t="shared" si="26"/>
        <v>#DIV/0!</v>
      </c>
    </row>
    <row r="893" spans="21:23" x14ac:dyDescent="0.2">
      <c r="U893" s="616"/>
      <c r="W893" s="620" t="e">
        <f t="shared" si="26"/>
        <v>#DIV/0!</v>
      </c>
    </row>
    <row r="894" spans="21:23" x14ac:dyDescent="0.2">
      <c r="U894" s="616"/>
      <c r="W894" s="620" t="e">
        <f t="shared" si="26"/>
        <v>#DIV/0!</v>
      </c>
    </row>
    <row r="895" spans="21:23" x14ac:dyDescent="0.2">
      <c r="U895" s="616"/>
      <c r="W895" s="620" t="e">
        <f t="shared" si="26"/>
        <v>#DIV/0!</v>
      </c>
    </row>
    <row r="896" spans="21:23" x14ac:dyDescent="0.2">
      <c r="U896" s="616"/>
      <c r="W896" s="620" t="e">
        <f t="shared" si="26"/>
        <v>#DIV/0!</v>
      </c>
    </row>
    <row r="897" spans="21:23" x14ac:dyDescent="0.2">
      <c r="U897" s="616"/>
      <c r="W897" s="620" t="e">
        <f t="shared" si="26"/>
        <v>#DIV/0!</v>
      </c>
    </row>
    <row r="898" spans="21:23" x14ac:dyDescent="0.2">
      <c r="U898" s="616"/>
      <c r="W898" s="620" t="e">
        <f t="shared" si="26"/>
        <v>#DIV/0!</v>
      </c>
    </row>
    <row r="899" spans="21:23" x14ac:dyDescent="0.2">
      <c r="U899" s="616"/>
      <c r="W899" s="620" t="e">
        <f t="shared" si="26"/>
        <v>#DIV/0!</v>
      </c>
    </row>
    <row r="900" spans="21:23" x14ac:dyDescent="0.2">
      <c r="U900" s="616"/>
      <c r="W900" s="620" t="e">
        <f t="shared" ref="W900:W963" si="27">AVERAGE($V$4:$V$2517)</f>
        <v>#DIV/0!</v>
      </c>
    </row>
    <row r="901" spans="21:23" x14ac:dyDescent="0.2">
      <c r="U901" s="616"/>
      <c r="W901" s="620" t="e">
        <f t="shared" si="27"/>
        <v>#DIV/0!</v>
      </c>
    </row>
    <row r="902" spans="21:23" x14ac:dyDescent="0.2">
      <c r="U902" s="616"/>
      <c r="W902" s="620" t="e">
        <f t="shared" si="27"/>
        <v>#DIV/0!</v>
      </c>
    </row>
    <row r="903" spans="21:23" x14ac:dyDescent="0.2">
      <c r="U903" s="616"/>
      <c r="W903" s="620" t="e">
        <f t="shared" si="27"/>
        <v>#DIV/0!</v>
      </c>
    </row>
    <row r="904" spans="21:23" x14ac:dyDescent="0.2">
      <c r="U904" s="616"/>
      <c r="W904" s="620" t="e">
        <f t="shared" si="27"/>
        <v>#DIV/0!</v>
      </c>
    </row>
    <row r="905" spans="21:23" x14ac:dyDescent="0.2">
      <c r="U905" s="616"/>
      <c r="W905" s="620" t="e">
        <f t="shared" si="27"/>
        <v>#DIV/0!</v>
      </c>
    </row>
    <row r="906" spans="21:23" x14ac:dyDescent="0.2">
      <c r="U906" s="616"/>
      <c r="W906" s="620" t="e">
        <f t="shared" si="27"/>
        <v>#DIV/0!</v>
      </c>
    </row>
    <row r="907" spans="21:23" x14ac:dyDescent="0.2">
      <c r="U907" s="616"/>
      <c r="W907" s="620" t="e">
        <f t="shared" si="27"/>
        <v>#DIV/0!</v>
      </c>
    </row>
    <row r="908" spans="21:23" x14ac:dyDescent="0.2">
      <c r="U908" s="616"/>
      <c r="W908" s="620" t="e">
        <f t="shared" si="27"/>
        <v>#DIV/0!</v>
      </c>
    </row>
    <row r="909" spans="21:23" x14ac:dyDescent="0.2">
      <c r="U909" s="616"/>
      <c r="W909" s="620" t="e">
        <f t="shared" si="27"/>
        <v>#DIV/0!</v>
      </c>
    </row>
    <row r="910" spans="21:23" x14ac:dyDescent="0.2">
      <c r="U910" s="616"/>
      <c r="W910" s="620" t="e">
        <f t="shared" si="27"/>
        <v>#DIV/0!</v>
      </c>
    </row>
    <row r="911" spans="21:23" x14ac:dyDescent="0.2">
      <c r="U911" s="616"/>
      <c r="W911" s="620" t="e">
        <f t="shared" si="27"/>
        <v>#DIV/0!</v>
      </c>
    </row>
    <row r="912" spans="21:23" x14ac:dyDescent="0.2">
      <c r="U912" s="616"/>
      <c r="W912" s="620" t="e">
        <f t="shared" si="27"/>
        <v>#DIV/0!</v>
      </c>
    </row>
    <row r="913" spans="21:23" x14ac:dyDescent="0.2">
      <c r="U913" s="616"/>
      <c r="W913" s="620" t="e">
        <f t="shared" si="27"/>
        <v>#DIV/0!</v>
      </c>
    </row>
    <row r="914" spans="21:23" x14ac:dyDescent="0.2">
      <c r="U914" s="616"/>
      <c r="W914" s="620" t="e">
        <f t="shared" si="27"/>
        <v>#DIV/0!</v>
      </c>
    </row>
    <row r="915" spans="21:23" x14ac:dyDescent="0.2">
      <c r="U915" s="616"/>
      <c r="W915" s="620" t="e">
        <f t="shared" si="27"/>
        <v>#DIV/0!</v>
      </c>
    </row>
    <row r="916" spans="21:23" x14ac:dyDescent="0.2">
      <c r="U916" s="616"/>
      <c r="W916" s="620" t="e">
        <f t="shared" si="27"/>
        <v>#DIV/0!</v>
      </c>
    </row>
    <row r="917" spans="21:23" x14ac:dyDescent="0.2">
      <c r="U917" s="616"/>
      <c r="W917" s="620" t="e">
        <f t="shared" si="27"/>
        <v>#DIV/0!</v>
      </c>
    </row>
    <row r="918" spans="21:23" x14ac:dyDescent="0.2">
      <c r="U918" s="616"/>
      <c r="W918" s="620" t="e">
        <f t="shared" si="27"/>
        <v>#DIV/0!</v>
      </c>
    </row>
    <row r="919" spans="21:23" x14ac:dyDescent="0.2">
      <c r="U919" s="616"/>
      <c r="W919" s="620" t="e">
        <f t="shared" si="27"/>
        <v>#DIV/0!</v>
      </c>
    </row>
    <row r="920" spans="21:23" x14ac:dyDescent="0.2">
      <c r="U920" s="616"/>
      <c r="W920" s="620" t="e">
        <f t="shared" si="27"/>
        <v>#DIV/0!</v>
      </c>
    </row>
    <row r="921" spans="21:23" x14ac:dyDescent="0.2">
      <c r="U921" s="616"/>
      <c r="W921" s="620" t="e">
        <f t="shared" si="27"/>
        <v>#DIV/0!</v>
      </c>
    </row>
    <row r="922" spans="21:23" x14ac:dyDescent="0.2">
      <c r="U922" s="616"/>
      <c r="W922" s="620" t="e">
        <f t="shared" si="27"/>
        <v>#DIV/0!</v>
      </c>
    </row>
    <row r="923" spans="21:23" x14ac:dyDescent="0.2">
      <c r="U923" s="616"/>
      <c r="W923" s="620" t="e">
        <f t="shared" si="27"/>
        <v>#DIV/0!</v>
      </c>
    </row>
    <row r="924" spans="21:23" x14ac:dyDescent="0.2">
      <c r="U924" s="616"/>
      <c r="W924" s="620" t="e">
        <f t="shared" si="27"/>
        <v>#DIV/0!</v>
      </c>
    </row>
    <row r="925" spans="21:23" x14ac:dyDescent="0.2">
      <c r="U925" s="616"/>
      <c r="W925" s="620" t="e">
        <f t="shared" si="27"/>
        <v>#DIV/0!</v>
      </c>
    </row>
    <row r="926" spans="21:23" x14ac:dyDescent="0.2">
      <c r="U926" s="616"/>
      <c r="W926" s="620" t="e">
        <f t="shared" si="27"/>
        <v>#DIV/0!</v>
      </c>
    </row>
    <row r="927" spans="21:23" x14ac:dyDescent="0.2">
      <c r="U927" s="616"/>
      <c r="W927" s="620" t="e">
        <f t="shared" si="27"/>
        <v>#DIV/0!</v>
      </c>
    </row>
    <row r="928" spans="21:23" x14ac:dyDescent="0.2">
      <c r="U928" s="616"/>
      <c r="W928" s="620" t="e">
        <f t="shared" si="27"/>
        <v>#DIV/0!</v>
      </c>
    </row>
    <row r="929" spans="21:23" x14ac:dyDescent="0.2">
      <c r="U929" s="616"/>
      <c r="W929" s="620" t="e">
        <f t="shared" si="27"/>
        <v>#DIV/0!</v>
      </c>
    </row>
    <row r="930" spans="21:23" x14ac:dyDescent="0.2">
      <c r="U930" s="616"/>
      <c r="W930" s="620" t="e">
        <f t="shared" si="27"/>
        <v>#DIV/0!</v>
      </c>
    </row>
    <row r="931" spans="21:23" x14ac:dyDescent="0.2">
      <c r="U931" s="616"/>
      <c r="W931" s="620" t="e">
        <f t="shared" si="27"/>
        <v>#DIV/0!</v>
      </c>
    </row>
    <row r="932" spans="21:23" x14ac:dyDescent="0.2">
      <c r="U932" s="616"/>
      <c r="W932" s="620" t="e">
        <f t="shared" si="27"/>
        <v>#DIV/0!</v>
      </c>
    </row>
    <row r="933" spans="21:23" x14ac:dyDescent="0.2">
      <c r="U933" s="616"/>
      <c r="W933" s="620" t="e">
        <f t="shared" si="27"/>
        <v>#DIV/0!</v>
      </c>
    </row>
    <row r="934" spans="21:23" x14ac:dyDescent="0.2">
      <c r="U934" s="616"/>
      <c r="W934" s="620" t="e">
        <f t="shared" si="27"/>
        <v>#DIV/0!</v>
      </c>
    </row>
    <row r="935" spans="21:23" x14ac:dyDescent="0.2">
      <c r="U935" s="616"/>
      <c r="W935" s="620" t="e">
        <f t="shared" si="27"/>
        <v>#DIV/0!</v>
      </c>
    </row>
    <row r="936" spans="21:23" x14ac:dyDescent="0.2">
      <c r="U936" s="616"/>
      <c r="W936" s="620" t="e">
        <f t="shared" si="27"/>
        <v>#DIV/0!</v>
      </c>
    </row>
    <row r="937" spans="21:23" x14ac:dyDescent="0.2">
      <c r="U937" s="616"/>
      <c r="W937" s="620" t="e">
        <f t="shared" si="27"/>
        <v>#DIV/0!</v>
      </c>
    </row>
    <row r="938" spans="21:23" x14ac:dyDescent="0.2">
      <c r="U938" s="616"/>
      <c r="W938" s="620" t="e">
        <f t="shared" si="27"/>
        <v>#DIV/0!</v>
      </c>
    </row>
    <row r="939" spans="21:23" x14ac:dyDescent="0.2">
      <c r="U939" s="616"/>
      <c r="W939" s="620" t="e">
        <f t="shared" si="27"/>
        <v>#DIV/0!</v>
      </c>
    </row>
    <row r="940" spans="21:23" x14ac:dyDescent="0.2">
      <c r="U940" s="616"/>
      <c r="W940" s="620" t="e">
        <f t="shared" si="27"/>
        <v>#DIV/0!</v>
      </c>
    </row>
    <row r="941" spans="21:23" x14ac:dyDescent="0.2">
      <c r="U941" s="616"/>
      <c r="W941" s="620" t="e">
        <f t="shared" si="27"/>
        <v>#DIV/0!</v>
      </c>
    </row>
    <row r="942" spans="21:23" x14ac:dyDescent="0.2">
      <c r="U942" s="616"/>
      <c r="W942" s="620" t="e">
        <f t="shared" si="27"/>
        <v>#DIV/0!</v>
      </c>
    </row>
    <row r="943" spans="21:23" x14ac:dyDescent="0.2">
      <c r="U943" s="616"/>
      <c r="W943" s="620" t="e">
        <f t="shared" si="27"/>
        <v>#DIV/0!</v>
      </c>
    </row>
    <row r="944" spans="21:23" x14ac:dyDescent="0.2">
      <c r="U944" s="616"/>
      <c r="W944" s="620" t="e">
        <f t="shared" si="27"/>
        <v>#DIV/0!</v>
      </c>
    </row>
    <row r="945" spans="21:23" x14ac:dyDescent="0.2">
      <c r="U945" s="616"/>
      <c r="W945" s="620" t="e">
        <f t="shared" si="27"/>
        <v>#DIV/0!</v>
      </c>
    </row>
    <row r="946" spans="21:23" x14ac:dyDescent="0.2">
      <c r="U946" s="616"/>
      <c r="W946" s="620" t="e">
        <f t="shared" si="27"/>
        <v>#DIV/0!</v>
      </c>
    </row>
    <row r="947" spans="21:23" x14ac:dyDescent="0.2">
      <c r="U947" s="616"/>
      <c r="W947" s="620" t="e">
        <f t="shared" si="27"/>
        <v>#DIV/0!</v>
      </c>
    </row>
    <row r="948" spans="21:23" x14ac:dyDescent="0.2">
      <c r="U948" s="616"/>
      <c r="W948" s="620" t="e">
        <f t="shared" si="27"/>
        <v>#DIV/0!</v>
      </c>
    </row>
    <row r="949" spans="21:23" x14ac:dyDescent="0.2">
      <c r="U949" s="616"/>
      <c r="W949" s="620" t="e">
        <f t="shared" si="27"/>
        <v>#DIV/0!</v>
      </c>
    </row>
    <row r="950" spans="21:23" x14ac:dyDescent="0.2">
      <c r="U950" s="616"/>
      <c r="W950" s="620" t="e">
        <f t="shared" si="27"/>
        <v>#DIV/0!</v>
      </c>
    </row>
    <row r="951" spans="21:23" x14ac:dyDescent="0.2">
      <c r="U951" s="616"/>
      <c r="W951" s="620" t="e">
        <f t="shared" si="27"/>
        <v>#DIV/0!</v>
      </c>
    </row>
    <row r="952" spans="21:23" x14ac:dyDescent="0.2">
      <c r="U952" s="616"/>
      <c r="W952" s="620" t="e">
        <f t="shared" si="27"/>
        <v>#DIV/0!</v>
      </c>
    </row>
    <row r="953" spans="21:23" x14ac:dyDescent="0.2">
      <c r="U953" s="616"/>
      <c r="W953" s="620" t="e">
        <f t="shared" si="27"/>
        <v>#DIV/0!</v>
      </c>
    </row>
    <row r="954" spans="21:23" x14ac:dyDescent="0.2">
      <c r="U954" s="616"/>
      <c r="W954" s="620" t="e">
        <f t="shared" si="27"/>
        <v>#DIV/0!</v>
      </c>
    </row>
    <row r="955" spans="21:23" x14ac:dyDescent="0.2">
      <c r="U955" s="616"/>
      <c r="W955" s="620" t="e">
        <f t="shared" si="27"/>
        <v>#DIV/0!</v>
      </c>
    </row>
    <row r="956" spans="21:23" x14ac:dyDescent="0.2">
      <c r="U956" s="616"/>
      <c r="W956" s="620" t="e">
        <f t="shared" si="27"/>
        <v>#DIV/0!</v>
      </c>
    </row>
    <row r="957" spans="21:23" x14ac:dyDescent="0.2">
      <c r="U957" s="616"/>
      <c r="W957" s="620" t="e">
        <f t="shared" si="27"/>
        <v>#DIV/0!</v>
      </c>
    </row>
    <row r="958" spans="21:23" x14ac:dyDescent="0.2">
      <c r="U958" s="616"/>
      <c r="W958" s="620" t="e">
        <f t="shared" si="27"/>
        <v>#DIV/0!</v>
      </c>
    </row>
    <row r="959" spans="21:23" x14ac:dyDescent="0.2">
      <c r="U959" s="616"/>
      <c r="W959" s="620" t="e">
        <f t="shared" si="27"/>
        <v>#DIV/0!</v>
      </c>
    </row>
    <row r="960" spans="21:23" x14ac:dyDescent="0.2">
      <c r="U960" s="616"/>
      <c r="W960" s="620" t="e">
        <f t="shared" si="27"/>
        <v>#DIV/0!</v>
      </c>
    </row>
    <row r="961" spans="21:23" x14ac:dyDescent="0.2">
      <c r="U961" s="616"/>
      <c r="W961" s="620" t="e">
        <f t="shared" si="27"/>
        <v>#DIV/0!</v>
      </c>
    </row>
    <row r="962" spans="21:23" x14ac:dyDescent="0.2">
      <c r="U962" s="616"/>
      <c r="W962" s="620" t="e">
        <f t="shared" si="27"/>
        <v>#DIV/0!</v>
      </c>
    </row>
    <row r="963" spans="21:23" x14ac:dyDescent="0.2">
      <c r="U963" s="616"/>
      <c r="W963" s="620" t="e">
        <f t="shared" si="27"/>
        <v>#DIV/0!</v>
      </c>
    </row>
    <row r="964" spans="21:23" x14ac:dyDescent="0.2">
      <c r="U964" s="616"/>
      <c r="W964" s="620" t="e">
        <f t="shared" ref="W964:W1027" si="28">AVERAGE($V$4:$V$2517)</f>
        <v>#DIV/0!</v>
      </c>
    </row>
    <row r="965" spans="21:23" x14ac:dyDescent="0.2">
      <c r="U965" s="616"/>
      <c r="W965" s="620" t="e">
        <f t="shared" si="28"/>
        <v>#DIV/0!</v>
      </c>
    </row>
    <row r="966" spans="21:23" x14ac:dyDescent="0.2">
      <c r="U966" s="616"/>
      <c r="W966" s="620" t="e">
        <f t="shared" si="28"/>
        <v>#DIV/0!</v>
      </c>
    </row>
    <row r="967" spans="21:23" x14ac:dyDescent="0.2">
      <c r="U967" s="616"/>
      <c r="W967" s="620" t="e">
        <f t="shared" si="28"/>
        <v>#DIV/0!</v>
      </c>
    </row>
    <row r="968" spans="21:23" x14ac:dyDescent="0.2">
      <c r="U968" s="616"/>
      <c r="W968" s="620" t="e">
        <f t="shared" si="28"/>
        <v>#DIV/0!</v>
      </c>
    </row>
    <row r="969" spans="21:23" x14ac:dyDescent="0.2">
      <c r="U969" s="616"/>
      <c r="W969" s="620" t="e">
        <f t="shared" si="28"/>
        <v>#DIV/0!</v>
      </c>
    </row>
    <row r="970" spans="21:23" x14ac:dyDescent="0.2">
      <c r="U970" s="616"/>
      <c r="W970" s="620" t="e">
        <f t="shared" si="28"/>
        <v>#DIV/0!</v>
      </c>
    </row>
    <row r="971" spans="21:23" x14ac:dyDescent="0.2">
      <c r="U971" s="616"/>
      <c r="W971" s="620" t="e">
        <f t="shared" si="28"/>
        <v>#DIV/0!</v>
      </c>
    </row>
    <row r="972" spans="21:23" x14ac:dyDescent="0.2">
      <c r="U972" s="616"/>
      <c r="W972" s="620" t="e">
        <f t="shared" si="28"/>
        <v>#DIV/0!</v>
      </c>
    </row>
    <row r="973" spans="21:23" x14ac:dyDescent="0.2">
      <c r="U973" s="616"/>
      <c r="W973" s="620" t="e">
        <f t="shared" si="28"/>
        <v>#DIV/0!</v>
      </c>
    </row>
    <row r="974" spans="21:23" x14ac:dyDescent="0.2">
      <c r="U974" s="616"/>
      <c r="W974" s="620" t="e">
        <f t="shared" si="28"/>
        <v>#DIV/0!</v>
      </c>
    </row>
    <row r="975" spans="21:23" x14ac:dyDescent="0.2">
      <c r="U975" s="616"/>
      <c r="W975" s="620" t="e">
        <f t="shared" si="28"/>
        <v>#DIV/0!</v>
      </c>
    </row>
    <row r="976" spans="21:23" x14ac:dyDescent="0.2">
      <c r="U976" s="616"/>
      <c r="W976" s="620" t="e">
        <f t="shared" si="28"/>
        <v>#DIV/0!</v>
      </c>
    </row>
    <row r="977" spans="21:23" x14ac:dyDescent="0.2">
      <c r="U977" s="616"/>
      <c r="W977" s="620" t="e">
        <f t="shared" si="28"/>
        <v>#DIV/0!</v>
      </c>
    </row>
    <row r="978" spans="21:23" x14ac:dyDescent="0.2">
      <c r="U978" s="616"/>
      <c r="W978" s="620" t="e">
        <f t="shared" si="28"/>
        <v>#DIV/0!</v>
      </c>
    </row>
    <row r="979" spans="21:23" x14ac:dyDescent="0.2">
      <c r="U979" s="616"/>
      <c r="W979" s="620" t="e">
        <f t="shared" si="28"/>
        <v>#DIV/0!</v>
      </c>
    </row>
    <row r="980" spans="21:23" x14ac:dyDescent="0.2">
      <c r="U980" s="616"/>
      <c r="W980" s="620" t="e">
        <f t="shared" si="28"/>
        <v>#DIV/0!</v>
      </c>
    </row>
    <row r="981" spans="21:23" x14ac:dyDescent="0.2">
      <c r="U981" s="616"/>
      <c r="W981" s="620" t="e">
        <f t="shared" si="28"/>
        <v>#DIV/0!</v>
      </c>
    </row>
    <row r="982" spans="21:23" x14ac:dyDescent="0.2">
      <c r="U982" s="616"/>
      <c r="W982" s="620" t="e">
        <f t="shared" si="28"/>
        <v>#DIV/0!</v>
      </c>
    </row>
    <row r="983" spans="21:23" x14ac:dyDescent="0.2">
      <c r="U983" s="616"/>
      <c r="W983" s="620" t="e">
        <f t="shared" si="28"/>
        <v>#DIV/0!</v>
      </c>
    </row>
    <row r="984" spans="21:23" x14ac:dyDescent="0.2">
      <c r="U984" s="616"/>
      <c r="W984" s="620" t="e">
        <f t="shared" si="28"/>
        <v>#DIV/0!</v>
      </c>
    </row>
    <row r="985" spans="21:23" x14ac:dyDescent="0.2">
      <c r="U985" s="616"/>
      <c r="W985" s="620" t="e">
        <f t="shared" si="28"/>
        <v>#DIV/0!</v>
      </c>
    </row>
    <row r="986" spans="21:23" x14ac:dyDescent="0.2">
      <c r="U986" s="616"/>
      <c r="W986" s="620" t="e">
        <f t="shared" si="28"/>
        <v>#DIV/0!</v>
      </c>
    </row>
    <row r="987" spans="21:23" x14ac:dyDescent="0.2">
      <c r="U987" s="616"/>
      <c r="W987" s="620" t="e">
        <f t="shared" si="28"/>
        <v>#DIV/0!</v>
      </c>
    </row>
    <row r="988" spans="21:23" x14ac:dyDescent="0.2">
      <c r="U988" s="616"/>
      <c r="W988" s="620" t="e">
        <f t="shared" si="28"/>
        <v>#DIV/0!</v>
      </c>
    </row>
    <row r="989" spans="21:23" x14ac:dyDescent="0.2">
      <c r="U989" s="616"/>
      <c r="W989" s="620" t="e">
        <f t="shared" si="28"/>
        <v>#DIV/0!</v>
      </c>
    </row>
    <row r="990" spans="21:23" x14ac:dyDescent="0.2">
      <c r="U990" s="616"/>
      <c r="W990" s="620" t="e">
        <f t="shared" si="28"/>
        <v>#DIV/0!</v>
      </c>
    </row>
    <row r="991" spans="21:23" x14ac:dyDescent="0.2">
      <c r="U991" s="616"/>
      <c r="W991" s="620" t="e">
        <f t="shared" si="28"/>
        <v>#DIV/0!</v>
      </c>
    </row>
    <row r="992" spans="21:23" x14ac:dyDescent="0.2">
      <c r="U992" s="616"/>
      <c r="W992" s="620" t="e">
        <f t="shared" si="28"/>
        <v>#DIV/0!</v>
      </c>
    </row>
    <row r="993" spans="21:23" x14ac:dyDescent="0.2">
      <c r="U993" s="616"/>
      <c r="W993" s="620" t="e">
        <f t="shared" si="28"/>
        <v>#DIV/0!</v>
      </c>
    </row>
    <row r="994" spans="21:23" x14ac:dyDescent="0.2">
      <c r="U994" s="616"/>
      <c r="W994" s="620" t="e">
        <f t="shared" si="28"/>
        <v>#DIV/0!</v>
      </c>
    </row>
    <row r="995" spans="21:23" x14ac:dyDescent="0.2">
      <c r="U995" s="616"/>
      <c r="W995" s="620" t="e">
        <f t="shared" si="28"/>
        <v>#DIV/0!</v>
      </c>
    </row>
    <row r="996" spans="21:23" x14ac:dyDescent="0.2">
      <c r="U996" s="616"/>
      <c r="W996" s="620" t="e">
        <f t="shared" si="28"/>
        <v>#DIV/0!</v>
      </c>
    </row>
    <row r="997" spans="21:23" x14ac:dyDescent="0.2">
      <c r="U997" s="616"/>
      <c r="W997" s="620" t="e">
        <f t="shared" si="28"/>
        <v>#DIV/0!</v>
      </c>
    </row>
    <row r="998" spans="21:23" x14ac:dyDescent="0.2">
      <c r="U998" s="616"/>
      <c r="W998" s="620" t="e">
        <f t="shared" si="28"/>
        <v>#DIV/0!</v>
      </c>
    </row>
    <row r="999" spans="21:23" x14ac:dyDescent="0.2">
      <c r="U999" s="616"/>
      <c r="W999" s="620" t="e">
        <f t="shared" si="28"/>
        <v>#DIV/0!</v>
      </c>
    </row>
    <row r="1000" spans="21:23" x14ac:dyDescent="0.2">
      <c r="U1000" s="616"/>
      <c r="W1000" s="620" t="e">
        <f t="shared" si="28"/>
        <v>#DIV/0!</v>
      </c>
    </row>
    <row r="1001" spans="21:23" x14ac:dyDescent="0.2">
      <c r="U1001" s="616"/>
      <c r="W1001" s="620" t="e">
        <f t="shared" si="28"/>
        <v>#DIV/0!</v>
      </c>
    </row>
    <row r="1002" spans="21:23" x14ac:dyDescent="0.2">
      <c r="U1002" s="616"/>
      <c r="W1002" s="620" t="e">
        <f t="shared" si="28"/>
        <v>#DIV/0!</v>
      </c>
    </row>
    <row r="1003" spans="21:23" x14ac:dyDescent="0.2">
      <c r="U1003" s="616"/>
      <c r="W1003" s="620" t="e">
        <f t="shared" si="28"/>
        <v>#DIV/0!</v>
      </c>
    </row>
    <row r="1004" spans="21:23" x14ac:dyDescent="0.2">
      <c r="U1004" s="616"/>
      <c r="W1004" s="620" t="e">
        <f t="shared" si="28"/>
        <v>#DIV/0!</v>
      </c>
    </row>
    <row r="1005" spans="21:23" x14ac:dyDescent="0.2">
      <c r="U1005" s="616"/>
      <c r="W1005" s="620" t="e">
        <f t="shared" si="28"/>
        <v>#DIV/0!</v>
      </c>
    </row>
    <row r="1006" spans="21:23" x14ac:dyDescent="0.2">
      <c r="U1006" s="616"/>
      <c r="W1006" s="620" t="e">
        <f t="shared" si="28"/>
        <v>#DIV/0!</v>
      </c>
    </row>
    <row r="1007" spans="21:23" x14ac:dyDescent="0.2">
      <c r="U1007" s="616"/>
      <c r="W1007" s="620" t="e">
        <f t="shared" si="28"/>
        <v>#DIV/0!</v>
      </c>
    </row>
    <row r="1008" spans="21:23" x14ac:dyDescent="0.2">
      <c r="U1008" s="616"/>
      <c r="W1008" s="620" t="e">
        <f t="shared" si="28"/>
        <v>#DIV/0!</v>
      </c>
    </row>
    <row r="1009" spans="21:23" x14ac:dyDescent="0.2">
      <c r="U1009" s="616"/>
      <c r="W1009" s="620" t="e">
        <f t="shared" si="28"/>
        <v>#DIV/0!</v>
      </c>
    </row>
    <row r="1010" spans="21:23" x14ac:dyDescent="0.2">
      <c r="U1010" s="616"/>
      <c r="W1010" s="620" t="e">
        <f t="shared" si="28"/>
        <v>#DIV/0!</v>
      </c>
    </row>
    <row r="1011" spans="21:23" x14ac:dyDescent="0.2">
      <c r="U1011" s="616"/>
      <c r="W1011" s="620" t="e">
        <f t="shared" si="28"/>
        <v>#DIV/0!</v>
      </c>
    </row>
    <row r="1012" spans="21:23" x14ac:dyDescent="0.2">
      <c r="U1012" s="616"/>
      <c r="W1012" s="620" t="e">
        <f t="shared" si="28"/>
        <v>#DIV/0!</v>
      </c>
    </row>
    <row r="1013" spans="21:23" x14ac:dyDescent="0.2">
      <c r="U1013" s="616"/>
      <c r="W1013" s="620" t="e">
        <f t="shared" si="28"/>
        <v>#DIV/0!</v>
      </c>
    </row>
    <row r="1014" spans="21:23" x14ac:dyDescent="0.2">
      <c r="U1014" s="616"/>
      <c r="W1014" s="620" t="e">
        <f t="shared" si="28"/>
        <v>#DIV/0!</v>
      </c>
    </row>
    <row r="1015" spans="21:23" x14ac:dyDescent="0.2">
      <c r="U1015" s="616"/>
      <c r="W1015" s="620" t="e">
        <f t="shared" si="28"/>
        <v>#DIV/0!</v>
      </c>
    </row>
    <row r="1016" spans="21:23" x14ac:dyDescent="0.2">
      <c r="U1016" s="616"/>
      <c r="W1016" s="620" t="e">
        <f t="shared" si="28"/>
        <v>#DIV/0!</v>
      </c>
    </row>
    <row r="1017" spans="21:23" x14ac:dyDescent="0.2">
      <c r="U1017" s="616"/>
      <c r="W1017" s="620" t="e">
        <f t="shared" si="28"/>
        <v>#DIV/0!</v>
      </c>
    </row>
    <row r="1018" spans="21:23" x14ac:dyDescent="0.2">
      <c r="U1018" s="616"/>
      <c r="W1018" s="620" t="e">
        <f t="shared" si="28"/>
        <v>#DIV/0!</v>
      </c>
    </row>
    <row r="1019" spans="21:23" x14ac:dyDescent="0.2">
      <c r="U1019" s="616"/>
      <c r="W1019" s="620" t="e">
        <f t="shared" si="28"/>
        <v>#DIV/0!</v>
      </c>
    </row>
    <row r="1020" spans="21:23" x14ac:dyDescent="0.2">
      <c r="U1020" s="616"/>
      <c r="W1020" s="620" t="e">
        <f t="shared" si="28"/>
        <v>#DIV/0!</v>
      </c>
    </row>
    <row r="1021" spans="21:23" x14ac:dyDescent="0.2">
      <c r="U1021" s="616"/>
      <c r="W1021" s="620" t="e">
        <f t="shared" si="28"/>
        <v>#DIV/0!</v>
      </c>
    </row>
    <row r="1022" spans="21:23" x14ac:dyDescent="0.2">
      <c r="U1022" s="616"/>
      <c r="W1022" s="620" t="e">
        <f t="shared" si="28"/>
        <v>#DIV/0!</v>
      </c>
    </row>
    <row r="1023" spans="21:23" x14ac:dyDescent="0.2">
      <c r="U1023" s="616"/>
      <c r="W1023" s="620" t="e">
        <f t="shared" si="28"/>
        <v>#DIV/0!</v>
      </c>
    </row>
    <row r="1024" spans="21:23" x14ac:dyDescent="0.2">
      <c r="U1024" s="616"/>
      <c r="W1024" s="620" t="e">
        <f t="shared" si="28"/>
        <v>#DIV/0!</v>
      </c>
    </row>
    <row r="1025" spans="21:23" x14ac:dyDescent="0.2">
      <c r="U1025" s="616"/>
      <c r="W1025" s="620" t="e">
        <f t="shared" si="28"/>
        <v>#DIV/0!</v>
      </c>
    </row>
    <row r="1026" spans="21:23" x14ac:dyDescent="0.2">
      <c r="U1026" s="616"/>
      <c r="W1026" s="620" t="e">
        <f t="shared" si="28"/>
        <v>#DIV/0!</v>
      </c>
    </row>
    <row r="1027" spans="21:23" x14ac:dyDescent="0.2">
      <c r="U1027" s="616"/>
      <c r="W1027" s="620" t="e">
        <f t="shared" si="28"/>
        <v>#DIV/0!</v>
      </c>
    </row>
    <row r="1028" spans="21:23" x14ac:dyDescent="0.2">
      <c r="U1028" s="616"/>
      <c r="W1028" s="620" t="e">
        <f t="shared" ref="W1028:W1091" si="29">AVERAGE($V$4:$V$2517)</f>
        <v>#DIV/0!</v>
      </c>
    </row>
    <row r="1029" spans="21:23" x14ac:dyDescent="0.2">
      <c r="U1029" s="616"/>
      <c r="W1029" s="620" t="e">
        <f t="shared" si="29"/>
        <v>#DIV/0!</v>
      </c>
    </row>
    <row r="1030" spans="21:23" x14ac:dyDescent="0.2">
      <c r="U1030" s="616"/>
      <c r="W1030" s="620" t="e">
        <f t="shared" si="29"/>
        <v>#DIV/0!</v>
      </c>
    </row>
    <row r="1031" spans="21:23" x14ac:dyDescent="0.2">
      <c r="U1031" s="616"/>
      <c r="W1031" s="620" t="e">
        <f t="shared" si="29"/>
        <v>#DIV/0!</v>
      </c>
    </row>
    <row r="1032" spans="21:23" x14ac:dyDescent="0.2">
      <c r="U1032" s="616"/>
      <c r="W1032" s="620" t="e">
        <f t="shared" si="29"/>
        <v>#DIV/0!</v>
      </c>
    </row>
    <row r="1033" spans="21:23" x14ac:dyDescent="0.2">
      <c r="U1033" s="616"/>
      <c r="W1033" s="620" t="e">
        <f t="shared" si="29"/>
        <v>#DIV/0!</v>
      </c>
    </row>
    <row r="1034" spans="21:23" x14ac:dyDescent="0.2">
      <c r="U1034" s="616"/>
      <c r="W1034" s="620" t="e">
        <f t="shared" si="29"/>
        <v>#DIV/0!</v>
      </c>
    </row>
    <row r="1035" spans="21:23" x14ac:dyDescent="0.2">
      <c r="U1035" s="616"/>
      <c r="W1035" s="620" t="e">
        <f t="shared" si="29"/>
        <v>#DIV/0!</v>
      </c>
    </row>
    <row r="1036" spans="21:23" x14ac:dyDescent="0.2">
      <c r="U1036" s="616"/>
      <c r="W1036" s="620" t="e">
        <f t="shared" si="29"/>
        <v>#DIV/0!</v>
      </c>
    </row>
    <row r="1037" spans="21:23" x14ac:dyDescent="0.2">
      <c r="U1037" s="616"/>
      <c r="W1037" s="620" t="e">
        <f t="shared" si="29"/>
        <v>#DIV/0!</v>
      </c>
    </row>
    <row r="1038" spans="21:23" x14ac:dyDescent="0.2">
      <c r="U1038" s="616"/>
      <c r="W1038" s="620" t="e">
        <f t="shared" si="29"/>
        <v>#DIV/0!</v>
      </c>
    </row>
    <row r="1039" spans="21:23" x14ac:dyDescent="0.2">
      <c r="U1039" s="616"/>
      <c r="W1039" s="620" t="e">
        <f t="shared" si="29"/>
        <v>#DIV/0!</v>
      </c>
    </row>
    <row r="1040" spans="21:23" x14ac:dyDescent="0.2">
      <c r="U1040" s="616"/>
      <c r="W1040" s="620" t="e">
        <f t="shared" si="29"/>
        <v>#DIV/0!</v>
      </c>
    </row>
    <row r="1041" spans="21:23" x14ac:dyDescent="0.2">
      <c r="U1041" s="616"/>
      <c r="W1041" s="620" t="e">
        <f t="shared" si="29"/>
        <v>#DIV/0!</v>
      </c>
    </row>
    <row r="1042" spans="21:23" x14ac:dyDescent="0.2">
      <c r="U1042" s="616"/>
      <c r="W1042" s="620" t="e">
        <f t="shared" si="29"/>
        <v>#DIV/0!</v>
      </c>
    </row>
    <row r="1043" spans="21:23" x14ac:dyDescent="0.2">
      <c r="U1043" s="616"/>
      <c r="W1043" s="620" t="e">
        <f t="shared" si="29"/>
        <v>#DIV/0!</v>
      </c>
    </row>
    <row r="1044" spans="21:23" x14ac:dyDescent="0.2">
      <c r="U1044" s="616"/>
      <c r="W1044" s="620" t="e">
        <f t="shared" si="29"/>
        <v>#DIV/0!</v>
      </c>
    </row>
    <row r="1045" spans="21:23" x14ac:dyDescent="0.2">
      <c r="U1045" s="616"/>
      <c r="W1045" s="620" t="e">
        <f t="shared" si="29"/>
        <v>#DIV/0!</v>
      </c>
    </row>
    <row r="1046" spans="21:23" x14ac:dyDescent="0.2">
      <c r="U1046" s="616"/>
      <c r="W1046" s="620" t="e">
        <f t="shared" si="29"/>
        <v>#DIV/0!</v>
      </c>
    </row>
    <row r="1047" spans="21:23" x14ac:dyDescent="0.2">
      <c r="U1047" s="616"/>
      <c r="W1047" s="620" t="e">
        <f t="shared" si="29"/>
        <v>#DIV/0!</v>
      </c>
    </row>
    <row r="1048" spans="21:23" x14ac:dyDescent="0.2">
      <c r="U1048" s="616"/>
      <c r="W1048" s="620" t="e">
        <f t="shared" si="29"/>
        <v>#DIV/0!</v>
      </c>
    </row>
    <row r="1049" spans="21:23" x14ac:dyDescent="0.2">
      <c r="U1049" s="616"/>
      <c r="W1049" s="620" t="e">
        <f t="shared" si="29"/>
        <v>#DIV/0!</v>
      </c>
    </row>
    <row r="1050" spans="21:23" x14ac:dyDescent="0.2">
      <c r="U1050" s="616"/>
      <c r="W1050" s="620" t="e">
        <f t="shared" si="29"/>
        <v>#DIV/0!</v>
      </c>
    </row>
    <row r="1051" spans="21:23" x14ac:dyDescent="0.2">
      <c r="U1051" s="616"/>
      <c r="W1051" s="620" t="e">
        <f t="shared" si="29"/>
        <v>#DIV/0!</v>
      </c>
    </row>
    <row r="1052" spans="21:23" x14ac:dyDescent="0.2">
      <c r="U1052" s="616"/>
      <c r="W1052" s="620" t="e">
        <f t="shared" si="29"/>
        <v>#DIV/0!</v>
      </c>
    </row>
    <row r="1053" spans="21:23" x14ac:dyDescent="0.2">
      <c r="U1053" s="616"/>
      <c r="W1053" s="620" t="e">
        <f t="shared" si="29"/>
        <v>#DIV/0!</v>
      </c>
    </row>
    <row r="1054" spans="21:23" x14ac:dyDescent="0.2">
      <c r="U1054" s="616"/>
      <c r="W1054" s="620" t="e">
        <f t="shared" si="29"/>
        <v>#DIV/0!</v>
      </c>
    </row>
    <row r="1055" spans="21:23" x14ac:dyDescent="0.2">
      <c r="U1055" s="616"/>
      <c r="W1055" s="620" t="e">
        <f t="shared" si="29"/>
        <v>#DIV/0!</v>
      </c>
    </row>
    <row r="1056" spans="21:23" x14ac:dyDescent="0.2">
      <c r="U1056" s="616"/>
      <c r="W1056" s="620" t="e">
        <f t="shared" si="29"/>
        <v>#DIV/0!</v>
      </c>
    </row>
    <row r="1057" spans="21:23" x14ac:dyDescent="0.2">
      <c r="U1057" s="616"/>
      <c r="W1057" s="620" t="e">
        <f t="shared" si="29"/>
        <v>#DIV/0!</v>
      </c>
    </row>
    <row r="1058" spans="21:23" x14ac:dyDescent="0.2">
      <c r="U1058" s="616"/>
      <c r="W1058" s="620" t="e">
        <f t="shared" si="29"/>
        <v>#DIV/0!</v>
      </c>
    </row>
    <row r="1059" spans="21:23" x14ac:dyDescent="0.2">
      <c r="U1059" s="616"/>
      <c r="W1059" s="620" t="e">
        <f t="shared" si="29"/>
        <v>#DIV/0!</v>
      </c>
    </row>
    <row r="1060" spans="21:23" x14ac:dyDescent="0.2">
      <c r="U1060" s="616"/>
      <c r="W1060" s="620" t="e">
        <f t="shared" si="29"/>
        <v>#DIV/0!</v>
      </c>
    </row>
    <row r="1061" spans="21:23" x14ac:dyDescent="0.2">
      <c r="U1061" s="616"/>
      <c r="W1061" s="620" t="e">
        <f t="shared" si="29"/>
        <v>#DIV/0!</v>
      </c>
    </row>
    <row r="1062" spans="21:23" x14ac:dyDescent="0.2">
      <c r="U1062" s="616"/>
      <c r="W1062" s="620" t="e">
        <f t="shared" si="29"/>
        <v>#DIV/0!</v>
      </c>
    </row>
    <row r="1063" spans="21:23" x14ac:dyDescent="0.2">
      <c r="U1063" s="616"/>
      <c r="W1063" s="620" t="e">
        <f t="shared" si="29"/>
        <v>#DIV/0!</v>
      </c>
    </row>
    <row r="1064" spans="21:23" x14ac:dyDescent="0.2">
      <c r="U1064" s="616"/>
      <c r="W1064" s="620" t="e">
        <f t="shared" si="29"/>
        <v>#DIV/0!</v>
      </c>
    </row>
    <row r="1065" spans="21:23" x14ac:dyDescent="0.2">
      <c r="U1065" s="616"/>
      <c r="W1065" s="620" t="e">
        <f t="shared" si="29"/>
        <v>#DIV/0!</v>
      </c>
    </row>
    <row r="1066" spans="21:23" x14ac:dyDescent="0.2">
      <c r="U1066" s="616"/>
      <c r="W1066" s="620" t="e">
        <f t="shared" si="29"/>
        <v>#DIV/0!</v>
      </c>
    </row>
    <row r="1067" spans="21:23" x14ac:dyDescent="0.2">
      <c r="U1067" s="616"/>
      <c r="W1067" s="620" t="e">
        <f t="shared" si="29"/>
        <v>#DIV/0!</v>
      </c>
    </row>
    <row r="1068" spans="21:23" x14ac:dyDescent="0.2">
      <c r="U1068" s="616"/>
      <c r="W1068" s="620" t="e">
        <f t="shared" si="29"/>
        <v>#DIV/0!</v>
      </c>
    </row>
    <row r="1069" spans="21:23" x14ac:dyDescent="0.2">
      <c r="U1069" s="616"/>
      <c r="W1069" s="620" t="e">
        <f t="shared" si="29"/>
        <v>#DIV/0!</v>
      </c>
    </row>
    <row r="1070" spans="21:23" x14ac:dyDescent="0.2">
      <c r="U1070" s="616"/>
      <c r="W1070" s="620" t="e">
        <f t="shared" si="29"/>
        <v>#DIV/0!</v>
      </c>
    </row>
    <row r="1071" spans="21:23" x14ac:dyDescent="0.2">
      <c r="U1071" s="616"/>
      <c r="W1071" s="620" t="e">
        <f t="shared" si="29"/>
        <v>#DIV/0!</v>
      </c>
    </row>
    <row r="1072" spans="21:23" x14ac:dyDescent="0.2">
      <c r="U1072" s="616"/>
      <c r="W1072" s="620" t="e">
        <f t="shared" si="29"/>
        <v>#DIV/0!</v>
      </c>
    </row>
    <row r="1073" spans="21:23" x14ac:dyDescent="0.2">
      <c r="U1073" s="616"/>
      <c r="W1073" s="620" t="e">
        <f t="shared" si="29"/>
        <v>#DIV/0!</v>
      </c>
    </row>
    <row r="1074" spans="21:23" x14ac:dyDescent="0.2">
      <c r="U1074" s="616"/>
      <c r="W1074" s="620" t="e">
        <f t="shared" si="29"/>
        <v>#DIV/0!</v>
      </c>
    </row>
    <row r="1075" spans="21:23" x14ac:dyDescent="0.2">
      <c r="U1075" s="616"/>
      <c r="W1075" s="620" t="e">
        <f t="shared" si="29"/>
        <v>#DIV/0!</v>
      </c>
    </row>
    <row r="1076" spans="21:23" x14ac:dyDescent="0.2">
      <c r="U1076" s="616"/>
      <c r="W1076" s="620" t="e">
        <f t="shared" si="29"/>
        <v>#DIV/0!</v>
      </c>
    </row>
    <row r="1077" spans="21:23" x14ac:dyDescent="0.2">
      <c r="U1077" s="616"/>
      <c r="W1077" s="620" t="e">
        <f t="shared" si="29"/>
        <v>#DIV/0!</v>
      </c>
    </row>
    <row r="1078" spans="21:23" x14ac:dyDescent="0.2">
      <c r="U1078" s="616"/>
      <c r="W1078" s="620" t="e">
        <f t="shared" si="29"/>
        <v>#DIV/0!</v>
      </c>
    </row>
    <row r="1079" spans="21:23" x14ac:dyDescent="0.2">
      <c r="U1079" s="616"/>
      <c r="W1079" s="620" t="e">
        <f t="shared" si="29"/>
        <v>#DIV/0!</v>
      </c>
    </row>
    <row r="1080" spans="21:23" x14ac:dyDescent="0.2">
      <c r="U1080" s="616"/>
      <c r="W1080" s="620" t="e">
        <f t="shared" si="29"/>
        <v>#DIV/0!</v>
      </c>
    </row>
    <row r="1081" spans="21:23" x14ac:dyDescent="0.2">
      <c r="U1081" s="616"/>
      <c r="W1081" s="620" t="e">
        <f t="shared" si="29"/>
        <v>#DIV/0!</v>
      </c>
    </row>
    <row r="1082" spans="21:23" x14ac:dyDescent="0.2">
      <c r="U1082" s="616"/>
      <c r="W1082" s="620" t="e">
        <f t="shared" si="29"/>
        <v>#DIV/0!</v>
      </c>
    </row>
    <row r="1083" spans="21:23" x14ac:dyDescent="0.2">
      <c r="U1083" s="616"/>
      <c r="W1083" s="620" t="e">
        <f t="shared" si="29"/>
        <v>#DIV/0!</v>
      </c>
    </row>
    <row r="1084" spans="21:23" x14ac:dyDescent="0.2">
      <c r="U1084" s="616"/>
      <c r="W1084" s="620" t="e">
        <f t="shared" si="29"/>
        <v>#DIV/0!</v>
      </c>
    </row>
    <row r="1085" spans="21:23" x14ac:dyDescent="0.2">
      <c r="U1085" s="616"/>
      <c r="W1085" s="620" t="e">
        <f t="shared" si="29"/>
        <v>#DIV/0!</v>
      </c>
    </row>
    <row r="1086" spans="21:23" x14ac:dyDescent="0.2">
      <c r="U1086" s="616"/>
      <c r="W1086" s="620" t="e">
        <f t="shared" si="29"/>
        <v>#DIV/0!</v>
      </c>
    </row>
    <row r="1087" spans="21:23" x14ac:dyDescent="0.2">
      <c r="U1087" s="616"/>
      <c r="W1087" s="620" t="e">
        <f t="shared" si="29"/>
        <v>#DIV/0!</v>
      </c>
    </row>
    <row r="1088" spans="21:23" x14ac:dyDescent="0.2">
      <c r="U1088" s="616"/>
      <c r="W1088" s="620" t="e">
        <f t="shared" si="29"/>
        <v>#DIV/0!</v>
      </c>
    </row>
    <row r="1089" spans="21:23" x14ac:dyDescent="0.2">
      <c r="U1089" s="616"/>
      <c r="W1089" s="620" t="e">
        <f t="shared" si="29"/>
        <v>#DIV/0!</v>
      </c>
    </row>
    <row r="1090" spans="21:23" x14ac:dyDescent="0.2">
      <c r="U1090" s="616"/>
      <c r="W1090" s="620" t="e">
        <f t="shared" si="29"/>
        <v>#DIV/0!</v>
      </c>
    </row>
    <row r="1091" spans="21:23" x14ac:dyDescent="0.2">
      <c r="U1091" s="616"/>
      <c r="W1091" s="620" t="e">
        <f t="shared" si="29"/>
        <v>#DIV/0!</v>
      </c>
    </row>
    <row r="1092" spans="21:23" x14ac:dyDescent="0.2">
      <c r="U1092" s="616"/>
      <c r="W1092" s="620" t="e">
        <f t="shared" ref="W1092:W1155" si="30">AVERAGE($V$4:$V$2517)</f>
        <v>#DIV/0!</v>
      </c>
    </row>
    <row r="1093" spans="21:23" x14ac:dyDescent="0.2">
      <c r="U1093" s="616"/>
      <c r="W1093" s="620" t="e">
        <f t="shared" si="30"/>
        <v>#DIV/0!</v>
      </c>
    </row>
    <row r="1094" spans="21:23" x14ac:dyDescent="0.2">
      <c r="U1094" s="616"/>
      <c r="W1094" s="620" t="e">
        <f t="shared" si="30"/>
        <v>#DIV/0!</v>
      </c>
    </row>
    <row r="1095" spans="21:23" x14ac:dyDescent="0.2">
      <c r="U1095" s="616"/>
      <c r="W1095" s="620" t="e">
        <f t="shared" si="30"/>
        <v>#DIV/0!</v>
      </c>
    </row>
    <row r="1096" spans="21:23" x14ac:dyDescent="0.2">
      <c r="U1096" s="616"/>
      <c r="W1096" s="620" t="e">
        <f t="shared" si="30"/>
        <v>#DIV/0!</v>
      </c>
    </row>
    <row r="1097" spans="21:23" x14ac:dyDescent="0.2">
      <c r="U1097" s="616"/>
      <c r="W1097" s="620" t="e">
        <f t="shared" si="30"/>
        <v>#DIV/0!</v>
      </c>
    </row>
    <row r="1098" spans="21:23" x14ac:dyDescent="0.2">
      <c r="U1098" s="616"/>
      <c r="W1098" s="620" t="e">
        <f t="shared" si="30"/>
        <v>#DIV/0!</v>
      </c>
    </row>
    <row r="1099" spans="21:23" x14ac:dyDescent="0.2">
      <c r="U1099" s="616"/>
      <c r="W1099" s="620" t="e">
        <f t="shared" si="30"/>
        <v>#DIV/0!</v>
      </c>
    </row>
    <row r="1100" spans="21:23" x14ac:dyDescent="0.2">
      <c r="U1100" s="616"/>
      <c r="W1100" s="620" t="e">
        <f t="shared" si="30"/>
        <v>#DIV/0!</v>
      </c>
    </row>
    <row r="1101" spans="21:23" x14ac:dyDescent="0.2">
      <c r="U1101" s="616"/>
      <c r="W1101" s="620" t="e">
        <f t="shared" si="30"/>
        <v>#DIV/0!</v>
      </c>
    </row>
    <row r="1102" spans="21:23" x14ac:dyDescent="0.2">
      <c r="U1102" s="616"/>
      <c r="W1102" s="620" t="e">
        <f t="shared" si="30"/>
        <v>#DIV/0!</v>
      </c>
    </row>
    <row r="1103" spans="21:23" x14ac:dyDescent="0.2">
      <c r="U1103" s="616"/>
      <c r="W1103" s="620" t="e">
        <f t="shared" si="30"/>
        <v>#DIV/0!</v>
      </c>
    </row>
    <row r="1104" spans="21:23" x14ac:dyDescent="0.2">
      <c r="U1104" s="616"/>
      <c r="W1104" s="620" t="e">
        <f t="shared" si="30"/>
        <v>#DIV/0!</v>
      </c>
    </row>
    <row r="1105" spans="21:23" x14ac:dyDescent="0.2">
      <c r="U1105" s="616"/>
      <c r="W1105" s="620" t="e">
        <f t="shared" si="30"/>
        <v>#DIV/0!</v>
      </c>
    </row>
    <row r="1106" spans="21:23" x14ac:dyDescent="0.2">
      <c r="U1106" s="616"/>
      <c r="W1106" s="620" t="e">
        <f t="shared" si="30"/>
        <v>#DIV/0!</v>
      </c>
    </row>
    <row r="1107" spans="21:23" x14ac:dyDescent="0.2">
      <c r="U1107" s="616"/>
      <c r="W1107" s="620" t="e">
        <f t="shared" si="30"/>
        <v>#DIV/0!</v>
      </c>
    </row>
    <row r="1108" spans="21:23" x14ac:dyDescent="0.2">
      <c r="U1108" s="616"/>
      <c r="W1108" s="620" t="e">
        <f t="shared" si="30"/>
        <v>#DIV/0!</v>
      </c>
    </row>
    <row r="1109" spans="21:23" x14ac:dyDescent="0.2">
      <c r="U1109" s="616"/>
      <c r="W1109" s="620" t="e">
        <f t="shared" si="30"/>
        <v>#DIV/0!</v>
      </c>
    </row>
    <row r="1110" spans="21:23" x14ac:dyDescent="0.2">
      <c r="U1110" s="616"/>
      <c r="W1110" s="620" t="e">
        <f t="shared" si="30"/>
        <v>#DIV/0!</v>
      </c>
    </row>
    <row r="1111" spans="21:23" x14ac:dyDescent="0.2">
      <c r="U1111" s="616"/>
      <c r="W1111" s="620" t="e">
        <f t="shared" si="30"/>
        <v>#DIV/0!</v>
      </c>
    </row>
    <row r="1112" spans="21:23" x14ac:dyDescent="0.2">
      <c r="U1112" s="616"/>
      <c r="W1112" s="620" t="e">
        <f t="shared" si="30"/>
        <v>#DIV/0!</v>
      </c>
    </row>
    <row r="1113" spans="21:23" x14ac:dyDescent="0.2">
      <c r="U1113" s="616"/>
      <c r="W1113" s="620" t="e">
        <f t="shared" si="30"/>
        <v>#DIV/0!</v>
      </c>
    </row>
    <row r="1114" spans="21:23" x14ac:dyDescent="0.2">
      <c r="U1114" s="616"/>
      <c r="W1114" s="620" t="e">
        <f t="shared" si="30"/>
        <v>#DIV/0!</v>
      </c>
    </row>
    <row r="1115" spans="21:23" x14ac:dyDescent="0.2">
      <c r="U1115" s="616"/>
      <c r="W1115" s="620" t="e">
        <f t="shared" si="30"/>
        <v>#DIV/0!</v>
      </c>
    </row>
    <row r="1116" spans="21:23" x14ac:dyDescent="0.2">
      <c r="U1116" s="616"/>
      <c r="W1116" s="620" t="e">
        <f t="shared" si="30"/>
        <v>#DIV/0!</v>
      </c>
    </row>
    <row r="1117" spans="21:23" x14ac:dyDescent="0.2">
      <c r="U1117" s="616"/>
      <c r="W1117" s="620" t="e">
        <f t="shared" si="30"/>
        <v>#DIV/0!</v>
      </c>
    </row>
    <row r="1118" spans="21:23" x14ac:dyDescent="0.2">
      <c r="U1118" s="616"/>
      <c r="W1118" s="620" t="e">
        <f t="shared" si="30"/>
        <v>#DIV/0!</v>
      </c>
    </row>
    <row r="1119" spans="21:23" x14ac:dyDescent="0.2">
      <c r="U1119" s="616"/>
      <c r="W1119" s="620" t="e">
        <f t="shared" si="30"/>
        <v>#DIV/0!</v>
      </c>
    </row>
    <row r="1120" spans="21:23" x14ac:dyDescent="0.2">
      <c r="U1120" s="616"/>
      <c r="W1120" s="620" t="e">
        <f t="shared" si="30"/>
        <v>#DIV/0!</v>
      </c>
    </row>
    <row r="1121" spans="21:23" x14ac:dyDescent="0.2">
      <c r="U1121" s="616"/>
      <c r="W1121" s="620" t="e">
        <f t="shared" si="30"/>
        <v>#DIV/0!</v>
      </c>
    </row>
    <row r="1122" spans="21:23" x14ac:dyDescent="0.2">
      <c r="U1122" s="616"/>
      <c r="W1122" s="620" t="e">
        <f t="shared" si="30"/>
        <v>#DIV/0!</v>
      </c>
    </row>
    <row r="1123" spans="21:23" x14ac:dyDescent="0.2">
      <c r="U1123" s="616"/>
      <c r="W1123" s="620" t="e">
        <f t="shared" si="30"/>
        <v>#DIV/0!</v>
      </c>
    </row>
    <row r="1124" spans="21:23" x14ac:dyDescent="0.2">
      <c r="U1124" s="616"/>
      <c r="W1124" s="620" t="e">
        <f t="shared" si="30"/>
        <v>#DIV/0!</v>
      </c>
    </row>
    <row r="1125" spans="21:23" x14ac:dyDescent="0.2">
      <c r="U1125" s="616"/>
      <c r="W1125" s="620" t="e">
        <f t="shared" si="30"/>
        <v>#DIV/0!</v>
      </c>
    </row>
    <row r="1126" spans="21:23" x14ac:dyDescent="0.2">
      <c r="U1126" s="616"/>
      <c r="W1126" s="620" t="e">
        <f t="shared" si="30"/>
        <v>#DIV/0!</v>
      </c>
    </row>
    <row r="1127" spans="21:23" x14ac:dyDescent="0.2">
      <c r="U1127" s="616"/>
      <c r="W1127" s="620" t="e">
        <f t="shared" si="30"/>
        <v>#DIV/0!</v>
      </c>
    </row>
    <row r="1128" spans="21:23" x14ac:dyDescent="0.2">
      <c r="U1128" s="616"/>
      <c r="W1128" s="620" t="e">
        <f t="shared" si="30"/>
        <v>#DIV/0!</v>
      </c>
    </row>
    <row r="1129" spans="21:23" x14ac:dyDescent="0.2">
      <c r="U1129" s="616"/>
      <c r="W1129" s="620" t="e">
        <f t="shared" si="30"/>
        <v>#DIV/0!</v>
      </c>
    </row>
    <row r="1130" spans="21:23" x14ac:dyDescent="0.2">
      <c r="U1130" s="616"/>
      <c r="W1130" s="620" t="e">
        <f t="shared" si="30"/>
        <v>#DIV/0!</v>
      </c>
    </row>
    <row r="1131" spans="21:23" x14ac:dyDescent="0.2">
      <c r="U1131" s="616"/>
      <c r="W1131" s="620" t="e">
        <f t="shared" si="30"/>
        <v>#DIV/0!</v>
      </c>
    </row>
    <row r="1132" spans="21:23" x14ac:dyDescent="0.2">
      <c r="U1132" s="616"/>
      <c r="W1132" s="620" t="e">
        <f t="shared" si="30"/>
        <v>#DIV/0!</v>
      </c>
    </row>
    <row r="1133" spans="21:23" x14ac:dyDescent="0.2">
      <c r="U1133" s="616"/>
      <c r="W1133" s="620" t="e">
        <f t="shared" si="30"/>
        <v>#DIV/0!</v>
      </c>
    </row>
    <row r="1134" spans="21:23" x14ac:dyDescent="0.2">
      <c r="U1134" s="616"/>
      <c r="W1134" s="620" t="e">
        <f t="shared" si="30"/>
        <v>#DIV/0!</v>
      </c>
    </row>
    <row r="1135" spans="21:23" x14ac:dyDescent="0.2">
      <c r="U1135" s="616"/>
      <c r="W1135" s="620" t="e">
        <f t="shared" si="30"/>
        <v>#DIV/0!</v>
      </c>
    </row>
    <row r="1136" spans="21:23" x14ac:dyDescent="0.2">
      <c r="U1136" s="616"/>
      <c r="W1136" s="620" t="e">
        <f t="shared" si="30"/>
        <v>#DIV/0!</v>
      </c>
    </row>
    <row r="1137" spans="21:23" x14ac:dyDescent="0.2">
      <c r="U1137" s="616"/>
      <c r="W1137" s="620" t="e">
        <f t="shared" si="30"/>
        <v>#DIV/0!</v>
      </c>
    </row>
    <row r="1138" spans="21:23" x14ac:dyDescent="0.2">
      <c r="U1138" s="616"/>
      <c r="W1138" s="620" t="e">
        <f t="shared" si="30"/>
        <v>#DIV/0!</v>
      </c>
    </row>
    <row r="1139" spans="21:23" x14ac:dyDescent="0.2">
      <c r="U1139" s="616"/>
      <c r="W1139" s="620" t="e">
        <f t="shared" si="30"/>
        <v>#DIV/0!</v>
      </c>
    </row>
    <row r="1140" spans="21:23" x14ac:dyDescent="0.2">
      <c r="U1140" s="616"/>
      <c r="W1140" s="620" t="e">
        <f t="shared" si="30"/>
        <v>#DIV/0!</v>
      </c>
    </row>
    <row r="1141" spans="21:23" x14ac:dyDescent="0.2">
      <c r="U1141" s="616"/>
      <c r="W1141" s="620" t="e">
        <f t="shared" si="30"/>
        <v>#DIV/0!</v>
      </c>
    </row>
    <row r="1142" spans="21:23" x14ac:dyDescent="0.2">
      <c r="U1142" s="616"/>
      <c r="W1142" s="620" t="e">
        <f t="shared" si="30"/>
        <v>#DIV/0!</v>
      </c>
    </row>
    <row r="1143" spans="21:23" x14ac:dyDescent="0.2">
      <c r="U1143" s="616"/>
      <c r="W1143" s="620" t="e">
        <f t="shared" si="30"/>
        <v>#DIV/0!</v>
      </c>
    </row>
    <row r="1144" spans="21:23" x14ac:dyDescent="0.2">
      <c r="U1144" s="616"/>
      <c r="W1144" s="620" t="e">
        <f t="shared" si="30"/>
        <v>#DIV/0!</v>
      </c>
    </row>
    <row r="1145" spans="21:23" x14ac:dyDescent="0.2">
      <c r="U1145" s="616"/>
      <c r="W1145" s="620" t="e">
        <f t="shared" si="30"/>
        <v>#DIV/0!</v>
      </c>
    </row>
    <row r="1146" spans="21:23" x14ac:dyDescent="0.2">
      <c r="U1146" s="616"/>
      <c r="W1146" s="620" t="e">
        <f t="shared" si="30"/>
        <v>#DIV/0!</v>
      </c>
    </row>
    <row r="1147" spans="21:23" x14ac:dyDescent="0.2">
      <c r="U1147" s="616"/>
      <c r="W1147" s="620" t="e">
        <f t="shared" si="30"/>
        <v>#DIV/0!</v>
      </c>
    </row>
    <row r="1148" spans="21:23" x14ac:dyDescent="0.2">
      <c r="U1148" s="616"/>
      <c r="W1148" s="620" t="e">
        <f t="shared" si="30"/>
        <v>#DIV/0!</v>
      </c>
    </row>
    <row r="1149" spans="21:23" x14ac:dyDescent="0.2">
      <c r="U1149" s="616"/>
      <c r="W1149" s="620" t="e">
        <f t="shared" si="30"/>
        <v>#DIV/0!</v>
      </c>
    </row>
    <row r="1150" spans="21:23" x14ac:dyDescent="0.2">
      <c r="U1150" s="616"/>
      <c r="W1150" s="620" t="e">
        <f t="shared" si="30"/>
        <v>#DIV/0!</v>
      </c>
    </row>
    <row r="1151" spans="21:23" x14ac:dyDescent="0.2">
      <c r="U1151" s="616"/>
      <c r="W1151" s="620" t="e">
        <f t="shared" si="30"/>
        <v>#DIV/0!</v>
      </c>
    </row>
    <row r="1152" spans="21:23" x14ac:dyDescent="0.2">
      <c r="U1152" s="616"/>
      <c r="W1152" s="620" t="e">
        <f t="shared" si="30"/>
        <v>#DIV/0!</v>
      </c>
    </row>
    <row r="1153" spans="21:23" x14ac:dyDescent="0.2">
      <c r="U1153" s="616"/>
      <c r="W1153" s="620" t="e">
        <f t="shared" si="30"/>
        <v>#DIV/0!</v>
      </c>
    </row>
    <row r="1154" spans="21:23" x14ac:dyDescent="0.2">
      <c r="U1154" s="616"/>
      <c r="W1154" s="620" t="e">
        <f t="shared" si="30"/>
        <v>#DIV/0!</v>
      </c>
    </row>
    <row r="1155" spans="21:23" x14ac:dyDescent="0.2">
      <c r="U1155" s="616"/>
      <c r="W1155" s="620" t="e">
        <f t="shared" si="30"/>
        <v>#DIV/0!</v>
      </c>
    </row>
    <row r="1156" spans="21:23" x14ac:dyDescent="0.2">
      <c r="U1156" s="616"/>
      <c r="W1156" s="620" t="e">
        <f t="shared" ref="W1156:W1219" si="31">AVERAGE($V$4:$V$2517)</f>
        <v>#DIV/0!</v>
      </c>
    </row>
    <row r="1157" spans="21:23" x14ac:dyDescent="0.2">
      <c r="U1157" s="616"/>
      <c r="W1157" s="620" t="e">
        <f t="shared" si="31"/>
        <v>#DIV/0!</v>
      </c>
    </row>
    <row r="1158" spans="21:23" x14ac:dyDescent="0.2">
      <c r="U1158" s="616"/>
      <c r="W1158" s="620" t="e">
        <f t="shared" si="31"/>
        <v>#DIV/0!</v>
      </c>
    </row>
    <row r="1159" spans="21:23" x14ac:dyDescent="0.2">
      <c r="U1159" s="616"/>
      <c r="W1159" s="620" t="e">
        <f t="shared" si="31"/>
        <v>#DIV/0!</v>
      </c>
    </row>
    <row r="1160" spans="21:23" x14ac:dyDescent="0.2">
      <c r="U1160" s="616"/>
      <c r="W1160" s="620" t="e">
        <f t="shared" si="31"/>
        <v>#DIV/0!</v>
      </c>
    </row>
    <row r="1161" spans="21:23" x14ac:dyDescent="0.2">
      <c r="U1161" s="616"/>
      <c r="W1161" s="620" t="e">
        <f t="shared" si="31"/>
        <v>#DIV/0!</v>
      </c>
    </row>
    <row r="1162" spans="21:23" x14ac:dyDescent="0.2">
      <c r="U1162" s="616"/>
      <c r="W1162" s="620" t="e">
        <f t="shared" si="31"/>
        <v>#DIV/0!</v>
      </c>
    </row>
    <row r="1163" spans="21:23" x14ac:dyDescent="0.2">
      <c r="U1163" s="616"/>
      <c r="W1163" s="620" t="e">
        <f t="shared" si="31"/>
        <v>#DIV/0!</v>
      </c>
    </row>
    <row r="1164" spans="21:23" x14ac:dyDescent="0.2">
      <c r="U1164" s="616"/>
      <c r="W1164" s="620" t="e">
        <f t="shared" si="31"/>
        <v>#DIV/0!</v>
      </c>
    </row>
    <row r="1165" spans="21:23" x14ac:dyDescent="0.2">
      <c r="U1165" s="616"/>
      <c r="W1165" s="620" t="e">
        <f t="shared" si="31"/>
        <v>#DIV/0!</v>
      </c>
    </row>
    <row r="1166" spans="21:23" x14ac:dyDescent="0.2">
      <c r="U1166" s="616"/>
      <c r="W1166" s="620" t="e">
        <f t="shared" si="31"/>
        <v>#DIV/0!</v>
      </c>
    </row>
    <row r="1167" spans="21:23" x14ac:dyDescent="0.2">
      <c r="U1167" s="616"/>
      <c r="W1167" s="620" t="e">
        <f t="shared" si="31"/>
        <v>#DIV/0!</v>
      </c>
    </row>
    <row r="1168" spans="21:23" x14ac:dyDescent="0.2">
      <c r="U1168" s="616"/>
      <c r="W1168" s="620" t="e">
        <f t="shared" si="31"/>
        <v>#DIV/0!</v>
      </c>
    </row>
    <row r="1169" spans="21:23" x14ac:dyDescent="0.2">
      <c r="U1169" s="616"/>
      <c r="W1169" s="620" t="e">
        <f t="shared" si="31"/>
        <v>#DIV/0!</v>
      </c>
    </row>
    <row r="1170" spans="21:23" x14ac:dyDescent="0.2">
      <c r="U1170" s="616"/>
      <c r="W1170" s="620" t="e">
        <f t="shared" si="31"/>
        <v>#DIV/0!</v>
      </c>
    </row>
    <row r="1171" spans="21:23" x14ac:dyDescent="0.2">
      <c r="U1171" s="616"/>
      <c r="W1171" s="620" t="e">
        <f t="shared" si="31"/>
        <v>#DIV/0!</v>
      </c>
    </row>
    <row r="1172" spans="21:23" x14ac:dyDescent="0.2">
      <c r="U1172" s="616"/>
      <c r="W1172" s="620" t="e">
        <f t="shared" si="31"/>
        <v>#DIV/0!</v>
      </c>
    </row>
    <row r="1173" spans="21:23" x14ac:dyDescent="0.2">
      <c r="U1173" s="616"/>
      <c r="W1173" s="620" t="e">
        <f t="shared" si="31"/>
        <v>#DIV/0!</v>
      </c>
    </row>
    <row r="1174" spans="21:23" x14ac:dyDescent="0.2">
      <c r="U1174" s="616"/>
      <c r="W1174" s="620" t="e">
        <f t="shared" si="31"/>
        <v>#DIV/0!</v>
      </c>
    </row>
    <row r="1175" spans="21:23" x14ac:dyDescent="0.2">
      <c r="U1175" s="616"/>
      <c r="W1175" s="620" t="e">
        <f t="shared" si="31"/>
        <v>#DIV/0!</v>
      </c>
    </row>
    <row r="1176" spans="21:23" x14ac:dyDescent="0.2">
      <c r="U1176" s="616"/>
      <c r="W1176" s="620" t="e">
        <f t="shared" si="31"/>
        <v>#DIV/0!</v>
      </c>
    </row>
    <row r="1177" spans="21:23" x14ac:dyDescent="0.2">
      <c r="U1177" s="616"/>
      <c r="W1177" s="620" t="e">
        <f t="shared" si="31"/>
        <v>#DIV/0!</v>
      </c>
    </row>
    <row r="1178" spans="21:23" x14ac:dyDescent="0.2">
      <c r="U1178" s="616"/>
      <c r="W1178" s="620" t="e">
        <f t="shared" si="31"/>
        <v>#DIV/0!</v>
      </c>
    </row>
    <row r="1179" spans="21:23" x14ac:dyDescent="0.2">
      <c r="U1179" s="616"/>
      <c r="W1179" s="620" t="e">
        <f t="shared" si="31"/>
        <v>#DIV/0!</v>
      </c>
    </row>
    <row r="1180" spans="21:23" x14ac:dyDescent="0.2">
      <c r="U1180" s="616"/>
      <c r="W1180" s="620" t="e">
        <f t="shared" si="31"/>
        <v>#DIV/0!</v>
      </c>
    </row>
    <row r="1181" spans="21:23" x14ac:dyDescent="0.2">
      <c r="U1181" s="616"/>
      <c r="W1181" s="620" t="e">
        <f t="shared" si="31"/>
        <v>#DIV/0!</v>
      </c>
    </row>
    <row r="1182" spans="21:23" x14ac:dyDescent="0.2">
      <c r="U1182" s="616"/>
      <c r="W1182" s="620" t="e">
        <f t="shared" si="31"/>
        <v>#DIV/0!</v>
      </c>
    </row>
    <row r="1183" spans="21:23" x14ac:dyDescent="0.2">
      <c r="U1183" s="616"/>
      <c r="W1183" s="620" t="e">
        <f t="shared" si="31"/>
        <v>#DIV/0!</v>
      </c>
    </row>
    <row r="1184" spans="21:23" x14ac:dyDescent="0.2">
      <c r="U1184" s="616"/>
      <c r="W1184" s="620" t="e">
        <f t="shared" si="31"/>
        <v>#DIV/0!</v>
      </c>
    </row>
    <row r="1185" spans="21:23" x14ac:dyDescent="0.2">
      <c r="U1185" s="616"/>
      <c r="W1185" s="620" t="e">
        <f t="shared" si="31"/>
        <v>#DIV/0!</v>
      </c>
    </row>
    <row r="1186" spans="21:23" x14ac:dyDescent="0.2">
      <c r="U1186" s="616"/>
      <c r="W1186" s="620" t="e">
        <f t="shared" si="31"/>
        <v>#DIV/0!</v>
      </c>
    </row>
    <row r="1187" spans="21:23" x14ac:dyDescent="0.2">
      <c r="U1187" s="616"/>
      <c r="W1187" s="620" t="e">
        <f t="shared" si="31"/>
        <v>#DIV/0!</v>
      </c>
    </row>
    <row r="1188" spans="21:23" x14ac:dyDescent="0.2">
      <c r="U1188" s="616"/>
      <c r="W1188" s="620" t="e">
        <f t="shared" si="31"/>
        <v>#DIV/0!</v>
      </c>
    </row>
    <row r="1189" spans="21:23" x14ac:dyDescent="0.2">
      <c r="U1189" s="616"/>
      <c r="W1189" s="620" t="e">
        <f t="shared" si="31"/>
        <v>#DIV/0!</v>
      </c>
    </row>
    <row r="1190" spans="21:23" x14ac:dyDescent="0.2">
      <c r="U1190" s="616"/>
      <c r="W1190" s="620" t="e">
        <f t="shared" si="31"/>
        <v>#DIV/0!</v>
      </c>
    </row>
    <row r="1191" spans="21:23" x14ac:dyDescent="0.2">
      <c r="U1191" s="616"/>
      <c r="W1191" s="620" t="e">
        <f t="shared" si="31"/>
        <v>#DIV/0!</v>
      </c>
    </row>
    <row r="1192" spans="21:23" x14ac:dyDescent="0.2">
      <c r="U1192" s="616"/>
      <c r="W1192" s="620" t="e">
        <f t="shared" si="31"/>
        <v>#DIV/0!</v>
      </c>
    </row>
    <row r="1193" spans="21:23" x14ac:dyDescent="0.2">
      <c r="U1193" s="616"/>
      <c r="W1193" s="620" t="e">
        <f t="shared" si="31"/>
        <v>#DIV/0!</v>
      </c>
    </row>
    <row r="1194" spans="21:23" x14ac:dyDescent="0.2">
      <c r="U1194" s="616"/>
      <c r="W1194" s="620" t="e">
        <f t="shared" si="31"/>
        <v>#DIV/0!</v>
      </c>
    </row>
    <row r="1195" spans="21:23" x14ac:dyDescent="0.2">
      <c r="U1195" s="616"/>
      <c r="W1195" s="620" t="e">
        <f t="shared" si="31"/>
        <v>#DIV/0!</v>
      </c>
    </row>
    <row r="1196" spans="21:23" x14ac:dyDescent="0.2">
      <c r="U1196" s="616"/>
      <c r="W1196" s="620" t="e">
        <f t="shared" si="31"/>
        <v>#DIV/0!</v>
      </c>
    </row>
    <row r="1197" spans="21:23" x14ac:dyDescent="0.2">
      <c r="U1197" s="616"/>
      <c r="W1197" s="620" t="e">
        <f t="shared" si="31"/>
        <v>#DIV/0!</v>
      </c>
    </row>
    <row r="1198" spans="21:23" x14ac:dyDescent="0.2">
      <c r="U1198" s="616"/>
      <c r="W1198" s="620" t="e">
        <f t="shared" si="31"/>
        <v>#DIV/0!</v>
      </c>
    </row>
    <row r="1199" spans="21:23" x14ac:dyDescent="0.2">
      <c r="U1199" s="616"/>
      <c r="W1199" s="620" t="e">
        <f t="shared" si="31"/>
        <v>#DIV/0!</v>
      </c>
    </row>
    <row r="1200" spans="21:23" x14ac:dyDescent="0.2">
      <c r="U1200" s="616"/>
      <c r="W1200" s="620" t="e">
        <f t="shared" si="31"/>
        <v>#DIV/0!</v>
      </c>
    </row>
    <row r="1201" spans="21:23" x14ac:dyDescent="0.2">
      <c r="U1201" s="616"/>
      <c r="W1201" s="620" t="e">
        <f t="shared" si="31"/>
        <v>#DIV/0!</v>
      </c>
    </row>
    <row r="1202" spans="21:23" x14ac:dyDescent="0.2">
      <c r="U1202" s="616"/>
      <c r="W1202" s="620" t="e">
        <f t="shared" si="31"/>
        <v>#DIV/0!</v>
      </c>
    </row>
    <row r="1203" spans="21:23" x14ac:dyDescent="0.2">
      <c r="U1203" s="616"/>
      <c r="W1203" s="620" t="e">
        <f t="shared" si="31"/>
        <v>#DIV/0!</v>
      </c>
    </row>
    <row r="1204" spans="21:23" x14ac:dyDescent="0.2">
      <c r="U1204" s="616"/>
      <c r="W1204" s="620" t="e">
        <f t="shared" si="31"/>
        <v>#DIV/0!</v>
      </c>
    </row>
    <row r="1205" spans="21:23" x14ac:dyDescent="0.2">
      <c r="U1205" s="616"/>
      <c r="W1205" s="620" t="e">
        <f t="shared" si="31"/>
        <v>#DIV/0!</v>
      </c>
    </row>
    <row r="1206" spans="21:23" x14ac:dyDescent="0.2">
      <c r="U1206" s="616"/>
      <c r="W1206" s="620" t="e">
        <f t="shared" si="31"/>
        <v>#DIV/0!</v>
      </c>
    </row>
    <row r="1207" spans="21:23" x14ac:dyDescent="0.2">
      <c r="U1207" s="616"/>
      <c r="W1207" s="620" t="e">
        <f t="shared" si="31"/>
        <v>#DIV/0!</v>
      </c>
    </row>
    <row r="1208" spans="21:23" x14ac:dyDescent="0.2">
      <c r="U1208" s="616"/>
      <c r="W1208" s="620" t="e">
        <f t="shared" si="31"/>
        <v>#DIV/0!</v>
      </c>
    </row>
    <row r="1209" spans="21:23" x14ac:dyDescent="0.2">
      <c r="U1209" s="616"/>
      <c r="W1209" s="620" t="e">
        <f t="shared" si="31"/>
        <v>#DIV/0!</v>
      </c>
    </row>
    <row r="1210" spans="21:23" x14ac:dyDescent="0.2">
      <c r="U1210" s="616"/>
      <c r="W1210" s="620" t="e">
        <f t="shared" si="31"/>
        <v>#DIV/0!</v>
      </c>
    </row>
    <row r="1211" spans="21:23" x14ac:dyDescent="0.2">
      <c r="U1211" s="616"/>
      <c r="W1211" s="620" t="e">
        <f t="shared" si="31"/>
        <v>#DIV/0!</v>
      </c>
    </row>
    <row r="1212" spans="21:23" x14ac:dyDescent="0.2">
      <c r="U1212" s="616"/>
      <c r="W1212" s="620" t="e">
        <f t="shared" si="31"/>
        <v>#DIV/0!</v>
      </c>
    </row>
    <row r="1213" spans="21:23" x14ac:dyDescent="0.2">
      <c r="U1213" s="616"/>
      <c r="W1213" s="620" t="e">
        <f t="shared" si="31"/>
        <v>#DIV/0!</v>
      </c>
    </row>
    <row r="1214" spans="21:23" x14ac:dyDescent="0.2">
      <c r="U1214" s="616"/>
      <c r="W1214" s="620" t="e">
        <f t="shared" si="31"/>
        <v>#DIV/0!</v>
      </c>
    </row>
    <row r="1215" spans="21:23" x14ac:dyDescent="0.2">
      <c r="U1215" s="616"/>
      <c r="W1215" s="620" t="e">
        <f t="shared" si="31"/>
        <v>#DIV/0!</v>
      </c>
    </row>
    <row r="1216" spans="21:23" x14ac:dyDescent="0.2">
      <c r="U1216" s="616"/>
      <c r="W1216" s="620" t="e">
        <f t="shared" si="31"/>
        <v>#DIV/0!</v>
      </c>
    </row>
    <row r="1217" spans="21:23" x14ac:dyDescent="0.2">
      <c r="U1217" s="616"/>
      <c r="W1217" s="620" t="e">
        <f t="shared" si="31"/>
        <v>#DIV/0!</v>
      </c>
    </row>
    <row r="1218" spans="21:23" x14ac:dyDescent="0.2">
      <c r="U1218" s="616"/>
      <c r="W1218" s="620" t="e">
        <f t="shared" si="31"/>
        <v>#DIV/0!</v>
      </c>
    </row>
    <row r="1219" spans="21:23" x14ac:dyDescent="0.2">
      <c r="U1219" s="616"/>
      <c r="W1219" s="620" t="e">
        <f t="shared" si="31"/>
        <v>#DIV/0!</v>
      </c>
    </row>
    <row r="1220" spans="21:23" x14ac:dyDescent="0.2">
      <c r="U1220" s="616"/>
      <c r="W1220" s="620" t="e">
        <f t="shared" ref="W1220:W1283" si="32">AVERAGE($V$4:$V$2517)</f>
        <v>#DIV/0!</v>
      </c>
    </row>
    <row r="1221" spans="21:23" x14ac:dyDescent="0.2">
      <c r="U1221" s="616"/>
      <c r="W1221" s="620" t="e">
        <f t="shared" si="32"/>
        <v>#DIV/0!</v>
      </c>
    </row>
    <row r="1222" spans="21:23" x14ac:dyDescent="0.2">
      <c r="U1222" s="616"/>
      <c r="W1222" s="620" t="e">
        <f t="shared" si="32"/>
        <v>#DIV/0!</v>
      </c>
    </row>
    <row r="1223" spans="21:23" x14ac:dyDescent="0.2">
      <c r="U1223" s="616"/>
      <c r="W1223" s="620" t="e">
        <f t="shared" si="32"/>
        <v>#DIV/0!</v>
      </c>
    </row>
    <row r="1224" spans="21:23" x14ac:dyDescent="0.2">
      <c r="U1224" s="616"/>
      <c r="W1224" s="620" t="e">
        <f t="shared" si="32"/>
        <v>#DIV/0!</v>
      </c>
    </row>
    <row r="1225" spans="21:23" x14ac:dyDescent="0.2">
      <c r="U1225" s="616"/>
      <c r="W1225" s="620" t="e">
        <f t="shared" si="32"/>
        <v>#DIV/0!</v>
      </c>
    </row>
    <row r="1226" spans="21:23" x14ac:dyDescent="0.2">
      <c r="U1226" s="616"/>
      <c r="W1226" s="620" t="e">
        <f t="shared" si="32"/>
        <v>#DIV/0!</v>
      </c>
    </row>
    <row r="1227" spans="21:23" x14ac:dyDescent="0.2">
      <c r="U1227" s="616"/>
      <c r="W1227" s="620" t="e">
        <f t="shared" si="32"/>
        <v>#DIV/0!</v>
      </c>
    </row>
    <row r="1228" spans="21:23" x14ac:dyDescent="0.2">
      <c r="U1228" s="616"/>
      <c r="W1228" s="620" t="e">
        <f t="shared" si="32"/>
        <v>#DIV/0!</v>
      </c>
    </row>
    <row r="1229" spans="21:23" x14ac:dyDescent="0.2">
      <c r="U1229" s="616"/>
      <c r="W1229" s="620" t="e">
        <f t="shared" si="32"/>
        <v>#DIV/0!</v>
      </c>
    </row>
    <row r="1230" spans="21:23" x14ac:dyDescent="0.2">
      <c r="U1230" s="616"/>
      <c r="W1230" s="620" t="e">
        <f t="shared" si="32"/>
        <v>#DIV/0!</v>
      </c>
    </row>
    <row r="1231" spans="21:23" x14ac:dyDescent="0.2">
      <c r="U1231" s="616"/>
      <c r="W1231" s="620" t="e">
        <f t="shared" si="32"/>
        <v>#DIV/0!</v>
      </c>
    </row>
    <row r="1232" spans="21:23" x14ac:dyDescent="0.2">
      <c r="U1232" s="616"/>
      <c r="W1232" s="620" t="e">
        <f t="shared" si="32"/>
        <v>#DIV/0!</v>
      </c>
    </row>
    <row r="1233" spans="21:23" x14ac:dyDescent="0.2">
      <c r="U1233" s="616"/>
      <c r="W1233" s="620" t="e">
        <f t="shared" si="32"/>
        <v>#DIV/0!</v>
      </c>
    </row>
    <row r="1234" spans="21:23" x14ac:dyDescent="0.2">
      <c r="U1234" s="616"/>
      <c r="W1234" s="620" t="e">
        <f t="shared" si="32"/>
        <v>#DIV/0!</v>
      </c>
    </row>
    <row r="1235" spans="21:23" x14ac:dyDescent="0.2">
      <c r="U1235" s="616"/>
      <c r="W1235" s="620" t="e">
        <f t="shared" si="32"/>
        <v>#DIV/0!</v>
      </c>
    </row>
    <row r="1236" spans="21:23" x14ac:dyDescent="0.2">
      <c r="U1236" s="616"/>
      <c r="W1236" s="620" t="e">
        <f t="shared" si="32"/>
        <v>#DIV/0!</v>
      </c>
    </row>
    <row r="1237" spans="21:23" x14ac:dyDescent="0.2">
      <c r="U1237" s="616"/>
      <c r="W1237" s="620" t="e">
        <f t="shared" si="32"/>
        <v>#DIV/0!</v>
      </c>
    </row>
    <row r="1238" spans="21:23" x14ac:dyDescent="0.2">
      <c r="U1238" s="616"/>
      <c r="W1238" s="620" t="e">
        <f t="shared" si="32"/>
        <v>#DIV/0!</v>
      </c>
    </row>
    <row r="1239" spans="21:23" x14ac:dyDescent="0.2">
      <c r="U1239" s="616"/>
      <c r="W1239" s="620" t="e">
        <f t="shared" si="32"/>
        <v>#DIV/0!</v>
      </c>
    </row>
    <row r="1240" spans="21:23" x14ac:dyDescent="0.2">
      <c r="U1240" s="616"/>
      <c r="W1240" s="620" t="e">
        <f t="shared" si="32"/>
        <v>#DIV/0!</v>
      </c>
    </row>
    <row r="1241" spans="21:23" x14ac:dyDescent="0.2">
      <c r="U1241" s="616"/>
      <c r="W1241" s="620" t="e">
        <f t="shared" si="32"/>
        <v>#DIV/0!</v>
      </c>
    </row>
    <row r="1242" spans="21:23" x14ac:dyDescent="0.2">
      <c r="U1242" s="616"/>
      <c r="W1242" s="620" t="e">
        <f t="shared" si="32"/>
        <v>#DIV/0!</v>
      </c>
    </row>
    <row r="1243" spans="21:23" x14ac:dyDescent="0.2">
      <c r="U1243" s="616"/>
      <c r="W1243" s="620" t="e">
        <f t="shared" si="32"/>
        <v>#DIV/0!</v>
      </c>
    </row>
    <row r="1244" spans="21:23" x14ac:dyDescent="0.2">
      <c r="U1244" s="616"/>
      <c r="W1244" s="620" t="e">
        <f t="shared" si="32"/>
        <v>#DIV/0!</v>
      </c>
    </row>
    <row r="1245" spans="21:23" x14ac:dyDescent="0.2">
      <c r="U1245" s="616"/>
      <c r="W1245" s="620" t="e">
        <f t="shared" si="32"/>
        <v>#DIV/0!</v>
      </c>
    </row>
    <row r="1246" spans="21:23" x14ac:dyDescent="0.2">
      <c r="U1246" s="616"/>
      <c r="W1246" s="620" t="e">
        <f t="shared" si="32"/>
        <v>#DIV/0!</v>
      </c>
    </row>
    <row r="1247" spans="21:23" x14ac:dyDescent="0.2">
      <c r="U1247" s="616"/>
      <c r="W1247" s="620" t="e">
        <f t="shared" si="32"/>
        <v>#DIV/0!</v>
      </c>
    </row>
    <row r="1248" spans="21:23" x14ac:dyDescent="0.2">
      <c r="U1248" s="616"/>
      <c r="W1248" s="620" t="e">
        <f t="shared" si="32"/>
        <v>#DIV/0!</v>
      </c>
    </row>
    <row r="1249" spans="21:23" x14ac:dyDescent="0.2">
      <c r="U1249" s="616"/>
      <c r="W1249" s="620" t="e">
        <f t="shared" si="32"/>
        <v>#DIV/0!</v>
      </c>
    </row>
    <row r="1250" spans="21:23" x14ac:dyDescent="0.2">
      <c r="U1250" s="616"/>
      <c r="W1250" s="620" t="e">
        <f t="shared" si="32"/>
        <v>#DIV/0!</v>
      </c>
    </row>
    <row r="1251" spans="21:23" x14ac:dyDescent="0.2">
      <c r="U1251" s="616"/>
      <c r="W1251" s="620" t="e">
        <f t="shared" si="32"/>
        <v>#DIV/0!</v>
      </c>
    </row>
    <row r="1252" spans="21:23" x14ac:dyDescent="0.2">
      <c r="U1252" s="616"/>
      <c r="W1252" s="620" t="e">
        <f t="shared" si="32"/>
        <v>#DIV/0!</v>
      </c>
    </row>
    <row r="1253" spans="21:23" x14ac:dyDescent="0.2">
      <c r="U1253" s="616"/>
      <c r="W1253" s="620" t="e">
        <f t="shared" si="32"/>
        <v>#DIV/0!</v>
      </c>
    </row>
    <row r="1254" spans="21:23" x14ac:dyDescent="0.2">
      <c r="U1254" s="616"/>
      <c r="W1254" s="620" t="e">
        <f t="shared" si="32"/>
        <v>#DIV/0!</v>
      </c>
    </row>
    <row r="1255" spans="21:23" x14ac:dyDescent="0.2">
      <c r="U1255" s="616"/>
      <c r="W1255" s="620" t="e">
        <f t="shared" si="32"/>
        <v>#DIV/0!</v>
      </c>
    </row>
    <row r="1256" spans="21:23" x14ac:dyDescent="0.2">
      <c r="U1256" s="616"/>
      <c r="W1256" s="620" t="e">
        <f t="shared" si="32"/>
        <v>#DIV/0!</v>
      </c>
    </row>
    <row r="1257" spans="21:23" x14ac:dyDescent="0.2">
      <c r="U1257" s="616"/>
      <c r="W1257" s="620" t="e">
        <f t="shared" si="32"/>
        <v>#DIV/0!</v>
      </c>
    </row>
    <row r="1258" spans="21:23" x14ac:dyDescent="0.2">
      <c r="U1258" s="616"/>
      <c r="W1258" s="620" t="e">
        <f t="shared" si="32"/>
        <v>#DIV/0!</v>
      </c>
    </row>
    <row r="1259" spans="21:23" x14ac:dyDescent="0.2">
      <c r="U1259" s="616"/>
      <c r="W1259" s="620" t="e">
        <f t="shared" si="32"/>
        <v>#DIV/0!</v>
      </c>
    </row>
    <row r="1260" spans="21:23" x14ac:dyDescent="0.2">
      <c r="U1260" s="616"/>
      <c r="W1260" s="620" t="e">
        <f t="shared" si="32"/>
        <v>#DIV/0!</v>
      </c>
    </row>
    <row r="1261" spans="21:23" x14ac:dyDescent="0.2">
      <c r="U1261" s="616"/>
      <c r="W1261" s="620" t="e">
        <f t="shared" si="32"/>
        <v>#DIV/0!</v>
      </c>
    </row>
    <row r="1262" spans="21:23" x14ac:dyDescent="0.2">
      <c r="U1262" s="616"/>
      <c r="W1262" s="620" t="e">
        <f t="shared" si="32"/>
        <v>#DIV/0!</v>
      </c>
    </row>
    <row r="1263" spans="21:23" x14ac:dyDescent="0.2">
      <c r="U1263" s="616"/>
      <c r="W1263" s="620" t="e">
        <f t="shared" si="32"/>
        <v>#DIV/0!</v>
      </c>
    </row>
    <row r="1264" spans="21:23" x14ac:dyDescent="0.2">
      <c r="U1264" s="616"/>
      <c r="W1264" s="620" t="e">
        <f t="shared" si="32"/>
        <v>#DIV/0!</v>
      </c>
    </row>
    <row r="1265" spans="21:23" x14ac:dyDescent="0.2">
      <c r="U1265" s="616"/>
      <c r="W1265" s="620" t="e">
        <f t="shared" si="32"/>
        <v>#DIV/0!</v>
      </c>
    </row>
    <row r="1266" spans="21:23" x14ac:dyDescent="0.2">
      <c r="U1266" s="616"/>
      <c r="W1266" s="620" t="e">
        <f t="shared" si="32"/>
        <v>#DIV/0!</v>
      </c>
    </row>
    <row r="1267" spans="21:23" x14ac:dyDescent="0.2">
      <c r="U1267" s="616"/>
      <c r="W1267" s="620" t="e">
        <f t="shared" si="32"/>
        <v>#DIV/0!</v>
      </c>
    </row>
    <row r="1268" spans="21:23" x14ac:dyDescent="0.2">
      <c r="U1268" s="616"/>
      <c r="W1268" s="620" t="e">
        <f t="shared" si="32"/>
        <v>#DIV/0!</v>
      </c>
    </row>
    <row r="1269" spans="21:23" x14ac:dyDescent="0.2">
      <c r="U1269" s="616"/>
      <c r="W1269" s="620" t="e">
        <f t="shared" si="32"/>
        <v>#DIV/0!</v>
      </c>
    </row>
    <row r="1270" spans="21:23" x14ac:dyDescent="0.2">
      <c r="U1270" s="616"/>
      <c r="W1270" s="620" t="e">
        <f t="shared" si="32"/>
        <v>#DIV/0!</v>
      </c>
    </row>
    <row r="1271" spans="21:23" x14ac:dyDescent="0.2">
      <c r="U1271" s="616"/>
      <c r="W1271" s="620" t="e">
        <f t="shared" si="32"/>
        <v>#DIV/0!</v>
      </c>
    </row>
    <row r="1272" spans="21:23" x14ac:dyDescent="0.2">
      <c r="U1272" s="616"/>
      <c r="W1272" s="620" t="e">
        <f t="shared" si="32"/>
        <v>#DIV/0!</v>
      </c>
    </row>
    <row r="1273" spans="21:23" x14ac:dyDescent="0.2">
      <c r="U1273" s="616"/>
      <c r="W1273" s="620" t="e">
        <f t="shared" si="32"/>
        <v>#DIV/0!</v>
      </c>
    </row>
    <row r="1274" spans="21:23" x14ac:dyDescent="0.2">
      <c r="U1274" s="616"/>
      <c r="W1274" s="620" t="e">
        <f t="shared" si="32"/>
        <v>#DIV/0!</v>
      </c>
    </row>
    <row r="1275" spans="21:23" x14ac:dyDescent="0.2">
      <c r="U1275" s="616"/>
      <c r="W1275" s="620" t="e">
        <f t="shared" si="32"/>
        <v>#DIV/0!</v>
      </c>
    </row>
    <row r="1276" spans="21:23" x14ac:dyDescent="0.2">
      <c r="U1276" s="616"/>
      <c r="W1276" s="620" t="e">
        <f t="shared" si="32"/>
        <v>#DIV/0!</v>
      </c>
    </row>
    <row r="1277" spans="21:23" x14ac:dyDescent="0.2">
      <c r="U1277" s="616"/>
      <c r="W1277" s="620" t="e">
        <f t="shared" si="32"/>
        <v>#DIV/0!</v>
      </c>
    </row>
    <row r="1278" spans="21:23" x14ac:dyDescent="0.2">
      <c r="U1278" s="616"/>
      <c r="W1278" s="620" t="e">
        <f t="shared" si="32"/>
        <v>#DIV/0!</v>
      </c>
    </row>
    <row r="1279" spans="21:23" x14ac:dyDescent="0.2">
      <c r="U1279" s="616"/>
      <c r="W1279" s="620" t="e">
        <f t="shared" si="32"/>
        <v>#DIV/0!</v>
      </c>
    </row>
    <row r="1280" spans="21:23" x14ac:dyDescent="0.2">
      <c r="U1280" s="616"/>
      <c r="W1280" s="620" t="e">
        <f t="shared" si="32"/>
        <v>#DIV/0!</v>
      </c>
    </row>
    <row r="1281" spans="21:23" x14ac:dyDescent="0.2">
      <c r="U1281" s="616"/>
      <c r="W1281" s="620" t="e">
        <f t="shared" si="32"/>
        <v>#DIV/0!</v>
      </c>
    </row>
    <row r="1282" spans="21:23" x14ac:dyDescent="0.2">
      <c r="U1282" s="616"/>
      <c r="W1282" s="620" t="e">
        <f t="shared" si="32"/>
        <v>#DIV/0!</v>
      </c>
    </row>
    <row r="1283" spans="21:23" x14ac:dyDescent="0.2">
      <c r="U1283" s="616"/>
      <c r="W1283" s="620" t="e">
        <f t="shared" si="32"/>
        <v>#DIV/0!</v>
      </c>
    </row>
    <row r="1284" spans="21:23" x14ac:dyDescent="0.2">
      <c r="U1284" s="616"/>
      <c r="W1284" s="620" t="e">
        <f t="shared" ref="W1284:W1347" si="33">AVERAGE($V$4:$V$2517)</f>
        <v>#DIV/0!</v>
      </c>
    </row>
    <row r="1285" spans="21:23" x14ac:dyDescent="0.2">
      <c r="U1285" s="616"/>
      <c r="W1285" s="620" t="e">
        <f t="shared" si="33"/>
        <v>#DIV/0!</v>
      </c>
    </row>
    <row r="1286" spans="21:23" x14ac:dyDescent="0.2">
      <c r="U1286" s="616"/>
      <c r="W1286" s="620" t="e">
        <f t="shared" si="33"/>
        <v>#DIV/0!</v>
      </c>
    </row>
    <row r="1287" spans="21:23" x14ac:dyDescent="0.2">
      <c r="U1287" s="616"/>
      <c r="W1287" s="620" t="e">
        <f t="shared" si="33"/>
        <v>#DIV/0!</v>
      </c>
    </row>
    <row r="1288" spans="21:23" x14ac:dyDescent="0.2">
      <c r="U1288" s="616"/>
      <c r="W1288" s="620" t="e">
        <f t="shared" si="33"/>
        <v>#DIV/0!</v>
      </c>
    </row>
    <row r="1289" spans="21:23" x14ac:dyDescent="0.2">
      <c r="U1289" s="616"/>
      <c r="W1289" s="620" t="e">
        <f t="shared" si="33"/>
        <v>#DIV/0!</v>
      </c>
    </row>
    <row r="1290" spans="21:23" x14ac:dyDescent="0.2">
      <c r="U1290" s="616"/>
      <c r="W1290" s="620" t="e">
        <f t="shared" si="33"/>
        <v>#DIV/0!</v>
      </c>
    </row>
    <row r="1291" spans="21:23" x14ac:dyDescent="0.2">
      <c r="U1291" s="616"/>
      <c r="W1291" s="620" t="e">
        <f t="shared" si="33"/>
        <v>#DIV/0!</v>
      </c>
    </row>
    <row r="1292" spans="21:23" x14ac:dyDescent="0.2">
      <c r="U1292" s="616"/>
      <c r="W1292" s="620" t="e">
        <f t="shared" si="33"/>
        <v>#DIV/0!</v>
      </c>
    </row>
    <row r="1293" spans="21:23" x14ac:dyDescent="0.2">
      <c r="U1293" s="616"/>
      <c r="W1293" s="620" t="e">
        <f t="shared" si="33"/>
        <v>#DIV/0!</v>
      </c>
    </row>
    <row r="1294" spans="21:23" x14ac:dyDescent="0.2">
      <c r="U1294" s="616"/>
      <c r="W1294" s="620" t="e">
        <f t="shared" si="33"/>
        <v>#DIV/0!</v>
      </c>
    </row>
    <row r="1295" spans="21:23" x14ac:dyDescent="0.2">
      <c r="U1295" s="616"/>
      <c r="W1295" s="620" t="e">
        <f t="shared" si="33"/>
        <v>#DIV/0!</v>
      </c>
    </row>
    <row r="1296" spans="21:23" x14ac:dyDescent="0.2">
      <c r="U1296" s="616"/>
      <c r="W1296" s="620" t="e">
        <f t="shared" si="33"/>
        <v>#DIV/0!</v>
      </c>
    </row>
    <row r="1297" spans="21:23" x14ac:dyDescent="0.2">
      <c r="U1297" s="616"/>
      <c r="W1297" s="620" t="e">
        <f t="shared" si="33"/>
        <v>#DIV/0!</v>
      </c>
    </row>
    <row r="1298" spans="21:23" x14ac:dyDescent="0.2">
      <c r="U1298" s="616"/>
      <c r="W1298" s="620" t="e">
        <f t="shared" si="33"/>
        <v>#DIV/0!</v>
      </c>
    </row>
    <row r="1299" spans="21:23" x14ac:dyDescent="0.2">
      <c r="U1299" s="616"/>
      <c r="W1299" s="620" t="e">
        <f t="shared" si="33"/>
        <v>#DIV/0!</v>
      </c>
    </row>
    <row r="1300" spans="21:23" x14ac:dyDescent="0.2">
      <c r="U1300" s="616"/>
      <c r="W1300" s="620" t="e">
        <f t="shared" si="33"/>
        <v>#DIV/0!</v>
      </c>
    </row>
    <row r="1301" spans="21:23" x14ac:dyDescent="0.2">
      <c r="U1301" s="616"/>
      <c r="W1301" s="620" t="e">
        <f t="shared" si="33"/>
        <v>#DIV/0!</v>
      </c>
    </row>
    <row r="1302" spans="21:23" x14ac:dyDescent="0.2">
      <c r="U1302" s="616"/>
      <c r="W1302" s="620" t="e">
        <f t="shared" si="33"/>
        <v>#DIV/0!</v>
      </c>
    </row>
    <row r="1303" spans="21:23" x14ac:dyDescent="0.2">
      <c r="U1303" s="616"/>
      <c r="W1303" s="620" t="e">
        <f t="shared" si="33"/>
        <v>#DIV/0!</v>
      </c>
    </row>
    <row r="1304" spans="21:23" x14ac:dyDescent="0.2">
      <c r="U1304" s="616"/>
      <c r="W1304" s="620" t="e">
        <f t="shared" si="33"/>
        <v>#DIV/0!</v>
      </c>
    </row>
    <row r="1305" spans="21:23" x14ac:dyDescent="0.2">
      <c r="U1305" s="616"/>
      <c r="W1305" s="620" t="e">
        <f t="shared" si="33"/>
        <v>#DIV/0!</v>
      </c>
    </row>
    <row r="1306" spans="21:23" x14ac:dyDescent="0.2">
      <c r="U1306" s="616"/>
      <c r="W1306" s="620" t="e">
        <f t="shared" si="33"/>
        <v>#DIV/0!</v>
      </c>
    </row>
    <row r="1307" spans="21:23" x14ac:dyDescent="0.2">
      <c r="U1307" s="616"/>
      <c r="W1307" s="620" t="e">
        <f t="shared" si="33"/>
        <v>#DIV/0!</v>
      </c>
    </row>
    <row r="1308" spans="21:23" x14ac:dyDescent="0.2">
      <c r="U1308" s="616"/>
      <c r="W1308" s="620" t="e">
        <f t="shared" si="33"/>
        <v>#DIV/0!</v>
      </c>
    </row>
    <row r="1309" spans="21:23" x14ac:dyDescent="0.2">
      <c r="U1309" s="616"/>
      <c r="W1309" s="620" t="e">
        <f t="shared" si="33"/>
        <v>#DIV/0!</v>
      </c>
    </row>
    <row r="1310" spans="21:23" x14ac:dyDescent="0.2">
      <c r="U1310" s="616"/>
      <c r="W1310" s="620" t="e">
        <f t="shared" si="33"/>
        <v>#DIV/0!</v>
      </c>
    </row>
    <row r="1311" spans="21:23" x14ac:dyDescent="0.2">
      <c r="U1311" s="616"/>
      <c r="W1311" s="620" t="e">
        <f t="shared" si="33"/>
        <v>#DIV/0!</v>
      </c>
    </row>
    <row r="1312" spans="21:23" x14ac:dyDescent="0.2">
      <c r="U1312" s="616"/>
      <c r="W1312" s="620" t="e">
        <f t="shared" si="33"/>
        <v>#DIV/0!</v>
      </c>
    </row>
    <row r="1313" spans="21:23" x14ac:dyDescent="0.2">
      <c r="U1313" s="616"/>
      <c r="W1313" s="620" t="e">
        <f t="shared" si="33"/>
        <v>#DIV/0!</v>
      </c>
    </row>
    <row r="1314" spans="21:23" x14ac:dyDescent="0.2">
      <c r="U1314" s="616"/>
      <c r="W1314" s="620" t="e">
        <f t="shared" si="33"/>
        <v>#DIV/0!</v>
      </c>
    </row>
    <row r="1315" spans="21:23" x14ac:dyDescent="0.2">
      <c r="U1315" s="616"/>
      <c r="W1315" s="620" t="e">
        <f t="shared" si="33"/>
        <v>#DIV/0!</v>
      </c>
    </row>
    <row r="1316" spans="21:23" x14ac:dyDescent="0.2">
      <c r="U1316" s="616"/>
      <c r="W1316" s="620" t="e">
        <f t="shared" si="33"/>
        <v>#DIV/0!</v>
      </c>
    </row>
    <row r="1317" spans="21:23" x14ac:dyDescent="0.2">
      <c r="U1317" s="616"/>
      <c r="W1317" s="620" t="e">
        <f t="shared" si="33"/>
        <v>#DIV/0!</v>
      </c>
    </row>
    <row r="1318" spans="21:23" x14ac:dyDescent="0.2">
      <c r="U1318" s="616"/>
      <c r="W1318" s="620" t="e">
        <f t="shared" si="33"/>
        <v>#DIV/0!</v>
      </c>
    </row>
    <row r="1319" spans="21:23" x14ac:dyDescent="0.2">
      <c r="U1319" s="616"/>
      <c r="W1319" s="620" t="e">
        <f t="shared" si="33"/>
        <v>#DIV/0!</v>
      </c>
    </row>
    <row r="1320" spans="21:23" x14ac:dyDescent="0.2">
      <c r="U1320" s="616"/>
      <c r="W1320" s="620" t="e">
        <f t="shared" si="33"/>
        <v>#DIV/0!</v>
      </c>
    </row>
    <row r="1321" spans="21:23" x14ac:dyDescent="0.2">
      <c r="U1321" s="616"/>
      <c r="W1321" s="620" t="e">
        <f t="shared" si="33"/>
        <v>#DIV/0!</v>
      </c>
    </row>
    <row r="1322" spans="21:23" x14ac:dyDescent="0.2">
      <c r="U1322" s="616"/>
      <c r="W1322" s="620" t="e">
        <f t="shared" si="33"/>
        <v>#DIV/0!</v>
      </c>
    </row>
    <row r="1323" spans="21:23" x14ac:dyDescent="0.2">
      <c r="U1323" s="616"/>
      <c r="W1323" s="620" t="e">
        <f t="shared" si="33"/>
        <v>#DIV/0!</v>
      </c>
    </row>
    <row r="1324" spans="21:23" x14ac:dyDescent="0.2">
      <c r="U1324" s="616"/>
      <c r="W1324" s="620" t="e">
        <f t="shared" si="33"/>
        <v>#DIV/0!</v>
      </c>
    </row>
    <row r="1325" spans="21:23" x14ac:dyDescent="0.2">
      <c r="U1325" s="616"/>
      <c r="W1325" s="620" t="e">
        <f t="shared" si="33"/>
        <v>#DIV/0!</v>
      </c>
    </row>
    <row r="1326" spans="21:23" x14ac:dyDescent="0.2">
      <c r="U1326" s="616"/>
      <c r="W1326" s="620" t="e">
        <f t="shared" si="33"/>
        <v>#DIV/0!</v>
      </c>
    </row>
    <row r="1327" spans="21:23" x14ac:dyDescent="0.2">
      <c r="U1327" s="616"/>
      <c r="W1327" s="620" t="e">
        <f t="shared" si="33"/>
        <v>#DIV/0!</v>
      </c>
    </row>
    <row r="1328" spans="21:23" x14ac:dyDescent="0.2">
      <c r="U1328" s="616"/>
      <c r="W1328" s="620" t="e">
        <f t="shared" si="33"/>
        <v>#DIV/0!</v>
      </c>
    </row>
    <row r="1329" spans="21:23" x14ac:dyDescent="0.2">
      <c r="U1329" s="616"/>
      <c r="W1329" s="620" t="e">
        <f t="shared" si="33"/>
        <v>#DIV/0!</v>
      </c>
    </row>
    <row r="1330" spans="21:23" x14ac:dyDescent="0.2">
      <c r="U1330" s="616"/>
      <c r="W1330" s="620" t="e">
        <f t="shared" si="33"/>
        <v>#DIV/0!</v>
      </c>
    </row>
    <row r="1331" spans="21:23" x14ac:dyDescent="0.2">
      <c r="U1331" s="616"/>
      <c r="W1331" s="620" t="e">
        <f t="shared" si="33"/>
        <v>#DIV/0!</v>
      </c>
    </row>
    <row r="1332" spans="21:23" x14ac:dyDescent="0.2">
      <c r="U1332" s="616"/>
      <c r="W1332" s="620" t="e">
        <f t="shared" si="33"/>
        <v>#DIV/0!</v>
      </c>
    </row>
    <row r="1333" spans="21:23" x14ac:dyDescent="0.2">
      <c r="U1333" s="616"/>
      <c r="W1333" s="620" t="e">
        <f t="shared" si="33"/>
        <v>#DIV/0!</v>
      </c>
    </row>
    <row r="1334" spans="21:23" x14ac:dyDescent="0.2">
      <c r="U1334" s="616"/>
      <c r="W1334" s="620" t="e">
        <f t="shared" si="33"/>
        <v>#DIV/0!</v>
      </c>
    </row>
    <row r="1335" spans="21:23" x14ac:dyDescent="0.2">
      <c r="U1335" s="616"/>
      <c r="W1335" s="620" t="e">
        <f t="shared" si="33"/>
        <v>#DIV/0!</v>
      </c>
    </row>
    <row r="1336" spans="21:23" x14ac:dyDescent="0.2">
      <c r="U1336" s="616"/>
      <c r="W1336" s="620" t="e">
        <f t="shared" si="33"/>
        <v>#DIV/0!</v>
      </c>
    </row>
    <row r="1337" spans="21:23" x14ac:dyDescent="0.2">
      <c r="U1337" s="616"/>
      <c r="W1337" s="620" t="e">
        <f t="shared" si="33"/>
        <v>#DIV/0!</v>
      </c>
    </row>
    <row r="1338" spans="21:23" x14ac:dyDescent="0.2">
      <c r="U1338" s="616"/>
      <c r="W1338" s="620" t="e">
        <f t="shared" si="33"/>
        <v>#DIV/0!</v>
      </c>
    </row>
    <row r="1339" spans="21:23" x14ac:dyDescent="0.2">
      <c r="U1339" s="616"/>
      <c r="W1339" s="620" t="e">
        <f t="shared" si="33"/>
        <v>#DIV/0!</v>
      </c>
    </row>
    <row r="1340" spans="21:23" x14ac:dyDescent="0.2">
      <c r="U1340" s="616"/>
      <c r="W1340" s="620" t="e">
        <f t="shared" si="33"/>
        <v>#DIV/0!</v>
      </c>
    </row>
    <row r="1341" spans="21:23" x14ac:dyDescent="0.2">
      <c r="U1341" s="616"/>
      <c r="W1341" s="620" t="e">
        <f t="shared" si="33"/>
        <v>#DIV/0!</v>
      </c>
    </row>
    <row r="1342" spans="21:23" x14ac:dyDescent="0.2">
      <c r="U1342" s="616"/>
      <c r="W1342" s="620" t="e">
        <f t="shared" si="33"/>
        <v>#DIV/0!</v>
      </c>
    </row>
    <row r="1343" spans="21:23" x14ac:dyDescent="0.2">
      <c r="U1343" s="616"/>
      <c r="W1343" s="620" t="e">
        <f t="shared" si="33"/>
        <v>#DIV/0!</v>
      </c>
    </row>
    <row r="1344" spans="21:23" x14ac:dyDescent="0.2">
      <c r="U1344" s="616"/>
      <c r="W1344" s="620" t="e">
        <f t="shared" si="33"/>
        <v>#DIV/0!</v>
      </c>
    </row>
    <row r="1345" spans="21:23" x14ac:dyDescent="0.2">
      <c r="U1345" s="616"/>
      <c r="W1345" s="620" t="e">
        <f t="shared" si="33"/>
        <v>#DIV/0!</v>
      </c>
    </row>
    <row r="1346" spans="21:23" x14ac:dyDescent="0.2">
      <c r="U1346" s="616"/>
      <c r="W1346" s="620" t="e">
        <f t="shared" si="33"/>
        <v>#DIV/0!</v>
      </c>
    </row>
    <row r="1347" spans="21:23" x14ac:dyDescent="0.2">
      <c r="U1347" s="616"/>
      <c r="W1347" s="620" t="e">
        <f t="shared" si="33"/>
        <v>#DIV/0!</v>
      </c>
    </row>
    <row r="1348" spans="21:23" x14ac:dyDescent="0.2">
      <c r="U1348" s="616"/>
      <c r="W1348" s="620" t="e">
        <f t="shared" ref="W1348:W1411" si="34">AVERAGE($V$4:$V$2517)</f>
        <v>#DIV/0!</v>
      </c>
    </row>
    <row r="1349" spans="21:23" x14ac:dyDescent="0.2">
      <c r="U1349" s="616"/>
      <c r="W1349" s="620" t="e">
        <f t="shared" si="34"/>
        <v>#DIV/0!</v>
      </c>
    </row>
    <row r="1350" spans="21:23" x14ac:dyDescent="0.2">
      <c r="U1350" s="616"/>
      <c r="W1350" s="620" t="e">
        <f t="shared" si="34"/>
        <v>#DIV/0!</v>
      </c>
    </row>
    <row r="1351" spans="21:23" x14ac:dyDescent="0.2">
      <c r="U1351" s="616"/>
      <c r="W1351" s="620" t="e">
        <f t="shared" si="34"/>
        <v>#DIV/0!</v>
      </c>
    </row>
    <row r="1352" spans="21:23" x14ac:dyDescent="0.2">
      <c r="U1352" s="616"/>
      <c r="W1352" s="620" t="e">
        <f t="shared" si="34"/>
        <v>#DIV/0!</v>
      </c>
    </row>
    <row r="1353" spans="21:23" x14ac:dyDescent="0.2">
      <c r="U1353" s="616"/>
      <c r="W1353" s="620" t="e">
        <f t="shared" si="34"/>
        <v>#DIV/0!</v>
      </c>
    </row>
    <row r="1354" spans="21:23" x14ac:dyDescent="0.2">
      <c r="U1354" s="616"/>
      <c r="W1354" s="620" t="e">
        <f t="shared" si="34"/>
        <v>#DIV/0!</v>
      </c>
    </row>
    <row r="1355" spans="21:23" x14ac:dyDescent="0.2">
      <c r="U1355" s="616"/>
      <c r="W1355" s="620" t="e">
        <f t="shared" si="34"/>
        <v>#DIV/0!</v>
      </c>
    </row>
    <row r="1356" spans="21:23" x14ac:dyDescent="0.2">
      <c r="U1356" s="616"/>
      <c r="W1356" s="620" t="e">
        <f t="shared" si="34"/>
        <v>#DIV/0!</v>
      </c>
    </row>
    <row r="1357" spans="21:23" x14ac:dyDescent="0.2">
      <c r="U1357" s="616"/>
      <c r="W1357" s="620" t="e">
        <f t="shared" si="34"/>
        <v>#DIV/0!</v>
      </c>
    </row>
    <row r="1358" spans="21:23" x14ac:dyDescent="0.2">
      <c r="U1358" s="616"/>
      <c r="W1358" s="620" t="e">
        <f t="shared" si="34"/>
        <v>#DIV/0!</v>
      </c>
    </row>
    <row r="1359" spans="21:23" x14ac:dyDescent="0.2">
      <c r="U1359" s="616"/>
      <c r="W1359" s="620" t="e">
        <f t="shared" si="34"/>
        <v>#DIV/0!</v>
      </c>
    </row>
    <row r="1360" spans="21:23" x14ac:dyDescent="0.2">
      <c r="U1360" s="616"/>
      <c r="W1360" s="620" t="e">
        <f t="shared" si="34"/>
        <v>#DIV/0!</v>
      </c>
    </row>
    <row r="1361" spans="21:23" x14ac:dyDescent="0.2">
      <c r="U1361" s="616"/>
      <c r="W1361" s="620" t="e">
        <f t="shared" si="34"/>
        <v>#DIV/0!</v>
      </c>
    </row>
    <row r="1362" spans="21:23" x14ac:dyDescent="0.2">
      <c r="U1362" s="616"/>
      <c r="W1362" s="620" t="e">
        <f t="shared" si="34"/>
        <v>#DIV/0!</v>
      </c>
    </row>
    <row r="1363" spans="21:23" x14ac:dyDescent="0.2">
      <c r="U1363" s="616"/>
      <c r="W1363" s="620" t="e">
        <f t="shared" si="34"/>
        <v>#DIV/0!</v>
      </c>
    </row>
    <row r="1364" spans="21:23" x14ac:dyDescent="0.2">
      <c r="U1364" s="616"/>
      <c r="W1364" s="620" t="e">
        <f t="shared" si="34"/>
        <v>#DIV/0!</v>
      </c>
    </row>
    <row r="1365" spans="21:23" x14ac:dyDescent="0.2">
      <c r="U1365" s="616"/>
      <c r="W1365" s="620" t="e">
        <f t="shared" si="34"/>
        <v>#DIV/0!</v>
      </c>
    </row>
    <row r="1366" spans="21:23" x14ac:dyDescent="0.2">
      <c r="U1366" s="616"/>
      <c r="W1366" s="620" t="e">
        <f t="shared" si="34"/>
        <v>#DIV/0!</v>
      </c>
    </row>
    <row r="1367" spans="21:23" x14ac:dyDescent="0.2">
      <c r="U1367" s="616"/>
      <c r="W1367" s="620" t="e">
        <f t="shared" si="34"/>
        <v>#DIV/0!</v>
      </c>
    </row>
    <row r="1368" spans="21:23" x14ac:dyDescent="0.2">
      <c r="U1368" s="616"/>
      <c r="W1368" s="620" t="e">
        <f t="shared" si="34"/>
        <v>#DIV/0!</v>
      </c>
    </row>
    <row r="1369" spans="21:23" x14ac:dyDescent="0.2">
      <c r="U1369" s="616"/>
      <c r="W1369" s="620" t="e">
        <f t="shared" si="34"/>
        <v>#DIV/0!</v>
      </c>
    </row>
    <row r="1370" spans="21:23" x14ac:dyDescent="0.2">
      <c r="U1370" s="616"/>
      <c r="W1370" s="620" t="e">
        <f t="shared" si="34"/>
        <v>#DIV/0!</v>
      </c>
    </row>
    <row r="1371" spans="21:23" x14ac:dyDescent="0.2">
      <c r="U1371" s="616"/>
      <c r="W1371" s="620" t="e">
        <f t="shared" si="34"/>
        <v>#DIV/0!</v>
      </c>
    </row>
    <row r="1372" spans="21:23" x14ac:dyDescent="0.2">
      <c r="U1372" s="616"/>
      <c r="W1372" s="620" t="e">
        <f t="shared" si="34"/>
        <v>#DIV/0!</v>
      </c>
    </row>
    <row r="1373" spans="21:23" x14ac:dyDescent="0.2">
      <c r="U1373" s="616"/>
      <c r="W1373" s="620" t="e">
        <f t="shared" si="34"/>
        <v>#DIV/0!</v>
      </c>
    </row>
    <row r="1374" spans="21:23" x14ac:dyDescent="0.2">
      <c r="U1374" s="616"/>
      <c r="W1374" s="620" t="e">
        <f t="shared" si="34"/>
        <v>#DIV/0!</v>
      </c>
    </row>
    <row r="1375" spans="21:23" x14ac:dyDescent="0.2">
      <c r="U1375" s="616"/>
      <c r="W1375" s="620" t="e">
        <f t="shared" si="34"/>
        <v>#DIV/0!</v>
      </c>
    </row>
    <row r="1376" spans="21:23" x14ac:dyDescent="0.2">
      <c r="U1376" s="616"/>
      <c r="W1376" s="620" t="e">
        <f t="shared" si="34"/>
        <v>#DIV/0!</v>
      </c>
    </row>
    <row r="1377" spans="21:23" x14ac:dyDescent="0.2">
      <c r="U1377" s="616"/>
      <c r="W1377" s="620" t="e">
        <f t="shared" si="34"/>
        <v>#DIV/0!</v>
      </c>
    </row>
    <row r="1378" spans="21:23" x14ac:dyDescent="0.2">
      <c r="U1378" s="616"/>
      <c r="W1378" s="620" t="e">
        <f t="shared" si="34"/>
        <v>#DIV/0!</v>
      </c>
    </row>
    <row r="1379" spans="21:23" x14ac:dyDescent="0.2">
      <c r="U1379" s="616"/>
      <c r="W1379" s="620" t="e">
        <f t="shared" si="34"/>
        <v>#DIV/0!</v>
      </c>
    </row>
    <row r="1380" spans="21:23" x14ac:dyDescent="0.2">
      <c r="U1380" s="616"/>
      <c r="W1380" s="620" t="e">
        <f t="shared" si="34"/>
        <v>#DIV/0!</v>
      </c>
    </row>
    <row r="1381" spans="21:23" x14ac:dyDescent="0.2">
      <c r="U1381" s="616"/>
      <c r="W1381" s="620" t="e">
        <f t="shared" si="34"/>
        <v>#DIV/0!</v>
      </c>
    </row>
    <row r="1382" spans="21:23" x14ac:dyDescent="0.2">
      <c r="U1382" s="616"/>
      <c r="W1382" s="620" t="e">
        <f t="shared" si="34"/>
        <v>#DIV/0!</v>
      </c>
    </row>
    <row r="1383" spans="21:23" x14ac:dyDescent="0.2">
      <c r="U1383" s="616"/>
      <c r="W1383" s="620" t="e">
        <f t="shared" si="34"/>
        <v>#DIV/0!</v>
      </c>
    </row>
    <row r="1384" spans="21:23" x14ac:dyDescent="0.2">
      <c r="U1384" s="616"/>
      <c r="W1384" s="620" t="e">
        <f t="shared" si="34"/>
        <v>#DIV/0!</v>
      </c>
    </row>
    <row r="1385" spans="21:23" x14ac:dyDescent="0.2">
      <c r="U1385" s="616"/>
      <c r="W1385" s="620" t="e">
        <f t="shared" si="34"/>
        <v>#DIV/0!</v>
      </c>
    </row>
    <row r="1386" spans="21:23" x14ac:dyDescent="0.2">
      <c r="U1386" s="616"/>
      <c r="W1386" s="620" t="e">
        <f t="shared" si="34"/>
        <v>#DIV/0!</v>
      </c>
    </row>
    <row r="1387" spans="21:23" x14ac:dyDescent="0.2">
      <c r="U1387" s="616"/>
      <c r="W1387" s="620" t="e">
        <f t="shared" si="34"/>
        <v>#DIV/0!</v>
      </c>
    </row>
    <row r="1388" spans="21:23" x14ac:dyDescent="0.2">
      <c r="U1388" s="616"/>
      <c r="W1388" s="620" t="e">
        <f t="shared" si="34"/>
        <v>#DIV/0!</v>
      </c>
    </row>
    <row r="1389" spans="21:23" x14ac:dyDescent="0.2">
      <c r="U1389" s="616"/>
      <c r="W1389" s="620" t="e">
        <f t="shared" si="34"/>
        <v>#DIV/0!</v>
      </c>
    </row>
    <row r="1390" spans="21:23" x14ac:dyDescent="0.2">
      <c r="U1390" s="616"/>
      <c r="W1390" s="620" t="e">
        <f t="shared" si="34"/>
        <v>#DIV/0!</v>
      </c>
    </row>
    <row r="1391" spans="21:23" x14ac:dyDescent="0.2">
      <c r="U1391" s="616"/>
      <c r="W1391" s="620" t="e">
        <f t="shared" si="34"/>
        <v>#DIV/0!</v>
      </c>
    </row>
    <row r="1392" spans="21:23" x14ac:dyDescent="0.2">
      <c r="U1392" s="616"/>
      <c r="W1392" s="620" t="e">
        <f t="shared" si="34"/>
        <v>#DIV/0!</v>
      </c>
    </row>
    <row r="1393" spans="21:23" x14ac:dyDescent="0.2">
      <c r="U1393" s="616"/>
      <c r="W1393" s="620" t="e">
        <f t="shared" si="34"/>
        <v>#DIV/0!</v>
      </c>
    </row>
    <row r="1394" spans="21:23" x14ac:dyDescent="0.2">
      <c r="U1394" s="616"/>
      <c r="W1394" s="620" t="e">
        <f t="shared" si="34"/>
        <v>#DIV/0!</v>
      </c>
    </row>
    <row r="1395" spans="21:23" x14ac:dyDescent="0.2">
      <c r="U1395" s="616"/>
      <c r="W1395" s="620" t="e">
        <f t="shared" si="34"/>
        <v>#DIV/0!</v>
      </c>
    </row>
    <row r="1396" spans="21:23" x14ac:dyDescent="0.2">
      <c r="U1396" s="616"/>
      <c r="W1396" s="620" t="e">
        <f t="shared" si="34"/>
        <v>#DIV/0!</v>
      </c>
    </row>
    <row r="1397" spans="21:23" x14ac:dyDescent="0.2">
      <c r="U1397" s="616"/>
      <c r="W1397" s="620" t="e">
        <f t="shared" si="34"/>
        <v>#DIV/0!</v>
      </c>
    </row>
    <row r="1398" spans="21:23" x14ac:dyDescent="0.2">
      <c r="U1398" s="616"/>
      <c r="W1398" s="620" t="e">
        <f t="shared" si="34"/>
        <v>#DIV/0!</v>
      </c>
    </row>
    <row r="1399" spans="21:23" x14ac:dyDescent="0.2">
      <c r="U1399" s="616"/>
      <c r="W1399" s="620" t="e">
        <f t="shared" si="34"/>
        <v>#DIV/0!</v>
      </c>
    </row>
    <row r="1400" spans="21:23" x14ac:dyDescent="0.2">
      <c r="U1400" s="616"/>
      <c r="W1400" s="620" t="e">
        <f t="shared" si="34"/>
        <v>#DIV/0!</v>
      </c>
    </row>
    <row r="1401" spans="21:23" x14ac:dyDescent="0.2">
      <c r="U1401" s="616"/>
      <c r="W1401" s="620" t="e">
        <f t="shared" si="34"/>
        <v>#DIV/0!</v>
      </c>
    </row>
    <row r="1402" spans="21:23" x14ac:dyDescent="0.2">
      <c r="U1402" s="616"/>
      <c r="W1402" s="620" t="e">
        <f t="shared" si="34"/>
        <v>#DIV/0!</v>
      </c>
    </row>
    <row r="1403" spans="21:23" x14ac:dyDescent="0.2">
      <c r="U1403" s="616"/>
      <c r="W1403" s="620" t="e">
        <f t="shared" si="34"/>
        <v>#DIV/0!</v>
      </c>
    </row>
    <row r="1404" spans="21:23" x14ac:dyDescent="0.2">
      <c r="U1404" s="616"/>
      <c r="W1404" s="620" t="e">
        <f t="shared" si="34"/>
        <v>#DIV/0!</v>
      </c>
    </row>
    <row r="1405" spans="21:23" x14ac:dyDescent="0.2">
      <c r="U1405" s="616"/>
      <c r="W1405" s="620" t="e">
        <f t="shared" si="34"/>
        <v>#DIV/0!</v>
      </c>
    </row>
    <row r="1406" spans="21:23" x14ac:dyDescent="0.2">
      <c r="U1406" s="616"/>
      <c r="W1406" s="620" t="e">
        <f t="shared" si="34"/>
        <v>#DIV/0!</v>
      </c>
    </row>
    <row r="1407" spans="21:23" x14ac:dyDescent="0.2">
      <c r="U1407" s="616"/>
      <c r="W1407" s="620" t="e">
        <f t="shared" si="34"/>
        <v>#DIV/0!</v>
      </c>
    </row>
    <row r="1408" spans="21:23" x14ac:dyDescent="0.2">
      <c r="U1408" s="616"/>
      <c r="W1408" s="620" t="e">
        <f t="shared" si="34"/>
        <v>#DIV/0!</v>
      </c>
    </row>
    <row r="1409" spans="21:23" x14ac:dyDescent="0.2">
      <c r="U1409" s="616"/>
      <c r="W1409" s="620" t="e">
        <f t="shared" si="34"/>
        <v>#DIV/0!</v>
      </c>
    </row>
    <row r="1410" spans="21:23" x14ac:dyDescent="0.2">
      <c r="U1410" s="616"/>
      <c r="W1410" s="620" t="e">
        <f t="shared" si="34"/>
        <v>#DIV/0!</v>
      </c>
    </row>
    <row r="1411" spans="21:23" x14ac:dyDescent="0.2">
      <c r="U1411" s="616"/>
      <c r="W1411" s="620" t="e">
        <f t="shared" si="34"/>
        <v>#DIV/0!</v>
      </c>
    </row>
    <row r="1412" spans="21:23" x14ac:dyDescent="0.2">
      <c r="U1412" s="616"/>
      <c r="W1412" s="620" t="e">
        <f t="shared" ref="W1412:W1475" si="35">AVERAGE($V$4:$V$2517)</f>
        <v>#DIV/0!</v>
      </c>
    </row>
    <row r="1413" spans="21:23" x14ac:dyDescent="0.2">
      <c r="U1413" s="616"/>
      <c r="W1413" s="620" t="e">
        <f t="shared" si="35"/>
        <v>#DIV/0!</v>
      </c>
    </row>
    <row r="1414" spans="21:23" x14ac:dyDescent="0.2">
      <c r="U1414" s="616"/>
      <c r="W1414" s="620" t="e">
        <f t="shared" si="35"/>
        <v>#DIV/0!</v>
      </c>
    </row>
    <row r="1415" spans="21:23" x14ac:dyDescent="0.2">
      <c r="U1415" s="616"/>
      <c r="W1415" s="620" t="e">
        <f t="shared" si="35"/>
        <v>#DIV/0!</v>
      </c>
    </row>
    <row r="1416" spans="21:23" x14ac:dyDescent="0.2">
      <c r="U1416" s="616"/>
      <c r="W1416" s="620" t="e">
        <f t="shared" si="35"/>
        <v>#DIV/0!</v>
      </c>
    </row>
    <row r="1417" spans="21:23" x14ac:dyDescent="0.2">
      <c r="U1417" s="616"/>
      <c r="W1417" s="620" t="e">
        <f t="shared" si="35"/>
        <v>#DIV/0!</v>
      </c>
    </row>
    <row r="1418" spans="21:23" x14ac:dyDescent="0.2">
      <c r="U1418" s="616"/>
      <c r="W1418" s="620" t="e">
        <f t="shared" si="35"/>
        <v>#DIV/0!</v>
      </c>
    </row>
    <row r="1419" spans="21:23" x14ac:dyDescent="0.2">
      <c r="U1419" s="616"/>
      <c r="W1419" s="620" t="e">
        <f t="shared" si="35"/>
        <v>#DIV/0!</v>
      </c>
    </row>
    <row r="1420" spans="21:23" x14ac:dyDescent="0.2">
      <c r="U1420" s="616"/>
      <c r="W1420" s="620" t="e">
        <f t="shared" si="35"/>
        <v>#DIV/0!</v>
      </c>
    </row>
    <row r="1421" spans="21:23" x14ac:dyDescent="0.2">
      <c r="U1421" s="616"/>
      <c r="W1421" s="620" t="e">
        <f t="shared" si="35"/>
        <v>#DIV/0!</v>
      </c>
    </row>
    <row r="1422" spans="21:23" x14ac:dyDescent="0.2">
      <c r="U1422" s="616"/>
      <c r="W1422" s="620" t="e">
        <f t="shared" si="35"/>
        <v>#DIV/0!</v>
      </c>
    </row>
    <row r="1423" spans="21:23" x14ac:dyDescent="0.2">
      <c r="U1423" s="616"/>
      <c r="W1423" s="620" t="e">
        <f t="shared" si="35"/>
        <v>#DIV/0!</v>
      </c>
    </row>
    <row r="1424" spans="21:23" x14ac:dyDescent="0.2">
      <c r="U1424" s="616"/>
      <c r="W1424" s="620" t="e">
        <f t="shared" si="35"/>
        <v>#DIV/0!</v>
      </c>
    </row>
    <row r="1425" spans="21:23" x14ac:dyDescent="0.2">
      <c r="U1425" s="616"/>
      <c r="W1425" s="620" t="e">
        <f t="shared" si="35"/>
        <v>#DIV/0!</v>
      </c>
    </row>
    <row r="1426" spans="21:23" x14ac:dyDescent="0.2">
      <c r="U1426" s="616"/>
      <c r="W1426" s="620" t="e">
        <f t="shared" si="35"/>
        <v>#DIV/0!</v>
      </c>
    </row>
    <row r="1427" spans="21:23" x14ac:dyDescent="0.2">
      <c r="U1427" s="616"/>
      <c r="W1427" s="620" t="e">
        <f t="shared" si="35"/>
        <v>#DIV/0!</v>
      </c>
    </row>
    <row r="1428" spans="21:23" x14ac:dyDescent="0.2">
      <c r="U1428" s="616"/>
      <c r="W1428" s="620" t="e">
        <f t="shared" si="35"/>
        <v>#DIV/0!</v>
      </c>
    </row>
    <row r="1429" spans="21:23" x14ac:dyDescent="0.2">
      <c r="U1429" s="616"/>
      <c r="W1429" s="620" t="e">
        <f t="shared" si="35"/>
        <v>#DIV/0!</v>
      </c>
    </row>
    <row r="1430" spans="21:23" x14ac:dyDescent="0.2">
      <c r="U1430" s="616"/>
      <c r="W1430" s="620" t="e">
        <f t="shared" si="35"/>
        <v>#DIV/0!</v>
      </c>
    </row>
    <row r="1431" spans="21:23" x14ac:dyDescent="0.2">
      <c r="U1431" s="616"/>
      <c r="W1431" s="620" t="e">
        <f t="shared" si="35"/>
        <v>#DIV/0!</v>
      </c>
    </row>
    <row r="1432" spans="21:23" x14ac:dyDescent="0.2">
      <c r="U1432" s="616"/>
      <c r="W1432" s="620" t="e">
        <f t="shared" si="35"/>
        <v>#DIV/0!</v>
      </c>
    </row>
    <row r="1433" spans="21:23" x14ac:dyDescent="0.2">
      <c r="U1433" s="616"/>
      <c r="W1433" s="620" t="e">
        <f t="shared" si="35"/>
        <v>#DIV/0!</v>
      </c>
    </row>
    <row r="1434" spans="21:23" x14ac:dyDescent="0.2">
      <c r="U1434" s="616"/>
      <c r="W1434" s="620" t="e">
        <f t="shared" si="35"/>
        <v>#DIV/0!</v>
      </c>
    </row>
    <row r="1435" spans="21:23" x14ac:dyDescent="0.2">
      <c r="U1435" s="616"/>
      <c r="W1435" s="620" t="e">
        <f t="shared" si="35"/>
        <v>#DIV/0!</v>
      </c>
    </row>
    <row r="1436" spans="21:23" x14ac:dyDescent="0.2">
      <c r="U1436" s="616"/>
      <c r="W1436" s="620" t="e">
        <f t="shared" si="35"/>
        <v>#DIV/0!</v>
      </c>
    </row>
    <row r="1437" spans="21:23" x14ac:dyDescent="0.2">
      <c r="U1437" s="616"/>
      <c r="W1437" s="620" t="e">
        <f t="shared" si="35"/>
        <v>#DIV/0!</v>
      </c>
    </row>
    <row r="1438" spans="21:23" x14ac:dyDescent="0.2">
      <c r="U1438" s="616"/>
      <c r="W1438" s="620" t="e">
        <f t="shared" si="35"/>
        <v>#DIV/0!</v>
      </c>
    </row>
    <row r="1439" spans="21:23" x14ac:dyDescent="0.2">
      <c r="U1439" s="616"/>
      <c r="W1439" s="620" t="e">
        <f t="shared" si="35"/>
        <v>#DIV/0!</v>
      </c>
    </row>
    <row r="1440" spans="21:23" x14ac:dyDescent="0.2">
      <c r="U1440" s="616"/>
      <c r="W1440" s="620" t="e">
        <f t="shared" si="35"/>
        <v>#DIV/0!</v>
      </c>
    </row>
    <row r="1441" spans="21:23" x14ac:dyDescent="0.2">
      <c r="U1441" s="616"/>
      <c r="W1441" s="620" t="e">
        <f t="shared" si="35"/>
        <v>#DIV/0!</v>
      </c>
    </row>
    <row r="1442" spans="21:23" x14ac:dyDescent="0.2">
      <c r="U1442" s="616"/>
      <c r="W1442" s="620" t="e">
        <f t="shared" si="35"/>
        <v>#DIV/0!</v>
      </c>
    </row>
    <row r="1443" spans="21:23" x14ac:dyDescent="0.2">
      <c r="U1443" s="616"/>
      <c r="W1443" s="620" t="e">
        <f t="shared" si="35"/>
        <v>#DIV/0!</v>
      </c>
    </row>
    <row r="1444" spans="21:23" x14ac:dyDescent="0.2">
      <c r="U1444" s="616"/>
      <c r="W1444" s="620" t="e">
        <f t="shared" si="35"/>
        <v>#DIV/0!</v>
      </c>
    </row>
    <row r="1445" spans="21:23" x14ac:dyDescent="0.2">
      <c r="U1445" s="616"/>
      <c r="W1445" s="620" t="e">
        <f t="shared" si="35"/>
        <v>#DIV/0!</v>
      </c>
    </row>
    <row r="1446" spans="21:23" x14ac:dyDescent="0.2">
      <c r="U1446" s="616"/>
      <c r="W1446" s="620" t="e">
        <f t="shared" si="35"/>
        <v>#DIV/0!</v>
      </c>
    </row>
    <row r="1447" spans="21:23" x14ac:dyDescent="0.2">
      <c r="U1447" s="616"/>
      <c r="W1447" s="620" t="e">
        <f t="shared" si="35"/>
        <v>#DIV/0!</v>
      </c>
    </row>
    <row r="1448" spans="21:23" x14ac:dyDescent="0.2">
      <c r="U1448" s="616"/>
      <c r="W1448" s="620" t="e">
        <f t="shared" si="35"/>
        <v>#DIV/0!</v>
      </c>
    </row>
    <row r="1449" spans="21:23" x14ac:dyDescent="0.2">
      <c r="U1449" s="616"/>
      <c r="W1449" s="620" t="e">
        <f t="shared" si="35"/>
        <v>#DIV/0!</v>
      </c>
    </row>
    <row r="1450" spans="21:23" x14ac:dyDescent="0.2">
      <c r="U1450" s="616"/>
      <c r="W1450" s="620" t="e">
        <f t="shared" si="35"/>
        <v>#DIV/0!</v>
      </c>
    </row>
    <row r="1451" spans="21:23" x14ac:dyDescent="0.2">
      <c r="U1451" s="616"/>
      <c r="W1451" s="620" t="e">
        <f t="shared" si="35"/>
        <v>#DIV/0!</v>
      </c>
    </row>
    <row r="1452" spans="21:23" x14ac:dyDescent="0.2">
      <c r="U1452" s="616"/>
      <c r="W1452" s="620" t="e">
        <f t="shared" si="35"/>
        <v>#DIV/0!</v>
      </c>
    </row>
    <row r="1453" spans="21:23" x14ac:dyDescent="0.2">
      <c r="U1453" s="616"/>
      <c r="W1453" s="620" t="e">
        <f t="shared" si="35"/>
        <v>#DIV/0!</v>
      </c>
    </row>
    <row r="1454" spans="21:23" x14ac:dyDescent="0.2">
      <c r="U1454" s="616"/>
      <c r="W1454" s="620" t="e">
        <f t="shared" si="35"/>
        <v>#DIV/0!</v>
      </c>
    </row>
    <row r="1455" spans="21:23" x14ac:dyDescent="0.2">
      <c r="U1455" s="616"/>
      <c r="W1455" s="620" t="e">
        <f t="shared" si="35"/>
        <v>#DIV/0!</v>
      </c>
    </row>
    <row r="1456" spans="21:23" x14ac:dyDescent="0.2">
      <c r="U1456" s="616"/>
      <c r="W1456" s="620" t="e">
        <f t="shared" si="35"/>
        <v>#DIV/0!</v>
      </c>
    </row>
    <row r="1457" spans="21:23" x14ac:dyDescent="0.2">
      <c r="U1457" s="616"/>
      <c r="W1457" s="620" t="e">
        <f t="shared" si="35"/>
        <v>#DIV/0!</v>
      </c>
    </row>
    <row r="1458" spans="21:23" x14ac:dyDescent="0.2">
      <c r="U1458" s="616"/>
      <c r="W1458" s="620" t="e">
        <f t="shared" si="35"/>
        <v>#DIV/0!</v>
      </c>
    </row>
    <row r="1459" spans="21:23" x14ac:dyDescent="0.2">
      <c r="U1459" s="616"/>
      <c r="W1459" s="620" t="e">
        <f t="shared" si="35"/>
        <v>#DIV/0!</v>
      </c>
    </row>
    <row r="1460" spans="21:23" x14ac:dyDescent="0.2">
      <c r="U1460" s="616"/>
      <c r="W1460" s="620" t="e">
        <f t="shared" si="35"/>
        <v>#DIV/0!</v>
      </c>
    </row>
    <row r="1461" spans="21:23" x14ac:dyDescent="0.2">
      <c r="U1461" s="616"/>
      <c r="W1461" s="620" t="e">
        <f t="shared" si="35"/>
        <v>#DIV/0!</v>
      </c>
    </row>
    <row r="1462" spans="21:23" x14ac:dyDescent="0.2">
      <c r="U1462" s="616"/>
      <c r="W1462" s="620" t="e">
        <f t="shared" si="35"/>
        <v>#DIV/0!</v>
      </c>
    </row>
    <row r="1463" spans="21:23" x14ac:dyDescent="0.2">
      <c r="U1463" s="616"/>
      <c r="W1463" s="620" t="e">
        <f t="shared" si="35"/>
        <v>#DIV/0!</v>
      </c>
    </row>
    <row r="1464" spans="21:23" x14ac:dyDescent="0.2">
      <c r="U1464" s="616"/>
      <c r="W1464" s="620" t="e">
        <f t="shared" si="35"/>
        <v>#DIV/0!</v>
      </c>
    </row>
    <row r="1465" spans="21:23" x14ac:dyDescent="0.2">
      <c r="U1465" s="616"/>
      <c r="W1465" s="620" t="e">
        <f t="shared" si="35"/>
        <v>#DIV/0!</v>
      </c>
    </row>
    <row r="1466" spans="21:23" x14ac:dyDescent="0.2">
      <c r="U1466" s="616"/>
      <c r="W1466" s="620" t="e">
        <f t="shared" si="35"/>
        <v>#DIV/0!</v>
      </c>
    </row>
    <row r="1467" spans="21:23" x14ac:dyDescent="0.2">
      <c r="U1467" s="616"/>
      <c r="W1467" s="620" t="e">
        <f t="shared" si="35"/>
        <v>#DIV/0!</v>
      </c>
    </row>
    <row r="1468" spans="21:23" x14ac:dyDescent="0.2">
      <c r="U1468" s="616"/>
      <c r="W1468" s="620" t="e">
        <f t="shared" si="35"/>
        <v>#DIV/0!</v>
      </c>
    </row>
    <row r="1469" spans="21:23" x14ac:dyDescent="0.2">
      <c r="U1469" s="616"/>
      <c r="W1469" s="620" t="e">
        <f t="shared" si="35"/>
        <v>#DIV/0!</v>
      </c>
    </row>
    <row r="1470" spans="21:23" x14ac:dyDescent="0.2">
      <c r="U1470" s="616"/>
      <c r="W1470" s="620" t="e">
        <f t="shared" si="35"/>
        <v>#DIV/0!</v>
      </c>
    </row>
    <row r="1471" spans="21:23" x14ac:dyDescent="0.2">
      <c r="U1471" s="616"/>
      <c r="W1471" s="620" t="e">
        <f t="shared" si="35"/>
        <v>#DIV/0!</v>
      </c>
    </row>
    <row r="1472" spans="21:23" x14ac:dyDescent="0.2">
      <c r="U1472" s="616"/>
      <c r="W1472" s="620" t="e">
        <f t="shared" si="35"/>
        <v>#DIV/0!</v>
      </c>
    </row>
    <row r="1473" spans="21:23" x14ac:dyDescent="0.2">
      <c r="U1473" s="616"/>
      <c r="W1473" s="620" t="e">
        <f t="shared" si="35"/>
        <v>#DIV/0!</v>
      </c>
    </row>
    <row r="1474" spans="21:23" x14ac:dyDescent="0.2">
      <c r="U1474" s="616"/>
      <c r="W1474" s="620" t="e">
        <f t="shared" si="35"/>
        <v>#DIV/0!</v>
      </c>
    </row>
    <row r="1475" spans="21:23" x14ac:dyDescent="0.2">
      <c r="U1475" s="616"/>
      <c r="W1475" s="620" t="e">
        <f t="shared" si="35"/>
        <v>#DIV/0!</v>
      </c>
    </row>
    <row r="1476" spans="21:23" x14ac:dyDescent="0.2">
      <c r="U1476" s="616"/>
      <c r="W1476" s="620" t="e">
        <f t="shared" ref="W1476:W1539" si="36">AVERAGE($V$4:$V$2517)</f>
        <v>#DIV/0!</v>
      </c>
    </row>
    <row r="1477" spans="21:23" x14ac:dyDescent="0.2">
      <c r="U1477" s="616"/>
      <c r="W1477" s="620" t="e">
        <f t="shared" si="36"/>
        <v>#DIV/0!</v>
      </c>
    </row>
    <row r="1478" spans="21:23" x14ac:dyDescent="0.2">
      <c r="U1478" s="616"/>
      <c r="W1478" s="620" t="e">
        <f t="shared" si="36"/>
        <v>#DIV/0!</v>
      </c>
    </row>
    <row r="1479" spans="21:23" x14ac:dyDescent="0.2">
      <c r="U1479" s="616"/>
      <c r="W1479" s="620" t="e">
        <f t="shared" si="36"/>
        <v>#DIV/0!</v>
      </c>
    </row>
    <row r="1480" spans="21:23" x14ac:dyDescent="0.2">
      <c r="U1480" s="616"/>
      <c r="W1480" s="620" t="e">
        <f t="shared" si="36"/>
        <v>#DIV/0!</v>
      </c>
    </row>
    <row r="1481" spans="21:23" x14ac:dyDescent="0.2">
      <c r="U1481" s="616"/>
      <c r="W1481" s="620" t="e">
        <f t="shared" si="36"/>
        <v>#DIV/0!</v>
      </c>
    </row>
    <row r="1482" spans="21:23" x14ac:dyDescent="0.2">
      <c r="U1482" s="616"/>
      <c r="W1482" s="620" t="e">
        <f t="shared" si="36"/>
        <v>#DIV/0!</v>
      </c>
    </row>
    <row r="1483" spans="21:23" x14ac:dyDescent="0.2">
      <c r="U1483" s="616"/>
      <c r="W1483" s="620" t="e">
        <f t="shared" si="36"/>
        <v>#DIV/0!</v>
      </c>
    </row>
    <row r="1484" spans="21:23" x14ac:dyDescent="0.2">
      <c r="U1484" s="616"/>
      <c r="W1484" s="620" t="e">
        <f t="shared" si="36"/>
        <v>#DIV/0!</v>
      </c>
    </row>
    <row r="1485" spans="21:23" x14ac:dyDescent="0.2">
      <c r="U1485" s="616"/>
      <c r="W1485" s="620" t="e">
        <f t="shared" si="36"/>
        <v>#DIV/0!</v>
      </c>
    </row>
    <row r="1486" spans="21:23" x14ac:dyDescent="0.2">
      <c r="U1486" s="616"/>
      <c r="W1486" s="620" t="e">
        <f t="shared" si="36"/>
        <v>#DIV/0!</v>
      </c>
    </row>
    <row r="1487" spans="21:23" x14ac:dyDescent="0.2">
      <c r="U1487" s="616"/>
      <c r="W1487" s="620" t="e">
        <f t="shared" si="36"/>
        <v>#DIV/0!</v>
      </c>
    </row>
    <row r="1488" spans="21:23" x14ac:dyDescent="0.2">
      <c r="U1488" s="616"/>
      <c r="W1488" s="620" t="e">
        <f t="shared" si="36"/>
        <v>#DIV/0!</v>
      </c>
    </row>
    <row r="1489" spans="21:23" x14ac:dyDescent="0.2">
      <c r="U1489" s="616"/>
      <c r="W1489" s="620" t="e">
        <f t="shared" si="36"/>
        <v>#DIV/0!</v>
      </c>
    </row>
    <row r="1490" spans="21:23" x14ac:dyDescent="0.2">
      <c r="U1490" s="616"/>
      <c r="W1490" s="620" t="e">
        <f t="shared" si="36"/>
        <v>#DIV/0!</v>
      </c>
    </row>
    <row r="1491" spans="21:23" x14ac:dyDescent="0.2">
      <c r="U1491" s="616"/>
      <c r="W1491" s="620" t="e">
        <f t="shared" si="36"/>
        <v>#DIV/0!</v>
      </c>
    </row>
    <row r="1492" spans="21:23" x14ac:dyDescent="0.2">
      <c r="U1492" s="616"/>
      <c r="W1492" s="620" t="e">
        <f t="shared" si="36"/>
        <v>#DIV/0!</v>
      </c>
    </row>
    <row r="1493" spans="21:23" x14ac:dyDescent="0.2">
      <c r="U1493" s="616"/>
      <c r="W1493" s="620" t="e">
        <f t="shared" si="36"/>
        <v>#DIV/0!</v>
      </c>
    </row>
    <row r="1494" spans="21:23" x14ac:dyDescent="0.2">
      <c r="U1494" s="616"/>
      <c r="W1494" s="620" t="e">
        <f t="shared" si="36"/>
        <v>#DIV/0!</v>
      </c>
    </row>
    <row r="1495" spans="21:23" x14ac:dyDescent="0.2">
      <c r="U1495" s="616"/>
      <c r="W1495" s="620" t="e">
        <f t="shared" si="36"/>
        <v>#DIV/0!</v>
      </c>
    </row>
    <row r="1496" spans="21:23" x14ac:dyDescent="0.2">
      <c r="U1496" s="616"/>
      <c r="W1496" s="620" t="e">
        <f t="shared" si="36"/>
        <v>#DIV/0!</v>
      </c>
    </row>
    <row r="1497" spans="21:23" x14ac:dyDescent="0.2">
      <c r="U1497" s="616"/>
      <c r="W1497" s="620" t="e">
        <f t="shared" si="36"/>
        <v>#DIV/0!</v>
      </c>
    </row>
    <row r="1498" spans="21:23" x14ac:dyDescent="0.2">
      <c r="U1498" s="616"/>
      <c r="W1498" s="620" t="e">
        <f t="shared" si="36"/>
        <v>#DIV/0!</v>
      </c>
    </row>
    <row r="1499" spans="21:23" x14ac:dyDescent="0.2">
      <c r="U1499" s="616"/>
      <c r="W1499" s="620" t="e">
        <f t="shared" si="36"/>
        <v>#DIV/0!</v>
      </c>
    </row>
    <row r="1500" spans="21:23" x14ac:dyDescent="0.2">
      <c r="U1500" s="616"/>
      <c r="W1500" s="620" t="e">
        <f t="shared" si="36"/>
        <v>#DIV/0!</v>
      </c>
    </row>
    <row r="1501" spans="21:23" x14ac:dyDescent="0.2">
      <c r="U1501" s="616"/>
      <c r="W1501" s="620" t="e">
        <f t="shared" si="36"/>
        <v>#DIV/0!</v>
      </c>
    </row>
    <row r="1502" spans="21:23" x14ac:dyDescent="0.2">
      <c r="U1502" s="616"/>
      <c r="W1502" s="620" t="e">
        <f t="shared" si="36"/>
        <v>#DIV/0!</v>
      </c>
    </row>
    <row r="1503" spans="21:23" x14ac:dyDescent="0.2">
      <c r="U1503" s="616"/>
      <c r="W1503" s="620" t="e">
        <f t="shared" si="36"/>
        <v>#DIV/0!</v>
      </c>
    </row>
    <row r="1504" spans="21:23" x14ac:dyDescent="0.2">
      <c r="U1504" s="616"/>
      <c r="W1504" s="620" t="e">
        <f t="shared" si="36"/>
        <v>#DIV/0!</v>
      </c>
    </row>
    <row r="1505" spans="21:23" x14ac:dyDescent="0.2">
      <c r="U1505" s="616"/>
      <c r="W1505" s="620" t="e">
        <f t="shared" si="36"/>
        <v>#DIV/0!</v>
      </c>
    </row>
    <row r="1506" spans="21:23" x14ac:dyDescent="0.2">
      <c r="U1506" s="616"/>
      <c r="W1506" s="620" t="e">
        <f t="shared" si="36"/>
        <v>#DIV/0!</v>
      </c>
    </row>
    <row r="1507" spans="21:23" x14ac:dyDescent="0.2">
      <c r="U1507" s="616"/>
      <c r="W1507" s="620" t="e">
        <f t="shared" si="36"/>
        <v>#DIV/0!</v>
      </c>
    </row>
    <row r="1508" spans="21:23" x14ac:dyDescent="0.2">
      <c r="U1508" s="616"/>
      <c r="W1508" s="620" t="e">
        <f t="shared" si="36"/>
        <v>#DIV/0!</v>
      </c>
    </row>
    <row r="1509" spans="21:23" x14ac:dyDescent="0.2">
      <c r="U1509" s="616"/>
      <c r="W1509" s="620" t="e">
        <f t="shared" si="36"/>
        <v>#DIV/0!</v>
      </c>
    </row>
    <row r="1510" spans="21:23" x14ac:dyDescent="0.2">
      <c r="U1510" s="616"/>
      <c r="W1510" s="620" t="e">
        <f t="shared" si="36"/>
        <v>#DIV/0!</v>
      </c>
    </row>
    <row r="1511" spans="21:23" x14ac:dyDescent="0.2">
      <c r="U1511" s="616"/>
      <c r="W1511" s="620" t="e">
        <f t="shared" si="36"/>
        <v>#DIV/0!</v>
      </c>
    </row>
    <row r="1512" spans="21:23" x14ac:dyDescent="0.2">
      <c r="U1512" s="616"/>
      <c r="W1512" s="620" t="e">
        <f t="shared" si="36"/>
        <v>#DIV/0!</v>
      </c>
    </row>
    <row r="1513" spans="21:23" x14ac:dyDescent="0.2">
      <c r="U1513" s="616"/>
      <c r="W1513" s="620" t="e">
        <f t="shared" si="36"/>
        <v>#DIV/0!</v>
      </c>
    </row>
    <row r="1514" spans="21:23" x14ac:dyDescent="0.2">
      <c r="U1514" s="616"/>
      <c r="W1514" s="620" t="e">
        <f t="shared" si="36"/>
        <v>#DIV/0!</v>
      </c>
    </row>
    <row r="1515" spans="21:23" x14ac:dyDescent="0.2">
      <c r="U1515" s="616"/>
      <c r="W1515" s="620" t="e">
        <f t="shared" si="36"/>
        <v>#DIV/0!</v>
      </c>
    </row>
    <row r="1516" spans="21:23" x14ac:dyDescent="0.2">
      <c r="U1516" s="616"/>
      <c r="W1516" s="620" t="e">
        <f t="shared" si="36"/>
        <v>#DIV/0!</v>
      </c>
    </row>
    <row r="1517" spans="21:23" x14ac:dyDescent="0.2">
      <c r="U1517" s="616"/>
      <c r="W1517" s="620" t="e">
        <f t="shared" si="36"/>
        <v>#DIV/0!</v>
      </c>
    </row>
    <row r="1518" spans="21:23" x14ac:dyDescent="0.2">
      <c r="U1518" s="616"/>
      <c r="W1518" s="620" t="e">
        <f t="shared" si="36"/>
        <v>#DIV/0!</v>
      </c>
    </row>
    <row r="1519" spans="21:23" x14ac:dyDescent="0.2">
      <c r="U1519" s="616"/>
      <c r="W1519" s="620" t="e">
        <f t="shared" si="36"/>
        <v>#DIV/0!</v>
      </c>
    </row>
    <row r="1520" spans="21:23" x14ac:dyDescent="0.2">
      <c r="U1520" s="616"/>
      <c r="W1520" s="620" t="e">
        <f t="shared" si="36"/>
        <v>#DIV/0!</v>
      </c>
    </row>
    <row r="1521" spans="21:23" x14ac:dyDescent="0.2">
      <c r="U1521" s="616"/>
      <c r="W1521" s="620" t="e">
        <f t="shared" si="36"/>
        <v>#DIV/0!</v>
      </c>
    </row>
    <row r="1522" spans="21:23" x14ac:dyDescent="0.2">
      <c r="U1522" s="616"/>
      <c r="W1522" s="620" t="e">
        <f t="shared" si="36"/>
        <v>#DIV/0!</v>
      </c>
    </row>
    <row r="1523" spans="21:23" x14ac:dyDescent="0.2">
      <c r="U1523" s="616"/>
      <c r="W1523" s="620" t="e">
        <f t="shared" si="36"/>
        <v>#DIV/0!</v>
      </c>
    </row>
    <row r="1524" spans="21:23" x14ac:dyDescent="0.2">
      <c r="U1524" s="616"/>
      <c r="W1524" s="620" t="e">
        <f t="shared" si="36"/>
        <v>#DIV/0!</v>
      </c>
    </row>
    <row r="1525" spans="21:23" x14ac:dyDescent="0.2">
      <c r="U1525" s="616"/>
      <c r="W1525" s="620" t="e">
        <f t="shared" si="36"/>
        <v>#DIV/0!</v>
      </c>
    </row>
    <row r="1526" spans="21:23" x14ac:dyDescent="0.2">
      <c r="U1526" s="616"/>
      <c r="W1526" s="620" t="e">
        <f t="shared" si="36"/>
        <v>#DIV/0!</v>
      </c>
    </row>
    <row r="1527" spans="21:23" x14ac:dyDescent="0.2">
      <c r="U1527" s="616"/>
      <c r="W1527" s="620" t="e">
        <f t="shared" si="36"/>
        <v>#DIV/0!</v>
      </c>
    </row>
    <row r="1528" spans="21:23" x14ac:dyDescent="0.2">
      <c r="U1528" s="616"/>
      <c r="W1528" s="620" t="e">
        <f t="shared" si="36"/>
        <v>#DIV/0!</v>
      </c>
    </row>
    <row r="1529" spans="21:23" x14ac:dyDescent="0.2">
      <c r="U1529" s="616"/>
      <c r="W1529" s="620" t="e">
        <f t="shared" si="36"/>
        <v>#DIV/0!</v>
      </c>
    </row>
    <row r="1530" spans="21:23" x14ac:dyDescent="0.2">
      <c r="U1530" s="616"/>
      <c r="W1530" s="620" t="e">
        <f t="shared" si="36"/>
        <v>#DIV/0!</v>
      </c>
    </row>
    <row r="1531" spans="21:23" x14ac:dyDescent="0.2">
      <c r="U1531" s="616"/>
      <c r="W1531" s="620" t="e">
        <f t="shared" si="36"/>
        <v>#DIV/0!</v>
      </c>
    </row>
    <row r="1532" spans="21:23" x14ac:dyDescent="0.2">
      <c r="U1532" s="616"/>
      <c r="W1532" s="620" t="e">
        <f t="shared" si="36"/>
        <v>#DIV/0!</v>
      </c>
    </row>
    <row r="1533" spans="21:23" x14ac:dyDescent="0.2">
      <c r="U1533" s="616"/>
      <c r="W1533" s="620" t="e">
        <f t="shared" si="36"/>
        <v>#DIV/0!</v>
      </c>
    </row>
    <row r="1534" spans="21:23" x14ac:dyDescent="0.2">
      <c r="U1534" s="616"/>
      <c r="W1534" s="620" t="e">
        <f t="shared" si="36"/>
        <v>#DIV/0!</v>
      </c>
    </row>
    <row r="1535" spans="21:23" x14ac:dyDescent="0.2">
      <c r="U1535" s="616"/>
      <c r="W1535" s="620" t="e">
        <f t="shared" si="36"/>
        <v>#DIV/0!</v>
      </c>
    </row>
    <row r="1536" spans="21:23" x14ac:dyDescent="0.2">
      <c r="U1536" s="616"/>
      <c r="W1536" s="620" t="e">
        <f t="shared" si="36"/>
        <v>#DIV/0!</v>
      </c>
    </row>
    <row r="1537" spans="21:23" x14ac:dyDescent="0.2">
      <c r="U1537" s="616"/>
      <c r="W1537" s="620" t="e">
        <f t="shared" si="36"/>
        <v>#DIV/0!</v>
      </c>
    </row>
    <row r="1538" spans="21:23" x14ac:dyDescent="0.2">
      <c r="U1538" s="616"/>
      <c r="W1538" s="620" t="e">
        <f t="shared" si="36"/>
        <v>#DIV/0!</v>
      </c>
    </row>
    <row r="1539" spans="21:23" x14ac:dyDescent="0.2">
      <c r="U1539" s="616"/>
      <c r="W1539" s="620" t="e">
        <f t="shared" si="36"/>
        <v>#DIV/0!</v>
      </c>
    </row>
    <row r="1540" spans="21:23" x14ac:dyDescent="0.2">
      <c r="U1540" s="616"/>
      <c r="W1540" s="620" t="e">
        <f t="shared" ref="W1540:W1603" si="37">AVERAGE($V$4:$V$2517)</f>
        <v>#DIV/0!</v>
      </c>
    </row>
    <row r="1541" spans="21:23" x14ac:dyDescent="0.2">
      <c r="U1541" s="616"/>
      <c r="W1541" s="620" t="e">
        <f t="shared" si="37"/>
        <v>#DIV/0!</v>
      </c>
    </row>
    <row r="1542" spans="21:23" x14ac:dyDescent="0.2">
      <c r="U1542" s="616"/>
      <c r="W1542" s="620" t="e">
        <f t="shared" si="37"/>
        <v>#DIV/0!</v>
      </c>
    </row>
    <row r="1543" spans="21:23" x14ac:dyDescent="0.2">
      <c r="U1543" s="616"/>
      <c r="W1543" s="620" t="e">
        <f t="shared" si="37"/>
        <v>#DIV/0!</v>
      </c>
    </row>
    <row r="1544" spans="21:23" x14ac:dyDescent="0.2">
      <c r="U1544" s="616"/>
      <c r="W1544" s="620" t="e">
        <f t="shared" si="37"/>
        <v>#DIV/0!</v>
      </c>
    </row>
    <row r="1545" spans="21:23" x14ac:dyDescent="0.2">
      <c r="U1545" s="616"/>
      <c r="W1545" s="620" t="e">
        <f t="shared" si="37"/>
        <v>#DIV/0!</v>
      </c>
    </row>
    <row r="1546" spans="21:23" x14ac:dyDescent="0.2">
      <c r="U1546" s="616"/>
      <c r="W1546" s="620" t="e">
        <f t="shared" si="37"/>
        <v>#DIV/0!</v>
      </c>
    </row>
    <row r="1547" spans="21:23" x14ac:dyDescent="0.2">
      <c r="U1547" s="616"/>
      <c r="W1547" s="620" t="e">
        <f t="shared" si="37"/>
        <v>#DIV/0!</v>
      </c>
    </row>
    <row r="1548" spans="21:23" x14ac:dyDescent="0.2">
      <c r="U1548" s="616"/>
      <c r="W1548" s="620" t="e">
        <f t="shared" si="37"/>
        <v>#DIV/0!</v>
      </c>
    </row>
    <row r="1549" spans="21:23" x14ac:dyDescent="0.2">
      <c r="U1549" s="616"/>
      <c r="W1549" s="620" t="e">
        <f t="shared" si="37"/>
        <v>#DIV/0!</v>
      </c>
    </row>
    <row r="1550" spans="21:23" x14ac:dyDescent="0.2">
      <c r="U1550" s="616"/>
      <c r="W1550" s="620" t="e">
        <f t="shared" si="37"/>
        <v>#DIV/0!</v>
      </c>
    </row>
    <row r="1551" spans="21:23" x14ac:dyDescent="0.2">
      <c r="U1551" s="616"/>
      <c r="W1551" s="620" t="e">
        <f t="shared" si="37"/>
        <v>#DIV/0!</v>
      </c>
    </row>
    <row r="1552" spans="21:23" x14ac:dyDescent="0.2">
      <c r="U1552" s="616"/>
      <c r="W1552" s="620" t="e">
        <f t="shared" si="37"/>
        <v>#DIV/0!</v>
      </c>
    </row>
    <row r="1553" spans="21:23" x14ac:dyDescent="0.2">
      <c r="U1553" s="616"/>
      <c r="W1553" s="620" t="e">
        <f t="shared" si="37"/>
        <v>#DIV/0!</v>
      </c>
    </row>
    <row r="1554" spans="21:23" x14ac:dyDescent="0.2">
      <c r="U1554" s="616"/>
      <c r="W1554" s="620" t="e">
        <f t="shared" si="37"/>
        <v>#DIV/0!</v>
      </c>
    </row>
    <row r="1555" spans="21:23" x14ac:dyDescent="0.2">
      <c r="U1555" s="616"/>
      <c r="W1555" s="620" t="e">
        <f t="shared" si="37"/>
        <v>#DIV/0!</v>
      </c>
    </row>
    <row r="1556" spans="21:23" x14ac:dyDescent="0.2">
      <c r="U1556" s="616"/>
      <c r="W1556" s="620" t="e">
        <f t="shared" si="37"/>
        <v>#DIV/0!</v>
      </c>
    </row>
    <row r="1557" spans="21:23" x14ac:dyDescent="0.2">
      <c r="U1557" s="616"/>
      <c r="W1557" s="620" t="e">
        <f t="shared" si="37"/>
        <v>#DIV/0!</v>
      </c>
    </row>
    <row r="1558" spans="21:23" x14ac:dyDescent="0.2">
      <c r="U1558" s="616"/>
      <c r="W1558" s="620" t="e">
        <f t="shared" si="37"/>
        <v>#DIV/0!</v>
      </c>
    </row>
    <row r="1559" spans="21:23" x14ac:dyDescent="0.2">
      <c r="U1559" s="616"/>
      <c r="W1559" s="620" t="e">
        <f t="shared" si="37"/>
        <v>#DIV/0!</v>
      </c>
    </row>
    <row r="1560" spans="21:23" x14ac:dyDescent="0.2">
      <c r="U1560" s="616"/>
      <c r="W1560" s="620" t="e">
        <f t="shared" si="37"/>
        <v>#DIV/0!</v>
      </c>
    </row>
    <row r="1561" spans="21:23" x14ac:dyDescent="0.2">
      <c r="U1561" s="616"/>
      <c r="W1561" s="620" t="e">
        <f t="shared" si="37"/>
        <v>#DIV/0!</v>
      </c>
    </row>
    <row r="1562" spans="21:23" x14ac:dyDescent="0.2">
      <c r="U1562" s="616"/>
      <c r="W1562" s="620" t="e">
        <f t="shared" si="37"/>
        <v>#DIV/0!</v>
      </c>
    </row>
    <row r="1563" spans="21:23" x14ac:dyDescent="0.2">
      <c r="U1563" s="616"/>
      <c r="W1563" s="620" t="e">
        <f t="shared" si="37"/>
        <v>#DIV/0!</v>
      </c>
    </row>
    <row r="1564" spans="21:23" x14ac:dyDescent="0.2">
      <c r="U1564" s="616"/>
      <c r="W1564" s="620" t="e">
        <f t="shared" si="37"/>
        <v>#DIV/0!</v>
      </c>
    </row>
    <row r="1565" spans="21:23" x14ac:dyDescent="0.2">
      <c r="U1565" s="616"/>
      <c r="W1565" s="620" t="e">
        <f t="shared" si="37"/>
        <v>#DIV/0!</v>
      </c>
    </row>
    <row r="1566" spans="21:23" x14ac:dyDescent="0.2">
      <c r="U1566" s="616"/>
      <c r="W1566" s="620" t="e">
        <f t="shared" si="37"/>
        <v>#DIV/0!</v>
      </c>
    </row>
    <row r="1567" spans="21:23" x14ac:dyDescent="0.2">
      <c r="U1567" s="616"/>
      <c r="W1567" s="620" t="e">
        <f t="shared" si="37"/>
        <v>#DIV/0!</v>
      </c>
    </row>
    <row r="1568" spans="21:23" x14ac:dyDescent="0.2">
      <c r="U1568" s="616"/>
      <c r="W1568" s="620" t="e">
        <f t="shared" si="37"/>
        <v>#DIV/0!</v>
      </c>
    </row>
    <row r="1569" spans="21:23" x14ac:dyDescent="0.2">
      <c r="U1569" s="616"/>
      <c r="W1569" s="620" t="e">
        <f t="shared" si="37"/>
        <v>#DIV/0!</v>
      </c>
    </row>
    <row r="1570" spans="21:23" x14ac:dyDescent="0.2">
      <c r="U1570" s="616"/>
      <c r="W1570" s="620" t="e">
        <f t="shared" si="37"/>
        <v>#DIV/0!</v>
      </c>
    </row>
    <row r="1571" spans="21:23" x14ac:dyDescent="0.2">
      <c r="U1571" s="616"/>
      <c r="W1571" s="620" t="e">
        <f t="shared" si="37"/>
        <v>#DIV/0!</v>
      </c>
    </row>
    <row r="1572" spans="21:23" x14ac:dyDescent="0.2">
      <c r="U1572" s="616"/>
      <c r="W1572" s="620" t="e">
        <f t="shared" si="37"/>
        <v>#DIV/0!</v>
      </c>
    </row>
    <row r="1573" spans="21:23" x14ac:dyDescent="0.2">
      <c r="U1573" s="616"/>
      <c r="W1573" s="620" t="e">
        <f t="shared" si="37"/>
        <v>#DIV/0!</v>
      </c>
    </row>
    <row r="1574" spans="21:23" x14ac:dyDescent="0.2">
      <c r="U1574" s="616"/>
      <c r="W1574" s="620" t="e">
        <f t="shared" si="37"/>
        <v>#DIV/0!</v>
      </c>
    </row>
    <row r="1575" spans="21:23" x14ac:dyDescent="0.2">
      <c r="U1575" s="616"/>
      <c r="W1575" s="620" t="e">
        <f t="shared" si="37"/>
        <v>#DIV/0!</v>
      </c>
    </row>
    <row r="1576" spans="21:23" x14ac:dyDescent="0.2">
      <c r="U1576" s="616"/>
      <c r="W1576" s="620" t="e">
        <f t="shared" si="37"/>
        <v>#DIV/0!</v>
      </c>
    </row>
    <row r="1577" spans="21:23" x14ac:dyDescent="0.2">
      <c r="U1577" s="616"/>
      <c r="W1577" s="620" t="e">
        <f t="shared" si="37"/>
        <v>#DIV/0!</v>
      </c>
    </row>
    <row r="1578" spans="21:23" x14ac:dyDescent="0.2">
      <c r="U1578" s="616"/>
      <c r="W1578" s="620" t="e">
        <f t="shared" si="37"/>
        <v>#DIV/0!</v>
      </c>
    </row>
    <row r="1579" spans="21:23" x14ac:dyDescent="0.2">
      <c r="U1579" s="616"/>
      <c r="W1579" s="620" t="e">
        <f t="shared" si="37"/>
        <v>#DIV/0!</v>
      </c>
    </row>
    <row r="1580" spans="21:23" x14ac:dyDescent="0.2">
      <c r="U1580" s="616"/>
      <c r="W1580" s="620" t="e">
        <f t="shared" si="37"/>
        <v>#DIV/0!</v>
      </c>
    </row>
    <row r="1581" spans="21:23" x14ac:dyDescent="0.2">
      <c r="U1581" s="616"/>
      <c r="W1581" s="620" t="e">
        <f t="shared" si="37"/>
        <v>#DIV/0!</v>
      </c>
    </row>
    <row r="1582" spans="21:23" x14ac:dyDescent="0.2">
      <c r="U1582" s="616"/>
      <c r="W1582" s="620" t="e">
        <f t="shared" si="37"/>
        <v>#DIV/0!</v>
      </c>
    </row>
    <row r="1583" spans="21:23" x14ac:dyDescent="0.2">
      <c r="U1583" s="616"/>
      <c r="W1583" s="620" t="e">
        <f t="shared" si="37"/>
        <v>#DIV/0!</v>
      </c>
    </row>
    <row r="1584" spans="21:23" x14ac:dyDescent="0.2">
      <c r="U1584" s="616"/>
      <c r="W1584" s="620" t="e">
        <f t="shared" si="37"/>
        <v>#DIV/0!</v>
      </c>
    </row>
    <row r="1585" spans="21:23" x14ac:dyDescent="0.2">
      <c r="U1585" s="616"/>
      <c r="W1585" s="620" t="e">
        <f t="shared" si="37"/>
        <v>#DIV/0!</v>
      </c>
    </row>
    <row r="1586" spans="21:23" x14ac:dyDescent="0.2">
      <c r="U1586" s="616"/>
      <c r="W1586" s="620" t="e">
        <f t="shared" si="37"/>
        <v>#DIV/0!</v>
      </c>
    </row>
    <row r="1587" spans="21:23" x14ac:dyDescent="0.2">
      <c r="U1587" s="616"/>
      <c r="W1587" s="620" t="e">
        <f t="shared" si="37"/>
        <v>#DIV/0!</v>
      </c>
    </row>
    <row r="1588" spans="21:23" x14ac:dyDescent="0.2">
      <c r="U1588" s="616"/>
      <c r="W1588" s="620" t="e">
        <f t="shared" si="37"/>
        <v>#DIV/0!</v>
      </c>
    </row>
    <row r="1589" spans="21:23" x14ac:dyDescent="0.2">
      <c r="U1589" s="616"/>
      <c r="W1589" s="620" t="e">
        <f t="shared" si="37"/>
        <v>#DIV/0!</v>
      </c>
    </row>
    <row r="1590" spans="21:23" x14ac:dyDescent="0.2">
      <c r="U1590" s="616"/>
      <c r="W1590" s="620" t="e">
        <f t="shared" si="37"/>
        <v>#DIV/0!</v>
      </c>
    </row>
    <row r="1591" spans="21:23" x14ac:dyDescent="0.2">
      <c r="U1591" s="616"/>
      <c r="W1591" s="620" t="e">
        <f t="shared" si="37"/>
        <v>#DIV/0!</v>
      </c>
    </row>
    <row r="1592" spans="21:23" x14ac:dyDescent="0.2">
      <c r="U1592" s="616"/>
      <c r="W1592" s="620" t="e">
        <f t="shared" si="37"/>
        <v>#DIV/0!</v>
      </c>
    </row>
    <row r="1593" spans="21:23" x14ac:dyDescent="0.2">
      <c r="U1593" s="616"/>
      <c r="W1593" s="620" t="e">
        <f t="shared" si="37"/>
        <v>#DIV/0!</v>
      </c>
    </row>
    <row r="1594" spans="21:23" x14ac:dyDescent="0.2">
      <c r="U1594" s="616"/>
      <c r="W1594" s="620" t="e">
        <f t="shared" si="37"/>
        <v>#DIV/0!</v>
      </c>
    </row>
    <row r="1595" spans="21:23" x14ac:dyDescent="0.2">
      <c r="U1595" s="616"/>
      <c r="W1595" s="620" t="e">
        <f t="shared" si="37"/>
        <v>#DIV/0!</v>
      </c>
    </row>
    <row r="1596" spans="21:23" x14ac:dyDescent="0.2">
      <c r="U1596" s="616"/>
      <c r="W1596" s="620" t="e">
        <f t="shared" si="37"/>
        <v>#DIV/0!</v>
      </c>
    </row>
    <row r="1597" spans="21:23" x14ac:dyDescent="0.2">
      <c r="U1597" s="616"/>
      <c r="W1597" s="620" t="e">
        <f t="shared" si="37"/>
        <v>#DIV/0!</v>
      </c>
    </row>
    <row r="1598" spans="21:23" x14ac:dyDescent="0.2">
      <c r="U1598" s="616"/>
      <c r="W1598" s="620" t="e">
        <f t="shared" si="37"/>
        <v>#DIV/0!</v>
      </c>
    </row>
    <row r="1599" spans="21:23" x14ac:dyDescent="0.2">
      <c r="U1599" s="616"/>
      <c r="W1599" s="620" t="e">
        <f t="shared" si="37"/>
        <v>#DIV/0!</v>
      </c>
    </row>
    <row r="1600" spans="21:23" x14ac:dyDescent="0.2">
      <c r="U1600" s="616"/>
      <c r="W1600" s="620" t="e">
        <f t="shared" si="37"/>
        <v>#DIV/0!</v>
      </c>
    </row>
    <row r="1601" spans="21:23" x14ac:dyDescent="0.2">
      <c r="U1601" s="616"/>
      <c r="W1601" s="620" t="e">
        <f t="shared" si="37"/>
        <v>#DIV/0!</v>
      </c>
    </row>
    <row r="1602" spans="21:23" x14ac:dyDescent="0.2">
      <c r="U1602" s="616"/>
      <c r="W1602" s="620" t="e">
        <f t="shared" si="37"/>
        <v>#DIV/0!</v>
      </c>
    </row>
    <row r="1603" spans="21:23" x14ac:dyDescent="0.2">
      <c r="U1603" s="616"/>
      <c r="W1603" s="620" t="e">
        <f t="shared" si="37"/>
        <v>#DIV/0!</v>
      </c>
    </row>
    <row r="1604" spans="21:23" x14ac:dyDescent="0.2">
      <c r="U1604" s="616"/>
      <c r="W1604" s="620" t="e">
        <f t="shared" ref="W1604:W1667" si="38">AVERAGE($V$4:$V$2517)</f>
        <v>#DIV/0!</v>
      </c>
    </row>
    <row r="1605" spans="21:23" x14ac:dyDescent="0.2">
      <c r="U1605" s="616"/>
      <c r="W1605" s="620" t="e">
        <f t="shared" si="38"/>
        <v>#DIV/0!</v>
      </c>
    </row>
    <row r="1606" spans="21:23" x14ac:dyDescent="0.2">
      <c r="U1606" s="616"/>
      <c r="W1606" s="620" t="e">
        <f t="shared" si="38"/>
        <v>#DIV/0!</v>
      </c>
    </row>
    <row r="1607" spans="21:23" x14ac:dyDescent="0.2">
      <c r="U1607" s="616"/>
      <c r="W1607" s="620" t="e">
        <f t="shared" si="38"/>
        <v>#DIV/0!</v>
      </c>
    </row>
    <row r="1608" spans="21:23" x14ac:dyDescent="0.2">
      <c r="U1608" s="616"/>
      <c r="W1608" s="620" t="e">
        <f t="shared" si="38"/>
        <v>#DIV/0!</v>
      </c>
    </row>
    <row r="1609" spans="21:23" x14ac:dyDescent="0.2">
      <c r="U1609" s="616"/>
      <c r="W1609" s="620" t="e">
        <f t="shared" si="38"/>
        <v>#DIV/0!</v>
      </c>
    </row>
    <row r="1610" spans="21:23" x14ac:dyDescent="0.2">
      <c r="U1610" s="616"/>
      <c r="W1610" s="620" t="e">
        <f t="shared" si="38"/>
        <v>#DIV/0!</v>
      </c>
    </row>
    <row r="1611" spans="21:23" x14ac:dyDescent="0.2">
      <c r="U1611" s="616"/>
      <c r="W1611" s="620" t="e">
        <f t="shared" si="38"/>
        <v>#DIV/0!</v>
      </c>
    </row>
    <row r="1612" spans="21:23" x14ac:dyDescent="0.2">
      <c r="U1612" s="616"/>
      <c r="W1612" s="620" t="e">
        <f t="shared" si="38"/>
        <v>#DIV/0!</v>
      </c>
    </row>
    <row r="1613" spans="21:23" x14ac:dyDescent="0.2">
      <c r="U1613" s="616"/>
      <c r="W1613" s="620" t="e">
        <f t="shared" si="38"/>
        <v>#DIV/0!</v>
      </c>
    </row>
    <row r="1614" spans="21:23" x14ac:dyDescent="0.2">
      <c r="U1614" s="616"/>
      <c r="W1614" s="620" t="e">
        <f t="shared" si="38"/>
        <v>#DIV/0!</v>
      </c>
    </row>
    <row r="1615" spans="21:23" x14ac:dyDescent="0.2">
      <c r="U1615" s="616"/>
      <c r="W1615" s="620" t="e">
        <f t="shared" si="38"/>
        <v>#DIV/0!</v>
      </c>
    </row>
    <row r="1616" spans="21:23" x14ac:dyDescent="0.2">
      <c r="U1616" s="616"/>
      <c r="W1616" s="620" t="e">
        <f t="shared" si="38"/>
        <v>#DIV/0!</v>
      </c>
    </row>
    <row r="1617" spans="21:23" x14ac:dyDescent="0.2">
      <c r="U1617" s="616"/>
      <c r="W1617" s="620" t="e">
        <f t="shared" si="38"/>
        <v>#DIV/0!</v>
      </c>
    </row>
    <row r="1618" spans="21:23" x14ac:dyDescent="0.2">
      <c r="U1618" s="616"/>
      <c r="W1618" s="620" t="e">
        <f t="shared" si="38"/>
        <v>#DIV/0!</v>
      </c>
    </row>
    <row r="1619" spans="21:23" x14ac:dyDescent="0.2">
      <c r="U1619" s="616"/>
      <c r="W1619" s="620" t="e">
        <f t="shared" si="38"/>
        <v>#DIV/0!</v>
      </c>
    </row>
    <row r="1620" spans="21:23" x14ac:dyDescent="0.2">
      <c r="U1620" s="616"/>
      <c r="W1620" s="620" t="e">
        <f t="shared" si="38"/>
        <v>#DIV/0!</v>
      </c>
    </row>
    <row r="1621" spans="21:23" x14ac:dyDescent="0.2">
      <c r="U1621" s="616"/>
      <c r="W1621" s="620" t="e">
        <f t="shared" si="38"/>
        <v>#DIV/0!</v>
      </c>
    </row>
    <row r="1622" spans="21:23" x14ac:dyDescent="0.2">
      <c r="U1622" s="616"/>
      <c r="W1622" s="620" t="e">
        <f t="shared" si="38"/>
        <v>#DIV/0!</v>
      </c>
    </row>
    <row r="1623" spans="21:23" x14ac:dyDescent="0.2">
      <c r="U1623" s="616"/>
      <c r="W1623" s="620" t="e">
        <f t="shared" si="38"/>
        <v>#DIV/0!</v>
      </c>
    </row>
    <row r="1624" spans="21:23" x14ac:dyDescent="0.2">
      <c r="U1624" s="616"/>
      <c r="W1624" s="620" t="e">
        <f t="shared" si="38"/>
        <v>#DIV/0!</v>
      </c>
    </row>
    <row r="1625" spans="21:23" x14ac:dyDescent="0.2">
      <c r="U1625" s="616"/>
      <c r="W1625" s="620" t="e">
        <f t="shared" si="38"/>
        <v>#DIV/0!</v>
      </c>
    </row>
    <row r="1626" spans="21:23" x14ac:dyDescent="0.2">
      <c r="U1626" s="616"/>
      <c r="W1626" s="620" t="e">
        <f t="shared" si="38"/>
        <v>#DIV/0!</v>
      </c>
    </row>
    <row r="1627" spans="21:23" x14ac:dyDescent="0.2">
      <c r="U1627" s="616"/>
      <c r="W1627" s="620" t="e">
        <f t="shared" si="38"/>
        <v>#DIV/0!</v>
      </c>
    </row>
    <row r="1628" spans="21:23" x14ac:dyDescent="0.2">
      <c r="U1628" s="616"/>
      <c r="W1628" s="620" t="e">
        <f t="shared" si="38"/>
        <v>#DIV/0!</v>
      </c>
    </row>
    <row r="1629" spans="21:23" x14ac:dyDescent="0.2">
      <c r="U1629" s="616"/>
      <c r="W1629" s="620" t="e">
        <f t="shared" si="38"/>
        <v>#DIV/0!</v>
      </c>
    </row>
    <row r="1630" spans="21:23" x14ac:dyDescent="0.2">
      <c r="U1630" s="616"/>
      <c r="W1630" s="620" t="e">
        <f t="shared" si="38"/>
        <v>#DIV/0!</v>
      </c>
    </row>
    <row r="1631" spans="21:23" x14ac:dyDescent="0.2">
      <c r="U1631" s="616"/>
      <c r="W1631" s="620" t="e">
        <f t="shared" si="38"/>
        <v>#DIV/0!</v>
      </c>
    </row>
    <row r="1632" spans="21:23" x14ac:dyDescent="0.2">
      <c r="U1632" s="616"/>
      <c r="W1632" s="620" t="e">
        <f t="shared" si="38"/>
        <v>#DIV/0!</v>
      </c>
    </row>
    <row r="1633" spans="21:23" x14ac:dyDescent="0.2">
      <c r="U1633" s="616"/>
      <c r="W1633" s="620" t="e">
        <f t="shared" si="38"/>
        <v>#DIV/0!</v>
      </c>
    </row>
    <row r="1634" spans="21:23" x14ac:dyDescent="0.2">
      <c r="U1634" s="616"/>
      <c r="W1634" s="620" t="e">
        <f t="shared" si="38"/>
        <v>#DIV/0!</v>
      </c>
    </row>
    <row r="1635" spans="21:23" x14ac:dyDescent="0.2">
      <c r="U1635" s="616"/>
      <c r="W1635" s="620" t="e">
        <f t="shared" si="38"/>
        <v>#DIV/0!</v>
      </c>
    </row>
    <row r="1636" spans="21:23" x14ac:dyDescent="0.2">
      <c r="U1636" s="616"/>
      <c r="W1636" s="620" t="e">
        <f t="shared" si="38"/>
        <v>#DIV/0!</v>
      </c>
    </row>
    <row r="1637" spans="21:23" x14ac:dyDescent="0.2">
      <c r="U1637" s="616"/>
      <c r="W1637" s="620" t="e">
        <f t="shared" si="38"/>
        <v>#DIV/0!</v>
      </c>
    </row>
    <row r="1638" spans="21:23" x14ac:dyDescent="0.2">
      <c r="U1638" s="616"/>
      <c r="W1638" s="620" t="e">
        <f t="shared" si="38"/>
        <v>#DIV/0!</v>
      </c>
    </row>
    <row r="1639" spans="21:23" x14ac:dyDescent="0.2">
      <c r="U1639" s="616"/>
      <c r="W1639" s="620" t="e">
        <f t="shared" si="38"/>
        <v>#DIV/0!</v>
      </c>
    </row>
    <row r="1640" spans="21:23" x14ac:dyDescent="0.2">
      <c r="U1640" s="616"/>
      <c r="W1640" s="620" t="e">
        <f t="shared" si="38"/>
        <v>#DIV/0!</v>
      </c>
    </row>
    <row r="1641" spans="21:23" x14ac:dyDescent="0.2">
      <c r="U1641" s="616"/>
      <c r="W1641" s="620" t="e">
        <f t="shared" si="38"/>
        <v>#DIV/0!</v>
      </c>
    </row>
    <row r="1642" spans="21:23" x14ac:dyDescent="0.2">
      <c r="U1642" s="616"/>
      <c r="W1642" s="620" t="e">
        <f t="shared" si="38"/>
        <v>#DIV/0!</v>
      </c>
    </row>
    <row r="1643" spans="21:23" x14ac:dyDescent="0.2">
      <c r="U1643" s="616"/>
      <c r="W1643" s="620" t="e">
        <f t="shared" si="38"/>
        <v>#DIV/0!</v>
      </c>
    </row>
    <row r="1644" spans="21:23" x14ac:dyDescent="0.2">
      <c r="U1644" s="616"/>
      <c r="W1644" s="620" t="e">
        <f t="shared" si="38"/>
        <v>#DIV/0!</v>
      </c>
    </row>
    <row r="1645" spans="21:23" x14ac:dyDescent="0.2">
      <c r="U1645" s="616"/>
      <c r="W1645" s="620" t="e">
        <f t="shared" si="38"/>
        <v>#DIV/0!</v>
      </c>
    </row>
    <row r="1646" spans="21:23" x14ac:dyDescent="0.2">
      <c r="U1646" s="616"/>
      <c r="W1646" s="620" t="e">
        <f t="shared" si="38"/>
        <v>#DIV/0!</v>
      </c>
    </row>
    <row r="1647" spans="21:23" x14ac:dyDescent="0.2">
      <c r="U1647" s="616"/>
      <c r="W1647" s="620" t="e">
        <f t="shared" si="38"/>
        <v>#DIV/0!</v>
      </c>
    </row>
    <row r="1648" spans="21:23" x14ac:dyDescent="0.2">
      <c r="U1648" s="616"/>
      <c r="W1648" s="620" t="e">
        <f t="shared" si="38"/>
        <v>#DIV/0!</v>
      </c>
    </row>
    <row r="1649" spans="21:23" x14ac:dyDescent="0.2">
      <c r="U1649" s="616"/>
      <c r="W1649" s="620" t="e">
        <f t="shared" si="38"/>
        <v>#DIV/0!</v>
      </c>
    </row>
    <row r="1650" spans="21:23" x14ac:dyDescent="0.2">
      <c r="U1650" s="616"/>
      <c r="W1650" s="620" t="e">
        <f t="shared" si="38"/>
        <v>#DIV/0!</v>
      </c>
    </row>
    <row r="1651" spans="21:23" x14ac:dyDescent="0.2">
      <c r="U1651" s="616"/>
      <c r="W1651" s="620" t="e">
        <f t="shared" si="38"/>
        <v>#DIV/0!</v>
      </c>
    </row>
    <row r="1652" spans="21:23" x14ac:dyDescent="0.2">
      <c r="U1652" s="616"/>
      <c r="W1652" s="620" t="e">
        <f t="shared" si="38"/>
        <v>#DIV/0!</v>
      </c>
    </row>
    <row r="1653" spans="21:23" x14ac:dyDescent="0.2">
      <c r="U1653" s="616"/>
      <c r="W1653" s="620" t="e">
        <f t="shared" si="38"/>
        <v>#DIV/0!</v>
      </c>
    </row>
    <row r="1654" spans="21:23" x14ac:dyDescent="0.2">
      <c r="U1654" s="616"/>
      <c r="W1654" s="620" t="e">
        <f t="shared" si="38"/>
        <v>#DIV/0!</v>
      </c>
    </row>
    <row r="1655" spans="21:23" x14ac:dyDescent="0.2">
      <c r="U1655" s="616"/>
      <c r="W1655" s="620" t="e">
        <f t="shared" si="38"/>
        <v>#DIV/0!</v>
      </c>
    </row>
    <row r="1656" spans="21:23" x14ac:dyDescent="0.2">
      <c r="U1656" s="616"/>
      <c r="W1656" s="620" t="e">
        <f t="shared" si="38"/>
        <v>#DIV/0!</v>
      </c>
    </row>
    <row r="1657" spans="21:23" x14ac:dyDescent="0.2">
      <c r="U1657" s="616"/>
      <c r="W1657" s="620" t="e">
        <f t="shared" si="38"/>
        <v>#DIV/0!</v>
      </c>
    </row>
    <row r="1658" spans="21:23" x14ac:dyDescent="0.2">
      <c r="U1658" s="616"/>
      <c r="W1658" s="620" t="e">
        <f t="shared" si="38"/>
        <v>#DIV/0!</v>
      </c>
    </row>
    <row r="1659" spans="21:23" x14ac:dyDescent="0.2">
      <c r="U1659" s="616"/>
      <c r="W1659" s="620" t="e">
        <f t="shared" si="38"/>
        <v>#DIV/0!</v>
      </c>
    </row>
    <row r="1660" spans="21:23" x14ac:dyDescent="0.2">
      <c r="U1660" s="616"/>
      <c r="W1660" s="620" t="e">
        <f t="shared" si="38"/>
        <v>#DIV/0!</v>
      </c>
    </row>
    <row r="1661" spans="21:23" x14ac:dyDescent="0.2">
      <c r="U1661" s="616"/>
      <c r="W1661" s="620" t="e">
        <f t="shared" si="38"/>
        <v>#DIV/0!</v>
      </c>
    </row>
    <row r="1662" spans="21:23" x14ac:dyDescent="0.2">
      <c r="U1662" s="616"/>
      <c r="W1662" s="620" t="e">
        <f t="shared" si="38"/>
        <v>#DIV/0!</v>
      </c>
    </row>
    <row r="1663" spans="21:23" x14ac:dyDescent="0.2">
      <c r="U1663" s="616"/>
      <c r="W1663" s="620" t="e">
        <f t="shared" si="38"/>
        <v>#DIV/0!</v>
      </c>
    </row>
    <row r="1664" spans="21:23" x14ac:dyDescent="0.2">
      <c r="U1664" s="616"/>
      <c r="W1664" s="620" t="e">
        <f t="shared" si="38"/>
        <v>#DIV/0!</v>
      </c>
    </row>
    <row r="1665" spans="21:23" x14ac:dyDescent="0.2">
      <c r="U1665" s="616"/>
      <c r="W1665" s="620" t="e">
        <f t="shared" si="38"/>
        <v>#DIV/0!</v>
      </c>
    </row>
    <row r="1666" spans="21:23" x14ac:dyDescent="0.2">
      <c r="U1666" s="616"/>
      <c r="W1666" s="620" t="e">
        <f t="shared" si="38"/>
        <v>#DIV/0!</v>
      </c>
    </row>
    <row r="1667" spans="21:23" x14ac:dyDescent="0.2">
      <c r="U1667" s="616"/>
      <c r="W1667" s="620" t="e">
        <f t="shared" si="38"/>
        <v>#DIV/0!</v>
      </c>
    </row>
    <row r="1668" spans="21:23" x14ac:dyDescent="0.2">
      <c r="U1668" s="616"/>
      <c r="W1668" s="620" t="e">
        <f t="shared" ref="W1668:W1731" si="39">AVERAGE($V$4:$V$2517)</f>
        <v>#DIV/0!</v>
      </c>
    </row>
    <row r="1669" spans="21:23" x14ac:dyDescent="0.2">
      <c r="U1669" s="616"/>
      <c r="W1669" s="620" t="e">
        <f t="shared" si="39"/>
        <v>#DIV/0!</v>
      </c>
    </row>
    <row r="1670" spans="21:23" x14ac:dyDescent="0.2">
      <c r="U1670" s="616"/>
      <c r="W1670" s="620" t="e">
        <f t="shared" si="39"/>
        <v>#DIV/0!</v>
      </c>
    </row>
    <row r="1671" spans="21:23" x14ac:dyDescent="0.2">
      <c r="U1671" s="616"/>
      <c r="W1671" s="620" t="e">
        <f t="shared" si="39"/>
        <v>#DIV/0!</v>
      </c>
    </row>
    <row r="1672" spans="21:23" x14ac:dyDescent="0.2">
      <c r="U1672" s="616"/>
      <c r="W1672" s="620" t="e">
        <f t="shared" si="39"/>
        <v>#DIV/0!</v>
      </c>
    </row>
    <row r="1673" spans="21:23" x14ac:dyDescent="0.2">
      <c r="U1673" s="616"/>
      <c r="W1673" s="620" t="e">
        <f t="shared" si="39"/>
        <v>#DIV/0!</v>
      </c>
    </row>
    <row r="1674" spans="21:23" x14ac:dyDescent="0.2">
      <c r="U1674" s="616"/>
      <c r="W1674" s="620" t="e">
        <f t="shared" si="39"/>
        <v>#DIV/0!</v>
      </c>
    </row>
    <row r="1675" spans="21:23" x14ac:dyDescent="0.2">
      <c r="U1675" s="616"/>
      <c r="W1675" s="620" t="e">
        <f t="shared" si="39"/>
        <v>#DIV/0!</v>
      </c>
    </row>
    <row r="1676" spans="21:23" x14ac:dyDescent="0.2">
      <c r="U1676" s="616"/>
      <c r="W1676" s="620" t="e">
        <f t="shared" si="39"/>
        <v>#DIV/0!</v>
      </c>
    </row>
    <row r="1677" spans="21:23" x14ac:dyDescent="0.2">
      <c r="U1677" s="616"/>
      <c r="W1677" s="620" t="e">
        <f t="shared" si="39"/>
        <v>#DIV/0!</v>
      </c>
    </row>
    <row r="1678" spans="21:23" x14ac:dyDescent="0.2">
      <c r="U1678" s="616"/>
      <c r="W1678" s="620" t="e">
        <f t="shared" si="39"/>
        <v>#DIV/0!</v>
      </c>
    </row>
    <row r="1679" spans="21:23" x14ac:dyDescent="0.2">
      <c r="U1679" s="616"/>
      <c r="W1679" s="620" t="e">
        <f t="shared" si="39"/>
        <v>#DIV/0!</v>
      </c>
    </row>
    <row r="1680" spans="21:23" x14ac:dyDescent="0.2">
      <c r="U1680" s="616"/>
      <c r="W1680" s="620" t="e">
        <f t="shared" si="39"/>
        <v>#DIV/0!</v>
      </c>
    </row>
    <row r="1681" spans="21:23" x14ac:dyDescent="0.2">
      <c r="U1681" s="616"/>
      <c r="W1681" s="620" t="e">
        <f t="shared" si="39"/>
        <v>#DIV/0!</v>
      </c>
    </row>
    <row r="1682" spans="21:23" x14ac:dyDescent="0.2">
      <c r="U1682" s="616"/>
      <c r="W1682" s="620" t="e">
        <f t="shared" si="39"/>
        <v>#DIV/0!</v>
      </c>
    </row>
    <row r="1683" spans="21:23" x14ac:dyDescent="0.2">
      <c r="U1683" s="616"/>
      <c r="W1683" s="620" t="e">
        <f t="shared" si="39"/>
        <v>#DIV/0!</v>
      </c>
    </row>
    <row r="1684" spans="21:23" x14ac:dyDescent="0.2">
      <c r="U1684" s="616"/>
      <c r="W1684" s="620" t="e">
        <f t="shared" si="39"/>
        <v>#DIV/0!</v>
      </c>
    </row>
    <row r="1685" spans="21:23" x14ac:dyDescent="0.2">
      <c r="U1685" s="616"/>
      <c r="W1685" s="620" t="e">
        <f t="shared" si="39"/>
        <v>#DIV/0!</v>
      </c>
    </row>
    <row r="1686" spans="21:23" x14ac:dyDescent="0.2">
      <c r="U1686" s="616"/>
      <c r="W1686" s="620" t="e">
        <f t="shared" si="39"/>
        <v>#DIV/0!</v>
      </c>
    </row>
    <row r="1687" spans="21:23" x14ac:dyDescent="0.2">
      <c r="U1687" s="616"/>
      <c r="W1687" s="620" t="e">
        <f t="shared" si="39"/>
        <v>#DIV/0!</v>
      </c>
    </row>
    <row r="1688" spans="21:23" x14ac:dyDescent="0.2">
      <c r="U1688" s="616"/>
      <c r="W1688" s="620" t="e">
        <f t="shared" si="39"/>
        <v>#DIV/0!</v>
      </c>
    </row>
    <row r="1689" spans="21:23" x14ac:dyDescent="0.2">
      <c r="U1689" s="616"/>
      <c r="W1689" s="620" t="e">
        <f t="shared" si="39"/>
        <v>#DIV/0!</v>
      </c>
    </row>
    <row r="1690" spans="21:23" x14ac:dyDescent="0.2">
      <c r="U1690" s="616"/>
      <c r="W1690" s="620" t="e">
        <f t="shared" si="39"/>
        <v>#DIV/0!</v>
      </c>
    </row>
    <row r="1691" spans="21:23" x14ac:dyDescent="0.2">
      <c r="U1691" s="616"/>
      <c r="W1691" s="620" t="e">
        <f t="shared" si="39"/>
        <v>#DIV/0!</v>
      </c>
    </row>
    <row r="1692" spans="21:23" x14ac:dyDescent="0.2">
      <c r="U1692" s="616"/>
      <c r="W1692" s="620" t="e">
        <f t="shared" si="39"/>
        <v>#DIV/0!</v>
      </c>
    </row>
    <row r="1693" spans="21:23" x14ac:dyDescent="0.2">
      <c r="U1693" s="616"/>
      <c r="W1693" s="620" t="e">
        <f t="shared" si="39"/>
        <v>#DIV/0!</v>
      </c>
    </row>
    <row r="1694" spans="21:23" x14ac:dyDescent="0.2">
      <c r="U1694" s="616"/>
      <c r="W1694" s="620" t="e">
        <f t="shared" si="39"/>
        <v>#DIV/0!</v>
      </c>
    </row>
    <row r="1695" spans="21:23" x14ac:dyDescent="0.2">
      <c r="U1695" s="616"/>
      <c r="W1695" s="620" t="e">
        <f t="shared" si="39"/>
        <v>#DIV/0!</v>
      </c>
    </row>
    <row r="1696" spans="21:23" x14ac:dyDescent="0.2">
      <c r="U1696" s="616"/>
      <c r="W1696" s="620" t="e">
        <f t="shared" si="39"/>
        <v>#DIV/0!</v>
      </c>
    </row>
    <row r="1697" spans="21:23" x14ac:dyDescent="0.2">
      <c r="U1697" s="616"/>
      <c r="W1697" s="620" t="e">
        <f t="shared" si="39"/>
        <v>#DIV/0!</v>
      </c>
    </row>
    <row r="1698" spans="21:23" x14ac:dyDescent="0.2">
      <c r="U1698" s="616"/>
      <c r="W1698" s="620" t="e">
        <f t="shared" si="39"/>
        <v>#DIV/0!</v>
      </c>
    </row>
    <row r="1699" spans="21:23" x14ac:dyDescent="0.2">
      <c r="U1699" s="616"/>
      <c r="W1699" s="620" t="e">
        <f t="shared" si="39"/>
        <v>#DIV/0!</v>
      </c>
    </row>
    <row r="1700" spans="21:23" x14ac:dyDescent="0.2">
      <c r="U1700" s="616"/>
      <c r="W1700" s="620" t="e">
        <f t="shared" si="39"/>
        <v>#DIV/0!</v>
      </c>
    </row>
    <row r="1701" spans="21:23" x14ac:dyDescent="0.2">
      <c r="U1701" s="616"/>
      <c r="W1701" s="620" t="e">
        <f t="shared" si="39"/>
        <v>#DIV/0!</v>
      </c>
    </row>
    <row r="1702" spans="21:23" x14ac:dyDescent="0.2">
      <c r="U1702" s="616"/>
      <c r="W1702" s="620" t="e">
        <f t="shared" si="39"/>
        <v>#DIV/0!</v>
      </c>
    </row>
    <row r="1703" spans="21:23" x14ac:dyDescent="0.2">
      <c r="U1703" s="616"/>
      <c r="W1703" s="620" t="e">
        <f t="shared" si="39"/>
        <v>#DIV/0!</v>
      </c>
    </row>
    <row r="1704" spans="21:23" x14ac:dyDescent="0.2">
      <c r="U1704" s="616"/>
      <c r="W1704" s="620" t="e">
        <f t="shared" si="39"/>
        <v>#DIV/0!</v>
      </c>
    </row>
    <row r="1705" spans="21:23" x14ac:dyDescent="0.2">
      <c r="U1705" s="616"/>
      <c r="W1705" s="620" t="e">
        <f t="shared" si="39"/>
        <v>#DIV/0!</v>
      </c>
    </row>
    <row r="1706" spans="21:23" x14ac:dyDescent="0.2">
      <c r="U1706" s="616"/>
      <c r="W1706" s="620" t="e">
        <f t="shared" si="39"/>
        <v>#DIV/0!</v>
      </c>
    </row>
    <row r="1707" spans="21:23" x14ac:dyDescent="0.2">
      <c r="U1707" s="616"/>
      <c r="W1707" s="620" t="e">
        <f t="shared" si="39"/>
        <v>#DIV/0!</v>
      </c>
    </row>
    <row r="1708" spans="21:23" x14ac:dyDescent="0.2">
      <c r="U1708" s="616"/>
      <c r="W1708" s="620" t="e">
        <f t="shared" si="39"/>
        <v>#DIV/0!</v>
      </c>
    </row>
    <row r="1709" spans="21:23" x14ac:dyDescent="0.2">
      <c r="U1709" s="616"/>
      <c r="W1709" s="620" t="e">
        <f t="shared" si="39"/>
        <v>#DIV/0!</v>
      </c>
    </row>
    <row r="1710" spans="21:23" x14ac:dyDescent="0.2">
      <c r="U1710" s="616"/>
      <c r="W1710" s="620" t="e">
        <f t="shared" si="39"/>
        <v>#DIV/0!</v>
      </c>
    </row>
    <row r="1711" spans="21:23" x14ac:dyDescent="0.2">
      <c r="U1711" s="616"/>
      <c r="W1711" s="620" t="e">
        <f t="shared" si="39"/>
        <v>#DIV/0!</v>
      </c>
    </row>
    <row r="1712" spans="21:23" x14ac:dyDescent="0.2">
      <c r="U1712" s="616"/>
      <c r="W1712" s="620" t="e">
        <f t="shared" si="39"/>
        <v>#DIV/0!</v>
      </c>
    </row>
    <row r="1713" spans="21:23" x14ac:dyDescent="0.2">
      <c r="U1713" s="616"/>
      <c r="W1713" s="620" t="e">
        <f t="shared" si="39"/>
        <v>#DIV/0!</v>
      </c>
    </row>
    <row r="1714" spans="21:23" x14ac:dyDescent="0.2">
      <c r="U1714" s="616"/>
      <c r="W1714" s="620" t="e">
        <f t="shared" si="39"/>
        <v>#DIV/0!</v>
      </c>
    </row>
    <row r="1715" spans="21:23" x14ac:dyDescent="0.2">
      <c r="U1715" s="616"/>
      <c r="W1715" s="620" t="e">
        <f t="shared" si="39"/>
        <v>#DIV/0!</v>
      </c>
    </row>
    <row r="1716" spans="21:23" x14ac:dyDescent="0.2">
      <c r="U1716" s="616"/>
      <c r="W1716" s="620" t="e">
        <f t="shared" si="39"/>
        <v>#DIV/0!</v>
      </c>
    </row>
    <row r="1717" spans="21:23" x14ac:dyDescent="0.2">
      <c r="U1717" s="616"/>
      <c r="W1717" s="620" t="e">
        <f t="shared" si="39"/>
        <v>#DIV/0!</v>
      </c>
    </row>
    <row r="1718" spans="21:23" x14ac:dyDescent="0.2">
      <c r="U1718" s="616"/>
      <c r="W1718" s="620" t="e">
        <f t="shared" si="39"/>
        <v>#DIV/0!</v>
      </c>
    </row>
    <row r="1719" spans="21:23" x14ac:dyDescent="0.2">
      <c r="U1719" s="616"/>
      <c r="W1719" s="620" t="e">
        <f t="shared" si="39"/>
        <v>#DIV/0!</v>
      </c>
    </row>
    <row r="1720" spans="21:23" x14ac:dyDescent="0.2">
      <c r="U1720" s="616"/>
      <c r="W1720" s="620" t="e">
        <f t="shared" si="39"/>
        <v>#DIV/0!</v>
      </c>
    </row>
    <row r="1721" spans="21:23" x14ac:dyDescent="0.2">
      <c r="U1721" s="616"/>
      <c r="W1721" s="620" t="e">
        <f t="shared" si="39"/>
        <v>#DIV/0!</v>
      </c>
    </row>
    <row r="1722" spans="21:23" x14ac:dyDescent="0.2">
      <c r="U1722" s="616"/>
      <c r="W1722" s="620" t="e">
        <f t="shared" si="39"/>
        <v>#DIV/0!</v>
      </c>
    </row>
    <row r="1723" spans="21:23" x14ac:dyDescent="0.2">
      <c r="U1723" s="616"/>
      <c r="W1723" s="620" t="e">
        <f t="shared" si="39"/>
        <v>#DIV/0!</v>
      </c>
    </row>
    <row r="1724" spans="21:23" x14ac:dyDescent="0.2">
      <c r="U1724" s="616"/>
      <c r="W1724" s="620" t="e">
        <f t="shared" si="39"/>
        <v>#DIV/0!</v>
      </c>
    </row>
    <row r="1725" spans="21:23" x14ac:dyDescent="0.2">
      <c r="U1725" s="616"/>
      <c r="W1725" s="620" t="e">
        <f t="shared" si="39"/>
        <v>#DIV/0!</v>
      </c>
    </row>
    <row r="1726" spans="21:23" x14ac:dyDescent="0.2">
      <c r="U1726" s="616"/>
      <c r="W1726" s="620" t="e">
        <f t="shared" si="39"/>
        <v>#DIV/0!</v>
      </c>
    </row>
    <row r="1727" spans="21:23" x14ac:dyDescent="0.2">
      <c r="U1727" s="616"/>
      <c r="W1727" s="620" t="e">
        <f t="shared" si="39"/>
        <v>#DIV/0!</v>
      </c>
    </row>
    <row r="1728" spans="21:23" x14ac:dyDescent="0.2">
      <c r="U1728" s="616"/>
      <c r="W1728" s="620" t="e">
        <f t="shared" si="39"/>
        <v>#DIV/0!</v>
      </c>
    </row>
    <row r="1729" spans="21:23" x14ac:dyDescent="0.2">
      <c r="U1729" s="616"/>
      <c r="W1729" s="620" t="e">
        <f t="shared" si="39"/>
        <v>#DIV/0!</v>
      </c>
    </row>
    <row r="1730" spans="21:23" x14ac:dyDescent="0.2">
      <c r="U1730" s="616"/>
      <c r="W1730" s="620" t="e">
        <f t="shared" si="39"/>
        <v>#DIV/0!</v>
      </c>
    </row>
    <row r="1731" spans="21:23" x14ac:dyDescent="0.2">
      <c r="U1731" s="616"/>
      <c r="W1731" s="620" t="e">
        <f t="shared" si="39"/>
        <v>#DIV/0!</v>
      </c>
    </row>
    <row r="1732" spans="21:23" x14ac:dyDescent="0.2">
      <c r="U1732" s="616"/>
      <c r="W1732" s="620" t="e">
        <f t="shared" ref="W1732:W1795" si="40">AVERAGE($V$4:$V$2517)</f>
        <v>#DIV/0!</v>
      </c>
    </row>
    <row r="1733" spans="21:23" x14ac:dyDescent="0.2">
      <c r="U1733" s="616"/>
      <c r="W1733" s="620" t="e">
        <f t="shared" si="40"/>
        <v>#DIV/0!</v>
      </c>
    </row>
    <row r="1734" spans="21:23" x14ac:dyDescent="0.2">
      <c r="U1734" s="616"/>
      <c r="W1734" s="620" t="e">
        <f t="shared" si="40"/>
        <v>#DIV/0!</v>
      </c>
    </row>
    <row r="1735" spans="21:23" x14ac:dyDescent="0.2">
      <c r="U1735" s="616"/>
      <c r="W1735" s="620" t="e">
        <f t="shared" si="40"/>
        <v>#DIV/0!</v>
      </c>
    </row>
    <row r="1736" spans="21:23" x14ac:dyDescent="0.2">
      <c r="U1736" s="616"/>
      <c r="W1736" s="620" t="e">
        <f t="shared" si="40"/>
        <v>#DIV/0!</v>
      </c>
    </row>
    <row r="1737" spans="21:23" x14ac:dyDescent="0.2">
      <c r="U1737" s="616"/>
      <c r="W1737" s="620" t="e">
        <f t="shared" si="40"/>
        <v>#DIV/0!</v>
      </c>
    </row>
    <row r="1738" spans="21:23" x14ac:dyDescent="0.2">
      <c r="U1738" s="616"/>
      <c r="W1738" s="620" t="e">
        <f t="shared" si="40"/>
        <v>#DIV/0!</v>
      </c>
    </row>
    <row r="1739" spans="21:23" x14ac:dyDescent="0.2">
      <c r="U1739" s="616"/>
      <c r="W1739" s="620" t="e">
        <f t="shared" si="40"/>
        <v>#DIV/0!</v>
      </c>
    </row>
    <row r="1740" spans="21:23" x14ac:dyDescent="0.2">
      <c r="U1740" s="616"/>
      <c r="W1740" s="620" t="e">
        <f t="shared" si="40"/>
        <v>#DIV/0!</v>
      </c>
    </row>
    <row r="1741" spans="21:23" x14ac:dyDescent="0.2">
      <c r="U1741" s="616"/>
      <c r="W1741" s="620" t="e">
        <f t="shared" si="40"/>
        <v>#DIV/0!</v>
      </c>
    </row>
    <row r="1742" spans="21:23" x14ac:dyDescent="0.2">
      <c r="U1742" s="616"/>
      <c r="W1742" s="620" t="e">
        <f t="shared" si="40"/>
        <v>#DIV/0!</v>
      </c>
    </row>
    <row r="1743" spans="21:23" x14ac:dyDescent="0.2">
      <c r="U1743" s="616"/>
      <c r="W1743" s="620" t="e">
        <f t="shared" si="40"/>
        <v>#DIV/0!</v>
      </c>
    </row>
    <row r="1744" spans="21:23" x14ac:dyDescent="0.2">
      <c r="U1744" s="616"/>
      <c r="W1744" s="620" t="e">
        <f t="shared" si="40"/>
        <v>#DIV/0!</v>
      </c>
    </row>
    <row r="1745" spans="21:23" x14ac:dyDescent="0.2">
      <c r="U1745" s="616"/>
      <c r="W1745" s="620" t="e">
        <f t="shared" si="40"/>
        <v>#DIV/0!</v>
      </c>
    </row>
    <row r="1746" spans="21:23" x14ac:dyDescent="0.2">
      <c r="U1746" s="616"/>
      <c r="W1746" s="620" t="e">
        <f t="shared" si="40"/>
        <v>#DIV/0!</v>
      </c>
    </row>
    <row r="1747" spans="21:23" x14ac:dyDescent="0.2">
      <c r="U1747" s="616"/>
      <c r="W1747" s="620" t="e">
        <f t="shared" si="40"/>
        <v>#DIV/0!</v>
      </c>
    </row>
    <row r="1748" spans="21:23" x14ac:dyDescent="0.2">
      <c r="U1748" s="616"/>
      <c r="W1748" s="620" t="e">
        <f t="shared" si="40"/>
        <v>#DIV/0!</v>
      </c>
    </row>
    <row r="1749" spans="21:23" x14ac:dyDescent="0.2">
      <c r="U1749" s="616"/>
      <c r="W1749" s="620" t="e">
        <f t="shared" si="40"/>
        <v>#DIV/0!</v>
      </c>
    </row>
    <row r="1750" spans="21:23" x14ac:dyDescent="0.2">
      <c r="U1750" s="616"/>
      <c r="W1750" s="620" t="e">
        <f t="shared" si="40"/>
        <v>#DIV/0!</v>
      </c>
    </row>
    <row r="1751" spans="21:23" x14ac:dyDescent="0.2">
      <c r="U1751" s="616"/>
      <c r="W1751" s="620" t="e">
        <f t="shared" si="40"/>
        <v>#DIV/0!</v>
      </c>
    </row>
    <row r="1752" spans="21:23" x14ac:dyDescent="0.2">
      <c r="U1752" s="616"/>
      <c r="W1752" s="620" t="e">
        <f t="shared" si="40"/>
        <v>#DIV/0!</v>
      </c>
    </row>
    <row r="1753" spans="21:23" x14ac:dyDescent="0.2">
      <c r="U1753" s="616"/>
      <c r="W1753" s="620" t="e">
        <f t="shared" si="40"/>
        <v>#DIV/0!</v>
      </c>
    </row>
    <row r="1754" spans="21:23" x14ac:dyDescent="0.2">
      <c r="U1754" s="616"/>
      <c r="W1754" s="620" t="e">
        <f t="shared" si="40"/>
        <v>#DIV/0!</v>
      </c>
    </row>
    <row r="1755" spans="21:23" x14ac:dyDescent="0.2">
      <c r="U1755" s="616"/>
      <c r="W1755" s="620" t="e">
        <f t="shared" si="40"/>
        <v>#DIV/0!</v>
      </c>
    </row>
    <row r="1756" spans="21:23" x14ac:dyDescent="0.2">
      <c r="U1756" s="616"/>
      <c r="W1756" s="620" t="e">
        <f t="shared" si="40"/>
        <v>#DIV/0!</v>
      </c>
    </row>
    <row r="1757" spans="21:23" x14ac:dyDescent="0.2">
      <c r="U1757" s="616"/>
      <c r="W1757" s="620" t="e">
        <f t="shared" si="40"/>
        <v>#DIV/0!</v>
      </c>
    </row>
    <row r="1758" spans="21:23" x14ac:dyDescent="0.2">
      <c r="U1758" s="616"/>
      <c r="W1758" s="620" t="e">
        <f t="shared" si="40"/>
        <v>#DIV/0!</v>
      </c>
    </row>
    <row r="1759" spans="21:23" x14ac:dyDescent="0.2">
      <c r="U1759" s="616"/>
      <c r="W1759" s="620" t="e">
        <f t="shared" si="40"/>
        <v>#DIV/0!</v>
      </c>
    </row>
    <row r="1760" spans="21:23" x14ac:dyDescent="0.2">
      <c r="U1760" s="616"/>
      <c r="W1760" s="620" t="e">
        <f t="shared" si="40"/>
        <v>#DIV/0!</v>
      </c>
    </row>
    <row r="1761" spans="21:23" x14ac:dyDescent="0.2">
      <c r="U1761" s="616"/>
      <c r="W1761" s="620" t="e">
        <f t="shared" si="40"/>
        <v>#DIV/0!</v>
      </c>
    </row>
    <row r="1762" spans="21:23" x14ac:dyDescent="0.2">
      <c r="U1762" s="616"/>
      <c r="W1762" s="620" t="e">
        <f t="shared" si="40"/>
        <v>#DIV/0!</v>
      </c>
    </row>
    <row r="1763" spans="21:23" x14ac:dyDescent="0.2">
      <c r="U1763" s="616"/>
      <c r="W1763" s="620" t="e">
        <f t="shared" si="40"/>
        <v>#DIV/0!</v>
      </c>
    </row>
    <row r="1764" spans="21:23" x14ac:dyDescent="0.2">
      <c r="U1764" s="616"/>
      <c r="W1764" s="620" t="e">
        <f t="shared" si="40"/>
        <v>#DIV/0!</v>
      </c>
    </row>
    <row r="1765" spans="21:23" x14ac:dyDescent="0.2">
      <c r="U1765" s="616"/>
      <c r="W1765" s="620" t="e">
        <f t="shared" si="40"/>
        <v>#DIV/0!</v>
      </c>
    </row>
    <row r="1766" spans="21:23" x14ac:dyDescent="0.2">
      <c r="U1766" s="616"/>
      <c r="W1766" s="620" t="e">
        <f t="shared" si="40"/>
        <v>#DIV/0!</v>
      </c>
    </row>
    <row r="1767" spans="21:23" x14ac:dyDescent="0.2">
      <c r="U1767" s="616"/>
      <c r="W1767" s="620" t="e">
        <f t="shared" si="40"/>
        <v>#DIV/0!</v>
      </c>
    </row>
    <row r="1768" spans="21:23" x14ac:dyDescent="0.2">
      <c r="U1768" s="616"/>
      <c r="W1768" s="620" t="e">
        <f t="shared" si="40"/>
        <v>#DIV/0!</v>
      </c>
    </row>
    <row r="1769" spans="21:23" x14ac:dyDescent="0.2">
      <c r="U1769" s="616"/>
      <c r="W1769" s="620" t="e">
        <f t="shared" si="40"/>
        <v>#DIV/0!</v>
      </c>
    </row>
    <row r="1770" spans="21:23" x14ac:dyDescent="0.2">
      <c r="U1770" s="616"/>
      <c r="W1770" s="620" t="e">
        <f t="shared" si="40"/>
        <v>#DIV/0!</v>
      </c>
    </row>
    <row r="1771" spans="21:23" x14ac:dyDescent="0.2">
      <c r="U1771" s="616"/>
      <c r="W1771" s="620" t="e">
        <f t="shared" si="40"/>
        <v>#DIV/0!</v>
      </c>
    </row>
    <row r="1772" spans="21:23" x14ac:dyDescent="0.2">
      <c r="U1772" s="616"/>
      <c r="W1772" s="620" t="e">
        <f t="shared" si="40"/>
        <v>#DIV/0!</v>
      </c>
    </row>
    <row r="1773" spans="21:23" x14ac:dyDescent="0.2">
      <c r="U1773" s="616"/>
      <c r="W1773" s="620" t="e">
        <f t="shared" si="40"/>
        <v>#DIV/0!</v>
      </c>
    </row>
    <row r="1774" spans="21:23" x14ac:dyDescent="0.2">
      <c r="U1774" s="616"/>
      <c r="W1774" s="620" t="e">
        <f t="shared" si="40"/>
        <v>#DIV/0!</v>
      </c>
    </row>
    <row r="1775" spans="21:23" x14ac:dyDescent="0.2">
      <c r="U1775" s="616"/>
      <c r="W1775" s="620" t="e">
        <f t="shared" si="40"/>
        <v>#DIV/0!</v>
      </c>
    </row>
    <row r="1776" spans="21:23" x14ac:dyDescent="0.2">
      <c r="U1776" s="616"/>
      <c r="W1776" s="620" t="e">
        <f t="shared" si="40"/>
        <v>#DIV/0!</v>
      </c>
    </row>
    <row r="1777" spans="21:23" x14ac:dyDescent="0.2">
      <c r="U1777" s="616"/>
      <c r="W1777" s="620" t="e">
        <f t="shared" si="40"/>
        <v>#DIV/0!</v>
      </c>
    </row>
    <row r="1778" spans="21:23" x14ac:dyDescent="0.2">
      <c r="U1778" s="616"/>
      <c r="W1778" s="620" t="e">
        <f t="shared" si="40"/>
        <v>#DIV/0!</v>
      </c>
    </row>
    <row r="1779" spans="21:23" x14ac:dyDescent="0.2">
      <c r="U1779" s="616"/>
      <c r="W1779" s="620" t="e">
        <f t="shared" si="40"/>
        <v>#DIV/0!</v>
      </c>
    </row>
    <row r="1780" spans="21:23" x14ac:dyDescent="0.2">
      <c r="U1780" s="616"/>
      <c r="W1780" s="620" t="e">
        <f t="shared" si="40"/>
        <v>#DIV/0!</v>
      </c>
    </row>
    <row r="1781" spans="21:23" x14ac:dyDescent="0.2">
      <c r="U1781" s="616"/>
      <c r="W1781" s="620" t="e">
        <f t="shared" si="40"/>
        <v>#DIV/0!</v>
      </c>
    </row>
    <row r="1782" spans="21:23" x14ac:dyDescent="0.2">
      <c r="U1782" s="616"/>
      <c r="W1782" s="620" t="e">
        <f t="shared" si="40"/>
        <v>#DIV/0!</v>
      </c>
    </row>
    <row r="1783" spans="21:23" x14ac:dyDescent="0.2">
      <c r="U1783" s="616"/>
      <c r="W1783" s="620" t="e">
        <f t="shared" si="40"/>
        <v>#DIV/0!</v>
      </c>
    </row>
    <row r="1784" spans="21:23" x14ac:dyDescent="0.2">
      <c r="U1784" s="616"/>
      <c r="W1784" s="620" t="e">
        <f t="shared" si="40"/>
        <v>#DIV/0!</v>
      </c>
    </row>
    <row r="1785" spans="21:23" x14ac:dyDescent="0.2">
      <c r="U1785" s="616"/>
      <c r="W1785" s="620" t="e">
        <f t="shared" si="40"/>
        <v>#DIV/0!</v>
      </c>
    </row>
    <row r="1786" spans="21:23" x14ac:dyDescent="0.2">
      <c r="U1786" s="616"/>
      <c r="W1786" s="620" t="e">
        <f t="shared" si="40"/>
        <v>#DIV/0!</v>
      </c>
    </row>
    <row r="1787" spans="21:23" x14ac:dyDescent="0.2">
      <c r="U1787" s="616"/>
      <c r="W1787" s="620" t="e">
        <f t="shared" si="40"/>
        <v>#DIV/0!</v>
      </c>
    </row>
    <row r="1788" spans="21:23" x14ac:dyDescent="0.2">
      <c r="U1788" s="616"/>
      <c r="W1788" s="620" t="e">
        <f t="shared" si="40"/>
        <v>#DIV/0!</v>
      </c>
    </row>
    <row r="1789" spans="21:23" x14ac:dyDescent="0.2">
      <c r="U1789" s="616"/>
      <c r="W1789" s="620" t="e">
        <f t="shared" si="40"/>
        <v>#DIV/0!</v>
      </c>
    </row>
    <row r="1790" spans="21:23" x14ac:dyDescent="0.2">
      <c r="U1790" s="616"/>
      <c r="W1790" s="620" t="e">
        <f t="shared" si="40"/>
        <v>#DIV/0!</v>
      </c>
    </row>
    <row r="1791" spans="21:23" x14ac:dyDescent="0.2">
      <c r="U1791" s="616"/>
      <c r="W1791" s="620" t="e">
        <f t="shared" si="40"/>
        <v>#DIV/0!</v>
      </c>
    </row>
    <row r="1792" spans="21:23" x14ac:dyDescent="0.2">
      <c r="U1792" s="616"/>
      <c r="W1792" s="620" t="e">
        <f t="shared" si="40"/>
        <v>#DIV/0!</v>
      </c>
    </row>
    <row r="1793" spans="21:23" x14ac:dyDescent="0.2">
      <c r="U1793" s="616"/>
      <c r="W1793" s="620" t="e">
        <f t="shared" si="40"/>
        <v>#DIV/0!</v>
      </c>
    </row>
    <row r="1794" spans="21:23" x14ac:dyDescent="0.2">
      <c r="U1794" s="616"/>
      <c r="W1794" s="620" t="e">
        <f t="shared" si="40"/>
        <v>#DIV/0!</v>
      </c>
    </row>
    <row r="1795" spans="21:23" x14ac:dyDescent="0.2">
      <c r="U1795" s="616"/>
      <c r="W1795" s="620" t="e">
        <f t="shared" si="40"/>
        <v>#DIV/0!</v>
      </c>
    </row>
    <row r="1796" spans="21:23" x14ac:dyDescent="0.2">
      <c r="U1796" s="616"/>
      <c r="W1796" s="620" t="e">
        <f t="shared" ref="W1796:W1859" si="41">AVERAGE($V$4:$V$2517)</f>
        <v>#DIV/0!</v>
      </c>
    </row>
    <row r="1797" spans="21:23" x14ac:dyDescent="0.2">
      <c r="U1797" s="616"/>
      <c r="W1797" s="620" t="e">
        <f t="shared" si="41"/>
        <v>#DIV/0!</v>
      </c>
    </row>
    <row r="1798" spans="21:23" x14ac:dyDescent="0.2">
      <c r="U1798" s="616"/>
      <c r="W1798" s="620" t="e">
        <f t="shared" si="41"/>
        <v>#DIV/0!</v>
      </c>
    </row>
    <row r="1799" spans="21:23" x14ac:dyDescent="0.2">
      <c r="U1799" s="616"/>
      <c r="W1799" s="620" t="e">
        <f t="shared" si="41"/>
        <v>#DIV/0!</v>
      </c>
    </row>
    <row r="1800" spans="21:23" x14ac:dyDescent="0.2">
      <c r="U1800" s="616"/>
      <c r="W1800" s="620" t="e">
        <f t="shared" si="41"/>
        <v>#DIV/0!</v>
      </c>
    </row>
    <row r="1801" spans="21:23" x14ac:dyDescent="0.2">
      <c r="U1801" s="616"/>
      <c r="W1801" s="620" t="e">
        <f t="shared" si="41"/>
        <v>#DIV/0!</v>
      </c>
    </row>
    <row r="1802" spans="21:23" x14ac:dyDescent="0.2">
      <c r="U1802" s="616"/>
      <c r="W1802" s="620" t="e">
        <f t="shared" si="41"/>
        <v>#DIV/0!</v>
      </c>
    </row>
    <row r="1803" spans="21:23" x14ac:dyDescent="0.2">
      <c r="U1803" s="616"/>
      <c r="W1803" s="620" t="e">
        <f t="shared" si="41"/>
        <v>#DIV/0!</v>
      </c>
    </row>
    <row r="1804" spans="21:23" x14ac:dyDescent="0.2">
      <c r="U1804" s="616"/>
      <c r="W1804" s="620" t="e">
        <f t="shared" si="41"/>
        <v>#DIV/0!</v>
      </c>
    </row>
    <row r="1805" spans="21:23" x14ac:dyDescent="0.2">
      <c r="U1805" s="616"/>
      <c r="W1805" s="620" t="e">
        <f t="shared" si="41"/>
        <v>#DIV/0!</v>
      </c>
    </row>
    <row r="1806" spans="21:23" x14ac:dyDescent="0.2">
      <c r="U1806" s="616"/>
      <c r="W1806" s="620" t="e">
        <f t="shared" si="41"/>
        <v>#DIV/0!</v>
      </c>
    </row>
    <row r="1807" spans="21:23" x14ac:dyDescent="0.2">
      <c r="U1807" s="616"/>
      <c r="W1807" s="620" t="e">
        <f t="shared" si="41"/>
        <v>#DIV/0!</v>
      </c>
    </row>
    <row r="1808" spans="21:23" x14ac:dyDescent="0.2">
      <c r="U1808" s="616"/>
      <c r="W1808" s="620" t="e">
        <f t="shared" si="41"/>
        <v>#DIV/0!</v>
      </c>
    </row>
    <row r="1809" spans="21:23" x14ac:dyDescent="0.2">
      <c r="U1809" s="616"/>
      <c r="W1809" s="620" t="e">
        <f t="shared" si="41"/>
        <v>#DIV/0!</v>
      </c>
    </row>
    <row r="1810" spans="21:23" x14ac:dyDescent="0.2">
      <c r="U1810" s="616"/>
      <c r="W1810" s="620" t="e">
        <f t="shared" si="41"/>
        <v>#DIV/0!</v>
      </c>
    </row>
    <row r="1811" spans="21:23" x14ac:dyDescent="0.2">
      <c r="U1811" s="616"/>
      <c r="W1811" s="620" t="e">
        <f t="shared" si="41"/>
        <v>#DIV/0!</v>
      </c>
    </row>
    <row r="1812" spans="21:23" x14ac:dyDescent="0.2">
      <c r="U1812" s="616"/>
      <c r="W1812" s="620" t="e">
        <f t="shared" si="41"/>
        <v>#DIV/0!</v>
      </c>
    </row>
    <row r="1813" spans="21:23" x14ac:dyDescent="0.2">
      <c r="U1813" s="616"/>
      <c r="W1813" s="620" t="e">
        <f t="shared" si="41"/>
        <v>#DIV/0!</v>
      </c>
    </row>
    <row r="1814" spans="21:23" x14ac:dyDescent="0.2">
      <c r="U1814" s="616"/>
      <c r="W1814" s="620" t="e">
        <f t="shared" si="41"/>
        <v>#DIV/0!</v>
      </c>
    </row>
    <row r="1815" spans="21:23" x14ac:dyDescent="0.2">
      <c r="U1815" s="616"/>
      <c r="W1815" s="620" t="e">
        <f t="shared" si="41"/>
        <v>#DIV/0!</v>
      </c>
    </row>
    <row r="1816" spans="21:23" x14ac:dyDescent="0.2">
      <c r="U1816" s="616"/>
      <c r="W1816" s="620" t="e">
        <f t="shared" si="41"/>
        <v>#DIV/0!</v>
      </c>
    </row>
    <row r="1817" spans="21:23" x14ac:dyDescent="0.2">
      <c r="U1817" s="616"/>
      <c r="W1817" s="620" t="e">
        <f t="shared" si="41"/>
        <v>#DIV/0!</v>
      </c>
    </row>
    <row r="1818" spans="21:23" x14ac:dyDescent="0.2">
      <c r="U1818" s="616"/>
      <c r="W1818" s="620" t="e">
        <f t="shared" si="41"/>
        <v>#DIV/0!</v>
      </c>
    </row>
    <row r="1819" spans="21:23" x14ac:dyDescent="0.2">
      <c r="U1819" s="616"/>
      <c r="W1819" s="620" t="e">
        <f t="shared" si="41"/>
        <v>#DIV/0!</v>
      </c>
    </row>
    <row r="1820" spans="21:23" x14ac:dyDescent="0.2">
      <c r="U1820" s="616"/>
      <c r="W1820" s="620" t="e">
        <f t="shared" si="41"/>
        <v>#DIV/0!</v>
      </c>
    </row>
    <row r="1821" spans="21:23" x14ac:dyDescent="0.2">
      <c r="U1821" s="616"/>
      <c r="W1821" s="620" t="e">
        <f t="shared" si="41"/>
        <v>#DIV/0!</v>
      </c>
    </row>
    <row r="1822" spans="21:23" x14ac:dyDescent="0.2">
      <c r="U1822" s="616"/>
      <c r="W1822" s="620" t="e">
        <f t="shared" si="41"/>
        <v>#DIV/0!</v>
      </c>
    </row>
    <row r="1823" spans="21:23" x14ac:dyDescent="0.2">
      <c r="U1823" s="616"/>
      <c r="W1823" s="620" t="e">
        <f t="shared" si="41"/>
        <v>#DIV/0!</v>
      </c>
    </row>
    <row r="1824" spans="21:23" x14ac:dyDescent="0.2">
      <c r="U1824" s="616"/>
      <c r="W1824" s="620" t="e">
        <f t="shared" si="41"/>
        <v>#DIV/0!</v>
      </c>
    </row>
    <row r="1825" spans="21:23" x14ac:dyDescent="0.2">
      <c r="U1825" s="616"/>
      <c r="W1825" s="620" t="e">
        <f t="shared" si="41"/>
        <v>#DIV/0!</v>
      </c>
    </row>
    <row r="1826" spans="21:23" x14ac:dyDescent="0.2">
      <c r="U1826" s="616"/>
      <c r="W1826" s="620" t="e">
        <f t="shared" si="41"/>
        <v>#DIV/0!</v>
      </c>
    </row>
    <row r="1827" spans="21:23" x14ac:dyDescent="0.2">
      <c r="U1827" s="616"/>
      <c r="W1827" s="620" t="e">
        <f t="shared" si="41"/>
        <v>#DIV/0!</v>
      </c>
    </row>
    <row r="1828" spans="21:23" x14ac:dyDescent="0.2">
      <c r="U1828" s="616"/>
      <c r="W1828" s="620" t="e">
        <f t="shared" si="41"/>
        <v>#DIV/0!</v>
      </c>
    </row>
    <row r="1829" spans="21:23" x14ac:dyDescent="0.2">
      <c r="U1829" s="616"/>
      <c r="W1829" s="620" t="e">
        <f t="shared" si="41"/>
        <v>#DIV/0!</v>
      </c>
    </row>
    <row r="1830" spans="21:23" x14ac:dyDescent="0.2">
      <c r="U1830" s="616"/>
      <c r="W1830" s="620" t="e">
        <f t="shared" si="41"/>
        <v>#DIV/0!</v>
      </c>
    </row>
    <row r="1831" spans="21:23" x14ac:dyDescent="0.2">
      <c r="U1831" s="616"/>
      <c r="W1831" s="620" t="e">
        <f t="shared" si="41"/>
        <v>#DIV/0!</v>
      </c>
    </row>
    <row r="1832" spans="21:23" x14ac:dyDescent="0.2">
      <c r="U1832" s="616"/>
      <c r="W1832" s="620" t="e">
        <f t="shared" si="41"/>
        <v>#DIV/0!</v>
      </c>
    </row>
    <row r="1833" spans="21:23" x14ac:dyDescent="0.2">
      <c r="U1833" s="616"/>
      <c r="W1833" s="620" t="e">
        <f t="shared" si="41"/>
        <v>#DIV/0!</v>
      </c>
    </row>
    <row r="1834" spans="21:23" x14ac:dyDescent="0.2">
      <c r="U1834" s="616"/>
      <c r="W1834" s="620" t="e">
        <f t="shared" si="41"/>
        <v>#DIV/0!</v>
      </c>
    </row>
    <row r="1835" spans="21:23" x14ac:dyDescent="0.2">
      <c r="U1835" s="616"/>
      <c r="W1835" s="620" t="e">
        <f t="shared" si="41"/>
        <v>#DIV/0!</v>
      </c>
    </row>
    <row r="1836" spans="21:23" x14ac:dyDescent="0.2">
      <c r="U1836" s="616"/>
      <c r="W1836" s="620" t="e">
        <f t="shared" si="41"/>
        <v>#DIV/0!</v>
      </c>
    </row>
    <row r="1837" spans="21:23" x14ac:dyDescent="0.2">
      <c r="U1837" s="616"/>
      <c r="W1837" s="620" t="e">
        <f t="shared" si="41"/>
        <v>#DIV/0!</v>
      </c>
    </row>
    <row r="1838" spans="21:23" x14ac:dyDescent="0.2">
      <c r="U1838" s="616"/>
      <c r="W1838" s="620" t="e">
        <f t="shared" si="41"/>
        <v>#DIV/0!</v>
      </c>
    </row>
    <row r="1839" spans="21:23" x14ac:dyDescent="0.2">
      <c r="U1839" s="616"/>
      <c r="W1839" s="620" t="e">
        <f t="shared" si="41"/>
        <v>#DIV/0!</v>
      </c>
    </row>
    <row r="1840" spans="21:23" x14ac:dyDescent="0.2">
      <c r="U1840" s="616"/>
      <c r="W1840" s="620" t="e">
        <f t="shared" si="41"/>
        <v>#DIV/0!</v>
      </c>
    </row>
    <row r="1841" spans="21:23" x14ac:dyDescent="0.2">
      <c r="U1841" s="616"/>
      <c r="W1841" s="620" t="e">
        <f t="shared" si="41"/>
        <v>#DIV/0!</v>
      </c>
    </row>
    <row r="1842" spans="21:23" x14ac:dyDescent="0.2">
      <c r="U1842" s="616"/>
      <c r="W1842" s="620" t="e">
        <f t="shared" si="41"/>
        <v>#DIV/0!</v>
      </c>
    </row>
    <row r="1843" spans="21:23" x14ac:dyDescent="0.2">
      <c r="U1843" s="616"/>
      <c r="W1843" s="620" t="e">
        <f t="shared" si="41"/>
        <v>#DIV/0!</v>
      </c>
    </row>
    <row r="1844" spans="21:23" x14ac:dyDescent="0.2">
      <c r="U1844" s="616"/>
      <c r="W1844" s="620" t="e">
        <f t="shared" si="41"/>
        <v>#DIV/0!</v>
      </c>
    </row>
    <row r="1845" spans="21:23" x14ac:dyDescent="0.2">
      <c r="U1845" s="616"/>
      <c r="W1845" s="620" t="e">
        <f t="shared" si="41"/>
        <v>#DIV/0!</v>
      </c>
    </row>
    <row r="1846" spans="21:23" x14ac:dyDescent="0.2">
      <c r="U1846" s="616"/>
      <c r="W1846" s="620" t="e">
        <f t="shared" si="41"/>
        <v>#DIV/0!</v>
      </c>
    </row>
    <row r="1847" spans="21:23" x14ac:dyDescent="0.2">
      <c r="U1847" s="616"/>
      <c r="W1847" s="620" t="e">
        <f t="shared" si="41"/>
        <v>#DIV/0!</v>
      </c>
    </row>
    <row r="1848" spans="21:23" x14ac:dyDescent="0.2">
      <c r="U1848" s="616"/>
      <c r="W1848" s="620" t="e">
        <f t="shared" si="41"/>
        <v>#DIV/0!</v>
      </c>
    </row>
    <row r="1849" spans="21:23" x14ac:dyDescent="0.2">
      <c r="U1849" s="616"/>
      <c r="W1849" s="620" t="e">
        <f t="shared" si="41"/>
        <v>#DIV/0!</v>
      </c>
    </row>
    <row r="1850" spans="21:23" x14ac:dyDescent="0.2">
      <c r="U1850" s="616"/>
      <c r="W1850" s="620" t="e">
        <f t="shared" si="41"/>
        <v>#DIV/0!</v>
      </c>
    </row>
    <row r="1851" spans="21:23" x14ac:dyDescent="0.2">
      <c r="U1851" s="616"/>
      <c r="W1851" s="620" t="e">
        <f t="shared" si="41"/>
        <v>#DIV/0!</v>
      </c>
    </row>
    <row r="1852" spans="21:23" x14ac:dyDescent="0.2">
      <c r="U1852" s="616"/>
      <c r="W1852" s="620" t="e">
        <f t="shared" si="41"/>
        <v>#DIV/0!</v>
      </c>
    </row>
    <row r="1853" spans="21:23" x14ac:dyDescent="0.2">
      <c r="U1853" s="616"/>
      <c r="W1853" s="620" t="e">
        <f t="shared" si="41"/>
        <v>#DIV/0!</v>
      </c>
    </row>
    <row r="1854" spans="21:23" x14ac:dyDescent="0.2">
      <c r="U1854" s="616"/>
      <c r="W1854" s="620" t="e">
        <f t="shared" si="41"/>
        <v>#DIV/0!</v>
      </c>
    </row>
    <row r="1855" spans="21:23" x14ac:dyDescent="0.2">
      <c r="U1855" s="616"/>
      <c r="W1855" s="620" t="e">
        <f t="shared" si="41"/>
        <v>#DIV/0!</v>
      </c>
    </row>
    <row r="1856" spans="21:23" x14ac:dyDescent="0.2">
      <c r="U1856" s="616"/>
      <c r="W1856" s="620" t="e">
        <f t="shared" si="41"/>
        <v>#DIV/0!</v>
      </c>
    </row>
    <row r="1857" spans="21:23" x14ac:dyDescent="0.2">
      <c r="U1857" s="616"/>
      <c r="W1857" s="620" t="e">
        <f t="shared" si="41"/>
        <v>#DIV/0!</v>
      </c>
    </row>
    <row r="1858" spans="21:23" x14ac:dyDescent="0.2">
      <c r="U1858" s="616"/>
      <c r="W1858" s="620" t="e">
        <f t="shared" si="41"/>
        <v>#DIV/0!</v>
      </c>
    </row>
    <row r="1859" spans="21:23" x14ac:dyDescent="0.2">
      <c r="U1859" s="616"/>
      <c r="W1859" s="620" t="e">
        <f t="shared" si="41"/>
        <v>#DIV/0!</v>
      </c>
    </row>
    <row r="1860" spans="21:23" x14ac:dyDescent="0.2">
      <c r="U1860" s="616"/>
      <c r="W1860" s="620" t="e">
        <f t="shared" ref="W1860:W1923" si="42">AVERAGE($V$4:$V$2517)</f>
        <v>#DIV/0!</v>
      </c>
    </row>
    <row r="1861" spans="21:23" x14ac:dyDescent="0.2">
      <c r="U1861" s="616"/>
      <c r="W1861" s="620" t="e">
        <f t="shared" si="42"/>
        <v>#DIV/0!</v>
      </c>
    </row>
    <row r="1862" spans="21:23" x14ac:dyDescent="0.2">
      <c r="U1862" s="616"/>
      <c r="W1862" s="620" t="e">
        <f t="shared" si="42"/>
        <v>#DIV/0!</v>
      </c>
    </row>
    <row r="1863" spans="21:23" x14ac:dyDescent="0.2">
      <c r="U1863" s="616"/>
      <c r="W1863" s="620" t="e">
        <f t="shared" si="42"/>
        <v>#DIV/0!</v>
      </c>
    </row>
    <row r="1864" spans="21:23" x14ac:dyDescent="0.2">
      <c r="U1864" s="616"/>
      <c r="W1864" s="620" t="e">
        <f t="shared" si="42"/>
        <v>#DIV/0!</v>
      </c>
    </row>
    <row r="1865" spans="21:23" x14ac:dyDescent="0.2">
      <c r="U1865" s="616"/>
      <c r="W1865" s="620" t="e">
        <f t="shared" si="42"/>
        <v>#DIV/0!</v>
      </c>
    </row>
    <row r="1866" spans="21:23" x14ac:dyDescent="0.2">
      <c r="U1866" s="616"/>
      <c r="W1866" s="620" t="e">
        <f t="shared" si="42"/>
        <v>#DIV/0!</v>
      </c>
    </row>
    <row r="1867" spans="21:23" x14ac:dyDescent="0.2">
      <c r="U1867" s="616"/>
      <c r="W1867" s="620" t="e">
        <f t="shared" si="42"/>
        <v>#DIV/0!</v>
      </c>
    </row>
    <row r="1868" spans="21:23" x14ac:dyDescent="0.2">
      <c r="U1868" s="616"/>
      <c r="W1868" s="620" t="e">
        <f t="shared" si="42"/>
        <v>#DIV/0!</v>
      </c>
    </row>
    <row r="1869" spans="21:23" x14ac:dyDescent="0.2">
      <c r="U1869" s="616"/>
      <c r="W1869" s="620" t="e">
        <f t="shared" si="42"/>
        <v>#DIV/0!</v>
      </c>
    </row>
    <row r="1870" spans="21:23" x14ac:dyDescent="0.2">
      <c r="U1870" s="616"/>
      <c r="W1870" s="620" t="e">
        <f t="shared" si="42"/>
        <v>#DIV/0!</v>
      </c>
    </row>
    <row r="1871" spans="21:23" x14ac:dyDescent="0.2">
      <c r="U1871" s="616"/>
      <c r="W1871" s="620" t="e">
        <f t="shared" si="42"/>
        <v>#DIV/0!</v>
      </c>
    </row>
    <row r="1872" spans="21:23" x14ac:dyDescent="0.2">
      <c r="U1872" s="616"/>
      <c r="W1872" s="620" t="e">
        <f t="shared" si="42"/>
        <v>#DIV/0!</v>
      </c>
    </row>
    <row r="1873" spans="21:23" x14ac:dyDescent="0.2">
      <c r="U1873" s="616"/>
      <c r="W1873" s="620" t="e">
        <f t="shared" si="42"/>
        <v>#DIV/0!</v>
      </c>
    </row>
    <row r="1874" spans="21:23" x14ac:dyDescent="0.2">
      <c r="U1874" s="616"/>
      <c r="W1874" s="620" t="e">
        <f t="shared" si="42"/>
        <v>#DIV/0!</v>
      </c>
    </row>
    <row r="1875" spans="21:23" x14ac:dyDescent="0.2">
      <c r="U1875" s="616"/>
      <c r="W1875" s="620" t="e">
        <f t="shared" si="42"/>
        <v>#DIV/0!</v>
      </c>
    </row>
    <row r="1876" spans="21:23" x14ac:dyDescent="0.2">
      <c r="U1876" s="616"/>
      <c r="W1876" s="620" t="e">
        <f t="shared" si="42"/>
        <v>#DIV/0!</v>
      </c>
    </row>
    <row r="1877" spans="21:23" x14ac:dyDescent="0.2">
      <c r="U1877" s="616"/>
      <c r="W1877" s="620" t="e">
        <f t="shared" si="42"/>
        <v>#DIV/0!</v>
      </c>
    </row>
    <row r="1878" spans="21:23" x14ac:dyDescent="0.2">
      <c r="U1878" s="616"/>
      <c r="W1878" s="620" t="e">
        <f t="shared" si="42"/>
        <v>#DIV/0!</v>
      </c>
    </row>
    <row r="1879" spans="21:23" x14ac:dyDescent="0.2">
      <c r="U1879" s="616"/>
      <c r="W1879" s="620" t="e">
        <f t="shared" si="42"/>
        <v>#DIV/0!</v>
      </c>
    </row>
    <row r="1880" spans="21:23" x14ac:dyDescent="0.2">
      <c r="U1880" s="616"/>
      <c r="W1880" s="620" t="e">
        <f t="shared" si="42"/>
        <v>#DIV/0!</v>
      </c>
    </row>
    <row r="1881" spans="21:23" x14ac:dyDescent="0.2">
      <c r="U1881" s="616"/>
      <c r="W1881" s="620" t="e">
        <f t="shared" si="42"/>
        <v>#DIV/0!</v>
      </c>
    </row>
    <row r="1882" spans="21:23" x14ac:dyDescent="0.2">
      <c r="U1882" s="616"/>
      <c r="W1882" s="620" t="e">
        <f t="shared" si="42"/>
        <v>#DIV/0!</v>
      </c>
    </row>
    <row r="1883" spans="21:23" x14ac:dyDescent="0.2">
      <c r="U1883" s="616"/>
      <c r="W1883" s="620" t="e">
        <f t="shared" si="42"/>
        <v>#DIV/0!</v>
      </c>
    </row>
    <row r="1884" spans="21:23" x14ac:dyDescent="0.2">
      <c r="U1884" s="616"/>
      <c r="W1884" s="620" t="e">
        <f t="shared" si="42"/>
        <v>#DIV/0!</v>
      </c>
    </row>
    <row r="1885" spans="21:23" x14ac:dyDescent="0.2">
      <c r="U1885" s="616"/>
      <c r="W1885" s="620" t="e">
        <f t="shared" si="42"/>
        <v>#DIV/0!</v>
      </c>
    </row>
    <row r="1886" spans="21:23" x14ac:dyDescent="0.2">
      <c r="U1886" s="616"/>
      <c r="W1886" s="620" t="e">
        <f t="shared" si="42"/>
        <v>#DIV/0!</v>
      </c>
    </row>
    <row r="1887" spans="21:23" x14ac:dyDescent="0.2">
      <c r="U1887" s="616"/>
      <c r="W1887" s="620" t="e">
        <f t="shared" si="42"/>
        <v>#DIV/0!</v>
      </c>
    </row>
    <row r="1888" spans="21:23" x14ac:dyDescent="0.2">
      <c r="U1888" s="616"/>
      <c r="W1888" s="620" t="e">
        <f t="shared" si="42"/>
        <v>#DIV/0!</v>
      </c>
    </row>
    <row r="1889" spans="21:23" x14ac:dyDescent="0.2">
      <c r="U1889" s="616"/>
      <c r="W1889" s="620" t="e">
        <f t="shared" si="42"/>
        <v>#DIV/0!</v>
      </c>
    </row>
    <row r="1890" spans="21:23" x14ac:dyDescent="0.2">
      <c r="U1890" s="616"/>
      <c r="W1890" s="620" t="e">
        <f t="shared" si="42"/>
        <v>#DIV/0!</v>
      </c>
    </row>
    <row r="1891" spans="21:23" x14ac:dyDescent="0.2">
      <c r="U1891" s="616"/>
      <c r="W1891" s="620" t="e">
        <f t="shared" si="42"/>
        <v>#DIV/0!</v>
      </c>
    </row>
    <row r="1892" spans="21:23" x14ac:dyDescent="0.2">
      <c r="U1892" s="616"/>
      <c r="W1892" s="620" t="e">
        <f t="shared" si="42"/>
        <v>#DIV/0!</v>
      </c>
    </row>
    <row r="1893" spans="21:23" x14ac:dyDescent="0.2">
      <c r="U1893" s="616"/>
      <c r="W1893" s="620" t="e">
        <f t="shared" si="42"/>
        <v>#DIV/0!</v>
      </c>
    </row>
    <row r="1894" spans="21:23" x14ac:dyDescent="0.2">
      <c r="U1894" s="616"/>
      <c r="W1894" s="620" t="e">
        <f t="shared" si="42"/>
        <v>#DIV/0!</v>
      </c>
    </row>
    <row r="1895" spans="21:23" x14ac:dyDescent="0.2">
      <c r="U1895" s="616"/>
      <c r="W1895" s="620" t="e">
        <f t="shared" si="42"/>
        <v>#DIV/0!</v>
      </c>
    </row>
    <row r="1896" spans="21:23" x14ac:dyDescent="0.2">
      <c r="U1896" s="616"/>
      <c r="W1896" s="620" t="e">
        <f t="shared" si="42"/>
        <v>#DIV/0!</v>
      </c>
    </row>
    <row r="1897" spans="21:23" x14ac:dyDescent="0.2">
      <c r="U1897" s="616"/>
      <c r="W1897" s="620" t="e">
        <f t="shared" si="42"/>
        <v>#DIV/0!</v>
      </c>
    </row>
    <row r="1898" spans="21:23" x14ac:dyDescent="0.2">
      <c r="U1898" s="616"/>
      <c r="W1898" s="620" t="e">
        <f t="shared" si="42"/>
        <v>#DIV/0!</v>
      </c>
    </row>
    <row r="1899" spans="21:23" x14ac:dyDescent="0.2">
      <c r="U1899" s="616"/>
      <c r="W1899" s="620" t="e">
        <f t="shared" si="42"/>
        <v>#DIV/0!</v>
      </c>
    </row>
    <row r="1900" spans="21:23" x14ac:dyDescent="0.2">
      <c r="U1900" s="616"/>
      <c r="W1900" s="620" t="e">
        <f t="shared" si="42"/>
        <v>#DIV/0!</v>
      </c>
    </row>
    <row r="1901" spans="21:23" x14ac:dyDescent="0.2">
      <c r="U1901" s="616"/>
      <c r="W1901" s="620" t="e">
        <f t="shared" si="42"/>
        <v>#DIV/0!</v>
      </c>
    </row>
    <row r="1902" spans="21:23" x14ac:dyDescent="0.2">
      <c r="U1902" s="616"/>
      <c r="W1902" s="620" t="e">
        <f t="shared" si="42"/>
        <v>#DIV/0!</v>
      </c>
    </row>
    <row r="1903" spans="21:23" x14ac:dyDescent="0.2">
      <c r="U1903" s="616"/>
      <c r="W1903" s="620" t="e">
        <f t="shared" si="42"/>
        <v>#DIV/0!</v>
      </c>
    </row>
    <row r="1904" spans="21:23" x14ac:dyDescent="0.2">
      <c r="U1904" s="616"/>
      <c r="W1904" s="620" t="e">
        <f t="shared" si="42"/>
        <v>#DIV/0!</v>
      </c>
    </row>
    <row r="1905" spans="21:23" x14ac:dyDescent="0.2">
      <c r="U1905" s="616"/>
      <c r="W1905" s="620" t="e">
        <f t="shared" si="42"/>
        <v>#DIV/0!</v>
      </c>
    </row>
    <row r="1906" spans="21:23" x14ac:dyDescent="0.2">
      <c r="U1906" s="616"/>
      <c r="W1906" s="620" t="e">
        <f t="shared" si="42"/>
        <v>#DIV/0!</v>
      </c>
    </row>
    <row r="1907" spans="21:23" x14ac:dyDescent="0.2">
      <c r="U1907" s="616"/>
      <c r="W1907" s="620" t="e">
        <f t="shared" si="42"/>
        <v>#DIV/0!</v>
      </c>
    </row>
    <row r="1908" spans="21:23" x14ac:dyDescent="0.2">
      <c r="U1908" s="616"/>
      <c r="W1908" s="620" t="e">
        <f t="shared" si="42"/>
        <v>#DIV/0!</v>
      </c>
    </row>
    <row r="1909" spans="21:23" x14ac:dyDescent="0.2">
      <c r="U1909" s="616"/>
      <c r="W1909" s="620" t="e">
        <f t="shared" si="42"/>
        <v>#DIV/0!</v>
      </c>
    </row>
    <row r="1910" spans="21:23" x14ac:dyDescent="0.2">
      <c r="U1910" s="616"/>
      <c r="W1910" s="620" t="e">
        <f t="shared" si="42"/>
        <v>#DIV/0!</v>
      </c>
    </row>
    <row r="1911" spans="21:23" x14ac:dyDescent="0.2">
      <c r="U1911" s="616"/>
      <c r="W1911" s="620" t="e">
        <f t="shared" si="42"/>
        <v>#DIV/0!</v>
      </c>
    </row>
    <row r="1912" spans="21:23" x14ac:dyDescent="0.2">
      <c r="U1912" s="616"/>
      <c r="W1912" s="620" t="e">
        <f t="shared" si="42"/>
        <v>#DIV/0!</v>
      </c>
    </row>
    <row r="1913" spans="21:23" x14ac:dyDescent="0.2">
      <c r="U1913" s="616"/>
      <c r="W1913" s="620" t="e">
        <f t="shared" si="42"/>
        <v>#DIV/0!</v>
      </c>
    </row>
    <row r="1914" spans="21:23" x14ac:dyDescent="0.2">
      <c r="U1914" s="616"/>
      <c r="W1914" s="620" t="e">
        <f t="shared" si="42"/>
        <v>#DIV/0!</v>
      </c>
    </row>
    <row r="1915" spans="21:23" x14ac:dyDescent="0.2">
      <c r="U1915" s="616"/>
      <c r="W1915" s="620" t="e">
        <f t="shared" si="42"/>
        <v>#DIV/0!</v>
      </c>
    </row>
    <row r="1916" spans="21:23" x14ac:dyDescent="0.2">
      <c r="U1916" s="616"/>
      <c r="W1916" s="620" t="e">
        <f t="shared" si="42"/>
        <v>#DIV/0!</v>
      </c>
    </row>
    <row r="1917" spans="21:23" x14ac:dyDescent="0.2">
      <c r="U1917" s="616"/>
      <c r="W1917" s="620" t="e">
        <f t="shared" si="42"/>
        <v>#DIV/0!</v>
      </c>
    </row>
    <row r="1918" spans="21:23" x14ac:dyDescent="0.2">
      <c r="U1918" s="616"/>
      <c r="W1918" s="620" t="e">
        <f t="shared" si="42"/>
        <v>#DIV/0!</v>
      </c>
    </row>
    <row r="1919" spans="21:23" x14ac:dyDescent="0.2">
      <c r="U1919" s="616"/>
      <c r="W1919" s="620" t="e">
        <f t="shared" si="42"/>
        <v>#DIV/0!</v>
      </c>
    </row>
    <row r="1920" spans="21:23" x14ac:dyDescent="0.2">
      <c r="U1920" s="616"/>
      <c r="W1920" s="620" t="e">
        <f t="shared" si="42"/>
        <v>#DIV/0!</v>
      </c>
    </row>
    <row r="1921" spans="21:23" x14ac:dyDescent="0.2">
      <c r="U1921" s="616"/>
      <c r="W1921" s="620" t="e">
        <f t="shared" si="42"/>
        <v>#DIV/0!</v>
      </c>
    </row>
    <row r="1922" spans="21:23" x14ac:dyDescent="0.2">
      <c r="U1922" s="616"/>
      <c r="W1922" s="620" t="e">
        <f t="shared" si="42"/>
        <v>#DIV/0!</v>
      </c>
    </row>
    <row r="1923" spans="21:23" x14ac:dyDescent="0.2">
      <c r="U1923" s="616"/>
      <c r="W1923" s="620" t="e">
        <f t="shared" si="42"/>
        <v>#DIV/0!</v>
      </c>
    </row>
    <row r="1924" spans="21:23" x14ac:dyDescent="0.2">
      <c r="U1924" s="616"/>
      <c r="W1924" s="620" t="e">
        <f t="shared" ref="W1924:W1987" si="43">AVERAGE($V$4:$V$2517)</f>
        <v>#DIV/0!</v>
      </c>
    </row>
    <row r="1925" spans="21:23" x14ac:dyDescent="0.2">
      <c r="U1925" s="616"/>
      <c r="W1925" s="620" t="e">
        <f t="shared" si="43"/>
        <v>#DIV/0!</v>
      </c>
    </row>
    <row r="1926" spans="21:23" x14ac:dyDescent="0.2">
      <c r="U1926" s="616"/>
      <c r="W1926" s="620" t="e">
        <f t="shared" si="43"/>
        <v>#DIV/0!</v>
      </c>
    </row>
    <row r="1927" spans="21:23" x14ac:dyDescent="0.2">
      <c r="U1927" s="616"/>
      <c r="W1927" s="620" t="e">
        <f t="shared" si="43"/>
        <v>#DIV/0!</v>
      </c>
    </row>
    <row r="1928" spans="21:23" x14ac:dyDescent="0.2">
      <c r="U1928" s="616"/>
      <c r="W1928" s="620" t="e">
        <f t="shared" si="43"/>
        <v>#DIV/0!</v>
      </c>
    </row>
    <row r="1929" spans="21:23" x14ac:dyDescent="0.2">
      <c r="U1929" s="616"/>
      <c r="W1929" s="620" t="e">
        <f t="shared" si="43"/>
        <v>#DIV/0!</v>
      </c>
    </row>
    <row r="1930" spans="21:23" x14ac:dyDescent="0.2">
      <c r="U1930" s="616"/>
      <c r="W1930" s="620" t="e">
        <f t="shared" si="43"/>
        <v>#DIV/0!</v>
      </c>
    </row>
    <row r="1931" spans="21:23" x14ac:dyDescent="0.2">
      <c r="U1931" s="616"/>
      <c r="W1931" s="620" t="e">
        <f t="shared" si="43"/>
        <v>#DIV/0!</v>
      </c>
    </row>
    <row r="1932" spans="21:23" x14ac:dyDescent="0.2">
      <c r="U1932" s="616"/>
      <c r="W1932" s="620" t="e">
        <f t="shared" si="43"/>
        <v>#DIV/0!</v>
      </c>
    </row>
    <row r="1933" spans="21:23" x14ac:dyDescent="0.2">
      <c r="U1933" s="616"/>
      <c r="W1933" s="620" t="e">
        <f t="shared" si="43"/>
        <v>#DIV/0!</v>
      </c>
    </row>
    <row r="1934" spans="21:23" x14ac:dyDescent="0.2">
      <c r="U1934" s="616"/>
      <c r="W1934" s="620" t="e">
        <f t="shared" si="43"/>
        <v>#DIV/0!</v>
      </c>
    </row>
    <row r="1935" spans="21:23" x14ac:dyDescent="0.2">
      <c r="U1935" s="616"/>
      <c r="W1935" s="620" t="e">
        <f t="shared" si="43"/>
        <v>#DIV/0!</v>
      </c>
    </row>
    <row r="1936" spans="21:23" x14ac:dyDescent="0.2">
      <c r="U1936" s="616"/>
      <c r="W1936" s="620" t="e">
        <f t="shared" si="43"/>
        <v>#DIV/0!</v>
      </c>
    </row>
    <row r="1937" spans="21:23" x14ac:dyDescent="0.2">
      <c r="U1937" s="616"/>
      <c r="W1937" s="620" t="e">
        <f t="shared" si="43"/>
        <v>#DIV/0!</v>
      </c>
    </row>
    <row r="1938" spans="21:23" x14ac:dyDescent="0.2">
      <c r="U1938" s="616"/>
      <c r="W1938" s="620" t="e">
        <f t="shared" si="43"/>
        <v>#DIV/0!</v>
      </c>
    </row>
    <row r="1939" spans="21:23" x14ac:dyDescent="0.2">
      <c r="U1939" s="616"/>
      <c r="W1939" s="620" t="e">
        <f t="shared" si="43"/>
        <v>#DIV/0!</v>
      </c>
    </row>
    <row r="1940" spans="21:23" x14ac:dyDescent="0.2">
      <c r="U1940" s="616"/>
      <c r="W1940" s="620" t="e">
        <f t="shared" si="43"/>
        <v>#DIV/0!</v>
      </c>
    </row>
    <row r="1941" spans="21:23" x14ac:dyDescent="0.2">
      <c r="U1941" s="616"/>
      <c r="W1941" s="620" t="e">
        <f t="shared" si="43"/>
        <v>#DIV/0!</v>
      </c>
    </row>
    <row r="1942" spans="21:23" x14ac:dyDescent="0.2">
      <c r="U1942" s="616"/>
      <c r="W1942" s="620" t="e">
        <f t="shared" si="43"/>
        <v>#DIV/0!</v>
      </c>
    </row>
    <row r="1943" spans="21:23" x14ac:dyDescent="0.2">
      <c r="U1943" s="616"/>
      <c r="W1943" s="620" t="e">
        <f t="shared" si="43"/>
        <v>#DIV/0!</v>
      </c>
    </row>
    <row r="1944" spans="21:23" x14ac:dyDescent="0.2">
      <c r="U1944" s="616"/>
      <c r="W1944" s="620" t="e">
        <f t="shared" si="43"/>
        <v>#DIV/0!</v>
      </c>
    </row>
    <row r="1945" spans="21:23" x14ac:dyDescent="0.2">
      <c r="U1945" s="616"/>
      <c r="W1945" s="620" t="e">
        <f t="shared" si="43"/>
        <v>#DIV/0!</v>
      </c>
    </row>
    <row r="1946" spans="21:23" x14ac:dyDescent="0.2">
      <c r="U1946" s="616"/>
      <c r="W1946" s="620" t="e">
        <f t="shared" si="43"/>
        <v>#DIV/0!</v>
      </c>
    </row>
    <row r="1947" spans="21:23" x14ac:dyDescent="0.2">
      <c r="U1947" s="616"/>
      <c r="W1947" s="620" t="e">
        <f t="shared" si="43"/>
        <v>#DIV/0!</v>
      </c>
    </row>
    <row r="1948" spans="21:23" x14ac:dyDescent="0.2">
      <c r="U1948" s="616"/>
      <c r="W1948" s="620" t="e">
        <f t="shared" si="43"/>
        <v>#DIV/0!</v>
      </c>
    </row>
    <row r="1949" spans="21:23" x14ac:dyDescent="0.2">
      <c r="U1949" s="616"/>
      <c r="W1949" s="620" t="e">
        <f t="shared" si="43"/>
        <v>#DIV/0!</v>
      </c>
    </row>
    <row r="1950" spans="21:23" x14ac:dyDescent="0.2">
      <c r="U1950" s="616"/>
      <c r="W1950" s="620" t="e">
        <f t="shared" si="43"/>
        <v>#DIV/0!</v>
      </c>
    </row>
    <row r="1951" spans="21:23" x14ac:dyDescent="0.2">
      <c r="U1951" s="616"/>
      <c r="W1951" s="620" t="e">
        <f t="shared" si="43"/>
        <v>#DIV/0!</v>
      </c>
    </row>
    <row r="1952" spans="21:23" x14ac:dyDescent="0.2">
      <c r="U1952" s="616"/>
      <c r="W1952" s="620" t="e">
        <f t="shared" si="43"/>
        <v>#DIV/0!</v>
      </c>
    </row>
    <row r="1953" spans="21:23" x14ac:dyDescent="0.2">
      <c r="U1953" s="616"/>
      <c r="W1953" s="620" t="e">
        <f t="shared" si="43"/>
        <v>#DIV/0!</v>
      </c>
    </row>
    <row r="1954" spans="21:23" x14ac:dyDescent="0.2">
      <c r="U1954" s="616"/>
      <c r="W1954" s="620" t="e">
        <f t="shared" si="43"/>
        <v>#DIV/0!</v>
      </c>
    </row>
    <row r="1955" spans="21:23" x14ac:dyDescent="0.2">
      <c r="U1955" s="616"/>
      <c r="W1955" s="620" t="e">
        <f t="shared" si="43"/>
        <v>#DIV/0!</v>
      </c>
    </row>
    <row r="1956" spans="21:23" x14ac:dyDescent="0.2">
      <c r="U1956" s="616"/>
      <c r="W1956" s="620" t="e">
        <f t="shared" si="43"/>
        <v>#DIV/0!</v>
      </c>
    </row>
    <row r="1957" spans="21:23" x14ac:dyDescent="0.2">
      <c r="U1957" s="616"/>
      <c r="W1957" s="620" t="e">
        <f t="shared" si="43"/>
        <v>#DIV/0!</v>
      </c>
    </row>
    <row r="1958" spans="21:23" x14ac:dyDescent="0.2">
      <c r="U1958" s="616"/>
      <c r="W1958" s="620" t="e">
        <f t="shared" si="43"/>
        <v>#DIV/0!</v>
      </c>
    </row>
    <row r="1959" spans="21:23" x14ac:dyDescent="0.2">
      <c r="U1959" s="616"/>
      <c r="W1959" s="620" t="e">
        <f t="shared" si="43"/>
        <v>#DIV/0!</v>
      </c>
    </row>
    <row r="1960" spans="21:23" x14ac:dyDescent="0.2">
      <c r="U1960" s="616"/>
      <c r="W1960" s="620" t="e">
        <f t="shared" si="43"/>
        <v>#DIV/0!</v>
      </c>
    </row>
    <row r="1961" spans="21:23" x14ac:dyDescent="0.2">
      <c r="U1961" s="616"/>
      <c r="W1961" s="620" t="e">
        <f t="shared" si="43"/>
        <v>#DIV/0!</v>
      </c>
    </row>
    <row r="1962" spans="21:23" x14ac:dyDescent="0.2">
      <c r="U1962" s="616"/>
      <c r="W1962" s="620" t="e">
        <f t="shared" si="43"/>
        <v>#DIV/0!</v>
      </c>
    </row>
    <row r="1963" spans="21:23" x14ac:dyDescent="0.2">
      <c r="U1963" s="616"/>
      <c r="W1963" s="620" t="e">
        <f t="shared" si="43"/>
        <v>#DIV/0!</v>
      </c>
    </row>
    <row r="1964" spans="21:23" x14ac:dyDescent="0.2">
      <c r="U1964" s="616"/>
      <c r="W1964" s="620" t="e">
        <f t="shared" si="43"/>
        <v>#DIV/0!</v>
      </c>
    </row>
    <row r="1965" spans="21:23" x14ac:dyDescent="0.2">
      <c r="U1965" s="616"/>
      <c r="W1965" s="620" t="e">
        <f t="shared" si="43"/>
        <v>#DIV/0!</v>
      </c>
    </row>
    <row r="1966" spans="21:23" x14ac:dyDescent="0.2">
      <c r="U1966" s="616"/>
      <c r="W1966" s="620" t="e">
        <f t="shared" si="43"/>
        <v>#DIV/0!</v>
      </c>
    </row>
    <row r="1967" spans="21:23" x14ac:dyDescent="0.2">
      <c r="U1967" s="616"/>
      <c r="W1967" s="620" t="e">
        <f t="shared" si="43"/>
        <v>#DIV/0!</v>
      </c>
    </row>
    <row r="1968" spans="21:23" x14ac:dyDescent="0.2">
      <c r="U1968" s="616"/>
      <c r="W1968" s="620" t="e">
        <f t="shared" si="43"/>
        <v>#DIV/0!</v>
      </c>
    </row>
    <row r="1969" spans="21:23" x14ac:dyDescent="0.2">
      <c r="U1969" s="616"/>
      <c r="W1969" s="620" t="e">
        <f t="shared" si="43"/>
        <v>#DIV/0!</v>
      </c>
    </row>
    <row r="1970" spans="21:23" x14ac:dyDescent="0.2">
      <c r="U1970" s="616"/>
      <c r="W1970" s="620" t="e">
        <f t="shared" si="43"/>
        <v>#DIV/0!</v>
      </c>
    </row>
    <row r="1971" spans="21:23" x14ac:dyDescent="0.2">
      <c r="U1971" s="616"/>
      <c r="W1971" s="620" t="e">
        <f t="shared" si="43"/>
        <v>#DIV/0!</v>
      </c>
    </row>
    <row r="1972" spans="21:23" x14ac:dyDescent="0.2">
      <c r="U1972" s="616"/>
      <c r="W1972" s="620" t="e">
        <f t="shared" si="43"/>
        <v>#DIV/0!</v>
      </c>
    </row>
    <row r="1973" spans="21:23" x14ac:dyDescent="0.2">
      <c r="U1973" s="616"/>
      <c r="W1973" s="620" t="e">
        <f t="shared" si="43"/>
        <v>#DIV/0!</v>
      </c>
    </row>
    <row r="1974" spans="21:23" x14ac:dyDescent="0.2">
      <c r="U1974" s="616"/>
      <c r="W1974" s="620" t="e">
        <f t="shared" si="43"/>
        <v>#DIV/0!</v>
      </c>
    </row>
    <row r="1975" spans="21:23" x14ac:dyDescent="0.2">
      <c r="U1975" s="616"/>
      <c r="W1975" s="620" t="e">
        <f t="shared" si="43"/>
        <v>#DIV/0!</v>
      </c>
    </row>
    <row r="1976" spans="21:23" x14ac:dyDescent="0.2">
      <c r="U1976" s="616"/>
      <c r="W1976" s="620" t="e">
        <f t="shared" si="43"/>
        <v>#DIV/0!</v>
      </c>
    </row>
    <row r="1977" spans="21:23" x14ac:dyDescent="0.2">
      <c r="U1977" s="616"/>
      <c r="W1977" s="620" t="e">
        <f t="shared" si="43"/>
        <v>#DIV/0!</v>
      </c>
    </row>
    <row r="1978" spans="21:23" x14ac:dyDescent="0.2">
      <c r="U1978" s="616"/>
      <c r="W1978" s="620" t="e">
        <f t="shared" si="43"/>
        <v>#DIV/0!</v>
      </c>
    </row>
    <row r="1979" spans="21:23" x14ac:dyDescent="0.2">
      <c r="U1979" s="616"/>
      <c r="W1979" s="620" t="e">
        <f t="shared" si="43"/>
        <v>#DIV/0!</v>
      </c>
    </row>
    <row r="1980" spans="21:23" x14ac:dyDescent="0.2">
      <c r="U1980" s="616"/>
      <c r="W1980" s="620" t="e">
        <f t="shared" si="43"/>
        <v>#DIV/0!</v>
      </c>
    </row>
    <row r="1981" spans="21:23" x14ac:dyDescent="0.2">
      <c r="U1981" s="616"/>
      <c r="W1981" s="620" t="e">
        <f t="shared" si="43"/>
        <v>#DIV/0!</v>
      </c>
    </row>
    <row r="1982" spans="21:23" x14ac:dyDescent="0.2">
      <c r="U1982" s="616"/>
      <c r="W1982" s="620" t="e">
        <f t="shared" si="43"/>
        <v>#DIV/0!</v>
      </c>
    </row>
    <row r="1983" spans="21:23" x14ac:dyDescent="0.2">
      <c r="U1983" s="616"/>
      <c r="W1983" s="620" t="e">
        <f t="shared" si="43"/>
        <v>#DIV/0!</v>
      </c>
    </row>
    <row r="1984" spans="21:23" x14ac:dyDescent="0.2">
      <c r="U1984" s="616"/>
      <c r="W1984" s="620" t="e">
        <f t="shared" si="43"/>
        <v>#DIV/0!</v>
      </c>
    </row>
    <row r="1985" spans="21:23" x14ac:dyDescent="0.2">
      <c r="U1985" s="616"/>
      <c r="W1985" s="620" t="e">
        <f t="shared" si="43"/>
        <v>#DIV/0!</v>
      </c>
    </row>
    <row r="1986" spans="21:23" x14ac:dyDescent="0.2">
      <c r="U1986" s="616"/>
      <c r="W1986" s="620" t="e">
        <f t="shared" si="43"/>
        <v>#DIV/0!</v>
      </c>
    </row>
    <row r="1987" spans="21:23" x14ac:dyDescent="0.2">
      <c r="U1987" s="616"/>
      <c r="W1987" s="620" t="e">
        <f t="shared" si="43"/>
        <v>#DIV/0!</v>
      </c>
    </row>
    <row r="1988" spans="21:23" x14ac:dyDescent="0.2">
      <c r="U1988" s="616"/>
      <c r="W1988" s="620" t="e">
        <f t="shared" ref="W1988:W2051" si="44">AVERAGE($V$4:$V$2517)</f>
        <v>#DIV/0!</v>
      </c>
    </row>
    <row r="1989" spans="21:23" x14ac:dyDescent="0.2">
      <c r="U1989" s="616"/>
      <c r="W1989" s="620" t="e">
        <f t="shared" si="44"/>
        <v>#DIV/0!</v>
      </c>
    </row>
    <row r="1990" spans="21:23" x14ac:dyDescent="0.2">
      <c r="U1990" s="616"/>
      <c r="W1990" s="620" t="e">
        <f t="shared" si="44"/>
        <v>#DIV/0!</v>
      </c>
    </row>
    <row r="1991" spans="21:23" x14ac:dyDescent="0.2">
      <c r="U1991" s="616"/>
      <c r="W1991" s="620" t="e">
        <f t="shared" si="44"/>
        <v>#DIV/0!</v>
      </c>
    </row>
    <row r="1992" spans="21:23" x14ac:dyDescent="0.2">
      <c r="U1992" s="616"/>
      <c r="W1992" s="620" t="e">
        <f t="shared" si="44"/>
        <v>#DIV/0!</v>
      </c>
    </row>
    <row r="1993" spans="21:23" x14ac:dyDescent="0.2">
      <c r="U1993" s="616"/>
      <c r="W1993" s="620" t="e">
        <f t="shared" si="44"/>
        <v>#DIV/0!</v>
      </c>
    </row>
    <row r="1994" spans="21:23" x14ac:dyDescent="0.2">
      <c r="U1994" s="616"/>
      <c r="W1994" s="620" t="e">
        <f t="shared" si="44"/>
        <v>#DIV/0!</v>
      </c>
    </row>
    <row r="1995" spans="21:23" x14ac:dyDescent="0.2">
      <c r="U1995" s="616"/>
      <c r="W1995" s="620" t="e">
        <f t="shared" si="44"/>
        <v>#DIV/0!</v>
      </c>
    </row>
    <row r="1996" spans="21:23" x14ac:dyDescent="0.2">
      <c r="U1996" s="616"/>
      <c r="W1996" s="620" t="e">
        <f t="shared" si="44"/>
        <v>#DIV/0!</v>
      </c>
    </row>
    <row r="1997" spans="21:23" x14ac:dyDescent="0.2">
      <c r="U1997" s="616"/>
      <c r="W1997" s="620" t="e">
        <f t="shared" si="44"/>
        <v>#DIV/0!</v>
      </c>
    </row>
    <row r="1998" spans="21:23" x14ac:dyDescent="0.2">
      <c r="U1998" s="616"/>
      <c r="W1998" s="620" t="e">
        <f t="shared" si="44"/>
        <v>#DIV/0!</v>
      </c>
    </row>
    <row r="1999" spans="21:23" x14ac:dyDescent="0.2">
      <c r="U1999" s="616"/>
      <c r="W1999" s="620" t="e">
        <f t="shared" si="44"/>
        <v>#DIV/0!</v>
      </c>
    </row>
    <row r="2000" spans="21:23" x14ac:dyDescent="0.2">
      <c r="U2000" s="616"/>
      <c r="W2000" s="620" t="e">
        <f t="shared" si="44"/>
        <v>#DIV/0!</v>
      </c>
    </row>
    <row r="2001" spans="21:23" x14ac:dyDescent="0.2">
      <c r="U2001" s="616"/>
      <c r="W2001" s="620" t="e">
        <f t="shared" si="44"/>
        <v>#DIV/0!</v>
      </c>
    </row>
    <row r="2002" spans="21:23" x14ac:dyDescent="0.2">
      <c r="U2002" s="616"/>
      <c r="W2002" s="620" t="e">
        <f t="shared" si="44"/>
        <v>#DIV/0!</v>
      </c>
    </row>
    <row r="2003" spans="21:23" x14ac:dyDescent="0.2">
      <c r="U2003" s="616"/>
      <c r="W2003" s="620" t="e">
        <f t="shared" si="44"/>
        <v>#DIV/0!</v>
      </c>
    </row>
    <row r="2004" spans="21:23" x14ac:dyDescent="0.2">
      <c r="U2004" s="616"/>
      <c r="W2004" s="620" t="e">
        <f t="shared" si="44"/>
        <v>#DIV/0!</v>
      </c>
    </row>
    <row r="2005" spans="21:23" x14ac:dyDescent="0.2">
      <c r="U2005" s="616"/>
      <c r="W2005" s="620" t="e">
        <f t="shared" si="44"/>
        <v>#DIV/0!</v>
      </c>
    </row>
    <row r="2006" spans="21:23" x14ac:dyDescent="0.2">
      <c r="U2006" s="616"/>
      <c r="W2006" s="620" t="e">
        <f t="shared" si="44"/>
        <v>#DIV/0!</v>
      </c>
    </row>
    <row r="2007" spans="21:23" x14ac:dyDescent="0.2">
      <c r="U2007" s="616"/>
      <c r="W2007" s="620" t="e">
        <f t="shared" si="44"/>
        <v>#DIV/0!</v>
      </c>
    </row>
    <row r="2008" spans="21:23" x14ac:dyDescent="0.2">
      <c r="U2008" s="616"/>
      <c r="W2008" s="620" t="e">
        <f t="shared" si="44"/>
        <v>#DIV/0!</v>
      </c>
    </row>
    <row r="2009" spans="21:23" x14ac:dyDescent="0.2">
      <c r="U2009" s="616"/>
      <c r="W2009" s="620" t="e">
        <f t="shared" si="44"/>
        <v>#DIV/0!</v>
      </c>
    </row>
    <row r="2010" spans="21:23" x14ac:dyDescent="0.2">
      <c r="U2010" s="616"/>
      <c r="W2010" s="620" t="e">
        <f t="shared" si="44"/>
        <v>#DIV/0!</v>
      </c>
    </row>
    <row r="2011" spans="21:23" x14ac:dyDescent="0.2">
      <c r="U2011" s="616"/>
      <c r="W2011" s="620" t="e">
        <f t="shared" si="44"/>
        <v>#DIV/0!</v>
      </c>
    </row>
    <row r="2012" spans="21:23" x14ac:dyDescent="0.2">
      <c r="U2012" s="616"/>
      <c r="W2012" s="620" t="e">
        <f t="shared" si="44"/>
        <v>#DIV/0!</v>
      </c>
    </row>
    <row r="2013" spans="21:23" x14ac:dyDescent="0.2">
      <c r="U2013" s="616"/>
      <c r="W2013" s="620" t="e">
        <f t="shared" si="44"/>
        <v>#DIV/0!</v>
      </c>
    </row>
    <row r="2014" spans="21:23" x14ac:dyDescent="0.2">
      <c r="U2014" s="616"/>
      <c r="W2014" s="620" t="e">
        <f t="shared" si="44"/>
        <v>#DIV/0!</v>
      </c>
    </row>
    <row r="2015" spans="21:23" x14ac:dyDescent="0.2">
      <c r="U2015" s="616"/>
      <c r="W2015" s="620" t="e">
        <f t="shared" si="44"/>
        <v>#DIV/0!</v>
      </c>
    </row>
    <row r="2016" spans="21:23" x14ac:dyDescent="0.2">
      <c r="U2016" s="616"/>
      <c r="W2016" s="620" t="e">
        <f t="shared" si="44"/>
        <v>#DIV/0!</v>
      </c>
    </row>
    <row r="2017" spans="21:23" x14ac:dyDescent="0.2">
      <c r="U2017" s="616"/>
      <c r="W2017" s="620" t="e">
        <f t="shared" si="44"/>
        <v>#DIV/0!</v>
      </c>
    </row>
    <row r="2018" spans="21:23" x14ac:dyDescent="0.2">
      <c r="U2018" s="616"/>
      <c r="W2018" s="620" t="e">
        <f t="shared" si="44"/>
        <v>#DIV/0!</v>
      </c>
    </row>
    <row r="2019" spans="21:23" x14ac:dyDescent="0.2">
      <c r="U2019" s="616"/>
      <c r="W2019" s="620" t="e">
        <f t="shared" si="44"/>
        <v>#DIV/0!</v>
      </c>
    </row>
    <row r="2020" spans="21:23" x14ac:dyDescent="0.2">
      <c r="U2020" s="616"/>
      <c r="W2020" s="620" t="e">
        <f t="shared" si="44"/>
        <v>#DIV/0!</v>
      </c>
    </row>
    <row r="2021" spans="21:23" x14ac:dyDescent="0.2">
      <c r="U2021" s="616"/>
      <c r="W2021" s="620" t="e">
        <f t="shared" si="44"/>
        <v>#DIV/0!</v>
      </c>
    </row>
    <row r="2022" spans="21:23" x14ac:dyDescent="0.2">
      <c r="U2022" s="616"/>
      <c r="W2022" s="620" t="e">
        <f t="shared" si="44"/>
        <v>#DIV/0!</v>
      </c>
    </row>
    <row r="2023" spans="21:23" x14ac:dyDescent="0.2">
      <c r="U2023" s="616"/>
      <c r="W2023" s="620" t="e">
        <f t="shared" si="44"/>
        <v>#DIV/0!</v>
      </c>
    </row>
    <row r="2024" spans="21:23" x14ac:dyDescent="0.2">
      <c r="U2024" s="616"/>
      <c r="W2024" s="620" t="e">
        <f t="shared" si="44"/>
        <v>#DIV/0!</v>
      </c>
    </row>
    <row r="2025" spans="21:23" x14ac:dyDescent="0.2">
      <c r="U2025" s="616"/>
      <c r="W2025" s="620" t="e">
        <f t="shared" si="44"/>
        <v>#DIV/0!</v>
      </c>
    </row>
    <row r="2026" spans="21:23" x14ac:dyDescent="0.2">
      <c r="U2026" s="616"/>
      <c r="W2026" s="620" t="e">
        <f t="shared" si="44"/>
        <v>#DIV/0!</v>
      </c>
    </row>
    <row r="2027" spans="21:23" x14ac:dyDescent="0.2">
      <c r="U2027" s="616"/>
      <c r="W2027" s="620" t="e">
        <f t="shared" si="44"/>
        <v>#DIV/0!</v>
      </c>
    </row>
    <row r="2028" spans="21:23" x14ac:dyDescent="0.2">
      <c r="U2028" s="616"/>
      <c r="W2028" s="620" t="e">
        <f t="shared" si="44"/>
        <v>#DIV/0!</v>
      </c>
    </row>
    <row r="2029" spans="21:23" x14ac:dyDescent="0.2">
      <c r="U2029" s="616"/>
      <c r="W2029" s="620" t="e">
        <f t="shared" si="44"/>
        <v>#DIV/0!</v>
      </c>
    </row>
    <row r="2030" spans="21:23" x14ac:dyDescent="0.2">
      <c r="U2030" s="616"/>
      <c r="W2030" s="620" t="e">
        <f t="shared" si="44"/>
        <v>#DIV/0!</v>
      </c>
    </row>
    <row r="2031" spans="21:23" x14ac:dyDescent="0.2">
      <c r="U2031" s="616"/>
      <c r="W2031" s="620" t="e">
        <f t="shared" si="44"/>
        <v>#DIV/0!</v>
      </c>
    </row>
    <row r="2032" spans="21:23" x14ac:dyDescent="0.2">
      <c r="U2032" s="616"/>
      <c r="W2032" s="620" t="e">
        <f t="shared" si="44"/>
        <v>#DIV/0!</v>
      </c>
    </row>
    <row r="2033" spans="21:23" x14ac:dyDescent="0.2">
      <c r="U2033" s="616"/>
      <c r="W2033" s="620" t="e">
        <f t="shared" si="44"/>
        <v>#DIV/0!</v>
      </c>
    </row>
    <row r="2034" spans="21:23" x14ac:dyDescent="0.2">
      <c r="U2034" s="616"/>
      <c r="W2034" s="620" t="e">
        <f t="shared" si="44"/>
        <v>#DIV/0!</v>
      </c>
    </row>
    <row r="2035" spans="21:23" x14ac:dyDescent="0.2">
      <c r="U2035" s="616"/>
      <c r="W2035" s="620" t="e">
        <f t="shared" si="44"/>
        <v>#DIV/0!</v>
      </c>
    </row>
    <row r="2036" spans="21:23" x14ac:dyDescent="0.2">
      <c r="U2036" s="616"/>
      <c r="W2036" s="620" t="e">
        <f t="shared" si="44"/>
        <v>#DIV/0!</v>
      </c>
    </row>
    <row r="2037" spans="21:23" x14ac:dyDescent="0.2">
      <c r="U2037" s="616"/>
      <c r="W2037" s="620" t="e">
        <f t="shared" si="44"/>
        <v>#DIV/0!</v>
      </c>
    </row>
    <row r="2038" spans="21:23" x14ac:dyDescent="0.2">
      <c r="U2038" s="616"/>
      <c r="W2038" s="620" t="e">
        <f t="shared" si="44"/>
        <v>#DIV/0!</v>
      </c>
    </row>
    <row r="2039" spans="21:23" x14ac:dyDescent="0.2">
      <c r="U2039" s="616"/>
      <c r="W2039" s="620" t="e">
        <f t="shared" si="44"/>
        <v>#DIV/0!</v>
      </c>
    </row>
    <row r="2040" spans="21:23" x14ac:dyDescent="0.2">
      <c r="U2040" s="616"/>
      <c r="W2040" s="620" t="e">
        <f t="shared" si="44"/>
        <v>#DIV/0!</v>
      </c>
    </row>
    <row r="2041" spans="21:23" x14ac:dyDescent="0.2">
      <c r="U2041" s="616"/>
      <c r="W2041" s="620" t="e">
        <f t="shared" si="44"/>
        <v>#DIV/0!</v>
      </c>
    </row>
    <row r="2042" spans="21:23" x14ac:dyDescent="0.2">
      <c r="U2042" s="616"/>
      <c r="W2042" s="620" t="e">
        <f t="shared" si="44"/>
        <v>#DIV/0!</v>
      </c>
    </row>
    <row r="2043" spans="21:23" x14ac:dyDescent="0.2">
      <c r="U2043" s="616"/>
      <c r="W2043" s="620" t="e">
        <f t="shared" si="44"/>
        <v>#DIV/0!</v>
      </c>
    </row>
    <row r="2044" spans="21:23" x14ac:dyDescent="0.2">
      <c r="U2044" s="616"/>
      <c r="W2044" s="620" t="e">
        <f t="shared" si="44"/>
        <v>#DIV/0!</v>
      </c>
    </row>
    <row r="2045" spans="21:23" x14ac:dyDescent="0.2">
      <c r="U2045" s="616"/>
      <c r="W2045" s="620" t="e">
        <f t="shared" si="44"/>
        <v>#DIV/0!</v>
      </c>
    </row>
    <row r="2046" spans="21:23" x14ac:dyDescent="0.2">
      <c r="U2046" s="616"/>
      <c r="W2046" s="620" t="e">
        <f t="shared" si="44"/>
        <v>#DIV/0!</v>
      </c>
    </row>
    <row r="2047" spans="21:23" x14ac:dyDescent="0.2">
      <c r="U2047" s="616"/>
      <c r="W2047" s="620" t="e">
        <f t="shared" si="44"/>
        <v>#DIV/0!</v>
      </c>
    </row>
    <row r="2048" spans="21:23" x14ac:dyDescent="0.2">
      <c r="U2048" s="616"/>
      <c r="W2048" s="620" t="e">
        <f t="shared" si="44"/>
        <v>#DIV/0!</v>
      </c>
    </row>
    <row r="2049" spans="21:23" x14ac:dyDescent="0.2">
      <c r="U2049" s="616"/>
      <c r="W2049" s="620" t="e">
        <f t="shared" si="44"/>
        <v>#DIV/0!</v>
      </c>
    </row>
    <row r="2050" spans="21:23" x14ac:dyDescent="0.2">
      <c r="U2050" s="616"/>
      <c r="W2050" s="620" t="e">
        <f t="shared" si="44"/>
        <v>#DIV/0!</v>
      </c>
    </row>
    <row r="2051" spans="21:23" x14ac:dyDescent="0.2">
      <c r="U2051" s="616"/>
      <c r="W2051" s="620" t="e">
        <f t="shared" si="44"/>
        <v>#DIV/0!</v>
      </c>
    </row>
    <row r="2052" spans="21:23" x14ac:dyDescent="0.2">
      <c r="U2052" s="616"/>
      <c r="W2052" s="620" t="e">
        <f t="shared" ref="W2052:W2115" si="45">AVERAGE($V$4:$V$2517)</f>
        <v>#DIV/0!</v>
      </c>
    </row>
    <row r="2053" spans="21:23" x14ac:dyDescent="0.2">
      <c r="U2053" s="616"/>
      <c r="W2053" s="620" t="e">
        <f t="shared" si="45"/>
        <v>#DIV/0!</v>
      </c>
    </row>
    <row r="2054" spans="21:23" x14ac:dyDescent="0.2">
      <c r="U2054" s="616"/>
      <c r="W2054" s="620" t="e">
        <f t="shared" si="45"/>
        <v>#DIV/0!</v>
      </c>
    </row>
    <row r="2055" spans="21:23" x14ac:dyDescent="0.2">
      <c r="U2055" s="616"/>
      <c r="W2055" s="620" t="e">
        <f t="shared" si="45"/>
        <v>#DIV/0!</v>
      </c>
    </row>
    <row r="2056" spans="21:23" x14ac:dyDescent="0.2">
      <c r="U2056" s="616"/>
      <c r="W2056" s="620" t="e">
        <f t="shared" si="45"/>
        <v>#DIV/0!</v>
      </c>
    </row>
    <row r="2057" spans="21:23" x14ac:dyDescent="0.2">
      <c r="U2057" s="616"/>
      <c r="W2057" s="620" t="e">
        <f t="shared" si="45"/>
        <v>#DIV/0!</v>
      </c>
    </row>
    <row r="2058" spans="21:23" x14ac:dyDescent="0.2">
      <c r="U2058" s="616"/>
      <c r="W2058" s="620" t="e">
        <f t="shared" si="45"/>
        <v>#DIV/0!</v>
      </c>
    </row>
    <row r="2059" spans="21:23" x14ac:dyDescent="0.2">
      <c r="U2059" s="616"/>
      <c r="W2059" s="620" t="e">
        <f t="shared" si="45"/>
        <v>#DIV/0!</v>
      </c>
    </row>
    <row r="2060" spans="21:23" x14ac:dyDescent="0.2">
      <c r="U2060" s="616"/>
      <c r="W2060" s="620" t="e">
        <f t="shared" si="45"/>
        <v>#DIV/0!</v>
      </c>
    </row>
    <row r="2061" spans="21:23" x14ac:dyDescent="0.2">
      <c r="U2061" s="616"/>
      <c r="W2061" s="620" t="e">
        <f t="shared" si="45"/>
        <v>#DIV/0!</v>
      </c>
    </row>
    <row r="2062" spans="21:23" x14ac:dyDescent="0.2">
      <c r="U2062" s="616"/>
      <c r="W2062" s="620" t="e">
        <f t="shared" si="45"/>
        <v>#DIV/0!</v>
      </c>
    </row>
    <row r="2063" spans="21:23" x14ac:dyDescent="0.2">
      <c r="U2063" s="616"/>
      <c r="W2063" s="620" t="e">
        <f t="shared" si="45"/>
        <v>#DIV/0!</v>
      </c>
    </row>
    <row r="2064" spans="21:23" x14ac:dyDescent="0.2">
      <c r="U2064" s="616"/>
      <c r="W2064" s="620" t="e">
        <f t="shared" si="45"/>
        <v>#DIV/0!</v>
      </c>
    </row>
    <row r="2065" spans="21:23" x14ac:dyDescent="0.2">
      <c r="U2065" s="616"/>
      <c r="W2065" s="620" t="e">
        <f t="shared" si="45"/>
        <v>#DIV/0!</v>
      </c>
    </row>
    <row r="2066" spans="21:23" x14ac:dyDescent="0.2">
      <c r="U2066" s="616"/>
      <c r="W2066" s="620" t="e">
        <f t="shared" si="45"/>
        <v>#DIV/0!</v>
      </c>
    </row>
    <row r="2067" spans="21:23" x14ac:dyDescent="0.2">
      <c r="U2067" s="616"/>
      <c r="W2067" s="620" t="e">
        <f t="shared" si="45"/>
        <v>#DIV/0!</v>
      </c>
    </row>
    <row r="2068" spans="21:23" x14ac:dyDescent="0.2">
      <c r="U2068" s="616"/>
      <c r="W2068" s="620" t="e">
        <f t="shared" si="45"/>
        <v>#DIV/0!</v>
      </c>
    </row>
    <row r="2069" spans="21:23" x14ac:dyDescent="0.2">
      <c r="U2069" s="616"/>
      <c r="W2069" s="620" t="e">
        <f t="shared" si="45"/>
        <v>#DIV/0!</v>
      </c>
    </row>
    <row r="2070" spans="21:23" x14ac:dyDescent="0.2">
      <c r="U2070" s="616"/>
      <c r="W2070" s="620" t="e">
        <f t="shared" si="45"/>
        <v>#DIV/0!</v>
      </c>
    </row>
    <row r="2071" spans="21:23" x14ac:dyDescent="0.2">
      <c r="U2071" s="616"/>
      <c r="W2071" s="620" t="e">
        <f t="shared" si="45"/>
        <v>#DIV/0!</v>
      </c>
    </row>
    <row r="2072" spans="21:23" x14ac:dyDescent="0.2">
      <c r="U2072" s="616"/>
      <c r="W2072" s="620" t="e">
        <f t="shared" si="45"/>
        <v>#DIV/0!</v>
      </c>
    </row>
    <row r="2073" spans="21:23" x14ac:dyDescent="0.2">
      <c r="U2073" s="616"/>
      <c r="W2073" s="620" t="e">
        <f t="shared" si="45"/>
        <v>#DIV/0!</v>
      </c>
    </row>
    <row r="2074" spans="21:23" x14ac:dyDescent="0.2">
      <c r="U2074" s="616"/>
      <c r="W2074" s="620" t="e">
        <f t="shared" si="45"/>
        <v>#DIV/0!</v>
      </c>
    </row>
    <row r="2075" spans="21:23" x14ac:dyDescent="0.2">
      <c r="U2075" s="616"/>
      <c r="W2075" s="620" t="e">
        <f t="shared" si="45"/>
        <v>#DIV/0!</v>
      </c>
    </row>
    <row r="2076" spans="21:23" x14ac:dyDescent="0.2">
      <c r="U2076" s="616"/>
      <c r="W2076" s="620" t="e">
        <f t="shared" si="45"/>
        <v>#DIV/0!</v>
      </c>
    </row>
    <row r="2077" spans="21:23" x14ac:dyDescent="0.2">
      <c r="U2077" s="616"/>
      <c r="W2077" s="620" t="e">
        <f t="shared" si="45"/>
        <v>#DIV/0!</v>
      </c>
    </row>
    <row r="2078" spans="21:23" x14ac:dyDescent="0.2">
      <c r="U2078" s="616"/>
      <c r="W2078" s="620" t="e">
        <f t="shared" si="45"/>
        <v>#DIV/0!</v>
      </c>
    </row>
    <row r="2079" spans="21:23" x14ac:dyDescent="0.2">
      <c r="U2079" s="616"/>
      <c r="W2079" s="620" t="e">
        <f t="shared" si="45"/>
        <v>#DIV/0!</v>
      </c>
    </row>
    <row r="2080" spans="21:23" x14ac:dyDescent="0.2">
      <c r="U2080" s="616"/>
      <c r="W2080" s="620" t="e">
        <f t="shared" si="45"/>
        <v>#DIV/0!</v>
      </c>
    </row>
    <row r="2081" spans="21:23" x14ac:dyDescent="0.2">
      <c r="U2081" s="616"/>
      <c r="W2081" s="620" t="e">
        <f t="shared" si="45"/>
        <v>#DIV/0!</v>
      </c>
    </row>
    <row r="2082" spans="21:23" x14ac:dyDescent="0.2">
      <c r="U2082" s="616"/>
      <c r="W2082" s="620" t="e">
        <f t="shared" si="45"/>
        <v>#DIV/0!</v>
      </c>
    </row>
    <row r="2083" spans="21:23" x14ac:dyDescent="0.2">
      <c r="U2083" s="616"/>
      <c r="W2083" s="620" t="e">
        <f t="shared" si="45"/>
        <v>#DIV/0!</v>
      </c>
    </row>
    <row r="2084" spans="21:23" x14ac:dyDescent="0.2">
      <c r="U2084" s="616"/>
      <c r="W2084" s="620" t="e">
        <f t="shared" si="45"/>
        <v>#DIV/0!</v>
      </c>
    </row>
    <row r="2085" spans="21:23" x14ac:dyDescent="0.2">
      <c r="U2085" s="616"/>
      <c r="W2085" s="620" t="e">
        <f t="shared" si="45"/>
        <v>#DIV/0!</v>
      </c>
    </row>
    <row r="2086" spans="21:23" x14ac:dyDescent="0.2">
      <c r="U2086" s="616"/>
      <c r="W2086" s="620" t="e">
        <f t="shared" si="45"/>
        <v>#DIV/0!</v>
      </c>
    </row>
    <row r="2087" spans="21:23" x14ac:dyDescent="0.2">
      <c r="U2087" s="616"/>
      <c r="W2087" s="620" t="e">
        <f t="shared" si="45"/>
        <v>#DIV/0!</v>
      </c>
    </row>
    <row r="2088" spans="21:23" x14ac:dyDescent="0.2">
      <c r="U2088" s="616"/>
      <c r="W2088" s="620" t="e">
        <f t="shared" si="45"/>
        <v>#DIV/0!</v>
      </c>
    </row>
    <row r="2089" spans="21:23" x14ac:dyDescent="0.2">
      <c r="U2089" s="616"/>
      <c r="W2089" s="620" t="e">
        <f t="shared" si="45"/>
        <v>#DIV/0!</v>
      </c>
    </row>
    <row r="2090" spans="21:23" x14ac:dyDescent="0.2">
      <c r="U2090" s="616"/>
      <c r="W2090" s="620" t="e">
        <f t="shared" si="45"/>
        <v>#DIV/0!</v>
      </c>
    </row>
    <row r="2091" spans="21:23" x14ac:dyDescent="0.2">
      <c r="U2091" s="616"/>
      <c r="W2091" s="620" t="e">
        <f t="shared" si="45"/>
        <v>#DIV/0!</v>
      </c>
    </row>
    <row r="2092" spans="21:23" x14ac:dyDescent="0.2">
      <c r="U2092" s="616"/>
      <c r="W2092" s="620" t="e">
        <f t="shared" si="45"/>
        <v>#DIV/0!</v>
      </c>
    </row>
    <row r="2093" spans="21:23" x14ac:dyDescent="0.2">
      <c r="U2093" s="616"/>
      <c r="W2093" s="620" t="e">
        <f t="shared" si="45"/>
        <v>#DIV/0!</v>
      </c>
    </row>
    <row r="2094" spans="21:23" x14ac:dyDescent="0.2">
      <c r="U2094" s="616"/>
      <c r="W2094" s="620" t="e">
        <f t="shared" si="45"/>
        <v>#DIV/0!</v>
      </c>
    </row>
    <row r="2095" spans="21:23" x14ac:dyDescent="0.2">
      <c r="U2095" s="616"/>
      <c r="W2095" s="620" t="e">
        <f t="shared" si="45"/>
        <v>#DIV/0!</v>
      </c>
    </row>
    <row r="2096" spans="21:23" x14ac:dyDescent="0.2">
      <c r="U2096" s="616"/>
      <c r="W2096" s="620" t="e">
        <f t="shared" si="45"/>
        <v>#DIV/0!</v>
      </c>
    </row>
    <row r="2097" spans="21:23" x14ac:dyDescent="0.2">
      <c r="U2097" s="616"/>
      <c r="W2097" s="620" t="e">
        <f t="shared" si="45"/>
        <v>#DIV/0!</v>
      </c>
    </row>
    <row r="2098" spans="21:23" x14ac:dyDescent="0.2">
      <c r="U2098" s="616"/>
      <c r="W2098" s="620" t="e">
        <f t="shared" si="45"/>
        <v>#DIV/0!</v>
      </c>
    </row>
    <row r="2099" spans="21:23" x14ac:dyDescent="0.2">
      <c r="U2099" s="616"/>
      <c r="W2099" s="620" t="e">
        <f t="shared" si="45"/>
        <v>#DIV/0!</v>
      </c>
    </row>
    <row r="2100" spans="21:23" x14ac:dyDescent="0.2">
      <c r="U2100" s="616"/>
      <c r="W2100" s="620" t="e">
        <f t="shared" si="45"/>
        <v>#DIV/0!</v>
      </c>
    </row>
    <row r="2101" spans="21:23" x14ac:dyDescent="0.2">
      <c r="U2101" s="616"/>
      <c r="W2101" s="620" t="e">
        <f t="shared" si="45"/>
        <v>#DIV/0!</v>
      </c>
    </row>
    <row r="2102" spans="21:23" x14ac:dyDescent="0.2">
      <c r="U2102" s="616"/>
      <c r="W2102" s="620" t="e">
        <f t="shared" si="45"/>
        <v>#DIV/0!</v>
      </c>
    </row>
    <row r="2103" spans="21:23" x14ac:dyDescent="0.2">
      <c r="U2103" s="616"/>
      <c r="W2103" s="620" t="e">
        <f t="shared" si="45"/>
        <v>#DIV/0!</v>
      </c>
    </row>
    <row r="2104" spans="21:23" x14ac:dyDescent="0.2">
      <c r="U2104" s="616"/>
      <c r="W2104" s="620" t="e">
        <f t="shared" si="45"/>
        <v>#DIV/0!</v>
      </c>
    </row>
    <row r="2105" spans="21:23" x14ac:dyDescent="0.2">
      <c r="U2105" s="616"/>
      <c r="W2105" s="620" t="e">
        <f t="shared" si="45"/>
        <v>#DIV/0!</v>
      </c>
    </row>
    <row r="2106" spans="21:23" x14ac:dyDescent="0.2">
      <c r="U2106" s="616"/>
      <c r="W2106" s="620" t="e">
        <f t="shared" si="45"/>
        <v>#DIV/0!</v>
      </c>
    </row>
    <row r="2107" spans="21:23" x14ac:dyDescent="0.2">
      <c r="U2107" s="616"/>
      <c r="W2107" s="620" t="e">
        <f t="shared" si="45"/>
        <v>#DIV/0!</v>
      </c>
    </row>
    <row r="2108" spans="21:23" x14ac:dyDescent="0.2">
      <c r="U2108" s="616"/>
      <c r="W2108" s="620" t="e">
        <f t="shared" si="45"/>
        <v>#DIV/0!</v>
      </c>
    </row>
    <row r="2109" spans="21:23" x14ac:dyDescent="0.2">
      <c r="U2109" s="616"/>
      <c r="W2109" s="620" t="e">
        <f t="shared" si="45"/>
        <v>#DIV/0!</v>
      </c>
    </row>
    <row r="2110" spans="21:23" x14ac:dyDescent="0.2">
      <c r="U2110" s="616"/>
      <c r="W2110" s="620" t="e">
        <f t="shared" si="45"/>
        <v>#DIV/0!</v>
      </c>
    </row>
    <row r="2111" spans="21:23" x14ac:dyDescent="0.2">
      <c r="U2111" s="616"/>
      <c r="W2111" s="620" t="e">
        <f t="shared" si="45"/>
        <v>#DIV/0!</v>
      </c>
    </row>
    <row r="2112" spans="21:23" x14ac:dyDescent="0.2">
      <c r="U2112" s="616"/>
      <c r="W2112" s="620" t="e">
        <f t="shared" si="45"/>
        <v>#DIV/0!</v>
      </c>
    </row>
    <row r="2113" spans="21:23" x14ac:dyDescent="0.2">
      <c r="U2113" s="616"/>
      <c r="W2113" s="620" t="e">
        <f t="shared" si="45"/>
        <v>#DIV/0!</v>
      </c>
    </row>
    <row r="2114" spans="21:23" x14ac:dyDescent="0.2">
      <c r="U2114" s="616"/>
      <c r="W2114" s="620" t="e">
        <f t="shared" si="45"/>
        <v>#DIV/0!</v>
      </c>
    </row>
    <row r="2115" spans="21:23" x14ac:dyDescent="0.2">
      <c r="U2115" s="616"/>
      <c r="W2115" s="620" t="e">
        <f t="shared" si="45"/>
        <v>#DIV/0!</v>
      </c>
    </row>
    <row r="2116" spans="21:23" x14ac:dyDescent="0.2">
      <c r="U2116" s="616"/>
      <c r="W2116" s="620" t="e">
        <f t="shared" ref="W2116:W2179" si="46">AVERAGE($V$4:$V$2517)</f>
        <v>#DIV/0!</v>
      </c>
    </row>
    <row r="2117" spans="21:23" x14ac:dyDescent="0.2">
      <c r="U2117" s="616"/>
      <c r="W2117" s="620" t="e">
        <f t="shared" si="46"/>
        <v>#DIV/0!</v>
      </c>
    </row>
    <row r="2118" spans="21:23" x14ac:dyDescent="0.2">
      <c r="U2118" s="616"/>
      <c r="W2118" s="620" t="e">
        <f t="shared" si="46"/>
        <v>#DIV/0!</v>
      </c>
    </row>
    <row r="2119" spans="21:23" x14ac:dyDescent="0.2">
      <c r="U2119" s="616"/>
      <c r="W2119" s="620" t="e">
        <f t="shared" si="46"/>
        <v>#DIV/0!</v>
      </c>
    </row>
    <row r="2120" spans="21:23" x14ac:dyDescent="0.2">
      <c r="U2120" s="616"/>
      <c r="W2120" s="620" t="e">
        <f t="shared" si="46"/>
        <v>#DIV/0!</v>
      </c>
    </row>
    <row r="2121" spans="21:23" x14ac:dyDescent="0.2">
      <c r="U2121" s="616"/>
      <c r="W2121" s="620" t="e">
        <f t="shared" si="46"/>
        <v>#DIV/0!</v>
      </c>
    </row>
    <row r="2122" spans="21:23" x14ac:dyDescent="0.2">
      <c r="U2122" s="616"/>
      <c r="W2122" s="620" t="e">
        <f t="shared" si="46"/>
        <v>#DIV/0!</v>
      </c>
    </row>
    <row r="2123" spans="21:23" x14ac:dyDescent="0.2">
      <c r="U2123" s="616"/>
      <c r="W2123" s="620" t="e">
        <f t="shared" si="46"/>
        <v>#DIV/0!</v>
      </c>
    </row>
    <row r="2124" spans="21:23" x14ac:dyDescent="0.2">
      <c r="U2124" s="616"/>
      <c r="W2124" s="620" t="e">
        <f t="shared" si="46"/>
        <v>#DIV/0!</v>
      </c>
    </row>
    <row r="2125" spans="21:23" x14ac:dyDescent="0.2">
      <c r="U2125" s="616"/>
      <c r="W2125" s="620" t="e">
        <f t="shared" si="46"/>
        <v>#DIV/0!</v>
      </c>
    </row>
    <row r="2126" spans="21:23" x14ac:dyDescent="0.2">
      <c r="U2126" s="616"/>
      <c r="W2126" s="620" t="e">
        <f t="shared" si="46"/>
        <v>#DIV/0!</v>
      </c>
    </row>
    <row r="2127" spans="21:23" x14ac:dyDescent="0.2">
      <c r="U2127" s="616"/>
      <c r="W2127" s="620" t="e">
        <f t="shared" si="46"/>
        <v>#DIV/0!</v>
      </c>
    </row>
    <row r="2128" spans="21:23" x14ac:dyDescent="0.2">
      <c r="U2128" s="616"/>
      <c r="W2128" s="620" t="e">
        <f t="shared" si="46"/>
        <v>#DIV/0!</v>
      </c>
    </row>
    <row r="2129" spans="21:23" x14ac:dyDescent="0.2">
      <c r="U2129" s="616"/>
      <c r="W2129" s="620" t="e">
        <f t="shared" si="46"/>
        <v>#DIV/0!</v>
      </c>
    </row>
    <row r="2130" spans="21:23" x14ac:dyDescent="0.2">
      <c r="U2130" s="616"/>
      <c r="W2130" s="620" t="e">
        <f t="shared" si="46"/>
        <v>#DIV/0!</v>
      </c>
    </row>
    <row r="2131" spans="21:23" x14ac:dyDescent="0.2">
      <c r="U2131" s="616"/>
      <c r="W2131" s="620" t="e">
        <f t="shared" si="46"/>
        <v>#DIV/0!</v>
      </c>
    </row>
    <row r="2132" spans="21:23" x14ac:dyDescent="0.2">
      <c r="U2132" s="616"/>
      <c r="W2132" s="620" t="e">
        <f t="shared" si="46"/>
        <v>#DIV/0!</v>
      </c>
    </row>
    <row r="2133" spans="21:23" x14ac:dyDescent="0.2">
      <c r="U2133" s="616"/>
      <c r="W2133" s="620" t="e">
        <f t="shared" si="46"/>
        <v>#DIV/0!</v>
      </c>
    </row>
    <row r="2134" spans="21:23" x14ac:dyDescent="0.2">
      <c r="U2134" s="616"/>
      <c r="W2134" s="620" t="e">
        <f t="shared" si="46"/>
        <v>#DIV/0!</v>
      </c>
    </row>
    <row r="2135" spans="21:23" x14ac:dyDescent="0.2">
      <c r="U2135" s="616"/>
      <c r="W2135" s="620" t="e">
        <f t="shared" si="46"/>
        <v>#DIV/0!</v>
      </c>
    </row>
    <row r="2136" spans="21:23" x14ac:dyDescent="0.2">
      <c r="U2136" s="616"/>
      <c r="W2136" s="620" t="e">
        <f t="shared" si="46"/>
        <v>#DIV/0!</v>
      </c>
    </row>
    <row r="2137" spans="21:23" x14ac:dyDescent="0.2">
      <c r="U2137" s="616"/>
      <c r="W2137" s="620" t="e">
        <f t="shared" si="46"/>
        <v>#DIV/0!</v>
      </c>
    </row>
    <row r="2138" spans="21:23" x14ac:dyDescent="0.2">
      <c r="U2138" s="616"/>
      <c r="W2138" s="620" t="e">
        <f t="shared" si="46"/>
        <v>#DIV/0!</v>
      </c>
    </row>
    <row r="2139" spans="21:23" x14ac:dyDescent="0.2">
      <c r="U2139" s="616"/>
      <c r="W2139" s="620" t="e">
        <f t="shared" si="46"/>
        <v>#DIV/0!</v>
      </c>
    </row>
    <row r="2140" spans="21:23" x14ac:dyDescent="0.2">
      <c r="U2140" s="616"/>
      <c r="W2140" s="620" t="e">
        <f t="shared" si="46"/>
        <v>#DIV/0!</v>
      </c>
    </row>
    <row r="2141" spans="21:23" x14ac:dyDescent="0.2">
      <c r="U2141" s="616"/>
      <c r="W2141" s="620" t="e">
        <f t="shared" si="46"/>
        <v>#DIV/0!</v>
      </c>
    </row>
    <row r="2142" spans="21:23" x14ac:dyDescent="0.2">
      <c r="U2142" s="616"/>
      <c r="W2142" s="620" t="e">
        <f t="shared" si="46"/>
        <v>#DIV/0!</v>
      </c>
    </row>
    <row r="2143" spans="21:23" x14ac:dyDescent="0.2">
      <c r="U2143" s="616"/>
      <c r="W2143" s="620" t="e">
        <f t="shared" si="46"/>
        <v>#DIV/0!</v>
      </c>
    </row>
    <row r="2144" spans="21:23" x14ac:dyDescent="0.2">
      <c r="U2144" s="616"/>
      <c r="W2144" s="620" t="e">
        <f t="shared" si="46"/>
        <v>#DIV/0!</v>
      </c>
    </row>
    <row r="2145" spans="21:23" x14ac:dyDescent="0.2">
      <c r="U2145" s="616"/>
      <c r="W2145" s="620" t="e">
        <f t="shared" si="46"/>
        <v>#DIV/0!</v>
      </c>
    </row>
    <row r="2146" spans="21:23" x14ac:dyDescent="0.2">
      <c r="U2146" s="616"/>
      <c r="W2146" s="620" t="e">
        <f t="shared" si="46"/>
        <v>#DIV/0!</v>
      </c>
    </row>
    <row r="2147" spans="21:23" x14ac:dyDescent="0.2">
      <c r="U2147" s="616"/>
      <c r="W2147" s="620" t="e">
        <f t="shared" si="46"/>
        <v>#DIV/0!</v>
      </c>
    </row>
    <row r="2148" spans="21:23" x14ac:dyDescent="0.2">
      <c r="U2148" s="616"/>
      <c r="W2148" s="620" t="e">
        <f t="shared" si="46"/>
        <v>#DIV/0!</v>
      </c>
    </row>
    <row r="2149" spans="21:23" x14ac:dyDescent="0.2">
      <c r="U2149" s="616"/>
      <c r="W2149" s="620" t="e">
        <f t="shared" si="46"/>
        <v>#DIV/0!</v>
      </c>
    </row>
    <row r="2150" spans="21:23" x14ac:dyDescent="0.2">
      <c r="U2150" s="616"/>
      <c r="W2150" s="620" t="e">
        <f t="shared" si="46"/>
        <v>#DIV/0!</v>
      </c>
    </row>
    <row r="2151" spans="21:23" x14ac:dyDescent="0.2">
      <c r="U2151" s="616"/>
      <c r="W2151" s="620" t="e">
        <f t="shared" si="46"/>
        <v>#DIV/0!</v>
      </c>
    </row>
    <row r="2152" spans="21:23" x14ac:dyDescent="0.2">
      <c r="U2152" s="616"/>
      <c r="W2152" s="620" t="e">
        <f t="shared" si="46"/>
        <v>#DIV/0!</v>
      </c>
    </row>
    <row r="2153" spans="21:23" x14ac:dyDescent="0.2">
      <c r="U2153" s="616"/>
      <c r="W2153" s="620" t="e">
        <f t="shared" si="46"/>
        <v>#DIV/0!</v>
      </c>
    </row>
    <row r="2154" spans="21:23" x14ac:dyDescent="0.2">
      <c r="U2154" s="616"/>
      <c r="W2154" s="620" t="e">
        <f t="shared" si="46"/>
        <v>#DIV/0!</v>
      </c>
    </row>
    <row r="2155" spans="21:23" x14ac:dyDescent="0.2">
      <c r="U2155" s="616"/>
      <c r="W2155" s="620" t="e">
        <f t="shared" si="46"/>
        <v>#DIV/0!</v>
      </c>
    </row>
    <row r="2156" spans="21:23" x14ac:dyDescent="0.2">
      <c r="U2156" s="616"/>
      <c r="W2156" s="620" t="e">
        <f t="shared" si="46"/>
        <v>#DIV/0!</v>
      </c>
    </row>
    <row r="2157" spans="21:23" x14ac:dyDescent="0.2">
      <c r="U2157" s="616"/>
      <c r="W2157" s="620" t="e">
        <f t="shared" si="46"/>
        <v>#DIV/0!</v>
      </c>
    </row>
    <row r="2158" spans="21:23" x14ac:dyDescent="0.2">
      <c r="U2158" s="616"/>
      <c r="W2158" s="620" t="e">
        <f t="shared" si="46"/>
        <v>#DIV/0!</v>
      </c>
    </row>
    <row r="2159" spans="21:23" x14ac:dyDescent="0.2">
      <c r="U2159" s="616"/>
      <c r="W2159" s="620" t="e">
        <f t="shared" si="46"/>
        <v>#DIV/0!</v>
      </c>
    </row>
    <row r="2160" spans="21:23" x14ac:dyDescent="0.2">
      <c r="U2160" s="616"/>
      <c r="W2160" s="620" t="e">
        <f t="shared" si="46"/>
        <v>#DIV/0!</v>
      </c>
    </row>
    <row r="2161" spans="21:23" x14ac:dyDescent="0.2">
      <c r="U2161" s="616"/>
      <c r="W2161" s="620" t="e">
        <f t="shared" si="46"/>
        <v>#DIV/0!</v>
      </c>
    </row>
    <row r="2162" spans="21:23" x14ac:dyDescent="0.2">
      <c r="U2162" s="616"/>
      <c r="W2162" s="620" t="e">
        <f t="shared" si="46"/>
        <v>#DIV/0!</v>
      </c>
    </row>
    <row r="2163" spans="21:23" x14ac:dyDescent="0.2">
      <c r="U2163" s="616"/>
      <c r="W2163" s="620" t="e">
        <f t="shared" si="46"/>
        <v>#DIV/0!</v>
      </c>
    </row>
    <row r="2164" spans="21:23" x14ac:dyDescent="0.2">
      <c r="U2164" s="616"/>
      <c r="W2164" s="620" t="e">
        <f t="shared" si="46"/>
        <v>#DIV/0!</v>
      </c>
    </row>
    <row r="2165" spans="21:23" x14ac:dyDescent="0.2">
      <c r="U2165" s="616"/>
      <c r="W2165" s="620" t="e">
        <f t="shared" si="46"/>
        <v>#DIV/0!</v>
      </c>
    </row>
    <row r="2166" spans="21:23" x14ac:dyDescent="0.2">
      <c r="U2166" s="616"/>
      <c r="W2166" s="620" t="e">
        <f t="shared" si="46"/>
        <v>#DIV/0!</v>
      </c>
    </row>
    <row r="2167" spans="21:23" x14ac:dyDescent="0.2">
      <c r="U2167" s="616"/>
      <c r="W2167" s="620" t="e">
        <f t="shared" si="46"/>
        <v>#DIV/0!</v>
      </c>
    </row>
    <row r="2168" spans="21:23" x14ac:dyDescent="0.2">
      <c r="U2168" s="616"/>
      <c r="W2168" s="620" t="e">
        <f t="shared" si="46"/>
        <v>#DIV/0!</v>
      </c>
    </row>
    <row r="2169" spans="21:23" x14ac:dyDescent="0.2">
      <c r="U2169" s="616"/>
      <c r="W2169" s="620" t="e">
        <f t="shared" si="46"/>
        <v>#DIV/0!</v>
      </c>
    </row>
    <row r="2170" spans="21:23" x14ac:dyDescent="0.2">
      <c r="U2170" s="616"/>
      <c r="W2170" s="620" t="e">
        <f t="shared" si="46"/>
        <v>#DIV/0!</v>
      </c>
    </row>
    <row r="2171" spans="21:23" x14ac:dyDescent="0.2">
      <c r="U2171" s="616"/>
      <c r="W2171" s="620" t="e">
        <f t="shared" si="46"/>
        <v>#DIV/0!</v>
      </c>
    </row>
    <row r="2172" spans="21:23" x14ac:dyDescent="0.2">
      <c r="U2172" s="616"/>
      <c r="W2172" s="620" t="e">
        <f t="shared" si="46"/>
        <v>#DIV/0!</v>
      </c>
    </row>
    <row r="2173" spans="21:23" x14ac:dyDescent="0.2">
      <c r="U2173" s="616"/>
      <c r="W2173" s="620" t="e">
        <f t="shared" si="46"/>
        <v>#DIV/0!</v>
      </c>
    </row>
    <row r="2174" spans="21:23" x14ac:dyDescent="0.2">
      <c r="U2174" s="616"/>
      <c r="W2174" s="620" t="e">
        <f t="shared" si="46"/>
        <v>#DIV/0!</v>
      </c>
    </row>
    <row r="2175" spans="21:23" x14ac:dyDescent="0.2">
      <c r="U2175" s="616"/>
      <c r="W2175" s="620" t="e">
        <f t="shared" si="46"/>
        <v>#DIV/0!</v>
      </c>
    </row>
    <row r="2176" spans="21:23" x14ac:dyDescent="0.2">
      <c r="U2176" s="616"/>
      <c r="W2176" s="620" t="e">
        <f t="shared" si="46"/>
        <v>#DIV/0!</v>
      </c>
    </row>
    <row r="2177" spans="21:23" x14ac:dyDescent="0.2">
      <c r="U2177" s="616"/>
      <c r="W2177" s="620" t="e">
        <f t="shared" si="46"/>
        <v>#DIV/0!</v>
      </c>
    </row>
    <row r="2178" spans="21:23" x14ac:dyDescent="0.2">
      <c r="U2178" s="616"/>
      <c r="W2178" s="620" t="e">
        <f t="shared" si="46"/>
        <v>#DIV/0!</v>
      </c>
    </row>
    <row r="2179" spans="21:23" x14ac:dyDescent="0.2">
      <c r="U2179" s="616"/>
      <c r="W2179" s="620" t="e">
        <f t="shared" si="46"/>
        <v>#DIV/0!</v>
      </c>
    </row>
    <row r="2180" spans="21:23" x14ac:dyDescent="0.2">
      <c r="U2180" s="616"/>
      <c r="W2180" s="620" t="e">
        <f t="shared" ref="W2180:W2243" si="47">AVERAGE($V$4:$V$2517)</f>
        <v>#DIV/0!</v>
      </c>
    </row>
    <row r="2181" spans="21:23" x14ac:dyDescent="0.2">
      <c r="U2181" s="616"/>
      <c r="W2181" s="620" t="e">
        <f t="shared" si="47"/>
        <v>#DIV/0!</v>
      </c>
    </row>
    <row r="2182" spans="21:23" x14ac:dyDescent="0.2">
      <c r="U2182" s="616"/>
      <c r="W2182" s="620" t="e">
        <f t="shared" si="47"/>
        <v>#DIV/0!</v>
      </c>
    </row>
    <row r="2183" spans="21:23" x14ac:dyDescent="0.2">
      <c r="U2183" s="616"/>
      <c r="W2183" s="620" t="e">
        <f t="shared" si="47"/>
        <v>#DIV/0!</v>
      </c>
    </row>
    <row r="2184" spans="21:23" x14ac:dyDescent="0.2">
      <c r="U2184" s="616"/>
      <c r="W2184" s="620" t="e">
        <f t="shared" si="47"/>
        <v>#DIV/0!</v>
      </c>
    </row>
    <row r="2185" spans="21:23" x14ac:dyDescent="0.2">
      <c r="U2185" s="616"/>
      <c r="W2185" s="620" t="e">
        <f t="shared" si="47"/>
        <v>#DIV/0!</v>
      </c>
    </row>
    <row r="2186" spans="21:23" x14ac:dyDescent="0.2">
      <c r="U2186" s="616"/>
      <c r="W2186" s="620" t="e">
        <f t="shared" si="47"/>
        <v>#DIV/0!</v>
      </c>
    </row>
    <row r="2187" spans="21:23" x14ac:dyDescent="0.2">
      <c r="U2187" s="616"/>
      <c r="W2187" s="620" t="e">
        <f t="shared" si="47"/>
        <v>#DIV/0!</v>
      </c>
    </row>
    <row r="2188" spans="21:23" x14ac:dyDescent="0.2">
      <c r="U2188" s="616"/>
      <c r="W2188" s="620" t="e">
        <f t="shared" si="47"/>
        <v>#DIV/0!</v>
      </c>
    </row>
    <row r="2189" spans="21:23" x14ac:dyDescent="0.2">
      <c r="U2189" s="616"/>
      <c r="W2189" s="620" t="e">
        <f t="shared" si="47"/>
        <v>#DIV/0!</v>
      </c>
    </row>
    <row r="2190" spans="21:23" x14ac:dyDescent="0.2">
      <c r="U2190" s="616"/>
      <c r="W2190" s="620" t="e">
        <f t="shared" si="47"/>
        <v>#DIV/0!</v>
      </c>
    </row>
    <row r="2191" spans="21:23" x14ac:dyDescent="0.2">
      <c r="U2191" s="616"/>
      <c r="W2191" s="620" t="e">
        <f t="shared" si="47"/>
        <v>#DIV/0!</v>
      </c>
    </row>
    <row r="2192" spans="21:23" x14ac:dyDescent="0.2">
      <c r="U2192" s="616"/>
      <c r="W2192" s="620" t="e">
        <f t="shared" si="47"/>
        <v>#DIV/0!</v>
      </c>
    </row>
    <row r="2193" spans="21:23" x14ac:dyDescent="0.2">
      <c r="U2193" s="616"/>
      <c r="W2193" s="620" t="e">
        <f t="shared" si="47"/>
        <v>#DIV/0!</v>
      </c>
    </row>
    <row r="2194" spans="21:23" x14ac:dyDescent="0.2">
      <c r="U2194" s="616"/>
      <c r="W2194" s="620" t="e">
        <f t="shared" si="47"/>
        <v>#DIV/0!</v>
      </c>
    </row>
    <row r="2195" spans="21:23" x14ac:dyDescent="0.2">
      <c r="U2195" s="616"/>
      <c r="W2195" s="620" t="e">
        <f t="shared" si="47"/>
        <v>#DIV/0!</v>
      </c>
    </row>
    <row r="2196" spans="21:23" x14ac:dyDescent="0.2">
      <c r="U2196" s="616"/>
      <c r="W2196" s="620" t="e">
        <f t="shared" si="47"/>
        <v>#DIV/0!</v>
      </c>
    </row>
    <row r="2197" spans="21:23" x14ac:dyDescent="0.2">
      <c r="U2197" s="616"/>
      <c r="W2197" s="620" t="e">
        <f t="shared" si="47"/>
        <v>#DIV/0!</v>
      </c>
    </row>
    <row r="2198" spans="21:23" x14ac:dyDescent="0.2">
      <c r="U2198" s="616"/>
      <c r="W2198" s="620" t="e">
        <f t="shared" si="47"/>
        <v>#DIV/0!</v>
      </c>
    </row>
    <row r="2199" spans="21:23" x14ac:dyDescent="0.2">
      <c r="U2199" s="616"/>
      <c r="W2199" s="620" t="e">
        <f t="shared" si="47"/>
        <v>#DIV/0!</v>
      </c>
    </row>
    <row r="2200" spans="21:23" x14ac:dyDescent="0.2">
      <c r="U2200" s="616"/>
      <c r="W2200" s="620" t="e">
        <f t="shared" si="47"/>
        <v>#DIV/0!</v>
      </c>
    </row>
    <row r="2201" spans="21:23" x14ac:dyDescent="0.2">
      <c r="U2201" s="616"/>
      <c r="W2201" s="620" t="e">
        <f t="shared" si="47"/>
        <v>#DIV/0!</v>
      </c>
    </row>
    <row r="2202" spans="21:23" x14ac:dyDescent="0.2">
      <c r="U2202" s="616"/>
      <c r="W2202" s="620" t="e">
        <f t="shared" si="47"/>
        <v>#DIV/0!</v>
      </c>
    </row>
    <row r="2203" spans="21:23" x14ac:dyDescent="0.2">
      <c r="U2203" s="616"/>
      <c r="W2203" s="620" t="e">
        <f t="shared" si="47"/>
        <v>#DIV/0!</v>
      </c>
    </row>
    <row r="2204" spans="21:23" x14ac:dyDescent="0.2">
      <c r="U2204" s="616"/>
      <c r="W2204" s="620" t="e">
        <f t="shared" si="47"/>
        <v>#DIV/0!</v>
      </c>
    </row>
    <row r="2205" spans="21:23" x14ac:dyDescent="0.2">
      <c r="U2205" s="616"/>
      <c r="W2205" s="620" t="e">
        <f t="shared" si="47"/>
        <v>#DIV/0!</v>
      </c>
    </row>
    <row r="2206" spans="21:23" x14ac:dyDescent="0.2">
      <c r="U2206" s="616"/>
      <c r="W2206" s="620" t="e">
        <f t="shared" si="47"/>
        <v>#DIV/0!</v>
      </c>
    </row>
    <row r="2207" spans="21:23" x14ac:dyDescent="0.2">
      <c r="U2207" s="616"/>
      <c r="W2207" s="620" t="e">
        <f t="shared" si="47"/>
        <v>#DIV/0!</v>
      </c>
    </row>
    <row r="2208" spans="21:23" x14ac:dyDescent="0.2">
      <c r="U2208" s="616"/>
      <c r="W2208" s="620" t="e">
        <f t="shared" si="47"/>
        <v>#DIV/0!</v>
      </c>
    </row>
    <row r="2209" spans="21:23" x14ac:dyDescent="0.2">
      <c r="U2209" s="616"/>
      <c r="W2209" s="620" t="e">
        <f t="shared" si="47"/>
        <v>#DIV/0!</v>
      </c>
    </row>
    <row r="2210" spans="21:23" x14ac:dyDescent="0.2">
      <c r="U2210" s="616"/>
      <c r="W2210" s="620" t="e">
        <f t="shared" si="47"/>
        <v>#DIV/0!</v>
      </c>
    </row>
    <row r="2211" spans="21:23" x14ac:dyDescent="0.2">
      <c r="U2211" s="616"/>
      <c r="W2211" s="620" t="e">
        <f t="shared" si="47"/>
        <v>#DIV/0!</v>
      </c>
    </row>
    <row r="2212" spans="21:23" x14ac:dyDescent="0.2">
      <c r="U2212" s="616"/>
      <c r="W2212" s="620" t="e">
        <f t="shared" si="47"/>
        <v>#DIV/0!</v>
      </c>
    </row>
    <row r="2213" spans="21:23" x14ac:dyDescent="0.2">
      <c r="U2213" s="616"/>
      <c r="W2213" s="620" t="e">
        <f t="shared" si="47"/>
        <v>#DIV/0!</v>
      </c>
    </row>
    <row r="2214" spans="21:23" x14ac:dyDescent="0.2">
      <c r="U2214" s="616"/>
      <c r="W2214" s="620" t="e">
        <f t="shared" si="47"/>
        <v>#DIV/0!</v>
      </c>
    </row>
    <row r="2215" spans="21:23" x14ac:dyDescent="0.2">
      <c r="U2215" s="616"/>
      <c r="W2215" s="620" t="e">
        <f t="shared" si="47"/>
        <v>#DIV/0!</v>
      </c>
    </row>
    <row r="2216" spans="21:23" x14ac:dyDescent="0.2">
      <c r="U2216" s="616"/>
      <c r="W2216" s="620" t="e">
        <f t="shared" si="47"/>
        <v>#DIV/0!</v>
      </c>
    </row>
    <row r="2217" spans="21:23" x14ac:dyDescent="0.2">
      <c r="U2217" s="616"/>
      <c r="W2217" s="620" t="e">
        <f t="shared" si="47"/>
        <v>#DIV/0!</v>
      </c>
    </row>
    <row r="2218" spans="21:23" x14ac:dyDescent="0.2">
      <c r="U2218" s="616"/>
      <c r="W2218" s="620" t="e">
        <f t="shared" si="47"/>
        <v>#DIV/0!</v>
      </c>
    </row>
    <row r="2219" spans="21:23" x14ac:dyDescent="0.2">
      <c r="U2219" s="616"/>
      <c r="W2219" s="620" t="e">
        <f t="shared" si="47"/>
        <v>#DIV/0!</v>
      </c>
    </row>
    <row r="2220" spans="21:23" x14ac:dyDescent="0.2">
      <c r="U2220" s="616"/>
      <c r="W2220" s="620" t="e">
        <f t="shared" si="47"/>
        <v>#DIV/0!</v>
      </c>
    </row>
    <row r="2221" spans="21:23" x14ac:dyDescent="0.2">
      <c r="U2221" s="616"/>
      <c r="W2221" s="620" t="e">
        <f t="shared" si="47"/>
        <v>#DIV/0!</v>
      </c>
    </row>
    <row r="2222" spans="21:23" x14ac:dyDescent="0.2">
      <c r="U2222" s="616"/>
      <c r="W2222" s="620" t="e">
        <f t="shared" si="47"/>
        <v>#DIV/0!</v>
      </c>
    </row>
    <row r="2223" spans="21:23" x14ac:dyDescent="0.2">
      <c r="U2223" s="616"/>
      <c r="W2223" s="620" t="e">
        <f t="shared" si="47"/>
        <v>#DIV/0!</v>
      </c>
    </row>
    <row r="2224" spans="21:23" x14ac:dyDescent="0.2">
      <c r="U2224" s="616"/>
      <c r="W2224" s="620" t="e">
        <f t="shared" si="47"/>
        <v>#DIV/0!</v>
      </c>
    </row>
    <row r="2225" spans="21:23" x14ac:dyDescent="0.2">
      <c r="U2225" s="616"/>
      <c r="W2225" s="620" t="e">
        <f t="shared" si="47"/>
        <v>#DIV/0!</v>
      </c>
    </row>
    <row r="2226" spans="21:23" x14ac:dyDescent="0.2">
      <c r="U2226" s="616"/>
      <c r="W2226" s="620" t="e">
        <f t="shared" si="47"/>
        <v>#DIV/0!</v>
      </c>
    </row>
    <row r="2227" spans="21:23" x14ac:dyDescent="0.2">
      <c r="U2227" s="616"/>
      <c r="W2227" s="620" t="e">
        <f t="shared" si="47"/>
        <v>#DIV/0!</v>
      </c>
    </row>
    <row r="2228" spans="21:23" x14ac:dyDescent="0.2">
      <c r="U2228" s="616"/>
      <c r="W2228" s="620" t="e">
        <f t="shared" si="47"/>
        <v>#DIV/0!</v>
      </c>
    </row>
    <row r="2229" spans="21:23" x14ac:dyDescent="0.2">
      <c r="U2229" s="616"/>
      <c r="W2229" s="620" t="e">
        <f t="shared" si="47"/>
        <v>#DIV/0!</v>
      </c>
    </row>
    <row r="2230" spans="21:23" x14ac:dyDescent="0.2">
      <c r="U2230" s="616"/>
      <c r="W2230" s="620" t="e">
        <f t="shared" si="47"/>
        <v>#DIV/0!</v>
      </c>
    </row>
    <row r="2231" spans="21:23" x14ac:dyDescent="0.2">
      <c r="U2231" s="616"/>
      <c r="W2231" s="620" t="e">
        <f t="shared" si="47"/>
        <v>#DIV/0!</v>
      </c>
    </row>
    <row r="2232" spans="21:23" x14ac:dyDescent="0.2">
      <c r="U2232" s="616"/>
      <c r="W2232" s="620" t="e">
        <f t="shared" si="47"/>
        <v>#DIV/0!</v>
      </c>
    </row>
    <row r="2233" spans="21:23" x14ac:dyDescent="0.2">
      <c r="U2233" s="616"/>
      <c r="W2233" s="620" t="e">
        <f t="shared" si="47"/>
        <v>#DIV/0!</v>
      </c>
    </row>
    <row r="2234" spans="21:23" x14ac:dyDescent="0.2">
      <c r="U2234" s="616"/>
      <c r="W2234" s="620" t="e">
        <f t="shared" si="47"/>
        <v>#DIV/0!</v>
      </c>
    </row>
    <row r="2235" spans="21:23" x14ac:dyDescent="0.2">
      <c r="U2235" s="616"/>
      <c r="W2235" s="620" t="e">
        <f t="shared" si="47"/>
        <v>#DIV/0!</v>
      </c>
    </row>
    <row r="2236" spans="21:23" x14ac:dyDescent="0.2">
      <c r="U2236" s="616"/>
      <c r="W2236" s="620" t="e">
        <f t="shared" si="47"/>
        <v>#DIV/0!</v>
      </c>
    </row>
    <row r="2237" spans="21:23" x14ac:dyDescent="0.2">
      <c r="U2237" s="616"/>
      <c r="W2237" s="620" t="e">
        <f t="shared" si="47"/>
        <v>#DIV/0!</v>
      </c>
    </row>
    <row r="2238" spans="21:23" x14ac:dyDescent="0.2">
      <c r="U2238" s="616"/>
      <c r="W2238" s="620" t="e">
        <f t="shared" si="47"/>
        <v>#DIV/0!</v>
      </c>
    </row>
    <row r="2239" spans="21:23" x14ac:dyDescent="0.2">
      <c r="U2239" s="616"/>
      <c r="W2239" s="620" t="e">
        <f t="shared" si="47"/>
        <v>#DIV/0!</v>
      </c>
    </row>
    <row r="2240" spans="21:23" x14ac:dyDescent="0.2">
      <c r="U2240" s="616"/>
      <c r="W2240" s="620" t="e">
        <f t="shared" si="47"/>
        <v>#DIV/0!</v>
      </c>
    </row>
    <row r="2241" spans="21:23" x14ac:dyDescent="0.2">
      <c r="U2241" s="616"/>
      <c r="W2241" s="620" t="e">
        <f t="shared" si="47"/>
        <v>#DIV/0!</v>
      </c>
    </row>
    <row r="2242" spans="21:23" x14ac:dyDescent="0.2">
      <c r="U2242" s="616"/>
      <c r="W2242" s="620" t="e">
        <f t="shared" si="47"/>
        <v>#DIV/0!</v>
      </c>
    </row>
    <row r="2243" spans="21:23" x14ac:dyDescent="0.2">
      <c r="U2243" s="616"/>
      <c r="W2243" s="620" t="e">
        <f t="shared" si="47"/>
        <v>#DIV/0!</v>
      </c>
    </row>
    <row r="2244" spans="21:23" x14ac:dyDescent="0.2">
      <c r="U2244" s="616"/>
      <c r="W2244" s="620" t="e">
        <f t="shared" ref="W2244:W2307" si="48">AVERAGE($V$4:$V$2517)</f>
        <v>#DIV/0!</v>
      </c>
    </row>
    <row r="2245" spans="21:23" x14ac:dyDescent="0.2">
      <c r="U2245" s="616"/>
      <c r="W2245" s="620" t="e">
        <f t="shared" si="48"/>
        <v>#DIV/0!</v>
      </c>
    </row>
    <row r="2246" spans="21:23" x14ac:dyDescent="0.2">
      <c r="U2246" s="616"/>
      <c r="W2246" s="620" t="e">
        <f t="shared" si="48"/>
        <v>#DIV/0!</v>
      </c>
    </row>
    <row r="2247" spans="21:23" x14ac:dyDescent="0.2">
      <c r="U2247" s="616"/>
      <c r="W2247" s="620" t="e">
        <f t="shared" si="48"/>
        <v>#DIV/0!</v>
      </c>
    </row>
    <row r="2248" spans="21:23" x14ac:dyDescent="0.2">
      <c r="U2248" s="616"/>
      <c r="W2248" s="620" t="e">
        <f t="shared" si="48"/>
        <v>#DIV/0!</v>
      </c>
    </row>
    <row r="2249" spans="21:23" x14ac:dyDescent="0.2">
      <c r="U2249" s="616"/>
      <c r="W2249" s="620" t="e">
        <f t="shared" si="48"/>
        <v>#DIV/0!</v>
      </c>
    </row>
    <row r="2250" spans="21:23" x14ac:dyDescent="0.2">
      <c r="U2250" s="616"/>
      <c r="W2250" s="620" t="e">
        <f t="shared" si="48"/>
        <v>#DIV/0!</v>
      </c>
    </row>
    <row r="2251" spans="21:23" x14ac:dyDescent="0.2">
      <c r="U2251" s="616"/>
      <c r="W2251" s="620" t="e">
        <f t="shared" si="48"/>
        <v>#DIV/0!</v>
      </c>
    </row>
    <row r="2252" spans="21:23" x14ac:dyDescent="0.2">
      <c r="U2252" s="616"/>
      <c r="W2252" s="620" t="e">
        <f t="shared" si="48"/>
        <v>#DIV/0!</v>
      </c>
    </row>
    <row r="2253" spans="21:23" x14ac:dyDescent="0.2">
      <c r="U2253" s="616"/>
      <c r="W2253" s="620" t="e">
        <f t="shared" si="48"/>
        <v>#DIV/0!</v>
      </c>
    </row>
    <row r="2254" spans="21:23" x14ac:dyDescent="0.2">
      <c r="U2254" s="616"/>
      <c r="W2254" s="620" t="e">
        <f t="shared" si="48"/>
        <v>#DIV/0!</v>
      </c>
    </row>
    <row r="2255" spans="21:23" x14ac:dyDescent="0.2">
      <c r="U2255" s="616"/>
      <c r="W2255" s="620" t="e">
        <f t="shared" si="48"/>
        <v>#DIV/0!</v>
      </c>
    </row>
    <row r="2256" spans="21:23" x14ac:dyDescent="0.2">
      <c r="U2256" s="616"/>
      <c r="W2256" s="620" t="e">
        <f t="shared" si="48"/>
        <v>#DIV/0!</v>
      </c>
    </row>
    <row r="2257" spans="21:23" x14ac:dyDescent="0.2">
      <c r="U2257" s="616"/>
      <c r="W2257" s="620" t="e">
        <f t="shared" si="48"/>
        <v>#DIV/0!</v>
      </c>
    </row>
    <row r="2258" spans="21:23" x14ac:dyDescent="0.2">
      <c r="U2258" s="616"/>
      <c r="W2258" s="620" t="e">
        <f t="shared" si="48"/>
        <v>#DIV/0!</v>
      </c>
    </row>
    <row r="2259" spans="21:23" x14ac:dyDescent="0.2">
      <c r="U2259" s="616"/>
      <c r="W2259" s="620" t="e">
        <f t="shared" si="48"/>
        <v>#DIV/0!</v>
      </c>
    </row>
    <row r="2260" spans="21:23" x14ac:dyDescent="0.2">
      <c r="U2260" s="616"/>
      <c r="W2260" s="620" t="e">
        <f t="shared" si="48"/>
        <v>#DIV/0!</v>
      </c>
    </row>
    <row r="2261" spans="21:23" x14ac:dyDescent="0.2">
      <c r="U2261" s="616"/>
      <c r="W2261" s="620" t="e">
        <f t="shared" si="48"/>
        <v>#DIV/0!</v>
      </c>
    </row>
    <row r="2262" spans="21:23" x14ac:dyDescent="0.2">
      <c r="U2262" s="616"/>
      <c r="W2262" s="620" t="e">
        <f t="shared" si="48"/>
        <v>#DIV/0!</v>
      </c>
    </row>
    <row r="2263" spans="21:23" x14ac:dyDescent="0.2">
      <c r="U2263" s="616"/>
      <c r="W2263" s="620" t="e">
        <f t="shared" si="48"/>
        <v>#DIV/0!</v>
      </c>
    </row>
    <row r="2264" spans="21:23" x14ac:dyDescent="0.2">
      <c r="U2264" s="616"/>
      <c r="W2264" s="620" t="e">
        <f t="shared" si="48"/>
        <v>#DIV/0!</v>
      </c>
    </row>
    <row r="2265" spans="21:23" x14ac:dyDescent="0.2">
      <c r="U2265" s="616"/>
      <c r="W2265" s="620" t="e">
        <f t="shared" si="48"/>
        <v>#DIV/0!</v>
      </c>
    </row>
    <row r="2266" spans="21:23" x14ac:dyDescent="0.2">
      <c r="U2266" s="616"/>
      <c r="W2266" s="620" t="e">
        <f t="shared" si="48"/>
        <v>#DIV/0!</v>
      </c>
    </row>
    <row r="2267" spans="21:23" x14ac:dyDescent="0.2">
      <c r="U2267" s="616"/>
      <c r="W2267" s="620" t="e">
        <f t="shared" si="48"/>
        <v>#DIV/0!</v>
      </c>
    </row>
    <row r="2268" spans="21:23" x14ac:dyDescent="0.2">
      <c r="U2268" s="616"/>
      <c r="W2268" s="620" t="e">
        <f t="shared" si="48"/>
        <v>#DIV/0!</v>
      </c>
    </row>
    <row r="2269" spans="21:23" x14ac:dyDescent="0.2">
      <c r="U2269" s="616"/>
      <c r="W2269" s="620" t="e">
        <f t="shared" si="48"/>
        <v>#DIV/0!</v>
      </c>
    </row>
    <row r="2270" spans="21:23" x14ac:dyDescent="0.2">
      <c r="U2270" s="616"/>
      <c r="W2270" s="620" t="e">
        <f t="shared" si="48"/>
        <v>#DIV/0!</v>
      </c>
    </row>
    <row r="2271" spans="21:23" x14ac:dyDescent="0.2">
      <c r="U2271" s="616"/>
      <c r="W2271" s="620" t="e">
        <f t="shared" si="48"/>
        <v>#DIV/0!</v>
      </c>
    </row>
    <row r="2272" spans="21:23" x14ac:dyDescent="0.2">
      <c r="U2272" s="616"/>
      <c r="W2272" s="620" t="e">
        <f t="shared" si="48"/>
        <v>#DIV/0!</v>
      </c>
    </row>
    <row r="2273" spans="21:23" x14ac:dyDescent="0.2">
      <c r="U2273" s="616"/>
      <c r="W2273" s="620" t="e">
        <f t="shared" si="48"/>
        <v>#DIV/0!</v>
      </c>
    </row>
    <row r="2274" spans="21:23" x14ac:dyDescent="0.2">
      <c r="U2274" s="616"/>
      <c r="W2274" s="620" t="e">
        <f t="shared" si="48"/>
        <v>#DIV/0!</v>
      </c>
    </row>
    <row r="2275" spans="21:23" x14ac:dyDescent="0.2">
      <c r="U2275" s="616"/>
      <c r="W2275" s="620" t="e">
        <f t="shared" si="48"/>
        <v>#DIV/0!</v>
      </c>
    </row>
    <row r="2276" spans="21:23" x14ac:dyDescent="0.2">
      <c r="U2276" s="616"/>
      <c r="W2276" s="620" t="e">
        <f t="shared" si="48"/>
        <v>#DIV/0!</v>
      </c>
    </row>
    <row r="2277" spans="21:23" x14ac:dyDescent="0.2">
      <c r="U2277" s="616"/>
      <c r="W2277" s="620" t="e">
        <f t="shared" si="48"/>
        <v>#DIV/0!</v>
      </c>
    </row>
    <row r="2278" spans="21:23" x14ac:dyDescent="0.2">
      <c r="U2278" s="616"/>
      <c r="W2278" s="620" t="e">
        <f t="shared" si="48"/>
        <v>#DIV/0!</v>
      </c>
    </row>
    <row r="2279" spans="21:23" x14ac:dyDescent="0.2">
      <c r="U2279" s="616"/>
      <c r="W2279" s="620" t="e">
        <f t="shared" si="48"/>
        <v>#DIV/0!</v>
      </c>
    </row>
    <row r="2280" spans="21:23" x14ac:dyDescent="0.2">
      <c r="U2280" s="616"/>
      <c r="W2280" s="620" t="e">
        <f t="shared" si="48"/>
        <v>#DIV/0!</v>
      </c>
    </row>
    <row r="2281" spans="21:23" x14ac:dyDescent="0.2">
      <c r="U2281" s="616"/>
      <c r="W2281" s="620" t="e">
        <f t="shared" si="48"/>
        <v>#DIV/0!</v>
      </c>
    </row>
    <row r="2282" spans="21:23" x14ac:dyDescent="0.2">
      <c r="U2282" s="616"/>
      <c r="W2282" s="620" t="e">
        <f t="shared" si="48"/>
        <v>#DIV/0!</v>
      </c>
    </row>
    <row r="2283" spans="21:23" x14ac:dyDescent="0.2">
      <c r="U2283" s="616"/>
      <c r="W2283" s="620" t="e">
        <f t="shared" si="48"/>
        <v>#DIV/0!</v>
      </c>
    </row>
    <row r="2284" spans="21:23" x14ac:dyDescent="0.2">
      <c r="U2284" s="616"/>
      <c r="W2284" s="620" t="e">
        <f t="shared" si="48"/>
        <v>#DIV/0!</v>
      </c>
    </row>
    <row r="2285" spans="21:23" x14ac:dyDescent="0.2">
      <c r="U2285" s="616"/>
      <c r="W2285" s="620" t="e">
        <f t="shared" si="48"/>
        <v>#DIV/0!</v>
      </c>
    </row>
    <row r="2286" spans="21:23" x14ac:dyDescent="0.2">
      <c r="U2286" s="616"/>
      <c r="W2286" s="620" t="e">
        <f t="shared" si="48"/>
        <v>#DIV/0!</v>
      </c>
    </row>
    <row r="2287" spans="21:23" x14ac:dyDescent="0.2">
      <c r="U2287" s="616"/>
      <c r="W2287" s="620" t="e">
        <f t="shared" si="48"/>
        <v>#DIV/0!</v>
      </c>
    </row>
    <row r="2288" spans="21:23" x14ac:dyDescent="0.2">
      <c r="U2288" s="616"/>
      <c r="W2288" s="620" t="e">
        <f t="shared" si="48"/>
        <v>#DIV/0!</v>
      </c>
    </row>
    <row r="2289" spans="21:23" x14ac:dyDescent="0.2">
      <c r="U2289" s="616"/>
      <c r="W2289" s="620" t="e">
        <f t="shared" si="48"/>
        <v>#DIV/0!</v>
      </c>
    </row>
    <row r="2290" spans="21:23" x14ac:dyDescent="0.2">
      <c r="U2290" s="616"/>
      <c r="W2290" s="620" t="e">
        <f t="shared" si="48"/>
        <v>#DIV/0!</v>
      </c>
    </row>
    <row r="2291" spans="21:23" x14ac:dyDescent="0.2">
      <c r="U2291" s="616"/>
      <c r="W2291" s="620" t="e">
        <f t="shared" si="48"/>
        <v>#DIV/0!</v>
      </c>
    </row>
    <row r="2292" spans="21:23" x14ac:dyDescent="0.2">
      <c r="U2292" s="616"/>
      <c r="W2292" s="620" t="e">
        <f t="shared" si="48"/>
        <v>#DIV/0!</v>
      </c>
    </row>
    <row r="2293" spans="21:23" x14ac:dyDescent="0.2">
      <c r="U2293" s="616"/>
      <c r="W2293" s="620" t="e">
        <f t="shared" si="48"/>
        <v>#DIV/0!</v>
      </c>
    </row>
    <row r="2294" spans="21:23" x14ac:dyDescent="0.2">
      <c r="U2294" s="616"/>
      <c r="W2294" s="620" t="e">
        <f t="shared" si="48"/>
        <v>#DIV/0!</v>
      </c>
    </row>
    <row r="2295" spans="21:23" x14ac:dyDescent="0.2">
      <c r="U2295" s="616"/>
      <c r="W2295" s="620" t="e">
        <f t="shared" si="48"/>
        <v>#DIV/0!</v>
      </c>
    </row>
    <row r="2296" spans="21:23" x14ac:dyDescent="0.2">
      <c r="U2296" s="616"/>
      <c r="W2296" s="620" t="e">
        <f t="shared" si="48"/>
        <v>#DIV/0!</v>
      </c>
    </row>
    <row r="2297" spans="21:23" x14ac:dyDescent="0.2">
      <c r="U2297" s="616"/>
      <c r="W2297" s="620" t="e">
        <f t="shared" si="48"/>
        <v>#DIV/0!</v>
      </c>
    </row>
    <row r="2298" spans="21:23" x14ac:dyDescent="0.2">
      <c r="U2298" s="616"/>
      <c r="W2298" s="620" t="e">
        <f t="shared" si="48"/>
        <v>#DIV/0!</v>
      </c>
    </row>
    <row r="2299" spans="21:23" x14ac:dyDescent="0.2">
      <c r="U2299" s="616"/>
      <c r="W2299" s="620" t="e">
        <f t="shared" si="48"/>
        <v>#DIV/0!</v>
      </c>
    </row>
    <row r="2300" spans="21:23" x14ac:dyDescent="0.2">
      <c r="U2300" s="616"/>
      <c r="W2300" s="620" t="e">
        <f t="shared" si="48"/>
        <v>#DIV/0!</v>
      </c>
    </row>
    <row r="2301" spans="21:23" x14ac:dyDescent="0.2">
      <c r="U2301" s="616"/>
      <c r="W2301" s="620" t="e">
        <f t="shared" si="48"/>
        <v>#DIV/0!</v>
      </c>
    </row>
    <row r="2302" spans="21:23" x14ac:dyDescent="0.2">
      <c r="U2302" s="616"/>
      <c r="W2302" s="620" t="e">
        <f t="shared" si="48"/>
        <v>#DIV/0!</v>
      </c>
    </row>
    <row r="2303" spans="21:23" x14ac:dyDescent="0.2">
      <c r="U2303" s="616"/>
      <c r="W2303" s="620" t="e">
        <f t="shared" si="48"/>
        <v>#DIV/0!</v>
      </c>
    </row>
    <row r="2304" spans="21:23" x14ac:dyDescent="0.2">
      <c r="U2304" s="616"/>
      <c r="W2304" s="620" t="e">
        <f t="shared" si="48"/>
        <v>#DIV/0!</v>
      </c>
    </row>
    <row r="2305" spans="21:23" x14ac:dyDescent="0.2">
      <c r="U2305" s="616"/>
      <c r="W2305" s="620" t="e">
        <f t="shared" si="48"/>
        <v>#DIV/0!</v>
      </c>
    </row>
    <row r="2306" spans="21:23" x14ac:dyDescent="0.2">
      <c r="U2306" s="616"/>
      <c r="W2306" s="620" t="e">
        <f t="shared" si="48"/>
        <v>#DIV/0!</v>
      </c>
    </row>
    <row r="2307" spans="21:23" x14ac:dyDescent="0.2">
      <c r="U2307" s="616"/>
      <c r="W2307" s="620" t="e">
        <f t="shared" si="48"/>
        <v>#DIV/0!</v>
      </c>
    </row>
    <row r="2308" spans="21:23" x14ac:dyDescent="0.2">
      <c r="U2308" s="616"/>
      <c r="W2308" s="620" t="e">
        <f t="shared" ref="W2308:W2371" si="49">AVERAGE($V$4:$V$2517)</f>
        <v>#DIV/0!</v>
      </c>
    </row>
    <row r="2309" spans="21:23" x14ac:dyDescent="0.2">
      <c r="U2309" s="616"/>
      <c r="W2309" s="620" t="e">
        <f t="shared" si="49"/>
        <v>#DIV/0!</v>
      </c>
    </row>
    <row r="2310" spans="21:23" x14ac:dyDescent="0.2">
      <c r="U2310" s="616"/>
      <c r="W2310" s="620" t="e">
        <f t="shared" si="49"/>
        <v>#DIV/0!</v>
      </c>
    </row>
    <row r="2311" spans="21:23" x14ac:dyDescent="0.2">
      <c r="U2311" s="616"/>
      <c r="W2311" s="620" t="e">
        <f t="shared" si="49"/>
        <v>#DIV/0!</v>
      </c>
    </row>
    <row r="2312" spans="21:23" x14ac:dyDescent="0.2">
      <c r="U2312" s="616"/>
      <c r="W2312" s="620" t="e">
        <f t="shared" si="49"/>
        <v>#DIV/0!</v>
      </c>
    </row>
    <row r="2313" spans="21:23" x14ac:dyDescent="0.2">
      <c r="U2313" s="616"/>
      <c r="W2313" s="620" t="e">
        <f t="shared" si="49"/>
        <v>#DIV/0!</v>
      </c>
    </row>
    <row r="2314" spans="21:23" x14ac:dyDescent="0.2">
      <c r="U2314" s="616"/>
      <c r="W2314" s="620" t="e">
        <f t="shared" si="49"/>
        <v>#DIV/0!</v>
      </c>
    </row>
    <row r="2315" spans="21:23" x14ac:dyDescent="0.2">
      <c r="U2315" s="616"/>
      <c r="W2315" s="620" t="e">
        <f t="shared" si="49"/>
        <v>#DIV/0!</v>
      </c>
    </row>
    <row r="2316" spans="21:23" x14ac:dyDescent="0.2">
      <c r="U2316" s="616"/>
      <c r="W2316" s="620" t="e">
        <f t="shared" si="49"/>
        <v>#DIV/0!</v>
      </c>
    </row>
    <row r="2317" spans="21:23" x14ac:dyDescent="0.2">
      <c r="U2317" s="616"/>
      <c r="W2317" s="620" t="e">
        <f t="shared" si="49"/>
        <v>#DIV/0!</v>
      </c>
    </row>
    <row r="2318" spans="21:23" x14ac:dyDescent="0.2">
      <c r="U2318" s="616"/>
      <c r="W2318" s="620" t="e">
        <f t="shared" si="49"/>
        <v>#DIV/0!</v>
      </c>
    </row>
    <row r="2319" spans="21:23" x14ac:dyDescent="0.2">
      <c r="U2319" s="616"/>
      <c r="W2319" s="620" t="e">
        <f t="shared" si="49"/>
        <v>#DIV/0!</v>
      </c>
    </row>
    <row r="2320" spans="21:23" x14ac:dyDescent="0.2">
      <c r="U2320" s="616"/>
      <c r="W2320" s="620" t="e">
        <f t="shared" si="49"/>
        <v>#DIV/0!</v>
      </c>
    </row>
    <row r="2321" spans="21:23" x14ac:dyDescent="0.2">
      <c r="U2321" s="616"/>
      <c r="W2321" s="620" t="e">
        <f t="shared" si="49"/>
        <v>#DIV/0!</v>
      </c>
    </row>
    <row r="2322" spans="21:23" x14ac:dyDescent="0.2">
      <c r="U2322" s="616"/>
      <c r="W2322" s="620" t="e">
        <f t="shared" si="49"/>
        <v>#DIV/0!</v>
      </c>
    </row>
    <row r="2323" spans="21:23" x14ac:dyDescent="0.2">
      <c r="U2323" s="616"/>
      <c r="W2323" s="620" t="e">
        <f t="shared" si="49"/>
        <v>#DIV/0!</v>
      </c>
    </row>
    <row r="2324" spans="21:23" x14ac:dyDescent="0.2">
      <c r="U2324" s="616"/>
      <c r="W2324" s="620" t="e">
        <f t="shared" si="49"/>
        <v>#DIV/0!</v>
      </c>
    </row>
    <row r="2325" spans="21:23" x14ac:dyDescent="0.2">
      <c r="U2325" s="616"/>
      <c r="W2325" s="620" t="e">
        <f t="shared" si="49"/>
        <v>#DIV/0!</v>
      </c>
    </row>
    <row r="2326" spans="21:23" x14ac:dyDescent="0.2">
      <c r="U2326" s="616"/>
      <c r="W2326" s="620" t="e">
        <f t="shared" si="49"/>
        <v>#DIV/0!</v>
      </c>
    </row>
    <row r="2327" spans="21:23" x14ac:dyDescent="0.2">
      <c r="U2327" s="616"/>
      <c r="W2327" s="620" t="e">
        <f t="shared" si="49"/>
        <v>#DIV/0!</v>
      </c>
    </row>
    <row r="2328" spans="21:23" x14ac:dyDescent="0.2">
      <c r="U2328" s="616"/>
      <c r="W2328" s="620" t="e">
        <f t="shared" si="49"/>
        <v>#DIV/0!</v>
      </c>
    </row>
    <row r="2329" spans="21:23" x14ac:dyDescent="0.2">
      <c r="U2329" s="616"/>
      <c r="W2329" s="620" t="e">
        <f t="shared" si="49"/>
        <v>#DIV/0!</v>
      </c>
    </row>
    <row r="2330" spans="21:23" x14ac:dyDescent="0.2">
      <c r="U2330" s="616"/>
      <c r="W2330" s="620" t="e">
        <f t="shared" si="49"/>
        <v>#DIV/0!</v>
      </c>
    </row>
    <row r="2331" spans="21:23" x14ac:dyDescent="0.2">
      <c r="U2331" s="616"/>
      <c r="W2331" s="620" t="e">
        <f t="shared" si="49"/>
        <v>#DIV/0!</v>
      </c>
    </row>
    <row r="2332" spans="21:23" x14ac:dyDescent="0.2">
      <c r="U2332" s="616"/>
      <c r="W2332" s="620" t="e">
        <f t="shared" si="49"/>
        <v>#DIV/0!</v>
      </c>
    </row>
    <row r="2333" spans="21:23" x14ac:dyDescent="0.2">
      <c r="U2333" s="616"/>
      <c r="W2333" s="620" t="e">
        <f t="shared" si="49"/>
        <v>#DIV/0!</v>
      </c>
    </row>
    <row r="2334" spans="21:23" x14ac:dyDescent="0.2">
      <c r="U2334" s="616"/>
      <c r="W2334" s="620" t="e">
        <f t="shared" si="49"/>
        <v>#DIV/0!</v>
      </c>
    </row>
    <row r="2335" spans="21:23" x14ac:dyDescent="0.2">
      <c r="U2335" s="616"/>
      <c r="W2335" s="620" t="e">
        <f t="shared" si="49"/>
        <v>#DIV/0!</v>
      </c>
    </row>
    <row r="2336" spans="21:23" x14ac:dyDescent="0.2">
      <c r="U2336" s="616"/>
      <c r="W2336" s="620" t="e">
        <f t="shared" si="49"/>
        <v>#DIV/0!</v>
      </c>
    </row>
    <row r="2337" spans="21:23" x14ac:dyDescent="0.2">
      <c r="U2337" s="616"/>
      <c r="W2337" s="620" t="e">
        <f t="shared" si="49"/>
        <v>#DIV/0!</v>
      </c>
    </row>
    <row r="2338" spans="21:23" x14ac:dyDescent="0.2">
      <c r="U2338" s="616"/>
      <c r="W2338" s="620" t="e">
        <f t="shared" si="49"/>
        <v>#DIV/0!</v>
      </c>
    </row>
    <row r="2339" spans="21:23" x14ac:dyDescent="0.2">
      <c r="U2339" s="616"/>
      <c r="W2339" s="620" t="e">
        <f t="shared" si="49"/>
        <v>#DIV/0!</v>
      </c>
    </row>
    <row r="2340" spans="21:23" x14ac:dyDescent="0.2">
      <c r="U2340" s="616"/>
      <c r="W2340" s="620" t="e">
        <f t="shared" si="49"/>
        <v>#DIV/0!</v>
      </c>
    </row>
    <row r="2341" spans="21:23" x14ac:dyDescent="0.2">
      <c r="U2341" s="616"/>
      <c r="W2341" s="620" t="e">
        <f t="shared" si="49"/>
        <v>#DIV/0!</v>
      </c>
    </row>
    <row r="2342" spans="21:23" x14ac:dyDescent="0.2">
      <c r="U2342" s="616"/>
      <c r="W2342" s="620" t="e">
        <f t="shared" si="49"/>
        <v>#DIV/0!</v>
      </c>
    </row>
    <row r="2343" spans="21:23" x14ac:dyDescent="0.2">
      <c r="U2343" s="616"/>
      <c r="W2343" s="620" t="e">
        <f t="shared" si="49"/>
        <v>#DIV/0!</v>
      </c>
    </row>
    <row r="2344" spans="21:23" x14ac:dyDescent="0.2">
      <c r="U2344" s="616"/>
      <c r="W2344" s="620" t="e">
        <f t="shared" si="49"/>
        <v>#DIV/0!</v>
      </c>
    </row>
    <row r="2345" spans="21:23" x14ac:dyDescent="0.2">
      <c r="U2345" s="616"/>
      <c r="W2345" s="620" t="e">
        <f t="shared" si="49"/>
        <v>#DIV/0!</v>
      </c>
    </row>
    <row r="2346" spans="21:23" x14ac:dyDescent="0.2">
      <c r="U2346" s="616"/>
      <c r="W2346" s="620" t="e">
        <f t="shared" si="49"/>
        <v>#DIV/0!</v>
      </c>
    </row>
    <row r="2347" spans="21:23" x14ac:dyDescent="0.2">
      <c r="U2347" s="616"/>
      <c r="W2347" s="620" t="e">
        <f t="shared" si="49"/>
        <v>#DIV/0!</v>
      </c>
    </row>
    <row r="2348" spans="21:23" x14ac:dyDescent="0.2">
      <c r="U2348" s="616"/>
      <c r="W2348" s="620" t="e">
        <f t="shared" si="49"/>
        <v>#DIV/0!</v>
      </c>
    </row>
    <row r="2349" spans="21:23" x14ac:dyDescent="0.2">
      <c r="U2349" s="616"/>
      <c r="W2349" s="620" t="e">
        <f t="shared" si="49"/>
        <v>#DIV/0!</v>
      </c>
    </row>
    <row r="2350" spans="21:23" x14ac:dyDescent="0.2">
      <c r="U2350" s="616"/>
      <c r="W2350" s="620" t="e">
        <f t="shared" si="49"/>
        <v>#DIV/0!</v>
      </c>
    </row>
    <row r="2351" spans="21:23" x14ac:dyDescent="0.2">
      <c r="U2351" s="616"/>
      <c r="W2351" s="620" t="e">
        <f t="shared" si="49"/>
        <v>#DIV/0!</v>
      </c>
    </row>
    <row r="2352" spans="21:23" x14ac:dyDescent="0.2">
      <c r="U2352" s="616"/>
      <c r="W2352" s="620" t="e">
        <f t="shared" si="49"/>
        <v>#DIV/0!</v>
      </c>
    </row>
    <row r="2353" spans="21:23" x14ac:dyDescent="0.2">
      <c r="U2353" s="616"/>
      <c r="W2353" s="620" t="e">
        <f t="shared" si="49"/>
        <v>#DIV/0!</v>
      </c>
    </row>
    <row r="2354" spans="21:23" x14ac:dyDescent="0.2">
      <c r="U2354" s="616"/>
      <c r="W2354" s="620" t="e">
        <f t="shared" si="49"/>
        <v>#DIV/0!</v>
      </c>
    </row>
    <row r="2355" spans="21:23" x14ac:dyDescent="0.2">
      <c r="U2355" s="616"/>
      <c r="W2355" s="620" t="e">
        <f t="shared" si="49"/>
        <v>#DIV/0!</v>
      </c>
    </row>
    <row r="2356" spans="21:23" x14ac:dyDescent="0.2">
      <c r="U2356" s="616"/>
      <c r="W2356" s="620" t="e">
        <f t="shared" si="49"/>
        <v>#DIV/0!</v>
      </c>
    </row>
    <row r="2357" spans="21:23" x14ac:dyDescent="0.2">
      <c r="U2357" s="616"/>
      <c r="W2357" s="620" t="e">
        <f t="shared" si="49"/>
        <v>#DIV/0!</v>
      </c>
    </row>
    <row r="2358" spans="21:23" x14ac:dyDescent="0.2">
      <c r="U2358" s="616"/>
      <c r="W2358" s="620" t="e">
        <f t="shared" si="49"/>
        <v>#DIV/0!</v>
      </c>
    </row>
    <row r="2359" spans="21:23" x14ac:dyDescent="0.2">
      <c r="U2359" s="616"/>
      <c r="W2359" s="620" t="e">
        <f t="shared" si="49"/>
        <v>#DIV/0!</v>
      </c>
    </row>
    <row r="2360" spans="21:23" x14ac:dyDescent="0.2">
      <c r="U2360" s="616"/>
      <c r="W2360" s="620" t="e">
        <f t="shared" si="49"/>
        <v>#DIV/0!</v>
      </c>
    </row>
    <row r="2361" spans="21:23" x14ac:dyDescent="0.2">
      <c r="U2361" s="616"/>
      <c r="W2361" s="620" t="e">
        <f t="shared" si="49"/>
        <v>#DIV/0!</v>
      </c>
    </row>
    <row r="2362" spans="21:23" x14ac:dyDescent="0.2">
      <c r="U2362" s="616"/>
      <c r="W2362" s="620" t="e">
        <f t="shared" si="49"/>
        <v>#DIV/0!</v>
      </c>
    </row>
    <row r="2363" spans="21:23" x14ac:dyDescent="0.2">
      <c r="U2363" s="616"/>
      <c r="W2363" s="620" t="e">
        <f t="shared" si="49"/>
        <v>#DIV/0!</v>
      </c>
    </row>
    <row r="2364" spans="21:23" x14ac:dyDescent="0.2">
      <c r="U2364" s="616"/>
      <c r="W2364" s="620" t="e">
        <f t="shared" si="49"/>
        <v>#DIV/0!</v>
      </c>
    </row>
    <row r="2365" spans="21:23" x14ac:dyDescent="0.2">
      <c r="U2365" s="616"/>
      <c r="W2365" s="620" t="e">
        <f t="shared" si="49"/>
        <v>#DIV/0!</v>
      </c>
    </row>
    <row r="2366" spans="21:23" x14ac:dyDescent="0.2">
      <c r="U2366" s="616"/>
      <c r="W2366" s="620" t="e">
        <f t="shared" si="49"/>
        <v>#DIV/0!</v>
      </c>
    </row>
    <row r="2367" spans="21:23" x14ac:dyDescent="0.2">
      <c r="U2367" s="616"/>
      <c r="W2367" s="620" t="e">
        <f t="shared" si="49"/>
        <v>#DIV/0!</v>
      </c>
    </row>
    <row r="2368" spans="21:23" x14ac:dyDescent="0.2">
      <c r="U2368" s="616"/>
      <c r="W2368" s="620" t="e">
        <f t="shared" si="49"/>
        <v>#DIV/0!</v>
      </c>
    </row>
    <row r="2369" spans="21:23" x14ac:dyDescent="0.2">
      <c r="U2369" s="616"/>
      <c r="W2369" s="620" t="e">
        <f t="shared" si="49"/>
        <v>#DIV/0!</v>
      </c>
    </row>
    <row r="2370" spans="21:23" x14ac:dyDescent="0.2">
      <c r="U2370" s="616"/>
      <c r="W2370" s="620" t="e">
        <f t="shared" si="49"/>
        <v>#DIV/0!</v>
      </c>
    </row>
    <row r="2371" spans="21:23" x14ac:dyDescent="0.2">
      <c r="U2371" s="616"/>
      <c r="W2371" s="620" t="e">
        <f t="shared" si="49"/>
        <v>#DIV/0!</v>
      </c>
    </row>
    <row r="2372" spans="21:23" x14ac:dyDescent="0.2">
      <c r="U2372" s="616"/>
      <c r="W2372" s="620" t="e">
        <f t="shared" ref="W2372:W2435" si="50">AVERAGE($V$4:$V$2517)</f>
        <v>#DIV/0!</v>
      </c>
    </row>
    <row r="2373" spans="21:23" x14ac:dyDescent="0.2">
      <c r="U2373" s="616"/>
      <c r="W2373" s="620" t="e">
        <f t="shared" si="50"/>
        <v>#DIV/0!</v>
      </c>
    </row>
    <row r="2374" spans="21:23" x14ac:dyDescent="0.2">
      <c r="U2374" s="616"/>
      <c r="W2374" s="620" t="e">
        <f t="shared" si="50"/>
        <v>#DIV/0!</v>
      </c>
    </row>
    <row r="2375" spans="21:23" x14ac:dyDescent="0.2">
      <c r="U2375" s="616"/>
      <c r="W2375" s="620" t="e">
        <f t="shared" si="50"/>
        <v>#DIV/0!</v>
      </c>
    </row>
    <row r="2376" spans="21:23" x14ac:dyDescent="0.2">
      <c r="U2376" s="616"/>
      <c r="W2376" s="620" t="e">
        <f t="shared" si="50"/>
        <v>#DIV/0!</v>
      </c>
    </row>
    <row r="2377" spans="21:23" x14ac:dyDescent="0.2">
      <c r="U2377" s="616"/>
      <c r="W2377" s="620" t="e">
        <f t="shared" si="50"/>
        <v>#DIV/0!</v>
      </c>
    </row>
    <row r="2378" spans="21:23" x14ac:dyDescent="0.2">
      <c r="U2378" s="616"/>
      <c r="W2378" s="620" t="e">
        <f t="shared" si="50"/>
        <v>#DIV/0!</v>
      </c>
    </row>
    <row r="2379" spans="21:23" x14ac:dyDescent="0.2">
      <c r="U2379" s="616"/>
      <c r="W2379" s="620" t="e">
        <f t="shared" si="50"/>
        <v>#DIV/0!</v>
      </c>
    </row>
    <row r="2380" spans="21:23" x14ac:dyDescent="0.2">
      <c r="U2380" s="616"/>
      <c r="W2380" s="620" t="e">
        <f t="shared" si="50"/>
        <v>#DIV/0!</v>
      </c>
    </row>
    <row r="2381" spans="21:23" x14ac:dyDescent="0.2">
      <c r="U2381" s="616"/>
      <c r="W2381" s="620" t="e">
        <f t="shared" si="50"/>
        <v>#DIV/0!</v>
      </c>
    </row>
    <row r="2382" spans="21:23" x14ac:dyDescent="0.2">
      <c r="U2382" s="616"/>
      <c r="W2382" s="620" t="e">
        <f t="shared" si="50"/>
        <v>#DIV/0!</v>
      </c>
    </row>
    <row r="2383" spans="21:23" x14ac:dyDescent="0.2">
      <c r="U2383" s="616"/>
      <c r="W2383" s="620" t="e">
        <f t="shared" si="50"/>
        <v>#DIV/0!</v>
      </c>
    </row>
    <row r="2384" spans="21:23" x14ac:dyDescent="0.2">
      <c r="U2384" s="616"/>
      <c r="W2384" s="620" t="e">
        <f t="shared" si="50"/>
        <v>#DIV/0!</v>
      </c>
    </row>
    <row r="2385" spans="21:23" x14ac:dyDescent="0.2">
      <c r="U2385" s="616"/>
      <c r="W2385" s="620" t="e">
        <f t="shared" si="50"/>
        <v>#DIV/0!</v>
      </c>
    </row>
    <row r="2386" spans="21:23" x14ac:dyDescent="0.2">
      <c r="U2386" s="616"/>
      <c r="W2386" s="620" t="e">
        <f t="shared" si="50"/>
        <v>#DIV/0!</v>
      </c>
    </row>
    <row r="2387" spans="21:23" x14ac:dyDescent="0.2">
      <c r="U2387" s="616"/>
      <c r="W2387" s="620" t="e">
        <f t="shared" si="50"/>
        <v>#DIV/0!</v>
      </c>
    </row>
    <row r="2388" spans="21:23" x14ac:dyDescent="0.2">
      <c r="U2388" s="616"/>
      <c r="W2388" s="620" t="e">
        <f t="shared" si="50"/>
        <v>#DIV/0!</v>
      </c>
    </row>
    <row r="2389" spans="21:23" x14ac:dyDescent="0.2">
      <c r="U2389" s="616"/>
      <c r="W2389" s="620" t="e">
        <f t="shared" si="50"/>
        <v>#DIV/0!</v>
      </c>
    </row>
    <row r="2390" spans="21:23" x14ac:dyDescent="0.2">
      <c r="U2390" s="616"/>
      <c r="W2390" s="620" t="e">
        <f t="shared" si="50"/>
        <v>#DIV/0!</v>
      </c>
    </row>
    <row r="2391" spans="21:23" x14ac:dyDescent="0.2">
      <c r="U2391" s="616"/>
      <c r="W2391" s="620" t="e">
        <f t="shared" si="50"/>
        <v>#DIV/0!</v>
      </c>
    </row>
    <row r="2392" spans="21:23" x14ac:dyDescent="0.2">
      <c r="U2392" s="616"/>
      <c r="W2392" s="620" t="e">
        <f t="shared" si="50"/>
        <v>#DIV/0!</v>
      </c>
    </row>
    <row r="2393" spans="21:23" x14ac:dyDescent="0.2">
      <c r="U2393" s="616"/>
      <c r="W2393" s="620" t="e">
        <f t="shared" si="50"/>
        <v>#DIV/0!</v>
      </c>
    </row>
    <row r="2394" spans="21:23" x14ac:dyDescent="0.2">
      <c r="U2394" s="616"/>
      <c r="W2394" s="620" t="e">
        <f t="shared" si="50"/>
        <v>#DIV/0!</v>
      </c>
    </row>
    <row r="2395" spans="21:23" x14ac:dyDescent="0.2">
      <c r="U2395" s="616"/>
      <c r="W2395" s="620" t="e">
        <f t="shared" si="50"/>
        <v>#DIV/0!</v>
      </c>
    </row>
    <row r="2396" spans="21:23" x14ac:dyDescent="0.2">
      <c r="U2396" s="616"/>
      <c r="W2396" s="620" t="e">
        <f t="shared" si="50"/>
        <v>#DIV/0!</v>
      </c>
    </row>
    <row r="2397" spans="21:23" x14ac:dyDescent="0.2">
      <c r="U2397" s="616"/>
      <c r="W2397" s="620" t="e">
        <f t="shared" si="50"/>
        <v>#DIV/0!</v>
      </c>
    </row>
    <row r="2398" spans="21:23" x14ac:dyDescent="0.2">
      <c r="U2398" s="616"/>
      <c r="W2398" s="620" t="e">
        <f t="shared" si="50"/>
        <v>#DIV/0!</v>
      </c>
    </row>
    <row r="2399" spans="21:23" x14ac:dyDescent="0.2">
      <c r="U2399" s="616"/>
      <c r="W2399" s="620" t="e">
        <f t="shared" si="50"/>
        <v>#DIV/0!</v>
      </c>
    </row>
    <row r="2400" spans="21:23" x14ac:dyDescent="0.2">
      <c r="U2400" s="616"/>
      <c r="W2400" s="620" t="e">
        <f t="shared" si="50"/>
        <v>#DIV/0!</v>
      </c>
    </row>
    <row r="2401" spans="21:23" x14ac:dyDescent="0.2">
      <c r="U2401" s="616"/>
      <c r="W2401" s="620" t="e">
        <f t="shared" si="50"/>
        <v>#DIV/0!</v>
      </c>
    </row>
    <row r="2402" spans="21:23" x14ac:dyDescent="0.2">
      <c r="U2402" s="616"/>
      <c r="W2402" s="620" t="e">
        <f t="shared" si="50"/>
        <v>#DIV/0!</v>
      </c>
    </row>
    <row r="2403" spans="21:23" x14ac:dyDescent="0.2">
      <c r="U2403" s="616"/>
      <c r="W2403" s="620" t="e">
        <f t="shared" si="50"/>
        <v>#DIV/0!</v>
      </c>
    </row>
    <row r="2404" spans="21:23" x14ac:dyDescent="0.2">
      <c r="U2404" s="616"/>
      <c r="W2404" s="620" t="e">
        <f t="shared" si="50"/>
        <v>#DIV/0!</v>
      </c>
    </row>
    <row r="2405" spans="21:23" x14ac:dyDescent="0.2">
      <c r="U2405" s="616"/>
      <c r="W2405" s="620" t="e">
        <f t="shared" si="50"/>
        <v>#DIV/0!</v>
      </c>
    </row>
    <row r="2406" spans="21:23" x14ac:dyDescent="0.2">
      <c r="U2406" s="616"/>
      <c r="W2406" s="620" t="e">
        <f t="shared" si="50"/>
        <v>#DIV/0!</v>
      </c>
    </row>
    <row r="2407" spans="21:23" x14ac:dyDescent="0.2">
      <c r="U2407" s="616"/>
      <c r="W2407" s="620" t="e">
        <f t="shared" si="50"/>
        <v>#DIV/0!</v>
      </c>
    </row>
    <row r="2408" spans="21:23" x14ac:dyDescent="0.2">
      <c r="U2408" s="616"/>
      <c r="W2408" s="620" t="e">
        <f t="shared" si="50"/>
        <v>#DIV/0!</v>
      </c>
    </row>
    <row r="2409" spans="21:23" x14ac:dyDescent="0.2">
      <c r="U2409" s="616"/>
      <c r="W2409" s="620" t="e">
        <f t="shared" si="50"/>
        <v>#DIV/0!</v>
      </c>
    </row>
    <row r="2410" spans="21:23" x14ac:dyDescent="0.2">
      <c r="U2410" s="616"/>
      <c r="W2410" s="620" t="e">
        <f t="shared" si="50"/>
        <v>#DIV/0!</v>
      </c>
    </row>
    <row r="2411" spans="21:23" x14ac:dyDescent="0.2">
      <c r="U2411" s="616"/>
      <c r="W2411" s="620" t="e">
        <f t="shared" si="50"/>
        <v>#DIV/0!</v>
      </c>
    </row>
    <row r="2412" spans="21:23" x14ac:dyDescent="0.2">
      <c r="U2412" s="616"/>
      <c r="W2412" s="620" t="e">
        <f t="shared" si="50"/>
        <v>#DIV/0!</v>
      </c>
    </row>
    <row r="2413" spans="21:23" x14ac:dyDescent="0.2">
      <c r="U2413" s="616"/>
      <c r="W2413" s="620" t="e">
        <f t="shared" si="50"/>
        <v>#DIV/0!</v>
      </c>
    </row>
    <row r="2414" spans="21:23" x14ac:dyDescent="0.2">
      <c r="U2414" s="616"/>
      <c r="W2414" s="620" t="e">
        <f t="shared" si="50"/>
        <v>#DIV/0!</v>
      </c>
    </row>
    <row r="2415" spans="21:23" x14ac:dyDescent="0.2">
      <c r="U2415" s="616"/>
      <c r="W2415" s="620" t="e">
        <f t="shared" si="50"/>
        <v>#DIV/0!</v>
      </c>
    </row>
    <row r="2416" spans="21:23" x14ac:dyDescent="0.2">
      <c r="U2416" s="616"/>
      <c r="W2416" s="620" t="e">
        <f t="shared" si="50"/>
        <v>#DIV/0!</v>
      </c>
    </row>
    <row r="2417" spans="21:23" x14ac:dyDescent="0.2">
      <c r="U2417" s="616"/>
      <c r="W2417" s="620" t="e">
        <f t="shared" si="50"/>
        <v>#DIV/0!</v>
      </c>
    </row>
    <row r="2418" spans="21:23" x14ac:dyDescent="0.2">
      <c r="U2418" s="616"/>
      <c r="W2418" s="620" t="e">
        <f t="shared" si="50"/>
        <v>#DIV/0!</v>
      </c>
    </row>
    <row r="2419" spans="21:23" x14ac:dyDescent="0.2">
      <c r="U2419" s="616"/>
      <c r="W2419" s="620" t="e">
        <f t="shared" si="50"/>
        <v>#DIV/0!</v>
      </c>
    </row>
    <row r="2420" spans="21:23" x14ac:dyDescent="0.2">
      <c r="U2420" s="616"/>
      <c r="W2420" s="620" t="e">
        <f t="shared" si="50"/>
        <v>#DIV/0!</v>
      </c>
    </row>
    <row r="2421" spans="21:23" x14ac:dyDescent="0.2">
      <c r="U2421" s="616"/>
      <c r="W2421" s="620" t="e">
        <f t="shared" si="50"/>
        <v>#DIV/0!</v>
      </c>
    </row>
    <row r="2422" spans="21:23" x14ac:dyDescent="0.2">
      <c r="U2422" s="616"/>
      <c r="W2422" s="620" t="e">
        <f t="shared" si="50"/>
        <v>#DIV/0!</v>
      </c>
    </row>
    <row r="2423" spans="21:23" x14ac:dyDescent="0.2">
      <c r="U2423" s="616"/>
      <c r="W2423" s="620" t="e">
        <f t="shared" si="50"/>
        <v>#DIV/0!</v>
      </c>
    </row>
    <row r="2424" spans="21:23" x14ac:dyDescent="0.2">
      <c r="U2424" s="616"/>
      <c r="W2424" s="620" t="e">
        <f t="shared" si="50"/>
        <v>#DIV/0!</v>
      </c>
    </row>
    <row r="2425" spans="21:23" x14ac:dyDescent="0.2">
      <c r="U2425" s="616"/>
      <c r="W2425" s="620" t="e">
        <f t="shared" si="50"/>
        <v>#DIV/0!</v>
      </c>
    </row>
    <row r="2426" spans="21:23" x14ac:dyDescent="0.2">
      <c r="U2426" s="616"/>
      <c r="W2426" s="620" t="e">
        <f t="shared" si="50"/>
        <v>#DIV/0!</v>
      </c>
    </row>
    <row r="2427" spans="21:23" x14ac:dyDescent="0.2">
      <c r="U2427" s="616"/>
      <c r="W2427" s="620" t="e">
        <f t="shared" si="50"/>
        <v>#DIV/0!</v>
      </c>
    </row>
    <row r="2428" spans="21:23" x14ac:dyDescent="0.2">
      <c r="U2428" s="616"/>
      <c r="W2428" s="620" t="e">
        <f t="shared" si="50"/>
        <v>#DIV/0!</v>
      </c>
    </row>
    <row r="2429" spans="21:23" x14ac:dyDescent="0.2">
      <c r="U2429" s="616"/>
      <c r="W2429" s="620" t="e">
        <f t="shared" si="50"/>
        <v>#DIV/0!</v>
      </c>
    </row>
    <row r="2430" spans="21:23" x14ac:dyDescent="0.2">
      <c r="U2430" s="616"/>
      <c r="W2430" s="620" t="e">
        <f t="shared" si="50"/>
        <v>#DIV/0!</v>
      </c>
    </row>
    <row r="2431" spans="21:23" x14ac:dyDescent="0.2">
      <c r="U2431" s="616"/>
      <c r="W2431" s="620" t="e">
        <f t="shared" si="50"/>
        <v>#DIV/0!</v>
      </c>
    </row>
    <row r="2432" spans="21:23" x14ac:dyDescent="0.2">
      <c r="U2432" s="616"/>
      <c r="W2432" s="620" t="e">
        <f t="shared" si="50"/>
        <v>#DIV/0!</v>
      </c>
    </row>
    <row r="2433" spans="21:23" x14ac:dyDescent="0.2">
      <c r="U2433" s="616"/>
      <c r="W2433" s="620" t="e">
        <f t="shared" si="50"/>
        <v>#DIV/0!</v>
      </c>
    </row>
    <row r="2434" spans="21:23" x14ac:dyDescent="0.2">
      <c r="U2434" s="616"/>
      <c r="W2434" s="620" t="e">
        <f t="shared" si="50"/>
        <v>#DIV/0!</v>
      </c>
    </row>
    <row r="2435" spans="21:23" x14ac:dyDescent="0.2">
      <c r="U2435" s="616"/>
      <c r="W2435" s="620" t="e">
        <f t="shared" si="50"/>
        <v>#DIV/0!</v>
      </c>
    </row>
    <row r="2436" spans="21:23" x14ac:dyDescent="0.2">
      <c r="U2436" s="616"/>
      <c r="W2436" s="620" t="e">
        <f t="shared" ref="W2436:W2499" si="51">AVERAGE($V$4:$V$2517)</f>
        <v>#DIV/0!</v>
      </c>
    </row>
    <row r="2437" spans="21:23" x14ac:dyDescent="0.2">
      <c r="U2437" s="616"/>
      <c r="W2437" s="620" t="e">
        <f t="shared" si="51"/>
        <v>#DIV/0!</v>
      </c>
    </row>
    <row r="2438" spans="21:23" x14ac:dyDescent="0.2">
      <c r="U2438" s="616"/>
      <c r="W2438" s="620" t="e">
        <f t="shared" si="51"/>
        <v>#DIV/0!</v>
      </c>
    </row>
    <row r="2439" spans="21:23" x14ac:dyDescent="0.2">
      <c r="U2439" s="616"/>
      <c r="W2439" s="620" t="e">
        <f t="shared" si="51"/>
        <v>#DIV/0!</v>
      </c>
    </row>
    <row r="2440" spans="21:23" x14ac:dyDescent="0.2">
      <c r="U2440" s="616"/>
      <c r="W2440" s="620" t="e">
        <f t="shared" si="51"/>
        <v>#DIV/0!</v>
      </c>
    </row>
    <row r="2441" spans="21:23" x14ac:dyDescent="0.2">
      <c r="U2441" s="616"/>
      <c r="W2441" s="620" t="e">
        <f t="shared" si="51"/>
        <v>#DIV/0!</v>
      </c>
    </row>
    <row r="2442" spans="21:23" x14ac:dyDescent="0.2">
      <c r="U2442" s="616"/>
      <c r="W2442" s="620" t="e">
        <f t="shared" si="51"/>
        <v>#DIV/0!</v>
      </c>
    </row>
    <row r="2443" spans="21:23" x14ac:dyDescent="0.2">
      <c r="U2443" s="616"/>
      <c r="W2443" s="620" t="e">
        <f t="shared" si="51"/>
        <v>#DIV/0!</v>
      </c>
    </row>
    <row r="2444" spans="21:23" x14ac:dyDescent="0.2">
      <c r="U2444" s="616"/>
      <c r="W2444" s="620" t="e">
        <f t="shared" si="51"/>
        <v>#DIV/0!</v>
      </c>
    </row>
    <row r="2445" spans="21:23" x14ac:dyDescent="0.2">
      <c r="U2445" s="616"/>
      <c r="W2445" s="620" t="e">
        <f t="shared" si="51"/>
        <v>#DIV/0!</v>
      </c>
    </row>
    <row r="2446" spans="21:23" x14ac:dyDescent="0.2">
      <c r="U2446" s="616"/>
      <c r="W2446" s="620" t="e">
        <f t="shared" si="51"/>
        <v>#DIV/0!</v>
      </c>
    </row>
    <row r="2447" spans="21:23" x14ac:dyDescent="0.2">
      <c r="U2447" s="616"/>
      <c r="W2447" s="620" t="e">
        <f t="shared" si="51"/>
        <v>#DIV/0!</v>
      </c>
    </row>
    <row r="2448" spans="21:23" x14ac:dyDescent="0.2">
      <c r="U2448" s="616"/>
      <c r="W2448" s="620" t="e">
        <f t="shared" si="51"/>
        <v>#DIV/0!</v>
      </c>
    </row>
    <row r="2449" spans="21:23" x14ac:dyDescent="0.2">
      <c r="U2449" s="616"/>
      <c r="W2449" s="620" t="e">
        <f t="shared" si="51"/>
        <v>#DIV/0!</v>
      </c>
    </row>
    <row r="2450" spans="21:23" x14ac:dyDescent="0.2">
      <c r="U2450" s="616"/>
      <c r="W2450" s="620" t="e">
        <f t="shared" si="51"/>
        <v>#DIV/0!</v>
      </c>
    </row>
    <row r="2451" spans="21:23" x14ac:dyDescent="0.2">
      <c r="U2451" s="616"/>
      <c r="W2451" s="620" t="e">
        <f t="shared" si="51"/>
        <v>#DIV/0!</v>
      </c>
    </row>
    <row r="2452" spans="21:23" x14ac:dyDescent="0.2">
      <c r="U2452" s="616"/>
      <c r="W2452" s="620" t="e">
        <f t="shared" si="51"/>
        <v>#DIV/0!</v>
      </c>
    </row>
    <row r="2453" spans="21:23" x14ac:dyDescent="0.2">
      <c r="U2453" s="616"/>
      <c r="W2453" s="620" t="e">
        <f t="shared" si="51"/>
        <v>#DIV/0!</v>
      </c>
    </row>
    <row r="2454" spans="21:23" x14ac:dyDescent="0.2">
      <c r="U2454" s="616"/>
      <c r="W2454" s="620" t="e">
        <f t="shared" si="51"/>
        <v>#DIV/0!</v>
      </c>
    </row>
    <row r="2455" spans="21:23" x14ac:dyDescent="0.2">
      <c r="U2455" s="616"/>
      <c r="W2455" s="620" t="e">
        <f t="shared" si="51"/>
        <v>#DIV/0!</v>
      </c>
    </row>
    <row r="2456" spans="21:23" x14ac:dyDescent="0.2">
      <c r="U2456" s="616"/>
      <c r="W2456" s="620" t="e">
        <f t="shared" si="51"/>
        <v>#DIV/0!</v>
      </c>
    </row>
    <row r="2457" spans="21:23" x14ac:dyDescent="0.2">
      <c r="U2457" s="616"/>
      <c r="W2457" s="620" t="e">
        <f t="shared" si="51"/>
        <v>#DIV/0!</v>
      </c>
    </row>
    <row r="2458" spans="21:23" x14ac:dyDescent="0.2">
      <c r="U2458" s="616"/>
      <c r="W2458" s="620" t="e">
        <f t="shared" si="51"/>
        <v>#DIV/0!</v>
      </c>
    </row>
    <row r="2459" spans="21:23" x14ac:dyDescent="0.2">
      <c r="U2459" s="616"/>
      <c r="W2459" s="620" t="e">
        <f t="shared" si="51"/>
        <v>#DIV/0!</v>
      </c>
    </row>
    <row r="2460" spans="21:23" x14ac:dyDescent="0.2">
      <c r="U2460" s="616"/>
      <c r="W2460" s="620" t="e">
        <f t="shared" si="51"/>
        <v>#DIV/0!</v>
      </c>
    </row>
    <row r="2461" spans="21:23" x14ac:dyDescent="0.2">
      <c r="U2461" s="616"/>
      <c r="W2461" s="620" t="e">
        <f t="shared" si="51"/>
        <v>#DIV/0!</v>
      </c>
    </row>
    <row r="2462" spans="21:23" x14ac:dyDescent="0.2">
      <c r="U2462" s="616"/>
      <c r="W2462" s="620" t="e">
        <f t="shared" si="51"/>
        <v>#DIV/0!</v>
      </c>
    </row>
    <row r="2463" spans="21:23" x14ac:dyDescent="0.2">
      <c r="U2463" s="616"/>
      <c r="W2463" s="620" t="e">
        <f t="shared" si="51"/>
        <v>#DIV/0!</v>
      </c>
    </row>
    <row r="2464" spans="21:23" x14ac:dyDescent="0.2">
      <c r="U2464" s="616"/>
      <c r="W2464" s="620" t="e">
        <f t="shared" si="51"/>
        <v>#DIV/0!</v>
      </c>
    </row>
    <row r="2465" spans="21:23" x14ac:dyDescent="0.2">
      <c r="U2465" s="616"/>
      <c r="W2465" s="620" t="e">
        <f t="shared" si="51"/>
        <v>#DIV/0!</v>
      </c>
    </row>
    <row r="2466" spans="21:23" x14ac:dyDescent="0.2">
      <c r="U2466" s="616"/>
      <c r="W2466" s="620" t="e">
        <f t="shared" si="51"/>
        <v>#DIV/0!</v>
      </c>
    </row>
    <row r="2467" spans="21:23" x14ac:dyDescent="0.2">
      <c r="U2467" s="616"/>
      <c r="W2467" s="620" t="e">
        <f t="shared" si="51"/>
        <v>#DIV/0!</v>
      </c>
    </row>
    <row r="2468" spans="21:23" x14ac:dyDescent="0.2">
      <c r="U2468" s="616"/>
      <c r="W2468" s="620" t="e">
        <f t="shared" si="51"/>
        <v>#DIV/0!</v>
      </c>
    </row>
    <row r="2469" spans="21:23" x14ac:dyDescent="0.2">
      <c r="U2469" s="616"/>
      <c r="W2469" s="620" t="e">
        <f t="shared" si="51"/>
        <v>#DIV/0!</v>
      </c>
    </row>
    <row r="2470" spans="21:23" x14ac:dyDescent="0.2">
      <c r="U2470" s="616"/>
      <c r="W2470" s="620" t="e">
        <f t="shared" si="51"/>
        <v>#DIV/0!</v>
      </c>
    </row>
    <row r="2471" spans="21:23" x14ac:dyDescent="0.2">
      <c r="U2471" s="616"/>
      <c r="W2471" s="620" t="e">
        <f t="shared" si="51"/>
        <v>#DIV/0!</v>
      </c>
    </row>
    <row r="2472" spans="21:23" x14ac:dyDescent="0.2">
      <c r="U2472" s="616"/>
      <c r="W2472" s="620" t="e">
        <f t="shared" si="51"/>
        <v>#DIV/0!</v>
      </c>
    </row>
    <row r="2473" spans="21:23" x14ac:dyDescent="0.2">
      <c r="U2473" s="616"/>
      <c r="W2473" s="620" t="e">
        <f t="shared" si="51"/>
        <v>#DIV/0!</v>
      </c>
    </row>
    <row r="2474" spans="21:23" x14ac:dyDescent="0.2">
      <c r="U2474" s="616"/>
      <c r="W2474" s="620" t="e">
        <f t="shared" si="51"/>
        <v>#DIV/0!</v>
      </c>
    </row>
    <row r="2475" spans="21:23" x14ac:dyDescent="0.2">
      <c r="U2475" s="616"/>
      <c r="W2475" s="620" t="e">
        <f t="shared" si="51"/>
        <v>#DIV/0!</v>
      </c>
    </row>
    <row r="2476" spans="21:23" x14ac:dyDescent="0.2">
      <c r="U2476" s="616"/>
      <c r="W2476" s="620" t="e">
        <f t="shared" si="51"/>
        <v>#DIV/0!</v>
      </c>
    </row>
    <row r="2477" spans="21:23" x14ac:dyDescent="0.2">
      <c r="U2477" s="616"/>
      <c r="W2477" s="620" t="e">
        <f t="shared" si="51"/>
        <v>#DIV/0!</v>
      </c>
    </row>
    <row r="2478" spans="21:23" x14ac:dyDescent="0.2">
      <c r="U2478" s="616"/>
      <c r="W2478" s="620" t="e">
        <f t="shared" si="51"/>
        <v>#DIV/0!</v>
      </c>
    </row>
    <row r="2479" spans="21:23" x14ac:dyDescent="0.2">
      <c r="U2479" s="616"/>
      <c r="W2479" s="620" t="e">
        <f t="shared" si="51"/>
        <v>#DIV/0!</v>
      </c>
    </row>
    <row r="2480" spans="21:23" x14ac:dyDescent="0.2">
      <c r="U2480" s="616"/>
      <c r="W2480" s="620" t="e">
        <f t="shared" si="51"/>
        <v>#DIV/0!</v>
      </c>
    </row>
    <row r="2481" spans="21:23" x14ac:dyDescent="0.2">
      <c r="U2481" s="616"/>
      <c r="W2481" s="620" t="e">
        <f t="shared" si="51"/>
        <v>#DIV/0!</v>
      </c>
    </row>
    <row r="2482" spans="21:23" x14ac:dyDescent="0.2">
      <c r="U2482" s="616"/>
      <c r="W2482" s="620" t="e">
        <f t="shared" si="51"/>
        <v>#DIV/0!</v>
      </c>
    </row>
    <row r="2483" spans="21:23" x14ac:dyDescent="0.2">
      <c r="U2483" s="616"/>
      <c r="W2483" s="620" t="e">
        <f t="shared" si="51"/>
        <v>#DIV/0!</v>
      </c>
    </row>
    <row r="2484" spans="21:23" x14ac:dyDescent="0.2">
      <c r="U2484" s="616"/>
      <c r="W2484" s="620" t="e">
        <f t="shared" si="51"/>
        <v>#DIV/0!</v>
      </c>
    </row>
    <row r="2485" spans="21:23" x14ac:dyDescent="0.2">
      <c r="U2485" s="616"/>
      <c r="W2485" s="620" t="e">
        <f t="shared" si="51"/>
        <v>#DIV/0!</v>
      </c>
    </row>
    <row r="2486" spans="21:23" x14ac:dyDescent="0.2">
      <c r="U2486" s="616"/>
      <c r="W2486" s="620" t="e">
        <f t="shared" si="51"/>
        <v>#DIV/0!</v>
      </c>
    </row>
    <row r="2487" spans="21:23" x14ac:dyDescent="0.2">
      <c r="U2487" s="616"/>
      <c r="W2487" s="620" t="e">
        <f t="shared" si="51"/>
        <v>#DIV/0!</v>
      </c>
    </row>
    <row r="2488" spans="21:23" x14ac:dyDescent="0.2">
      <c r="U2488" s="616"/>
      <c r="W2488" s="620" t="e">
        <f t="shared" si="51"/>
        <v>#DIV/0!</v>
      </c>
    </row>
    <row r="2489" spans="21:23" x14ac:dyDescent="0.2">
      <c r="U2489" s="616"/>
      <c r="W2489" s="620" t="e">
        <f t="shared" si="51"/>
        <v>#DIV/0!</v>
      </c>
    </row>
    <row r="2490" spans="21:23" x14ac:dyDescent="0.2">
      <c r="U2490" s="616"/>
      <c r="W2490" s="620" t="e">
        <f t="shared" si="51"/>
        <v>#DIV/0!</v>
      </c>
    </row>
    <row r="2491" spans="21:23" x14ac:dyDescent="0.2">
      <c r="U2491" s="616"/>
      <c r="W2491" s="620" t="e">
        <f t="shared" si="51"/>
        <v>#DIV/0!</v>
      </c>
    </row>
    <row r="2492" spans="21:23" x14ac:dyDescent="0.2">
      <c r="U2492" s="616"/>
      <c r="W2492" s="620" t="e">
        <f t="shared" si="51"/>
        <v>#DIV/0!</v>
      </c>
    </row>
    <row r="2493" spans="21:23" x14ac:dyDescent="0.2">
      <c r="U2493" s="616"/>
      <c r="W2493" s="620" t="e">
        <f t="shared" si="51"/>
        <v>#DIV/0!</v>
      </c>
    </row>
    <row r="2494" spans="21:23" x14ac:dyDescent="0.2">
      <c r="U2494" s="616"/>
      <c r="W2494" s="620" t="e">
        <f t="shared" si="51"/>
        <v>#DIV/0!</v>
      </c>
    </row>
    <row r="2495" spans="21:23" x14ac:dyDescent="0.2">
      <c r="U2495" s="616"/>
      <c r="W2495" s="620" t="e">
        <f t="shared" si="51"/>
        <v>#DIV/0!</v>
      </c>
    </row>
    <row r="2496" spans="21:23" x14ac:dyDescent="0.2">
      <c r="U2496" s="616"/>
      <c r="W2496" s="620" t="e">
        <f t="shared" si="51"/>
        <v>#DIV/0!</v>
      </c>
    </row>
    <row r="2497" spans="21:23" x14ac:dyDescent="0.2">
      <c r="U2497" s="616"/>
      <c r="W2497" s="620" t="e">
        <f t="shared" si="51"/>
        <v>#DIV/0!</v>
      </c>
    </row>
    <row r="2498" spans="21:23" x14ac:dyDescent="0.2">
      <c r="U2498" s="616"/>
      <c r="W2498" s="620" t="e">
        <f t="shared" si="51"/>
        <v>#DIV/0!</v>
      </c>
    </row>
    <row r="2499" spans="21:23" x14ac:dyDescent="0.2">
      <c r="U2499" s="616"/>
      <c r="W2499" s="620" t="e">
        <f t="shared" si="51"/>
        <v>#DIV/0!</v>
      </c>
    </row>
    <row r="2500" spans="21:23" x14ac:dyDescent="0.2">
      <c r="U2500" s="616"/>
      <c r="W2500" s="620" t="e">
        <f t="shared" ref="W2500:W2518" si="52">AVERAGE($V$4:$V$2517)</f>
        <v>#DIV/0!</v>
      </c>
    </row>
    <row r="2501" spans="21:23" x14ac:dyDescent="0.2">
      <c r="U2501" s="616"/>
      <c r="W2501" s="620" t="e">
        <f t="shared" si="52"/>
        <v>#DIV/0!</v>
      </c>
    </row>
    <row r="2502" spans="21:23" x14ac:dyDescent="0.2">
      <c r="U2502" s="616"/>
      <c r="W2502" s="620" t="e">
        <f t="shared" si="52"/>
        <v>#DIV/0!</v>
      </c>
    </row>
    <row r="2503" spans="21:23" x14ac:dyDescent="0.2">
      <c r="U2503" s="616"/>
      <c r="W2503" s="620" t="e">
        <f t="shared" si="52"/>
        <v>#DIV/0!</v>
      </c>
    </row>
    <row r="2504" spans="21:23" x14ac:dyDescent="0.2">
      <c r="U2504" s="616"/>
      <c r="W2504" s="620" t="e">
        <f t="shared" si="52"/>
        <v>#DIV/0!</v>
      </c>
    </row>
    <row r="2505" spans="21:23" x14ac:dyDescent="0.2">
      <c r="U2505" s="616"/>
      <c r="W2505" s="620" t="e">
        <f t="shared" si="52"/>
        <v>#DIV/0!</v>
      </c>
    </row>
    <row r="2506" spans="21:23" x14ac:dyDescent="0.2">
      <c r="U2506" s="616"/>
      <c r="W2506" s="620" t="e">
        <f t="shared" si="52"/>
        <v>#DIV/0!</v>
      </c>
    </row>
    <row r="2507" spans="21:23" x14ac:dyDescent="0.2">
      <c r="U2507" s="616"/>
      <c r="W2507" s="620" t="e">
        <f t="shared" si="52"/>
        <v>#DIV/0!</v>
      </c>
    </row>
    <row r="2508" spans="21:23" x14ac:dyDescent="0.2">
      <c r="U2508" s="616"/>
      <c r="W2508" s="620" t="e">
        <f t="shared" si="52"/>
        <v>#DIV/0!</v>
      </c>
    </row>
    <row r="2509" spans="21:23" x14ac:dyDescent="0.2">
      <c r="U2509" s="616"/>
      <c r="W2509" s="620" t="e">
        <f t="shared" si="52"/>
        <v>#DIV/0!</v>
      </c>
    </row>
    <row r="2510" spans="21:23" x14ac:dyDescent="0.2">
      <c r="U2510" s="616"/>
      <c r="W2510" s="620" t="e">
        <f t="shared" si="52"/>
        <v>#DIV/0!</v>
      </c>
    </row>
    <row r="2511" spans="21:23" x14ac:dyDescent="0.2">
      <c r="U2511" s="616"/>
      <c r="W2511" s="620" t="e">
        <f t="shared" si="52"/>
        <v>#DIV/0!</v>
      </c>
    </row>
    <row r="2512" spans="21:23" x14ac:dyDescent="0.2">
      <c r="U2512" s="616"/>
      <c r="W2512" s="620" t="e">
        <f t="shared" si="52"/>
        <v>#DIV/0!</v>
      </c>
    </row>
    <row r="2513" spans="21:23" x14ac:dyDescent="0.2">
      <c r="U2513" s="616"/>
      <c r="W2513" s="620" t="e">
        <f t="shared" si="52"/>
        <v>#DIV/0!</v>
      </c>
    </row>
    <row r="2514" spans="21:23" x14ac:dyDescent="0.2">
      <c r="U2514" s="616"/>
      <c r="W2514" s="620" t="e">
        <f t="shared" si="52"/>
        <v>#DIV/0!</v>
      </c>
    </row>
    <row r="2515" spans="21:23" x14ac:dyDescent="0.2">
      <c r="U2515" s="616"/>
      <c r="W2515" s="620" t="e">
        <f t="shared" si="52"/>
        <v>#DIV/0!</v>
      </c>
    </row>
    <row r="2516" spans="21:23" x14ac:dyDescent="0.2">
      <c r="U2516" s="616"/>
      <c r="W2516" s="620" t="e">
        <f t="shared" si="52"/>
        <v>#DIV/0!</v>
      </c>
    </row>
    <row r="2517" spans="21:23" x14ac:dyDescent="0.2">
      <c r="U2517" s="616"/>
      <c r="W2517" s="620" t="e">
        <f t="shared" si="52"/>
        <v>#DIV/0!</v>
      </c>
    </row>
    <row r="2518" spans="21:23" x14ac:dyDescent="0.2">
      <c r="U2518" s="616"/>
      <c r="W2518" s="620" t="e">
        <f t="shared" si="52"/>
        <v>#DIV/0!</v>
      </c>
    </row>
    <row r="2519" spans="21:23" x14ac:dyDescent="0.2">
      <c r="U2519" s="616"/>
    </row>
  </sheetData>
  <mergeCells count="4">
    <mergeCell ref="H4:L4"/>
    <mergeCell ref="N4:O4"/>
    <mergeCell ref="N7:O7"/>
    <mergeCell ref="H12:L1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54B6-1F47-4D5D-B55B-7BC9B58A92CC}">
  <dimension ref="A1:AF94"/>
  <sheetViews>
    <sheetView showGridLines="0" workbookViewId="0">
      <pane xSplit="2" ySplit="4" topLeftCell="L23" activePane="bottomRight" state="frozen"/>
      <selection pane="topRight" activeCell="C1" sqref="C1"/>
      <selection pane="bottomLeft" activeCell="A5" sqref="A5"/>
      <selection pane="bottomRight" activeCell="AD43" sqref="AD43"/>
    </sheetView>
  </sheetViews>
  <sheetFormatPr defaultColWidth="9" defaultRowHeight="15" outlineLevelRow="1" outlineLevelCol="1" x14ac:dyDescent="0.25"/>
  <cols>
    <col min="1" max="1" width="9" style="1004"/>
    <col min="2" max="2" width="22.25" style="1004" bestFit="1" customWidth="1"/>
    <col min="3" max="24" width="9" style="1004" customWidth="1" outlineLevel="1"/>
    <col min="25" max="16384" width="9" style="1004"/>
  </cols>
  <sheetData>
    <row r="1" spans="1:32" x14ac:dyDescent="0.25">
      <c r="A1" s="1004" t="s">
        <v>699</v>
      </c>
    </row>
    <row r="3" spans="1:32" x14ac:dyDescent="0.25">
      <c r="B3" s="1003" t="str">
        <f ca="1">"Date: "&amp;TEXT(TODAY(),"mmm/dd/yyyy")</f>
        <v>Date: Jul/23/2026</v>
      </c>
      <c r="P3" s="1004" t="s">
        <v>745</v>
      </c>
      <c r="Q3" s="1004" t="s">
        <v>746</v>
      </c>
      <c r="R3" s="1004" t="s">
        <v>747</v>
      </c>
      <c r="S3" s="1004" t="s">
        <v>748</v>
      </c>
      <c r="T3" s="1004" t="s">
        <v>749</v>
      </c>
      <c r="U3" s="1004" t="s">
        <v>750</v>
      </c>
      <c r="V3" s="1004" t="s">
        <v>799</v>
      </c>
      <c r="AA3" s="1004" t="s">
        <v>751</v>
      </c>
      <c r="AB3" s="1004" t="s">
        <v>752</v>
      </c>
      <c r="AC3" s="1004" t="s">
        <v>753</v>
      </c>
      <c r="AD3" s="1004" t="s">
        <v>754</v>
      </c>
      <c r="AE3" s="1004" t="s">
        <v>755</v>
      </c>
      <c r="AF3" s="1004" t="s">
        <v>756</v>
      </c>
    </row>
    <row r="4" spans="1:32" x14ac:dyDescent="0.25">
      <c r="B4" s="1005"/>
      <c r="C4" s="1006" t="s">
        <v>1</v>
      </c>
      <c r="D4" s="1006" t="s">
        <v>2</v>
      </c>
      <c r="E4" s="1006" t="s">
        <v>3</v>
      </c>
      <c r="F4" s="1006" t="s">
        <v>4</v>
      </c>
      <c r="G4" s="1006" t="s">
        <v>5</v>
      </c>
      <c r="H4" s="1006" t="s">
        <v>6</v>
      </c>
      <c r="I4" s="1006" t="s">
        <v>7</v>
      </c>
      <c r="J4" s="1006" t="s">
        <v>8</v>
      </c>
      <c r="K4" s="1006" t="s">
        <v>9</v>
      </c>
      <c r="L4" s="1006" t="s">
        <v>10</v>
      </c>
      <c r="M4" s="1006" t="s">
        <v>716</v>
      </c>
      <c r="N4" s="1006" t="s">
        <v>717</v>
      </c>
      <c r="O4" s="1006" t="s">
        <v>718</v>
      </c>
      <c r="P4" s="1007" t="s">
        <v>719</v>
      </c>
      <c r="Q4" s="1007" t="s">
        <v>720</v>
      </c>
      <c r="R4" s="1007" t="s">
        <v>721</v>
      </c>
      <c r="S4" s="1007" t="s">
        <v>722</v>
      </c>
      <c r="T4" s="1007" t="s">
        <v>723</v>
      </c>
      <c r="U4" s="1007" t="s">
        <v>724</v>
      </c>
      <c r="V4" s="1007" t="s">
        <v>725</v>
      </c>
      <c r="W4" s="1008"/>
      <c r="X4" s="1274">
        <v>2022</v>
      </c>
      <c r="Y4" s="1274">
        <v>2023</v>
      </c>
      <c r="Z4" s="1274">
        <v>2024</v>
      </c>
      <c r="AA4" s="1009">
        <f t="shared" ref="AA4:AF4" si="0">Z4+1</f>
        <v>2025</v>
      </c>
      <c r="AB4" s="1009">
        <f t="shared" si="0"/>
        <v>2026</v>
      </c>
      <c r="AC4" s="1009">
        <f t="shared" si="0"/>
        <v>2027</v>
      </c>
      <c r="AD4" s="1009">
        <f t="shared" si="0"/>
        <v>2028</v>
      </c>
      <c r="AE4" s="1009">
        <f t="shared" si="0"/>
        <v>2029</v>
      </c>
      <c r="AF4" s="1009">
        <f t="shared" si="0"/>
        <v>2030</v>
      </c>
    </row>
    <row r="5" spans="1:32" outlineLevel="1" x14ac:dyDescent="0.25">
      <c r="B5" s="1131" t="s">
        <v>888</v>
      </c>
      <c r="C5" s="1010"/>
      <c r="D5" s="1010"/>
      <c r="E5" s="1010"/>
      <c r="F5" s="1010"/>
      <c r="G5" s="1010"/>
      <c r="H5" s="1010"/>
      <c r="I5" s="1010"/>
      <c r="J5" s="1010"/>
      <c r="K5" s="1010"/>
      <c r="L5" s="1010"/>
      <c r="M5" s="1010"/>
      <c r="N5" s="1010"/>
      <c r="O5" s="1010"/>
      <c r="P5" s="1010"/>
      <c r="Q5" s="1010"/>
      <c r="R5" s="1010"/>
      <c r="S5" s="1010"/>
      <c r="T5" s="1010"/>
      <c r="U5" s="1010"/>
      <c r="V5" s="1010"/>
      <c r="X5" s="1010"/>
      <c r="Y5" s="1010"/>
      <c r="Z5" s="1010"/>
      <c r="AA5" s="1010"/>
      <c r="AB5" s="1010"/>
      <c r="AC5" s="1010"/>
      <c r="AD5" s="1010"/>
      <c r="AE5" s="1010"/>
      <c r="AF5" s="1010"/>
    </row>
    <row r="6" spans="1:32" outlineLevel="1" x14ac:dyDescent="0.25">
      <c r="B6" s="1004" t="s">
        <v>757</v>
      </c>
      <c r="C6" s="1011"/>
      <c r="D6" s="1011"/>
      <c r="E6" s="1011"/>
      <c r="F6" s="1011"/>
      <c r="G6" s="1011"/>
      <c r="H6" s="1011"/>
      <c r="I6" s="1011"/>
      <c r="J6" s="1011"/>
      <c r="K6" s="1011"/>
      <c r="L6" s="1011"/>
      <c r="M6" s="1011"/>
      <c r="N6" s="1011"/>
      <c r="O6" s="1011"/>
      <c r="P6" s="1011"/>
      <c r="Q6" s="1011">
        <v>21320.591</v>
      </c>
      <c r="R6" s="1011">
        <v>23057.091</v>
      </c>
      <c r="S6" s="1011">
        <v>21905.909</v>
      </c>
      <c r="T6" s="1011">
        <v>21945.726999999999</v>
      </c>
      <c r="U6" s="1011">
        <v>22380.100000000002</v>
      </c>
      <c r="V6" s="1011">
        <v>23979.3</v>
      </c>
      <c r="W6" s="1011"/>
      <c r="X6" s="1011"/>
      <c r="Y6" s="1011"/>
      <c r="Z6" s="1011"/>
      <c r="AA6" s="1011">
        <v>86037.607000000004</v>
      </c>
      <c r="AB6" s="1011">
        <v>90228.857000000004</v>
      </c>
      <c r="AC6" s="1011">
        <v>94465.125</v>
      </c>
      <c r="AD6" s="1011">
        <v>97694.5</v>
      </c>
      <c r="AE6" s="1011">
        <v>99348.455000000002</v>
      </c>
      <c r="AF6" s="1011">
        <v>104578.889</v>
      </c>
    </row>
    <row r="7" spans="1:32" outlineLevel="1" x14ac:dyDescent="0.25">
      <c r="B7" s="1004" t="s">
        <v>758</v>
      </c>
      <c r="C7" s="1011">
        <f>'FC - 3FS'!P14</f>
        <v>20120</v>
      </c>
      <c r="D7" s="1011">
        <f>'FC - 3FS'!Q14</f>
        <v>19701</v>
      </c>
      <c r="E7" s="1011">
        <f>'FC - 3FS'!R14</f>
        <v>19477</v>
      </c>
      <c r="F7" s="1011">
        <f>'FC - 3FS'!S14</f>
        <v>20273</v>
      </c>
      <c r="G7" s="1011">
        <f>'FC - 3FS'!T14</f>
        <v>19632</v>
      </c>
      <c r="H7" s="1011">
        <f>'FC - 3FS'!U14</f>
        <v>19196</v>
      </c>
      <c r="I7" s="1011">
        <f>'FC - 3FS'!V14</f>
        <v>19252</v>
      </c>
      <c r="J7" s="1011">
        <f>'FC - 3FS'!W14</f>
        <v>20478</v>
      </c>
      <c r="K7" s="1011">
        <f>'FC - 3FS'!X14</f>
        <v>19594</v>
      </c>
      <c r="L7" s="1011">
        <f>'FC - 3FS'!Y14</f>
        <v>19772</v>
      </c>
      <c r="M7" s="1011">
        <f>'FC - 3FS'!Z14</f>
        <v>20162</v>
      </c>
      <c r="N7" s="1011">
        <f>'FC - 3FS'!AA14</f>
        <v>21872</v>
      </c>
      <c r="O7" s="1011">
        <f>'FC - 3FS'!AB14</f>
        <v>20886</v>
      </c>
      <c r="P7" s="1011">
        <f>'FC - 3FS'!AC14</f>
        <v>21132</v>
      </c>
      <c r="Q7" s="1011">
        <f>'FC - 3FS'!AD14</f>
        <v>21957</v>
      </c>
      <c r="R7" s="1011">
        <f>'FC - 3FS'!AE14</f>
        <v>23872.495279587929</v>
      </c>
      <c r="S7" s="1011">
        <f>'FC - 3FS'!AF14</f>
        <v>22550.284677636831</v>
      </c>
      <c r="T7" s="1011">
        <f>'FC - 3FS'!AG14</f>
        <v>23160.869836006954</v>
      </c>
      <c r="U7" s="1011">
        <f>'FC - 3FS'!AH14</f>
        <v>23472.346049401967</v>
      </c>
      <c r="V7" s="1011">
        <f>'FC - 3FS'!AI14</f>
        <v>25233.821794527303</v>
      </c>
      <c r="W7" s="1011"/>
      <c r="X7" s="1011">
        <f>'FC - 3FS'!AN14</f>
        <v>79571</v>
      </c>
      <c r="Y7" s="1011">
        <f>'FC - 3FS'!AO14</f>
        <v>78558</v>
      </c>
      <c r="Z7" s="1011">
        <f>'FC - 3FS'!AP14</f>
        <v>81400</v>
      </c>
      <c r="AA7" s="1011">
        <f>'FC - 3FS'!AQ14</f>
        <v>87847.495279587922</v>
      </c>
      <c r="AB7" s="1011">
        <f>'FC - 3FS'!AR14</f>
        <v>94417.322357573066</v>
      </c>
      <c r="AC7" s="1011">
        <f>'FC - 3FS'!AS14</f>
        <v>99251.786914963712</v>
      </c>
      <c r="AD7" s="1011">
        <f>'FC - 3FS'!AT14</f>
        <v>0</v>
      </c>
      <c r="AE7" s="1011">
        <f>'FC - 3FS'!AU14</f>
        <v>0</v>
      </c>
      <c r="AF7" s="1011">
        <f>'FC - 3FS'!AV14</f>
        <v>0</v>
      </c>
    </row>
    <row r="8" spans="1:32" outlineLevel="1" x14ac:dyDescent="0.25">
      <c r="B8" s="1129" t="s">
        <v>763</v>
      </c>
      <c r="C8" s="1013"/>
      <c r="D8" s="1013"/>
      <c r="E8" s="1013"/>
      <c r="F8" s="1013"/>
      <c r="G8" s="1013"/>
      <c r="H8" s="1014"/>
      <c r="I8" s="1014"/>
      <c r="J8" s="1014"/>
      <c r="K8" s="1014"/>
      <c r="L8" s="1015"/>
      <c r="M8" s="1015"/>
      <c r="N8" s="1015"/>
      <c r="O8" s="1015"/>
      <c r="P8" s="1015"/>
      <c r="Q8" s="1017">
        <f t="shared" ref="Q8:V8" si="1">IFERROR(IF(Q6&gt;=0,Q7/Q6-1,1-Q7/Q6), "n.a.")</f>
        <v>2.9849500888601055E-2</v>
      </c>
      <c r="R8" s="1017">
        <f t="shared" si="1"/>
        <v>3.5364577412993148E-2</v>
      </c>
      <c r="S8" s="1017">
        <f t="shared" si="1"/>
        <v>2.9415610082048183E-2</v>
      </c>
      <c r="T8" s="1017">
        <f t="shared" si="1"/>
        <v>5.5370361437875992E-2</v>
      </c>
      <c r="U8" s="1017">
        <f t="shared" si="1"/>
        <v>4.8804341776934157E-2</v>
      </c>
      <c r="V8" s="1017">
        <f t="shared" si="1"/>
        <v>5.2316864734471169E-2</v>
      </c>
      <c r="W8" s="1016"/>
      <c r="X8" s="1016"/>
      <c r="Y8" s="1016"/>
      <c r="Z8" s="1016"/>
      <c r="AA8" s="1017">
        <f t="shared" ref="AA8:AE8" si="2">IFERROR(IF(AA6&gt;=0,AA7/AA6-1,1-AA7/AA6), "n.a.")</f>
        <v>2.1036013700240552E-2</v>
      </c>
      <c r="AB8" s="1017">
        <f t="shared" si="2"/>
        <v>4.6420463439684978E-2</v>
      </c>
      <c r="AC8" s="1017">
        <f t="shared" si="2"/>
        <v>5.0671207124996842E-2</v>
      </c>
      <c r="AD8" s="1017">
        <f t="shared" si="2"/>
        <v>-1</v>
      </c>
      <c r="AE8" s="1017">
        <f t="shared" si="2"/>
        <v>-1</v>
      </c>
      <c r="AF8" s="1017">
        <f t="shared" ref="AF8" si="3">IFERROR(IF(AF6&gt;=0,AF7/AF6-1,1-AF7/AF6), "n.a.")</f>
        <v>-1</v>
      </c>
    </row>
    <row r="9" spans="1:32" x14ac:dyDescent="0.25">
      <c r="B9" s="1131" t="s">
        <v>924</v>
      </c>
      <c r="C9" s="1010"/>
      <c r="D9" s="1010"/>
      <c r="E9" s="1010"/>
      <c r="F9" s="1010"/>
      <c r="G9" s="1010"/>
      <c r="H9" s="1010"/>
      <c r="I9" s="1010"/>
      <c r="J9" s="1010"/>
      <c r="K9" s="1010"/>
      <c r="L9" s="1010"/>
      <c r="M9" s="1010"/>
      <c r="N9" s="1010"/>
      <c r="O9" s="1010"/>
      <c r="P9" s="1010"/>
      <c r="Q9" s="1010"/>
      <c r="R9" s="1010"/>
      <c r="S9" s="1010"/>
      <c r="T9" s="1010"/>
      <c r="U9" s="1010"/>
      <c r="V9" s="1010"/>
      <c r="X9" s="1010"/>
      <c r="Y9" s="1010"/>
      <c r="Z9" s="1010"/>
      <c r="AA9" s="1283"/>
      <c r="AB9" s="1010"/>
      <c r="AC9" s="1010"/>
      <c r="AD9" s="1010"/>
      <c r="AE9" s="1010"/>
      <c r="AF9" s="1010"/>
    </row>
    <row r="10" spans="1:32" x14ac:dyDescent="0.25">
      <c r="B10" s="1004" t="s">
        <v>757</v>
      </c>
      <c r="C10" s="1011"/>
      <c r="D10" s="1011"/>
      <c r="E10" s="1011"/>
      <c r="F10" s="1011"/>
      <c r="G10" s="1011"/>
      <c r="H10" s="1011"/>
      <c r="I10" s="1011"/>
      <c r="J10" s="1011"/>
      <c r="K10" s="1011"/>
      <c r="L10" s="1011"/>
      <c r="M10" s="1011"/>
      <c r="N10" s="1011"/>
      <c r="O10" s="1011"/>
      <c r="P10" s="1011"/>
      <c r="Q10" s="1011">
        <v>17698.499319610066</v>
      </c>
      <c r="R10" s="1011">
        <v>17984.609839716421</v>
      </c>
      <c r="S10" s="1011">
        <v>18059.084287684644</v>
      </c>
      <c r="T10" s="1011">
        <v>18373.651661575102</v>
      </c>
      <c r="U10" s="1011">
        <v>18771.720407745976</v>
      </c>
      <c r="V10" s="1011">
        <v>19010.640367859069</v>
      </c>
      <c r="W10" s="1011"/>
      <c r="X10" s="1011"/>
      <c r="Y10" s="1011"/>
      <c r="Z10" s="1011"/>
      <c r="AA10" s="1011">
        <v>69874.38777292367</v>
      </c>
      <c r="AB10" s="1011">
        <v>73905.018310298678</v>
      </c>
      <c r="AC10" s="1011">
        <v>77751.408030080405</v>
      </c>
      <c r="AD10" s="1011">
        <v>81336.153873168165</v>
      </c>
      <c r="AE10" s="1011">
        <v>83248.232274772381</v>
      </c>
      <c r="AF10" s="1011">
        <v>87593.896093075746</v>
      </c>
    </row>
    <row r="11" spans="1:32" x14ac:dyDescent="0.25">
      <c r="B11" s="1004" t="s">
        <v>758</v>
      </c>
      <c r="C11" s="1011">
        <f>'FC - 3FS'!P11</f>
        <v>15128</v>
      </c>
      <c r="D11" s="1011">
        <f>'FC - 3FS'!Q11</f>
        <v>15316</v>
      </c>
      <c r="E11" s="1011">
        <f>'FC - 3FS'!R11</f>
        <v>15361</v>
      </c>
      <c r="F11" s="1011">
        <f>'FC - 3FS'!S11</f>
        <v>15518</v>
      </c>
      <c r="G11" s="1011">
        <f>'FC - 3FS'!T11</f>
        <v>15546</v>
      </c>
      <c r="H11" s="1011">
        <f>'FC - 3FS'!U11</f>
        <v>15738</v>
      </c>
      <c r="I11" s="1011">
        <f>'FC - 3FS'!V11</f>
        <v>15914</v>
      </c>
      <c r="J11" s="1011">
        <f>'FC - 3FS'!W11</f>
        <v>16043</v>
      </c>
      <c r="K11" s="1011">
        <f>'FC - 3FS'!X11</f>
        <v>16096</v>
      </c>
      <c r="L11" s="1011">
        <f>'FC - 3FS'!Y11</f>
        <v>16429</v>
      </c>
      <c r="M11" s="1011">
        <f>'FC - 3FS'!Z11</f>
        <v>16725</v>
      </c>
      <c r="N11" s="1011">
        <f>'FC - 3FS'!AA11</f>
        <v>16928</v>
      </c>
      <c r="O11" s="1011">
        <f>'FC - 3FS'!AB11</f>
        <v>16925</v>
      </c>
      <c r="P11" s="1011">
        <f>'FC - 3FS'!AC11</f>
        <v>17438</v>
      </c>
      <c r="Q11" s="1011">
        <f>'FC - 3FS'!AD11</f>
        <v>18241</v>
      </c>
      <c r="R11" s="1011">
        <f>'FC - 3FS'!AE11</f>
        <v>18557.583990359493</v>
      </c>
      <c r="S11" s="1011">
        <f>'FC - 3FS'!AF11</f>
        <v>18533.116189174885</v>
      </c>
      <c r="T11" s="1011">
        <f>'FC - 3FS'!AG11</f>
        <v>19098.156960162796</v>
      </c>
      <c r="U11" s="1011">
        <f>'FC - 3FS'!AH11</f>
        <v>19507.554710224977</v>
      </c>
      <c r="V11" s="1011">
        <f>'FC - 3FS'!AI11</f>
        <v>19638.318335760334</v>
      </c>
      <c r="W11" s="1011"/>
      <c r="X11" s="1011">
        <f>'FC - 3FS'!AN11</f>
        <v>61323</v>
      </c>
      <c r="Y11" s="1011">
        <f>'FC - 3FS'!AO11</f>
        <v>63241</v>
      </c>
      <c r="Z11" s="1011">
        <f>'FC - 3FS'!AP11</f>
        <v>66178</v>
      </c>
      <c r="AA11" s="1011">
        <f>'FC - 3FS'!AQ11</f>
        <v>71161.58399035949</v>
      </c>
      <c r="AB11" s="1011">
        <f>'FC - 3FS'!AR11</f>
        <v>76777.146195323003</v>
      </c>
      <c r="AC11" s="1011">
        <f>'FC - 3FS'!AS11</f>
        <v>81051.676322660453</v>
      </c>
      <c r="AD11" s="1011">
        <f>'FC - 3FS'!AT11</f>
        <v>0</v>
      </c>
      <c r="AE11" s="1011">
        <f>'FC - 3FS'!AU11</f>
        <v>0</v>
      </c>
      <c r="AF11" s="1011">
        <f>'FC - 3FS'!AV11</f>
        <v>0</v>
      </c>
    </row>
    <row r="12" spans="1:32" x14ac:dyDescent="0.25">
      <c r="B12" s="1275" t="s">
        <v>759</v>
      </c>
      <c r="C12" s="1013"/>
      <c r="D12" s="1013"/>
      <c r="E12" s="1013"/>
      <c r="F12" s="1013"/>
      <c r="G12" s="1013"/>
      <c r="H12" s="1014"/>
      <c r="I12" s="1014"/>
      <c r="J12" s="1014"/>
      <c r="K12" s="1014"/>
      <c r="L12" s="1015"/>
      <c r="M12" s="1015"/>
      <c r="N12" s="1015"/>
      <c r="O12" s="1015"/>
      <c r="P12" s="1015"/>
      <c r="Q12" s="1017">
        <f t="shared" ref="Q12:V12" si="4">IFERROR(IF(Q10&gt;=0,Q11/Q10-1,1-Q11/Q10), "n.a.")</f>
        <v>3.0652354789699077E-2</v>
      </c>
      <c r="R12" s="1017">
        <f t="shared" si="4"/>
        <v>3.1859137103866564E-2</v>
      </c>
      <c r="S12" s="1017">
        <f t="shared" si="4"/>
        <v>2.6248944516721995E-2</v>
      </c>
      <c r="T12" s="1017">
        <f t="shared" si="4"/>
        <v>3.9431753248204693E-2</v>
      </c>
      <c r="U12" s="1017">
        <f t="shared" si="4"/>
        <v>3.919908705732511E-2</v>
      </c>
      <c r="V12" s="1017">
        <f t="shared" si="4"/>
        <v>3.3017192254210848E-2</v>
      </c>
      <c r="W12" s="1016"/>
      <c r="X12" s="1016"/>
      <c r="Y12" s="1016"/>
      <c r="Z12" s="1016"/>
      <c r="AA12" s="1017">
        <f t="shared" ref="AA12:AE12" si="5">IFERROR(IF(AA10&gt;=0,AA11/AA10-1,1-AA11/AA10), "n.a.")</f>
        <v>1.8421574177063693E-2</v>
      </c>
      <c r="AB12" s="1017">
        <f t="shared" si="5"/>
        <v>3.88624203158352E-2</v>
      </c>
      <c r="AC12" s="1017">
        <f t="shared" si="5"/>
        <v>4.2446411919681681E-2</v>
      </c>
      <c r="AD12" s="1017">
        <f t="shared" si="5"/>
        <v>-1</v>
      </c>
      <c r="AE12" s="1017">
        <f t="shared" si="5"/>
        <v>-1</v>
      </c>
      <c r="AF12" s="1017">
        <f t="shared" ref="AF12" si="6">IFERROR(IF(AF10&gt;=0,AF11/AF10-1,1-AF11/AF10), "n.a.")</f>
        <v>-1</v>
      </c>
    </row>
    <row r="13" spans="1:32" outlineLevel="1" x14ac:dyDescent="0.25">
      <c r="B13" s="1131" t="s">
        <v>760</v>
      </c>
      <c r="C13" s="1010"/>
      <c r="D13" s="1010"/>
      <c r="E13" s="1010"/>
      <c r="F13" s="1010"/>
      <c r="G13" s="1010"/>
      <c r="H13" s="1010"/>
      <c r="I13" s="1010"/>
      <c r="J13" s="1010"/>
      <c r="K13" s="1010"/>
      <c r="L13" s="1010"/>
      <c r="M13" s="1010"/>
      <c r="N13" s="1010"/>
      <c r="O13" s="1010"/>
      <c r="P13" s="1010"/>
      <c r="Q13" s="1010"/>
      <c r="R13" s="1010"/>
      <c r="S13" s="1010"/>
      <c r="T13" s="1010"/>
      <c r="U13" s="1010"/>
      <c r="V13" s="1010"/>
      <c r="X13" s="1010"/>
      <c r="Y13" s="1010"/>
      <c r="Z13" s="1010"/>
      <c r="AA13" s="1010"/>
      <c r="AB13" s="1010"/>
      <c r="AC13" s="1010"/>
      <c r="AD13" s="1010"/>
      <c r="AE13" s="1010"/>
      <c r="AF13" s="1010"/>
    </row>
    <row r="14" spans="1:32" outlineLevel="1" x14ac:dyDescent="0.25">
      <c r="B14" s="1004" t="s">
        <v>757</v>
      </c>
      <c r="L14" s="1011"/>
      <c r="M14" s="1011"/>
      <c r="N14" s="1011"/>
      <c r="O14" s="1011"/>
      <c r="P14" s="1011"/>
      <c r="Q14" s="1011">
        <v>5140.7216773592436</v>
      </c>
      <c r="R14" s="1011">
        <v>4787.919988296333</v>
      </c>
      <c r="S14" s="1011">
        <v>5253.1925977085439</v>
      </c>
      <c r="T14" s="1011">
        <v>5611.6538180670213</v>
      </c>
      <c r="U14" s="1011">
        <v>5823.8231695381319</v>
      </c>
      <c r="V14" s="1011">
        <v>5471.4095959926117</v>
      </c>
      <c r="AA14" s="1011">
        <v>19729.905334106181</v>
      </c>
      <c r="AB14" s="1011">
        <v>22133.427868610066</v>
      </c>
      <c r="AC14" s="1011">
        <v>24770.761437718116</v>
      </c>
      <c r="AD14" s="1011">
        <v>27076.242964098081</v>
      </c>
      <c r="AE14" s="1011">
        <v>28030.192387730411</v>
      </c>
      <c r="AF14" s="1011">
        <v>30053.192854267752</v>
      </c>
    </row>
    <row r="15" spans="1:32" outlineLevel="1" x14ac:dyDescent="0.25">
      <c r="B15" s="1004" t="s">
        <v>758</v>
      </c>
      <c r="C15" s="1031">
        <f>'FC - 3FS'!P23</f>
        <v>1806</v>
      </c>
      <c r="D15" s="1031">
        <f>'FC - 3FS'!Q23</f>
        <v>709</v>
      </c>
      <c r="E15" s="1031">
        <f>'FC - 3FS'!R23</f>
        <v>1281</v>
      </c>
      <c r="F15" s="1031">
        <f>'FC - 3FS'!S23</f>
        <v>2747</v>
      </c>
      <c r="G15" s="1031">
        <f>'FC - 3FS'!T23</f>
        <v>3397</v>
      </c>
      <c r="H15" s="1031">
        <f>'FC - 3FS'!U23</f>
        <v>3793</v>
      </c>
      <c r="I15" s="1031">
        <f>'FC - 3FS'!V23</f>
        <v>3596</v>
      </c>
      <c r="J15" s="1031">
        <f>'FC - 3FS'!W23</f>
        <v>3480</v>
      </c>
      <c r="K15" s="1031">
        <f>'FC - 3FS'!X23</f>
        <v>3998</v>
      </c>
      <c r="L15" s="1031">
        <f>'FC - 3FS'!Y23</f>
        <v>4630</v>
      </c>
      <c r="M15" s="1031">
        <f>'FC - 3FS'!Z23</f>
        <v>4796</v>
      </c>
      <c r="N15" s="1031">
        <f>'FC - 3FS'!AA23</f>
        <v>4586</v>
      </c>
      <c r="O15" s="1031">
        <f>'FC - 3FS'!AB23</f>
        <v>4800</v>
      </c>
      <c r="P15" s="1031">
        <f>'FC - 3FS'!AC23</f>
        <v>5213</v>
      </c>
      <c r="Q15" s="1031">
        <f>'FC - 3FS'!AD23</f>
        <v>4530</v>
      </c>
      <c r="R15" s="1031">
        <f>'FC - 3FS'!AE23</f>
        <v>4036.3442783097198</v>
      </c>
      <c r="S15" s="1031">
        <f>'FC - 3FS'!AF23</f>
        <v>4950.2703791280146</v>
      </c>
      <c r="T15" s="1031">
        <f>'FC - 3FS'!AG23</f>
        <v>5405.7175763891828</v>
      </c>
      <c r="U15" s="1031">
        <f>'FC - 3FS'!AH23</f>
        <v>5173.5303108416738</v>
      </c>
      <c r="V15" s="1031">
        <f>'FC - 3FS'!AI23</f>
        <v>5099.1664466193288</v>
      </c>
      <c r="X15" s="1011">
        <f>'FC - 3FS'!AN23</f>
        <v>6543</v>
      </c>
      <c r="Y15" s="1011">
        <f>'FC - 3FS'!AO23</f>
        <v>14266</v>
      </c>
      <c r="Z15" s="1011">
        <f>'FC - 3FS'!AP23</f>
        <v>18010</v>
      </c>
      <c r="AA15" s="1011">
        <f>'FC - 3FS'!AQ23</f>
        <v>18579.344278309713</v>
      </c>
      <c r="AB15" s="1011">
        <f>'FC - 3FS'!AR23</f>
        <v>20628.684712978196</v>
      </c>
      <c r="AC15" s="1011">
        <f>'FC - 3FS'!AS23</f>
        <v>23736.334888768208</v>
      </c>
      <c r="AD15" s="1011">
        <f>'FC - 3FS'!AT23</f>
        <v>0</v>
      </c>
      <c r="AE15" s="1011">
        <f>'FC - 3FS'!AU23</f>
        <v>0</v>
      </c>
      <c r="AF15" s="1011">
        <f>'FC - 3FS'!AV23</f>
        <v>0</v>
      </c>
    </row>
    <row r="16" spans="1:32" outlineLevel="1" x14ac:dyDescent="0.25">
      <c r="B16" s="1012" t="s">
        <v>759</v>
      </c>
      <c r="C16" s="1013"/>
      <c r="D16" s="1013"/>
      <c r="E16" s="1013"/>
      <c r="F16" s="1013"/>
      <c r="G16" s="1013"/>
      <c r="H16" s="1013"/>
      <c r="I16" s="1013"/>
      <c r="J16" s="1013"/>
      <c r="K16" s="1013"/>
      <c r="L16" s="1016"/>
      <c r="M16" s="1016"/>
      <c r="N16" s="1016"/>
      <c r="O16" s="1016"/>
      <c r="P16" s="1016"/>
      <c r="Q16" s="1015">
        <f t="shared" ref="Q16:V16" si="7">Q15/Q14-1</f>
        <v>-0.11880076683571161</v>
      </c>
      <c r="R16" s="1015">
        <f t="shared" si="7"/>
        <v>-0.15697332282573162</v>
      </c>
      <c r="S16" s="1015">
        <f t="shared" si="7"/>
        <v>-5.7664403683326704E-2</v>
      </c>
      <c r="T16" s="1015">
        <f t="shared" si="7"/>
        <v>-3.6697958989347468E-2</v>
      </c>
      <c r="U16" s="1015">
        <f t="shared" si="7"/>
        <v>-0.11166081794822602</v>
      </c>
      <c r="V16" s="1015">
        <f t="shared" si="7"/>
        <v>-6.8034231918210342E-2</v>
      </c>
      <c r="W16" s="1015"/>
      <c r="X16" s="1015"/>
      <c r="Y16" s="1015"/>
      <c r="Z16" s="1015"/>
      <c r="AA16" s="1015">
        <f t="shared" ref="AA16:AE16" si="8">IFERROR(IF(AA14&gt;=0,AA15/AA14-1,1-AA15/AA14), "n.a.")</f>
        <v>-5.8315589269835266E-2</v>
      </c>
      <c r="AB16" s="1015">
        <f t="shared" si="8"/>
        <v>-6.7985093161548549E-2</v>
      </c>
      <c r="AC16" s="1015">
        <f t="shared" si="8"/>
        <v>-4.1759981886338005E-2</v>
      </c>
      <c r="AD16" s="1015">
        <f t="shared" si="8"/>
        <v>-1</v>
      </c>
      <c r="AE16" s="1015">
        <f t="shared" si="8"/>
        <v>-1</v>
      </c>
      <c r="AF16" s="1015">
        <f t="shared" ref="AF16" si="9">IFERROR(IF(AF14&gt;=0,AF15/AF14-1,1-AF15/AF14), "n.a.")</f>
        <v>-1</v>
      </c>
    </row>
    <row r="17" spans="2:32" outlineLevel="1" x14ac:dyDescent="0.25">
      <c r="G17" s="1018"/>
      <c r="H17" s="1018"/>
      <c r="I17" s="1018"/>
      <c r="J17" s="1018"/>
      <c r="K17" s="1018"/>
      <c r="L17" s="1018"/>
      <c r="M17" s="1018"/>
      <c r="N17" s="1018"/>
      <c r="O17" s="1018"/>
      <c r="P17" s="1018"/>
      <c r="Q17" s="1018"/>
      <c r="R17" s="1018"/>
      <c r="S17" s="1018"/>
      <c r="T17" s="1018"/>
      <c r="U17" s="1018"/>
      <c r="V17" s="1018"/>
      <c r="W17" s="1018"/>
      <c r="X17" s="1018"/>
      <c r="Y17" s="1018"/>
      <c r="Z17" s="1018"/>
      <c r="AA17" s="1018"/>
      <c r="AB17" s="1018"/>
      <c r="AC17" s="1018"/>
      <c r="AD17" s="1018"/>
      <c r="AE17" s="1018"/>
      <c r="AF17" s="1018"/>
    </row>
    <row r="18" spans="2:32" outlineLevel="1" x14ac:dyDescent="0.25">
      <c r="B18" s="1019" t="s">
        <v>761</v>
      </c>
      <c r="G18" s="1020"/>
      <c r="H18" s="1020"/>
      <c r="I18" s="1020"/>
      <c r="J18" s="1020"/>
      <c r="K18" s="1020"/>
      <c r="L18" s="1020"/>
      <c r="M18" s="1020"/>
      <c r="N18" s="1020"/>
      <c r="O18" s="1020"/>
      <c r="P18" s="1020"/>
      <c r="Q18" s="1020">
        <f t="shared" ref="Q18:V18" si="10">Q14/Q6</f>
        <v>0.24111534606893606</v>
      </c>
      <c r="R18" s="1020">
        <f t="shared" si="10"/>
        <v>0.20765498944755575</v>
      </c>
      <c r="S18" s="1020">
        <f t="shared" si="10"/>
        <v>0.23980710399685054</v>
      </c>
      <c r="T18" s="1020">
        <f t="shared" si="10"/>
        <v>0.25570598859937615</v>
      </c>
      <c r="U18" s="1020">
        <f t="shared" si="10"/>
        <v>0.26022328629175612</v>
      </c>
      <c r="V18" s="1020">
        <f t="shared" si="10"/>
        <v>0.2281721983541059</v>
      </c>
      <c r="W18" s="1020"/>
      <c r="X18" s="1020"/>
      <c r="Y18" s="1020"/>
      <c r="Z18" s="1020"/>
      <c r="AA18" s="1020">
        <f t="shared" ref="AA18:AF19" si="11">AA14/AA6</f>
        <v>0.22931722559538623</v>
      </c>
      <c r="AB18" s="1020">
        <f t="shared" si="11"/>
        <v>0.24530320569848363</v>
      </c>
      <c r="AC18" s="1020">
        <f t="shared" si="11"/>
        <v>0.26222123177964479</v>
      </c>
      <c r="AD18" s="1020">
        <f t="shared" si="11"/>
        <v>0.27715217298924794</v>
      </c>
      <c r="AE18" s="1020">
        <f t="shared" si="11"/>
        <v>0.28214019420564124</v>
      </c>
      <c r="AF18" s="1020">
        <f t="shared" si="11"/>
        <v>0.28737341868556049</v>
      </c>
    </row>
    <row r="19" spans="2:32" outlineLevel="1" x14ac:dyDescent="0.25">
      <c r="B19" s="1019" t="s">
        <v>762</v>
      </c>
      <c r="G19" s="1020">
        <f t="shared" ref="G19:M19" si="12">G15/G7</f>
        <v>0.17303382233088835</v>
      </c>
      <c r="H19" s="1020">
        <f t="shared" si="12"/>
        <v>0.19759324859345698</v>
      </c>
      <c r="I19" s="1020">
        <f t="shared" si="12"/>
        <v>0.18678578848950758</v>
      </c>
      <c r="J19" s="1020">
        <f t="shared" si="12"/>
        <v>0.16993847055376501</v>
      </c>
      <c r="K19" s="1020">
        <f t="shared" si="12"/>
        <v>0.20404205368990508</v>
      </c>
      <c r="L19" s="1020">
        <f t="shared" si="12"/>
        <v>0.23416953267246612</v>
      </c>
      <c r="M19" s="1020">
        <f t="shared" si="12"/>
        <v>0.23787322686241444</v>
      </c>
      <c r="N19" s="1020">
        <f t="shared" ref="N19:O19" si="13">N15/N7</f>
        <v>0.20967446964155084</v>
      </c>
      <c r="O19" s="1020">
        <f t="shared" si="13"/>
        <v>0.2298190175237001</v>
      </c>
      <c r="P19" s="1020">
        <f t="shared" ref="P19" si="14">P15/P7</f>
        <v>0.24668748816960059</v>
      </c>
      <c r="Q19" s="1020">
        <f t="shared" ref="Q19:V19" si="15">Q15/Q7</f>
        <v>0.20631233775105889</v>
      </c>
      <c r="R19" s="1020">
        <f t="shared" si="15"/>
        <v>0.16907927851852914</v>
      </c>
      <c r="S19" s="1020">
        <f t="shared" si="15"/>
        <v>0.21952141402619227</v>
      </c>
      <c r="T19" s="1020">
        <f t="shared" si="15"/>
        <v>0.23339872874658643</v>
      </c>
      <c r="U19" s="1020">
        <f t="shared" si="15"/>
        <v>0.22040959603922872</v>
      </c>
      <c r="V19" s="1020">
        <f t="shared" si="15"/>
        <v>0.20207666076667122</v>
      </c>
      <c r="W19" s="1020"/>
      <c r="X19" s="1020">
        <f>X15/X7</f>
        <v>8.2228450063465339E-2</v>
      </c>
      <c r="Y19" s="1020">
        <f>Y15/Y7</f>
        <v>0.18159830952926501</v>
      </c>
      <c r="Z19" s="1020">
        <f>Z15/Z7</f>
        <v>0.22125307125307125</v>
      </c>
      <c r="AA19" s="1020">
        <f t="shared" si="11"/>
        <v>0.21149543557477812</v>
      </c>
      <c r="AB19" s="1020">
        <f t="shared" si="11"/>
        <v>0.21848411073186511</v>
      </c>
      <c r="AC19" s="1020">
        <f t="shared" si="11"/>
        <v>0.2391527208382139</v>
      </c>
      <c r="AD19" s="1020" t="e">
        <f t="shared" si="11"/>
        <v>#DIV/0!</v>
      </c>
      <c r="AE19" s="1020" t="e">
        <f t="shared" si="11"/>
        <v>#DIV/0!</v>
      </c>
      <c r="AF19" s="1020" t="e">
        <f t="shared" si="11"/>
        <v>#DIV/0!</v>
      </c>
    </row>
    <row r="20" spans="2:32" s="1013" customFormat="1" outlineLevel="1" x14ac:dyDescent="0.25">
      <c r="B20" s="1129" t="s">
        <v>763</v>
      </c>
      <c r="G20" s="1015"/>
      <c r="H20" s="1015"/>
      <c r="I20" s="1015"/>
      <c r="J20" s="1015"/>
      <c r="K20" s="1015"/>
      <c r="L20" s="1015"/>
      <c r="M20" s="1015"/>
      <c r="N20" s="1015"/>
      <c r="O20" s="1015"/>
      <c r="P20" s="1015"/>
      <c r="Q20" s="1015">
        <f t="shared" ref="Q20:R20" si="16">Q19-Q18</f>
        <v>-3.4803008317877165E-2</v>
      </c>
      <c r="R20" s="1015">
        <f t="shared" si="16"/>
        <v>-3.8575710929026619E-2</v>
      </c>
      <c r="S20" s="1015">
        <f t="shared" ref="S20:V20" si="17">S19-S18</f>
        <v>-2.0285689970658272E-2</v>
      </c>
      <c r="T20" s="1015">
        <f t="shared" si="17"/>
        <v>-2.2307259852789724E-2</v>
      </c>
      <c r="U20" s="1015">
        <f t="shared" si="17"/>
        <v>-3.9813690252527401E-2</v>
      </c>
      <c r="V20" s="1015">
        <f t="shared" si="17"/>
        <v>-2.6095537587434686E-2</v>
      </c>
      <c r="W20" s="1015"/>
      <c r="X20" s="1015"/>
      <c r="Y20" s="1015"/>
      <c r="Z20" s="1015"/>
      <c r="AA20" s="1015">
        <f t="shared" ref="AA20:AE20" si="18">AA19-AA18</f>
        <v>-1.7821790020608103E-2</v>
      </c>
      <c r="AB20" s="1015">
        <f t="shared" si="18"/>
        <v>-2.6819094966618523E-2</v>
      </c>
      <c r="AC20" s="1015">
        <f t="shared" si="18"/>
        <v>-2.3068510941430892E-2</v>
      </c>
      <c r="AD20" s="1015" t="e">
        <f t="shared" si="18"/>
        <v>#DIV/0!</v>
      </c>
      <c r="AE20" s="1015" t="e">
        <f t="shared" si="18"/>
        <v>#DIV/0!</v>
      </c>
      <c r="AF20" s="1015" t="e">
        <f t="shared" ref="AF20" si="19">AF19-AF18</f>
        <v>#DIV/0!</v>
      </c>
    </row>
    <row r="21" spans="2:32" x14ac:dyDescent="0.25">
      <c r="B21" s="1131" t="s">
        <v>925</v>
      </c>
      <c r="C21" s="1010"/>
      <c r="D21" s="1010"/>
      <c r="E21" s="1010"/>
      <c r="F21" s="1010"/>
      <c r="G21" s="1010"/>
      <c r="H21" s="1010"/>
      <c r="I21" s="1010"/>
      <c r="J21" s="1010"/>
      <c r="K21" s="1010"/>
      <c r="L21" s="1010"/>
      <c r="M21" s="1010"/>
      <c r="N21" s="1010"/>
      <c r="O21" s="1010"/>
      <c r="P21" s="1010"/>
      <c r="Q21" s="1010"/>
      <c r="R21" s="1010"/>
      <c r="S21" s="1010"/>
      <c r="T21" s="1010"/>
      <c r="U21" s="1010"/>
      <c r="V21" s="1010"/>
      <c r="X21" s="1010"/>
      <c r="Y21" s="1010"/>
      <c r="Z21" s="1010"/>
      <c r="AA21" s="1010"/>
      <c r="AB21" s="1010"/>
      <c r="AC21" s="1010"/>
      <c r="AD21" s="1010"/>
      <c r="AE21" s="1010"/>
      <c r="AF21" s="1010"/>
    </row>
    <row r="22" spans="2:32" x14ac:dyDescent="0.25">
      <c r="B22" s="1004" t="s">
        <v>757</v>
      </c>
      <c r="H22" s="1011"/>
      <c r="I22" s="1011"/>
      <c r="J22" s="1011"/>
      <c r="K22" s="1011"/>
      <c r="L22" s="1011"/>
      <c r="M22" s="1011"/>
      <c r="N22" s="1011"/>
      <c r="O22" s="1011"/>
      <c r="P22" s="1011"/>
      <c r="Q22" s="1011">
        <v>8584.5259999999998</v>
      </c>
      <c r="R22" s="1011">
        <v>8285.4210000000003</v>
      </c>
      <c r="S22" s="1011">
        <v>8856.4549999999999</v>
      </c>
      <c r="T22" s="1011">
        <v>9181.7270000000008</v>
      </c>
      <c r="U22" s="1011">
        <v>9376.4549999999999</v>
      </c>
      <c r="V22" s="1011">
        <v>8968.4549999999999</v>
      </c>
      <c r="AA22" s="1011">
        <v>33463.739000000001</v>
      </c>
      <c r="AB22" s="1011">
        <v>35699</v>
      </c>
      <c r="AC22" s="1011">
        <v>38857.332999999999</v>
      </c>
      <c r="AD22" s="1011">
        <v>40577.332999999999</v>
      </c>
      <c r="AE22" s="1011">
        <v>42432.200000000004</v>
      </c>
      <c r="AF22" s="1011">
        <v>44291.222000000002</v>
      </c>
    </row>
    <row r="23" spans="2:32" x14ac:dyDescent="0.25">
      <c r="B23" s="1004" t="s">
        <v>758</v>
      </c>
      <c r="C23" s="1011">
        <f>'FC - 3FS'!P56</f>
        <v>6950</v>
      </c>
      <c r="D23" s="1011">
        <f>'FC - 3FS'!Q56</f>
        <v>7004</v>
      </c>
      <c r="E23" s="1011">
        <f>'FC - 3FS'!R56</f>
        <v>7039</v>
      </c>
      <c r="F23" s="1011">
        <f>'FC - 3FS'!S56</f>
        <v>6828</v>
      </c>
      <c r="G23" s="1011">
        <f>'FC - 3FS'!T56</f>
        <v>7199</v>
      </c>
      <c r="H23" s="1011">
        <f>'FC - 3FS'!U56</f>
        <v>7405</v>
      </c>
      <c r="I23" s="1011">
        <f>'FC - 3FS'!V56</f>
        <v>7600</v>
      </c>
      <c r="J23" s="1011">
        <f>'FC - 3FS'!W56</f>
        <v>7224</v>
      </c>
      <c r="K23" s="1011">
        <f>'FC - 3FS'!X56</f>
        <v>7652</v>
      </c>
      <c r="L23" s="1011">
        <f>'FC - 3FS'!Y56</f>
        <v>8053</v>
      </c>
      <c r="M23" s="1011">
        <f>'FC - 3FS'!Z56</f>
        <v>8243</v>
      </c>
      <c r="N23" s="1011">
        <f>'FC - 3FS'!AA56</f>
        <v>7916</v>
      </c>
      <c r="O23" s="1011">
        <f>'FC - 3FS'!AB56</f>
        <v>8259</v>
      </c>
      <c r="P23" s="1011">
        <f>'FC - 3FS'!AC56</f>
        <v>8547</v>
      </c>
      <c r="Q23" s="1011">
        <f>'FC - 3FS'!AD56</f>
        <v>8684</v>
      </c>
      <c r="R23" s="1011">
        <f>'FC - 3FS'!AE56</f>
        <v>8394.3924876278943</v>
      </c>
      <c r="S23" s="1011">
        <f>'FC - 3FS'!AF56</f>
        <v>9279.30164781641</v>
      </c>
      <c r="T23" s="1011">
        <f>'FC - 3FS'!AG56</f>
        <v>9624.8082936674127</v>
      </c>
      <c r="U23" s="1011">
        <f>'FC - 3FS'!AH56</f>
        <v>9319.7855125316564</v>
      </c>
      <c r="V23" s="1011">
        <f>'FC - 3FS'!AI56</f>
        <v>9159.2499547615698</v>
      </c>
      <c r="X23" s="1011">
        <f>'FC - 3FS'!AN56</f>
        <v>27821</v>
      </c>
      <c r="Y23" s="1011">
        <f>'FC - 3FS'!AO56</f>
        <v>29428</v>
      </c>
      <c r="Z23" s="1011">
        <f>'FC - 3FS'!AP56</f>
        <v>31864</v>
      </c>
      <c r="AA23" s="1011">
        <f>'FC - 3FS'!AQ56</f>
        <v>33884.392487627898</v>
      </c>
      <c r="AB23" s="1011">
        <f>'FC - 3FS'!AR56</f>
        <v>37383.145408777047</v>
      </c>
      <c r="AC23" s="1011">
        <f>'FC - 3FS'!AS56</f>
        <v>40069.346882909696</v>
      </c>
      <c r="AD23" s="1011">
        <f>'FC - 3FS'!AT56</f>
        <v>0</v>
      </c>
      <c r="AE23" s="1011">
        <f>'FC - 3FS'!AU56</f>
        <v>0</v>
      </c>
      <c r="AF23" s="1011">
        <f>'FC - 3FS'!AV56</f>
        <v>0</v>
      </c>
    </row>
    <row r="24" spans="2:32" x14ac:dyDescent="0.25">
      <c r="B24" s="1275" t="s">
        <v>759</v>
      </c>
      <c r="C24" s="1016"/>
      <c r="D24" s="1016"/>
      <c r="E24" s="1016"/>
      <c r="F24" s="1016"/>
      <c r="G24" s="1016"/>
      <c r="H24" s="1015"/>
      <c r="I24" s="1015"/>
      <c r="J24" s="1015"/>
      <c r="K24" s="1015"/>
      <c r="L24" s="1015"/>
      <c r="M24" s="1015"/>
      <c r="N24" s="1015"/>
      <c r="O24" s="1015"/>
      <c r="P24" s="1015"/>
      <c r="Q24" s="1017">
        <f t="shared" ref="Q24:V24" si="20">IFERROR(IF(Q22&gt;=0,Q23/Q22-1,1-Q23/Q22), "n.a.")</f>
        <v>1.1587593770465698E-2</v>
      </c>
      <c r="R24" s="1017">
        <f t="shared" si="20"/>
        <v>1.315219680785007E-2</v>
      </c>
      <c r="S24" s="1017">
        <f t="shared" si="20"/>
        <v>4.7744458456166816E-2</v>
      </c>
      <c r="T24" s="1017">
        <f t="shared" si="20"/>
        <v>4.8256857742275727E-2</v>
      </c>
      <c r="U24" s="1017">
        <f t="shared" si="20"/>
        <v>-6.0438073310589147E-3</v>
      </c>
      <c r="V24" s="1017">
        <f t="shared" si="20"/>
        <v>2.1274004804793023E-2</v>
      </c>
      <c r="W24" s="1015"/>
      <c r="X24" s="1015"/>
      <c r="Y24" s="1015"/>
      <c r="Z24" s="1015"/>
      <c r="AA24" s="1017">
        <f t="shared" ref="AA24:AE24" si="21">IFERROR(IF(AA22&gt;=0,AA23/AA22-1,1-AA23/AA22), "n.a.")</f>
        <v>1.2570426981512561E-2</v>
      </c>
      <c r="AB24" s="1017">
        <f t="shared" si="21"/>
        <v>4.7176262886272635E-2</v>
      </c>
      <c r="AC24" s="1017">
        <f t="shared" si="21"/>
        <v>3.119138111999864E-2</v>
      </c>
      <c r="AD24" s="1017">
        <f t="shared" si="21"/>
        <v>-1</v>
      </c>
      <c r="AE24" s="1017">
        <f t="shared" si="21"/>
        <v>-1</v>
      </c>
      <c r="AF24" s="1017">
        <f t="shared" ref="AF24" si="22">IFERROR(IF(AF22&gt;=0,AF23/AF22-1,1-AF23/AF22), "n.a.")</f>
        <v>-1</v>
      </c>
    </row>
    <row r="25" spans="2:32" x14ac:dyDescent="0.25">
      <c r="C25" s="1018"/>
      <c r="D25" s="1018"/>
      <c r="E25" s="1018"/>
      <c r="F25" s="1018"/>
      <c r="G25" s="1018"/>
      <c r="H25" s="1018"/>
      <c r="I25" s="1018"/>
      <c r="J25" s="1018"/>
      <c r="K25" s="1018"/>
      <c r="L25" s="1018"/>
      <c r="M25" s="1018"/>
      <c r="N25" s="1018"/>
      <c r="O25" s="1018"/>
      <c r="P25" s="1018"/>
      <c r="Q25" s="1018"/>
      <c r="R25" s="1018"/>
      <c r="S25" s="1018"/>
      <c r="T25" s="1018"/>
      <c r="U25" s="1018"/>
      <c r="V25" s="1018"/>
      <c r="W25" s="1018"/>
      <c r="X25" s="1018"/>
      <c r="Y25" s="1018"/>
      <c r="Z25" s="1018"/>
      <c r="AA25" s="1018"/>
      <c r="AB25" s="1018"/>
      <c r="AC25" s="1018"/>
      <c r="AD25" s="1018"/>
      <c r="AE25" s="1018"/>
      <c r="AF25" s="1018"/>
    </row>
    <row r="26" spans="2:32" x14ac:dyDescent="0.25">
      <c r="B26" s="1004" t="s">
        <v>757</v>
      </c>
      <c r="C26" s="1022"/>
      <c r="D26" s="1022"/>
      <c r="E26" s="1022"/>
      <c r="F26" s="1022"/>
      <c r="G26" s="1135"/>
      <c r="H26" s="1135"/>
      <c r="I26" s="1135"/>
      <c r="J26" s="1135"/>
      <c r="K26" s="1135"/>
      <c r="L26" s="1135"/>
      <c r="M26" s="1135"/>
      <c r="N26" s="1135"/>
      <c r="O26" s="1135"/>
      <c r="P26" s="1135"/>
      <c r="Q26" s="1135">
        <f t="shared" ref="Q26:V26" si="23">Q22/Q10</f>
        <v>0.48504259287612495</v>
      </c>
      <c r="R26" s="1135">
        <f t="shared" si="23"/>
        <v>0.46069506504960933</v>
      </c>
      <c r="S26" s="1135">
        <f t="shared" si="23"/>
        <v>0.49041550827910146</v>
      </c>
      <c r="T26" s="1135">
        <f t="shared" si="23"/>
        <v>0.49972249224697052</v>
      </c>
      <c r="U26" s="1135">
        <f t="shared" si="23"/>
        <v>0.49949896953136447</v>
      </c>
      <c r="V26" s="1135">
        <f t="shared" si="23"/>
        <v>0.47175975277312582</v>
      </c>
      <c r="W26" s="1018"/>
      <c r="X26" s="1022"/>
      <c r="Y26" s="1022"/>
      <c r="Z26" s="1022"/>
      <c r="AA26" s="1135">
        <f t="shared" ref="AA26:AE26" si="24">AA22/AA10</f>
        <v>0.4789128043418393</v>
      </c>
      <c r="AB26" s="1135">
        <f t="shared" si="24"/>
        <v>0.48303891692596113</v>
      </c>
      <c r="AC26" s="1135">
        <f t="shared" si="24"/>
        <v>0.49976372112729978</v>
      </c>
      <c r="AD26" s="1135">
        <f t="shared" si="24"/>
        <v>0.49888433455157488</v>
      </c>
      <c r="AE26" s="1135">
        <f t="shared" si="24"/>
        <v>0.50970691918053734</v>
      </c>
      <c r="AF26" s="1135">
        <f t="shared" ref="AF26" si="25">AF22/AF10</f>
        <v>0.50564278991468681</v>
      </c>
    </row>
    <row r="27" spans="2:32" x14ac:dyDescent="0.25">
      <c r="B27" s="1004" t="s">
        <v>758</v>
      </c>
      <c r="C27" s="1022">
        <f t="shared" ref="C27:V27" si="26">C23/C11</f>
        <v>0.45941300898995241</v>
      </c>
      <c r="D27" s="1022">
        <f t="shared" si="26"/>
        <v>0.45729955601984851</v>
      </c>
      <c r="E27" s="1022">
        <f t="shared" si="26"/>
        <v>0.45823839593776444</v>
      </c>
      <c r="F27" s="1022">
        <f t="shared" si="26"/>
        <v>0.44000515530351847</v>
      </c>
      <c r="G27" s="1022">
        <f t="shared" si="26"/>
        <v>0.46307731892448217</v>
      </c>
      <c r="H27" s="1022">
        <f t="shared" si="26"/>
        <v>0.47051721946880165</v>
      </c>
      <c r="I27" s="1022">
        <f t="shared" si="26"/>
        <v>0.47756692220686187</v>
      </c>
      <c r="J27" s="1022">
        <f t="shared" si="26"/>
        <v>0.45028984603877081</v>
      </c>
      <c r="K27" s="1022">
        <f t="shared" si="26"/>
        <v>0.47539761431411531</v>
      </c>
      <c r="L27" s="1022">
        <f t="shared" si="26"/>
        <v>0.49016982165682632</v>
      </c>
      <c r="M27" s="1022">
        <f t="shared" si="26"/>
        <v>0.49285500747384153</v>
      </c>
      <c r="N27" s="1022">
        <f t="shared" ref="N27:O27" si="27">N23/N11</f>
        <v>0.46762759924385633</v>
      </c>
      <c r="O27" s="1022">
        <f t="shared" si="27"/>
        <v>0.48797636632200886</v>
      </c>
      <c r="P27" s="1022">
        <f t="shared" ref="P27" si="28">P23/P11</f>
        <v>0.49013648354169054</v>
      </c>
      <c r="Q27" s="1022">
        <f t="shared" si="26"/>
        <v>0.47607039087769309</v>
      </c>
      <c r="R27" s="1022">
        <f t="shared" si="26"/>
        <v>0.45234296080722092</v>
      </c>
      <c r="S27" s="1022">
        <f t="shared" si="26"/>
        <v>0.50068760984924976</v>
      </c>
      <c r="T27" s="1022">
        <f t="shared" si="26"/>
        <v>0.50396529433410675</v>
      </c>
      <c r="U27" s="1022">
        <f t="shared" si="26"/>
        <v>0.47775262717303296</v>
      </c>
      <c r="V27" s="1022">
        <f t="shared" si="26"/>
        <v>0.46639685731558095</v>
      </c>
      <c r="W27" s="1018"/>
      <c r="X27" s="1022">
        <f>X23/X11</f>
        <v>0.45367969603574515</v>
      </c>
      <c r="Y27" s="1022">
        <f t="shared" ref="Y27:AE27" si="29">Y23/Y11</f>
        <v>0.46533103524612196</v>
      </c>
      <c r="Z27" s="1022">
        <f t="shared" ref="Z27" si="30">Z23/Z11</f>
        <v>0.48148931669134759</v>
      </c>
      <c r="AA27" s="1022">
        <f t="shared" si="29"/>
        <v>0.47616130203366941</v>
      </c>
      <c r="AB27" s="1022">
        <f t="shared" si="29"/>
        <v>0.48690459676208048</v>
      </c>
      <c r="AC27" s="1022">
        <f t="shared" si="29"/>
        <v>0.4943678983688965</v>
      </c>
      <c r="AD27" s="1022" t="e">
        <f t="shared" si="29"/>
        <v>#DIV/0!</v>
      </c>
      <c r="AE27" s="1022" t="e">
        <f t="shared" si="29"/>
        <v>#DIV/0!</v>
      </c>
      <c r="AF27" s="1022" t="e">
        <f t="shared" ref="AF27" si="31">AF23/AF11</f>
        <v>#DIV/0!</v>
      </c>
    </row>
    <row r="28" spans="2:32" x14ac:dyDescent="0.25">
      <c r="B28" s="1129" t="s">
        <v>763</v>
      </c>
      <c r="C28" s="1016"/>
      <c r="D28" s="1016"/>
      <c r="E28" s="1016"/>
      <c r="F28" s="1016"/>
      <c r="G28" s="1015"/>
      <c r="H28" s="1015"/>
      <c r="I28" s="1015"/>
      <c r="J28" s="1015"/>
      <c r="K28" s="1015"/>
      <c r="L28" s="1015"/>
      <c r="M28" s="1015"/>
      <c r="N28" s="1015"/>
      <c r="O28" s="1015"/>
      <c r="P28" s="1015"/>
      <c r="Q28" s="1017">
        <f t="shared" ref="Q28:R28" si="32">Q27-Q26</f>
        <v>-8.9722019984318502E-3</v>
      </c>
      <c r="R28" s="1017">
        <f t="shared" si="32"/>
        <v>-8.352104242388414E-3</v>
      </c>
      <c r="S28" s="1017">
        <f t="shared" ref="S28:V28" si="33">S27-S26</f>
        <v>1.0272101570148295E-2</v>
      </c>
      <c r="T28" s="1017">
        <f t="shared" si="33"/>
        <v>4.2428020871362326E-3</v>
      </c>
      <c r="U28" s="1017">
        <f t="shared" si="33"/>
        <v>-2.1746342358331505E-2</v>
      </c>
      <c r="V28" s="1015">
        <f t="shared" si="33"/>
        <v>-5.3628954575448695E-3</v>
      </c>
      <c r="W28" s="1015"/>
      <c r="X28" s="1015"/>
      <c r="Y28" s="1015"/>
      <c r="Z28" s="1015"/>
      <c r="AA28" s="1017">
        <f t="shared" ref="AA28:AE28" si="34">AA27-AA26</f>
        <v>-2.7515023081698953E-3</v>
      </c>
      <c r="AB28" s="1017">
        <f t="shared" si="34"/>
        <v>3.8656798361193512E-3</v>
      </c>
      <c r="AC28" s="1017">
        <f t="shared" si="34"/>
        <v>-5.3958227584032792E-3</v>
      </c>
      <c r="AD28" s="1017" t="e">
        <f t="shared" si="34"/>
        <v>#DIV/0!</v>
      </c>
      <c r="AE28" s="1017" t="e">
        <f t="shared" si="34"/>
        <v>#DIV/0!</v>
      </c>
      <c r="AF28" s="1017" t="e">
        <f t="shared" ref="AF28" si="35">AF27-AF26</f>
        <v>#DIV/0!</v>
      </c>
    </row>
    <row r="29" spans="2:32" x14ac:dyDescent="0.25">
      <c r="B29" s="1131" t="s">
        <v>916</v>
      </c>
      <c r="C29" s="1010"/>
      <c r="D29" s="1010"/>
      <c r="E29" s="1010"/>
      <c r="F29" s="1010"/>
      <c r="G29" s="1010"/>
      <c r="H29" s="1010"/>
      <c r="I29" s="1010"/>
      <c r="J29" s="1010"/>
      <c r="K29" s="1010"/>
      <c r="L29" s="1010"/>
      <c r="M29" s="1010"/>
      <c r="N29" s="1010"/>
      <c r="O29" s="1010"/>
      <c r="P29" s="1010"/>
      <c r="Q29" s="1010"/>
      <c r="R29" s="1010"/>
      <c r="S29" s="1010"/>
      <c r="T29" s="1010"/>
      <c r="U29" s="1010"/>
      <c r="V29" s="1010"/>
      <c r="X29" s="1010"/>
      <c r="Y29" s="1010"/>
      <c r="Z29" s="1010"/>
      <c r="AA29" s="1010"/>
      <c r="AB29" s="1010"/>
      <c r="AC29" s="1010"/>
      <c r="AD29" s="1010"/>
      <c r="AE29" s="1010"/>
      <c r="AF29" s="1010"/>
    </row>
    <row r="30" spans="2:32" x14ac:dyDescent="0.25">
      <c r="B30" s="1004" t="s">
        <v>757</v>
      </c>
      <c r="H30" s="1011"/>
      <c r="I30" s="1011"/>
      <c r="J30" s="1011"/>
      <c r="K30" s="1011"/>
      <c r="L30" s="1011"/>
      <c r="M30" s="1011"/>
      <c r="N30" s="1011"/>
      <c r="O30" s="1011"/>
      <c r="P30" s="1011"/>
      <c r="Q30" s="1011">
        <v>8598.1190277623009</v>
      </c>
      <c r="R30" s="1011">
        <v>8293.6830813352371</v>
      </c>
      <c r="S30" s="1011">
        <v>8876.1037308377308</v>
      </c>
      <c r="T30" s="1011">
        <v>9212.8435669956179</v>
      </c>
      <c r="U30" s="1011">
        <v>9408.5500676216052</v>
      </c>
      <c r="V30" s="1011">
        <v>8999.4689732730203</v>
      </c>
      <c r="AA30" s="1011">
        <v>33526.303514367813</v>
      </c>
      <c r="AB30" s="1011">
        <v>36254.430555766725</v>
      </c>
      <c r="AC30" s="1011">
        <v>39001.071614944769</v>
      </c>
      <c r="AD30" s="1011">
        <v>41322.230132574885</v>
      </c>
      <c r="AE30" s="1011">
        <v>42560.688976313344</v>
      </c>
      <c r="AF30" s="1011">
        <v>45397.34672464172</v>
      </c>
    </row>
    <row r="31" spans="2:32" x14ac:dyDescent="0.25">
      <c r="B31" s="1004" t="s">
        <v>758</v>
      </c>
      <c r="C31" s="1011">
        <f>'FC - 3FS'!P58</f>
        <v>6463</v>
      </c>
      <c r="D31" s="1011">
        <f>'FC - 3FS'!Q58</f>
        <v>6618</v>
      </c>
      <c r="E31" s="1011">
        <f>'FC - 3FS'!R58</f>
        <v>6728</v>
      </c>
      <c r="F31" s="1011">
        <f>'FC - 3FS'!S58</f>
        <v>6582</v>
      </c>
      <c r="G31" s="1011">
        <f>'FC - 3FS'!T58</f>
        <v>7052</v>
      </c>
      <c r="H31" s="1011">
        <f>'FC - 3FS'!U58</f>
        <v>7336</v>
      </c>
      <c r="I31" s="1011">
        <f>'FC - 3FS'!V58</f>
        <v>7547</v>
      </c>
      <c r="J31" s="1011">
        <f>'FC - 3FS'!W58</f>
        <v>7181</v>
      </c>
      <c r="K31" s="1011">
        <f>'FC - 3FS'!X58</f>
        <v>7617</v>
      </c>
      <c r="L31" s="1011">
        <f>'FC - 3FS'!Y58</f>
        <v>8027</v>
      </c>
      <c r="M31" s="1011">
        <f>'FC - 3FS'!Z58</f>
        <v>8222</v>
      </c>
      <c r="N31" s="1011">
        <f>'FC - 3FS'!AA58</f>
        <v>7905</v>
      </c>
      <c r="O31" s="1011">
        <f>'FC - 3FS'!AB58</f>
        <v>8258</v>
      </c>
      <c r="P31" s="1011">
        <f>'FC - 3FS'!AC58</f>
        <v>8541</v>
      </c>
      <c r="Q31" s="1011">
        <f>'FC - 3FS'!AD58</f>
        <v>8680</v>
      </c>
      <c r="R31" s="1011">
        <f>'FC - 3FS'!AE58</f>
        <v>8390.3924876278943</v>
      </c>
      <c r="S31" s="1011">
        <f>'FC - 3FS'!AF58</f>
        <v>9275.30164781641</v>
      </c>
      <c r="T31" s="1011">
        <f>'FC - 3FS'!AG58</f>
        <v>9620.8082936674127</v>
      </c>
      <c r="U31" s="1011">
        <f>'FC - 3FS'!AH58</f>
        <v>9315.7855125316564</v>
      </c>
      <c r="V31" s="1011">
        <f>'FC - 3FS'!AI58</f>
        <v>9155.2499547615698</v>
      </c>
      <c r="X31" s="1011">
        <f>'FC - 3FS'!AN58</f>
        <v>26391</v>
      </c>
      <c r="Y31" s="1011">
        <f>'FC - 3FS'!AO58</f>
        <v>29116</v>
      </c>
      <c r="Z31" s="1011">
        <f>'FC - 3FS'!AP58</f>
        <v>31771</v>
      </c>
      <c r="AA31" s="1011">
        <f>'FC - 3FS'!AQ58</f>
        <v>33869.392487627898</v>
      </c>
      <c r="AB31" s="1011">
        <f>'FC - 3FS'!AR58</f>
        <v>37367.145408777047</v>
      </c>
      <c r="AC31" s="1011">
        <f>'FC - 3FS'!AS58</f>
        <v>40069.346882909696</v>
      </c>
      <c r="AD31" s="1011">
        <f>'FC - 3FS'!AT58</f>
        <v>0</v>
      </c>
      <c r="AE31" s="1011">
        <f>'FC - 3FS'!AU58</f>
        <v>0</v>
      </c>
      <c r="AF31" s="1011">
        <f>'FC - 3FS'!AV58</f>
        <v>0</v>
      </c>
    </row>
    <row r="32" spans="2:32" x14ac:dyDescent="0.25">
      <c r="B32" s="1129" t="s">
        <v>763</v>
      </c>
      <c r="C32" s="1016"/>
      <c r="D32" s="1016"/>
      <c r="E32" s="1016"/>
      <c r="F32" s="1016"/>
      <c r="G32" s="1016"/>
      <c r="H32" s="1015"/>
      <c r="I32" s="1015"/>
      <c r="J32" s="1015"/>
      <c r="K32" s="1015"/>
      <c r="L32" s="1015"/>
      <c r="M32" s="1015"/>
      <c r="N32" s="1015"/>
      <c r="O32" s="1015"/>
      <c r="P32" s="1015"/>
      <c r="Q32" s="1017">
        <f t="shared" ref="Q32:V32" si="36">IFERROR(IF(Q30&gt;=0,Q31/Q30-1,1-Q31/Q30), "n.a.")</f>
        <v>9.5231261597235051E-3</v>
      </c>
      <c r="R32" s="1017">
        <f t="shared" si="36"/>
        <v>1.1660610291500006E-2</v>
      </c>
      <c r="S32" s="1017">
        <f t="shared" si="36"/>
        <v>4.4974453778831913E-2</v>
      </c>
      <c r="T32" s="1017">
        <f t="shared" si="36"/>
        <v>4.4282172350489146E-2</v>
      </c>
      <c r="U32" s="1017">
        <f t="shared" si="36"/>
        <v>-9.8596015776316603E-3</v>
      </c>
      <c r="V32" s="1015">
        <f t="shared" si="36"/>
        <v>1.7310019285714962E-2</v>
      </c>
      <c r="W32" s="1015"/>
      <c r="X32" s="1015"/>
      <c r="Y32" s="1015"/>
      <c r="Z32" s="1015"/>
      <c r="AA32" s="1017">
        <f t="shared" ref="AA32:AE32" si="37">IFERROR(IF(AA30&gt;=0,AA31/AA30-1,1-AA31/AA30), "n.a.")</f>
        <v>1.0233426811072421E-2</v>
      </c>
      <c r="AB32" s="1017">
        <f t="shared" si="37"/>
        <v>3.0691830928049946E-2</v>
      </c>
      <c r="AC32" s="1017">
        <f t="shared" si="37"/>
        <v>2.7390920908839211E-2</v>
      </c>
      <c r="AD32" s="1017">
        <f t="shared" si="37"/>
        <v>-1</v>
      </c>
      <c r="AE32" s="1017">
        <f t="shared" si="37"/>
        <v>-1</v>
      </c>
      <c r="AF32" s="1017">
        <f t="shared" ref="AF32" si="38">IFERROR(IF(AF30&gt;=0,AF31/AF30-1,1-AF31/AF30), "n.a.")</f>
        <v>-1</v>
      </c>
    </row>
    <row r="33" spans="2:32" x14ac:dyDescent="0.25">
      <c r="C33" s="1018"/>
      <c r="D33" s="1018"/>
      <c r="E33" s="1018"/>
      <c r="F33" s="1018"/>
      <c r="G33" s="1018"/>
      <c r="H33" s="1018"/>
      <c r="I33" s="1018"/>
      <c r="J33" s="1018"/>
      <c r="K33" s="1018"/>
      <c r="L33" s="1018"/>
      <c r="M33" s="1018"/>
      <c r="N33" s="1018"/>
      <c r="O33" s="1018"/>
      <c r="P33" s="1018"/>
      <c r="Q33" s="1018"/>
      <c r="R33" s="1018"/>
      <c r="S33" s="1018"/>
      <c r="T33" s="1018"/>
      <c r="U33" s="1018"/>
      <c r="V33" s="1018"/>
      <c r="W33" s="1018"/>
      <c r="X33" s="1018"/>
      <c r="Y33" s="1018"/>
      <c r="Z33" s="1018"/>
      <c r="AA33" s="1018"/>
      <c r="AB33" s="1018"/>
      <c r="AC33" s="1018"/>
      <c r="AD33" s="1018"/>
      <c r="AE33" s="1018"/>
      <c r="AF33" s="1018"/>
    </row>
    <row r="34" spans="2:32" x14ac:dyDescent="0.25">
      <c r="B34" s="1004" t="s">
        <v>757</v>
      </c>
      <c r="C34" s="1022"/>
      <c r="D34" s="1022"/>
      <c r="E34" s="1022"/>
      <c r="F34" s="1022"/>
      <c r="G34" s="1135"/>
      <c r="H34" s="1135"/>
      <c r="I34" s="1135"/>
      <c r="J34" s="1135"/>
      <c r="K34" s="1135"/>
      <c r="L34" s="1135"/>
      <c r="M34" s="1135"/>
      <c r="N34" s="1135"/>
      <c r="O34" s="1135"/>
      <c r="P34" s="1135"/>
      <c r="Q34" s="1135">
        <f t="shared" ref="Q34:V34" si="39">Q30/Q10</f>
        <v>0.48581062566335909</v>
      </c>
      <c r="R34" s="1135">
        <f t="shared" si="39"/>
        <v>0.46115446235702218</v>
      </c>
      <c r="S34" s="1135">
        <f t="shared" si="39"/>
        <v>0.49150353303853683</v>
      </c>
      <c r="T34" s="1135">
        <f t="shared" si="39"/>
        <v>0.50141603512939548</v>
      </c>
      <c r="U34" s="1135">
        <f t="shared" si="39"/>
        <v>0.50120872585228016</v>
      </c>
      <c r="V34" s="1135">
        <f t="shared" si="39"/>
        <v>0.47339115353990141</v>
      </c>
      <c r="W34" s="1022"/>
      <c r="X34" s="1022"/>
      <c r="Y34" s="1022"/>
      <c r="Z34" s="1022"/>
      <c r="AA34" s="1135">
        <f t="shared" ref="AA34:AE34" si="40">AA30/AA10</f>
        <v>0.47980818985235185</v>
      </c>
      <c r="AB34" s="1135">
        <f t="shared" si="40"/>
        <v>0.49055438161923387</v>
      </c>
      <c r="AC34" s="1135">
        <f t="shared" si="40"/>
        <v>0.50161241581446425</v>
      </c>
      <c r="AD34" s="1135">
        <f t="shared" si="40"/>
        <v>0.5080425882567654</v>
      </c>
      <c r="AE34" s="1135">
        <f t="shared" si="40"/>
        <v>0.51125036308081429</v>
      </c>
      <c r="AF34" s="1135">
        <f t="shared" ref="AF34" si="41">AF30/AF10</f>
        <v>0.51827066438971148</v>
      </c>
    </row>
    <row r="35" spans="2:32" x14ac:dyDescent="0.25">
      <c r="B35" s="1004" t="s">
        <v>758</v>
      </c>
      <c r="C35" s="1022">
        <f>C31/C11</f>
        <v>0.42722104706504493</v>
      </c>
      <c r="D35" s="1022">
        <f t="shared" ref="D35:V35" si="42">D31/D11</f>
        <v>0.43209715330373466</v>
      </c>
      <c r="E35" s="1022">
        <f t="shared" si="42"/>
        <v>0.43799231820844997</v>
      </c>
      <c r="F35" s="1022">
        <f t="shared" si="42"/>
        <v>0.42415259698414742</v>
      </c>
      <c r="G35" s="1022">
        <f t="shared" si="42"/>
        <v>0.45362151035636178</v>
      </c>
      <c r="H35" s="1022">
        <f t="shared" si="42"/>
        <v>0.46613292667429151</v>
      </c>
      <c r="I35" s="1022">
        <f t="shared" si="42"/>
        <v>0.47423652130199823</v>
      </c>
      <c r="J35" s="1022">
        <f t="shared" si="42"/>
        <v>0.4476095493361591</v>
      </c>
      <c r="K35" s="1022">
        <f t="shared" si="42"/>
        <v>0.47322316103379719</v>
      </c>
      <c r="L35" s="1022">
        <f t="shared" si="42"/>
        <v>0.48858725424554145</v>
      </c>
      <c r="M35" s="1022">
        <f t="shared" si="42"/>
        <v>0.49159940209267561</v>
      </c>
      <c r="N35" s="1022">
        <f t="shared" ref="N35:O35" si="43">N31/N11</f>
        <v>0.46697778827977315</v>
      </c>
      <c r="O35" s="1022">
        <f t="shared" si="43"/>
        <v>0.487917282127031</v>
      </c>
      <c r="P35" s="1022">
        <f t="shared" ref="P35" si="44">P31/P11</f>
        <v>0.48979240738616814</v>
      </c>
      <c r="Q35" s="1022">
        <f t="shared" si="42"/>
        <v>0.4758511046543501</v>
      </c>
      <c r="R35" s="1022">
        <f t="shared" si="42"/>
        <v>0.45212741550767771</v>
      </c>
      <c r="S35" s="1022">
        <f t="shared" si="42"/>
        <v>0.5004717799823688</v>
      </c>
      <c r="T35" s="1022">
        <f t="shared" si="42"/>
        <v>0.50375585004017076</v>
      </c>
      <c r="U35" s="1022">
        <f t="shared" si="42"/>
        <v>0.47754757840810996</v>
      </c>
      <c r="V35" s="1022">
        <f t="shared" si="42"/>
        <v>0.46619317388751896</v>
      </c>
      <c r="W35" s="1022"/>
      <c r="X35" s="1022">
        <f t="shared" ref="X35:AE35" si="45">X31/X11</f>
        <v>0.43036054987525074</v>
      </c>
      <c r="Y35" s="1022">
        <f t="shared" si="45"/>
        <v>0.46039752692082669</v>
      </c>
      <c r="Z35" s="1022">
        <f t="shared" ref="Z35" si="46">Z31/Z11</f>
        <v>0.48008401583607846</v>
      </c>
      <c r="AA35" s="1022">
        <f t="shared" si="45"/>
        <v>0.47595051414561407</v>
      </c>
      <c r="AB35" s="1022">
        <f t="shared" si="45"/>
        <v>0.48669620141538061</v>
      </c>
      <c r="AC35" s="1022">
        <f t="shared" si="45"/>
        <v>0.4943678983688965</v>
      </c>
      <c r="AD35" s="1022" t="e">
        <f t="shared" si="45"/>
        <v>#DIV/0!</v>
      </c>
      <c r="AE35" s="1022" t="e">
        <f t="shared" si="45"/>
        <v>#DIV/0!</v>
      </c>
      <c r="AF35" s="1022" t="e">
        <f t="shared" ref="AF35" si="47">AF31/AF11</f>
        <v>#DIV/0!</v>
      </c>
    </row>
    <row r="36" spans="2:32" x14ac:dyDescent="0.25">
      <c r="B36" s="1129" t="s">
        <v>763</v>
      </c>
      <c r="C36" s="1016"/>
      <c r="D36" s="1016"/>
      <c r="E36" s="1016"/>
      <c r="F36" s="1016"/>
      <c r="G36" s="1015"/>
      <c r="H36" s="1015"/>
      <c r="I36" s="1015"/>
      <c r="J36" s="1015"/>
      <c r="K36" s="1015"/>
      <c r="L36" s="1015"/>
      <c r="M36" s="1015"/>
      <c r="N36" s="1015"/>
      <c r="O36" s="1015"/>
      <c r="P36" s="1015"/>
      <c r="Q36" s="1017">
        <f t="shared" ref="Q36:V36" si="48">Q35-Q34</f>
        <v>-9.959521009008987E-3</v>
      </c>
      <c r="R36" s="1017">
        <f t="shared" si="48"/>
        <v>-9.0270468493444667E-3</v>
      </c>
      <c r="S36" s="1017">
        <f t="shared" si="48"/>
        <v>8.9682469438319701E-3</v>
      </c>
      <c r="T36" s="1017">
        <f t="shared" si="48"/>
        <v>2.3398149107752841E-3</v>
      </c>
      <c r="U36" s="1017">
        <f t="shared" si="48"/>
        <v>-2.3661147444170194E-2</v>
      </c>
      <c r="V36" s="1017">
        <f t="shared" si="48"/>
        <v>-7.1979796523824469E-3</v>
      </c>
      <c r="W36" s="1015"/>
      <c r="X36" s="1015"/>
      <c r="Y36" s="1015"/>
      <c r="Z36" s="1015"/>
      <c r="AA36" s="1017">
        <f t="shared" ref="AA36:AE36" si="49">AA35-AA34</f>
        <v>-3.8576757067377843E-3</v>
      </c>
      <c r="AB36" s="1017">
        <f t="shared" si="49"/>
        <v>-3.8581802038532564E-3</v>
      </c>
      <c r="AC36" s="1017">
        <f t="shared" si="49"/>
        <v>-7.2445174455677552E-3</v>
      </c>
      <c r="AD36" s="1017" t="e">
        <f t="shared" si="49"/>
        <v>#DIV/0!</v>
      </c>
      <c r="AE36" s="1017" t="e">
        <f t="shared" si="49"/>
        <v>#DIV/0!</v>
      </c>
      <c r="AF36" s="1017" t="e">
        <f t="shared" ref="AF36" si="50">AF35-AF34</f>
        <v>#DIV/0!</v>
      </c>
    </row>
    <row r="37" spans="2:32" outlineLevel="1" x14ac:dyDescent="0.25">
      <c r="B37" s="1130" t="s">
        <v>764</v>
      </c>
      <c r="C37" s="1010"/>
      <c r="D37" s="1010"/>
      <c r="E37" s="1010"/>
      <c r="F37" s="1010"/>
      <c r="G37" s="1010"/>
      <c r="H37" s="1010"/>
      <c r="I37" s="1010"/>
      <c r="J37" s="1010"/>
      <c r="K37" s="1010"/>
      <c r="L37" s="1010"/>
      <c r="M37" s="1010"/>
      <c r="N37" s="1010"/>
      <c r="O37" s="1010"/>
      <c r="P37" s="1010"/>
      <c r="Q37" s="1010"/>
      <c r="R37" s="1010"/>
      <c r="S37" s="1010"/>
      <c r="T37" s="1010"/>
      <c r="U37" s="1010"/>
      <c r="V37" s="1010"/>
      <c r="X37" s="1010"/>
      <c r="Y37" s="1010"/>
      <c r="Z37" s="1010"/>
      <c r="AA37" s="1010"/>
      <c r="AB37" s="1010"/>
      <c r="AC37" s="1010"/>
      <c r="AD37" s="1010"/>
      <c r="AE37" s="1010"/>
      <c r="AF37" s="1010"/>
    </row>
    <row r="38" spans="2:32" outlineLevel="1" x14ac:dyDescent="0.25">
      <c r="B38" s="1004" t="s">
        <v>757</v>
      </c>
      <c r="H38" s="1011"/>
      <c r="I38" s="1011"/>
      <c r="J38" s="1011"/>
      <c r="K38" s="1011"/>
      <c r="L38" s="1011"/>
      <c r="M38" s="1011"/>
      <c r="N38" s="1011"/>
      <c r="O38" s="1011"/>
      <c r="P38" s="1011"/>
      <c r="Q38" s="1011">
        <v>3151</v>
      </c>
      <c r="R38" s="1011">
        <v>2840.6669999999999</v>
      </c>
      <c r="S38" s="1011">
        <v>3227.8330000000001</v>
      </c>
      <c r="T38" s="1011">
        <v>3370.3330000000001</v>
      </c>
      <c r="U38" s="1011">
        <v>3499.1669999999999</v>
      </c>
      <c r="V38" s="1011">
        <v>3270.5</v>
      </c>
      <c r="AA38" s="1011">
        <v>12070.875</v>
      </c>
      <c r="AB38" s="1011">
        <v>13822.261</v>
      </c>
      <c r="AC38" s="1011">
        <v>15526.556</v>
      </c>
      <c r="AD38" s="1011">
        <v>16698.888999999999</v>
      </c>
      <c r="AE38" s="1011">
        <v>17934.429</v>
      </c>
      <c r="AF38" s="1011">
        <v>18673.332999999999</v>
      </c>
    </row>
    <row r="39" spans="2:32" outlineLevel="1" x14ac:dyDescent="0.25">
      <c r="B39" s="1004" t="s">
        <v>758</v>
      </c>
      <c r="C39" s="1011">
        <f>'FC - 3FS'!P32</f>
        <v>713</v>
      </c>
      <c r="D39" s="1011">
        <f>'FC - 3FS'!Q32</f>
        <v>-108</v>
      </c>
      <c r="E39" s="1011">
        <f>'FC - 3FS'!R32</f>
        <v>508</v>
      </c>
      <c r="F39" s="1011">
        <f>'FC - 3FS'!S32</f>
        <v>1477</v>
      </c>
      <c r="G39" s="1011">
        <f>'FC - 3FS'!T32</f>
        <v>1940</v>
      </c>
      <c r="H39" s="1011">
        <f>'FC - 3FS'!U32</f>
        <v>2221</v>
      </c>
      <c r="I39" s="1011">
        <f>'FC - 3FS'!V32</f>
        <v>2142</v>
      </c>
      <c r="J39" s="1011">
        <f>'FC - 3FS'!W32</f>
        <v>2014</v>
      </c>
      <c r="K39" s="1011">
        <f>'FC - 3FS'!X32</f>
        <v>2374</v>
      </c>
      <c r="L39" s="1011">
        <f>'FC - 3FS'!Y32</f>
        <v>2925</v>
      </c>
      <c r="M39" s="1011">
        <f>'FC - 3FS'!Z32</f>
        <v>3059</v>
      </c>
      <c r="N39" s="1011">
        <f>'FC - 3FS'!AA32</f>
        <v>2981</v>
      </c>
      <c r="O39" s="1011">
        <f>'FC - 3FS'!AB32</f>
        <v>2953</v>
      </c>
      <c r="P39" s="1011">
        <f>'FC - 3FS'!AC32</f>
        <v>3222</v>
      </c>
      <c r="Q39" s="1011">
        <f>'FC - 3FS'!AD32</f>
        <v>2714</v>
      </c>
      <c r="R39" s="1011">
        <f>'FC - 3FS'!AE32</f>
        <v>2264.5278533854939</v>
      </c>
      <c r="S39" s="1011">
        <f>'FC - 3FS'!AF32</f>
        <v>3030.3624725269683</v>
      </c>
      <c r="T39" s="1011">
        <f>'FC - 3FS'!AG32</f>
        <v>3372.1181440590394</v>
      </c>
      <c r="U39" s="1011">
        <f>'FC - 3FS'!AH32</f>
        <v>3170.6085545717483</v>
      </c>
      <c r="V39" s="1011">
        <f>'FC - 3FS'!AI32</f>
        <v>3093.7113671382367</v>
      </c>
      <c r="X39" s="1011">
        <f>'FC - 3FS'!AN32</f>
        <v>2590</v>
      </c>
      <c r="Y39" s="1011">
        <f>'FC - 3FS'!AO32</f>
        <v>8317</v>
      </c>
      <c r="Z39" s="1011">
        <f>'FC - 3FS'!AP32</f>
        <v>11339</v>
      </c>
      <c r="AA39" s="1011">
        <f>'FC - 3FS'!AQ32</f>
        <v>11153.527853385487</v>
      </c>
      <c r="AB39" s="1011">
        <f>'FC - 3FS'!AR32</f>
        <v>12666.800538295989</v>
      </c>
      <c r="AC39" s="1011">
        <f>'FC - 3FS'!AS32</f>
        <v>14834.135675367859</v>
      </c>
      <c r="AD39" s="1011">
        <f>'FC - 3FS'!AT32</f>
        <v>0</v>
      </c>
      <c r="AE39" s="1011">
        <f>'FC - 3FS'!AU32</f>
        <v>0</v>
      </c>
      <c r="AF39" s="1011">
        <f>'FC - 3FS'!AV32</f>
        <v>0</v>
      </c>
    </row>
    <row r="40" spans="2:32" outlineLevel="1" x14ac:dyDescent="0.25">
      <c r="B40" s="1129" t="s">
        <v>763</v>
      </c>
      <c r="C40" s="1013"/>
      <c r="D40" s="1013"/>
      <c r="E40" s="1013"/>
      <c r="F40" s="1013"/>
      <c r="G40" s="1013"/>
      <c r="H40" s="1023"/>
      <c r="I40" s="1023"/>
      <c r="J40" s="1023"/>
      <c r="K40" s="1023"/>
      <c r="L40" s="1015"/>
      <c r="M40" s="1015"/>
      <c r="N40" s="1015"/>
      <c r="O40" s="1015"/>
      <c r="P40" s="1015"/>
      <c r="Q40" s="1015">
        <f t="shared" ref="Q40:V40" si="51">IFERROR(IF(Q38&gt;=0,Q39/Q38-1,1-Q39/Q38), "n.a.")</f>
        <v>-0.13868613138686137</v>
      </c>
      <c r="R40" s="1015">
        <f t="shared" si="51"/>
        <v>-0.20281826296940331</v>
      </c>
      <c r="S40" s="1015">
        <f t="shared" si="51"/>
        <v>-6.1177430019778489E-2</v>
      </c>
      <c r="T40" s="1015">
        <f t="shared" si="51"/>
        <v>5.2966400027520955E-4</v>
      </c>
      <c r="U40" s="1015">
        <f t="shared" si="51"/>
        <v>-9.3896188843873851E-2</v>
      </c>
      <c r="V40" s="1015">
        <f t="shared" si="51"/>
        <v>-5.4055536725810538E-2</v>
      </c>
      <c r="W40" s="1015"/>
      <c r="X40" s="1015"/>
      <c r="Y40" s="1015"/>
      <c r="Z40" s="1015"/>
      <c r="AA40" s="1015">
        <f t="shared" ref="AA40:AE40" si="52">IFERROR(IF(AA38&gt;=0,AA39/AA38-1,1-AA39/AA38), "n.a.")</f>
        <v>-7.5996739806725944E-2</v>
      </c>
      <c r="AB40" s="1015">
        <f t="shared" si="52"/>
        <v>-8.3594171872750089E-2</v>
      </c>
      <c r="AC40" s="1015">
        <f t="shared" si="52"/>
        <v>-4.4595873330321334E-2</v>
      </c>
      <c r="AD40" s="1015">
        <f t="shared" si="52"/>
        <v>-1</v>
      </c>
      <c r="AE40" s="1015">
        <f t="shared" si="52"/>
        <v>-1</v>
      </c>
      <c r="AF40" s="1015">
        <f t="shared" ref="AF40" si="53">IFERROR(IF(AF38&gt;=0,AF39/AF38-1,1-AF39/AF38), "n.a.")</f>
        <v>-1</v>
      </c>
    </row>
    <row r="41" spans="2:32" outlineLevel="1" x14ac:dyDescent="0.25">
      <c r="B41" s="1024"/>
      <c r="H41" s="1025"/>
      <c r="I41" s="1025"/>
      <c r="J41" s="1025"/>
      <c r="K41" s="1025"/>
      <c r="L41" s="1025"/>
      <c r="M41" s="1025"/>
      <c r="N41" s="1025"/>
      <c r="O41" s="1025"/>
      <c r="P41" s="1025"/>
      <c r="AA41" s="1025"/>
      <c r="AB41" s="1025"/>
      <c r="AC41" s="1025"/>
      <c r="AD41" s="1025"/>
      <c r="AE41" s="1025"/>
      <c r="AF41" s="1025"/>
    </row>
    <row r="42" spans="2:32" outlineLevel="1" x14ac:dyDescent="0.25">
      <c r="B42" s="1026" t="s">
        <v>761</v>
      </c>
      <c r="C42" s="1018"/>
      <c r="D42" s="1018"/>
      <c r="E42" s="1018"/>
      <c r="F42" s="1018"/>
      <c r="G42" s="1020"/>
      <c r="H42" s="1020"/>
      <c r="I42" s="1020"/>
      <c r="J42" s="1020"/>
      <c r="K42" s="1020"/>
      <c r="L42" s="1020"/>
      <c r="M42" s="1020"/>
      <c r="N42" s="1020"/>
      <c r="O42" s="1020"/>
      <c r="P42" s="1020"/>
      <c r="Q42" s="1020">
        <f t="shared" ref="Q42:V42" si="54">Q38/Q6</f>
        <v>0.1477914003415759</v>
      </c>
      <c r="R42" s="1020">
        <f t="shared" si="54"/>
        <v>0.12320144809247618</v>
      </c>
      <c r="S42" s="1020">
        <f t="shared" si="54"/>
        <v>0.14734987714958553</v>
      </c>
      <c r="T42" s="1020">
        <f t="shared" si="54"/>
        <v>0.15357581911048107</v>
      </c>
      <c r="U42" s="1020">
        <f t="shared" si="54"/>
        <v>0.15635171424613828</v>
      </c>
      <c r="V42" s="1020">
        <f t="shared" si="54"/>
        <v>0.13638846838731739</v>
      </c>
      <c r="W42" s="1018"/>
      <c r="X42" s="1018"/>
      <c r="Y42" s="1018"/>
      <c r="Z42" s="1018"/>
      <c r="AA42" s="1020">
        <f t="shared" ref="AA42:AF43" si="55">AA38/AA6</f>
        <v>0.14029766076594855</v>
      </c>
      <c r="AB42" s="1020">
        <f t="shared" si="55"/>
        <v>0.15319113484946395</v>
      </c>
      <c r="AC42" s="1020">
        <f t="shared" si="55"/>
        <v>0.16436283760805906</v>
      </c>
      <c r="AD42" s="1020">
        <f t="shared" si="55"/>
        <v>0.17092967362543438</v>
      </c>
      <c r="AE42" s="1020">
        <f t="shared" si="55"/>
        <v>0.18052046204442737</v>
      </c>
      <c r="AF42" s="1020">
        <f t="shared" si="55"/>
        <v>0.17855738551592376</v>
      </c>
    </row>
    <row r="43" spans="2:32" outlineLevel="1" x14ac:dyDescent="0.25">
      <c r="B43" s="1026" t="s">
        <v>762</v>
      </c>
      <c r="C43" s="1018">
        <f t="shared" ref="C43:M43" si="56">C39/C7</f>
        <v>3.5437375745526842E-2</v>
      </c>
      <c r="D43" s="1018">
        <f t="shared" si="56"/>
        <v>-5.4819552306989497E-3</v>
      </c>
      <c r="E43" s="1018">
        <f t="shared" si="56"/>
        <v>2.6082045489551779E-2</v>
      </c>
      <c r="F43" s="1018">
        <f t="shared" si="56"/>
        <v>7.2855522123020766E-2</v>
      </c>
      <c r="G43" s="1020">
        <f t="shared" si="56"/>
        <v>9.8818255908720454E-2</v>
      </c>
      <c r="H43" s="1020">
        <f t="shared" si="56"/>
        <v>0.11570118774744738</v>
      </c>
      <c r="I43" s="1020">
        <f t="shared" si="56"/>
        <v>0.11126116767089134</v>
      </c>
      <c r="J43" s="1020">
        <f t="shared" si="56"/>
        <v>9.8349448188299632E-2</v>
      </c>
      <c r="K43" s="1020">
        <f t="shared" si="56"/>
        <v>0.1211595386342758</v>
      </c>
      <c r="L43" s="1020">
        <f t="shared" si="56"/>
        <v>0.14793647582439814</v>
      </c>
      <c r="M43" s="1020">
        <f t="shared" si="56"/>
        <v>0.15172105941870845</v>
      </c>
      <c r="N43" s="1020">
        <f t="shared" ref="N43:O43" si="57">N39/N7</f>
        <v>0.13629297732260423</v>
      </c>
      <c r="O43" s="1020">
        <f t="shared" si="57"/>
        <v>0.14138657473905966</v>
      </c>
      <c r="P43" s="1020">
        <f t="shared" ref="P43" si="58">P39/P7</f>
        <v>0.15247018739352641</v>
      </c>
      <c r="Q43" s="1020">
        <f t="shared" ref="Q43:V43" si="59">Q39/Q7</f>
        <v>0.12360522840096552</v>
      </c>
      <c r="R43" s="1020">
        <f t="shared" si="59"/>
        <v>9.4859285837696594E-2</v>
      </c>
      <c r="S43" s="1020">
        <f t="shared" si="59"/>
        <v>0.13438244864075644</v>
      </c>
      <c r="T43" s="1020">
        <f t="shared" si="59"/>
        <v>0.14559548790419732</v>
      </c>
      <c r="U43" s="1020">
        <f t="shared" si="59"/>
        <v>0.13507846841975685</v>
      </c>
      <c r="V43" s="1020">
        <f t="shared" si="59"/>
        <v>0.12260177599451856</v>
      </c>
      <c r="W43" s="1018"/>
      <c r="X43" s="1018">
        <f>X39/X7</f>
        <v>3.2549546945495215E-2</v>
      </c>
      <c r="Y43" s="1018">
        <f>Y39/Y7</f>
        <v>0.10587082155859365</v>
      </c>
      <c r="Z43" s="1018">
        <f>Z39/Z7</f>
        <v>0.1392997542997543</v>
      </c>
      <c r="AA43" s="1018">
        <f t="shared" si="55"/>
        <v>0.12696466550227414</v>
      </c>
      <c r="AB43" s="1018">
        <f t="shared" si="55"/>
        <v>0.1341575912344225</v>
      </c>
      <c r="AC43" s="1018">
        <f t="shared" si="55"/>
        <v>0.14945963328677753</v>
      </c>
      <c r="AD43" s="1018" t="e">
        <f t="shared" si="55"/>
        <v>#DIV/0!</v>
      </c>
      <c r="AE43" s="1018" t="e">
        <f t="shared" si="55"/>
        <v>#DIV/0!</v>
      </c>
      <c r="AF43" s="1018" t="e">
        <f t="shared" si="55"/>
        <v>#DIV/0!</v>
      </c>
    </row>
    <row r="44" spans="2:32" outlineLevel="1" x14ac:dyDescent="0.25">
      <c r="B44" s="1021" t="s">
        <v>763</v>
      </c>
      <c r="C44" s="1016"/>
      <c r="D44" s="1016"/>
      <c r="E44" s="1016"/>
      <c r="F44" s="1016"/>
      <c r="G44" s="1015"/>
      <c r="H44" s="1015"/>
      <c r="I44" s="1015"/>
      <c r="J44" s="1015"/>
      <c r="K44" s="1015"/>
      <c r="L44" s="1015"/>
      <c r="M44" s="1015"/>
      <c r="N44" s="1015"/>
      <c r="O44" s="1015"/>
      <c r="P44" s="1015"/>
      <c r="Q44" s="1015">
        <f t="shared" ref="Q44:R44" si="60">Q43-Q42</f>
        <v>-2.4186171940610374E-2</v>
      </c>
      <c r="R44" s="1015">
        <f t="shared" si="60"/>
        <v>-2.834216225477959E-2</v>
      </c>
      <c r="S44" s="1015">
        <f t="shared" ref="S44:V44" si="61">S43-S42</f>
        <v>-1.2967428508829093E-2</v>
      </c>
      <c r="T44" s="1015">
        <f t="shared" si="61"/>
        <v>-7.9803312062837473E-3</v>
      </c>
      <c r="U44" s="1015">
        <f t="shared" si="61"/>
        <v>-2.1273245826381432E-2</v>
      </c>
      <c r="V44" s="1015">
        <f t="shared" si="61"/>
        <v>-1.3786692392798824E-2</v>
      </c>
      <c r="W44" s="1015"/>
      <c r="X44" s="1015"/>
      <c r="Y44" s="1015"/>
      <c r="Z44" s="1015"/>
      <c r="AA44" s="1015">
        <f t="shared" ref="AA44:AE44" si="62">AA43-AA42</f>
        <v>-1.3332995263674402E-2</v>
      </c>
      <c r="AB44" s="1015">
        <f t="shared" si="62"/>
        <v>-1.9033543615041448E-2</v>
      </c>
      <c r="AC44" s="1015">
        <f t="shared" si="62"/>
        <v>-1.4903204321281532E-2</v>
      </c>
      <c r="AD44" s="1015" t="e">
        <f t="shared" si="62"/>
        <v>#DIV/0!</v>
      </c>
      <c r="AE44" s="1015" t="e">
        <f t="shared" si="62"/>
        <v>#DIV/0!</v>
      </c>
      <c r="AF44" s="1015" t="e">
        <f t="shared" ref="AF44" si="63">AF43-AF42</f>
        <v>#DIV/0!</v>
      </c>
    </row>
    <row r="45" spans="2:32" outlineLevel="1" x14ac:dyDescent="0.25">
      <c r="B45" s="1130" t="s">
        <v>765</v>
      </c>
      <c r="C45" s="1010"/>
      <c r="D45" s="1010"/>
      <c r="E45" s="1010"/>
      <c r="F45" s="1010"/>
      <c r="G45" s="1010"/>
      <c r="H45" s="1010"/>
      <c r="I45" s="1010"/>
      <c r="J45" s="1010"/>
      <c r="K45" s="1010"/>
      <c r="L45" s="1010"/>
      <c r="M45" s="1010"/>
      <c r="N45" s="1010"/>
      <c r="O45" s="1010"/>
      <c r="P45" s="1010"/>
      <c r="Q45" s="1010"/>
      <c r="R45" s="1010"/>
      <c r="S45" s="1010"/>
      <c r="T45" s="1010"/>
      <c r="U45" s="1010"/>
      <c r="V45" s="1010"/>
      <c r="X45" s="1010"/>
      <c r="Y45" s="1010"/>
      <c r="Z45" s="1010"/>
      <c r="AA45" s="1010"/>
      <c r="AB45" s="1010"/>
      <c r="AC45" s="1010"/>
      <c r="AD45" s="1010"/>
      <c r="AE45" s="1010"/>
      <c r="AF45" s="1010"/>
    </row>
    <row r="46" spans="2:32" outlineLevel="1" x14ac:dyDescent="0.25">
      <c r="B46" s="1004" t="s">
        <v>757</v>
      </c>
      <c r="H46" s="1028"/>
      <c r="I46" s="1028"/>
      <c r="J46" s="1028"/>
      <c r="K46" s="1028"/>
      <c r="L46" s="1028"/>
      <c r="M46" s="1028"/>
      <c r="N46" s="1028"/>
      <c r="O46" s="1028"/>
      <c r="P46" s="1028"/>
      <c r="Q46" s="1028">
        <v>2.806</v>
      </c>
      <c r="R46" s="1028">
        <v>2.5760000000000001</v>
      </c>
      <c r="S46" s="1028">
        <v>2.9359999999999999</v>
      </c>
      <c r="T46" s="1028">
        <v>3.1390000000000002</v>
      </c>
      <c r="U46" s="1028">
        <v>3.258</v>
      </c>
      <c r="V46" s="1028">
        <v>3.1059999999999999</v>
      </c>
      <c r="AA46" s="1029">
        <v>10.732000000000001</v>
      </c>
      <c r="AB46" s="1029">
        <v>12.704000000000001</v>
      </c>
      <c r="AC46" s="1029">
        <v>14.93</v>
      </c>
      <c r="AD46" s="1029">
        <v>16.955000000000002</v>
      </c>
      <c r="AE46" s="1029">
        <v>19.134</v>
      </c>
      <c r="AF46" s="1029">
        <v>20.95</v>
      </c>
    </row>
    <row r="47" spans="2:32" outlineLevel="1" x14ac:dyDescent="0.25">
      <c r="B47" s="1004" t="s">
        <v>758</v>
      </c>
      <c r="C47" s="1028">
        <f>'FC - 3FS'!P36</f>
        <v>0.5679606806667663</v>
      </c>
      <c r="D47" s="1028">
        <f>'FC - 3FS'!Q36</f>
        <v>-8.6129004664368874E-2</v>
      </c>
      <c r="E47" s="1028">
        <f>'FC - 3FS'!R36</f>
        <v>0.40342745901887583</v>
      </c>
      <c r="F47" s="1028">
        <f>'FC - 3FS'!S36</f>
        <v>1.1845565194545831</v>
      </c>
      <c r="G47" s="1028">
        <f>'FC - 3FS'!T36</f>
        <v>1.5841846786708962</v>
      </c>
      <c r="H47" s="1028">
        <f>'FC - 3FS'!U36</f>
        <v>1.857748027853463</v>
      </c>
      <c r="I47" s="1028">
        <f>'FC - 3FS'!V36</f>
        <v>1.8239248793905405</v>
      </c>
      <c r="J47" s="1028">
        <f>'FC - 3FS'!W36</f>
        <v>1.6713497307983793</v>
      </c>
      <c r="K47" s="1028">
        <f>'FC - 3FS'!X36</f>
        <v>1.9964813168929361</v>
      </c>
      <c r="L47" s="1028">
        <f>'FC - 3FS'!Y36</f>
        <v>2.4947815290090896</v>
      </c>
      <c r="M47" s="1028">
        <f>'FC - 3FS'!Z36</f>
        <v>2.6130791843349952</v>
      </c>
      <c r="N47" s="1028">
        <f>'FC - 3FS'!AA36</f>
        <v>2.5718325158891795</v>
      </c>
      <c r="O47" s="1028">
        <f>'FC - 3FS'!AB36</f>
        <v>2.5798159565936118</v>
      </c>
      <c r="P47" s="1028">
        <f>'FC - 3FS'!AC36</f>
        <v>2.8391493272054089</v>
      </c>
      <c r="Q47" s="1028">
        <f>'FC - 3FS'!AD36</f>
        <v>2.4089590383125925</v>
      </c>
      <c r="R47" s="1028">
        <f>'FC - 3FS'!AE36</f>
        <v>1.9960941321045262</v>
      </c>
      <c r="S47" s="1028">
        <f>'FC - 3FS'!AF36</f>
        <v>2.7042673730801008</v>
      </c>
      <c r="T47" s="1028">
        <f>'FC - 3FS'!AG36</f>
        <v>3.0299082869756391</v>
      </c>
      <c r="U47" s="1028">
        <f>'FC - 3FS'!AH36</f>
        <v>2.871680528208548</v>
      </c>
      <c r="V47" s="1028">
        <f>'FC - 3FS'!AI36</f>
        <v>2.7826402866498268</v>
      </c>
      <c r="X47" s="1030">
        <f>'FC - 3FS'!AN36</f>
        <v>2.0631256400125402</v>
      </c>
      <c r="Y47" s="1030">
        <f>'FC - 3FS'!AO36</f>
        <v>6.9291803542625559</v>
      </c>
      <c r="Z47" s="1030">
        <f>'FC - 3FS'!AP36</f>
        <v>9.6649042594277219</v>
      </c>
      <c r="AA47" s="1030">
        <f>'FC - 3FS'!AQ36</f>
        <v>9.8240184542161391</v>
      </c>
      <c r="AB47" s="1030">
        <f>'FC - 3FS'!AR36</f>
        <v>11.388496474914115</v>
      </c>
      <c r="AC47" s="1030">
        <f>'FC - 3FS'!AS36</f>
        <v>13.613005510798967</v>
      </c>
      <c r="AD47" s="1030">
        <f>'FC - 3FS'!AT36</f>
        <v>0</v>
      </c>
      <c r="AE47" s="1030">
        <f>'FC - 3FS'!AU36</f>
        <v>0</v>
      </c>
      <c r="AF47" s="1030">
        <f>'FC - 3FS'!AV36</f>
        <v>0</v>
      </c>
    </row>
    <row r="48" spans="2:32" outlineLevel="1" x14ac:dyDescent="0.25">
      <c r="B48" s="1129" t="s">
        <v>763</v>
      </c>
      <c r="C48" s="1013"/>
      <c r="D48" s="1013"/>
      <c r="E48" s="1013"/>
      <c r="F48" s="1013"/>
      <c r="G48" s="1013"/>
      <c r="H48" s="1023"/>
      <c r="I48" s="1023"/>
      <c r="J48" s="1023"/>
      <c r="K48" s="1023"/>
      <c r="L48" s="1015"/>
      <c r="M48" s="1015"/>
      <c r="N48" s="1015"/>
      <c r="O48" s="1015"/>
      <c r="P48" s="1015"/>
      <c r="Q48" s="1015">
        <f t="shared" ref="Q48:V48" si="64">IFERROR(IF(Q46&gt;=0,Q47/Q46-1,1-Q47/Q46), "n.a.")</f>
        <v>-0.14149713531268981</v>
      </c>
      <c r="R48" s="1015">
        <f t="shared" si="64"/>
        <v>-0.2251187375370628</v>
      </c>
      <c r="S48" s="1015">
        <f t="shared" si="64"/>
        <v>-7.8928006444107357E-2</v>
      </c>
      <c r="T48" s="1015">
        <f t="shared" si="64"/>
        <v>-3.4753651807697072E-2</v>
      </c>
      <c r="U48" s="1015">
        <f t="shared" si="64"/>
        <v>-0.11857565125581704</v>
      </c>
      <c r="V48" s="1015">
        <f t="shared" si="64"/>
        <v>-0.10410808543147876</v>
      </c>
      <c r="W48" s="1015"/>
      <c r="X48" s="1015"/>
      <c r="Y48" s="1015"/>
      <c r="Z48" s="1015"/>
      <c r="AA48" s="1015">
        <f t="shared" ref="AA48:AE48" si="65">IFERROR(IF(AA46&gt;=0,AA47/AA46-1,1-AA47/AA46), "n.a.")</f>
        <v>-8.4605063900844435E-2</v>
      </c>
      <c r="AB48" s="1015">
        <f t="shared" si="65"/>
        <v>-0.10355034045071521</v>
      </c>
      <c r="AC48" s="1015">
        <f t="shared" si="65"/>
        <v>-8.8211285278033014E-2</v>
      </c>
      <c r="AD48" s="1015">
        <f t="shared" si="65"/>
        <v>-1</v>
      </c>
      <c r="AE48" s="1015">
        <f t="shared" si="65"/>
        <v>-1</v>
      </c>
      <c r="AF48" s="1015">
        <f t="shared" ref="AF48" si="66">IFERROR(IF(AF46&gt;=0,AF47/AF46-1,1-AF47/AF46), "n.a.")</f>
        <v>-1</v>
      </c>
    </row>
    <row r="49" spans="2:32" x14ac:dyDescent="0.25">
      <c r="B49" s="1130" t="s">
        <v>889</v>
      </c>
      <c r="C49" s="1010"/>
      <c r="D49" s="1010"/>
      <c r="E49" s="1010"/>
      <c r="F49" s="1010"/>
      <c r="G49" s="1010"/>
      <c r="H49" s="1010"/>
      <c r="I49" s="1010"/>
      <c r="J49" s="1010"/>
      <c r="K49" s="1010"/>
      <c r="L49" s="1010"/>
      <c r="M49" s="1010"/>
      <c r="N49" s="1010"/>
      <c r="O49" s="1010"/>
      <c r="P49" s="1010"/>
      <c r="Q49" s="1010"/>
      <c r="R49" s="1010"/>
      <c r="S49" s="1010"/>
      <c r="T49" s="1010"/>
      <c r="U49" s="1010"/>
      <c r="V49" s="1010"/>
      <c r="X49" s="1010"/>
      <c r="Y49" s="1010"/>
      <c r="Z49" s="1010"/>
      <c r="AA49" s="1010"/>
      <c r="AB49" s="1010"/>
      <c r="AC49" s="1010"/>
      <c r="AD49" s="1010"/>
      <c r="AE49" s="1010"/>
      <c r="AF49" s="1010"/>
    </row>
    <row r="50" spans="2:32" x14ac:dyDescent="0.25">
      <c r="B50" s="1004" t="s">
        <v>757</v>
      </c>
      <c r="L50" s="1011"/>
      <c r="M50" s="1011"/>
      <c r="N50" s="1011"/>
      <c r="O50" s="1011"/>
      <c r="P50" s="1011"/>
      <c r="Q50" s="1011">
        <v>4789.9667494545165</v>
      </c>
      <c r="R50" s="1011">
        <v>4557.0490479575128</v>
      </c>
      <c r="S50" s="1011">
        <v>4152.7802517746259</v>
      </c>
      <c r="T50" s="1011">
        <v>4619.3022775762392</v>
      </c>
      <c r="U50" s="1011">
        <v>4814.6108892517241</v>
      </c>
      <c r="V50" s="1011">
        <v>4909.0733905321094</v>
      </c>
      <c r="AA50" s="1011">
        <v>17786.77769791388</v>
      </c>
      <c r="AB50" s="1011">
        <v>18728.960065530784</v>
      </c>
      <c r="AC50" s="1011">
        <v>19552.050083616643</v>
      </c>
      <c r="AD50" s="1011">
        <v>21158.267873701388</v>
      </c>
      <c r="AE50" s="1011">
        <v>21725.504776207683</v>
      </c>
      <c r="AF50" s="1011">
        <v>23366.362077441001</v>
      </c>
    </row>
    <row r="51" spans="2:32" x14ac:dyDescent="0.25">
      <c r="B51" s="1004" t="s">
        <v>758</v>
      </c>
      <c r="C51" s="1031">
        <f>'FC - 3FS'!P173</f>
        <v>1649</v>
      </c>
      <c r="D51" s="1031">
        <f>'FC - 3FS'!Q173</f>
        <v>1758</v>
      </c>
      <c r="E51" s="1031">
        <f>'FC - 3FS'!R173</f>
        <v>2065</v>
      </c>
      <c r="F51" s="1031">
        <f>'FC - 3FS'!S173</f>
        <v>2184</v>
      </c>
      <c r="G51" s="1031">
        <f>'FC - 3FS'!T173</f>
        <v>2401</v>
      </c>
      <c r="H51" s="1031">
        <f>'FC - 3FS'!U173</f>
        <v>2877</v>
      </c>
      <c r="I51" s="1031">
        <f>'FC - 3FS'!V173</f>
        <v>4003</v>
      </c>
      <c r="J51" s="1031">
        <f>'FC - 3FS'!W173</f>
        <v>4305</v>
      </c>
      <c r="K51" s="1031">
        <f>'FC - 3FS'!X173</f>
        <v>3347</v>
      </c>
      <c r="L51" s="1031">
        <f>'FC - 3FS'!Y173</f>
        <v>4439</v>
      </c>
      <c r="M51" s="1031">
        <f>'FC - 3FS'!Z173</f>
        <v>5162</v>
      </c>
      <c r="N51" s="1031">
        <f>'FC - 3FS'!AA173</f>
        <v>4084</v>
      </c>
      <c r="O51" s="1031">
        <f>'FC - 3FS'!AB173</f>
        <v>4396</v>
      </c>
      <c r="P51" s="1031">
        <f>'FC - 3FS'!AC173</f>
        <v>4596</v>
      </c>
      <c r="Q51" s="1031">
        <f>'FC - 3FS'!AD173</f>
        <v>4818</v>
      </c>
      <c r="R51" s="1031">
        <f>'FC - 3FS'!AE173</f>
        <v>4013.5992271694608</v>
      </c>
      <c r="S51" s="1031">
        <f>'FC - 3FS'!AF173</f>
        <v>4248.6668142721464</v>
      </c>
      <c r="T51" s="1031">
        <f>'FC - 3FS'!AG173</f>
        <v>5341.7208239769716</v>
      </c>
      <c r="U51" s="1031">
        <f>'FC - 3FS'!AH173</f>
        <v>6176.7809464977081</v>
      </c>
      <c r="V51" s="1031">
        <f>'FC - 3FS'!AI173</f>
        <v>5183.7806969320827</v>
      </c>
      <c r="X51" s="1031">
        <f>'FC - 3FS'!AN173</f>
        <v>7656</v>
      </c>
      <c r="Y51" s="1031">
        <f>'FC - 3FS'!AO173</f>
        <v>13586</v>
      </c>
      <c r="Z51" s="1031">
        <f>'FC - 3FS'!AP173</f>
        <v>17032</v>
      </c>
      <c r="AA51" s="1031">
        <f>'FC - 3FS'!AQ173</f>
        <v>17823.599227169456</v>
      </c>
      <c r="AB51" s="1031">
        <f>'FC - 3FS'!AR173</f>
        <v>20950.949281678906</v>
      </c>
      <c r="AC51" s="1031">
        <f>'FC - 3FS'!AS173</f>
        <v>21506.178948791352</v>
      </c>
      <c r="AD51" s="1031">
        <f>'FC - 3FS'!AT173</f>
        <v>0</v>
      </c>
      <c r="AE51" s="1031">
        <f>'FC - 3FS'!AU173</f>
        <v>0</v>
      </c>
      <c r="AF51" s="1031">
        <f>'FC - 3FS'!AV173</f>
        <v>0</v>
      </c>
    </row>
    <row r="52" spans="2:32" x14ac:dyDescent="0.25">
      <c r="B52" s="1129" t="s">
        <v>763</v>
      </c>
      <c r="L52" s="1015"/>
      <c r="M52" s="1015"/>
      <c r="N52" s="1015"/>
      <c r="O52" s="1015"/>
      <c r="P52" s="1015"/>
      <c r="Q52" s="1015">
        <f t="shared" ref="Q52:V52" si="67">IFERROR(IF(Q50&gt;=0,Q51/Q50-1,1-Q51/Q50), "n.a.")</f>
        <v>5.8524937670341171E-3</v>
      </c>
      <c r="R52" s="1015">
        <f t="shared" si="67"/>
        <v>-0.11925476664150203</v>
      </c>
      <c r="S52" s="1015">
        <f t="shared" si="67"/>
        <v>2.3089727046487596E-2</v>
      </c>
      <c r="T52" s="1015">
        <f t="shared" si="67"/>
        <v>0.15639126928489011</v>
      </c>
      <c r="U52" s="1015">
        <f t="shared" si="67"/>
        <v>0.28292422556658359</v>
      </c>
      <c r="V52" s="1015">
        <f t="shared" si="67"/>
        <v>5.59590954435083E-2</v>
      </c>
      <c r="W52" s="1015"/>
      <c r="X52" s="1015"/>
      <c r="Y52" s="1015"/>
      <c r="Z52" s="1015"/>
      <c r="AA52" s="1015">
        <f t="shared" ref="AA52:AE52" si="68">IFERROR(IF(AA50&gt;=0,AA51/AA50-1,1-AA51/AA50), "n.a.")</f>
        <v>2.0701630099022594E-3</v>
      </c>
      <c r="AB52" s="1015">
        <f t="shared" si="68"/>
        <v>0.11863922013681494</v>
      </c>
      <c r="AC52" s="1015">
        <f t="shared" si="68"/>
        <v>9.9944960084372036E-2</v>
      </c>
      <c r="AD52" s="1015">
        <f t="shared" si="68"/>
        <v>-1</v>
      </c>
      <c r="AE52" s="1015">
        <f t="shared" si="68"/>
        <v>-1</v>
      </c>
      <c r="AF52" s="1015">
        <f t="shared" ref="AF52" si="69">IFERROR(IF(AF50&gt;=0,AF51/AF50-1,1-AF51/AF50), "n.a.")</f>
        <v>-1</v>
      </c>
    </row>
    <row r="54" spans="2:32" x14ac:dyDescent="0.25">
      <c r="B54" s="1026" t="s">
        <v>761</v>
      </c>
      <c r="Q54" s="1027">
        <f t="shared" ref="Q54:V54" si="70">Q50/Q10</f>
        <v>0.27064253657637505</v>
      </c>
      <c r="R54" s="1027">
        <f t="shared" si="70"/>
        <v>0.25338603887274364</v>
      </c>
      <c r="S54" s="1027">
        <f t="shared" si="70"/>
        <v>0.22995519515940274</v>
      </c>
      <c r="T54" s="1027">
        <f t="shared" si="70"/>
        <v>0.25140904827517802</v>
      </c>
      <c r="U54" s="1027">
        <f t="shared" si="70"/>
        <v>0.25648213294637712</v>
      </c>
      <c r="V54" s="1027">
        <f t="shared" si="70"/>
        <v>0.25822767121678802</v>
      </c>
      <c r="X54" s="1027"/>
      <c r="Y54" s="1027"/>
      <c r="Z54" s="1027"/>
      <c r="AA54" s="1027">
        <f t="shared" ref="AA54:AE54" si="71">AA50/AA10</f>
        <v>0.25455361062649995</v>
      </c>
      <c r="AB54" s="1027">
        <f t="shared" si="71"/>
        <v>0.25341932785802312</v>
      </c>
      <c r="AC54" s="1027">
        <f t="shared" si="71"/>
        <v>0.25146875894584908</v>
      </c>
      <c r="AD54" s="1027">
        <f t="shared" si="71"/>
        <v>0.26013361667794882</v>
      </c>
      <c r="AE54" s="1027">
        <f t="shared" si="71"/>
        <v>0.2609725658137656</v>
      </c>
      <c r="AF54" s="1027">
        <f t="shared" ref="AF54" si="72">AF50/AF10</f>
        <v>0.26675788062460781</v>
      </c>
    </row>
    <row r="55" spans="2:32" x14ac:dyDescent="0.25">
      <c r="B55" s="1026" t="s">
        <v>762</v>
      </c>
      <c r="C55" s="1027">
        <f>C51/C11</f>
        <v>0.10900317292437864</v>
      </c>
      <c r="D55" s="1027">
        <f t="shared" ref="D55:M55" si="73">D51/D11</f>
        <v>0.11478192739618699</v>
      </c>
      <c r="E55" s="1027">
        <f t="shared" si="73"/>
        <v>0.13443135212551266</v>
      </c>
      <c r="F55" s="1027">
        <f t="shared" si="73"/>
        <v>0.14073978605490398</v>
      </c>
      <c r="G55" s="1027">
        <f t="shared" si="73"/>
        <v>0.15444487327930015</v>
      </c>
      <c r="H55" s="1027">
        <f t="shared" si="73"/>
        <v>0.18280594738848646</v>
      </c>
      <c r="I55" s="1027">
        <f t="shared" si="73"/>
        <v>0.25153952494658793</v>
      </c>
      <c r="J55" s="1027">
        <f t="shared" si="73"/>
        <v>0.26834133266845356</v>
      </c>
      <c r="K55" s="1027">
        <f t="shared" si="73"/>
        <v>0.20793986083499005</v>
      </c>
      <c r="L55" s="1027">
        <f t="shared" si="73"/>
        <v>0.27019295148822203</v>
      </c>
      <c r="M55" s="1027">
        <f t="shared" si="73"/>
        <v>0.30863976083707023</v>
      </c>
      <c r="N55" s="1027">
        <f t="shared" ref="N55:O55" si="74">N51/N11</f>
        <v>0.24125708884688091</v>
      </c>
      <c r="O55" s="1027">
        <f t="shared" si="74"/>
        <v>0.25973412112259969</v>
      </c>
      <c r="P55" s="1027">
        <f t="shared" ref="P55" si="75">P51/P11</f>
        <v>0.26356233513017546</v>
      </c>
      <c r="Q55" s="1027">
        <f t="shared" ref="Q55:V55" si="76">Q51/Q11</f>
        <v>0.26413025601666573</v>
      </c>
      <c r="R55" s="1027">
        <f t="shared" si="76"/>
        <v>0.21627811191664234</v>
      </c>
      <c r="S55" s="1027">
        <f t="shared" si="76"/>
        <v>0.22924729823653589</v>
      </c>
      <c r="T55" s="1027">
        <f t="shared" si="76"/>
        <v>0.27969823659525717</v>
      </c>
      <c r="U55" s="1027">
        <f t="shared" si="76"/>
        <v>0.31663532606985945</v>
      </c>
      <c r="V55" s="1027">
        <f t="shared" si="76"/>
        <v>0.2639625556681548</v>
      </c>
      <c r="X55" s="1027">
        <f t="shared" ref="X55:AE55" si="77">X51/X11</f>
        <v>0.12484712098233941</v>
      </c>
      <c r="Y55" s="1027">
        <f t="shared" si="77"/>
        <v>0.21482898752391644</v>
      </c>
      <c r="Z55" s="1027">
        <f t="shared" ref="Z55" si="78">Z51/Z11</f>
        <v>0.25736649641874942</v>
      </c>
      <c r="AA55" s="1027">
        <f t="shared" si="77"/>
        <v>0.25046658924264642</v>
      </c>
      <c r="AB55" s="1027">
        <f t="shared" si="77"/>
        <v>0.27288002120291316</v>
      </c>
      <c r="AC55" s="1027">
        <f t="shared" si="77"/>
        <v>0.26533910123187232</v>
      </c>
      <c r="AD55" s="1027" t="e">
        <f t="shared" si="77"/>
        <v>#DIV/0!</v>
      </c>
      <c r="AE55" s="1027" t="e">
        <f t="shared" si="77"/>
        <v>#DIV/0!</v>
      </c>
      <c r="AF55" s="1027" t="e">
        <f t="shared" ref="AF55" si="79">AF51/AF11</f>
        <v>#DIV/0!</v>
      </c>
    </row>
    <row r="56" spans="2:32" x14ac:dyDescent="0.25">
      <c r="B56" s="1021" t="s">
        <v>763</v>
      </c>
      <c r="Q56" s="1017">
        <f t="shared" ref="Q56:V56" si="80">+Q55-Q54</f>
        <v>-6.5122805597093159E-3</v>
      </c>
      <c r="R56" s="1017">
        <f t="shared" si="80"/>
        <v>-3.7107926956101295E-2</v>
      </c>
      <c r="S56" s="1017">
        <f t="shared" si="80"/>
        <v>-7.0789692286685191E-4</v>
      </c>
      <c r="T56" s="1017">
        <f t="shared" si="80"/>
        <v>2.8289188320079151E-2</v>
      </c>
      <c r="U56" s="1017">
        <f t="shared" si="80"/>
        <v>6.0153193123482329E-2</v>
      </c>
      <c r="V56" s="1017">
        <f t="shared" si="80"/>
        <v>5.7348844513667729E-3</v>
      </c>
      <c r="W56" s="1017"/>
      <c r="X56" s="1017"/>
      <c r="Y56" s="1017"/>
      <c r="Z56" s="1017"/>
      <c r="AA56" s="1017">
        <f t="shared" ref="AA56:AF56" si="81">+AA55-AA54</f>
        <v>-4.0870213838535285E-3</v>
      </c>
      <c r="AB56" s="1017">
        <f t="shared" si="81"/>
        <v>1.9460693344890034E-2</v>
      </c>
      <c r="AC56" s="1017">
        <f t="shared" si="81"/>
        <v>1.3870342286023241E-2</v>
      </c>
      <c r="AD56" s="1017" t="e">
        <f t="shared" si="81"/>
        <v>#DIV/0!</v>
      </c>
      <c r="AE56" s="1017" t="e">
        <f t="shared" si="81"/>
        <v>#DIV/0!</v>
      </c>
      <c r="AF56" s="1017" t="e">
        <f t="shared" si="81"/>
        <v>#DIV/0!</v>
      </c>
    </row>
    <row r="57" spans="2:32" x14ac:dyDescent="0.25">
      <c r="B57" s="1130" t="s">
        <v>708</v>
      </c>
      <c r="C57" s="1010"/>
      <c r="D57" s="1010"/>
      <c r="E57" s="1010"/>
      <c r="F57" s="1010"/>
      <c r="G57" s="1010"/>
      <c r="H57" s="1010"/>
      <c r="I57" s="1010"/>
      <c r="J57" s="1010"/>
      <c r="K57" s="1010"/>
      <c r="L57" s="1010"/>
      <c r="M57" s="1010"/>
      <c r="N57" s="1010"/>
      <c r="O57" s="1010"/>
      <c r="P57" s="1010"/>
      <c r="Q57" s="1010"/>
      <c r="R57" s="1010"/>
      <c r="S57" s="1010"/>
      <c r="T57" s="1010"/>
      <c r="U57" s="1010"/>
      <c r="V57" s="1010"/>
      <c r="X57" s="1010"/>
      <c r="Y57" s="1010"/>
      <c r="Z57" s="1010"/>
      <c r="AA57" s="1010"/>
      <c r="AB57" s="1010"/>
      <c r="AC57" s="1010"/>
      <c r="AD57" s="1010"/>
      <c r="AE57" s="1010"/>
      <c r="AF57" s="1010"/>
    </row>
    <row r="58" spans="2:32" x14ac:dyDescent="0.25">
      <c r="B58" s="1004" t="s">
        <v>757</v>
      </c>
      <c r="L58" s="1011"/>
      <c r="M58" s="1011"/>
      <c r="N58" s="1011"/>
      <c r="O58" s="1011"/>
      <c r="P58" s="1011"/>
      <c r="Q58" s="1011">
        <v>2272.4736842105262</v>
      </c>
      <c r="R58" s="1011">
        <v>2361.4736842105262</v>
      </c>
      <c r="S58" s="1011">
        <v>2398.9</v>
      </c>
      <c r="T58" s="1011">
        <v>2423</v>
      </c>
      <c r="U58" s="1011">
        <v>2446.6</v>
      </c>
      <c r="V58" s="1011">
        <v>2467.3000000000002</v>
      </c>
      <c r="AA58" s="1011">
        <v>9514.0952380952385</v>
      </c>
      <c r="AB58" s="1011">
        <v>9706.7619047619064</v>
      </c>
      <c r="AC58" s="1011">
        <v>9875.5499999999993</v>
      </c>
      <c r="AD58" s="1011">
        <v>10155.142857142857</v>
      </c>
      <c r="AE58" s="1011">
        <v>10388</v>
      </c>
      <c r="AF58" s="1011">
        <v>10782</v>
      </c>
    </row>
    <row r="59" spans="2:32" x14ac:dyDescent="0.25">
      <c r="B59" s="1004" t="s">
        <v>758</v>
      </c>
      <c r="C59" s="1031">
        <f>-'FC - 3FS'!P170</f>
        <v>3381</v>
      </c>
      <c r="D59" s="1031">
        <f>-'FC - 3FS'!Q170</f>
        <v>3572</v>
      </c>
      <c r="E59" s="1031">
        <f>-'FC - 3FS'!R170</f>
        <v>3634</v>
      </c>
      <c r="F59" s="1031">
        <f>-'FC - 3FS'!S170</f>
        <v>3383</v>
      </c>
      <c r="G59" s="1031">
        <f>-'FC - 3FS'!T170</f>
        <v>3001</v>
      </c>
      <c r="H59" s="1031">
        <f>-'FC - 3FS'!U170</f>
        <v>2789</v>
      </c>
      <c r="I59" s="1031">
        <f>-'FC - 3FS'!V170</f>
        <v>2424</v>
      </c>
      <c r="J59" s="1031">
        <f>-'FC - 3FS'!W170</f>
        <v>1587</v>
      </c>
      <c r="K59" s="1031">
        <f>-'FC - 3FS'!X170</f>
        <v>2627</v>
      </c>
      <c r="L59" s="1031">
        <f>-'FC - 3FS'!Y170</f>
        <v>2040</v>
      </c>
      <c r="M59" s="1031">
        <f>-'FC - 3FS'!Z170</f>
        <v>1961</v>
      </c>
      <c r="N59" s="1031">
        <f>-'FC - 3FS'!AA170</f>
        <v>2212</v>
      </c>
      <c r="O59" s="1031">
        <f>-'FC - 3FS'!AB170</f>
        <v>2451</v>
      </c>
      <c r="P59" s="1031">
        <f>-'FC - 3FS'!AC170</f>
        <v>2396</v>
      </c>
      <c r="Q59" s="1031">
        <f>-'FC - 3FS'!AD170</f>
        <v>2639</v>
      </c>
      <c r="R59" s="1031">
        <f>-'FC - 3FS'!AE170</f>
        <v>2537.2670672479476</v>
      </c>
      <c r="S59" s="1031">
        <f>-'FC - 3FS'!AF170</f>
        <v>2575.0082854261846</v>
      </c>
      <c r="T59" s="1031">
        <f>-'FC - 3FS'!AG170</f>
        <v>2626.901066225942</v>
      </c>
      <c r="U59" s="1031">
        <f>-'FC - 3FS'!AH170</f>
        <v>2663.9016572141545</v>
      </c>
      <c r="V59" s="1031">
        <f>-'FC - 3FS'!AI170</f>
        <v>2696.4356817029525</v>
      </c>
      <c r="X59" s="1031">
        <f>-'FC - 3FS'!AN170</f>
        <v>13970</v>
      </c>
      <c r="Y59" s="1031">
        <f>-'FC - 3FS'!AO170</f>
        <v>9801</v>
      </c>
      <c r="Z59" s="1031">
        <f>-'FC - 3FS'!AP170</f>
        <v>8840</v>
      </c>
      <c r="AA59" s="1031">
        <f>-'FC - 3FS'!AQ170</f>
        <v>10023.267067247947</v>
      </c>
      <c r="AB59" s="1031">
        <f>-'FC - 3FS'!AR170</f>
        <v>10562.246690569233</v>
      </c>
      <c r="AC59" s="1031">
        <f>-'FC - 3FS'!AS170</f>
        <v>10941.003531939117</v>
      </c>
      <c r="AD59" s="1031">
        <f>-'FC - 3FS'!AT170</f>
        <v>0</v>
      </c>
      <c r="AE59" s="1031">
        <f>-'FC - 3FS'!AU170</f>
        <v>0</v>
      </c>
      <c r="AF59" s="1031">
        <f>-'FC - 3FS'!AV170</f>
        <v>0</v>
      </c>
    </row>
    <row r="60" spans="2:32" x14ac:dyDescent="0.25">
      <c r="B60" s="1129" t="s">
        <v>763</v>
      </c>
      <c r="L60" s="1015"/>
      <c r="M60" s="1015"/>
      <c r="N60" s="1015"/>
      <c r="O60" s="1015"/>
      <c r="P60" s="1015"/>
      <c r="Q60" s="1015">
        <f t="shared" ref="Q60:V60" si="82">IFERROR(IF(Q58&gt;=0,Q59/Q58-1,1-Q59/Q58), "n.a.")</f>
        <v>0.16128957546842071</v>
      </c>
      <c r="R60" s="1015">
        <f t="shared" si="82"/>
        <v>7.444223673243755E-2</v>
      </c>
      <c r="S60" s="1015">
        <f t="shared" si="82"/>
        <v>7.3412099473168624E-2</v>
      </c>
      <c r="T60" s="1015">
        <f t="shared" si="82"/>
        <v>8.4152317881115213E-2</v>
      </c>
      <c r="U60" s="1015">
        <f t="shared" si="82"/>
        <v>8.8817811335794472E-2</v>
      </c>
      <c r="V60" s="1015">
        <f t="shared" si="82"/>
        <v>9.2868999190593771E-2</v>
      </c>
      <c r="W60" s="1015"/>
      <c r="X60" s="1015"/>
      <c r="Y60" s="1015"/>
      <c r="Z60" s="1015"/>
      <c r="AA60" s="1015">
        <f t="shared" ref="AA60:AE60" si="83">IFERROR(IF(AA58&gt;=0,AA59/AA58-1,1-AA59/AA58), "n.a.")</f>
        <v>5.3517630043679043E-2</v>
      </c>
      <c r="AB60" s="1015">
        <f t="shared" si="83"/>
        <v>8.8132870075616543E-2</v>
      </c>
      <c r="AC60" s="1015">
        <f t="shared" si="83"/>
        <v>0.10788801959780647</v>
      </c>
      <c r="AD60" s="1015">
        <f t="shared" si="83"/>
        <v>-1</v>
      </c>
      <c r="AE60" s="1015">
        <f t="shared" si="83"/>
        <v>-1</v>
      </c>
      <c r="AF60" s="1015">
        <f t="shared" ref="AF60" si="84">IFERROR(IF(AF58&gt;=0,AF59/AF58-1,1-AF59/AF58), "n.a.")</f>
        <v>-1</v>
      </c>
    </row>
    <row r="62" spans="2:32" x14ac:dyDescent="0.25">
      <c r="B62" s="1133" t="s">
        <v>895</v>
      </c>
      <c r="C62" s="1134"/>
      <c r="D62" s="1134"/>
      <c r="E62" s="1134"/>
      <c r="F62" s="1134"/>
      <c r="G62" s="1134"/>
      <c r="H62" s="1134"/>
      <c r="I62" s="1134"/>
      <c r="J62" s="1134"/>
      <c r="K62" s="1134"/>
      <c r="L62" s="1134"/>
      <c r="M62" s="1134"/>
      <c r="N62" s="1134"/>
      <c r="O62" s="1134"/>
      <c r="P62" s="1134"/>
      <c r="Q62" s="1134"/>
      <c r="R62" s="1134"/>
      <c r="S62" s="1134"/>
      <c r="T62" s="1134"/>
      <c r="U62" s="1134"/>
      <c r="V62" s="1134"/>
      <c r="W62" s="1134"/>
      <c r="X62" s="1134"/>
      <c r="Y62" s="1134"/>
      <c r="Z62" s="1134"/>
      <c r="AA62" s="1134"/>
      <c r="AB62" s="1134"/>
      <c r="AC62" s="1134"/>
      <c r="AD62" s="1134"/>
      <c r="AE62" s="1134"/>
      <c r="AF62" s="1134"/>
    </row>
    <row r="63" spans="2:32" x14ac:dyDescent="0.25">
      <c r="B63" s="1130" t="s">
        <v>890</v>
      </c>
      <c r="C63" s="1010"/>
      <c r="D63" s="1010"/>
      <c r="E63" s="1010"/>
      <c r="F63" s="1010"/>
      <c r="G63" s="1010"/>
      <c r="H63" s="1010"/>
      <c r="I63" s="1010"/>
      <c r="J63" s="1010"/>
      <c r="K63" s="1010"/>
      <c r="L63" s="1010"/>
      <c r="M63" s="1010"/>
      <c r="N63" s="1010"/>
      <c r="O63" s="1010"/>
      <c r="P63" s="1010"/>
      <c r="Q63" s="1010"/>
      <c r="R63" s="1010"/>
      <c r="S63" s="1010"/>
      <c r="T63" s="1010"/>
      <c r="U63" s="1010"/>
      <c r="V63" s="1010"/>
      <c r="X63" s="1010"/>
      <c r="Y63" s="1010"/>
      <c r="Z63" s="1010"/>
      <c r="AA63" s="1010"/>
      <c r="AB63" s="1010"/>
      <c r="AC63" s="1010"/>
      <c r="AD63" s="1010"/>
      <c r="AE63" s="1010"/>
      <c r="AF63" s="1010"/>
    </row>
    <row r="64" spans="2:32" x14ac:dyDescent="0.25">
      <c r="B64" s="1004" t="s">
        <v>757</v>
      </c>
      <c r="L64" s="1011"/>
      <c r="M64" s="1011"/>
      <c r="N64" s="1011"/>
      <c r="O64" s="1011"/>
      <c r="P64" s="1011"/>
      <c r="Q64" s="1011">
        <v>81253.025692009745</v>
      </c>
      <c r="R64" s="1011">
        <v>82235.020633289212</v>
      </c>
      <c r="S64" s="1011">
        <v>83148.434524977332</v>
      </c>
      <c r="T64" s="1011">
        <v>83774.842388168327</v>
      </c>
      <c r="U64" s="1011">
        <v>84498.60134670866</v>
      </c>
      <c r="V64" s="1011">
        <v>85267.858844792063</v>
      </c>
      <c r="AA64" s="1011">
        <v>81692.288273435217</v>
      </c>
      <c r="AB64" s="1011">
        <v>84777.398008380318</v>
      </c>
      <c r="AC64" s="1011">
        <v>87264.532754239641</v>
      </c>
      <c r="AD64" s="1011">
        <v>89270.054047468642</v>
      </c>
      <c r="AE64" s="1011">
        <v>89510.673805668368</v>
      </c>
      <c r="AF64" s="1011">
        <v>92000.221218242761</v>
      </c>
    </row>
    <row r="65" spans="2:32" x14ac:dyDescent="0.25">
      <c r="B65" s="1004" t="s">
        <v>758</v>
      </c>
      <c r="C65" s="1031">
        <f>'IS Drivers'!P36</f>
        <v>70656</v>
      </c>
      <c r="D65" s="1031">
        <f>'IS Drivers'!Q36</f>
        <v>71053</v>
      </c>
      <c r="E65" s="1031">
        <f>'IS Drivers'!R36</f>
        <v>71907</v>
      </c>
      <c r="F65" s="1031">
        <f>'IS Drivers'!S36</f>
        <v>72834</v>
      </c>
      <c r="G65" s="1031">
        <f>'IS Drivers'!T36</f>
        <v>73372</v>
      </c>
      <c r="H65" s="1031">
        <f>'IS Drivers'!U36</f>
        <v>74132</v>
      </c>
      <c r="I65" s="1031">
        <f>'IS Drivers'!V36</f>
        <v>74982</v>
      </c>
      <c r="J65" s="1031">
        <f>'IS Drivers'!W36</f>
        <v>75936</v>
      </c>
      <c r="K65" s="1031">
        <f>'IS Drivers'!X36</f>
        <v>76468</v>
      </c>
      <c r="L65" s="1031">
        <f>'IS Drivers'!Y36</f>
        <v>77245</v>
      </c>
      <c r="M65" s="1031">
        <f>'IS Drivers'!Z36</f>
        <v>78110</v>
      </c>
      <c r="N65" s="1031">
        <f>'IS Drivers'!AA36</f>
        <v>79013</v>
      </c>
      <c r="O65" s="1031">
        <f>'IS Drivers'!AB36</f>
        <v>79508</v>
      </c>
      <c r="P65" s="1031">
        <f>'IS Drivers'!AC36</f>
        <v>80338</v>
      </c>
      <c r="Q65" s="1031">
        <f>'IS Drivers'!AD36</f>
        <v>84632</v>
      </c>
      <c r="R65" s="1031">
        <f>'IS Drivers'!AE36</f>
        <v>85630.676242774571</v>
      </c>
      <c r="S65" s="1031">
        <f>'IS Drivers'!AF36</f>
        <v>86133.906242774567</v>
      </c>
      <c r="T65" s="1031">
        <f>'IS Drivers'!AG36</f>
        <v>86921.33624277456</v>
      </c>
      <c r="U65" s="1031">
        <f>'IS Drivers'!AH36</f>
        <v>87838.616242774558</v>
      </c>
      <c r="V65" s="1031">
        <f>'IS Drivers'!AI36</f>
        <v>88770.437601734098</v>
      </c>
      <c r="X65" s="1031">
        <f>'IS Drivers'!AN36</f>
        <v>72834</v>
      </c>
      <c r="Y65" s="1031">
        <f>'IS Drivers'!AO36</f>
        <v>75936</v>
      </c>
      <c r="Z65" s="1031">
        <f>'IS Drivers'!AP36</f>
        <v>79013</v>
      </c>
      <c r="AA65" s="1031">
        <f>'IS Drivers'!AQ36</f>
        <v>85630.676242774571</v>
      </c>
      <c r="AB65" s="1031">
        <f>'IS Drivers'!AR36</f>
        <v>88770.437601734098</v>
      </c>
      <c r="AC65" s="1031">
        <f>'IS Drivers'!AS36</f>
        <v>91816.006119924845</v>
      </c>
      <c r="AD65" s="1031">
        <f>'IS Drivers'!AT36</f>
        <v>0</v>
      </c>
      <c r="AE65" s="1031">
        <f>'IS Drivers'!AU36</f>
        <v>0</v>
      </c>
      <c r="AF65" s="1031">
        <f>'IS Drivers'!AV36</f>
        <v>0</v>
      </c>
    </row>
    <row r="66" spans="2:32" x14ac:dyDescent="0.25">
      <c r="B66" s="1129" t="s">
        <v>763</v>
      </c>
      <c r="L66" s="1015"/>
      <c r="M66" s="1015"/>
      <c r="N66" s="1015"/>
      <c r="O66" s="1015"/>
      <c r="P66" s="1015"/>
      <c r="Q66" s="1017">
        <f t="shared" ref="Q66:V66" si="85">IFERROR(IF(Q64&gt;=0,Q65/Q64-1,1-Q65/Q64), "n.a.")</f>
        <v>4.1585827471807502E-2</v>
      </c>
      <c r="R66" s="1017">
        <f t="shared" si="85"/>
        <v>4.1292086793868643E-2</v>
      </c>
      <c r="S66" s="1017">
        <f t="shared" si="85"/>
        <v>3.5905326839321461E-2</v>
      </c>
      <c r="T66" s="1017">
        <f t="shared" si="85"/>
        <v>3.7558934936899657E-2</v>
      </c>
      <c r="U66" s="1017">
        <f t="shared" si="85"/>
        <v>3.9527457766565632E-2</v>
      </c>
      <c r="V66" s="1017">
        <f t="shared" si="85"/>
        <v>4.1077362612301105E-2</v>
      </c>
      <c r="W66" s="1017"/>
      <c r="X66" s="1017"/>
      <c r="Y66" s="1017"/>
      <c r="Z66" s="1017"/>
      <c r="AA66" s="1017">
        <f t="shared" ref="AA66:AE66" si="86">IFERROR(IF(AA64&gt;=0,AA65/AA64-1,1-AA65/AA64), "n.a.")</f>
        <v>4.8210033683437015E-2</v>
      </c>
      <c r="AB66" s="1017">
        <f t="shared" si="86"/>
        <v>4.710028483015094E-2</v>
      </c>
      <c r="AC66" s="1017">
        <f t="shared" si="86"/>
        <v>5.2157196309104981E-2</v>
      </c>
      <c r="AD66" s="1017">
        <f t="shared" si="86"/>
        <v>-1</v>
      </c>
      <c r="AE66" s="1017">
        <f t="shared" si="86"/>
        <v>-1</v>
      </c>
      <c r="AF66" s="1017">
        <f t="shared" ref="AF66" si="87">IFERROR(IF(AF64&gt;=0,AF65/AF64-1,1-AF65/AF64), "n.a.")</f>
        <v>-1</v>
      </c>
    </row>
    <row r="67" spans="2:32" x14ac:dyDescent="0.25">
      <c r="B67" s="1130" t="s">
        <v>891</v>
      </c>
      <c r="C67" s="1010"/>
      <c r="D67" s="1010"/>
      <c r="E67" s="1010"/>
      <c r="F67" s="1010"/>
      <c r="G67" s="1010"/>
      <c r="H67" s="1010"/>
      <c r="I67" s="1010"/>
      <c r="J67" s="1010"/>
      <c r="K67" s="1010"/>
      <c r="L67" s="1010"/>
      <c r="M67" s="1010"/>
      <c r="N67" s="1010"/>
      <c r="O67" s="1010"/>
      <c r="P67" s="1010"/>
      <c r="Q67" s="1010"/>
      <c r="R67" s="1010"/>
      <c r="S67" s="1010"/>
      <c r="T67" s="1010"/>
      <c r="U67" s="1010"/>
      <c r="V67" s="1010"/>
      <c r="X67" s="1010"/>
      <c r="Y67" s="1010"/>
      <c r="Z67" s="1010"/>
      <c r="AA67" s="1283"/>
      <c r="AB67" s="1283"/>
      <c r="AC67" s="1283"/>
      <c r="AD67" s="1283"/>
      <c r="AE67" s="1283"/>
      <c r="AF67" s="1283"/>
    </row>
    <row r="68" spans="2:32" x14ac:dyDescent="0.25">
      <c r="B68" s="1004" t="s">
        <v>757</v>
      </c>
      <c r="L68" s="1011"/>
      <c r="M68" s="1011"/>
      <c r="N68" s="1011"/>
      <c r="O68" s="1011"/>
      <c r="P68" s="1011"/>
      <c r="Q68" s="1028">
        <v>50.427160775000011</v>
      </c>
      <c r="R68" s="1028">
        <v>50.374254229539396</v>
      </c>
      <c r="S68" s="1028">
        <v>49.98585846931249</v>
      </c>
      <c r="T68" s="1028">
        <v>50.331932570214526</v>
      </c>
      <c r="U68" s="1028">
        <v>50.860073817172385</v>
      </c>
      <c r="V68" s="1028">
        <v>50.755195454630076</v>
      </c>
      <c r="W68" s="1132"/>
      <c r="X68" s="1132"/>
      <c r="Y68" s="1132"/>
      <c r="Z68" s="1132"/>
      <c r="AA68" s="1028">
        <v>49.989850221068451</v>
      </c>
      <c r="AB68" s="1028">
        <v>50.573943233994378</v>
      </c>
      <c r="AC68" s="1028">
        <v>51.090061553327168</v>
      </c>
      <c r="AD68" s="1028">
        <v>51.642932647165161</v>
      </c>
      <c r="AE68" s="1028">
        <v>52.112613422409197</v>
      </c>
      <c r="AF68" s="1028">
        <v>52.84164433790869</v>
      </c>
    </row>
    <row r="69" spans="2:32" x14ac:dyDescent="0.25">
      <c r="B69" s="1004" t="s">
        <v>758</v>
      </c>
      <c r="C69" s="1132">
        <f>'IS Drivers'!P117</f>
        <v>48.41</v>
      </c>
      <c r="D69" s="1132">
        <f>'IS Drivers'!Q117</f>
        <v>48.96</v>
      </c>
      <c r="E69" s="1132">
        <f>'IS Drivers'!R117</f>
        <v>48.89</v>
      </c>
      <c r="F69" s="1132">
        <f>'IS Drivers'!S117</f>
        <v>48.86</v>
      </c>
      <c r="G69" s="1132">
        <f>'IS Drivers'!T117</f>
        <v>48.63</v>
      </c>
      <c r="H69" s="1132">
        <f>'IS Drivers'!U117</f>
        <v>48.84</v>
      </c>
      <c r="I69" s="1132">
        <f>'IS Drivers'!V117</f>
        <v>48.93</v>
      </c>
      <c r="J69" s="1132">
        <f>'IS Drivers'!W117</f>
        <v>48.91</v>
      </c>
      <c r="K69" s="1132">
        <f>'IS Drivers'!X117</f>
        <v>48.79</v>
      </c>
      <c r="L69" s="1132">
        <f>'IS Drivers'!Y117</f>
        <v>49.07</v>
      </c>
      <c r="M69" s="1132">
        <f>'IS Drivers'!Z117</f>
        <v>49.79</v>
      </c>
      <c r="N69" s="1132">
        <f>'IS Drivers'!AA117</f>
        <v>49.73</v>
      </c>
      <c r="O69" s="1132">
        <f>'IS Drivers'!AB117</f>
        <v>49.38</v>
      </c>
      <c r="P69" s="1132">
        <f>'IS Drivers'!AC117</f>
        <v>50.62</v>
      </c>
      <c r="Q69" s="1132">
        <f>'IS Drivers'!AD117</f>
        <v>50.71</v>
      </c>
      <c r="R69" s="1132">
        <f>'IS Drivers'!AE117</f>
        <v>50.674869999999991</v>
      </c>
      <c r="S69" s="1132">
        <f>'IS Drivers'!AF117</f>
        <v>50.120699999999999</v>
      </c>
      <c r="T69" s="1132">
        <f>'IS Drivers'!AG117</f>
        <v>51.379299999999994</v>
      </c>
      <c r="U69" s="1132">
        <f>'IS Drivers'!AH117</f>
        <v>51.470649999999999</v>
      </c>
      <c r="V69" s="1132">
        <f>'IS Drivers'!AI117</f>
        <v>51.434993049999989</v>
      </c>
      <c r="X69" s="1132">
        <f>'IS Drivers'!AN117</f>
        <v>48.78</v>
      </c>
      <c r="Y69" s="1132">
        <f>'IS Drivers'!AO117</f>
        <v>48.83</v>
      </c>
      <c r="Z69" s="1132">
        <f>'IS Drivers'!AP117</f>
        <v>49.35</v>
      </c>
      <c r="AA69" s="1132">
        <f>'IS Drivers'!AQ117</f>
        <v>50.04652026414292</v>
      </c>
      <c r="AB69" s="1132">
        <f>'IS Drivers'!AR117</f>
        <v>51.002128585604254</v>
      </c>
      <c r="AC69" s="1132">
        <f>'IS Drivers'!AS117</f>
        <v>51.869164771559518</v>
      </c>
      <c r="AD69" s="1132">
        <f>'IS Drivers'!AT117</f>
        <v>0</v>
      </c>
      <c r="AE69" s="1132">
        <f>'IS Drivers'!AU117</f>
        <v>0</v>
      </c>
      <c r="AF69" s="1132">
        <f>'IS Drivers'!AV117</f>
        <v>0</v>
      </c>
    </row>
    <row r="70" spans="2:32" x14ac:dyDescent="0.25">
      <c r="B70" s="1129" t="s">
        <v>763</v>
      </c>
      <c r="L70" s="1015"/>
      <c r="M70" s="1015"/>
      <c r="N70" s="1015"/>
      <c r="O70" s="1015"/>
      <c r="P70" s="1015"/>
      <c r="Q70" s="1017">
        <f t="shared" ref="Q70:V70" si="88">IFERROR(IF(Q68&gt;=0,Q69/Q68-1,1-Q69/Q68), "n.a.")</f>
        <v>5.608866742706109E-3</v>
      </c>
      <c r="R70" s="1017">
        <f t="shared" si="88"/>
        <v>5.967647066114079E-3</v>
      </c>
      <c r="S70" s="1017">
        <f t="shared" si="88"/>
        <v>2.6975935757969083E-3</v>
      </c>
      <c r="T70" s="1017">
        <f t="shared" si="88"/>
        <v>2.0809203547357491E-2</v>
      </c>
      <c r="U70" s="1017">
        <f t="shared" si="88"/>
        <v>1.2005019595969557E-2</v>
      </c>
      <c r="V70" s="1017">
        <f t="shared" si="88"/>
        <v>1.3393655354506206E-2</v>
      </c>
      <c r="W70" s="1017"/>
      <c r="X70" s="1017"/>
      <c r="Y70" s="1017"/>
      <c r="Z70" s="1017"/>
      <c r="AA70" s="1017">
        <f t="shared" ref="AA70:AE70" si="89">IFERROR(IF(AA68&gt;=0,AA69/AA68-1,1-AA69/AA68), "n.a.")</f>
        <v>1.1336309835667802E-3</v>
      </c>
      <c r="AB70" s="1017">
        <f t="shared" si="89"/>
        <v>8.4665209835181887E-3</v>
      </c>
      <c r="AC70" s="1017">
        <f t="shared" si="89"/>
        <v>1.5249604219386814E-2</v>
      </c>
      <c r="AD70" s="1017">
        <f t="shared" si="89"/>
        <v>-1</v>
      </c>
      <c r="AE70" s="1017">
        <f t="shared" si="89"/>
        <v>-1</v>
      </c>
      <c r="AF70" s="1017">
        <f t="shared" ref="AF70" si="90">IFERROR(IF(AF68&gt;=0,AF69/AF68-1,1-AF69/AF68), "n.a.")</f>
        <v>-1</v>
      </c>
    </row>
    <row r="71" spans="2:32" x14ac:dyDescent="0.25">
      <c r="B71" s="1130" t="s">
        <v>892</v>
      </c>
      <c r="C71" s="1010"/>
      <c r="D71" s="1010"/>
      <c r="E71" s="1010"/>
      <c r="F71" s="1010"/>
      <c r="G71" s="1010"/>
      <c r="H71" s="1010"/>
      <c r="I71" s="1010"/>
      <c r="J71" s="1010"/>
      <c r="K71" s="1010"/>
      <c r="L71" s="1010"/>
      <c r="M71" s="1010"/>
      <c r="N71" s="1010"/>
      <c r="O71" s="1010"/>
      <c r="P71" s="1010"/>
      <c r="Q71" s="1010"/>
      <c r="R71" s="1010"/>
      <c r="S71" s="1010"/>
      <c r="T71" s="1010"/>
      <c r="U71" s="1010"/>
      <c r="V71" s="1010"/>
      <c r="X71" s="1010"/>
      <c r="Y71" s="1010"/>
      <c r="Z71" s="1010"/>
      <c r="AA71" s="1010"/>
      <c r="AB71" s="1010"/>
      <c r="AC71" s="1010"/>
      <c r="AD71" s="1010"/>
      <c r="AE71" s="1010"/>
      <c r="AF71" s="1010"/>
    </row>
    <row r="72" spans="2:32" x14ac:dyDescent="0.25">
      <c r="B72" s="1004" t="s">
        <v>757</v>
      </c>
      <c r="L72" s="1011"/>
      <c r="M72" s="1011"/>
      <c r="N72" s="1011"/>
      <c r="O72" s="1011"/>
      <c r="P72" s="1011"/>
      <c r="Q72" s="1011">
        <v>108476.64416000649</v>
      </c>
      <c r="R72" s="1011">
        <v>110192.09600596252</v>
      </c>
      <c r="S72" s="1011">
        <v>111757.06085875076</v>
      </c>
      <c r="T72" s="1011">
        <v>112957.53625941165</v>
      </c>
      <c r="U72" s="1011">
        <v>114303.47360797523</v>
      </c>
      <c r="V72" s="1011">
        <v>115868.22692866446</v>
      </c>
      <c r="AA72" s="1011">
        <v>110141.0303950759</v>
      </c>
      <c r="AB72" s="1011">
        <v>115575.54072397825</v>
      </c>
      <c r="AC72" s="1011">
        <v>120311.44498021886</v>
      </c>
      <c r="AD72" s="1011">
        <v>124246.90251400704</v>
      </c>
      <c r="AE72" s="1011">
        <v>125446.61400608857</v>
      </c>
      <c r="AF72" s="1011">
        <v>130510.41122626745</v>
      </c>
    </row>
    <row r="73" spans="2:32" x14ac:dyDescent="0.25">
      <c r="B73" s="1004" t="s">
        <v>758</v>
      </c>
      <c r="C73" s="1031">
        <f>'IS Drivers'!P41</f>
        <v>88423</v>
      </c>
      <c r="D73" s="1031">
        <f>'IS Drivers'!Q41</f>
        <v>88787</v>
      </c>
      <c r="E73" s="1031">
        <f>'IS Drivers'!R41</f>
        <v>90414</v>
      </c>
      <c r="F73" s="1031">
        <f>'IS Drivers'!S41</f>
        <v>92232</v>
      </c>
      <c r="G73" s="1031">
        <f>'IS Drivers'!T41</f>
        <v>93525</v>
      </c>
      <c r="H73" s="1031">
        <f>'IS Drivers'!U41</f>
        <v>95086</v>
      </c>
      <c r="I73" s="1031">
        <f>'IS Drivers'!V41</f>
        <v>96312</v>
      </c>
      <c r="J73" s="1031">
        <f>'IS Drivers'!W41</f>
        <v>98052</v>
      </c>
      <c r="K73" s="1031">
        <f>'IS Drivers'!X41</f>
        <v>99272</v>
      </c>
      <c r="L73" s="1031">
        <f>'IS Drivers'!Y41</f>
        <v>100610</v>
      </c>
      <c r="M73" s="1031">
        <f>'IS Drivers'!Z41</f>
        <v>102185</v>
      </c>
      <c r="N73" s="1031">
        <f>'IS Drivers'!AA41</f>
        <v>104118</v>
      </c>
      <c r="O73" s="1031">
        <f>'IS Drivers'!AB41</f>
        <v>105455</v>
      </c>
      <c r="P73" s="1031">
        <f>'IS Drivers'!AC41</f>
        <v>107284</v>
      </c>
      <c r="Q73" s="1031">
        <f>'IS Drivers'!AD41</f>
        <v>114063</v>
      </c>
      <c r="R73" s="1031">
        <f>'IS Drivers'!AE41</f>
        <v>115595.33624277457</v>
      </c>
      <c r="S73" s="1031">
        <f>'IS Drivers'!AF41</f>
        <v>116866.84874277457</v>
      </c>
      <c r="T73" s="1031">
        <f>'IS Drivers'!AG41</f>
        <v>118365.82874277455</v>
      </c>
      <c r="U73" s="1031">
        <f>'IS Drivers'!AH41</f>
        <v>120206.41874277455</v>
      </c>
      <c r="V73" s="1031">
        <f>'IS Drivers'!AI41</f>
        <v>122095.92070173411</v>
      </c>
      <c r="X73" s="1031">
        <f>'IS Drivers'!AN41</f>
        <v>92232</v>
      </c>
      <c r="Y73" s="1031">
        <f>'IS Drivers'!AO41</f>
        <v>98052</v>
      </c>
      <c r="Z73" s="1031">
        <f>'IS Drivers'!AP41</f>
        <v>104118</v>
      </c>
      <c r="AA73" s="1031">
        <f>'IS Drivers'!AQ41</f>
        <v>115595.33624277457</v>
      </c>
      <c r="AB73" s="1031">
        <f>'IS Drivers'!AR41</f>
        <v>122095.92070173411</v>
      </c>
      <c r="AC73" s="1031">
        <f>'IS Drivers'!AS41</f>
        <v>128488.20614592484</v>
      </c>
      <c r="AD73" s="1031">
        <f>'IS Drivers'!AT41</f>
        <v>0</v>
      </c>
      <c r="AE73" s="1031">
        <f>'IS Drivers'!AU41</f>
        <v>0</v>
      </c>
      <c r="AF73" s="1031">
        <f>'IS Drivers'!AV41</f>
        <v>0</v>
      </c>
    </row>
    <row r="74" spans="2:32" x14ac:dyDescent="0.25">
      <c r="B74" s="1129" t="s">
        <v>763</v>
      </c>
      <c r="L74" s="1015"/>
      <c r="M74" s="1015"/>
      <c r="N74" s="1015"/>
      <c r="O74" s="1015"/>
      <c r="P74" s="1015"/>
      <c r="Q74" s="1017">
        <f t="shared" ref="Q74:V74" si="91">IFERROR(IF(Q72&gt;=0,Q73/Q72-1,1-Q73/Q72), "n.a.")</f>
        <v>5.1498236171036549E-2</v>
      </c>
      <c r="R74" s="1017">
        <f t="shared" si="91"/>
        <v>4.9034735091341597E-2</v>
      </c>
      <c r="S74" s="1017">
        <f t="shared" si="91"/>
        <v>4.5722282285877602E-2</v>
      </c>
      <c r="T74" s="1017">
        <f t="shared" si="91"/>
        <v>4.7878987648442894E-2</v>
      </c>
      <c r="U74" s="1017">
        <f t="shared" si="91"/>
        <v>5.1642744953180886E-2</v>
      </c>
      <c r="V74" s="1017">
        <f t="shared" si="91"/>
        <v>5.3748071737593772E-2</v>
      </c>
      <c r="W74" s="1017"/>
      <c r="X74" s="1017"/>
      <c r="Y74" s="1017"/>
      <c r="Z74" s="1017"/>
      <c r="AA74" s="1017">
        <f t="shared" ref="AA74:AE74" si="92">IFERROR(IF(AA72&gt;=0,AA73/AA72-1,1-AA73/AA72), "n.a.")</f>
        <v>4.9521107875367454E-2</v>
      </c>
      <c r="AB74" s="1017">
        <f t="shared" si="92"/>
        <v>5.6416608020273706E-2</v>
      </c>
      <c r="AC74" s="1017">
        <f t="shared" si="92"/>
        <v>6.796328617822156E-2</v>
      </c>
      <c r="AD74" s="1017">
        <f t="shared" si="92"/>
        <v>-1</v>
      </c>
      <c r="AE74" s="1017">
        <f t="shared" si="92"/>
        <v>-1</v>
      </c>
      <c r="AF74" s="1017">
        <f t="shared" ref="AF74" si="93">IFERROR(IF(AF72&gt;=0,AF73/AF72-1,1-AF73/AF72), "n.a.")</f>
        <v>-1</v>
      </c>
    </row>
    <row r="75" spans="2:32" x14ac:dyDescent="0.25">
      <c r="B75" s="1130" t="s">
        <v>930</v>
      </c>
      <c r="C75" s="1010"/>
      <c r="D75" s="1010"/>
      <c r="E75" s="1010"/>
      <c r="F75" s="1010"/>
      <c r="G75" s="1010"/>
      <c r="H75" s="1010"/>
      <c r="I75" s="1010"/>
      <c r="J75" s="1010"/>
      <c r="K75" s="1010"/>
      <c r="L75" s="1010"/>
      <c r="M75" s="1010"/>
      <c r="N75" s="1010"/>
      <c r="O75" s="1010"/>
      <c r="P75" s="1010"/>
      <c r="Q75" s="1010"/>
      <c r="R75" s="1010"/>
      <c r="S75" s="1010"/>
      <c r="T75" s="1010"/>
      <c r="U75" s="1010"/>
      <c r="V75" s="1010"/>
      <c r="X75" s="1010"/>
      <c r="Y75" s="1010"/>
      <c r="Z75" s="1010"/>
      <c r="AA75" s="1010"/>
      <c r="AB75" s="1010"/>
      <c r="AC75" s="1010"/>
      <c r="AD75" s="1010"/>
      <c r="AE75" s="1010"/>
      <c r="AF75" s="1010"/>
    </row>
    <row r="76" spans="2:32" x14ac:dyDescent="0.25">
      <c r="B76" s="1004" t="s">
        <v>757</v>
      </c>
      <c r="L76" s="1015"/>
      <c r="M76" s="1015"/>
      <c r="N76" s="1015"/>
      <c r="O76" s="1015"/>
      <c r="P76" s="1015"/>
      <c r="Q76" s="1132">
        <v>44.096735292101307</v>
      </c>
      <c r="R76" s="1132">
        <v>44.002916396488324</v>
      </c>
      <c r="S76" s="1132">
        <v>43.770445838511868</v>
      </c>
      <c r="T76" s="1132">
        <v>44.140556992088094</v>
      </c>
      <c r="U76" s="1132">
        <v>44.706578785101883</v>
      </c>
      <c r="V76" s="1132">
        <v>44.645787358639986</v>
      </c>
      <c r="W76" s="1017"/>
      <c r="X76" s="1017"/>
      <c r="Y76" s="1017"/>
      <c r="Z76" s="1017"/>
      <c r="AA76" s="1132">
        <v>43.722948154341069</v>
      </c>
      <c r="AB76" s="1132">
        <v>44.131061099609099</v>
      </c>
      <c r="AC76" s="1132">
        <v>44.531698181586478</v>
      </c>
      <c r="AD76" s="1132">
        <v>44.898541134016916</v>
      </c>
      <c r="AE76" s="1132">
        <v>45.439712494097051</v>
      </c>
      <c r="AF76" s="1132">
        <v>45.937121329193495</v>
      </c>
    </row>
    <row r="77" spans="2:32" x14ac:dyDescent="0.25">
      <c r="B77" s="1004" t="s">
        <v>758</v>
      </c>
      <c r="L77" s="1015"/>
      <c r="M77" s="1015"/>
      <c r="N77" s="1015"/>
      <c r="O77" s="1015"/>
      <c r="P77" s="1015"/>
      <c r="Q77" s="1132">
        <f>'IS Drivers'!AD126</f>
        <v>44.822533548380299</v>
      </c>
      <c r="R77" s="1132">
        <f>'IS Drivers'!AE126</f>
        <v>44.126635636551264</v>
      </c>
      <c r="S77" s="1132">
        <f>'IS Drivers'!AF126</f>
        <v>43.823431282627467</v>
      </c>
      <c r="T77" s="1132">
        <f>'IS Drivers'!AG126</f>
        <v>44.781914711368387</v>
      </c>
      <c r="U77" s="1132">
        <f>'IS Drivers'!AH126</f>
        <v>45.274284610437206</v>
      </c>
      <c r="V77" s="1132">
        <f>'IS Drivers'!AI126</f>
        <v>44.845520038653575</v>
      </c>
      <c r="W77" s="1017"/>
      <c r="X77" s="1282">
        <f>'IS Drivers'!AN126</f>
        <v>42.542408997841335</v>
      </c>
      <c r="Y77" s="1282">
        <f>'IS Drivers'!AO126</f>
        <v>42.648532369160485</v>
      </c>
      <c r="Z77" s="1282">
        <f>'IS Drivers'!AP126</f>
        <v>43.148505383258311</v>
      </c>
      <c r="AA77" s="1282">
        <f>'IS Drivers'!AQ126</f>
        <v>43.810930774668712</v>
      </c>
      <c r="AB77" s="1282">
        <f>'IS Drivers'!AR126</f>
        <v>44.583910117998336</v>
      </c>
      <c r="AC77" s="1282">
        <f>'IS Drivers'!AS126</f>
        <v>45.259907094878457</v>
      </c>
      <c r="AD77" s="1282">
        <f>'IS Drivers'!AT126</f>
        <v>0</v>
      </c>
      <c r="AE77" s="1282">
        <f>'IS Drivers'!AU126</f>
        <v>0</v>
      </c>
      <c r="AF77" s="1282">
        <f>'IS Drivers'!AV126</f>
        <v>0</v>
      </c>
    </row>
    <row r="78" spans="2:32" x14ac:dyDescent="0.25">
      <c r="B78" s="1129" t="s">
        <v>763</v>
      </c>
      <c r="L78" s="1015"/>
      <c r="M78" s="1015"/>
      <c r="N78" s="1015"/>
      <c r="O78" s="1015"/>
      <c r="P78" s="1015"/>
      <c r="Q78" s="1017">
        <f t="shared" ref="Q78:V78" si="94">IFERROR(IF(Q76&gt;=0,Q77/Q76-1,1-Q77/Q76), "n.a.")</f>
        <v>1.6459228817535587E-2</v>
      </c>
      <c r="R78" s="1017">
        <f t="shared" si="94"/>
        <v>2.8116145518213287E-3</v>
      </c>
      <c r="S78" s="1017">
        <f t="shared" si="94"/>
        <v>1.21053014426864E-3</v>
      </c>
      <c r="T78" s="1017">
        <f t="shared" si="94"/>
        <v>1.4529896380674368E-2</v>
      </c>
      <c r="U78" s="1017">
        <f t="shared" si="94"/>
        <v>1.269848511701599E-2</v>
      </c>
      <c r="V78" s="1017">
        <f t="shared" si="94"/>
        <v>4.4737183915950496E-3</v>
      </c>
      <c r="W78" s="1017"/>
      <c r="X78" s="1017"/>
      <c r="Y78" s="1017"/>
      <c r="Z78" s="1017"/>
      <c r="AA78" s="1017">
        <f t="shared" ref="AA78:AF78" si="95">IFERROR(IF(AA76&gt;=0,AA77/AA76-1,1-AA77/AA76), "n.a.")</f>
        <v>2.0122755679023996E-3</v>
      </c>
      <c r="AB78" s="1017">
        <f t="shared" si="95"/>
        <v>1.0261457737603452E-2</v>
      </c>
      <c r="AC78" s="1017">
        <f t="shared" si="95"/>
        <v>1.6352596982099454E-2</v>
      </c>
      <c r="AD78" s="1017">
        <f t="shared" si="95"/>
        <v>-1</v>
      </c>
      <c r="AE78" s="1017">
        <f t="shared" si="95"/>
        <v>-1</v>
      </c>
      <c r="AF78" s="1017">
        <f t="shared" si="95"/>
        <v>-1</v>
      </c>
    </row>
    <row r="79" spans="2:32" x14ac:dyDescent="0.25">
      <c r="B79" s="1130" t="s">
        <v>156</v>
      </c>
      <c r="C79" s="1010"/>
      <c r="D79" s="1010"/>
      <c r="E79" s="1010"/>
      <c r="F79" s="1010"/>
      <c r="G79" s="1010"/>
      <c r="H79" s="1010"/>
      <c r="I79" s="1010"/>
      <c r="J79" s="1010"/>
      <c r="K79" s="1010"/>
      <c r="L79" s="1010"/>
      <c r="M79" s="1010"/>
      <c r="N79" s="1010"/>
      <c r="O79" s="1010"/>
      <c r="P79" s="1010"/>
      <c r="Q79" s="1010"/>
      <c r="R79" s="1010"/>
      <c r="S79" s="1010"/>
      <c r="T79" s="1010"/>
      <c r="U79" s="1010"/>
      <c r="V79" s="1010"/>
      <c r="X79" s="1010"/>
      <c r="Y79" s="1010"/>
      <c r="Z79" s="1010"/>
      <c r="AA79" s="1010"/>
      <c r="AB79" s="1010"/>
      <c r="AC79" s="1010"/>
      <c r="AD79" s="1010"/>
      <c r="AE79" s="1010"/>
      <c r="AF79" s="1010"/>
    </row>
    <row r="80" spans="2:32" x14ac:dyDescent="0.25">
      <c r="B80" s="1004" t="s">
        <v>757</v>
      </c>
      <c r="L80" s="1011"/>
      <c r="M80" s="1011"/>
      <c r="N80" s="1011"/>
      <c r="O80" s="1011"/>
      <c r="P80" s="1011"/>
      <c r="Q80" s="1028">
        <v>149.92282601099697</v>
      </c>
      <c r="R80" s="1028">
        <v>150.53788447838241</v>
      </c>
      <c r="S80" s="1028">
        <v>150.07824604965396</v>
      </c>
      <c r="T80" s="1028">
        <v>151.58260713660567</v>
      </c>
      <c r="U80" s="1028">
        <v>153.86924213780267</v>
      </c>
      <c r="V80" s="1028">
        <v>154.25479540706473</v>
      </c>
      <c r="AA80" s="1028">
        <v>148.25761097653722</v>
      </c>
      <c r="AB80" s="1028">
        <v>151.86218406734091</v>
      </c>
      <c r="AC80" s="1028">
        <v>155.23361590620894</v>
      </c>
      <c r="AD80" s="1028">
        <v>158.30206534216799</v>
      </c>
      <c r="AE80" s="1028">
        <v>161.25574049744404</v>
      </c>
      <c r="AF80" s="1028">
        <v>167.48092168053955</v>
      </c>
    </row>
    <row r="81" spans="2:32" x14ac:dyDescent="0.25">
      <c r="B81" s="1004" t="s">
        <v>758</v>
      </c>
      <c r="C81" s="1132">
        <f>'IS Drivers'!P112</f>
        <v>136.53</v>
      </c>
      <c r="D81" s="1132">
        <f>'IS Drivers'!Q112</f>
        <v>137.91999999999999</v>
      </c>
      <c r="E81" s="1132">
        <f>'IS Drivers'!R112</f>
        <v>137.49</v>
      </c>
      <c r="F81" s="1132">
        <f>'IS Drivers'!S112</f>
        <v>137.78</v>
      </c>
      <c r="G81" s="1132">
        <f>'IS Drivers'!T112</f>
        <v>138.04</v>
      </c>
      <c r="H81" s="1132">
        <f>'IS Drivers'!U112</f>
        <v>138.94</v>
      </c>
      <c r="I81" s="1132">
        <f>'IS Drivers'!V112</f>
        <v>139.83000000000001</v>
      </c>
      <c r="J81" s="1132">
        <f>'IS Drivers'!W112</f>
        <v>140.22999999999999</v>
      </c>
      <c r="K81" s="1132">
        <f>'IS Drivers'!X112</f>
        <v>140.88</v>
      </c>
      <c r="L81" s="1132">
        <f>'IS Drivers'!Y112</f>
        <v>142.54</v>
      </c>
      <c r="M81" s="1132">
        <f>'IS Drivers'!Z112</f>
        <v>145.6</v>
      </c>
      <c r="N81" s="1132">
        <f>'IS Drivers'!AA112</f>
        <v>146.28</v>
      </c>
      <c r="O81" s="1132">
        <f>'IS Drivers'!AB112</f>
        <v>146.22</v>
      </c>
      <c r="P81" s="1132">
        <f>'IS Drivers'!AC112</f>
        <v>149.87</v>
      </c>
      <c r="Q81" s="1132">
        <f>'IS Drivers'!AD112</f>
        <v>149.44</v>
      </c>
      <c r="R81" s="1132">
        <f>'IS Drivers'!AE112</f>
        <v>148.66444893554325</v>
      </c>
      <c r="S81" s="1132">
        <f>'IS Drivers'!AF112</f>
        <v>148.4823299439154</v>
      </c>
      <c r="T81" s="1132">
        <f>'IS Drivers'!AG112</f>
        <v>152.37414571975449</v>
      </c>
      <c r="U81" s="1132">
        <f>'IS Drivers'!AH112</f>
        <v>153.25919294430088</v>
      </c>
      <c r="V81" s="1132">
        <f>'IS Drivers'!AI112</f>
        <v>151.27668692479605</v>
      </c>
      <c r="X81" s="1132">
        <f>'IS Drivers'!AN112</f>
        <v>137.43</v>
      </c>
      <c r="Y81" s="1132">
        <f>'IS Drivers'!AO112</f>
        <v>139.27000000000001</v>
      </c>
      <c r="Z81" s="1132">
        <f>'IS Drivers'!AP112</f>
        <v>143.85</v>
      </c>
      <c r="AA81" s="1132">
        <f>'IS Drivers'!AQ112</f>
        <v>147.90273404101802</v>
      </c>
      <c r="AB81" s="1132">
        <f>'IS Drivers'!AR112</f>
        <v>150.84160133167566</v>
      </c>
      <c r="AC81" s="1132">
        <f>'IS Drivers'!AS112</f>
        <v>153.08502268983662</v>
      </c>
      <c r="AD81" s="1132">
        <f>'IS Drivers'!AT112</f>
        <v>0</v>
      </c>
      <c r="AE81" s="1132">
        <f>'IS Drivers'!AU112</f>
        <v>0</v>
      </c>
      <c r="AF81" s="1132">
        <f>'IS Drivers'!AV112</f>
        <v>0</v>
      </c>
    </row>
    <row r="82" spans="2:32" x14ac:dyDescent="0.25">
      <c r="B82" s="1129" t="s">
        <v>763</v>
      </c>
      <c r="L82" s="1015"/>
      <c r="M82" s="1015"/>
      <c r="N82" s="1015"/>
      <c r="O82" s="1015"/>
      <c r="P82" s="1015"/>
      <c r="Q82" s="1017">
        <f t="shared" ref="Q82:V82" si="96">IFERROR(IF(Q80&gt;=0,Q81/Q80-1,1-Q81/Q80), "n.a.")</f>
        <v>-3.2204969973121944E-3</v>
      </c>
      <c r="R82" s="1017">
        <f t="shared" si="96"/>
        <v>-1.2444944004166514E-2</v>
      </c>
      <c r="S82" s="1017">
        <f t="shared" si="96"/>
        <v>-1.0633893637126746E-2</v>
      </c>
      <c r="T82" s="1017">
        <f t="shared" si="96"/>
        <v>5.2218298530481988E-3</v>
      </c>
      <c r="U82" s="1017">
        <f t="shared" si="96"/>
        <v>-3.9647247560721244E-3</v>
      </c>
      <c r="V82" s="1017">
        <f t="shared" si="96"/>
        <v>-1.9306423987725752E-2</v>
      </c>
      <c r="W82" s="1017"/>
      <c r="X82" s="1017"/>
      <c r="Y82" s="1017"/>
      <c r="Z82" s="1017"/>
      <c r="AA82" s="1017">
        <f t="shared" ref="AA82:AE82" si="97">IFERROR(IF(AA80&gt;=0,AA81/AA80-1,1-AA81/AA80), "n.a.")</f>
        <v>-2.3936507082619185E-3</v>
      </c>
      <c r="AB82" s="1017">
        <f t="shared" si="97"/>
        <v>-6.7204534290952189E-3</v>
      </c>
      <c r="AC82" s="1017">
        <f t="shared" si="97"/>
        <v>-1.3841030525697962E-2</v>
      </c>
      <c r="AD82" s="1017">
        <f t="shared" si="97"/>
        <v>-1</v>
      </c>
      <c r="AE82" s="1017">
        <f t="shared" si="97"/>
        <v>-1</v>
      </c>
      <c r="AF82" s="1017">
        <f t="shared" ref="AF82" si="98">IFERROR(IF(AF80&gt;=0,AF81/AF80-1,1-AF81/AF80), "n.a.")</f>
        <v>-1</v>
      </c>
    </row>
    <row r="83" spans="2:32" x14ac:dyDescent="0.25">
      <c r="B83" s="1130" t="s">
        <v>893</v>
      </c>
      <c r="C83" s="1010"/>
      <c r="D83" s="1010"/>
      <c r="E83" s="1010"/>
      <c r="F83" s="1010"/>
      <c r="G83" s="1010"/>
      <c r="H83" s="1010"/>
      <c r="I83" s="1010"/>
      <c r="J83" s="1010"/>
      <c r="K83" s="1010"/>
      <c r="L83" s="1010"/>
      <c r="M83" s="1010"/>
      <c r="N83" s="1010"/>
      <c r="O83" s="1010"/>
      <c r="P83" s="1010"/>
      <c r="Q83" s="1010"/>
      <c r="R83" s="1010"/>
      <c r="S83" s="1010"/>
      <c r="T83" s="1010"/>
      <c r="U83" s="1010"/>
      <c r="V83" s="1010"/>
      <c r="X83" s="1010"/>
      <c r="Y83" s="1010"/>
      <c r="Z83" s="1010"/>
      <c r="AA83" s="1010"/>
      <c r="AB83" s="1010"/>
      <c r="AC83" s="1010"/>
      <c r="AD83" s="1010"/>
      <c r="AE83" s="1010"/>
      <c r="AF83" s="1010"/>
    </row>
    <row r="84" spans="2:32" x14ac:dyDescent="0.25">
      <c r="B84" s="1004" t="s">
        <v>757</v>
      </c>
      <c r="L84" s="1011"/>
      <c r="M84" s="1011"/>
      <c r="N84" s="1011"/>
      <c r="O84" s="1011"/>
      <c r="P84" s="1011"/>
      <c r="Q84" s="1011">
        <v>25303.093994627925</v>
      </c>
      <c r="R84" s="1011">
        <v>25387.310760594097</v>
      </c>
      <c r="S84" s="1011">
        <v>25616.998302163855</v>
      </c>
      <c r="T84" s="1011">
        <v>25691.22062636703</v>
      </c>
      <c r="U84" s="1011">
        <v>25750.336589771909</v>
      </c>
      <c r="V84" s="1011">
        <v>25829.803610453062</v>
      </c>
      <c r="AA84" s="1011">
        <v>25339.394626084213</v>
      </c>
      <c r="AB84" s="1011">
        <v>25601.875353820793</v>
      </c>
      <c r="AC84" s="1011">
        <v>25788.977813514193</v>
      </c>
      <c r="AD84" s="1011">
        <v>25842.967811847851</v>
      </c>
      <c r="AE84" s="1011">
        <v>25634.774395750574</v>
      </c>
      <c r="AF84" s="1011">
        <v>26235.700583792288</v>
      </c>
    </row>
    <row r="85" spans="2:32" x14ac:dyDescent="0.25">
      <c r="B85" s="1004" t="s">
        <v>758</v>
      </c>
      <c r="C85" s="1031">
        <f>'IS Drivers'!P145</f>
        <v>21118</v>
      </c>
      <c r="D85" s="1031">
        <f>'IS Drivers'!Q145</f>
        <v>21236</v>
      </c>
      <c r="E85" s="1031">
        <f>'IS Drivers'!R145</f>
        <v>21341</v>
      </c>
      <c r="F85" s="1031">
        <f>'IS Drivers'!S145</f>
        <v>21366</v>
      </c>
      <c r="G85" s="1031">
        <f>'IS Drivers'!T145</f>
        <v>21392</v>
      </c>
      <c r="H85" s="1031">
        <f>'IS Drivers'!U145</f>
        <v>21516</v>
      </c>
      <c r="I85" s="1031">
        <f>'IS Drivers'!V145</f>
        <v>21595</v>
      </c>
      <c r="J85" s="1031">
        <f>'IS Drivers'!W145</f>
        <v>21648</v>
      </c>
      <c r="K85" s="1031">
        <f>'IS Drivers'!X145</f>
        <v>21600</v>
      </c>
      <c r="L85" s="1031">
        <f>'IS Drivers'!Y145</f>
        <v>25283</v>
      </c>
      <c r="M85" s="1031">
        <f>'IS Drivers'!Z145</f>
        <v>25307</v>
      </c>
      <c r="N85" s="1031">
        <f>'IS Drivers'!AA145</f>
        <v>25410</v>
      </c>
      <c r="O85" s="1031">
        <f>'IS Drivers'!AB145</f>
        <v>25455</v>
      </c>
      <c r="P85" s="1031">
        <f>'IS Drivers'!AC145</f>
        <v>25494</v>
      </c>
      <c r="Q85" s="1031">
        <f>'IS Drivers'!AD145</f>
        <v>25886</v>
      </c>
      <c r="R85" s="1031">
        <f>'IS Drivers'!AE145</f>
        <v>25965.567293055672</v>
      </c>
      <c r="S85" s="1031">
        <f>'IS Drivers'!AF145</f>
        <v>25900.035621018331</v>
      </c>
      <c r="T85" s="1031">
        <f>'IS Drivers'!AG145</f>
        <v>25933.767719073036</v>
      </c>
      <c r="U85" s="1031">
        <f>'IS Drivers'!AH145</f>
        <v>26376.458005407141</v>
      </c>
      <c r="V85" s="1031">
        <f>'IS Drivers'!AI145</f>
        <v>26507.44694029852</v>
      </c>
      <c r="X85" s="1031">
        <f>'IS Drivers'!AN145</f>
        <v>21366</v>
      </c>
      <c r="Y85" s="1031">
        <f>'IS Drivers'!AO145</f>
        <v>21648</v>
      </c>
      <c r="Z85" s="1031">
        <f>'IS Drivers'!AP145</f>
        <v>25410</v>
      </c>
      <c r="AA85" s="1031">
        <f>'IS Drivers'!AQ145</f>
        <v>25965.567293055672</v>
      </c>
      <c r="AB85" s="1031">
        <f>'IS Drivers'!AR145</f>
        <v>26507.44694029852</v>
      </c>
      <c r="AC85" s="1031">
        <f>'IS Drivers'!AS145</f>
        <v>26992.672030087273</v>
      </c>
      <c r="AD85" s="1031">
        <f>'IS Drivers'!AT145</f>
        <v>0</v>
      </c>
      <c r="AE85" s="1031">
        <f>'IS Drivers'!AU145</f>
        <v>0</v>
      </c>
      <c r="AF85" s="1031">
        <f>'IS Drivers'!AV145</f>
        <v>0</v>
      </c>
    </row>
    <row r="86" spans="2:32" x14ac:dyDescent="0.25">
      <c r="B86" s="1129" t="s">
        <v>763</v>
      </c>
      <c r="L86" s="1015"/>
      <c r="M86" s="1015"/>
      <c r="N86" s="1015"/>
      <c r="O86" s="1015"/>
      <c r="P86" s="1015"/>
      <c r="Q86" s="1017">
        <f t="shared" ref="Q86:V86" si="99">IFERROR(IF(Q84&gt;=0,Q85/Q84-1,1-Q85/Q84), "n.a.")</f>
        <v>2.3036945817607624E-2</v>
      </c>
      <c r="R86" s="1017">
        <f t="shared" si="99"/>
        <v>2.2777384257616662E-2</v>
      </c>
      <c r="S86" s="1017">
        <f t="shared" si="99"/>
        <v>1.1048808900868234E-2</v>
      </c>
      <c r="T86" s="1017">
        <f t="shared" si="99"/>
        <v>9.440855155674388E-3</v>
      </c>
      <c r="U86" s="1017">
        <f t="shared" si="99"/>
        <v>2.4315076948700165E-2</v>
      </c>
      <c r="V86" s="1017">
        <f t="shared" si="99"/>
        <v>2.6234939299779381E-2</v>
      </c>
      <c r="W86" s="1017"/>
      <c r="X86" s="1017"/>
      <c r="Y86" s="1017"/>
      <c r="Z86" s="1017"/>
      <c r="AA86" s="1017">
        <f t="shared" ref="AA86:AE86" si="100">IFERROR(IF(AA84&gt;=0,AA85/AA84-1,1-AA85/AA84), "n.a.")</f>
        <v>2.4711429622193082E-2</v>
      </c>
      <c r="AB86" s="1017">
        <f t="shared" si="100"/>
        <v>3.5371298936606177E-2</v>
      </c>
      <c r="AC86" s="1017">
        <f t="shared" si="100"/>
        <v>4.6674754822671138E-2</v>
      </c>
      <c r="AD86" s="1017">
        <f t="shared" si="100"/>
        <v>-1</v>
      </c>
      <c r="AE86" s="1017">
        <f t="shared" si="100"/>
        <v>-1</v>
      </c>
      <c r="AF86" s="1017">
        <f t="shared" ref="AF86" si="101">IFERROR(IF(AF84&gt;=0,AF85/AF84-1,1-AF85/AF84), "n.a.")</f>
        <v>-1</v>
      </c>
    </row>
    <row r="87" spans="2:32" x14ac:dyDescent="0.25">
      <c r="B87" s="1130" t="s">
        <v>158</v>
      </c>
      <c r="C87" s="1010"/>
      <c r="D87" s="1010"/>
      <c r="E87" s="1010"/>
      <c r="F87" s="1010"/>
      <c r="G87" s="1010"/>
      <c r="H87" s="1010"/>
      <c r="I87" s="1010"/>
      <c r="J87" s="1010"/>
      <c r="K87" s="1010"/>
      <c r="L87" s="1010"/>
      <c r="M87" s="1010"/>
      <c r="N87" s="1010"/>
      <c r="O87" s="1010"/>
      <c r="P87" s="1010"/>
      <c r="Q87" s="1010"/>
      <c r="R87" s="1010"/>
      <c r="S87" s="1010"/>
      <c r="T87" s="1010"/>
      <c r="U87" s="1010"/>
      <c r="V87" s="1010"/>
      <c r="X87" s="1010"/>
      <c r="Y87" s="1010"/>
      <c r="Z87" s="1010"/>
      <c r="AA87" s="1010"/>
      <c r="AB87" s="1010"/>
      <c r="AC87" s="1010"/>
      <c r="AD87" s="1010"/>
      <c r="AE87" s="1010"/>
      <c r="AF87" s="1010"/>
    </row>
    <row r="88" spans="2:32" x14ac:dyDescent="0.25">
      <c r="B88" s="1004" t="s">
        <v>757</v>
      </c>
      <c r="L88" s="1011"/>
      <c r="M88" s="1011"/>
      <c r="N88" s="1011"/>
      <c r="O88" s="1011"/>
      <c r="P88" s="1011"/>
      <c r="Q88" s="1028">
        <v>35.250782290111282</v>
      </c>
      <c r="R88" s="1028">
        <v>35.113656103743971</v>
      </c>
      <c r="S88" s="1028">
        <v>34.594193339889415</v>
      </c>
      <c r="T88" s="1028">
        <v>34.817877512063475</v>
      </c>
      <c r="U88" s="1028">
        <v>34.840906314141492</v>
      </c>
      <c r="V88" s="1028">
        <v>34.720269801287316</v>
      </c>
      <c r="AA88" s="1028">
        <v>35.247986074294104</v>
      </c>
      <c r="AB88" s="1028">
        <v>35.337935515438126</v>
      </c>
      <c r="AC88" s="1028">
        <v>35.482595594883207</v>
      </c>
      <c r="AD88" s="1028">
        <v>36.23576754347058</v>
      </c>
      <c r="AE88" s="1028">
        <v>36.95285556381085</v>
      </c>
      <c r="AF88" s="1028">
        <v>37.351679837555345</v>
      </c>
    </row>
    <row r="89" spans="2:32" x14ac:dyDescent="0.25">
      <c r="B89" s="1004" t="s">
        <v>758</v>
      </c>
      <c r="C89" s="1132">
        <f>'IS Drivers'!P178</f>
        <v>39.19</v>
      </c>
      <c r="D89" s="1132">
        <f>'IS Drivers'!Q178</f>
        <v>38.71</v>
      </c>
      <c r="E89" s="1132">
        <f>'IS Drivers'!R178</f>
        <v>38.86</v>
      </c>
      <c r="F89" s="1132">
        <f>'IS Drivers'!S178</f>
        <v>38.29</v>
      </c>
      <c r="G89" s="1132">
        <f>'IS Drivers'!T178</f>
        <v>37.979999999999997</v>
      </c>
      <c r="H89" s="1132">
        <f>'IS Drivers'!U178</f>
        <v>37.979999999999997</v>
      </c>
      <c r="I89" s="1132">
        <f>'IS Drivers'!V178</f>
        <v>38.18</v>
      </c>
      <c r="J89" s="1132">
        <f>'IS Drivers'!W178</f>
        <v>37.549999999999997</v>
      </c>
      <c r="K89" s="1132">
        <f>'IS Drivers'!X178</f>
        <v>37.18</v>
      </c>
      <c r="L89" s="1132">
        <f>'IS Drivers'!Y178</f>
        <v>35.94</v>
      </c>
      <c r="M89" s="1132">
        <f>'IS Drivers'!Z178</f>
        <v>35.81</v>
      </c>
      <c r="N89" s="1132">
        <f>'IS Drivers'!AA178</f>
        <v>35.49</v>
      </c>
      <c r="O89" s="1132">
        <f>'IS Drivers'!AB178</f>
        <v>34.67</v>
      </c>
      <c r="P89" s="1132">
        <f>'IS Drivers'!AC178</f>
        <v>34.630000000000003</v>
      </c>
      <c r="Q89" s="1132">
        <f>'IS Drivers'!AD178</f>
        <v>33.93</v>
      </c>
      <c r="R89" s="1132">
        <f>'IS Drivers'!AE178</f>
        <v>33.476961769497926</v>
      </c>
      <c r="S89" s="1132">
        <f>'IS Drivers'!AF178</f>
        <v>32.870858028021708</v>
      </c>
      <c r="T89" s="1132">
        <f>'IS Drivers'!AG178</f>
        <v>32.99728805161665</v>
      </c>
      <c r="U89" s="1132">
        <f>'IS Drivers'!AH178</f>
        <v>32.49527762106527</v>
      </c>
      <c r="V89" s="1132">
        <f>'IS Drivers'!AI178</f>
        <v>32.223872397820138</v>
      </c>
      <c r="X89" s="1132">
        <f>'IS Drivers'!AN178</f>
        <v>38.76</v>
      </c>
      <c r="Y89" s="1132">
        <f>'IS Drivers'!AO178</f>
        <v>37.92</v>
      </c>
      <c r="Z89" s="1132">
        <f>'IS Drivers'!AP178</f>
        <v>36.06</v>
      </c>
      <c r="AA89" s="1132">
        <f>'IS Drivers'!AQ178</f>
        <v>34.110732519861038</v>
      </c>
      <c r="AB89" s="1132">
        <f>'IS Drivers'!AR178</f>
        <v>32.489087111666116</v>
      </c>
      <c r="AC89" s="1132">
        <f>'IS Drivers'!AS178</f>
        <v>30.944535733286838</v>
      </c>
      <c r="AD89" s="1132">
        <f>'IS Drivers'!AT178</f>
        <v>0</v>
      </c>
      <c r="AE89" s="1132">
        <f>'IS Drivers'!AU178</f>
        <v>0</v>
      </c>
      <c r="AF89" s="1132">
        <f>'IS Drivers'!AV178</f>
        <v>0</v>
      </c>
    </row>
    <row r="90" spans="2:32" x14ac:dyDescent="0.25">
      <c r="B90" s="1129" t="s">
        <v>763</v>
      </c>
      <c r="L90" s="1015"/>
      <c r="M90" s="1015"/>
      <c r="N90" s="1015"/>
      <c r="O90" s="1015"/>
      <c r="P90" s="1015"/>
      <c r="Q90" s="1017">
        <f t="shared" ref="Q90:V90" si="102">IFERROR(IF(Q88&gt;=0,Q89/Q88-1,1-Q89/Q88), "n.a.")</f>
        <v>-3.7468169620785807E-2</v>
      </c>
      <c r="R90" s="1017">
        <f t="shared" si="102"/>
        <v>-4.6611333476935579E-2</v>
      </c>
      <c r="S90" s="1017">
        <f t="shared" si="102"/>
        <v>-4.9815739159918104E-2</v>
      </c>
      <c r="T90" s="1017">
        <f t="shared" si="102"/>
        <v>-5.228892714140998E-2</v>
      </c>
      <c r="U90" s="1017">
        <f t="shared" si="102"/>
        <v>-6.7323986119274926E-2</v>
      </c>
      <c r="V90" s="1017">
        <f t="shared" si="102"/>
        <v>-7.1900288153135872E-2</v>
      </c>
      <c r="W90" s="1017"/>
      <c r="X90" s="1017"/>
      <c r="Y90" s="1017"/>
      <c r="Z90" s="1017"/>
      <c r="AA90" s="1017">
        <f t="shared" ref="AA90:AE90" si="103">IFERROR(IF(AA88&gt;=0,AA89/AA88-1,1-AA89/AA88), "n.a.")</f>
        <v>-3.2264355530441269E-2</v>
      </c>
      <c r="AB90" s="1017">
        <f t="shared" si="103"/>
        <v>-8.0617284575875359E-2</v>
      </c>
      <c r="AC90" s="1017">
        <f t="shared" si="103"/>
        <v>-0.12789537477497237</v>
      </c>
      <c r="AD90" s="1017">
        <f t="shared" si="103"/>
        <v>-1</v>
      </c>
      <c r="AE90" s="1017">
        <f t="shared" si="103"/>
        <v>-1</v>
      </c>
      <c r="AF90" s="1017">
        <f t="shared" ref="AF90" si="104">IFERROR(IF(AF88&gt;=0,AF89/AF88-1,1-AF89/AF88), "n.a.")</f>
        <v>-1</v>
      </c>
    </row>
    <row r="91" spans="2:32" x14ac:dyDescent="0.25">
      <c r="B91" s="1130" t="s">
        <v>894</v>
      </c>
      <c r="C91" s="1010"/>
      <c r="D91" s="1010"/>
      <c r="E91" s="1010"/>
      <c r="F91" s="1010"/>
      <c r="G91" s="1010"/>
      <c r="H91" s="1010"/>
      <c r="I91" s="1010"/>
      <c r="J91" s="1010"/>
      <c r="K91" s="1010"/>
      <c r="L91" s="1010"/>
      <c r="M91" s="1010"/>
      <c r="N91" s="1010"/>
      <c r="O91" s="1010"/>
      <c r="P91" s="1010"/>
      <c r="Q91" s="1010"/>
      <c r="R91" s="1010"/>
      <c r="S91" s="1010"/>
      <c r="T91" s="1010"/>
      <c r="U91" s="1010"/>
      <c r="V91" s="1010"/>
      <c r="X91" s="1010"/>
      <c r="Y91" s="1010"/>
      <c r="Z91" s="1010"/>
      <c r="AA91" s="1010"/>
      <c r="AB91" s="1010"/>
      <c r="AC91" s="1010"/>
      <c r="AD91" s="1010"/>
      <c r="AE91" s="1010"/>
      <c r="AF91" s="1010"/>
    </row>
    <row r="92" spans="2:32" x14ac:dyDescent="0.25">
      <c r="B92" s="1004" t="s">
        <v>757</v>
      </c>
      <c r="L92" s="1011"/>
      <c r="M92" s="1011"/>
      <c r="N92" s="1011"/>
      <c r="O92" s="1011"/>
      <c r="P92" s="1011"/>
      <c r="Q92" s="1011">
        <v>7598.9412980057323</v>
      </c>
      <c r="R92" s="1011">
        <v>7990.128422655981</v>
      </c>
      <c r="S92" s="1011">
        <v>8373.8065032601025</v>
      </c>
      <c r="T92" s="1011">
        <v>8725.3374741168082</v>
      </c>
      <c r="U92" s="1011">
        <v>9091.3956016426655</v>
      </c>
      <c r="V92" s="1011">
        <v>9453.4870555966318</v>
      </c>
      <c r="AA92" s="1011">
        <v>7990.128422655981</v>
      </c>
      <c r="AB92" s="1011">
        <v>9408.4451313430054</v>
      </c>
      <c r="AC92" s="1011">
        <v>10786.506622166427</v>
      </c>
      <c r="AD92" s="1011">
        <v>12024.7902293723</v>
      </c>
      <c r="AE92" s="1011">
        <v>12878.109171394948</v>
      </c>
      <c r="AF92" s="1011">
        <v>13657.249963844783</v>
      </c>
    </row>
    <row r="93" spans="2:32" x14ac:dyDescent="0.25">
      <c r="B93" s="1004" t="s">
        <v>758</v>
      </c>
      <c r="C93" s="1031">
        <f>'IS Drivers'!P20</f>
        <v>984</v>
      </c>
      <c r="D93" s="1031">
        <f>'IS Drivers'!Q20</f>
        <v>1544</v>
      </c>
      <c r="E93" s="1031">
        <f>'IS Drivers'!R20</f>
        <v>2122</v>
      </c>
      <c r="F93" s="1031">
        <f>'IS Drivers'!S20</f>
        <v>2646</v>
      </c>
      <c r="G93" s="1031">
        <f>'IS Drivers'!T20</f>
        <v>3169</v>
      </c>
      <c r="H93" s="1031">
        <f>'IS Drivers'!U20</f>
        <v>3678</v>
      </c>
      <c r="I93" s="1031">
        <f>'IS Drivers'!V20</f>
        <v>4235</v>
      </c>
      <c r="J93" s="1031">
        <f>'IS Drivers'!W20</f>
        <v>4776</v>
      </c>
      <c r="K93" s="1031">
        <f>'IS Drivers'!X20</f>
        <v>5181</v>
      </c>
      <c r="L93" s="1031">
        <f>'IS Drivers'!Y20</f>
        <v>5587</v>
      </c>
      <c r="M93" s="1031">
        <f>'IS Drivers'!Z20</f>
        <v>6002</v>
      </c>
      <c r="N93" s="1031">
        <f>'IS Drivers'!AA20</f>
        <v>6430</v>
      </c>
      <c r="O93" s="1031">
        <f>'IS Drivers'!AB20</f>
        <v>6854</v>
      </c>
      <c r="P93" s="1031">
        <f>'IS Drivers'!AC20</f>
        <v>7308</v>
      </c>
      <c r="Q93" s="1031">
        <f>'IS Drivers'!AD20</f>
        <v>7955</v>
      </c>
      <c r="R93" s="1031">
        <f>'IS Drivers'!AE20</f>
        <v>8365.8536000000004</v>
      </c>
      <c r="S93" s="1031">
        <f>'IS Drivers'!AF20</f>
        <v>8759.9302227348835</v>
      </c>
      <c r="T93" s="1031">
        <f>'IS Drivers'!AG20</f>
        <v>9142.6268729618696</v>
      </c>
      <c r="U93" s="1031">
        <f>'IS Drivers'!AH20</f>
        <v>9570.7614813241053</v>
      </c>
      <c r="V93" s="1031">
        <f>'IS Drivers'!AI20</f>
        <v>9962.5709077578776</v>
      </c>
      <c r="X93" s="1031">
        <f>'IS Drivers'!AN20</f>
        <v>2646</v>
      </c>
      <c r="Y93" s="1031">
        <f>'IS Drivers'!AO20</f>
        <v>4776</v>
      </c>
      <c r="Z93" s="1031">
        <f>'IS Drivers'!AP20</f>
        <v>6430</v>
      </c>
      <c r="AA93" s="1031">
        <f>'IS Drivers'!AQ20</f>
        <v>8365.8536000000004</v>
      </c>
      <c r="AB93" s="1031">
        <f>'IS Drivers'!AR20</f>
        <v>9962.5709077578776</v>
      </c>
      <c r="AC93" s="1031">
        <f>'IS Drivers'!AS20</f>
        <v>11490.170929313472</v>
      </c>
      <c r="AD93" s="1031">
        <f>'IS Drivers'!AT20</f>
        <v>0</v>
      </c>
      <c r="AE93" s="1031">
        <f>'IS Drivers'!AU20</f>
        <v>0</v>
      </c>
      <c r="AF93" s="1031">
        <f>'IS Drivers'!AV20</f>
        <v>0</v>
      </c>
    </row>
    <row r="94" spans="2:32" x14ac:dyDescent="0.25">
      <c r="B94" s="1129" t="s">
        <v>763</v>
      </c>
      <c r="L94" s="1015"/>
      <c r="M94" s="1015"/>
      <c r="N94" s="1015"/>
      <c r="O94" s="1015"/>
      <c r="P94" s="1015"/>
      <c r="Q94" s="1017">
        <f t="shared" ref="Q94:V94" si="105">IFERROR(IF(Q92&gt;=0,Q93/Q92-1,1-Q93/Q92), "n.a.")</f>
        <v>4.6856356435825086E-2</v>
      </c>
      <c r="R94" s="1017">
        <f t="shared" si="105"/>
        <v>4.7023671894766084E-2</v>
      </c>
      <c r="S94" s="1017">
        <f t="shared" si="105"/>
        <v>4.6110895842226052E-2</v>
      </c>
      <c r="T94" s="1017">
        <f t="shared" si="105"/>
        <v>4.7825015374239221E-2</v>
      </c>
      <c r="U94" s="1017">
        <f t="shared" si="105"/>
        <v>5.272742499455485E-2</v>
      </c>
      <c r="V94" s="1017">
        <f t="shared" si="105"/>
        <v>5.3851435895271971E-2</v>
      </c>
      <c r="W94" s="1017"/>
      <c r="X94" s="1017"/>
      <c r="Y94" s="1017"/>
      <c r="Z94" s="1017"/>
      <c r="AA94" s="1017">
        <f t="shared" ref="AA94:AE94" si="106">IFERROR(IF(AA92&gt;=0,AA93/AA92-1,1-AA93/AA92), "n.a.")</f>
        <v>4.7023671894766084E-2</v>
      </c>
      <c r="AB94" s="1017">
        <f t="shared" si="106"/>
        <v>5.8896636870302332E-2</v>
      </c>
      <c r="AC94" s="1017">
        <f t="shared" si="106"/>
        <v>6.5235607022296138E-2</v>
      </c>
      <c r="AD94" s="1017">
        <f t="shared" si="106"/>
        <v>-1</v>
      </c>
      <c r="AE94" s="1017">
        <f t="shared" si="106"/>
        <v>-1</v>
      </c>
      <c r="AF94" s="1017">
        <f t="shared" ref="AF94" si="107">IFERROR(IF(AF92&gt;=0,AF93/AF92-1,1-AF93/AF92), "n.a.")</f>
        <v>-1</v>
      </c>
    </row>
  </sheetData>
  <conditionalFormatting sqref="Q8:V8">
    <cfRule type="cellIs" dxfId="145" priority="47" operator="greaterThan">
      <formula>0</formula>
    </cfRule>
    <cfRule type="cellIs" dxfId="144" priority="48" operator="lessThan">
      <formula>0</formula>
    </cfRule>
  </conditionalFormatting>
  <conditionalFormatting sqref="Q12:V12">
    <cfRule type="cellIs" dxfId="143" priority="45" operator="greaterThan">
      <formula>0</formula>
    </cfRule>
    <cfRule type="cellIs" dxfId="142" priority="46" operator="lessThan">
      <formula>0</formula>
    </cfRule>
  </conditionalFormatting>
  <conditionalFormatting sqref="Q16:AF16">
    <cfRule type="cellIs" dxfId="141" priority="39" operator="greaterThan">
      <formula>0</formula>
    </cfRule>
    <cfRule type="cellIs" dxfId="140" priority="40" operator="lessThan">
      <formula>0</formula>
    </cfRule>
  </conditionalFormatting>
  <conditionalFormatting sqref="Q20:AF20">
    <cfRule type="cellIs" dxfId="139" priority="41" operator="greaterThan">
      <formula>0</formula>
    </cfRule>
    <cfRule type="cellIs" dxfId="138" priority="42" operator="lessThan">
      <formula>0</formula>
    </cfRule>
  </conditionalFormatting>
  <conditionalFormatting sqref="Q24:AF24">
    <cfRule type="cellIs" dxfId="137" priority="37" operator="greaterThan">
      <formula>0</formula>
    </cfRule>
    <cfRule type="cellIs" dxfId="136" priority="38" operator="lessThan">
      <formula>0</formula>
    </cfRule>
  </conditionalFormatting>
  <conditionalFormatting sqref="Q28:AF28">
    <cfRule type="cellIs" dxfId="135" priority="35" operator="greaterThan">
      <formula>0</formula>
    </cfRule>
    <cfRule type="cellIs" dxfId="134" priority="36" operator="lessThan">
      <formula>0</formula>
    </cfRule>
  </conditionalFormatting>
  <conditionalFormatting sqref="Q32:AF32">
    <cfRule type="cellIs" dxfId="133" priority="33" operator="greaterThan">
      <formula>0</formula>
    </cfRule>
    <cfRule type="cellIs" dxfId="132" priority="34" operator="lessThan">
      <formula>0</formula>
    </cfRule>
  </conditionalFormatting>
  <conditionalFormatting sqref="Q36:AF36">
    <cfRule type="cellIs" dxfId="131" priority="31" operator="greaterThan">
      <formula>0</formula>
    </cfRule>
    <cfRule type="cellIs" dxfId="130" priority="32" operator="lessThan">
      <formula>0</formula>
    </cfRule>
  </conditionalFormatting>
  <conditionalFormatting sqref="Q40:AF40">
    <cfRule type="cellIs" dxfId="129" priority="29" operator="greaterThan">
      <formula>0</formula>
    </cfRule>
    <cfRule type="cellIs" dxfId="128" priority="30" operator="lessThan">
      <formula>0</formula>
    </cfRule>
  </conditionalFormatting>
  <conditionalFormatting sqref="Q44:AF44">
    <cfRule type="cellIs" dxfId="127" priority="27" operator="greaterThan">
      <formula>0</formula>
    </cfRule>
    <cfRule type="cellIs" dxfId="126" priority="28" operator="lessThan">
      <formula>0</formula>
    </cfRule>
  </conditionalFormatting>
  <conditionalFormatting sqref="Q48:AF48">
    <cfRule type="cellIs" dxfId="125" priority="25" operator="greaterThan">
      <formula>0</formula>
    </cfRule>
    <cfRule type="cellIs" dxfId="124" priority="26" operator="lessThan">
      <formula>0</formula>
    </cfRule>
  </conditionalFormatting>
  <conditionalFormatting sqref="Q52:AF52">
    <cfRule type="cellIs" dxfId="123" priority="23" operator="greaterThan">
      <formula>0</formula>
    </cfRule>
    <cfRule type="cellIs" dxfId="122" priority="24" operator="lessThan">
      <formula>0</formula>
    </cfRule>
  </conditionalFormatting>
  <conditionalFormatting sqref="Q56:AF56">
    <cfRule type="cellIs" dxfId="121" priority="21" operator="greaterThan">
      <formula>0</formula>
    </cfRule>
    <cfRule type="cellIs" dxfId="120" priority="22" operator="lessThan">
      <formula>0</formula>
    </cfRule>
  </conditionalFormatting>
  <conditionalFormatting sqref="Q60:AF60">
    <cfRule type="cellIs" dxfId="119" priority="19" operator="greaterThan">
      <formula>0</formula>
    </cfRule>
    <cfRule type="cellIs" dxfId="118" priority="20" operator="lessThan">
      <formula>0</formula>
    </cfRule>
  </conditionalFormatting>
  <conditionalFormatting sqref="Q66:AF66">
    <cfRule type="cellIs" dxfId="117" priority="17" operator="greaterThan">
      <formula>0</formula>
    </cfRule>
    <cfRule type="cellIs" dxfId="116" priority="18" operator="lessThan">
      <formula>0</formula>
    </cfRule>
  </conditionalFormatting>
  <conditionalFormatting sqref="Q70:AF70">
    <cfRule type="cellIs" dxfId="115" priority="15" operator="greaterThan">
      <formula>0</formula>
    </cfRule>
    <cfRule type="cellIs" dxfId="114" priority="16" operator="lessThan">
      <formula>0</formula>
    </cfRule>
  </conditionalFormatting>
  <conditionalFormatting sqref="Q74:AF74 W76:Z76 W77">
    <cfRule type="cellIs" dxfId="113" priority="13" operator="greaterThan">
      <formula>0</formula>
    </cfRule>
    <cfRule type="cellIs" dxfId="112" priority="14" operator="lessThan">
      <formula>0</formula>
    </cfRule>
  </conditionalFormatting>
  <conditionalFormatting sqref="Q78:AF78">
    <cfRule type="cellIs" dxfId="111" priority="1" operator="greaterThan">
      <formula>0</formula>
    </cfRule>
    <cfRule type="cellIs" dxfId="110" priority="2" operator="lessThan">
      <formula>0</formula>
    </cfRule>
  </conditionalFormatting>
  <conditionalFormatting sqref="Q82:AF82">
    <cfRule type="cellIs" dxfId="109" priority="11" operator="greaterThan">
      <formula>0</formula>
    </cfRule>
    <cfRule type="cellIs" dxfId="108" priority="12" operator="lessThan">
      <formula>0</formula>
    </cfRule>
  </conditionalFormatting>
  <conditionalFormatting sqref="Q86:AF86">
    <cfRule type="cellIs" dxfId="107" priority="9" operator="greaterThan">
      <formula>0</formula>
    </cfRule>
    <cfRule type="cellIs" dxfId="106" priority="10" operator="lessThan">
      <formula>0</formula>
    </cfRule>
  </conditionalFormatting>
  <conditionalFormatting sqref="Q90:AF90">
    <cfRule type="cellIs" dxfId="105" priority="7" operator="greaterThan">
      <formula>0</formula>
    </cfRule>
    <cfRule type="cellIs" dxfId="104" priority="8" operator="lessThan">
      <formula>0</formula>
    </cfRule>
  </conditionalFormatting>
  <conditionalFormatting sqref="Q94:AF94">
    <cfRule type="cellIs" dxfId="103" priority="5" operator="greaterThan">
      <formula>0</formula>
    </cfRule>
    <cfRule type="cellIs" dxfId="102" priority="6" operator="lessThan">
      <formula>0</formula>
    </cfRule>
  </conditionalFormatting>
  <conditionalFormatting sqref="AA8:AF8">
    <cfRule type="cellIs" dxfId="101" priority="49" operator="greaterThan">
      <formula>0</formula>
    </cfRule>
    <cfRule type="cellIs" dxfId="100" priority="50" operator="lessThan">
      <formula>0</formula>
    </cfRule>
  </conditionalFormatting>
  <conditionalFormatting sqref="AA12:AF12">
    <cfRule type="cellIs" dxfId="99" priority="3" operator="greaterThan">
      <formula>0</formula>
    </cfRule>
    <cfRule type="cellIs" dxfId="98" priority="4"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F19F-9DF5-4299-9D93-8AEA1EC1C661}">
  <dimension ref="A1:U105"/>
  <sheetViews>
    <sheetView showGridLines="0" zoomScaleNormal="100" workbookViewId="0">
      <pane xSplit="2" ySplit="3" topLeftCell="N96" activePane="bottomRight" state="frozen"/>
      <selection pane="topRight" activeCell="C1" sqref="C1"/>
      <selection pane="bottomLeft" activeCell="A4" sqref="A4"/>
      <selection pane="bottomRight" activeCell="Q125" sqref="Q125:T135"/>
    </sheetView>
  </sheetViews>
  <sheetFormatPr defaultColWidth="9" defaultRowHeight="12" x14ac:dyDescent="0.2"/>
  <cols>
    <col min="1" max="1" width="9" style="2"/>
    <col min="2" max="2" width="30.75" style="2" customWidth="1"/>
    <col min="3" max="3" width="5.125" style="2" hidden="1" customWidth="1"/>
    <col min="4" max="7" width="10.125" style="2" hidden="1" customWidth="1"/>
    <col min="8" max="8" width="0" style="2" hidden="1" customWidth="1"/>
    <col min="9" max="10" width="10.125" style="2" hidden="1" customWidth="1"/>
    <col min="11" max="11" width="11" style="2" hidden="1" customWidth="1"/>
    <col min="12" max="12" width="10.125" style="2" hidden="1" customWidth="1"/>
    <col min="13" max="13" width="0" style="2" hidden="1" customWidth="1"/>
    <col min="14" max="14" width="9.625" style="2" bestFit="1" customWidth="1"/>
    <col min="15" max="16" width="10.125" style="2" customWidth="1"/>
    <col min="17" max="17" width="18.25" style="2" bestFit="1" customWidth="1"/>
    <col min="18" max="18" width="10.125" style="2" bestFit="1" customWidth="1"/>
    <col min="19" max="19" width="10.5" style="2" bestFit="1" customWidth="1"/>
    <col min="20" max="20" width="9.625" style="2" bestFit="1" customWidth="1"/>
    <col min="21" max="16384" width="9" style="2"/>
  </cols>
  <sheetData>
    <row r="1" spans="1:21" x14ac:dyDescent="0.2">
      <c r="A1" s="2" t="s">
        <v>699</v>
      </c>
    </row>
    <row r="3" spans="1:21" x14ac:dyDescent="0.2">
      <c r="B3" s="1" t="s">
        <v>120</v>
      </c>
      <c r="C3" s="385"/>
      <c r="D3" s="385" t="s">
        <v>784</v>
      </c>
      <c r="E3" s="385"/>
      <c r="F3" s="385"/>
      <c r="G3" s="385"/>
      <c r="I3" s="385" t="s">
        <v>119</v>
      </c>
      <c r="J3" s="1"/>
      <c r="K3" s="1"/>
      <c r="L3" s="1"/>
      <c r="N3" s="385" t="s">
        <v>773</v>
      </c>
      <c r="O3" s="1"/>
      <c r="P3" s="1"/>
      <c r="Q3" s="1"/>
      <c r="R3" s="1034"/>
      <c r="S3" s="385" t="s">
        <v>771</v>
      </c>
      <c r="U3" s="385" t="s">
        <v>779</v>
      </c>
    </row>
    <row r="4" spans="1:21" x14ac:dyDescent="0.2">
      <c r="B4" s="2" t="s">
        <v>121</v>
      </c>
      <c r="C4" s="136"/>
      <c r="D4" s="136" t="s">
        <v>4</v>
      </c>
      <c r="E4" s="136" t="s">
        <v>5</v>
      </c>
      <c r="F4" s="136" t="s">
        <v>6</v>
      </c>
      <c r="G4" s="136" t="s">
        <v>7</v>
      </c>
      <c r="I4" s="136" t="s">
        <v>8</v>
      </c>
      <c r="J4" s="136" t="s">
        <v>9</v>
      </c>
      <c r="K4" s="136" t="s">
        <v>10</v>
      </c>
      <c r="L4" s="136" t="s">
        <v>716</v>
      </c>
      <c r="N4" s="1033">
        <v>45536</v>
      </c>
      <c r="O4" s="136" t="s">
        <v>717</v>
      </c>
      <c r="P4" s="136" t="s">
        <v>718</v>
      </c>
      <c r="Q4" s="136" t="s">
        <v>719</v>
      </c>
      <c r="S4" s="1033">
        <v>45536</v>
      </c>
    </row>
    <row r="5" spans="1:21" x14ac:dyDescent="0.2">
      <c r="B5" s="3" t="s">
        <v>129</v>
      </c>
    </row>
    <row r="6" spans="1:21" x14ac:dyDescent="0.2">
      <c r="B6" s="2" t="s">
        <v>123</v>
      </c>
      <c r="C6" s="4"/>
      <c r="D6" s="4">
        <v>17800</v>
      </c>
      <c r="E6" s="4">
        <v>17900</v>
      </c>
      <c r="F6" s="4">
        <v>18000</v>
      </c>
      <c r="G6" s="4">
        <v>18300</v>
      </c>
      <c r="I6" s="4">
        <v>21500</v>
      </c>
      <c r="J6" s="4">
        <v>21600</v>
      </c>
      <c r="K6" s="4">
        <v>21800</v>
      </c>
      <c r="L6" s="4">
        <v>22000</v>
      </c>
      <c r="O6" s="4">
        <v>26800</v>
      </c>
      <c r="P6" s="4">
        <v>27000</v>
      </c>
      <c r="Q6" s="4">
        <v>27100</v>
      </c>
      <c r="S6" s="4">
        <v>24000</v>
      </c>
    </row>
    <row r="7" spans="1:21" x14ac:dyDescent="0.2">
      <c r="B7" s="2" t="s">
        <v>124</v>
      </c>
      <c r="C7" s="4"/>
      <c r="D7" s="4">
        <v>18300</v>
      </c>
      <c r="E7" s="4">
        <v>18300</v>
      </c>
      <c r="F7" s="4">
        <v>18300</v>
      </c>
      <c r="G7" s="4">
        <v>18500</v>
      </c>
      <c r="I7" s="4">
        <v>22300</v>
      </c>
      <c r="J7" s="4">
        <v>22300</v>
      </c>
      <c r="K7" s="4">
        <v>22200</v>
      </c>
      <c r="L7" s="4">
        <v>22300</v>
      </c>
      <c r="O7" s="4">
        <v>27500</v>
      </c>
      <c r="P7" s="4">
        <v>27500</v>
      </c>
      <c r="Q7" s="4">
        <v>27500</v>
      </c>
      <c r="S7" s="4">
        <v>25000</v>
      </c>
    </row>
    <row r="8" spans="1:21" x14ac:dyDescent="0.2">
      <c r="B8" s="2" t="s">
        <v>125</v>
      </c>
      <c r="C8" s="5"/>
      <c r="D8" s="5">
        <f t="shared" ref="D8:G8" si="0">+AVERAGE(D6:D7)</f>
        <v>18050</v>
      </c>
      <c r="E8" s="5">
        <f t="shared" si="0"/>
        <v>18100</v>
      </c>
      <c r="F8" s="5">
        <f t="shared" si="0"/>
        <v>18150</v>
      </c>
      <c r="G8" s="5">
        <f t="shared" si="0"/>
        <v>18400</v>
      </c>
      <c r="I8" s="5">
        <f t="shared" ref="I8:J8" si="1">+AVERAGE(I6:I7)</f>
        <v>21900</v>
      </c>
      <c r="J8" s="5">
        <f t="shared" si="1"/>
        <v>21950</v>
      </c>
      <c r="K8" s="5">
        <f>+AVERAGE(K6:K7)</f>
        <v>22000</v>
      </c>
      <c r="L8" s="5">
        <f>+AVERAGE(L6:L7)</f>
        <v>22150</v>
      </c>
      <c r="N8" s="5"/>
      <c r="O8" s="5">
        <f>+AVERAGE(O6:O7)</f>
        <v>27150</v>
      </c>
      <c r="P8" s="5">
        <f>+AVERAGE(P6:P7)</f>
        <v>27250</v>
      </c>
      <c r="Q8" s="5">
        <f>+AVERAGE(Q6:Q7)</f>
        <v>27300</v>
      </c>
      <c r="S8" s="5">
        <f t="shared" ref="S8" si="2">+AVERAGE(S6:S7)</f>
        <v>24500</v>
      </c>
      <c r="T8" s="5"/>
    </row>
    <row r="9" spans="1:21" x14ac:dyDescent="0.2">
      <c r="B9" s="2" t="s">
        <v>820</v>
      </c>
      <c r="C9" s="174"/>
      <c r="D9" s="174"/>
      <c r="E9" s="1078">
        <f>+E8-D8</f>
        <v>50</v>
      </c>
      <c r="F9" s="1078">
        <f>+F8-E8</f>
        <v>50</v>
      </c>
      <c r="G9" s="1078">
        <f>+G8-F8</f>
        <v>250</v>
      </c>
      <c r="H9" s="5"/>
      <c r="I9" s="311"/>
      <c r="J9" s="1078">
        <f>+J8-I8</f>
        <v>50</v>
      </c>
      <c r="K9" s="1078">
        <f>+K8-J8</f>
        <v>50</v>
      </c>
      <c r="L9" s="1078">
        <f>+L8-K8</f>
        <v>150</v>
      </c>
      <c r="M9" s="5"/>
      <c r="O9" s="1078"/>
      <c r="P9" s="1078"/>
      <c r="Q9" s="1078"/>
      <c r="R9" s="5"/>
      <c r="S9" s="174"/>
    </row>
    <row r="10" spans="1:21" x14ac:dyDescent="0.2">
      <c r="B10" s="2" t="s">
        <v>126</v>
      </c>
      <c r="C10" s="564"/>
      <c r="D10" s="564">
        <f>'FC - 3FS'!AO140</f>
        <v>18559</v>
      </c>
      <c r="E10" s="564">
        <f>+D10</f>
        <v>18559</v>
      </c>
      <c r="F10" s="564">
        <f t="shared" ref="F10:G10" si="3">+E10</f>
        <v>18559</v>
      </c>
      <c r="G10" s="564">
        <f t="shared" si="3"/>
        <v>18559</v>
      </c>
      <c r="I10" s="564">
        <f>'FC - 3FS'!AP140</f>
        <v>22293</v>
      </c>
      <c r="J10" s="564">
        <f>+I10</f>
        <v>22293</v>
      </c>
      <c r="K10" s="564">
        <f t="shared" ref="K10" si="4">+J10</f>
        <v>22293</v>
      </c>
      <c r="L10" s="564">
        <f>+K10</f>
        <v>22293</v>
      </c>
      <c r="M10" s="5"/>
      <c r="O10" s="564">
        <f>'FC - 3FS'!AQ140</f>
        <v>27846.866294417403</v>
      </c>
      <c r="P10" s="564">
        <f>+O10</f>
        <v>27846.866294417403</v>
      </c>
      <c r="Q10" s="564">
        <f>+P10</f>
        <v>27846.866294417403</v>
      </c>
      <c r="S10" s="564">
        <f>'FC - 3FS'!AS140</f>
        <v>32447.182480730469</v>
      </c>
    </row>
    <row r="11" spans="1:21" x14ac:dyDescent="0.2">
      <c r="B11" s="2" t="s">
        <v>127</v>
      </c>
      <c r="C11" s="174"/>
      <c r="D11" s="174">
        <f>+D10/D8-1</f>
        <v>2.8199445983379423E-2</v>
      </c>
      <c r="E11" s="174">
        <f>+E10/E8-1</f>
        <v>2.5359116022099393E-2</v>
      </c>
      <c r="F11" s="174">
        <f>+F10/F8-1</f>
        <v>2.2534435261708063E-2</v>
      </c>
      <c r="G11" s="174">
        <f>+G10/G8-1</f>
        <v>8.6413043478261731E-3</v>
      </c>
      <c r="I11" s="174">
        <f>+I10/I8-1</f>
        <v>1.7945205479451998E-2</v>
      </c>
      <c r="J11" s="174">
        <f>+J10/J8-1</f>
        <v>1.562642369020506E-2</v>
      </c>
      <c r="K11" s="174">
        <f>+K10/K8-1</f>
        <v>1.3318181818181785E-2</v>
      </c>
      <c r="L11" s="174">
        <f>+L10/L8-1</f>
        <v>6.4559819413092523E-3</v>
      </c>
      <c r="O11" s="174">
        <f>+O10/O8-1</f>
        <v>2.5667266829370261E-2</v>
      </c>
      <c r="P11" s="174">
        <f>+P10/P8-1</f>
        <v>2.1903350253849707E-2</v>
      </c>
      <c r="Q11" s="174">
        <f>+Q10/Q8-1</f>
        <v>2.0031732396241786E-2</v>
      </c>
      <c r="S11" s="174">
        <f>S10/S8-1</f>
        <v>0.32437479513185585</v>
      </c>
    </row>
    <row r="13" spans="1:21" x14ac:dyDescent="0.2">
      <c r="B13" s="3" t="s">
        <v>128</v>
      </c>
    </row>
    <row r="14" spans="1:21" x14ac:dyDescent="0.2">
      <c r="B14" s="2" t="s">
        <v>123</v>
      </c>
      <c r="C14" s="4"/>
      <c r="D14" s="4">
        <v>9400</v>
      </c>
      <c r="E14" s="4">
        <v>9400</v>
      </c>
      <c r="F14" s="4">
        <v>9500</v>
      </c>
      <c r="G14" s="4">
        <v>9600</v>
      </c>
      <c r="I14" s="4">
        <v>8600</v>
      </c>
      <c r="J14" s="4">
        <v>8600</v>
      </c>
      <c r="K14" s="4">
        <v>8700</v>
      </c>
      <c r="L14" s="4">
        <v>8800</v>
      </c>
      <c r="O14" s="4"/>
      <c r="P14" s="4"/>
      <c r="Q14" s="4"/>
      <c r="S14" s="4">
        <v>9000</v>
      </c>
    </row>
    <row r="15" spans="1:21" x14ac:dyDescent="0.2">
      <c r="B15" s="2" t="s">
        <v>124</v>
      </c>
      <c r="C15" s="4"/>
      <c r="D15" s="4">
        <v>9700</v>
      </c>
      <c r="E15" s="4">
        <v>9700</v>
      </c>
      <c r="F15" s="4">
        <v>9700</v>
      </c>
      <c r="G15" s="4">
        <v>9800</v>
      </c>
      <c r="I15" s="4">
        <v>9400</v>
      </c>
      <c r="J15" s="4">
        <v>9400</v>
      </c>
      <c r="K15" s="4">
        <v>9100</v>
      </c>
      <c r="L15" s="1077">
        <v>9000</v>
      </c>
      <c r="O15" s="1077"/>
      <c r="P15" s="1077"/>
      <c r="Q15" s="1077"/>
      <c r="S15" s="4">
        <v>10000</v>
      </c>
    </row>
    <row r="16" spans="1:21" x14ac:dyDescent="0.2">
      <c r="B16" s="2" t="s">
        <v>125</v>
      </c>
      <c r="C16" s="5"/>
      <c r="D16" s="5">
        <f t="shared" ref="D16:G16" si="5">+AVERAGE(D14:D15)</f>
        <v>9550</v>
      </c>
      <c r="E16" s="5">
        <f t="shared" si="5"/>
        <v>9550</v>
      </c>
      <c r="F16" s="5">
        <f t="shared" si="5"/>
        <v>9600</v>
      </c>
      <c r="G16" s="5">
        <f t="shared" si="5"/>
        <v>9700</v>
      </c>
      <c r="I16" s="5">
        <f t="shared" ref="I16:L16" si="6">+AVERAGE(I14:I15)</f>
        <v>9000</v>
      </c>
      <c r="J16" s="5">
        <f t="shared" si="6"/>
        <v>9000</v>
      </c>
      <c r="K16" s="5">
        <f t="shared" si="6"/>
        <v>8900</v>
      </c>
      <c r="L16" s="5">
        <f t="shared" si="6"/>
        <v>8900</v>
      </c>
      <c r="O16" s="230">
        <v>9500</v>
      </c>
      <c r="P16" s="230">
        <v>9500</v>
      </c>
      <c r="Q16" s="230">
        <v>9500</v>
      </c>
      <c r="S16" s="5">
        <f t="shared" ref="S16" si="7">+AVERAGE(S14:S15)</f>
        <v>9500</v>
      </c>
    </row>
    <row r="17" spans="2:20" x14ac:dyDescent="0.2">
      <c r="B17" s="2" t="s">
        <v>126</v>
      </c>
      <c r="C17" s="564"/>
      <c r="D17" s="564">
        <f>-'FC - 3FS'!AO142</f>
        <v>9801</v>
      </c>
      <c r="E17" s="564">
        <f>+D17</f>
        <v>9801</v>
      </c>
      <c r="F17" s="564">
        <f t="shared" ref="F17:G17" si="8">+E17</f>
        <v>9801</v>
      </c>
      <c r="G17" s="564">
        <f t="shared" si="8"/>
        <v>9801</v>
      </c>
      <c r="I17" s="564">
        <f>-'FC - 3FS'!AP142</f>
        <v>8840</v>
      </c>
      <c r="J17" s="564">
        <f>+I17</f>
        <v>8840</v>
      </c>
      <c r="K17" s="564">
        <f>+J17</f>
        <v>8840</v>
      </c>
      <c r="L17" s="564">
        <f>+K17</f>
        <v>8840</v>
      </c>
      <c r="O17" s="564">
        <f>-'FC - 3FS'!AQ170</f>
        <v>10023.267067247947</v>
      </c>
      <c r="P17" s="564">
        <f>+O17</f>
        <v>10023.267067247947</v>
      </c>
      <c r="Q17" s="564">
        <f>+P17</f>
        <v>10023.267067247947</v>
      </c>
      <c r="S17" s="564">
        <f>-'FC - 3FS'!AS142</f>
        <v>10941.003531939117</v>
      </c>
    </row>
    <row r="18" spans="2:20" x14ac:dyDescent="0.2">
      <c r="B18" s="2" t="s">
        <v>127</v>
      </c>
      <c r="C18" s="174"/>
      <c r="D18" s="174">
        <f t="shared" ref="D18:G18" si="9">+D17/D16-1</f>
        <v>2.6282722513089052E-2</v>
      </c>
      <c r="E18" s="174">
        <f t="shared" si="9"/>
        <v>2.6282722513089052E-2</v>
      </c>
      <c r="F18" s="174">
        <f t="shared" si="9"/>
        <v>2.0937500000000053E-2</v>
      </c>
      <c r="G18" s="174">
        <f t="shared" si="9"/>
        <v>1.0412371134020715E-2</v>
      </c>
      <c r="I18" s="174">
        <f>+I17/I16-1</f>
        <v>-1.7777777777777781E-2</v>
      </c>
      <c r="J18" s="174">
        <f t="shared" ref="J18" si="10">+J17/J16-1</f>
        <v>-1.7777777777777781E-2</v>
      </c>
      <c r="K18" s="174">
        <f t="shared" ref="K18" si="11">+K17/K16-1</f>
        <v>-6.741573033707815E-3</v>
      </c>
      <c r="L18" s="1076">
        <f>+L17/L16-1</f>
        <v>-6.741573033707815E-3</v>
      </c>
      <c r="O18" s="1076">
        <f>+O17/O16-1</f>
        <v>5.5080743920836506E-2</v>
      </c>
      <c r="P18" s="1076">
        <f>+P17/P16-1</f>
        <v>5.5080743920836506E-2</v>
      </c>
      <c r="Q18" s="1076">
        <f>+Q17/Q16-1</f>
        <v>5.5080743920836506E-2</v>
      </c>
      <c r="S18" s="174">
        <f>S17/S16-1</f>
        <v>0.15168458230938087</v>
      </c>
    </row>
    <row r="20" spans="2:20" x14ac:dyDescent="0.2">
      <c r="B20" s="3" t="s">
        <v>122</v>
      </c>
      <c r="D20" s="2" t="s">
        <v>785</v>
      </c>
    </row>
    <row r="21" spans="2:20" x14ac:dyDescent="0.2">
      <c r="B21" s="2" t="s">
        <v>123</v>
      </c>
      <c r="C21" s="5"/>
      <c r="D21" s="230">
        <v>13100</v>
      </c>
      <c r="E21" s="230">
        <v>13200</v>
      </c>
      <c r="F21" s="230">
        <v>13200</v>
      </c>
      <c r="G21" s="230">
        <v>13400</v>
      </c>
      <c r="I21" s="5">
        <f t="shared" ref="I21:L23" si="12">+I6-I14+I86</f>
        <v>16300</v>
      </c>
      <c r="J21" s="5">
        <f t="shared" si="12"/>
        <v>16400</v>
      </c>
      <c r="K21" s="5">
        <f t="shared" si="12"/>
        <v>16600</v>
      </c>
      <c r="L21" s="5">
        <f t="shared" si="12"/>
        <v>16700</v>
      </c>
      <c r="O21" s="230">
        <v>17300</v>
      </c>
      <c r="P21" s="230">
        <v>17500</v>
      </c>
      <c r="Q21" s="230">
        <v>17600</v>
      </c>
      <c r="S21" s="4">
        <v>18000</v>
      </c>
    </row>
    <row r="22" spans="2:20" x14ac:dyDescent="0.2">
      <c r="B22" s="2" t="s">
        <v>124</v>
      </c>
      <c r="C22" s="5"/>
      <c r="D22" s="230">
        <v>13600</v>
      </c>
      <c r="E22" s="230">
        <v>13600</v>
      </c>
      <c r="F22" s="230">
        <v>13600</v>
      </c>
      <c r="G22" s="230">
        <v>13600</v>
      </c>
      <c r="I22" s="5">
        <f t="shared" si="12"/>
        <v>16900</v>
      </c>
      <c r="J22" s="5">
        <f t="shared" si="12"/>
        <v>16900</v>
      </c>
      <c r="K22" s="5">
        <f t="shared" si="12"/>
        <v>17000</v>
      </c>
      <c r="L22" s="5">
        <f t="shared" si="12"/>
        <v>17000</v>
      </c>
      <c r="N22" s="2" t="s">
        <v>936</v>
      </c>
      <c r="O22" s="230">
        <v>18000</v>
      </c>
      <c r="P22" s="230">
        <v>18000</v>
      </c>
      <c r="Q22" s="230">
        <v>18000</v>
      </c>
      <c r="S22" s="4">
        <v>19000</v>
      </c>
      <c r="T22" s="2" t="s">
        <v>937</v>
      </c>
    </row>
    <row r="23" spans="2:20" x14ac:dyDescent="0.2">
      <c r="B23" s="2" t="s">
        <v>125</v>
      </c>
      <c r="C23" s="5"/>
      <c r="D23" s="5">
        <f>+AVERAGE(D21:D22)</f>
        <v>13350</v>
      </c>
      <c r="E23" s="5">
        <f t="shared" ref="E23:G23" si="13">+AVERAGE(E21:E22)</f>
        <v>13400</v>
      </c>
      <c r="F23" s="5">
        <f t="shared" si="13"/>
        <v>13400</v>
      </c>
      <c r="G23" s="5">
        <f t="shared" si="13"/>
        <v>13500</v>
      </c>
      <c r="I23" s="5">
        <f t="shared" si="12"/>
        <v>16600</v>
      </c>
      <c r="J23" s="5">
        <f t="shared" si="12"/>
        <v>16650</v>
      </c>
      <c r="K23" s="5">
        <f t="shared" si="12"/>
        <v>16800</v>
      </c>
      <c r="L23" s="5">
        <f t="shared" si="12"/>
        <v>16850</v>
      </c>
      <c r="N23" s="174">
        <f>+O23/L25-1</f>
        <v>3.6284640676373936E-2</v>
      </c>
      <c r="O23" s="5">
        <f>+O8-O16+O88</f>
        <v>17650</v>
      </c>
      <c r="P23" s="5">
        <f>+P8-P16+P88</f>
        <v>17750</v>
      </c>
      <c r="Q23" s="5">
        <f>+Q8-Q16+Q88</f>
        <v>17800</v>
      </c>
      <c r="S23" s="5">
        <f t="shared" ref="S23" si="14">+AVERAGE(S21:S22)</f>
        <v>18500</v>
      </c>
      <c r="T23" s="576">
        <v>0.08</v>
      </c>
    </row>
    <row r="24" spans="2:20" x14ac:dyDescent="0.2">
      <c r="B24" s="2" t="s">
        <v>820</v>
      </c>
      <c r="C24" s="174"/>
      <c r="D24" s="174"/>
      <c r="E24" s="1078">
        <f>+E23-D23</f>
        <v>50</v>
      </c>
      <c r="F24" s="1078">
        <f>+F23-E23</f>
        <v>0</v>
      </c>
      <c r="G24" s="1078">
        <f>+G23-F23</f>
        <v>100</v>
      </c>
      <c r="H24" s="5"/>
      <c r="I24" s="311"/>
      <c r="J24" s="1078">
        <f>+J23-I23</f>
        <v>50</v>
      </c>
      <c r="K24" s="1078">
        <f>+K23-J23</f>
        <v>150</v>
      </c>
      <c r="L24" s="1078">
        <f>+L23-K23</f>
        <v>50</v>
      </c>
      <c r="O24" s="1078"/>
      <c r="P24" s="1078"/>
      <c r="Q24" s="1078"/>
      <c r="S24" s="174"/>
    </row>
    <row r="25" spans="2:20" x14ac:dyDescent="0.2">
      <c r="B25" s="2" t="s">
        <v>126</v>
      </c>
      <c r="C25" s="564"/>
      <c r="D25" s="564">
        <f>'FC - 3FS'!AO173</f>
        <v>13586</v>
      </c>
      <c r="E25" s="564">
        <f>+D25</f>
        <v>13586</v>
      </c>
      <c r="F25" s="564">
        <f t="shared" ref="F25:G25" si="15">+E25</f>
        <v>13586</v>
      </c>
      <c r="G25" s="564">
        <f t="shared" si="15"/>
        <v>13586</v>
      </c>
      <c r="I25" s="564">
        <f>'FC - 3FS'!AP173</f>
        <v>17032</v>
      </c>
      <c r="J25" s="564">
        <f>+I25</f>
        <v>17032</v>
      </c>
      <c r="K25" s="564">
        <f t="shared" ref="K25" si="16">+J25</f>
        <v>17032</v>
      </c>
      <c r="L25" s="564">
        <f>+K25</f>
        <v>17032</v>
      </c>
      <c r="O25" s="564">
        <f>'FC - 3FS'!AQ173</f>
        <v>17823.599227169456</v>
      </c>
      <c r="P25" s="564">
        <f>+O25</f>
        <v>17823.599227169456</v>
      </c>
      <c r="Q25" s="564">
        <f>+P25</f>
        <v>17823.599227169456</v>
      </c>
      <c r="S25" s="564">
        <f>'FC - 3FS'!AS173</f>
        <v>21506.178948791352</v>
      </c>
    </row>
    <row r="26" spans="2:20" x14ac:dyDescent="0.2">
      <c r="B26" s="2" t="s">
        <v>127</v>
      </c>
      <c r="C26" s="174"/>
      <c r="D26" s="174">
        <f t="shared" ref="D26" si="17">D25/D23-1</f>
        <v>1.7677902621722863E-2</v>
      </c>
      <c r="E26" s="174">
        <f t="shared" ref="E26" si="18">E25/E23-1</f>
        <v>1.3880597014925389E-2</v>
      </c>
      <c r="F26" s="174">
        <f t="shared" ref="F26" si="19">F25/F23-1</f>
        <v>1.3880597014925389E-2</v>
      </c>
      <c r="G26" s="174">
        <f t="shared" ref="G26" si="20">G25/G23-1</f>
        <v>6.3703703703703596E-3</v>
      </c>
      <c r="I26" s="174">
        <f t="shared" ref="I26:K26" si="21">I25/I23-1</f>
        <v>2.6024096385542261E-2</v>
      </c>
      <c r="J26" s="174">
        <f t="shared" si="21"/>
        <v>2.2942942942942857E-2</v>
      </c>
      <c r="K26" s="174">
        <f t="shared" si="21"/>
        <v>1.3809523809523716E-2</v>
      </c>
      <c r="L26" s="1076">
        <f>+L25/L23-1</f>
        <v>1.08011869436202E-2</v>
      </c>
      <c r="O26" s="1076">
        <f>+O25/O23-1</f>
        <v>9.8356502645584598E-3</v>
      </c>
      <c r="P26" s="1076">
        <f>+P25/P23-1</f>
        <v>4.1464353334905724E-3</v>
      </c>
      <c r="Q26" s="1076">
        <f>+Q25/Q23-1</f>
        <v>1.3257992791828599E-3</v>
      </c>
      <c r="S26" s="174">
        <f>S25/S23-1</f>
        <v>0.1624961593941272</v>
      </c>
    </row>
    <row r="27" spans="2:20" x14ac:dyDescent="0.2">
      <c r="S27" s="174"/>
    </row>
    <row r="28" spans="2:20" x14ac:dyDescent="0.2">
      <c r="B28" s="3" t="s">
        <v>782</v>
      </c>
      <c r="S28" s="174"/>
    </row>
    <row r="29" spans="2:20" x14ac:dyDescent="0.2">
      <c r="B29" s="2" t="s">
        <v>123</v>
      </c>
      <c r="C29" s="4"/>
      <c r="D29" s="4">
        <v>5000</v>
      </c>
      <c r="E29" s="4">
        <v>5300</v>
      </c>
      <c r="F29" s="4">
        <v>5600</v>
      </c>
      <c r="G29" s="4">
        <v>5700</v>
      </c>
      <c r="I29" s="4">
        <v>5000</v>
      </c>
      <c r="J29" s="4">
        <v>5200</v>
      </c>
      <c r="K29" s="4">
        <v>5400</v>
      </c>
      <c r="L29" s="1077">
        <v>5600</v>
      </c>
      <c r="O29" s="1077">
        <v>5500</v>
      </c>
      <c r="P29" s="1077">
        <v>5500</v>
      </c>
      <c r="Q29" s="1077">
        <v>6100</v>
      </c>
      <c r="S29" s="174"/>
    </row>
    <row r="30" spans="2:20" x14ac:dyDescent="0.2">
      <c r="B30" s="2" t="s">
        <v>124</v>
      </c>
      <c r="C30" s="4"/>
      <c r="D30" s="4">
        <v>5500</v>
      </c>
      <c r="E30" s="4">
        <v>5700</v>
      </c>
      <c r="F30" s="4">
        <v>5900</v>
      </c>
      <c r="G30" s="4">
        <v>5900</v>
      </c>
      <c r="I30" s="4">
        <v>5500</v>
      </c>
      <c r="J30" s="4">
        <v>5600</v>
      </c>
      <c r="K30" s="4">
        <v>5700</v>
      </c>
      <c r="L30" s="1077">
        <v>5800</v>
      </c>
      <c r="O30" s="1077">
        <v>6000</v>
      </c>
      <c r="P30" s="1077">
        <v>6000</v>
      </c>
      <c r="Q30" s="1077">
        <v>6400</v>
      </c>
      <c r="S30" s="174"/>
    </row>
    <row r="31" spans="2:20" x14ac:dyDescent="0.2">
      <c r="B31" s="2" t="s">
        <v>781</v>
      </c>
      <c r="C31" s="5"/>
      <c r="D31" s="5">
        <f t="shared" ref="D31:G31" si="22">+AVERAGE(D29:D30)</f>
        <v>5250</v>
      </c>
      <c r="E31" s="5">
        <f t="shared" si="22"/>
        <v>5500</v>
      </c>
      <c r="F31" s="5">
        <f t="shared" si="22"/>
        <v>5750</v>
      </c>
      <c r="G31" s="5">
        <f t="shared" si="22"/>
        <v>5800</v>
      </c>
      <c r="I31" s="5">
        <f t="shared" ref="I31:L31" si="23">+AVERAGE(I29:I30)</f>
        <v>5250</v>
      </c>
      <c r="J31" s="5">
        <f t="shared" si="23"/>
        <v>5400</v>
      </c>
      <c r="K31" s="5">
        <f t="shared" si="23"/>
        <v>5550</v>
      </c>
      <c r="L31" s="5">
        <f t="shared" si="23"/>
        <v>5700</v>
      </c>
      <c r="O31" s="5">
        <f t="shared" ref="O31:Q31" si="24">+AVERAGE(O29:O30)</f>
        <v>5750</v>
      </c>
      <c r="P31" s="5">
        <f t="shared" si="24"/>
        <v>5750</v>
      </c>
      <c r="Q31" s="5">
        <f t="shared" si="24"/>
        <v>6250</v>
      </c>
      <c r="S31" s="174"/>
    </row>
    <row r="32" spans="2:20" x14ac:dyDescent="0.2">
      <c r="B32" s="2" t="s">
        <v>820</v>
      </c>
      <c r="C32" s="174"/>
      <c r="D32" s="174"/>
      <c r="E32" s="1078">
        <f>+E31-D31</f>
        <v>250</v>
      </c>
      <c r="F32" s="1078">
        <f>+F31-E31</f>
        <v>250</v>
      </c>
      <c r="G32" s="1078">
        <f>+G31-F31</f>
        <v>50</v>
      </c>
      <c r="H32" s="5"/>
      <c r="I32" s="311"/>
      <c r="J32" s="1078">
        <f>+J31-I31</f>
        <v>150</v>
      </c>
      <c r="K32" s="1078">
        <f>+K31-J31</f>
        <v>150</v>
      </c>
      <c r="L32" s="1078">
        <f>+L31-K31</f>
        <v>150</v>
      </c>
      <c r="O32" s="311"/>
      <c r="P32" s="311"/>
      <c r="Q32" s="311"/>
      <c r="S32" s="174"/>
    </row>
    <row r="33" spans="2:20" x14ac:dyDescent="0.2">
      <c r="B33" s="2" t="s">
        <v>126</v>
      </c>
      <c r="C33" s="564"/>
      <c r="D33" s="564">
        <f>'IS Drivers'!AO90</f>
        <v>5799</v>
      </c>
      <c r="E33" s="564">
        <f>+D33</f>
        <v>5799</v>
      </c>
      <c r="F33" s="564">
        <f t="shared" ref="F33:G33" si="25">+E33</f>
        <v>5799</v>
      </c>
      <c r="G33" s="564">
        <f t="shared" si="25"/>
        <v>5799</v>
      </c>
      <c r="I33" s="564">
        <f>'IS Drivers'!AP90</f>
        <v>6058</v>
      </c>
      <c r="J33" s="564">
        <f>+I33</f>
        <v>6058</v>
      </c>
      <c r="K33" s="564">
        <f>+J33</f>
        <v>6058</v>
      </c>
      <c r="L33" s="564">
        <f>+K33</f>
        <v>6058</v>
      </c>
      <c r="O33" s="564">
        <f>'IS Drivers'!AQ90</f>
        <v>7197.3362427745669</v>
      </c>
      <c r="P33" s="564">
        <f>+O33</f>
        <v>7197.3362427745669</v>
      </c>
      <c r="Q33" s="564">
        <f>+P33</f>
        <v>7197.3362427745669</v>
      </c>
      <c r="S33" s="174"/>
    </row>
    <row r="34" spans="2:20" x14ac:dyDescent="0.2">
      <c r="B34" s="2" t="s">
        <v>127</v>
      </c>
      <c r="C34" s="174"/>
      <c r="D34" s="174">
        <f t="shared" ref="D34" si="26">+D33/D31-1</f>
        <v>0.10457142857142854</v>
      </c>
      <c r="E34" s="174">
        <f t="shared" ref="E34" si="27">+E33/E31-1</f>
        <v>5.4363636363636392E-2</v>
      </c>
      <c r="F34" s="174">
        <f t="shared" ref="F34" si="28">+F33/F31-1</f>
        <v>8.5217391304348578E-3</v>
      </c>
      <c r="G34" s="174">
        <f t="shared" ref="G34" si="29">+G33/G31-1</f>
        <v>-1.7241379310339866E-4</v>
      </c>
      <c r="I34" s="174">
        <f t="shared" ref="I34:J34" si="30">+I33/I31-1</f>
        <v>0.15390476190476199</v>
      </c>
      <c r="J34" s="174">
        <f t="shared" si="30"/>
        <v>0.12185185185185188</v>
      </c>
      <c r="K34" s="174">
        <f>+K33/K31-1</f>
        <v>9.1531531531531485E-2</v>
      </c>
      <c r="L34" s="1076">
        <f>+L33/L31-1</f>
        <v>6.2807017543859756E-2</v>
      </c>
      <c r="O34" s="174">
        <f t="shared" ref="O34:Q34" si="31">+O33/O31-1</f>
        <v>0.25171065091731593</v>
      </c>
      <c r="P34" s="174">
        <f t="shared" si="31"/>
        <v>0.25171065091731593</v>
      </c>
      <c r="Q34" s="174">
        <f t="shared" si="31"/>
        <v>0.15157379884393074</v>
      </c>
      <c r="S34" s="174"/>
    </row>
    <row r="35" spans="2:20" x14ac:dyDescent="0.2">
      <c r="C35" s="174"/>
      <c r="D35" s="174"/>
      <c r="E35" s="174"/>
      <c r="F35" s="174"/>
      <c r="G35" s="174"/>
      <c r="I35" s="174"/>
      <c r="J35" s="174"/>
      <c r="K35" s="174"/>
      <c r="L35" s="1076"/>
      <c r="O35" s="1076"/>
      <c r="P35" s="1076"/>
      <c r="Q35" s="1076"/>
      <c r="S35" s="174"/>
    </row>
    <row r="36" spans="2:20" x14ac:dyDescent="0.2">
      <c r="B36" s="3" t="s">
        <v>796</v>
      </c>
      <c r="C36" s="174"/>
      <c r="D36" s="174"/>
      <c r="E36" s="174"/>
      <c r="F36" s="174"/>
      <c r="G36" s="174"/>
      <c r="I36" s="174"/>
      <c r="J36" s="174"/>
      <c r="K36" s="174"/>
      <c r="L36" s="1076"/>
      <c r="O36" s="1076"/>
      <c r="P36" s="1076"/>
      <c r="Q36" s="1076"/>
      <c r="S36" s="174"/>
    </row>
    <row r="37" spans="2:20" x14ac:dyDescent="0.2">
      <c r="B37" s="2" t="s">
        <v>781</v>
      </c>
      <c r="C37" s="174"/>
      <c r="D37" s="4"/>
      <c r="E37" s="4"/>
      <c r="G37" s="174"/>
      <c r="I37" s="1077"/>
      <c r="J37" s="174"/>
      <c r="K37" s="1077">
        <f>F31/2</f>
        <v>2875</v>
      </c>
      <c r="L37" s="1077">
        <f>G31/2</f>
        <v>2900</v>
      </c>
      <c r="O37" s="1077">
        <f>+O31/2</f>
        <v>2875</v>
      </c>
      <c r="P37" s="1077">
        <f>+P31/2</f>
        <v>2875</v>
      </c>
      <c r="Q37" s="1077">
        <f>(2950+3100)/2</f>
        <v>3025</v>
      </c>
      <c r="S37" s="174"/>
    </row>
    <row r="38" spans="2:20" x14ac:dyDescent="0.2">
      <c r="B38" s="2" t="s">
        <v>126</v>
      </c>
      <c r="C38" s="174"/>
      <c r="D38" s="174"/>
      <c r="E38" s="174"/>
      <c r="F38" s="174"/>
      <c r="G38" s="174"/>
      <c r="I38" s="174"/>
      <c r="J38" s="174"/>
      <c r="K38" s="564">
        <f>'IS Drivers'!AP62</f>
        <v>3077</v>
      </c>
      <c r="L38" s="564">
        <f>K38</f>
        <v>3077</v>
      </c>
      <c r="O38" s="564">
        <f>'IS Drivers'!AQ62</f>
        <v>3330.6762427745666</v>
      </c>
      <c r="P38" s="564">
        <f>+O38</f>
        <v>3330.6762427745666</v>
      </c>
      <c r="Q38" s="564">
        <f>+P38</f>
        <v>3330.6762427745666</v>
      </c>
      <c r="R38" s="167"/>
      <c r="S38" s="174"/>
    </row>
    <row r="39" spans="2:20" x14ac:dyDescent="0.2">
      <c r="B39" s="2" t="s">
        <v>127</v>
      </c>
      <c r="K39" s="174">
        <f>+K38/K37-1</f>
        <v>7.0260869565217376E-2</v>
      </c>
      <c r="L39" s="1076">
        <f>+L38/L37-1</f>
        <v>6.1034482758620667E-2</v>
      </c>
      <c r="O39" s="1076">
        <f>+O38/O37-1</f>
        <v>0.15849608444332741</v>
      </c>
      <c r="P39" s="1076">
        <f>+P38/P37-1</f>
        <v>0.15849608444332741</v>
      </c>
      <c r="Q39" s="1076">
        <f>+Q38/Q37-1</f>
        <v>0.10104999761142697</v>
      </c>
      <c r="S39" s="174"/>
    </row>
    <row r="40" spans="2:20" x14ac:dyDescent="0.2">
      <c r="S40" s="174"/>
    </row>
    <row r="41" spans="2:20" x14ac:dyDescent="0.2">
      <c r="B41" s="3" t="s">
        <v>133</v>
      </c>
      <c r="P41" s="5"/>
      <c r="Q41" s="5"/>
      <c r="R41" s="5"/>
    </row>
    <row r="42" spans="2:20" x14ac:dyDescent="0.2">
      <c r="B42" s="2" t="s">
        <v>123</v>
      </c>
      <c r="C42" s="4"/>
      <c r="D42" s="4">
        <v>28700</v>
      </c>
      <c r="E42" s="4">
        <v>28800</v>
      </c>
      <c r="F42" s="4">
        <v>28900</v>
      </c>
      <c r="G42" s="4">
        <v>29000</v>
      </c>
      <c r="I42" s="4">
        <v>31300</v>
      </c>
      <c r="J42" s="4">
        <v>31400</v>
      </c>
      <c r="K42" s="4">
        <v>31500</v>
      </c>
      <c r="L42" s="1077">
        <v>31600</v>
      </c>
      <c r="O42" s="1077">
        <v>33100</v>
      </c>
      <c r="P42" s="1077">
        <v>33200</v>
      </c>
      <c r="Q42" s="1077">
        <v>33300</v>
      </c>
      <c r="S42" s="4">
        <v>38000</v>
      </c>
    </row>
    <row r="43" spans="2:20" x14ac:dyDescent="0.2">
      <c r="B43" s="2" t="s">
        <v>124</v>
      </c>
      <c r="C43" s="4"/>
      <c r="D43" s="4">
        <v>29200</v>
      </c>
      <c r="E43" s="4">
        <v>29200</v>
      </c>
      <c r="F43" s="4">
        <v>29200</v>
      </c>
      <c r="G43" s="4">
        <v>29200</v>
      </c>
      <c r="I43" s="4">
        <v>31900</v>
      </c>
      <c r="J43" s="4">
        <v>31900</v>
      </c>
      <c r="K43" s="4">
        <v>31800</v>
      </c>
      <c r="L43" s="1077">
        <v>31800</v>
      </c>
      <c r="N43" s="2" t="s">
        <v>936</v>
      </c>
      <c r="O43" s="1077">
        <v>33600</v>
      </c>
      <c r="P43" s="1077">
        <v>33700</v>
      </c>
      <c r="Q43" s="1077">
        <v>33700</v>
      </c>
      <c r="S43" s="4">
        <v>39000</v>
      </c>
      <c r="T43" s="2" t="s">
        <v>937</v>
      </c>
    </row>
    <row r="44" spans="2:20" x14ac:dyDescent="0.2">
      <c r="B44" s="2" t="s">
        <v>125</v>
      </c>
      <c r="C44" s="5"/>
      <c r="D44" s="5">
        <f t="shared" ref="D44:G44" si="32">+AVERAGE(D42:D43)</f>
        <v>28950</v>
      </c>
      <c r="E44" s="5">
        <f t="shared" si="32"/>
        <v>29000</v>
      </c>
      <c r="F44" s="5">
        <f t="shared" si="32"/>
        <v>29050</v>
      </c>
      <c r="G44" s="5">
        <f t="shared" si="32"/>
        <v>29100</v>
      </c>
      <c r="I44" s="5">
        <f t="shared" ref="I44:L44" si="33">+AVERAGE(I42:I43)</f>
        <v>31600</v>
      </c>
      <c r="J44" s="5">
        <f t="shared" si="33"/>
        <v>31650</v>
      </c>
      <c r="K44" s="5">
        <f t="shared" si="33"/>
        <v>31650</v>
      </c>
      <c r="L44" s="5">
        <f t="shared" si="33"/>
        <v>31700</v>
      </c>
      <c r="N44" s="173">
        <f>+O44/L46-1</f>
        <v>4.9699411412923666E-2</v>
      </c>
      <c r="O44" s="5">
        <f t="shared" ref="O44" si="34">+AVERAGE(O42:O43)</f>
        <v>33350</v>
      </c>
      <c r="P44" s="5">
        <f>+AVERAGE(P42:P43)</f>
        <v>33450</v>
      </c>
      <c r="Q44" s="5">
        <f>+AVERAGE(Q42:Q43)</f>
        <v>33500</v>
      </c>
      <c r="S44" s="5">
        <f>AVERAGE(S42:S43)</f>
        <v>38500</v>
      </c>
      <c r="T44" s="576">
        <v>7.0000000000000007E-2</v>
      </c>
    </row>
    <row r="45" spans="2:20" x14ac:dyDescent="0.2">
      <c r="B45" s="2" t="s">
        <v>820</v>
      </c>
      <c r="C45" s="174"/>
      <c r="D45" s="174"/>
      <c r="E45" s="1078">
        <f>+E44-D44</f>
        <v>50</v>
      </c>
      <c r="F45" s="1078">
        <f>+F44-E44</f>
        <v>50</v>
      </c>
      <c r="G45" s="1078">
        <f>+G44-F44</f>
        <v>50</v>
      </c>
      <c r="H45" s="5"/>
      <c r="I45" s="311"/>
      <c r="J45" s="1078">
        <f>+J44-I44</f>
        <v>50</v>
      </c>
      <c r="K45" s="1078">
        <f>+K44-J44</f>
        <v>0</v>
      </c>
      <c r="L45" s="1078">
        <f>+L44-K44</f>
        <v>50</v>
      </c>
      <c r="N45" s="2" t="s">
        <v>936</v>
      </c>
      <c r="O45" s="311"/>
      <c r="P45" s="311"/>
      <c r="Q45" s="311"/>
      <c r="S45" s="174"/>
    </row>
    <row r="46" spans="2:20" x14ac:dyDescent="0.2">
      <c r="B46" s="2" t="s">
        <v>126</v>
      </c>
      <c r="C46" s="564"/>
      <c r="D46" s="564">
        <f>'FC - 3FS'!AO58</f>
        <v>29116</v>
      </c>
      <c r="E46" s="564">
        <f>+D46</f>
        <v>29116</v>
      </c>
      <c r="F46" s="564">
        <f t="shared" ref="F46:G46" si="35">+E46</f>
        <v>29116</v>
      </c>
      <c r="G46" s="564">
        <f t="shared" si="35"/>
        <v>29116</v>
      </c>
      <c r="I46" s="564">
        <f>'FC - 3FS'!AP58</f>
        <v>31771</v>
      </c>
      <c r="J46" s="564">
        <f>+I46</f>
        <v>31771</v>
      </c>
      <c r="K46" s="564">
        <f>+J46</f>
        <v>31771</v>
      </c>
      <c r="L46" s="564">
        <f>+K46</f>
        <v>31771</v>
      </c>
      <c r="N46" s="173">
        <f>+O46/L46-1</f>
        <v>6.6047417066755765E-2</v>
      </c>
      <c r="O46" s="564">
        <f>'FC - 3FS'!AQ58</f>
        <v>33869.392487627898</v>
      </c>
      <c r="P46" s="564">
        <f>+O46</f>
        <v>33869.392487627898</v>
      </c>
      <c r="Q46" s="564">
        <f>+P46</f>
        <v>33869.392487627898</v>
      </c>
      <c r="S46" s="564">
        <f>'FC - 3FS'!AS58</f>
        <v>40069.346882909696</v>
      </c>
    </row>
    <row r="47" spans="2:20" x14ac:dyDescent="0.2">
      <c r="B47" s="2" t="s">
        <v>127</v>
      </c>
      <c r="C47" s="174"/>
      <c r="D47" s="174">
        <f t="shared" ref="D47" si="36">+D46/D44-1</f>
        <v>5.7340241796199898E-3</v>
      </c>
      <c r="E47" s="174">
        <f t="shared" ref="E47" si="37">+E46/E44-1</f>
        <v>4.0000000000000036E-3</v>
      </c>
      <c r="F47" s="174">
        <f t="shared" ref="F47" si="38">+F46/F44-1</f>
        <v>2.271944922547231E-3</v>
      </c>
      <c r="G47" s="174">
        <f t="shared" ref="G47" si="39">+G46/G44-1</f>
        <v>5.4982817869420053E-4</v>
      </c>
      <c r="I47" s="174">
        <f t="shared" ref="I47:K47" si="40">+I46/I44-1</f>
        <v>5.4113924050633866E-3</v>
      </c>
      <c r="J47" s="174">
        <f t="shared" si="40"/>
        <v>3.8230647709320831E-3</v>
      </c>
      <c r="K47" s="174">
        <f t="shared" si="40"/>
        <v>3.8230647709320831E-3</v>
      </c>
      <c r="L47" s="1076">
        <f>+L46/L44-1</f>
        <v>2.2397476340694222E-3</v>
      </c>
      <c r="O47" s="174">
        <f t="shared" ref="O47:Q47" si="41">+O46/O44-1</f>
        <v>1.5573987635019382E-2</v>
      </c>
      <c r="P47" s="174">
        <f t="shared" si="41"/>
        <v>1.2537892006813101E-2</v>
      </c>
      <c r="Q47" s="174">
        <f t="shared" si="41"/>
        <v>1.1026641421728378E-2</v>
      </c>
      <c r="S47" s="174">
        <f>+S46/S44-1</f>
        <v>4.076225669895317E-2</v>
      </c>
    </row>
    <row r="48" spans="2:20" x14ac:dyDescent="0.2">
      <c r="B48" s="2" t="s">
        <v>812</v>
      </c>
      <c r="C48" s="174"/>
      <c r="D48" s="174"/>
      <c r="E48" s="174"/>
      <c r="F48" s="174"/>
      <c r="G48" s="174"/>
      <c r="I48" s="174"/>
      <c r="J48" s="174"/>
      <c r="K48" s="174"/>
      <c r="L48" s="1076"/>
      <c r="O48" s="1076">
        <f>+O44/O67</f>
        <v>0.47994657985893741</v>
      </c>
      <c r="P48" s="1076">
        <f>+P44/P67</f>
        <v>0.47774573255231162</v>
      </c>
      <c r="Q48" s="1076"/>
      <c r="S48" s="174">
        <f>S44/S67</f>
        <v>0.50993377483443714</v>
      </c>
    </row>
    <row r="49" spans="2:19" x14ac:dyDescent="0.2">
      <c r="B49" s="2" t="s">
        <v>813</v>
      </c>
      <c r="C49" s="174"/>
      <c r="D49" s="174"/>
      <c r="E49" s="174"/>
      <c r="F49" s="174"/>
      <c r="G49" s="174"/>
      <c r="I49" s="174"/>
      <c r="J49" s="174"/>
      <c r="K49" s="174"/>
      <c r="L49" s="174">
        <f>'FC - 3FS'!AP60</f>
        <v>0.48008401583607846</v>
      </c>
      <c r="O49" s="261">
        <f>'FC - 3FS'!AQ60</f>
        <v>0.47595051414561407</v>
      </c>
      <c r="P49" s="261">
        <f>+O49</f>
        <v>0.47595051414561407</v>
      </c>
      <c r="Q49" s="261"/>
      <c r="S49" s="174">
        <f>S46/S68</f>
        <v>0.4943678983688965</v>
      </c>
    </row>
    <row r="50" spans="2:19" x14ac:dyDescent="0.2">
      <c r="C50" s="174"/>
      <c r="D50" s="174"/>
      <c r="E50" s="174"/>
      <c r="F50" s="174"/>
      <c r="G50" s="174"/>
      <c r="I50" s="174"/>
      <c r="J50" s="174"/>
      <c r="K50" s="174"/>
      <c r="L50" s="174"/>
      <c r="O50" s="174"/>
      <c r="P50" s="174"/>
      <c r="Q50" s="174"/>
      <c r="S50" s="1051"/>
    </row>
    <row r="51" spans="2:19" x14ac:dyDescent="0.2">
      <c r="B51" s="3" t="s">
        <v>775</v>
      </c>
    </row>
    <row r="52" spans="2:19" x14ac:dyDescent="0.2">
      <c r="B52" s="2" t="s">
        <v>123</v>
      </c>
      <c r="K52" s="161"/>
      <c r="L52" s="161"/>
      <c r="O52" s="161"/>
      <c r="P52" s="161"/>
      <c r="Q52" s="161"/>
    </row>
    <row r="53" spans="2:19" x14ac:dyDescent="0.2">
      <c r="B53" s="2" t="s">
        <v>124</v>
      </c>
      <c r="K53" s="161"/>
    </row>
    <row r="54" spans="2:19" x14ac:dyDescent="0.2">
      <c r="B54" s="2" t="s">
        <v>125</v>
      </c>
      <c r="K54" s="5"/>
      <c r="S54" s="4">
        <f>'FC - 3FS'!AO6*(1+6%)^4</f>
        <v>61472.528136320012</v>
      </c>
    </row>
    <row r="55" spans="2:19" x14ac:dyDescent="0.2">
      <c r="B55" s="2" t="s">
        <v>772</v>
      </c>
      <c r="K55" s="564"/>
      <c r="S55" s="564">
        <f>'FC - 3FS'!AS6</f>
        <v>68048.48580345769</v>
      </c>
    </row>
    <row r="56" spans="2:19" x14ac:dyDescent="0.2">
      <c r="B56" s="2" t="s">
        <v>127</v>
      </c>
      <c r="K56" s="174"/>
      <c r="S56" s="174">
        <f>S55/S54-1</f>
        <v>0.10697392585766097</v>
      </c>
    </row>
    <row r="58" spans="2:19" x14ac:dyDescent="0.2">
      <c r="B58" s="3" t="s">
        <v>156</v>
      </c>
    </row>
    <row r="59" spans="2:19" x14ac:dyDescent="0.2">
      <c r="B59" s="2" t="s">
        <v>777</v>
      </c>
      <c r="K59" s="307">
        <v>0.03</v>
      </c>
      <c r="L59" s="307">
        <f>K59</f>
        <v>0.03</v>
      </c>
      <c r="O59" s="267">
        <v>0.03</v>
      </c>
      <c r="P59" s="267">
        <v>3.5000000000000003E-2</v>
      </c>
      <c r="Q59" s="267"/>
      <c r="S59" s="307">
        <v>0.02</v>
      </c>
    </row>
    <row r="60" spans="2:19" x14ac:dyDescent="0.2">
      <c r="B60" s="2" t="s">
        <v>778</v>
      </c>
      <c r="K60" s="253">
        <f>(1+K59)*'IS Drivers'!AO112</f>
        <v>143.44810000000001</v>
      </c>
      <c r="L60" s="253">
        <f t="shared" ref="L60:L61" si="42">K60</f>
        <v>143.44810000000001</v>
      </c>
      <c r="O60" s="253">
        <f>(1+O59)*L61</f>
        <v>148.16550000000001</v>
      </c>
      <c r="P60" s="253">
        <f>(1+P59)*L61</f>
        <v>148.88475</v>
      </c>
      <c r="Q60" s="253"/>
      <c r="S60" s="167">
        <f>'IS Drivers'!AO112*(1+2%)^4</f>
        <v>150.75032692320002</v>
      </c>
    </row>
    <row r="61" spans="2:19" x14ac:dyDescent="0.2">
      <c r="B61" s="2" t="s">
        <v>772</v>
      </c>
      <c r="K61" s="1035">
        <f>+'IS Drivers'!AP112</f>
        <v>143.85</v>
      </c>
      <c r="L61" s="1035">
        <f t="shared" si="42"/>
        <v>143.85</v>
      </c>
      <c r="O61" s="1035">
        <f>'IS Drivers'!AQ112</f>
        <v>147.90273404101802</v>
      </c>
      <c r="P61" s="1035">
        <f>+O61</f>
        <v>147.90273404101802</v>
      </c>
      <c r="Q61" s="1035"/>
      <c r="S61" s="1035">
        <f>'IS Drivers'!AS112</f>
        <v>153.08502268983662</v>
      </c>
    </row>
    <row r="62" spans="2:19" x14ac:dyDescent="0.2">
      <c r="B62" s="2" t="s">
        <v>127</v>
      </c>
      <c r="K62" s="174">
        <f>K61/K60-1</f>
        <v>2.801710165557969E-3</v>
      </c>
      <c r="L62" s="174">
        <f>L61/L60-1</f>
        <v>2.801710165557969E-3</v>
      </c>
      <c r="O62" s="174">
        <f>O61/O60-1</f>
        <v>-1.7734625063323683E-3</v>
      </c>
      <c r="P62" s="174">
        <f>P61/P60-1</f>
        <v>-6.5958129290070167E-3</v>
      </c>
      <c r="Q62" s="174"/>
      <c r="S62" s="174">
        <f>S61/S60-1</f>
        <v>1.5487168845915722E-2</v>
      </c>
    </row>
    <row r="63" spans="2:19" x14ac:dyDescent="0.2">
      <c r="G63" s="161"/>
      <c r="P63" s="174">
        <f>+P61/L61-1</f>
        <v>2.8173333618477736E-2</v>
      </c>
      <c r="Q63" s="174"/>
    </row>
    <row r="64" spans="2:19" x14ac:dyDescent="0.2">
      <c r="B64" s="3" t="s">
        <v>797</v>
      </c>
    </row>
    <row r="65" spans="2:19" x14ac:dyDescent="0.2">
      <c r="B65" s="2" t="s">
        <v>123</v>
      </c>
      <c r="N65" s="163"/>
      <c r="P65" s="5"/>
      <c r="Q65" s="5"/>
      <c r="S65" s="4">
        <v>75000</v>
      </c>
    </row>
    <row r="66" spans="2:19" x14ac:dyDescent="0.2">
      <c r="B66" s="2" t="s">
        <v>124</v>
      </c>
      <c r="N66" s="163"/>
      <c r="O66" s="5"/>
      <c r="P66" s="5">
        <f>+'FC - 3FS'!AQ11</f>
        <v>71161.58399035949</v>
      </c>
      <c r="Q66" s="5"/>
      <c r="S66" s="4">
        <v>76000</v>
      </c>
    </row>
    <row r="67" spans="2:19" x14ac:dyDescent="0.2">
      <c r="B67" s="2" t="s">
        <v>125</v>
      </c>
      <c r="K67" s="2" t="s">
        <v>798</v>
      </c>
      <c r="N67" s="161">
        <f>(1+N70)*'FC - 3FS'!$AP$11</f>
        <v>68825.119999999995</v>
      </c>
      <c r="O67" s="161">
        <f>(1+O70)*'FC - 3FS'!$AP$11</f>
        <v>69486.900000000009</v>
      </c>
      <c r="P67" s="161">
        <f>(1+P70)*'FC - 3FS'!$AP$11</f>
        <v>70016.324000000008</v>
      </c>
      <c r="Q67" s="161">
        <f>(1+Q70)*'FC - 3FS'!$AP$11</f>
        <v>70148.680000000008</v>
      </c>
      <c r="S67" s="5">
        <f>AVERAGE(S65:S66)</f>
        <v>75500</v>
      </c>
    </row>
    <row r="68" spans="2:19" x14ac:dyDescent="0.2">
      <c r="B68" s="2" t="s">
        <v>772</v>
      </c>
      <c r="L68" s="261">
        <f>'IS Drivers'!AP7</f>
        <v>4.644139086984711E-2</v>
      </c>
      <c r="N68" s="261">
        <f>+'IS Drivers'!AQ6/'IS Drivers'!AP6-1</f>
        <v>7.5305751010297906E-2</v>
      </c>
      <c r="O68" s="261">
        <f>+N68</f>
        <v>7.5305751010297906E-2</v>
      </c>
      <c r="P68" s="261">
        <f>+O68</f>
        <v>7.5305751010297906E-2</v>
      </c>
      <c r="Q68" s="261">
        <f>+P68</f>
        <v>7.5305751010297906E-2</v>
      </c>
      <c r="S68" s="564">
        <f>'FC - 3FS'!AS11</f>
        <v>81051.676322660453</v>
      </c>
    </row>
    <row r="69" spans="2:19" x14ac:dyDescent="0.2">
      <c r="B69" s="2" t="s">
        <v>127</v>
      </c>
      <c r="K69" s="174"/>
      <c r="N69" s="174"/>
      <c r="O69" s="174">
        <f>+O68-O70</f>
        <v>2.5305751010297903E-2</v>
      </c>
      <c r="P69" s="174">
        <f>+P68-P70</f>
        <v>1.7305751010297903E-2</v>
      </c>
      <c r="Q69" s="174">
        <f>+Q68-Q70</f>
        <v>1.5305751010297908E-2</v>
      </c>
      <c r="S69" s="174">
        <f>S68/S67-1</f>
        <v>7.3532136723979402E-2</v>
      </c>
    </row>
    <row r="70" spans="2:19" x14ac:dyDescent="0.2">
      <c r="B70" s="2" t="s">
        <v>774</v>
      </c>
      <c r="K70" s="174"/>
      <c r="N70" s="267">
        <v>0.04</v>
      </c>
      <c r="O70" s="267">
        <v>0.05</v>
      </c>
      <c r="P70" s="267">
        <v>5.8000000000000003E-2</v>
      </c>
      <c r="Q70" s="267">
        <v>0.06</v>
      </c>
    </row>
    <row r="71" spans="2:19" x14ac:dyDescent="0.2">
      <c r="B71" s="2" t="s">
        <v>938</v>
      </c>
      <c r="K71" s="174"/>
      <c r="N71" s="267"/>
      <c r="O71" s="267"/>
      <c r="P71" s="163">
        <f>+P67-O67</f>
        <v>529.42399999999907</v>
      </c>
      <c r="Q71" s="163"/>
    </row>
    <row r="73" spans="2:19" x14ac:dyDescent="0.2">
      <c r="B73" s="3" t="s">
        <v>783</v>
      </c>
      <c r="S73" s="174"/>
    </row>
    <row r="74" spans="2:19" x14ac:dyDescent="0.2">
      <c r="B74" s="2" t="s">
        <v>123</v>
      </c>
      <c r="C74" s="308"/>
      <c r="D74" s="308"/>
      <c r="E74" s="308"/>
      <c r="F74" s="308"/>
      <c r="G74" s="308"/>
      <c r="I74" s="308">
        <v>0.24</v>
      </c>
      <c r="J74" s="308">
        <v>0.24</v>
      </c>
      <c r="K74" s="308">
        <v>0.24</v>
      </c>
      <c r="L74" s="308"/>
      <c r="O74" s="308">
        <v>0.24</v>
      </c>
      <c r="P74" s="308">
        <v>0.24</v>
      </c>
      <c r="Q74" s="308"/>
      <c r="S74" s="174"/>
    </row>
    <row r="75" spans="2:19" x14ac:dyDescent="0.2">
      <c r="B75" s="2" t="s">
        <v>124</v>
      </c>
      <c r="C75" s="307"/>
      <c r="D75" s="307"/>
      <c r="E75" s="307"/>
      <c r="F75" s="307"/>
      <c r="G75" s="307"/>
      <c r="I75" s="307">
        <v>0.26</v>
      </c>
      <c r="J75" s="307">
        <v>0.26</v>
      </c>
      <c r="K75" s="307">
        <v>0.25</v>
      </c>
      <c r="L75" s="307"/>
      <c r="O75" s="307">
        <v>0.26</v>
      </c>
      <c r="P75" s="307">
        <v>0.26</v>
      </c>
      <c r="Q75" s="307"/>
      <c r="S75" s="174"/>
    </row>
    <row r="76" spans="2:19" x14ac:dyDescent="0.2">
      <c r="B76" s="2" t="s">
        <v>125</v>
      </c>
      <c r="C76" s="173"/>
      <c r="D76" s="173"/>
      <c r="E76" s="173"/>
      <c r="F76" s="173"/>
      <c r="G76" s="173"/>
      <c r="I76" s="174">
        <f t="shared" ref="I76:K76" si="43">+AVERAGE(I74:I75)</f>
        <v>0.25</v>
      </c>
      <c r="J76" s="174">
        <f t="shared" si="43"/>
        <v>0.25</v>
      </c>
      <c r="K76" s="174">
        <f t="shared" si="43"/>
        <v>0.245</v>
      </c>
      <c r="L76" s="308">
        <v>0.24</v>
      </c>
      <c r="O76" s="174">
        <f t="shared" ref="O76:P76" si="44">+AVERAGE(O74:O75)</f>
        <v>0.25</v>
      </c>
      <c r="P76" s="174">
        <f t="shared" si="44"/>
        <v>0.25</v>
      </c>
      <c r="Q76" s="174"/>
      <c r="S76" s="174"/>
    </row>
    <row r="77" spans="2:19" x14ac:dyDescent="0.2">
      <c r="B77" s="2" t="s">
        <v>126</v>
      </c>
      <c r="I77" s="261">
        <f>-'FC - 3FS'!AP29/'FC - 3FS'!AP28</f>
        <v>0.22926862425231104</v>
      </c>
      <c r="J77" s="1037">
        <f>+I77</f>
        <v>0.22926862425231104</v>
      </c>
      <c r="K77" s="1037">
        <f t="shared" ref="K77:L77" si="45">+J77</f>
        <v>0.22926862425231104</v>
      </c>
      <c r="L77" s="1037">
        <f t="shared" si="45"/>
        <v>0.22926862425231104</v>
      </c>
      <c r="O77" s="261">
        <f>-'FC - 3FS'!AQ29/'FC - 3FS'!AQ28</f>
        <v>0.23552142439040605</v>
      </c>
      <c r="P77" s="261">
        <f>+O77</f>
        <v>0.23552142439040605</v>
      </c>
      <c r="Q77" s="261"/>
      <c r="S77" s="174"/>
    </row>
    <row r="78" spans="2:19" x14ac:dyDescent="0.2">
      <c r="B78" s="2" t="s">
        <v>127</v>
      </c>
      <c r="I78" s="174">
        <f>+I77-I76</f>
        <v>-2.0731375747688963E-2</v>
      </c>
      <c r="J78" s="174">
        <f t="shared" ref="J78:K78" si="46">+J77-J76</f>
        <v>-2.0731375747688963E-2</v>
      </c>
      <c r="K78" s="174">
        <f t="shared" si="46"/>
        <v>-1.5731375747688958E-2</v>
      </c>
      <c r="L78" s="174">
        <f t="shared" ref="L78" si="47">+L77-L76</f>
        <v>-1.0731375747688954E-2</v>
      </c>
      <c r="O78" s="174">
        <f>+O77-O76</f>
        <v>-1.4478575609593952E-2</v>
      </c>
      <c r="P78" s="174">
        <f>+P77-P76</f>
        <v>-1.4478575609593952E-2</v>
      </c>
      <c r="Q78" s="174"/>
      <c r="S78" s="174"/>
    </row>
    <row r="80" spans="2:19" x14ac:dyDescent="0.2">
      <c r="B80" s="3" t="s">
        <v>780</v>
      </c>
    </row>
    <row r="81" spans="2:21" x14ac:dyDescent="0.2">
      <c r="B81" s="2" t="s">
        <v>776</v>
      </c>
      <c r="U81" s="4">
        <v>12000</v>
      </c>
    </row>
    <row r="82" spans="2:21" x14ac:dyDescent="0.2">
      <c r="B82" s="2" t="s">
        <v>772</v>
      </c>
      <c r="U82" s="564">
        <f>'IS Drivers'!AT20</f>
        <v>0</v>
      </c>
    </row>
    <row r="83" spans="2:21" x14ac:dyDescent="0.2">
      <c r="B83" s="2" t="s">
        <v>127</v>
      </c>
    </row>
    <row r="85" spans="2:21" x14ac:dyDescent="0.2">
      <c r="B85" s="3" t="s">
        <v>100</v>
      </c>
    </row>
    <row r="86" spans="2:21" x14ac:dyDescent="0.2">
      <c r="B86" s="2" t="s">
        <v>123</v>
      </c>
      <c r="C86" s="4"/>
      <c r="D86" s="4"/>
      <c r="E86" s="4"/>
      <c r="F86" s="4"/>
      <c r="G86" s="4"/>
      <c r="I86" s="4">
        <v>3400</v>
      </c>
      <c r="J86" s="4">
        <v>3400</v>
      </c>
      <c r="K86" s="4">
        <v>3500</v>
      </c>
      <c r="L86" s="1077">
        <v>3500</v>
      </c>
      <c r="O86" s="1077"/>
      <c r="P86" s="1077"/>
      <c r="Q86" s="1077"/>
      <c r="S86" s="5">
        <f>+S21+S14-S6</f>
        <v>3000</v>
      </c>
    </row>
    <row r="87" spans="2:21" x14ac:dyDescent="0.2">
      <c r="B87" s="2" t="s">
        <v>124</v>
      </c>
      <c r="C87" s="4"/>
      <c r="D87" s="4"/>
      <c r="E87" s="4"/>
      <c r="F87" s="4"/>
      <c r="G87" s="4"/>
      <c r="I87" s="4">
        <v>4000</v>
      </c>
      <c r="J87" s="4">
        <v>4000</v>
      </c>
      <c r="K87" s="4">
        <v>3900</v>
      </c>
      <c r="L87" s="1077">
        <v>3700</v>
      </c>
      <c r="O87" s="1077"/>
      <c r="P87" s="1077"/>
      <c r="Q87" s="1077"/>
      <c r="S87" s="5">
        <f>+S22+S15-S7</f>
        <v>4000</v>
      </c>
    </row>
    <row r="88" spans="2:21" x14ac:dyDescent="0.2">
      <c r="B88" s="2" t="s">
        <v>125</v>
      </c>
      <c r="C88" s="5"/>
      <c r="D88" s="5"/>
      <c r="E88" s="5"/>
      <c r="F88" s="5"/>
      <c r="G88" s="5"/>
      <c r="I88" s="5">
        <f t="shared" ref="I88:L88" si="48">+AVERAGE(I86:I87)</f>
        <v>3700</v>
      </c>
      <c r="J88" s="5">
        <f t="shared" si="48"/>
        <v>3700</v>
      </c>
      <c r="K88" s="5">
        <f t="shared" si="48"/>
        <v>3700</v>
      </c>
      <c r="L88" s="5">
        <f t="shared" si="48"/>
        <v>3600</v>
      </c>
      <c r="O88" s="5"/>
      <c r="P88" s="5"/>
      <c r="Q88" s="5"/>
      <c r="S88" s="5">
        <f>+S23+S16-S8</f>
        <v>3500</v>
      </c>
    </row>
    <row r="89" spans="2:21" x14ac:dyDescent="0.2">
      <c r="B89" s="2" t="s">
        <v>126</v>
      </c>
      <c r="C89" s="564"/>
      <c r="D89" s="564"/>
      <c r="E89" s="564"/>
      <c r="F89" s="564"/>
      <c r="G89" s="564"/>
      <c r="I89" s="564">
        <f>'FC - 3FS'!AP172</f>
        <v>3579</v>
      </c>
      <c r="J89" s="564">
        <f>+I89</f>
        <v>3579</v>
      </c>
      <c r="K89" s="564">
        <f>+J89</f>
        <v>3579</v>
      </c>
      <c r="L89" s="564">
        <f>+K89</f>
        <v>3579</v>
      </c>
      <c r="O89" s="564"/>
      <c r="P89" s="564"/>
      <c r="Q89" s="564"/>
      <c r="S89" s="564">
        <f>'FC - 3FS'!AS172</f>
        <v>0</v>
      </c>
    </row>
    <row r="90" spans="2:21" x14ac:dyDescent="0.2">
      <c r="B90" s="2" t="s">
        <v>127</v>
      </c>
      <c r="C90" s="174"/>
      <c r="D90" s="174"/>
      <c r="E90" s="174"/>
      <c r="F90" s="174"/>
      <c r="G90" s="174"/>
      <c r="I90" s="174">
        <f>+I89/I88-1</f>
        <v>-3.2702702702702702E-2</v>
      </c>
      <c r="J90" s="174">
        <f t="shared" ref="J90" si="49">+J89/J88-1</f>
        <v>-3.2702702702702702E-2</v>
      </c>
      <c r="K90" s="174">
        <f t="shared" ref="K90" si="50">+K89/K88-1</f>
        <v>-3.2702702702702702E-2</v>
      </c>
      <c r="L90" s="1076">
        <f>+L89/L88-1</f>
        <v>-5.833333333333357E-3</v>
      </c>
      <c r="O90" s="1076"/>
      <c r="P90" s="1076"/>
      <c r="Q90" s="1076"/>
      <c r="S90" s="174">
        <f t="shared" ref="S90" si="51">+S89/S88-1</f>
        <v>-1</v>
      </c>
    </row>
    <row r="92" spans="2:21" x14ac:dyDescent="0.2">
      <c r="B92" s="3" t="s">
        <v>941</v>
      </c>
    </row>
    <row r="93" spans="2:21" x14ac:dyDescent="0.2">
      <c r="B93" s="2" t="s">
        <v>776</v>
      </c>
    </row>
    <row r="94" spans="2:21" x14ac:dyDescent="0.2">
      <c r="B94" s="2" t="s">
        <v>772</v>
      </c>
    </row>
    <row r="95" spans="2:21" x14ac:dyDescent="0.2">
      <c r="B95" s="2" t="s">
        <v>127</v>
      </c>
      <c r="Q95" s="174"/>
    </row>
    <row r="97" spans="2:17" x14ac:dyDescent="0.2">
      <c r="B97" s="3" t="s">
        <v>133</v>
      </c>
      <c r="Q97" s="174"/>
    </row>
    <row r="98" spans="2:17" x14ac:dyDescent="0.2">
      <c r="B98" s="2" t="s">
        <v>123</v>
      </c>
    </row>
    <row r="99" spans="2:17" x14ac:dyDescent="0.2">
      <c r="B99" s="2" t="s">
        <v>124</v>
      </c>
    </row>
    <row r="100" spans="2:17" x14ac:dyDescent="0.2">
      <c r="B100" s="2" t="s">
        <v>125</v>
      </c>
      <c r="Q100" s="1077">
        <f>8500</f>
        <v>8500</v>
      </c>
    </row>
    <row r="101" spans="2:17" x14ac:dyDescent="0.2">
      <c r="B101" s="2" t="s">
        <v>126</v>
      </c>
      <c r="Q101" s="564">
        <f>'FC - 3FS'!AD58</f>
        <v>8680</v>
      </c>
    </row>
    <row r="102" spans="2:17" x14ac:dyDescent="0.2">
      <c r="B102" s="2" t="s">
        <v>127</v>
      </c>
      <c r="Q102" s="174">
        <f>+Q101/Q100-1</f>
        <v>2.1176470588235352E-2</v>
      </c>
    </row>
    <row r="105" spans="2:17" x14ac:dyDescent="0.2">
      <c r="B105" s="2" t="s">
        <v>942</v>
      </c>
    </row>
  </sheetData>
  <conditionalFormatting sqref="C11:G11">
    <cfRule type="cellIs" dxfId="97" priority="115" operator="lessThan">
      <formula>0</formula>
    </cfRule>
    <cfRule type="cellIs" dxfId="96" priority="116" operator="greaterThan">
      <formula>0</formula>
    </cfRule>
  </conditionalFormatting>
  <conditionalFormatting sqref="C18:G18">
    <cfRule type="cellIs" dxfId="95" priority="113" operator="lessThan">
      <formula>0</formula>
    </cfRule>
    <cfRule type="cellIs" dxfId="94" priority="114" operator="greaterThan">
      <formula>0</formula>
    </cfRule>
  </conditionalFormatting>
  <conditionalFormatting sqref="C26:G26">
    <cfRule type="cellIs" dxfId="93" priority="109" operator="lessThan">
      <formula>0</formula>
    </cfRule>
    <cfRule type="cellIs" dxfId="92" priority="110" operator="greaterThan">
      <formula>0</formula>
    </cfRule>
  </conditionalFormatting>
  <conditionalFormatting sqref="C34:G36 I34:L36 C37 G37 J37 C38:G38 I38:J38 I50:L50 K56 S56 K62:K64 S62:S64 K73 S73:S79 K78:K79">
    <cfRule type="cellIs" dxfId="91" priority="157" operator="lessThan">
      <formula>0</formula>
    </cfRule>
    <cfRule type="cellIs" dxfId="90" priority="158" operator="greaterThan">
      <formula>0</formula>
    </cfRule>
  </conditionalFormatting>
  <conditionalFormatting sqref="C47:G47">
    <cfRule type="cellIs" dxfId="89" priority="103" operator="lessThan">
      <formula>0</formula>
    </cfRule>
    <cfRule type="cellIs" dxfId="88" priority="104" operator="greaterThan">
      <formula>0</formula>
    </cfRule>
  </conditionalFormatting>
  <conditionalFormatting sqref="C50:G50">
    <cfRule type="cellIs" dxfId="87" priority="127" operator="lessThan">
      <formula>0</formula>
    </cfRule>
    <cfRule type="cellIs" dxfId="86" priority="128" operator="greaterThan">
      <formula>0</formula>
    </cfRule>
  </conditionalFormatting>
  <conditionalFormatting sqref="C90:G90">
    <cfRule type="cellIs" dxfId="85" priority="111" operator="lessThan">
      <formula>0</formula>
    </cfRule>
    <cfRule type="cellIs" dxfId="84" priority="112" operator="greaterThan">
      <formula>0</formula>
    </cfRule>
  </conditionalFormatting>
  <conditionalFormatting sqref="E9:G9">
    <cfRule type="cellIs" dxfId="83" priority="65" operator="lessThan">
      <formula>0</formula>
    </cfRule>
    <cfRule type="cellIs" dxfId="82" priority="66" operator="greaterThan">
      <formula>0</formula>
    </cfRule>
  </conditionalFormatting>
  <conditionalFormatting sqref="E24:G24">
    <cfRule type="cellIs" dxfId="81" priority="71" operator="lessThan">
      <formula>0</formula>
    </cfRule>
    <cfRule type="cellIs" dxfId="80" priority="72" operator="greaterThan">
      <formula>0</formula>
    </cfRule>
  </conditionalFormatting>
  <conditionalFormatting sqref="E32:G32">
    <cfRule type="cellIs" dxfId="79" priority="73" operator="lessThan">
      <formula>0</formula>
    </cfRule>
    <cfRule type="cellIs" dxfId="78" priority="74" operator="greaterThan">
      <formula>0</formula>
    </cfRule>
  </conditionalFormatting>
  <conditionalFormatting sqref="E45:G45">
    <cfRule type="cellIs" dxfId="77" priority="59" operator="lessThan">
      <formula>0</formula>
    </cfRule>
    <cfRule type="cellIs" dxfId="76" priority="60" operator="greaterThan">
      <formula>0</formula>
    </cfRule>
  </conditionalFormatting>
  <conditionalFormatting sqref="I11:L11">
    <cfRule type="cellIs" dxfId="75" priority="93" operator="lessThan">
      <formula>0</formula>
    </cfRule>
    <cfRule type="cellIs" dxfId="74" priority="94" operator="greaterThan">
      <formula>0</formula>
    </cfRule>
  </conditionalFormatting>
  <conditionalFormatting sqref="I18:L18">
    <cfRule type="cellIs" dxfId="73" priority="95" operator="lessThan">
      <formula>0</formula>
    </cfRule>
    <cfRule type="cellIs" dxfId="72" priority="96" operator="greaterThan">
      <formula>0</formula>
    </cfRule>
  </conditionalFormatting>
  <conditionalFormatting sqref="I26:L26">
    <cfRule type="cellIs" dxfId="71" priority="99" operator="lessThan">
      <formula>0</formula>
    </cfRule>
    <cfRule type="cellIs" dxfId="70" priority="100" operator="greaterThan">
      <formula>0</formula>
    </cfRule>
  </conditionalFormatting>
  <conditionalFormatting sqref="I47:L47">
    <cfRule type="cellIs" dxfId="69" priority="101" operator="lessThan">
      <formula>0</formula>
    </cfRule>
    <cfRule type="cellIs" dxfId="68" priority="102" operator="greaterThan">
      <formula>0</formula>
    </cfRule>
  </conditionalFormatting>
  <conditionalFormatting sqref="I78:L78">
    <cfRule type="cellIs" dxfId="67" priority="63" operator="lessThan">
      <formula>0</formula>
    </cfRule>
    <cfRule type="cellIs" dxfId="66" priority="64" operator="greaterThan">
      <formula>0</formula>
    </cfRule>
  </conditionalFormatting>
  <conditionalFormatting sqref="I90:L90">
    <cfRule type="cellIs" dxfId="65" priority="97" operator="lessThan">
      <formula>0</formula>
    </cfRule>
    <cfRule type="cellIs" dxfId="64" priority="98" operator="greaterThan">
      <formula>0</formula>
    </cfRule>
  </conditionalFormatting>
  <conditionalFormatting sqref="J9:L9">
    <cfRule type="cellIs" dxfId="63" priority="67" operator="lessThan">
      <formula>0</formula>
    </cfRule>
    <cfRule type="cellIs" dxfId="62" priority="68" operator="greaterThan">
      <formula>0</formula>
    </cfRule>
  </conditionalFormatting>
  <conditionalFormatting sqref="J24:L24">
    <cfRule type="cellIs" dxfId="61" priority="69" operator="lessThan">
      <formula>0</formula>
    </cfRule>
    <cfRule type="cellIs" dxfId="60" priority="70" operator="greaterThan">
      <formula>0</formula>
    </cfRule>
  </conditionalFormatting>
  <conditionalFormatting sqref="J32:L32">
    <cfRule type="cellIs" dxfId="59" priority="75" operator="lessThan">
      <formula>0</formula>
    </cfRule>
    <cfRule type="cellIs" dxfId="58" priority="76" operator="greaterThan">
      <formula>0</formula>
    </cfRule>
  </conditionalFormatting>
  <conditionalFormatting sqref="J45:L45">
    <cfRule type="cellIs" dxfId="57" priority="61" operator="lessThan">
      <formula>0</formula>
    </cfRule>
    <cfRule type="cellIs" dxfId="56" priority="62" operator="greaterThan">
      <formula>0</formula>
    </cfRule>
  </conditionalFormatting>
  <conditionalFormatting sqref="K69:K71">
    <cfRule type="cellIs" dxfId="55" priority="85" operator="lessThan">
      <formula>0</formula>
    </cfRule>
    <cfRule type="cellIs" dxfId="54" priority="86" operator="greaterThan">
      <formula>0</formula>
    </cfRule>
  </conditionalFormatting>
  <conditionalFormatting sqref="K39:L39">
    <cfRule type="cellIs" dxfId="53" priority="89" operator="lessThan">
      <formula>0</formula>
    </cfRule>
    <cfRule type="cellIs" dxfId="52" priority="90" operator="greaterThan">
      <formula>0</formula>
    </cfRule>
  </conditionalFormatting>
  <conditionalFormatting sqref="L62">
    <cfRule type="cellIs" dxfId="51" priority="57" operator="lessThan">
      <formula>0</formula>
    </cfRule>
    <cfRule type="cellIs" dxfId="50" priority="58" operator="greaterThan">
      <formula>0</formula>
    </cfRule>
  </conditionalFormatting>
  <conditionalFormatting sqref="N69:Q69">
    <cfRule type="cellIs" dxfId="49" priority="7" operator="lessThan">
      <formula>0</formula>
    </cfRule>
    <cfRule type="cellIs" dxfId="48" priority="8" operator="greaterThan">
      <formula>0</formula>
    </cfRule>
  </conditionalFormatting>
  <conditionalFormatting sqref="O9:Q9">
    <cfRule type="cellIs" dxfId="47" priority="25" operator="lessThan">
      <formula>0</formula>
    </cfRule>
    <cfRule type="cellIs" dxfId="46" priority="26" operator="greaterThan">
      <formula>0</formula>
    </cfRule>
  </conditionalFormatting>
  <conditionalFormatting sqref="O11:Q11">
    <cfRule type="cellIs" dxfId="45" priority="27" operator="lessThan">
      <formula>0</formula>
    </cfRule>
    <cfRule type="cellIs" dxfId="44" priority="28" operator="greaterThan">
      <formula>0</formula>
    </cfRule>
  </conditionalFormatting>
  <conditionalFormatting sqref="O18:Q18">
    <cfRule type="cellIs" dxfId="43" priority="23" operator="lessThan">
      <formula>0</formula>
    </cfRule>
    <cfRule type="cellIs" dxfId="42" priority="24" operator="greaterThan">
      <formula>0</formula>
    </cfRule>
  </conditionalFormatting>
  <conditionalFormatting sqref="O24:Q24">
    <cfRule type="cellIs" dxfId="41" priority="19" operator="lessThan">
      <formula>0</formula>
    </cfRule>
    <cfRule type="cellIs" dxfId="40" priority="20" operator="greaterThan">
      <formula>0</formula>
    </cfRule>
  </conditionalFormatting>
  <conditionalFormatting sqref="O26:Q26">
    <cfRule type="cellIs" dxfId="39" priority="21" operator="lessThan">
      <formula>0</formula>
    </cfRule>
    <cfRule type="cellIs" dxfId="38" priority="22" operator="greaterThan">
      <formula>0</formula>
    </cfRule>
  </conditionalFormatting>
  <conditionalFormatting sqref="O34:Q36">
    <cfRule type="cellIs" dxfId="37" priority="17" operator="lessThan">
      <formula>0</formula>
    </cfRule>
    <cfRule type="cellIs" dxfId="36" priority="18" operator="greaterThan">
      <formula>0</formula>
    </cfRule>
  </conditionalFormatting>
  <conditionalFormatting sqref="O39:Q39">
    <cfRule type="cellIs" dxfId="35" priority="11" operator="lessThan">
      <formula>0</formula>
    </cfRule>
    <cfRule type="cellIs" dxfId="34" priority="12" operator="greaterThan">
      <formula>0</formula>
    </cfRule>
  </conditionalFormatting>
  <conditionalFormatting sqref="O47:Q47">
    <cfRule type="cellIs" dxfId="33" priority="15" operator="lessThan">
      <formula>0</formula>
    </cfRule>
    <cfRule type="cellIs" dxfId="32" priority="16" operator="greaterThan">
      <formula>0</formula>
    </cfRule>
  </conditionalFormatting>
  <conditionalFormatting sqref="O50:Q50">
    <cfRule type="cellIs" dxfId="31" priority="55" operator="lessThan">
      <formula>0</formula>
    </cfRule>
    <cfRule type="cellIs" dxfId="30" priority="56" operator="greaterThan">
      <formula>0</formula>
    </cfRule>
  </conditionalFormatting>
  <conditionalFormatting sqref="O62:Q62">
    <cfRule type="cellIs" dxfId="29" priority="9" operator="lessThan">
      <formula>0</formula>
    </cfRule>
    <cfRule type="cellIs" dxfId="28" priority="10" operator="greaterThan">
      <formula>0</formula>
    </cfRule>
  </conditionalFormatting>
  <conditionalFormatting sqref="O78:Q78">
    <cfRule type="cellIs" dxfId="27" priority="13" operator="lessThan">
      <formula>0</formula>
    </cfRule>
    <cfRule type="cellIs" dxfId="26" priority="14" operator="greaterThan">
      <formula>0</formula>
    </cfRule>
  </conditionalFormatting>
  <conditionalFormatting sqref="O90:Q90">
    <cfRule type="cellIs" dxfId="25" priority="49" operator="lessThan">
      <formula>0</formula>
    </cfRule>
    <cfRule type="cellIs" dxfId="24" priority="50" operator="greaterThan">
      <formula>0</formula>
    </cfRule>
  </conditionalFormatting>
  <conditionalFormatting sqref="Q95">
    <cfRule type="cellIs" dxfId="23" priority="3" operator="lessThan">
      <formula>0</formula>
    </cfRule>
    <cfRule type="cellIs" dxfId="22" priority="4" operator="greaterThan">
      <formula>0</formula>
    </cfRule>
  </conditionalFormatting>
  <conditionalFormatting sqref="Q97">
    <cfRule type="cellIs" dxfId="21" priority="5" operator="lessThan">
      <formula>0</formula>
    </cfRule>
    <cfRule type="cellIs" dxfId="20" priority="6" operator="greaterThan">
      <formula>0</formula>
    </cfRule>
  </conditionalFormatting>
  <conditionalFormatting sqref="Q102">
    <cfRule type="cellIs" dxfId="19" priority="1" operator="lessThan">
      <formula>0</formula>
    </cfRule>
    <cfRule type="cellIs" dxfId="18" priority="2" operator="greaterThan">
      <formula>0</formula>
    </cfRule>
  </conditionalFormatting>
  <conditionalFormatting sqref="S11">
    <cfRule type="cellIs" dxfId="17" priority="135" operator="lessThan">
      <formula>0</formula>
    </cfRule>
    <cfRule type="cellIs" dxfId="16" priority="136" operator="greaterThan">
      <formula>0</formula>
    </cfRule>
  </conditionalFormatting>
  <conditionalFormatting sqref="S18">
    <cfRule type="cellIs" dxfId="15" priority="137" operator="lessThan">
      <formula>0</formula>
    </cfRule>
    <cfRule type="cellIs" dxfId="14" priority="138" operator="greaterThan">
      <formula>0</formula>
    </cfRule>
  </conditionalFormatting>
  <conditionalFormatting sqref="S26">
    <cfRule type="cellIs" dxfId="13" priority="145" operator="lessThan">
      <formula>0</formula>
    </cfRule>
    <cfRule type="cellIs" dxfId="12" priority="146" operator="greaterThan">
      <formula>0</formula>
    </cfRule>
  </conditionalFormatting>
  <conditionalFormatting sqref="S47 S50">
    <cfRule type="cellIs" dxfId="11" priority="155" operator="lessThan">
      <formula>0</formula>
    </cfRule>
    <cfRule type="cellIs" dxfId="10" priority="156" operator="greaterThan">
      <formula>0</formula>
    </cfRule>
  </conditionalFormatting>
  <conditionalFormatting sqref="S69:S71">
    <cfRule type="cellIs" dxfId="9" priority="149" operator="lessThan">
      <formula>0</formula>
    </cfRule>
    <cfRule type="cellIs" dxfId="8" priority="150" operator="greaterThan">
      <formula>0</formula>
    </cfRule>
  </conditionalFormatting>
  <conditionalFormatting sqref="S90">
    <cfRule type="cellIs" dxfId="7" priority="129" operator="lessThan">
      <formula>0</formula>
    </cfRule>
    <cfRule type="cellIs" dxfId="6" priority="130" operator="greaterThan">
      <formula>0</formula>
    </cfRule>
  </conditionalFormatting>
  <pageMargins left="0.7" right="0.7" top="0.75" bottom="0.75" header="0.3" footer="0.3"/>
  <pageSetup scale="43"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EF6BF-C795-4145-8375-F26F3E856E6D}">
  <dimension ref="A1:F15"/>
  <sheetViews>
    <sheetView showGridLines="0" workbookViewId="0">
      <selection activeCell="A2" sqref="A2"/>
    </sheetView>
  </sheetViews>
  <sheetFormatPr defaultRowHeight="14.25" x14ac:dyDescent="0.2"/>
  <cols>
    <col min="2" max="2" width="27.25" customWidth="1"/>
    <col min="3" max="3" width="20.375" customWidth="1"/>
    <col min="4" max="4" width="8.875" bestFit="1" customWidth="1"/>
    <col min="5" max="5" width="22.625" customWidth="1"/>
  </cols>
  <sheetData>
    <row r="1" spans="1:6" x14ac:dyDescent="0.2">
      <c r="A1" t="s">
        <v>699</v>
      </c>
    </row>
    <row r="3" spans="1:6" ht="18.75" x14ac:dyDescent="0.25">
      <c r="B3" s="1347" t="s">
        <v>1005</v>
      </c>
    </row>
    <row r="5" spans="1:6" ht="16.5" x14ac:dyDescent="0.25">
      <c r="B5" s="1349"/>
      <c r="C5" s="1350" t="s">
        <v>983</v>
      </c>
      <c r="D5" s="1350" t="s">
        <v>984</v>
      </c>
      <c r="E5" s="1350" t="s">
        <v>1007</v>
      </c>
    </row>
    <row r="6" spans="1:6" ht="20.45" customHeight="1" x14ac:dyDescent="0.25">
      <c r="B6" s="1348" t="s">
        <v>985</v>
      </c>
      <c r="C6" s="1343" t="s">
        <v>1006</v>
      </c>
      <c r="D6" s="1344">
        <f>'IS Drivers'!AQ84</f>
        <v>133</v>
      </c>
      <c r="E6" s="1344" t="s">
        <v>986</v>
      </c>
      <c r="F6" t="s">
        <v>1009</v>
      </c>
    </row>
    <row r="7" spans="1:6" ht="24.95" customHeight="1" x14ac:dyDescent="0.25">
      <c r="B7" s="1348" t="s">
        <v>987</v>
      </c>
      <c r="C7" s="1343" t="s">
        <v>988</v>
      </c>
      <c r="D7" s="1345">
        <f>'IS Drivers'!AQ90</f>
        <v>7197.3362427745669</v>
      </c>
      <c r="E7" s="1345">
        <v>6407.76</v>
      </c>
    </row>
    <row r="8" spans="1:6" ht="21.95" customHeight="1" x14ac:dyDescent="0.25">
      <c r="B8" s="1348" t="s">
        <v>989</v>
      </c>
      <c r="C8" s="1343" t="s">
        <v>990</v>
      </c>
      <c r="D8" s="1345">
        <f>'IS Drivers'!AQ62</f>
        <v>3330.6762427745666</v>
      </c>
      <c r="E8" s="1345">
        <v>3101</v>
      </c>
    </row>
    <row r="9" spans="1:6" ht="32.450000000000003" customHeight="1" x14ac:dyDescent="0.25">
      <c r="B9" s="1348" t="s">
        <v>991</v>
      </c>
      <c r="C9" s="1343" t="s">
        <v>992</v>
      </c>
      <c r="D9" s="1346">
        <f>'IS Drivers'!AQ113</f>
        <v>2.8173333618477736E-2</v>
      </c>
      <c r="E9" s="1346">
        <v>3.0453609782777225E-2</v>
      </c>
    </row>
    <row r="10" spans="1:6" ht="32.450000000000003" customHeight="1" x14ac:dyDescent="0.25">
      <c r="B10" s="1348" t="s">
        <v>891</v>
      </c>
      <c r="C10" s="1343" t="s">
        <v>995</v>
      </c>
      <c r="D10" s="1346">
        <f>'IS Drivers'!AQ118</f>
        <v>1.411388579823547E-2</v>
      </c>
      <c r="E10" s="1346">
        <v>2.475663452277721E-2</v>
      </c>
    </row>
    <row r="11" spans="1:6" ht="32.1" customHeight="1" x14ac:dyDescent="0.25">
      <c r="B11" s="1348" t="s">
        <v>993</v>
      </c>
      <c r="C11" s="1343" t="s">
        <v>994</v>
      </c>
      <c r="D11" s="1345">
        <f>'FC - 3FS'!AQ58</f>
        <v>33869.392487627898</v>
      </c>
      <c r="E11" s="1345">
        <v>33842.073199884006</v>
      </c>
    </row>
    <row r="12" spans="1:6" ht="28.5" customHeight="1" x14ac:dyDescent="0.25">
      <c r="B12" s="1348" t="s">
        <v>997</v>
      </c>
      <c r="C12" s="1343" t="s">
        <v>998</v>
      </c>
      <c r="D12" s="1345">
        <f>'FC - 3FS'!AE21</f>
        <v>3670.0321228857165</v>
      </c>
      <c r="E12" s="1345">
        <v>3256.6021636387145</v>
      </c>
    </row>
    <row r="13" spans="1:6" ht="26.45" customHeight="1" x14ac:dyDescent="0.25">
      <c r="B13" s="1348" t="s">
        <v>999</v>
      </c>
      <c r="C13" s="1343" t="s">
        <v>1000</v>
      </c>
      <c r="D13" s="1345">
        <f>'FC - 3FS'!AE25</f>
        <v>-1014.6249464217237</v>
      </c>
      <c r="E13" s="1345">
        <v>-877.41877319887283</v>
      </c>
    </row>
    <row r="14" spans="1:6" ht="25.5" customHeight="1" x14ac:dyDescent="0.25">
      <c r="B14" s="1348" t="s">
        <v>1001</v>
      </c>
      <c r="C14" s="1343" t="s">
        <v>1002</v>
      </c>
      <c r="D14" s="1345">
        <f>'BS Drivers'!AQ42</f>
        <v>10002.433733914613</v>
      </c>
      <c r="E14" s="1345">
        <v>9553.4838627977588</v>
      </c>
    </row>
    <row r="15" spans="1:6" ht="27.95" customHeight="1" x14ac:dyDescent="0.25">
      <c r="B15" s="1348" t="s">
        <v>1003</v>
      </c>
      <c r="C15" s="1343" t="s">
        <v>1004</v>
      </c>
      <c r="D15" s="1345">
        <f>'FC - 3FS'!AQ173</f>
        <v>17823.599227169456</v>
      </c>
      <c r="E15" s="1345">
        <v>17256.632657623974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6727-A4E1-4979-BAB6-31B04D9DD6C0}">
  <dimension ref="A1:AF29"/>
  <sheetViews>
    <sheetView showGridLines="0" zoomScale="115" zoomScaleNormal="115" workbookViewId="0">
      <selection activeCell="F7" sqref="F7"/>
    </sheetView>
  </sheetViews>
  <sheetFormatPr defaultRowHeight="14.25" x14ac:dyDescent="0.2"/>
  <cols>
    <col min="3" max="3" width="30.25" bestFit="1" customWidth="1"/>
    <col min="4" max="6" width="8.75" bestFit="1" customWidth="1"/>
    <col min="7" max="11" width="9.625" bestFit="1" customWidth="1"/>
    <col min="12" max="25" width="8.625" customWidth="1"/>
  </cols>
  <sheetData>
    <row r="1" spans="1:32" x14ac:dyDescent="0.2">
      <c r="A1" t="s">
        <v>699</v>
      </c>
    </row>
    <row r="2" spans="1:32" ht="15" x14ac:dyDescent="0.25">
      <c r="C2" s="1073" t="s">
        <v>979</v>
      </c>
    </row>
    <row r="3" spans="1:32" ht="15" x14ac:dyDescent="0.25">
      <c r="C3" s="1073"/>
    </row>
    <row r="4" spans="1:32" ht="15" x14ac:dyDescent="0.25">
      <c r="D4" s="1073" t="s">
        <v>720</v>
      </c>
      <c r="E4" s="1073" t="s">
        <v>721</v>
      </c>
      <c r="F4" s="1073" t="s">
        <v>722</v>
      </c>
      <c r="G4" s="1073" t="s">
        <v>723</v>
      </c>
      <c r="H4" s="1073" t="s">
        <v>724</v>
      </c>
      <c r="I4" s="1073" t="s">
        <v>725</v>
      </c>
      <c r="J4" s="1073" t="s">
        <v>949</v>
      </c>
      <c r="K4" s="1073" t="s">
        <v>950</v>
      </c>
      <c r="L4" s="1073" t="s">
        <v>951</v>
      </c>
      <c r="M4" s="1073" t="s">
        <v>952</v>
      </c>
      <c r="N4" s="1073" t="s">
        <v>959</v>
      </c>
      <c r="O4" s="1073" t="s">
        <v>960</v>
      </c>
      <c r="P4" s="1073" t="s">
        <v>961</v>
      </c>
      <c r="Q4" s="1073" t="s">
        <v>962</v>
      </c>
      <c r="R4" s="1073" t="s">
        <v>963</v>
      </c>
      <c r="S4" s="1073" t="s">
        <v>964</v>
      </c>
      <c r="T4" s="1073" t="s">
        <v>965</v>
      </c>
      <c r="U4" s="1073" t="s">
        <v>966</v>
      </c>
      <c r="V4" s="1073" t="s">
        <v>967</v>
      </c>
      <c r="W4" s="1073" t="s">
        <v>968</v>
      </c>
      <c r="X4" s="1073" t="s">
        <v>969</v>
      </c>
      <c r="Y4" s="1073" t="s">
        <v>970</v>
      </c>
      <c r="AA4" s="1073">
        <v>2025</v>
      </c>
      <c r="AB4" s="1073">
        <v>2026</v>
      </c>
      <c r="AC4" s="1073">
        <v>2027</v>
      </c>
      <c r="AD4" s="1073">
        <v>2028</v>
      </c>
      <c r="AE4" s="1073">
        <v>2029</v>
      </c>
      <c r="AF4" s="1073">
        <v>2030</v>
      </c>
    </row>
    <row r="5" spans="1:32" ht="15" x14ac:dyDescent="0.25">
      <c r="C5" s="1073" t="s">
        <v>956</v>
      </c>
      <c r="D5" s="1073">
        <v>400</v>
      </c>
      <c r="E5" s="1074">
        <f>(D5*1.015)</f>
        <v>405.99999999999994</v>
      </c>
      <c r="F5" s="1074">
        <f t="shared" ref="F5:Y5" si="0">(E5*1.015)</f>
        <v>412.08999999999992</v>
      </c>
      <c r="G5" s="1074">
        <f t="shared" si="0"/>
        <v>418.27134999999987</v>
      </c>
      <c r="H5" s="1074">
        <f t="shared" si="0"/>
        <v>424.54542024999984</v>
      </c>
      <c r="I5" s="1074">
        <f t="shared" si="0"/>
        <v>430.9136015537498</v>
      </c>
      <c r="J5" s="1074">
        <f t="shared" si="0"/>
        <v>437.37730557705601</v>
      </c>
      <c r="K5" s="1074">
        <f t="shared" si="0"/>
        <v>443.93796516071183</v>
      </c>
      <c r="L5" s="1074">
        <f t="shared" si="0"/>
        <v>450.59703463812247</v>
      </c>
      <c r="M5" s="1074">
        <f t="shared" si="0"/>
        <v>457.35599015769424</v>
      </c>
      <c r="N5" s="1074">
        <f t="shared" si="0"/>
        <v>464.21633001005961</v>
      </c>
      <c r="O5" s="1074">
        <f t="shared" si="0"/>
        <v>471.17957496021046</v>
      </c>
      <c r="P5" s="1074">
        <f t="shared" si="0"/>
        <v>478.24726858461355</v>
      </c>
      <c r="Q5" s="1074">
        <f t="shared" si="0"/>
        <v>485.42097761338272</v>
      </c>
      <c r="R5" s="1074">
        <f t="shared" si="0"/>
        <v>492.70229227758341</v>
      </c>
      <c r="S5" s="1074">
        <f t="shared" si="0"/>
        <v>500.0928266617471</v>
      </c>
      <c r="T5" s="1074">
        <f t="shared" si="0"/>
        <v>507.59421906167324</v>
      </c>
      <c r="U5" s="1074">
        <f t="shared" si="0"/>
        <v>515.20813234759828</v>
      </c>
      <c r="V5" s="1074">
        <f t="shared" si="0"/>
        <v>522.93625433281215</v>
      </c>
      <c r="W5" s="1074">
        <f t="shared" si="0"/>
        <v>530.78029814780427</v>
      </c>
      <c r="X5" s="1074">
        <f t="shared" si="0"/>
        <v>538.74200262002125</v>
      </c>
      <c r="Y5" s="1074">
        <f t="shared" si="0"/>
        <v>546.82313265932157</v>
      </c>
      <c r="AA5" s="1074">
        <f>SUM(D5:E5)</f>
        <v>806</v>
      </c>
      <c r="AB5" s="1074">
        <f>SUM(F5:I5)</f>
        <v>1685.8203718037494</v>
      </c>
      <c r="AC5" s="1074">
        <f>SUM(J5:M5)</f>
        <v>1789.2682955335845</v>
      </c>
      <c r="AD5" s="1074">
        <f>SUM(N5:Q5)</f>
        <v>1899.0641511682663</v>
      </c>
      <c r="AE5" s="1074">
        <f>SUM(R5:U5)</f>
        <v>2015.5974703486017</v>
      </c>
      <c r="AF5" s="1074">
        <f>SUM(V5:Y5)</f>
        <v>2139.2816877599589</v>
      </c>
    </row>
    <row r="6" spans="1:32" x14ac:dyDescent="0.2">
      <c r="C6" t="s">
        <v>977</v>
      </c>
      <c r="D6" s="1321">
        <v>275</v>
      </c>
      <c r="E6" s="1321">
        <f>(D6/D5)*E5</f>
        <v>279.12499999999994</v>
      </c>
      <c r="F6" s="1321">
        <f t="shared" ref="F6:K6" si="1">(E6/E5)*F5</f>
        <v>283.31187499999993</v>
      </c>
      <c r="G6" s="1321">
        <f t="shared" si="1"/>
        <v>287.56155312499993</v>
      </c>
      <c r="H6" s="1321">
        <f t="shared" si="1"/>
        <v>291.87497642187486</v>
      </c>
      <c r="I6" s="1321">
        <f t="shared" si="1"/>
        <v>296.25310106820297</v>
      </c>
      <c r="J6" s="1321">
        <f t="shared" si="1"/>
        <v>300.69689758422601</v>
      </c>
      <c r="K6" s="1321">
        <f t="shared" si="1"/>
        <v>305.20735104798939</v>
      </c>
      <c r="L6" s="1321">
        <f t="shared" ref="L6" si="2">(K6/K5)*L5</f>
        <v>309.78546131370922</v>
      </c>
      <c r="M6" s="1321">
        <f t="shared" ref="M6" si="3">(L6/L5)*M5</f>
        <v>314.43224323341479</v>
      </c>
      <c r="N6" s="1321">
        <f t="shared" ref="N6" si="4">(M6/M5)*N5</f>
        <v>319.14872688191599</v>
      </c>
      <c r="O6" s="1321">
        <f t="shared" ref="O6" si="5">(N6/N5)*O5</f>
        <v>323.93595778514469</v>
      </c>
      <c r="P6" s="1321">
        <f t="shared" ref="P6" si="6">(O6/O5)*P5</f>
        <v>328.79499715192179</v>
      </c>
      <c r="Q6" s="1321">
        <f t="shared" ref="Q6" si="7">(P6/P5)*Q5</f>
        <v>333.72692210920064</v>
      </c>
      <c r="R6" s="1321">
        <f t="shared" ref="R6" si="8">(Q6/Q5)*R5</f>
        <v>338.73282594083861</v>
      </c>
      <c r="S6" s="1321">
        <f t="shared" ref="S6" si="9">(R6/R5)*S5</f>
        <v>343.81381832995112</v>
      </c>
      <c r="T6" s="1321">
        <f t="shared" ref="T6" si="10">(S6/S5)*T5</f>
        <v>348.97102560490038</v>
      </c>
      <c r="U6" s="1321">
        <f t="shared" ref="U6" si="11">(T6/T5)*U5</f>
        <v>354.20559098897382</v>
      </c>
      <c r="V6" s="1321">
        <f t="shared" ref="V6" si="12">(U6/U5)*V5</f>
        <v>359.51867485380836</v>
      </c>
      <c r="W6" s="1321">
        <f t="shared" ref="W6" si="13">(V6/V5)*W5</f>
        <v>364.91145497661546</v>
      </c>
      <c r="X6" s="1321">
        <f t="shared" ref="X6" si="14">(W6/W5)*X5</f>
        <v>370.38512680126462</v>
      </c>
      <c r="Y6" s="1321">
        <f t="shared" ref="Y6" si="15">(X6/X5)*Y5</f>
        <v>375.9409037032836</v>
      </c>
      <c r="AA6" s="1321">
        <f t="shared" ref="AA6:AA10" si="16">SUM(D6:E6)</f>
        <v>554.125</v>
      </c>
      <c r="AB6" s="1321">
        <f t="shared" ref="AB6:AB10" si="17">SUM(F6:I6)</f>
        <v>1159.0015056150778</v>
      </c>
      <c r="AC6" s="1321">
        <f t="shared" ref="AC6:AC10" si="18">SUM(J6:M6)</f>
        <v>1230.1219531793395</v>
      </c>
      <c r="AD6" s="1321">
        <f t="shared" ref="AD6:AD10" si="19">SUM(N6:Q6)</f>
        <v>1305.6066039281829</v>
      </c>
      <c r="AE6" s="1321">
        <f t="shared" ref="AE6:AE10" si="20">SUM(R6:U6)</f>
        <v>1385.7232608646641</v>
      </c>
      <c r="AF6" s="1321">
        <f t="shared" ref="AF6:AF10" si="21">SUM(V6:Y6)</f>
        <v>1470.756160334972</v>
      </c>
    </row>
    <row r="7" spans="1:32" x14ac:dyDescent="0.2">
      <c r="C7" t="s">
        <v>944</v>
      </c>
      <c r="D7" s="1321">
        <v>100</v>
      </c>
      <c r="E7" s="1321">
        <v>300</v>
      </c>
      <c r="F7" s="1321">
        <f>((2600-400) *0.7)/4</f>
        <v>385</v>
      </c>
      <c r="G7" s="1321">
        <f t="shared" ref="G7:I7" si="22">((2600-400) *0.7)/4</f>
        <v>385</v>
      </c>
      <c r="H7" s="1321">
        <f t="shared" si="22"/>
        <v>385</v>
      </c>
      <c r="I7" s="1321">
        <f t="shared" si="22"/>
        <v>385</v>
      </c>
      <c r="J7" s="1321">
        <f>((2600-400) *0.3)/2</f>
        <v>330</v>
      </c>
      <c r="K7" s="1321">
        <f>((2600-400) *0.3)/2</f>
        <v>330</v>
      </c>
      <c r="L7" s="1321">
        <v>0</v>
      </c>
      <c r="M7" s="1321">
        <v>0</v>
      </c>
      <c r="N7" s="1321">
        <v>0</v>
      </c>
      <c r="O7" s="1321">
        <v>0</v>
      </c>
      <c r="P7" s="1321">
        <v>0</v>
      </c>
      <c r="Q7" s="1321">
        <v>0</v>
      </c>
      <c r="R7" s="1321">
        <v>0</v>
      </c>
      <c r="S7" s="1321">
        <v>0</v>
      </c>
      <c r="T7" s="1321">
        <v>0</v>
      </c>
      <c r="U7" s="1321">
        <v>0</v>
      </c>
      <c r="V7" s="1321">
        <v>0</v>
      </c>
      <c r="W7" s="1321">
        <v>0</v>
      </c>
      <c r="X7" s="1321">
        <v>0</v>
      </c>
      <c r="Y7" s="1321">
        <v>0</v>
      </c>
      <c r="AA7" s="1321">
        <f t="shared" si="16"/>
        <v>400</v>
      </c>
      <c r="AB7" s="1321">
        <f t="shared" si="17"/>
        <v>1540</v>
      </c>
      <c r="AC7" s="1321">
        <f t="shared" si="18"/>
        <v>660</v>
      </c>
      <c r="AD7" s="1321">
        <f t="shared" si="19"/>
        <v>0</v>
      </c>
      <c r="AE7" s="1321">
        <f t="shared" si="20"/>
        <v>0</v>
      </c>
      <c r="AF7" s="1321">
        <f t="shared" si="21"/>
        <v>0</v>
      </c>
    </row>
    <row r="8" spans="1:32" x14ac:dyDescent="0.2">
      <c r="C8" t="s">
        <v>957</v>
      </c>
      <c r="D8" s="1321">
        <v>175</v>
      </c>
      <c r="E8" s="1321">
        <f>(D8/D5)*E5</f>
        <v>177.62499999999997</v>
      </c>
      <c r="F8" s="1321">
        <f t="shared" ref="F8:Y8" si="23">(E8/E5)*F5</f>
        <v>180.28937499999995</v>
      </c>
      <c r="G8" s="1321">
        <f t="shared" si="23"/>
        <v>182.99371562499991</v>
      </c>
      <c r="H8" s="1321">
        <f t="shared" si="23"/>
        <v>185.73862135937489</v>
      </c>
      <c r="I8" s="1321">
        <f t="shared" si="23"/>
        <v>188.52470067976549</v>
      </c>
      <c r="J8" s="1321">
        <f t="shared" si="23"/>
        <v>191.35257118996196</v>
      </c>
      <c r="K8" s="1321">
        <f t="shared" si="23"/>
        <v>194.22285975781136</v>
      </c>
      <c r="L8" s="1321">
        <f t="shared" si="23"/>
        <v>197.13620265417853</v>
      </c>
      <c r="M8" s="1321">
        <f t="shared" si="23"/>
        <v>200.09324569399118</v>
      </c>
      <c r="N8" s="1321">
        <f t="shared" si="23"/>
        <v>203.09464437940102</v>
      </c>
      <c r="O8" s="1321">
        <f t="shared" si="23"/>
        <v>206.14106404509204</v>
      </c>
      <c r="P8" s="1321">
        <f t="shared" si="23"/>
        <v>209.23318000576839</v>
      </c>
      <c r="Q8" s="1321">
        <f t="shared" si="23"/>
        <v>212.37167770585492</v>
      </c>
      <c r="R8" s="1321">
        <f t="shared" si="23"/>
        <v>215.55725287144273</v>
      </c>
      <c r="S8" s="1321">
        <f t="shared" si="23"/>
        <v>218.79061166451433</v>
      </c>
      <c r="T8" s="1321">
        <f t="shared" si="23"/>
        <v>222.07247083948201</v>
      </c>
      <c r="U8" s="1321">
        <f t="shared" si="23"/>
        <v>225.40355790207423</v>
      </c>
      <c r="V8" s="1321">
        <f t="shared" si="23"/>
        <v>228.7846112706053</v>
      </c>
      <c r="W8" s="1321">
        <f t="shared" si="23"/>
        <v>232.21638043966433</v>
      </c>
      <c r="X8" s="1321">
        <f t="shared" si="23"/>
        <v>235.69962614625928</v>
      </c>
      <c r="Y8" s="1321">
        <f t="shared" si="23"/>
        <v>239.23512053845315</v>
      </c>
      <c r="AA8" s="1321">
        <f t="shared" si="16"/>
        <v>352.625</v>
      </c>
      <c r="AB8" s="1321">
        <f t="shared" si="17"/>
        <v>737.54641266414023</v>
      </c>
      <c r="AC8" s="1321">
        <f t="shared" si="18"/>
        <v>782.80487929594312</v>
      </c>
      <c r="AD8" s="1321">
        <f t="shared" si="19"/>
        <v>830.84056613611642</v>
      </c>
      <c r="AE8" s="1321">
        <f t="shared" si="20"/>
        <v>881.82389327751332</v>
      </c>
      <c r="AF8" s="1321">
        <f t="shared" si="21"/>
        <v>935.93573839498208</v>
      </c>
    </row>
    <row r="9" spans="1:32" x14ac:dyDescent="0.2">
      <c r="C9" s="1320" t="s">
        <v>945</v>
      </c>
      <c r="D9" s="1322">
        <v>470</v>
      </c>
      <c r="E9" s="1322">
        <v>0</v>
      </c>
      <c r="F9" s="1322">
        <v>0</v>
      </c>
      <c r="G9" s="1322">
        <v>0</v>
      </c>
      <c r="H9" s="1322">
        <v>0</v>
      </c>
      <c r="I9" s="1322">
        <v>0</v>
      </c>
      <c r="J9" s="1322">
        <v>0</v>
      </c>
      <c r="K9" s="1322">
        <v>0</v>
      </c>
      <c r="L9" s="1322">
        <v>0</v>
      </c>
      <c r="M9" s="1322">
        <v>0</v>
      </c>
      <c r="N9" s="1322">
        <v>0</v>
      </c>
      <c r="O9" s="1322">
        <v>0</v>
      </c>
      <c r="P9" s="1322">
        <v>0</v>
      </c>
      <c r="Q9" s="1322">
        <v>0</v>
      </c>
      <c r="R9" s="1322">
        <v>0</v>
      </c>
      <c r="S9" s="1322">
        <v>0</v>
      </c>
      <c r="T9" s="1322">
        <v>0</v>
      </c>
      <c r="U9" s="1322">
        <v>0</v>
      </c>
      <c r="V9" s="1322">
        <v>0</v>
      </c>
      <c r="W9" s="1322">
        <v>0</v>
      </c>
      <c r="X9" s="1322">
        <v>0</v>
      </c>
      <c r="Y9" s="1322">
        <v>0</v>
      </c>
      <c r="AA9" s="1322">
        <f t="shared" si="16"/>
        <v>470</v>
      </c>
      <c r="AB9" s="1322">
        <f t="shared" si="17"/>
        <v>0</v>
      </c>
      <c r="AC9" s="1322">
        <f t="shared" si="18"/>
        <v>0</v>
      </c>
      <c r="AD9" s="1322">
        <f t="shared" si="19"/>
        <v>0</v>
      </c>
      <c r="AE9" s="1322">
        <f t="shared" si="20"/>
        <v>0</v>
      </c>
      <c r="AF9" s="1322">
        <f t="shared" si="21"/>
        <v>0</v>
      </c>
    </row>
    <row r="10" spans="1:32" ht="15" x14ac:dyDescent="0.25">
      <c r="C10" s="1073" t="s">
        <v>953</v>
      </c>
      <c r="D10" s="1073">
        <f>D5-SUM(D6:D9)</f>
        <v>-620</v>
      </c>
      <c r="E10" s="1324">
        <f t="shared" ref="E10:K10" si="24">E5-SUM(E6:E9)</f>
        <v>-350.75000000000006</v>
      </c>
      <c r="F10" s="1324">
        <f t="shared" si="24"/>
        <v>-436.5112499999999</v>
      </c>
      <c r="G10" s="1324">
        <f t="shared" si="24"/>
        <v>-437.28391875</v>
      </c>
      <c r="H10" s="1324">
        <f t="shared" si="24"/>
        <v>-438.06817753124989</v>
      </c>
      <c r="I10" s="1324">
        <f t="shared" si="24"/>
        <v>-438.86420019421871</v>
      </c>
      <c r="J10" s="1324">
        <f t="shared" si="24"/>
        <v>-384.67216319713197</v>
      </c>
      <c r="K10" s="1324">
        <f t="shared" si="24"/>
        <v>-385.49224564508887</v>
      </c>
      <c r="L10" s="1324">
        <f t="shared" ref="L10" si="25">L5-SUM(L6:L9)</f>
        <v>-56.324629329765287</v>
      </c>
      <c r="M10" s="1324">
        <f t="shared" ref="M10" si="26">M5-SUM(M6:M9)</f>
        <v>-57.169498769711709</v>
      </c>
      <c r="N10" s="1324">
        <f t="shared" ref="N10" si="27">N5-SUM(N6:N9)</f>
        <v>-58.027041251257344</v>
      </c>
      <c r="O10" s="1324">
        <f t="shared" ref="O10" si="28">O5-SUM(O6:O9)</f>
        <v>-58.897446870026272</v>
      </c>
      <c r="P10" s="1324">
        <f t="shared" ref="P10" si="29">P5-SUM(P6:P9)</f>
        <v>-59.780908573076601</v>
      </c>
      <c r="Q10" s="1324">
        <f t="shared" ref="Q10" si="30">Q5-SUM(Q6:Q9)</f>
        <v>-60.677622201672818</v>
      </c>
      <c r="R10" s="1324">
        <f t="shared" ref="R10" si="31">R5-SUM(R6:R9)</f>
        <v>-61.587786534697898</v>
      </c>
      <c r="S10" s="1324">
        <f t="shared" ref="S10" si="32">S5-SUM(S6:S9)</f>
        <v>-62.51160333271838</v>
      </c>
      <c r="T10" s="1324">
        <f t="shared" ref="T10" si="33">T5-SUM(T6:T9)</f>
        <v>-63.44927738270917</v>
      </c>
      <c r="U10" s="1324">
        <f t="shared" ref="U10" si="34">U5-SUM(U6:U9)</f>
        <v>-64.401016543449828</v>
      </c>
      <c r="V10" s="1324">
        <f t="shared" ref="V10" si="35">V5-SUM(V6:V9)</f>
        <v>-65.367031791601562</v>
      </c>
      <c r="W10" s="1324">
        <f t="shared" ref="W10" si="36">W5-SUM(W6:W9)</f>
        <v>-66.347537268475548</v>
      </c>
      <c r="X10" s="1324">
        <f t="shared" ref="X10" si="37">X5-SUM(X6:X9)</f>
        <v>-67.342750327502586</v>
      </c>
      <c r="Y10" s="1324">
        <f t="shared" ref="Y10" si="38">Y5-SUM(Y6:Y9)</f>
        <v>-68.352891582415168</v>
      </c>
      <c r="AA10" s="1324">
        <f t="shared" si="16"/>
        <v>-970.75</v>
      </c>
      <c r="AB10" s="1324">
        <f t="shared" si="17"/>
        <v>-1750.7275464754684</v>
      </c>
      <c r="AC10" s="1324">
        <f t="shared" si="18"/>
        <v>-883.65853694169778</v>
      </c>
      <c r="AD10" s="1324">
        <f t="shared" si="19"/>
        <v>-237.38301889603304</v>
      </c>
      <c r="AE10" s="1324">
        <f t="shared" si="20"/>
        <v>-251.94968379357528</v>
      </c>
      <c r="AF10" s="1324">
        <f t="shared" si="21"/>
        <v>-267.41021096999486</v>
      </c>
    </row>
    <row r="13" spans="1:32" ht="15" x14ac:dyDescent="0.25">
      <c r="C13" s="1073" t="s">
        <v>948</v>
      </c>
    </row>
    <row r="15" spans="1:32" x14ac:dyDescent="0.2">
      <c r="C15" t="s">
        <v>978</v>
      </c>
      <c r="D15" s="1325">
        <f>D10</f>
        <v>-620</v>
      </c>
      <c r="E15" s="1325">
        <f t="shared" ref="E15:K15" si="39">E10</f>
        <v>-350.75000000000006</v>
      </c>
      <c r="F15" s="1325">
        <f t="shared" si="39"/>
        <v>-436.5112499999999</v>
      </c>
      <c r="G15" s="1325">
        <f t="shared" si="39"/>
        <v>-437.28391875</v>
      </c>
      <c r="H15" s="1325">
        <f t="shared" si="39"/>
        <v>-438.06817753124989</v>
      </c>
      <c r="I15" s="1325">
        <f t="shared" si="39"/>
        <v>-438.86420019421871</v>
      </c>
      <c r="J15" s="1325">
        <f t="shared" si="39"/>
        <v>-384.67216319713197</v>
      </c>
      <c r="K15" s="1325">
        <f t="shared" si="39"/>
        <v>-385.49224564508887</v>
      </c>
      <c r="L15" s="1325">
        <f t="shared" ref="L15:Y15" si="40">L10</f>
        <v>-56.324629329765287</v>
      </c>
      <c r="M15" s="1325">
        <f t="shared" si="40"/>
        <v>-57.169498769711709</v>
      </c>
      <c r="N15" s="1325">
        <f t="shared" si="40"/>
        <v>-58.027041251257344</v>
      </c>
      <c r="O15" s="1325">
        <f t="shared" si="40"/>
        <v>-58.897446870026272</v>
      </c>
      <c r="P15" s="1325">
        <f t="shared" si="40"/>
        <v>-59.780908573076601</v>
      </c>
      <c r="Q15" s="1325">
        <f t="shared" si="40"/>
        <v>-60.677622201672818</v>
      </c>
      <c r="R15" s="1325">
        <f t="shared" si="40"/>
        <v>-61.587786534697898</v>
      </c>
      <c r="S15" s="1325">
        <f t="shared" si="40"/>
        <v>-62.51160333271838</v>
      </c>
      <c r="T15" s="1325">
        <f t="shared" si="40"/>
        <v>-63.44927738270917</v>
      </c>
      <c r="U15" s="1325">
        <f t="shared" si="40"/>
        <v>-64.401016543449828</v>
      </c>
      <c r="V15" s="1325">
        <f t="shared" si="40"/>
        <v>-65.367031791601562</v>
      </c>
      <c r="W15" s="1325">
        <f t="shared" si="40"/>
        <v>-66.347537268475548</v>
      </c>
      <c r="X15" s="1325">
        <f t="shared" si="40"/>
        <v>-67.342750327502586</v>
      </c>
      <c r="Y15" s="1325">
        <f t="shared" si="40"/>
        <v>-68.352891582415168</v>
      </c>
    </row>
    <row r="16" spans="1:32" x14ac:dyDescent="0.2">
      <c r="C16" t="str">
        <f>C8</f>
        <v>Depreciation &amp; Ammortization</v>
      </c>
      <c r="D16" s="1325">
        <f>D8</f>
        <v>175</v>
      </c>
      <c r="E16" s="1325">
        <f t="shared" ref="E16:K16" si="41">E8</f>
        <v>177.62499999999997</v>
      </c>
      <c r="F16" s="1325">
        <f t="shared" si="41"/>
        <v>180.28937499999995</v>
      </c>
      <c r="G16" s="1325">
        <f t="shared" si="41"/>
        <v>182.99371562499991</v>
      </c>
      <c r="H16" s="1325">
        <f t="shared" si="41"/>
        <v>185.73862135937489</v>
      </c>
      <c r="I16" s="1325">
        <f t="shared" si="41"/>
        <v>188.52470067976549</v>
      </c>
      <c r="J16" s="1325">
        <f t="shared" si="41"/>
        <v>191.35257118996196</v>
      </c>
      <c r="K16" s="1325">
        <f t="shared" si="41"/>
        <v>194.22285975781136</v>
      </c>
      <c r="L16" s="1325">
        <f t="shared" ref="L16:Y16" si="42">L8</f>
        <v>197.13620265417853</v>
      </c>
      <c r="M16" s="1325">
        <f t="shared" si="42"/>
        <v>200.09324569399118</v>
      </c>
      <c r="N16" s="1325">
        <f t="shared" si="42"/>
        <v>203.09464437940102</v>
      </c>
      <c r="O16" s="1325">
        <f t="shared" si="42"/>
        <v>206.14106404509204</v>
      </c>
      <c r="P16" s="1325">
        <f t="shared" si="42"/>
        <v>209.23318000576839</v>
      </c>
      <c r="Q16" s="1325">
        <f t="shared" si="42"/>
        <v>212.37167770585492</v>
      </c>
      <c r="R16" s="1325">
        <f t="shared" si="42"/>
        <v>215.55725287144273</v>
      </c>
      <c r="S16" s="1325">
        <f t="shared" si="42"/>
        <v>218.79061166451433</v>
      </c>
      <c r="T16" s="1325">
        <f t="shared" si="42"/>
        <v>222.07247083948201</v>
      </c>
      <c r="U16" s="1325">
        <f t="shared" si="42"/>
        <v>225.40355790207423</v>
      </c>
      <c r="V16" s="1325">
        <f t="shared" si="42"/>
        <v>228.7846112706053</v>
      </c>
      <c r="W16" s="1325">
        <f t="shared" si="42"/>
        <v>232.21638043966433</v>
      </c>
      <c r="X16" s="1325">
        <f t="shared" si="42"/>
        <v>235.69962614625928</v>
      </c>
      <c r="Y16" s="1325">
        <f t="shared" si="42"/>
        <v>239.23512053845315</v>
      </c>
    </row>
    <row r="17" spans="3:32" x14ac:dyDescent="0.2">
      <c r="C17" t="str">
        <f>C7</f>
        <v>Cost to Achieve</v>
      </c>
      <c r="D17" s="1325">
        <f>D7</f>
        <v>100</v>
      </c>
      <c r="E17" s="1325">
        <f t="shared" ref="E17:K17" si="43">E7</f>
        <v>300</v>
      </c>
      <c r="F17" s="1325">
        <f t="shared" si="43"/>
        <v>385</v>
      </c>
      <c r="G17" s="1325">
        <f t="shared" si="43"/>
        <v>385</v>
      </c>
      <c r="H17" s="1325">
        <f t="shared" si="43"/>
        <v>385</v>
      </c>
      <c r="I17" s="1325">
        <f t="shared" si="43"/>
        <v>385</v>
      </c>
      <c r="J17" s="1325">
        <f t="shared" si="43"/>
        <v>330</v>
      </c>
      <c r="K17" s="1325">
        <f t="shared" si="43"/>
        <v>330</v>
      </c>
      <c r="L17" s="1325">
        <f t="shared" ref="L17:Y17" si="44">L7</f>
        <v>0</v>
      </c>
      <c r="M17" s="1325">
        <f t="shared" si="44"/>
        <v>0</v>
      </c>
      <c r="N17" s="1325">
        <f t="shared" si="44"/>
        <v>0</v>
      </c>
      <c r="O17" s="1325">
        <f t="shared" si="44"/>
        <v>0</v>
      </c>
      <c r="P17" s="1325">
        <f t="shared" si="44"/>
        <v>0</v>
      </c>
      <c r="Q17" s="1325">
        <f t="shared" si="44"/>
        <v>0</v>
      </c>
      <c r="R17" s="1325">
        <f t="shared" si="44"/>
        <v>0</v>
      </c>
      <c r="S17" s="1325">
        <f t="shared" si="44"/>
        <v>0</v>
      </c>
      <c r="T17" s="1325">
        <f t="shared" si="44"/>
        <v>0</v>
      </c>
      <c r="U17" s="1325">
        <f t="shared" si="44"/>
        <v>0</v>
      </c>
      <c r="V17" s="1325">
        <f t="shared" si="44"/>
        <v>0</v>
      </c>
      <c r="W17" s="1325">
        <f t="shared" si="44"/>
        <v>0</v>
      </c>
      <c r="X17" s="1325">
        <f t="shared" si="44"/>
        <v>0</v>
      </c>
      <c r="Y17" s="1325">
        <f t="shared" si="44"/>
        <v>0</v>
      </c>
    </row>
    <row r="18" spans="3:32" x14ac:dyDescent="0.2">
      <c r="C18" s="1320" t="str">
        <f>C9</f>
        <v>Digital technology expense</v>
      </c>
      <c r="D18" s="1326">
        <f>D9</f>
        <v>470</v>
      </c>
      <c r="E18" s="1326">
        <f t="shared" ref="E18:K18" si="45">E9</f>
        <v>0</v>
      </c>
      <c r="F18" s="1326">
        <f t="shared" si="45"/>
        <v>0</v>
      </c>
      <c r="G18" s="1326">
        <f t="shared" si="45"/>
        <v>0</v>
      </c>
      <c r="H18" s="1326">
        <f t="shared" si="45"/>
        <v>0</v>
      </c>
      <c r="I18" s="1326">
        <f t="shared" si="45"/>
        <v>0</v>
      </c>
      <c r="J18" s="1326">
        <f t="shared" si="45"/>
        <v>0</v>
      </c>
      <c r="K18" s="1326">
        <f t="shared" si="45"/>
        <v>0</v>
      </c>
      <c r="L18" s="1326">
        <f t="shared" ref="L18:Y18" si="46">L9</f>
        <v>0</v>
      </c>
      <c r="M18" s="1326">
        <f t="shared" si="46"/>
        <v>0</v>
      </c>
      <c r="N18" s="1326">
        <f t="shared" si="46"/>
        <v>0</v>
      </c>
      <c r="O18" s="1326">
        <f t="shared" si="46"/>
        <v>0</v>
      </c>
      <c r="P18" s="1326">
        <f t="shared" si="46"/>
        <v>0</v>
      </c>
      <c r="Q18" s="1326">
        <f t="shared" si="46"/>
        <v>0</v>
      </c>
      <c r="R18" s="1326">
        <f t="shared" si="46"/>
        <v>0</v>
      </c>
      <c r="S18" s="1326">
        <f t="shared" si="46"/>
        <v>0</v>
      </c>
      <c r="T18" s="1326">
        <f t="shared" si="46"/>
        <v>0</v>
      </c>
      <c r="U18" s="1326">
        <f t="shared" si="46"/>
        <v>0</v>
      </c>
      <c r="V18" s="1326">
        <f t="shared" si="46"/>
        <v>0</v>
      </c>
      <c r="W18" s="1326">
        <f t="shared" si="46"/>
        <v>0</v>
      </c>
      <c r="X18" s="1326">
        <f t="shared" si="46"/>
        <v>0</v>
      </c>
      <c r="Y18" s="1326">
        <f t="shared" si="46"/>
        <v>0</v>
      </c>
    </row>
    <row r="19" spans="3:32" x14ac:dyDescent="0.2">
      <c r="C19" t="s">
        <v>954</v>
      </c>
      <c r="D19" s="1325">
        <f>D15+(SUM(D16:D18))</f>
        <v>125</v>
      </c>
      <c r="E19" s="1325">
        <f t="shared" ref="E19:K19" si="47">E15+(SUM(E16:E18))</f>
        <v>126.87499999999994</v>
      </c>
      <c r="F19" s="1325">
        <f t="shared" si="47"/>
        <v>128.77812500000005</v>
      </c>
      <c r="G19" s="1325">
        <f t="shared" si="47"/>
        <v>130.70979687499994</v>
      </c>
      <c r="H19" s="1325">
        <f t="shared" si="47"/>
        <v>132.67044382812497</v>
      </c>
      <c r="I19" s="1325">
        <f t="shared" si="47"/>
        <v>134.66050048554678</v>
      </c>
      <c r="J19" s="1325">
        <f t="shared" si="47"/>
        <v>136.68040799283</v>
      </c>
      <c r="K19" s="1325">
        <f t="shared" si="47"/>
        <v>138.73061411272255</v>
      </c>
      <c r="L19" s="1325">
        <f t="shared" ref="L19" si="48">L15+(SUM(L16:L18))</f>
        <v>140.81157332441325</v>
      </c>
      <c r="M19" s="1325">
        <f t="shared" ref="M19" si="49">M15+(SUM(M16:M18))</f>
        <v>142.92374692427947</v>
      </c>
      <c r="N19" s="1325">
        <f t="shared" ref="N19" si="50">N15+(SUM(N16:N18))</f>
        <v>145.06760312814367</v>
      </c>
      <c r="O19" s="1325">
        <f t="shared" ref="O19" si="51">O15+(SUM(O16:O18))</f>
        <v>147.24361717506576</v>
      </c>
      <c r="P19" s="1325">
        <f t="shared" ref="P19" si="52">P15+(SUM(P16:P18))</f>
        <v>149.45227143269179</v>
      </c>
      <c r="Q19" s="1325">
        <f t="shared" ref="Q19" si="53">Q15+(SUM(Q16:Q18))</f>
        <v>151.6940555041821</v>
      </c>
      <c r="R19" s="1325">
        <f t="shared" ref="R19" si="54">R15+(SUM(R16:R18))</f>
        <v>153.96946633674483</v>
      </c>
      <c r="S19" s="1325">
        <f t="shared" ref="S19" si="55">S15+(SUM(S16:S18))</f>
        <v>156.27900833179595</v>
      </c>
      <c r="T19" s="1325">
        <f t="shared" ref="T19" si="56">T15+(SUM(T16:T18))</f>
        <v>158.62319345677284</v>
      </c>
      <c r="U19" s="1325">
        <f t="shared" ref="U19" si="57">U15+(SUM(U16:U18))</f>
        <v>161.0025413586244</v>
      </c>
      <c r="V19" s="1325">
        <f t="shared" ref="V19" si="58">V15+(SUM(V16:V18))</f>
        <v>163.41757947900373</v>
      </c>
      <c r="W19" s="1325">
        <f t="shared" ref="W19" si="59">W15+(SUM(W16:W18))</f>
        <v>165.86884317118879</v>
      </c>
      <c r="X19" s="1325">
        <f t="shared" ref="X19" si="60">X15+(SUM(X16:X18))</f>
        <v>168.35687581875669</v>
      </c>
      <c r="Y19" s="1325">
        <f t="shared" ref="Y19" si="61">Y15+(SUM(Y16:Y18))</f>
        <v>170.88222895603798</v>
      </c>
    </row>
    <row r="21" spans="3:32" x14ac:dyDescent="0.2">
      <c r="C21" t="s">
        <v>783</v>
      </c>
      <c r="D21" s="1097">
        <f>-'BS Drivers'!AD124</f>
        <v>0.23072562358276644</v>
      </c>
      <c r="E21" s="1097">
        <f>-'BS Drivers'!AE124</f>
        <v>0.23072562358276644</v>
      </c>
      <c r="F21" s="1097">
        <f>-'BS Drivers'!AF124</f>
        <v>0.23072562358276644</v>
      </c>
      <c r="G21" s="1097">
        <f>-'BS Drivers'!AG124</f>
        <v>0.23072562358276644</v>
      </c>
      <c r="H21" s="1097">
        <f>-'BS Drivers'!AH124</f>
        <v>0.23072562358276644</v>
      </c>
      <c r="I21" s="1097">
        <f>-'BS Drivers'!AI124</f>
        <v>0.23072562358276644</v>
      </c>
      <c r="J21" s="1097">
        <f>I21</f>
        <v>0.23072562358276644</v>
      </c>
      <c r="K21" s="1097">
        <f>J21</f>
        <v>0.23072562358276644</v>
      </c>
      <c r="L21" s="1097">
        <f t="shared" ref="L21:Y21" si="62">K21</f>
        <v>0.23072562358276644</v>
      </c>
      <c r="M21" s="1097">
        <f t="shared" si="62"/>
        <v>0.23072562358276644</v>
      </c>
      <c r="N21" s="1097">
        <f t="shared" si="62"/>
        <v>0.23072562358276644</v>
      </c>
      <c r="O21" s="1097">
        <f t="shared" si="62"/>
        <v>0.23072562358276644</v>
      </c>
      <c r="P21" s="1097">
        <f t="shared" si="62"/>
        <v>0.23072562358276644</v>
      </c>
      <c r="Q21" s="1097">
        <f t="shared" si="62"/>
        <v>0.23072562358276644</v>
      </c>
      <c r="R21" s="1097">
        <f t="shared" si="62"/>
        <v>0.23072562358276644</v>
      </c>
      <c r="S21" s="1097">
        <f t="shared" si="62"/>
        <v>0.23072562358276644</v>
      </c>
      <c r="T21" s="1097">
        <f t="shared" si="62"/>
        <v>0.23072562358276644</v>
      </c>
      <c r="U21" s="1097">
        <f t="shared" si="62"/>
        <v>0.23072562358276644</v>
      </c>
      <c r="V21" s="1097">
        <f t="shared" si="62"/>
        <v>0.23072562358276644</v>
      </c>
      <c r="W21" s="1097">
        <f t="shared" si="62"/>
        <v>0.23072562358276644</v>
      </c>
      <c r="X21" s="1097">
        <f t="shared" si="62"/>
        <v>0.23072562358276644</v>
      </c>
      <c r="Y21" s="1097">
        <f t="shared" si="62"/>
        <v>0.23072562358276644</v>
      </c>
    </row>
    <row r="22" spans="3:32" ht="15" x14ac:dyDescent="0.25">
      <c r="C22" s="1323" t="s">
        <v>953</v>
      </c>
      <c r="D22" s="1323">
        <f>D10</f>
        <v>-620</v>
      </c>
      <c r="E22" s="1327">
        <f t="shared" ref="E22:K22" si="63">E10</f>
        <v>-350.75000000000006</v>
      </c>
      <c r="F22" s="1327">
        <f t="shared" si="63"/>
        <v>-436.5112499999999</v>
      </c>
      <c r="G22" s="1327">
        <f t="shared" si="63"/>
        <v>-437.28391875</v>
      </c>
      <c r="H22" s="1327">
        <f t="shared" si="63"/>
        <v>-438.06817753124989</v>
      </c>
      <c r="I22" s="1327">
        <f t="shared" si="63"/>
        <v>-438.86420019421871</v>
      </c>
      <c r="J22" s="1327">
        <f t="shared" si="63"/>
        <v>-384.67216319713197</v>
      </c>
      <c r="K22" s="1327">
        <f t="shared" si="63"/>
        <v>-385.49224564508887</v>
      </c>
      <c r="L22" s="1327">
        <f t="shared" ref="L22:Y22" si="64">L10</f>
        <v>-56.324629329765287</v>
      </c>
      <c r="M22" s="1327">
        <f t="shared" si="64"/>
        <v>-57.169498769711709</v>
      </c>
      <c r="N22" s="1327">
        <f t="shared" si="64"/>
        <v>-58.027041251257344</v>
      </c>
      <c r="O22" s="1327">
        <f t="shared" si="64"/>
        <v>-58.897446870026272</v>
      </c>
      <c r="P22" s="1327">
        <f t="shared" si="64"/>
        <v>-59.780908573076601</v>
      </c>
      <c r="Q22" s="1327">
        <f t="shared" si="64"/>
        <v>-60.677622201672818</v>
      </c>
      <c r="R22" s="1327">
        <f t="shared" si="64"/>
        <v>-61.587786534697898</v>
      </c>
      <c r="S22" s="1327">
        <f t="shared" si="64"/>
        <v>-62.51160333271838</v>
      </c>
      <c r="T22" s="1327">
        <f t="shared" si="64"/>
        <v>-63.44927738270917</v>
      </c>
      <c r="U22" s="1327">
        <f t="shared" si="64"/>
        <v>-64.401016543449828</v>
      </c>
      <c r="V22" s="1327">
        <f t="shared" si="64"/>
        <v>-65.367031791601562</v>
      </c>
      <c r="W22" s="1327">
        <f t="shared" si="64"/>
        <v>-66.347537268475548</v>
      </c>
      <c r="X22" s="1327">
        <f t="shared" si="64"/>
        <v>-67.342750327502586</v>
      </c>
      <c r="Y22" s="1327">
        <f t="shared" si="64"/>
        <v>-68.352891582415168</v>
      </c>
    </row>
    <row r="23" spans="3:32" x14ac:dyDescent="0.2">
      <c r="C23" t="s">
        <v>955</v>
      </c>
      <c r="D23" s="1325">
        <f>D22*(1-D21)</f>
        <v>-476.95011337868482</v>
      </c>
      <c r="E23" s="1325">
        <f t="shared" ref="E23:K23" si="65">E22*(1-E21)</f>
        <v>-269.82298752834475</v>
      </c>
      <c r="F23" s="1325">
        <f t="shared" si="65"/>
        <v>-335.79691964285712</v>
      </c>
      <c r="G23" s="1325">
        <f t="shared" si="65"/>
        <v>-336.39131391369051</v>
      </c>
      <c r="H23" s="1325">
        <f t="shared" si="65"/>
        <v>-336.99462409858626</v>
      </c>
      <c r="I23" s="1325">
        <f t="shared" si="65"/>
        <v>-337.60698393625557</v>
      </c>
      <c r="J23" s="1325">
        <f t="shared" si="65"/>
        <v>-295.91843846854204</v>
      </c>
      <c r="K23" s="1325">
        <f t="shared" si="65"/>
        <v>-296.54930688230479</v>
      </c>
      <c r="L23" s="1325">
        <f t="shared" ref="L23" si="66">L22*(1-L21)</f>
        <v>-43.329094104587021</v>
      </c>
      <c r="M23" s="1325">
        <f t="shared" ref="M23" si="67">M22*(1-M21)</f>
        <v>-43.979030516155781</v>
      </c>
      <c r="N23" s="1325">
        <f t="shared" ref="N23" si="68">N22*(1-N21)</f>
        <v>-44.638715973898087</v>
      </c>
      <c r="O23" s="1325">
        <f t="shared" ref="O23" si="69">O22*(1-O21)</f>
        <v>-45.308296713506607</v>
      </c>
      <c r="P23" s="1325">
        <f t="shared" ref="P23" si="70">P22*(1-P21)</f>
        <v>-45.987921164209155</v>
      </c>
      <c r="Q23" s="1325">
        <f t="shared" ref="Q23" si="71">Q22*(1-Q21)</f>
        <v>-46.677739981672346</v>
      </c>
      <c r="R23" s="1325">
        <f t="shared" ref="R23" si="72">R22*(1-R21)</f>
        <v>-47.37790608139742</v>
      </c>
      <c r="S23" s="1325">
        <f t="shared" ref="S23" si="73">S22*(1-S21)</f>
        <v>-48.088574672618392</v>
      </c>
      <c r="T23" s="1325">
        <f t="shared" ref="T23" si="74">T22*(1-T21)</f>
        <v>-48.809903292707681</v>
      </c>
      <c r="U23" s="1325">
        <f t="shared" ref="U23" si="75">U22*(1-U21)</f>
        <v>-49.54205184209831</v>
      </c>
      <c r="V23" s="1325">
        <f t="shared" ref="V23" si="76">V22*(1-V21)</f>
        <v>-50.285182619729774</v>
      </c>
      <c r="W23" s="1325">
        <f t="shared" ref="W23" si="77">W22*(1-W21)</f>
        <v>-51.039460359025696</v>
      </c>
      <c r="X23" s="1325">
        <f t="shared" ref="X23" si="78">X22*(1-X21)</f>
        <v>-51.805052264411003</v>
      </c>
      <c r="Y23" s="1325">
        <f t="shared" ref="Y23" si="79">Y22*(1-Y21)</f>
        <v>-52.582128048377207</v>
      </c>
    </row>
    <row r="25" spans="3:32" ht="15" x14ac:dyDescent="0.25">
      <c r="C25" s="1073"/>
    </row>
    <row r="27" spans="3:32" ht="15" x14ac:dyDescent="0.25">
      <c r="C27" s="1073" t="s">
        <v>971</v>
      </c>
      <c r="D27">
        <v>1</v>
      </c>
      <c r="E27">
        <v>2</v>
      </c>
      <c r="F27">
        <v>3</v>
      </c>
      <c r="G27">
        <v>4</v>
      </c>
      <c r="H27">
        <v>5</v>
      </c>
      <c r="I27">
        <v>6</v>
      </c>
      <c r="J27">
        <v>7</v>
      </c>
      <c r="K27">
        <v>8</v>
      </c>
    </row>
    <row r="28" spans="3:32" x14ac:dyDescent="0.2">
      <c r="C28" t="s">
        <v>972</v>
      </c>
      <c r="D28" s="1074">
        <f>L28/9</f>
        <v>26.388888888888889</v>
      </c>
      <c r="E28" s="1074">
        <f>$D$28*E27</f>
        <v>52.777777777777779</v>
      </c>
      <c r="F28" s="1074">
        <f t="shared" ref="F28:K28" si="80">$D$28*F27</f>
        <v>79.166666666666671</v>
      </c>
      <c r="G28" s="1074">
        <f t="shared" si="80"/>
        <v>105.55555555555556</v>
      </c>
      <c r="H28" s="1074">
        <f t="shared" si="80"/>
        <v>131.94444444444446</v>
      </c>
      <c r="I28" s="1074">
        <f t="shared" si="80"/>
        <v>158.33333333333334</v>
      </c>
      <c r="J28" s="1074">
        <f t="shared" si="80"/>
        <v>184.72222222222223</v>
      </c>
      <c r="K28" s="1074">
        <f t="shared" si="80"/>
        <v>211.11111111111111</v>
      </c>
      <c r="L28" s="1074">
        <f>950/4</f>
        <v>237.5</v>
      </c>
      <c r="M28" s="1074">
        <f t="shared" ref="M28:Y28" si="81">950/4</f>
        <v>237.5</v>
      </c>
      <c r="N28" s="1074">
        <f t="shared" si="81"/>
        <v>237.5</v>
      </c>
      <c r="O28" s="1074">
        <f t="shared" si="81"/>
        <v>237.5</v>
      </c>
      <c r="P28" s="1074">
        <f t="shared" si="81"/>
        <v>237.5</v>
      </c>
      <c r="Q28" s="1074">
        <f t="shared" si="81"/>
        <v>237.5</v>
      </c>
      <c r="R28" s="1074">
        <f t="shared" si="81"/>
        <v>237.5</v>
      </c>
      <c r="S28" s="1074">
        <f t="shared" si="81"/>
        <v>237.5</v>
      </c>
      <c r="T28" s="1074">
        <f t="shared" si="81"/>
        <v>237.5</v>
      </c>
      <c r="U28" s="1074">
        <f t="shared" si="81"/>
        <v>237.5</v>
      </c>
      <c r="V28" s="1074">
        <f t="shared" si="81"/>
        <v>237.5</v>
      </c>
      <c r="W28" s="1074">
        <f t="shared" si="81"/>
        <v>237.5</v>
      </c>
      <c r="X28" s="1074">
        <f t="shared" si="81"/>
        <v>237.5</v>
      </c>
      <c r="Y28" s="1074">
        <f t="shared" si="81"/>
        <v>237.5</v>
      </c>
      <c r="AA28" s="1074">
        <f>SUM(D28:E28)</f>
        <v>79.166666666666671</v>
      </c>
      <c r="AB28" s="1074">
        <f>SUM(F28:I28)</f>
        <v>475</v>
      </c>
      <c r="AC28" s="1074">
        <f>SUM(J28:M28)</f>
        <v>870.83333333333337</v>
      </c>
      <c r="AD28" s="1074">
        <f>SUM(N28:Q28)</f>
        <v>950</v>
      </c>
      <c r="AE28" s="1074">
        <f>SUM(R28:U28)</f>
        <v>950</v>
      </c>
      <c r="AF28" s="1074">
        <f>SUM(V28:Y28)</f>
        <v>950</v>
      </c>
    </row>
    <row r="29" spans="3:32" x14ac:dyDescent="0.2">
      <c r="C29" t="s">
        <v>708</v>
      </c>
      <c r="D29" s="1074">
        <f>L29/9</f>
        <v>6.9444444444444446</v>
      </c>
      <c r="E29" s="1074">
        <f>$D$29*E27</f>
        <v>13.888888888888889</v>
      </c>
      <c r="F29" s="1074">
        <f t="shared" ref="F29:K29" si="82">$D$29*F27</f>
        <v>20.833333333333336</v>
      </c>
      <c r="G29" s="1074">
        <f t="shared" si="82"/>
        <v>27.777777777777779</v>
      </c>
      <c r="H29" s="1074">
        <f t="shared" si="82"/>
        <v>34.722222222222221</v>
      </c>
      <c r="I29" s="1074">
        <f t="shared" si="82"/>
        <v>41.666666666666671</v>
      </c>
      <c r="J29" s="1074">
        <f t="shared" si="82"/>
        <v>48.611111111111114</v>
      </c>
      <c r="K29" s="1074">
        <f t="shared" si="82"/>
        <v>55.555555555555557</v>
      </c>
      <c r="L29" s="1074">
        <f>250/4</f>
        <v>62.5</v>
      </c>
      <c r="M29" s="1074">
        <f t="shared" ref="M29:Y29" si="83">250/4</f>
        <v>62.5</v>
      </c>
      <c r="N29" s="1074">
        <f t="shared" si="83"/>
        <v>62.5</v>
      </c>
      <c r="O29" s="1074">
        <f t="shared" si="83"/>
        <v>62.5</v>
      </c>
      <c r="P29" s="1074">
        <f t="shared" si="83"/>
        <v>62.5</v>
      </c>
      <c r="Q29" s="1074">
        <f t="shared" si="83"/>
        <v>62.5</v>
      </c>
      <c r="R29" s="1074">
        <f t="shared" si="83"/>
        <v>62.5</v>
      </c>
      <c r="S29" s="1074">
        <f t="shared" si="83"/>
        <v>62.5</v>
      </c>
      <c r="T29" s="1074">
        <f t="shared" si="83"/>
        <v>62.5</v>
      </c>
      <c r="U29" s="1074">
        <f t="shared" si="83"/>
        <v>62.5</v>
      </c>
      <c r="V29" s="1074">
        <f t="shared" si="83"/>
        <v>62.5</v>
      </c>
      <c r="W29" s="1074">
        <f t="shared" si="83"/>
        <v>62.5</v>
      </c>
      <c r="X29" s="1074">
        <f t="shared" si="83"/>
        <v>62.5</v>
      </c>
      <c r="Y29" s="1074">
        <f t="shared" si="83"/>
        <v>62.5</v>
      </c>
      <c r="AA29" s="1074">
        <f>SUM(D29:E29)</f>
        <v>20.833333333333336</v>
      </c>
      <c r="AB29" s="1074">
        <f>SUM(F29:I29)</f>
        <v>125.00000000000001</v>
      </c>
      <c r="AC29" s="1074">
        <f>SUM(J29:M29)</f>
        <v>229.16666666666669</v>
      </c>
      <c r="AD29" s="1074">
        <f>SUM(N29:Q29)</f>
        <v>250</v>
      </c>
      <c r="AE29" s="1074">
        <f>SUM(R29:U29)</f>
        <v>250</v>
      </c>
      <c r="AF29" s="1074">
        <f>SUM(V29:Y29)</f>
        <v>250</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005D0-09AF-440A-9557-A1FE3E45176F}">
  <dimension ref="A1:Y63"/>
  <sheetViews>
    <sheetView showGridLines="0" topLeftCell="A11" zoomScale="85" zoomScaleNormal="85" workbookViewId="0">
      <selection activeCell="G56" sqref="D56:G56"/>
    </sheetView>
  </sheetViews>
  <sheetFormatPr defaultRowHeight="14.25" x14ac:dyDescent="0.2"/>
  <cols>
    <col min="3" max="3" width="18.75" bestFit="1" customWidth="1"/>
    <col min="15" max="15" width="21.75" bestFit="1" customWidth="1"/>
    <col min="16" max="16" width="14" bestFit="1" customWidth="1"/>
  </cols>
  <sheetData>
    <row r="1" spans="1:6" x14ac:dyDescent="0.2">
      <c r="A1" t="s">
        <v>699</v>
      </c>
    </row>
    <row r="4" spans="1:6" ht="15" x14ac:dyDescent="0.25">
      <c r="F4" s="1073" t="s">
        <v>1014</v>
      </c>
    </row>
    <row r="5" spans="1:6" ht="15" x14ac:dyDescent="0.25">
      <c r="C5" s="1073" t="s">
        <v>1010</v>
      </c>
      <c r="F5" s="1073">
        <v>15</v>
      </c>
    </row>
    <row r="6" spans="1:6" ht="15" x14ac:dyDescent="0.25">
      <c r="C6" s="1073" t="s">
        <v>1012</v>
      </c>
      <c r="F6" s="1073">
        <v>12</v>
      </c>
    </row>
    <row r="7" spans="1:6" ht="15" x14ac:dyDescent="0.25">
      <c r="C7" s="1073" t="s">
        <v>1011</v>
      </c>
      <c r="F7" s="1073">
        <v>2.5</v>
      </c>
    </row>
    <row r="8" spans="1:6" ht="15" x14ac:dyDescent="0.25">
      <c r="C8" s="1073" t="s">
        <v>1013</v>
      </c>
      <c r="F8" s="1073">
        <f>12-2.5</f>
        <v>9.5</v>
      </c>
    </row>
    <row r="9" spans="1:6" ht="15" x14ac:dyDescent="0.25">
      <c r="C9" s="1073" t="s">
        <v>1015</v>
      </c>
      <c r="F9" s="1073">
        <v>5</v>
      </c>
    </row>
    <row r="10" spans="1:6" ht="15" x14ac:dyDescent="0.25">
      <c r="C10" s="1073" t="s">
        <v>1016</v>
      </c>
      <c r="F10" s="1073">
        <f>F8/F9</f>
        <v>1.9</v>
      </c>
    </row>
    <row r="14" spans="1:6" x14ac:dyDescent="0.2">
      <c r="D14" s="1097"/>
    </row>
    <row r="15" spans="1:6" x14ac:dyDescent="0.2">
      <c r="D15" s="1097"/>
    </row>
    <row r="16" spans="1:6" x14ac:dyDescent="0.2">
      <c r="D16" s="1097"/>
    </row>
    <row r="17" spans="3:25" ht="15" x14ac:dyDescent="0.25">
      <c r="D17" s="1097"/>
      <c r="P17" s="1073" t="s">
        <v>1026</v>
      </c>
      <c r="Q17" s="1353">
        <v>0.3</v>
      </c>
    </row>
    <row r="18" spans="3:25" ht="15" x14ac:dyDescent="0.25">
      <c r="C18" s="1073" t="s">
        <v>1039</v>
      </c>
      <c r="I18" s="1073" t="s">
        <v>1020</v>
      </c>
      <c r="P18" s="1073" t="s">
        <v>1027</v>
      </c>
      <c r="Q18" s="1073"/>
      <c r="R18" s="1073"/>
      <c r="S18" s="1073"/>
      <c r="T18" s="1073"/>
      <c r="U18" s="1073"/>
      <c r="V18" s="1073"/>
      <c r="W18" s="1073"/>
      <c r="X18" s="1073"/>
      <c r="Y18" s="1073"/>
    </row>
    <row r="19" spans="3:25" ht="15" x14ac:dyDescent="0.25">
      <c r="C19" s="1073" t="s">
        <v>1017</v>
      </c>
      <c r="D19" s="1073" t="s">
        <v>1018</v>
      </c>
      <c r="E19" s="1073" t="s">
        <v>1019</v>
      </c>
      <c r="F19" s="1073" t="s">
        <v>996</v>
      </c>
      <c r="I19" s="1073" t="s">
        <v>1021</v>
      </c>
      <c r="J19" s="1073" t="s">
        <v>1022</v>
      </c>
      <c r="K19" s="1073" t="s">
        <v>1023</v>
      </c>
      <c r="L19" s="1073" t="s">
        <v>1024</v>
      </c>
      <c r="M19" s="1073" t="s">
        <v>1025</v>
      </c>
      <c r="P19" s="1073" t="str">
        <f>C19</f>
        <v>Q1</v>
      </c>
      <c r="Q19" s="1073" t="str">
        <f t="shared" ref="Q19:S19" si="0">D19</f>
        <v>Q2</v>
      </c>
      <c r="R19" s="1073" t="str">
        <f t="shared" si="0"/>
        <v>Q3</v>
      </c>
      <c r="S19" s="1073" t="str">
        <f t="shared" si="0"/>
        <v>Q4</v>
      </c>
      <c r="T19" s="1073" t="s">
        <v>1028</v>
      </c>
      <c r="U19" s="1073" t="s">
        <v>1029</v>
      </c>
      <c r="V19" s="1073" t="s">
        <v>1030</v>
      </c>
      <c r="W19" s="1073" t="s">
        <v>1031</v>
      </c>
      <c r="X19" s="1073" t="s">
        <v>1032</v>
      </c>
      <c r="Y19" s="1073" t="s">
        <v>1038</v>
      </c>
    </row>
    <row r="20" spans="3:25" x14ac:dyDescent="0.2">
      <c r="C20">
        <v>0.15</v>
      </c>
      <c r="D20">
        <v>0.35</v>
      </c>
      <c r="E20">
        <v>0.3</v>
      </c>
      <c r="F20">
        <v>0.2</v>
      </c>
      <c r="I20">
        <v>0.95</v>
      </c>
      <c r="J20">
        <v>1.4249999999999998</v>
      </c>
      <c r="K20">
        <v>1.9</v>
      </c>
      <c r="L20">
        <v>2.375</v>
      </c>
      <c r="M20">
        <v>2.8499999999999996</v>
      </c>
      <c r="P20" s="1097">
        <v>0.1</v>
      </c>
      <c r="Q20" s="1097">
        <v>0.15</v>
      </c>
      <c r="R20" s="1097">
        <v>0.3</v>
      </c>
      <c r="S20" s="1097">
        <v>0.45</v>
      </c>
      <c r="T20" s="1097">
        <v>0.55000000000000004</v>
      </c>
      <c r="U20" s="1097">
        <v>0.65</v>
      </c>
      <c r="V20" s="1097">
        <v>0.8</v>
      </c>
      <c r="W20" s="1097">
        <v>0.9</v>
      </c>
      <c r="X20" s="1097">
        <v>0.96</v>
      </c>
      <c r="Y20" s="1097">
        <v>1</v>
      </c>
    </row>
    <row r="21" spans="3:25" ht="15" x14ac:dyDescent="0.25">
      <c r="O21" s="1073" t="s">
        <v>1040</v>
      </c>
      <c r="P21" s="1073">
        <f>P20*$Q$17</f>
        <v>0.03</v>
      </c>
      <c r="Q21" s="1073">
        <f t="shared" ref="Q21:W21" si="1">Q20*$Q$17</f>
        <v>4.4999999999999998E-2</v>
      </c>
      <c r="R21" s="1073">
        <f t="shared" si="1"/>
        <v>0.09</v>
      </c>
      <c r="S21" s="1073">
        <f t="shared" si="1"/>
        <v>0.13500000000000001</v>
      </c>
      <c r="T21" s="1073">
        <f t="shared" si="1"/>
        <v>0.16500000000000001</v>
      </c>
      <c r="U21" s="1073">
        <f t="shared" si="1"/>
        <v>0.19500000000000001</v>
      </c>
      <c r="V21" s="1073">
        <f t="shared" si="1"/>
        <v>0.24</v>
      </c>
      <c r="W21" s="1073">
        <f t="shared" si="1"/>
        <v>0.27</v>
      </c>
      <c r="X21" s="1073">
        <f t="shared" ref="X21" si="2">X20*$Q$17</f>
        <v>0.28799999999999998</v>
      </c>
      <c r="Y21" s="1073">
        <f t="shared" ref="Y21" si="3">Y20*$Q$17</f>
        <v>0.3</v>
      </c>
    </row>
    <row r="24" spans="3:25" ht="15" x14ac:dyDescent="0.25">
      <c r="C24" s="1073" t="s">
        <v>722</v>
      </c>
      <c r="D24" s="1073" t="s">
        <v>723</v>
      </c>
      <c r="E24" s="1073" t="s">
        <v>724</v>
      </c>
      <c r="F24" s="1073" t="s">
        <v>725</v>
      </c>
      <c r="G24" s="1073" t="s">
        <v>949</v>
      </c>
      <c r="H24" s="1073" t="s">
        <v>950</v>
      </c>
      <c r="I24" s="1073" t="s">
        <v>951</v>
      </c>
      <c r="J24" s="1073" t="s">
        <v>952</v>
      </c>
      <c r="K24" s="1073" t="s">
        <v>959</v>
      </c>
      <c r="L24" s="1073" t="s">
        <v>960</v>
      </c>
      <c r="M24" s="1073" t="s">
        <v>961</v>
      </c>
      <c r="N24" s="1073" t="s">
        <v>962</v>
      </c>
      <c r="O24" s="1073" t="s">
        <v>963</v>
      </c>
      <c r="P24" s="1073" t="s">
        <v>964</v>
      </c>
      <c r="Q24" s="1073" t="s">
        <v>965</v>
      </c>
      <c r="R24" s="1073" t="s">
        <v>966</v>
      </c>
      <c r="S24" s="1073" t="s">
        <v>967</v>
      </c>
      <c r="T24" s="1073" t="s">
        <v>968</v>
      </c>
      <c r="U24" s="1073" t="s">
        <v>969</v>
      </c>
      <c r="V24" s="1073" t="s">
        <v>970</v>
      </c>
    </row>
    <row r="25" spans="3:25" x14ac:dyDescent="0.2">
      <c r="C25">
        <f>C20*$I$20</f>
        <v>0.14249999999999999</v>
      </c>
      <c r="D25">
        <f t="shared" ref="D25:F25" si="4">D20*$I$20</f>
        <v>0.33249999999999996</v>
      </c>
      <c r="E25">
        <f t="shared" si="4"/>
        <v>0.28499999999999998</v>
      </c>
      <c r="F25">
        <f t="shared" si="4"/>
        <v>0.19</v>
      </c>
      <c r="G25">
        <f>C20*$J$20</f>
        <v>0.21374999999999997</v>
      </c>
      <c r="H25">
        <f t="shared" ref="H25:J25" si="5">D20*$J$20</f>
        <v>0.49874999999999992</v>
      </c>
      <c r="I25">
        <f t="shared" si="5"/>
        <v>0.42749999999999994</v>
      </c>
      <c r="J25">
        <f t="shared" si="5"/>
        <v>0.28499999999999998</v>
      </c>
      <c r="K25">
        <f>C20*$K$20</f>
        <v>0.28499999999999998</v>
      </c>
      <c r="L25">
        <f t="shared" ref="L25:N25" si="6">D20*$K$20</f>
        <v>0.66499999999999992</v>
      </c>
      <c r="M25">
        <f t="shared" si="6"/>
        <v>0.56999999999999995</v>
      </c>
      <c r="N25">
        <f t="shared" si="6"/>
        <v>0.38</v>
      </c>
      <c r="O25">
        <f>C20*$L$20</f>
        <v>0.35625000000000001</v>
      </c>
      <c r="P25">
        <f>D20*$L$20</f>
        <v>0.83124999999999993</v>
      </c>
      <c r="Q25">
        <f>E20*$L$20</f>
        <v>0.71250000000000002</v>
      </c>
      <c r="R25">
        <f>F20*$L$20</f>
        <v>0.47500000000000003</v>
      </c>
      <c r="S25">
        <f>C20*$M$20</f>
        <v>0.42749999999999994</v>
      </c>
      <c r="T25">
        <f>D20*$M$20</f>
        <v>0.99749999999999983</v>
      </c>
      <c r="U25">
        <f>E20*$M$20</f>
        <v>0.85499999999999987</v>
      </c>
      <c r="V25">
        <f>F20*$M$20</f>
        <v>0.56999999999999995</v>
      </c>
    </row>
    <row r="32" spans="3:25" x14ac:dyDescent="0.2">
      <c r="D32" t="s">
        <v>1034</v>
      </c>
    </row>
    <row r="33" spans="3:23" ht="15" x14ac:dyDescent="0.25">
      <c r="C33" t="s">
        <v>1033</v>
      </c>
      <c r="D33" s="1073" t="str">
        <f>C24</f>
        <v>1Q26</v>
      </c>
      <c r="E33" s="1073" t="str">
        <f t="shared" ref="E33:W33" si="7">D24</f>
        <v>2Q26</v>
      </c>
      <c r="F33" s="1073" t="str">
        <f t="shared" si="7"/>
        <v>3Q26</v>
      </c>
      <c r="G33" s="1073" t="str">
        <f t="shared" si="7"/>
        <v>4Q26</v>
      </c>
      <c r="H33" s="1073" t="str">
        <f t="shared" si="7"/>
        <v>1Q27</v>
      </c>
      <c r="I33" s="1073" t="str">
        <f t="shared" si="7"/>
        <v>2Q27</v>
      </c>
      <c r="J33" s="1073" t="str">
        <f t="shared" si="7"/>
        <v>3Q27</v>
      </c>
      <c r="K33" s="1073" t="str">
        <f t="shared" si="7"/>
        <v>4Q27</v>
      </c>
      <c r="L33" s="1073" t="str">
        <f t="shared" si="7"/>
        <v>1Q28</v>
      </c>
      <c r="M33" s="1073" t="str">
        <f t="shared" si="7"/>
        <v>2Q28</v>
      </c>
      <c r="N33" s="1073" t="str">
        <f t="shared" si="7"/>
        <v>3Q28</v>
      </c>
      <c r="O33" s="1073" t="str">
        <f t="shared" si="7"/>
        <v>4Q28</v>
      </c>
      <c r="P33" s="1073" t="str">
        <f>O24</f>
        <v>1Q29</v>
      </c>
      <c r="Q33" s="1073" t="str">
        <f t="shared" si="7"/>
        <v>2Q29</v>
      </c>
      <c r="R33" s="1073" t="str">
        <f t="shared" si="7"/>
        <v>3Q29</v>
      </c>
      <c r="S33" s="1073" t="str">
        <f t="shared" si="7"/>
        <v>4Q29</v>
      </c>
      <c r="T33" s="1073" t="str">
        <f t="shared" si="7"/>
        <v>1Q30</v>
      </c>
      <c r="U33" s="1073" t="str">
        <f t="shared" si="7"/>
        <v>2Q30</v>
      </c>
      <c r="V33" s="1073" t="str">
        <f t="shared" si="7"/>
        <v>3Q30</v>
      </c>
      <c r="W33" s="1073" t="str">
        <f t="shared" si="7"/>
        <v>4Q30</v>
      </c>
    </row>
    <row r="34" spans="3:23" ht="15" x14ac:dyDescent="0.25">
      <c r="C34" s="1073" t="s">
        <v>722</v>
      </c>
      <c r="D34" s="1351">
        <f>$C$25*P21</f>
        <v>4.2749999999999993E-3</v>
      </c>
      <c r="E34" s="1351">
        <f t="shared" ref="E34:L34" si="8">$C$25*Q21</f>
        <v>6.4124999999999989E-3</v>
      </c>
      <c r="F34" s="1351">
        <f t="shared" si="8"/>
        <v>1.2824999999999998E-2</v>
      </c>
      <c r="G34" s="1351">
        <f t="shared" si="8"/>
        <v>1.9237500000000001E-2</v>
      </c>
      <c r="H34" s="1351">
        <f t="shared" si="8"/>
        <v>2.3512499999999999E-2</v>
      </c>
      <c r="I34" s="1351">
        <f t="shared" si="8"/>
        <v>2.77875E-2</v>
      </c>
      <c r="J34" s="1351">
        <f t="shared" si="8"/>
        <v>3.4199999999999994E-2</v>
      </c>
      <c r="K34" s="1351">
        <f t="shared" si="8"/>
        <v>3.8475000000000002E-2</v>
      </c>
      <c r="L34" s="1351">
        <f t="shared" si="8"/>
        <v>4.1039999999999993E-2</v>
      </c>
      <c r="M34" s="1351">
        <f>$C$25*$Y$21</f>
        <v>4.2749999999999996E-2</v>
      </c>
      <c r="N34" s="1351">
        <f t="shared" ref="N34:W34" si="9">$C$25*$Y$21</f>
        <v>4.2749999999999996E-2</v>
      </c>
      <c r="O34" s="1351">
        <f t="shared" si="9"/>
        <v>4.2749999999999996E-2</v>
      </c>
      <c r="P34" s="1351">
        <f t="shared" si="9"/>
        <v>4.2749999999999996E-2</v>
      </c>
      <c r="Q34" s="1351">
        <f t="shared" si="9"/>
        <v>4.2749999999999996E-2</v>
      </c>
      <c r="R34" s="1351">
        <f t="shared" si="9"/>
        <v>4.2749999999999996E-2</v>
      </c>
      <c r="S34" s="1351">
        <f t="shared" si="9"/>
        <v>4.2749999999999996E-2</v>
      </c>
      <c r="T34" s="1351">
        <f t="shared" si="9"/>
        <v>4.2749999999999996E-2</v>
      </c>
      <c r="U34" s="1351">
        <f t="shared" si="9"/>
        <v>4.2749999999999996E-2</v>
      </c>
      <c r="V34" s="1351">
        <f t="shared" si="9"/>
        <v>4.2749999999999996E-2</v>
      </c>
      <c r="W34" s="1351">
        <f t="shared" si="9"/>
        <v>4.2749999999999996E-2</v>
      </c>
    </row>
    <row r="35" spans="3:23" ht="15" x14ac:dyDescent="0.25">
      <c r="C35" s="1073" t="s">
        <v>723</v>
      </c>
      <c r="D35" s="1351"/>
      <c r="E35" s="1351">
        <f>$D$25*P21</f>
        <v>9.9749999999999978E-3</v>
      </c>
      <c r="F35" s="1351">
        <f t="shared" ref="F35:M35" si="10">$D$25*Q21</f>
        <v>1.4962499999999998E-2</v>
      </c>
      <c r="G35" s="1351">
        <f t="shared" si="10"/>
        <v>2.9924999999999997E-2</v>
      </c>
      <c r="H35" s="1351">
        <f t="shared" si="10"/>
        <v>4.4887499999999997E-2</v>
      </c>
      <c r="I35" s="1351">
        <f t="shared" si="10"/>
        <v>5.4862499999999995E-2</v>
      </c>
      <c r="J35" s="1351">
        <f t="shared" si="10"/>
        <v>6.4837499999999992E-2</v>
      </c>
      <c r="K35" s="1351">
        <f t="shared" si="10"/>
        <v>7.9799999999999982E-2</v>
      </c>
      <c r="L35" s="1351">
        <f t="shared" si="10"/>
        <v>8.9774999999999994E-2</v>
      </c>
      <c r="M35" s="1351">
        <f t="shared" si="10"/>
        <v>9.5759999999999984E-2</v>
      </c>
      <c r="N35" s="1351">
        <f>$D$25*$Y$21</f>
        <v>9.9749999999999991E-2</v>
      </c>
      <c r="O35" s="1351">
        <f t="shared" ref="O35:W35" si="11">$D$25*$Y$21</f>
        <v>9.9749999999999991E-2</v>
      </c>
      <c r="P35" s="1351">
        <f t="shared" si="11"/>
        <v>9.9749999999999991E-2</v>
      </c>
      <c r="Q35" s="1351">
        <f t="shared" si="11"/>
        <v>9.9749999999999991E-2</v>
      </c>
      <c r="R35" s="1351">
        <f t="shared" si="11"/>
        <v>9.9749999999999991E-2</v>
      </c>
      <c r="S35" s="1351">
        <f t="shared" si="11"/>
        <v>9.9749999999999991E-2</v>
      </c>
      <c r="T35" s="1351">
        <f t="shared" si="11"/>
        <v>9.9749999999999991E-2</v>
      </c>
      <c r="U35" s="1351">
        <f t="shared" si="11"/>
        <v>9.9749999999999991E-2</v>
      </c>
      <c r="V35" s="1351">
        <f t="shared" si="11"/>
        <v>9.9749999999999991E-2</v>
      </c>
      <c r="W35" s="1351">
        <f t="shared" si="11"/>
        <v>9.9749999999999991E-2</v>
      </c>
    </row>
    <row r="36" spans="3:23" ht="15" x14ac:dyDescent="0.25">
      <c r="C36" s="1073" t="s">
        <v>724</v>
      </c>
      <c r="D36" s="1351"/>
      <c r="E36" s="1351"/>
      <c r="F36" s="1351">
        <f>$E$25*P21</f>
        <v>8.5499999999999986E-3</v>
      </c>
      <c r="G36" s="1351">
        <f t="shared" ref="G36:N36" si="12">$E$25*Q21</f>
        <v>1.2824999999999998E-2</v>
      </c>
      <c r="H36" s="1351">
        <f t="shared" si="12"/>
        <v>2.5649999999999996E-2</v>
      </c>
      <c r="I36" s="1351">
        <f t="shared" si="12"/>
        <v>3.8475000000000002E-2</v>
      </c>
      <c r="J36" s="1351">
        <f t="shared" si="12"/>
        <v>4.7024999999999997E-2</v>
      </c>
      <c r="K36" s="1351">
        <f t="shared" si="12"/>
        <v>5.5574999999999999E-2</v>
      </c>
      <c r="L36" s="1351">
        <f t="shared" si="12"/>
        <v>6.8399999999999989E-2</v>
      </c>
      <c r="M36" s="1351">
        <f t="shared" si="12"/>
        <v>7.6950000000000005E-2</v>
      </c>
      <c r="N36" s="1351">
        <f t="shared" si="12"/>
        <v>8.2079999999999986E-2</v>
      </c>
      <c r="O36" s="1351">
        <f>$E$25*$Y$21</f>
        <v>8.5499999999999993E-2</v>
      </c>
      <c r="P36" s="1351">
        <f t="shared" ref="P36:W36" si="13">$E$25*$Y$21</f>
        <v>8.5499999999999993E-2</v>
      </c>
      <c r="Q36" s="1351">
        <f t="shared" si="13"/>
        <v>8.5499999999999993E-2</v>
      </c>
      <c r="R36" s="1351">
        <f t="shared" si="13"/>
        <v>8.5499999999999993E-2</v>
      </c>
      <c r="S36" s="1351">
        <f t="shared" si="13"/>
        <v>8.5499999999999993E-2</v>
      </c>
      <c r="T36" s="1351">
        <f t="shared" si="13"/>
        <v>8.5499999999999993E-2</v>
      </c>
      <c r="U36" s="1351">
        <f t="shared" si="13"/>
        <v>8.5499999999999993E-2</v>
      </c>
      <c r="V36" s="1351">
        <f t="shared" si="13"/>
        <v>8.5499999999999993E-2</v>
      </c>
      <c r="W36" s="1351">
        <f t="shared" si="13"/>
        <v>8.5499999999999993E-2</v>
      </c>
    </row>
    <row r="37" spans="3:23" ht="15" x14ac:dyDescent="0.25">
      <c r="C37" s="1073" t="s">
        <v>725</v>
      </c>
      <c r="D37" s="1351"/>
      <c r="E37" s="1351"/>
      <c r="F37" s="1351"/>
      <c r="G37" s="1351">
        <f>$F$25*P21</f>
        <v>5.7000000000000002E-3</v>
      </c>
      <c r="H37" s="1351">
        <f t="shared" ref="H37:O37" si="14">$F$25*Q21</f>
        <v>8.5500000000000003E-3</v>
      </c>
      <c r="I37" s="1351">
        <f t="shared" si="14"/>
        <v>1.7100000000000001E-2</v>
      </c>
      <c r="J37" s="1351">
        <f t="shared" si="14"/>
        <v>2.5650000000000003E-2</v>
      </c>
      <c r="K37" s="1351">
        <f t="shared" si="14"/>
        <v>3.1350000000000003E-2</v>
      </c>
      <c r="L37" s="1351">
        <f t="shared" si="14"/>
        <v>3.705E-2</v>
      </c>
      <c r="M37" s="1351">
        <f t="shared" si="14"/>
        <v>4.5600000000000002E-2</v>
      </c>
      <c r="N37" s="1351">
        <f t="shared" si="14"/>
        <v>5.1300000000000005E-2</v>
      </c>
      <c r="O37" s="1351">
        <f t="shared" si="14"/>
        <v>5.4719999999999998E-2</v>
      </c>
      <c r="P37" s="1351">
        <f>$F$25*$Y$21</f>
        <v>5.6999999999999995E-2</v>
      </c>
      <c r="Q37" s="1351">
        <f t="shared" ref="Q37:W37" si="15">$F$25*$Y$21</f>
        <v>5.6999999999999995E-2</v>
      </c>
      <c r="R37" s="1351">
        <f t="shared" si="15"/>
        <v>5.6999999999999995E-2</v>
      </c>
      <c r="S37" s="1351">
        <f t="shared" si="15"/>
        <v>5.6999999999999995E-2</v>
      </c>
      <c r="T37" s="1351">
        <f t="shared" si="15"/>
        <v>5.6999999999999995E-2</v>
      </c>
      <c r="U37" s="1351">
        <f t="shared" si="15"/>
        <v>5.6999999999999995E-2</v>
      </c>
      <c r="V37" s="1351">
        <f t="shared" si="15"/>
        <v>5.6999999999999995E-2</v>
      </c>
      <c r="W37" s="1351">
        <f t="shared" si="15"/>
        <v>5.6999999999999995E-2</v>
      </c>
    </row>
    <row r="38" spans="3:23" ht="15" x14ac:dyDescent="0.25">
      <c r="C38" s="1073" t="s">
        <v>949</v>
      </c>
      <c r="D38" s="1351"/>
      <c r="E38" s="1351"/>
      <c r="F38" s="1351"/>
      <c r="G38" s="1351"/>
      <c r="H38" s="1351">
        <f>$G$25*P21</f>
        <v>6.4124999999999989E-3</v>
      </c>
      <c r="I38" s="1351">
        <f t="shared" ref="I38:P38" si="16">$G$25*Q21</f>
        <v>9.6187499999999988E-3</v>
      </c>
      <c r="J38" s="1351">
        <f t="shared" si="16"/>
        <v>1.9237499999999998E-2</v>
      </c>
      <c r="K38" s="1351">
        <f t="shared" si="16"/>
        <v>2.8856249999999996E-2</v>
      </c>
      <c r="L38" s="1351">
        <f t="shared" si="16"/>
        <v>3.5268749999999995E-2</v>
      </c>
      <c r="M38" s="1351">
        <f t="shared" si="16"/>
        <v>4.1681249999999996E-2</v>
      </c>
      <c r="N38" s="1351">
        <f t="shared" si="16"/>
        <v>5.1299999999999991E-2</v>
      </c>
      <c r="O38" s="1351">
        <f t="shared" si="16"/>
        <v>5.7712499999999993E-2</v>
      </c>
      <c r="P38" s="1351">
        <f t="shared" si="16"/>
        <v>6.1559999999999983E-2</v>
      </c>
      <c r="Q38" s="1351">
        <f>$G$25*$Y$21</f>
        <v>6.4124999999999988E-2</v>
      </c>
      <c r="R38" s="1351">
        <f t="shared" ref="R38:W38" si="17">$G$25*$Y$21</f>
        <v>6.4124999999999988E-2</v>
      </c>
      <c r="S38" s="1351">
        <f t="shared" si="17"/>
        <v>6.4124999999999988E-2</v>
      </c>
      <c r="T38" s="1351">
        <f t="shared" si="17"/>
        <v>6.4124999999999988E-2</v>
      </c>
      <c r="U38" s="1351">
        <f t="shared" si="17"/>
        <v>6.4124999999999988E-2</v>
      </c>
      <c r="V38" s="1351">
        <f t="shared" si="17"/>
        <v>6.4124999999999988E-2</v>
      </c>
      <c r="W38" s="1351">
        <f t="shared" si="17"/>
        <v>6.4124999999999988E-2</v>
      </c>
    </row>
    <row r="39" spans="3:23" ht="15" x14ac:dyDescent="0.25">
      <c r="C39" s="1073" t="s">
        <v>950</v>
      </c>
      <c r="D39" s="1351"/>
      <c r="E39" s="1351"/>
      <c r="F39" s="1351"/>
      <c r="G39" s="1351"/>
      <c r="H39" s="1351"/>
      <c r="I39" s="1351">
        <f>$H$25*P21</f>
        <v>1.4962499999999997E-2</v>
      </c>
      <c r="J39" s="1351">
        <f t="shared" ref="J39:Q39" si="18">$H$25*Q21</f>
        <v>2.2443749999999995E-2</v>
      </c>
      <c r="K39" s="1351">
        <f t="shared" si="18"/>
        <v>4.488749999999999E-2</v>
      </c>
      <c r="L39" s="1351">
        <f t="shared" si="18"/>
        <v>6.7331249999999995E-2</v>
      </c>
      <c r="M39" s="1351">
        <f t="shared" si="18"/>
        <v>8.2293749999999985E-2</v>
      </c>
      <c r="N39" s="1351">
        <f t="shared" si="18"/>
        <v>9.7256249999999989E-2</v>
      </c>
      <c r="O39" s="1351">
        <f t="shared" si="18"/>
        <v>0.11969999999999997</v>
      </c>
      <c r="P39" s="1351">
        <f t="shared" si="18"/>
        <v>0.13466249999999999</v>
      </c>
      <c r="Q39" s="1351">
        <f t="shared" si="18"/>
        <v>0.14363999999999996</v>
      </c>
      <c r="R39" s="1351">
        <f>$H$25*$Y$21</f>
        <v>0.14962499999999998</v>
      </c>
      <c r="S39" s="1351">
        <f t="shared" ref="S39:W39" si="19">$H$25*$Y$21</f>
        <v>0.14962499999999998</v>
      </c>
      <c r="T39" s="1351">
        <f t="shared" si="19"/>
        <v>0.14962499999999998</v>
      </c>
      <c r="U39" s="1351">
        <f t="shared" si="19"/>
        <v>0.14962499999999998</v>
      </c>
      <c r="V39" s="1351">
        <f t="shared" si="19"/>
        <v>0.14962499999999998</v>
      </c>
      <c r="W39" s="1351">
        <f t="shared" si="19"/>
        <v>0.14962499999999998</v>
      </c>
    </row>
    <row r="40" spans="3:23" ht="15" x14ac:dyDescent="0.25">
      <c r="C40" s="1073" t="s">
        <v>951</v>
      </c>
      <c r="D40" s="1351"/>
      <c r="E40" s="1351"/>
      <c r="F40" s="1351"/>
      <c r="G40" s="1351"/>
      <c r="H40" s="1351"/>
      <c r="I40" s="1351"/>
      <c r="J40" s="1351">
        <f>$I$25*P21</f>
        <v>1.2824999999999998E-2</v>
      </c>
      <c r="K40" s="1351">
        <f t="shared" ref="K40:R40" si="20">$I$25*Q21</f>
        <v>1.9237499999999998E-2</v>
      </c>
      <c r="L40" s="1351">
        <f t="shared" si="20"/>
        <v>3.8474999999999995E-2</v>
      </c>
      <c r="M40" s="1351">
        <f t="shared" si="20"/>
        <v>5.7712499999999993E-2</v>
      </c>
      <c r="N40" s="1351">
        <f t="shared" si="20"/>
        <v>7.0537499999999989E-2</v>
      </c>
      <c r="O40" s="1351">
        <f t="shared" si="20"/>
        <v>8.3362499999999992E-2</v>
      </c>
      <c r="P40" s="1351">
        <f t="shared" si="20"/>
        <v>0.10259999999999998</v>
      </c>
      <c r="Q40" s="1351">
        <f t="shared" si="20"/>
        <v>0.11542499999999999</v>
      </c>
      <c r="R40" s="1351">
        <f t="shared" si="20"/>
        <v>0.12311999999999997</v>
      </c>
      <c r="S40" s="1351">
        <f>$I$25*$Y$21</f>
        <v>0.12824999999999998</v>
      </c>
      <c r="T40" s="1351">
        <f t="shared" ref="T40:W40" si="21">$I$25*$Y$21</f>
        <v>0.12824999999999998</v>
      </c>
      <c r="U40" s="1351">
        <f t="shared" si="21"/>
        <v>0.12824999999999998</v>
      </c>
      <c r="V40" s="1351">
        <f t="shared" si="21"/>
        <v>0.12824999999999998</v>
      </c>
      <c r="W40" s="1351">
        <f t="shared" si="21"/>
        <v>0.12824999999999998</v>
      </c>
    </row>
    <row r="41" spans="3:23" ht="15" x14ac:dyDescent="0.25">
      <c r="C41" s="1073" t="s">
        <v>952</v>
      </c>
      <c r="D41" s="1351"/>
      <c r="E41" s="1351"/>
      <c r="F41" s="1351"/>
      <c r="G41" s="1351"/>
      <c r="H41" s="1351"/>
      <c r="I41" s="1351"/>
      <c r="J41" s="1351"/>
      <c r="K41" s="1351">
        <f>$J$25*P21</f>
        <v>8.5499999999999986E-3</v>
      </c>
      <c r="L41" s="1351">
        <f t="shared" ref="L41:S41" si="22">$J$25*Q21</f>
        <v>1.2824999999999998E-2</v>
      </c>
      <c r="M41" s="1351">
        <f t="shared" si="22"/>
        <v>2.5649999999999996E-2</v>
      </c>
      <c r="N41" s="1351">
        <f t="shared" si="22"/>
        <v>3.8475000000000002E-2</v>
      </c>
      <c r="O41" s="1351">
        <f t="shared" si="22"/>
        <v>4.7024999999999997E-2</v>
      </c>
      <c r="P41" s="1351">
        <f t="shared" si="22"/>
        <v>5.5574999999999999E-2</v>
      </c>
      <c r="Q41" s="1351">
        <f t="shared" si="22"/>
        <v>6.8399999999999989E-2</v>
      </c>
      <c r="R41" s="1351">
        <f t="shared" si="22"/>
        <v>7.6950000000000005E-2</v>
      </c>
      <c r="S41" s="1351">
        <f t="shared" si="22"/>
        <v>8.2079999999999986E-2</v>
      </c>
      <c r="T41" s="1351">
        <f>$J$25*$Y$21</f>
        <v>8.5499999999999993E-2</v>
      </c>
      <c r="U41" s="1351">
        <f t="shared" ref="U41:W41" si="23">$J$25*$Y$21</f>
        <v>8.5499999999999993E-2</v>
      </c>
      <c r="V41" s="1351">
        <f t="shared" si="23"/>
        <v>8.5499999999999993E-2</v>
      </c>
      <c r="W41" s="1351">
        <f t="shared" si="23"/>
        <v>8.5499999999999993E-2</v>
      </c>
    </row>
    <row r="42" spans="3:23" ht="15" x14ac:dyDescent="0.25">
      <c r="C42" s="1073" t="s">
        <v>959</v>
      </c>
      <c r="D42" s="1351"/>
      <c r="E42" s="1351"/>
      <c r="F42" s="1351"/>
      <c r="G42" s="1351"/>
      <c r="H42" s="1351"/>
      <c r="I42" s="1351"/>
      <c r="J42" s="1351"/>
      <c r="K42" s="1351"/>
      <c r="L42" s="1351">
        <f>$K$25*P21</f>
        <v>8.5499999999999986E-3</v>
      </c>
      <c r="M42" s="1351">
        <f t="shared" ref="M42:T42" si="24">$K$25*Q21</f>
        <v>1.2824999999999998E-2</v>
      </c>
      <c r="N42" s="1351">
        <f t="shared" si="24"/>
        <v>2.5649999999999996E-2</v>
      </c>
      <c r="O42" s="1351">
        <f t="shared" si="24"/>
        <v>3.8475000000000002E-2</v>
      </c>
      <c r="P42" s="1351">
        <f t="shared" si="24"/>
        <v>4.7024999999999997E-2</v>
      </c>
      <c r="Q42" s="1351">
        <f t="shared" si="24"/>
        <v>5.5574999999999999E-2</v>
      </c>
      <c r="R42" s="1351">
        <f t="shared" si="24"/>
        <v>6.8399999999999989E-2</v>
      </c>
      <c r="S42" s="1351">
        <f t="shared" si="24"/>
        <v>7.6950000000000005E-2</v>
      </c>
      <c r="T42" s="1351">
        <f t="shared" si="24"/>
        <v>8.2079999999999986E-2</v>
      </c>
      <c r="U42" s="1351">
        <f>$K$25*$Y$21</f>
        <v>8.5499999999999993E-2</v>
      </c>
      <c r="V42" s="1351">
        <f t="shared" ref="V42:W42" si="25">$K$25*$Y$21</f>
        <v>8.5499999999999993E-2</v>
      </c>
      <c r="W42" s="1351">
        <f t="shared" si="25"/>
        <v>8.5499999999999993E-2</v>
      </c>
    </row>
    <row r="43" spans="3:23" ht="15" x14ac:dyDescent="0.25">
      <c r="C43" s="1073" t="s">
        <v>960</v>
      </c>
      <c r="D43" s="1351"/>
      <c r="E43" s="1351"/>
      <c r="F43" s="1351"/>
      <c r="G43" s="1351"/>
      <c r="H43" s="1351"/>
      <c r="I43" s="1351"/>
      <c r="J43" s="1351"/>
      <c r="K43" s="1351"/>
      <c r="L43" s="1351"/>
      <c r="M43" s="1351">
        <f>$M$25*P21</f>
        <v>1.7099999999999997E-2</v>
      </c>
      <c r="N43" s="1351">
        <f t="shared" ref="N43:U43" si="26">$M$25*Q21</f>
        <v>2.5649999999999996E-2</v>
      </c>
      <c r="O43" s="1351">
        <f t="shared" si="26"/>
        <v>5.1299999999999991E-2</v>
      </c>
      <c r="P43" s="1351">
        <f t="shared" si="26"/>
        <v>7.6950000000000005E-2</v>
      </c>
      <c r="Q43" s="1351">
        <f t="shared" si="26"/>
        <v>9.4049999999999995E-2</v>
      </c>
      <c r="R43" s="1351">
        <f t="shared" si="26"/>
        <v>0.11115</v>
      </c>
      <c r="S43" s="1351">
        <f t="shared" si="26"/>
        <v>0.13679999999999998</v>
      </c>
      <c r="T43" s="1351">
        <f t="shared" si="26"/>
        <v>0.15390000000000001</v>
      </c>
      <c r="U43" s="1351">
        <f t="shared" si="26"/>
        <v>0.16415999999999997</v>
      </c>
      <c r="V43" s="1351">
        <f>$M$25*$Y$21</f>
        <v>0.17099999999999999</v>
      </c>
      <c r="W43" s="1351">
        <f>$M$25*$Y$21</f>
        <v>0.17099999999999999</v>
      </c>
    </row>
    <row r="44" spans="3:23" ht="15" x14ac:dyDescent="0.25">
      <c r="C44" s="1073" t="s">
        <v>961</v>
      </c>
      <c r="D44" s="1351"/>
      <c r="E44" s="1351"/>
      <c r="F44" s="1351"/>
      <c r="G44" s="1351"/>
      <c r="H44" s="1351"/>
      <c r="I44" s="1351"/>
      <c r="J44" s="1351"/>
      <c r="K44" s="1351"/>
      <c r="L44" s="1351"/>
      <c r="M44" s="1351"/>
      <c r="N44" s="1351">
        <f>$M$25*P21</f>
        <v>1.7099999999999997E-2</v>
      </c>
      <c r="O44" s="1351">
        <f t="shared" ref="O44:V44" si="27">$M$25*Q21</f>
        <v>2.5649999999999996E-2</v>
      </c>
      <c r="P44" s="1351">
        <f t="shared" si="27"/>
        <v>5.1299999999999991E-2</v>
      </c>
      <c r="Q44" s="1351">
        <f t="shared" si="27"/>
        <v>7.6950000000000005E-2</v>
      </c>
      <c r="R44" s="1351">
        <f t="shared" si="27"/>
        <v>9.4049999999999995E-2</v>
      </c>
      <c r="S44" s="1351">
        <f t="shared" si="27"/>
        <v>0.11115</v>
      </c>
      <c r="T44" s="1351">
        <f t="shared" si="27"/>
        <v>0.13679999999999998</v>
      </c>
      <c r="U44" s="1351">
        <f t="shared" si="27"/>
        <v>0.15390000000000001</v>
      </c>
      <c r="V44" s="1351">
        <f t="shared" si="27"/>
        <v>0.16415999999999997</v>
      </c>
      <c r="W44" s="1351">
        <f>$M$25*$Y$21</f>
        <v>0.17099999999999999</v>
      </c>
    </row>
    <row r="45" spans="3:23" ht="15" x14ac:dyDescent="0.25">
      <c r="C45" s="1073" t="s">
        <v>962</v>
      </c>
      <c r="D45" s="1351"/>
      <c r="E45" s="1351"/>
      <c r="F45" s="1351"/>
      <c r="G45" s="1351"/>
      <c r="H45" s="1351"/>
      <c r="I45" s="1351"/>
      <c r="J45" s="1351"/>
      <c r="K45" s="1351"/>
      <c r="L45" s="1351"/>
      <c r="M45" s="1351"/>
      <c r="N45" s="1351"/>
      <c r="O45" s="1351">
        <f>$N$25*P21</f>
        <v>1.14E-2</v>
      </c>
      <c r="P45" s="1351">
        <f t="shared" ref="P45:W45" si="28">$N$25*Q21</f>
        <v>1.7100000000000001E-2</v>
      </c>
      <c r="Q45" s="1351">
        <f t="shared" si="28"/>
        <v>3.4200000000000001E-2</v>
      </c>
      <c r="R45" s="1351">
        <f t="shared" si="28"/>
        <v>5.1300000000000005E-2</v>
      </c>
      <c r="S45" s="1351">
        <f t="shared" si="28"/>
        <v>6.2700000000000006E-2</v>
      </c>
      <c r="T45" s="1351">
        <f t="shared" si="28"/>
        <v>7.4099999999999999E-2</v>
      </c>
      <c r="U45" s="1351">
        <f t="shared" si="28"/>
        <v>9.1200000000000003E-2</v>
      </c>
      <c r="V45" s="1351">
        <f t="shared" si="28"/>
        <v>0.10260000000000001</v>
      </c>
      <c r="W45" s="1351">
        <f t="shared" si="28"/>
        <v>0.10944</v>
      </c>
    </row>
    <row r="46" spans="3:23" ht="15" x14ac:dyDescent="0.25">
      <c r="C46" s="1073" t="s">
        <v>963</v>
      </c>
      <c r="D46" s="1351"/>
      <c r="E46" s="1351"/>
      <c r="F46" s="1351"/>
      <c r="G46" s="1351"/>
      <c r="H46" s="1351"/>
      <c r="I46" s="1351"/>
      <c r="J46" s="1351"/>
      <c r="K46" s="1351"/>
      <c r="L46" s="1351"/>
      <c r="M46" s="1351"/>
      <c r="N46" s="1351"/>
      <c r="O46" s="1351"/>
      <c r="P46" s="1351">
        <f>$O$25*P21</f>
        <v>1.0687499999999999E-2</v>
      </c>
      <c r="Q46" s="1351">
        <f t="shared" ref="Q46:W46" si="29">$O$25*Q21</f>
        <v>1.603125E-2</v>
      </c>
      <c r="R46" s="1351">
        <f t="shared" si="29"/>
        <v>3.2062500000000001E-2</v>
      </c>
      <c r="S46" s="1351">
        <f t="shared" si="29"/>
        <v>4.8093750000000005E-2</v>
      </c>
      <c r="T46" s="1351">
        <f t="shared" si="29"/>
        <v>5.8781250000000007E-2</v>
      </c>
      <c r="U46" s="1351">
        <f t="shared" si="29"/>
        <v>6.946875000000001E-2</v>
      </c>
      <c r="V46" s="1351">
        <f t="shared" si="29"/>
        <v>8.5499999999999993E-2</v>
      </c>
      <c r="W46" s="1351">
        <f t="shared" si="29"/>
        <v>9.6187500000000009E-2</v>
      </c>
    </row>
    <row r="47" spans="3:23" ht="15" x14ac:dyDescent="0.25">
      <c r="C47" s="1073" t="s">
        <v>964</v>
      </c>
      <c r="D47" s="1351"/>
      <c r="E47" s="1351"/>
      <c r="F47" s="1351"/>
      <c r="G47" s="1351"/>
      <c r="H47" s="1351"/>
      <c r="I47" s="1351"/>
      <c r="J47" s="1351"/>
      <c r="K47" s="1351"/>
      <c r="L47" s="1351"/>
      <c r="M47" s="1351"/>
      <c r="N47" s="1351"/>
      <c r="O47" s="1351"/>
      <c r="P47" s="1351"/>
      <c r="Q47" s="1351">
        <f>$P$25*P21</f>
        <v>2.4937499999999998E-2</v>
      </c>
      <c r="R47" s="1351">
        <f t="shared" ref="R47:W47" si="30">$P$25*Q21</f>
        <v>3.7406249999999995E-2</v>
      </c>
      <c r="S47" s="1351">
        <f t="shared" si="30"/>
        <v>7.481249999999999E-2</v>
      </c>
      <c r="T47" s="1351">
        <f t="shared" si="30"/>
        <v>0.11221874999999999</v>
      </c>
      <c r="U47" s="1351">
        <f t="shared" si="30"/>
        <v>0.13715625000000001</v>
      </c>
      <c r="V47" s="1351">
        <f t="shared" si="30"/>
        <v>0.16209374999999998</v>
      </c>
      <c r="W47" s="1351">
        <f t="shared" si="30"/>
        <v>0.19949999999999998</v>
      </c>
    </row>
    <row r="48" spans="3:23" ht="15" x14ac:dyDescent="0.25">
      <c r="C48" s="1073" t="s">
        <v>965</v>
      </c>
      <c r="D48" s="1351"/>
      <c r="E48" s="1351"/>
      <c r="F48" s="1351"/>
      <c r="G48" s="1351"/>
      <c r="H48" s="1351"/>
      <c r="I48" s="1351"/>
      <c r="J48" s="1351"/>
      <c r="K48" s="1351"/>
      <c r="L48" s="1351"/>
      <c r="M48" s="1351"/>
      <c r="N48" s="1351"/>
      <c r="O48" s="1351"/>
      <c r="P48" s="1351"/>
      <c r="Q48" s="1351"/>
      <c r="R48" s="1351">
        <f>$Q$25*P21</f>
        <v>2.1374999999999998E-2</v>
      </c>
      <c r="S48" s="1351">
        <f t="shared" ref="S48:W48" si="31">$Q$25*Q21</f>
        <v>3.2062500000000001E-2</v>
      </c>
      <c r="T48" s="1351">
        <f t="shared" si="31"/>
        <v>6.4125000000000001E-2</v>
      </c>
      <c r="U48" s="1351">
        <f t="shared" si="31"/>
        <v>9.6187500000000009E-2</v>
      </c>
      <c r="V48" s="1351">
        <f t="shared" si="31"/>
        <v>0.11756250000000001</v>
      </c>
      <c r="W48" s="1351">
        <f t="shared" si="31"/>
        <v>0.13893750000000002</v>
      </c>
    </row>
    <row r="49" spans="3:23" ht="15" x14ac:dyDescent="0.25">
      <c r="C49" s="1073" t="s">
        <v>966</v>
      </c>
      <c r="D49" s="1351"/>
      <c r="E49" s="1351"/>
      <c r="F49" s="1351"/>
      <c r="G49" s="1351"/>
      <c r="H49" s="1351"/>
      <c r="I49" s="1351"/>
      <c r="J49" s="1351"/>
      <c r="K49" s="1351"/>
      <c r="L49" s="1351"/>
      <c r="M49" s="1351"/>
      <c r="N49" s="1351"/>
      <c r="O49" s="1351"/>
      <c r="P49" s="1351"/>
      <c r="Q49" s="1351"/>
      <c r="R49" s="1351"/>
      <c r="S49" s="1351">
        <f>$R$25*P21</f>
        <v>1.4250000000000001E-2</v>
      </c>
      <c r="T49" s="1351">
        <f t="shared" ref="T49:W49" si="32">$R$25*Q21</f>
        <v>2.1375000000000002E-2</v>
      </c>
      <c r="U49" s="1351">
        <f t="shared" si="32"/>
        <v>4.2750000000000003E-2</v>
      </c>
      <c r="V49" s="1351">
        <f t="shared" si="32"/>
        <v>6.4125000000000015E-2</v>
      </c>
      <c r="W49" s="1351">
        <f t="shared" si="32"/>
        <v>7.8375000000000014E-2</v>
      </c>
    </row>
    <row r="50" spans="3:23" ht="15" x14ac:dyDescent="0.25">
      <c r="C50" s="1073" t="s">
        <v>967</v>
      </c>
      <c r="D50" s="1351"/>
      <c r="E50" s="1351"/>
      <c r="F50" s="1351"/>
      <c r="G50" s="1351"/>
      <c r="H50" s="1351"/>
      <c r="I50" s="1351"/>
      <c r="J50" s="1351"/>
      <c r="K50" s="1351"/>
      <c r="L50" s="1351"/>
      <c r="M50" s="1351"/>
      <c r="N50" s="1351"/>
      <c r="O50" s="1351"/>
      <c r="P50" s="1351"/>
      <c r="Q50" s="1351"/>
      <c r="R50" s="1351"/>
      <c r="S50" s="1351"/>
      <c r="T50" s="1351">
        <f>$S$25*P21</f>
        <v>1.2824999999999998E-2</v>
      </c>
      <c r="U50" s="1351">
        <f t="shared" ref="U50:W50" si="33">$S$25*Q21</f>
        <v>1.9237499999999998E-2</v>
      </c>
      <c r="V50" s="1351">
        <f t="shared" si="33"/>
        <v>3.8474999999999995E-2</v>
      </c>
      <c r="W50" s="1351">
        <f t="shared" si="33"/>
        <v>5.7712499999999993E-2</v>
      </c>
    </row>
    <row r="51" spans="3:23" ht="15" x14ac:dyDescent="0.25">
      <c r="C51" s="1073" t="s">
        <v>968</v>
      </c>
      <c r="D51" s="1351"/>
      <c r="E51" s="1351"/>
      <c r="F51" s="1351"/>
      <c r="G51" s="1351"/>
      <c r="H51" s="1351"/>
      <c r="I51" s="1351"/>
      <c r="J51" s="1351"/>
      <c r="K51" s="1351"/>
      <c r="L51" s="1351"/>
      <c r="M51" s="1351"/>
      <c r="N51" s="1351"/>
      <c r="O51" s="1351"/>
      <c r="P51" s="1351"/>
      <c r="Q51" s="1351"/>
      <c r="R51" s="1351"/>
      <c r="S51" s="1351"/>
      <c r="T51" s="1351"/>
      <c r="U51" s="1351">
        <f>$T$25*P21</f>
        <v>2.9924999999999993E-2</v>
      </c>
      <c r="V51" s="1351">
        <f t="shared" ref="V51:W51" si="34">$T$25*Q21</f>
        <v>4.488749999999999E-2</v>
      </c>
      <c r="W51" s="1351">
        <f t="shared" si="34"/>
        <v>8.977499999999998E-2</v>
      </c>
    </row>
    <row r="52" spans="3:23" ht="15" x14ac:dyDescent="0.25">
      <c r="C52" s="1073" t="s">
        <v>969</v>
      </c>
      <c r="D52" s="1351"/>
      <c r="E52" s="1351"/>
      <c r="F52" s="1351"/>
      <c r="G52" s="1351"/>
      <c r="H52" s="1351"/>
      <c r="I52" s="1351"/>
      <c r="J52" s="1351"/>
      <c r="K52" s="1351"/>
      <c r="L52" s="1351"/>
      <c r="M52" s="1351"/>
      <c r="N52" s="1351"/>
      <c r="O52" s="1351"/>
      <c r="P52" s="1351"/>
      <c r="Q52" s="1351"/>
      <c r="R52" s="1351"/>
      <c r="S52" s="1351"/>
      <c r="T52" s="1351"/>
      <c r="U52" s="1351"/>
      <c r="V52" s="1351">
        <f>$U$25*P21</f>
        <v>2.5649999999999996E-2</v>
      </c>
      <c r="W52" s="1351">
        <f>$U$25*Q21</f>
        <v>3.8474999999999995E-2</v>
      </c>
    </row>
    <row r="53" spans="3:23" ht="15" x14ac:dyDescent="0.25">
      <c r="C53" s="1323" t="s">
        <v>970</v>
      </c>
      <c r="D53" s="1352"/>
      <c r="E53" s="1352"/>
      <c r="F53" s="1352"/>
      <c r="G53" s="1352"/>
      <c r="H53" s="1352"/>
      <c r="I53" s="1352"/>
      <c r="J53" s="1352"/>
      <c r="K53" s="1352"/>
      <c r="L53" s="1352"/>
      <c r="M53" s="1352"/>
      <c r="N53" s="1352"/>
      <c r="O53" s="1352"/>
      <c r="P53" s="1352"/>
      <c r="Q53" s="1352"/>
      <c r="R53" s="1352"/>
      <c r="S53" s="1352"/>
      <c r="T53" s="1352"/>
      <c r="U53" s="1352"/>
      <c r="V53" s="1352"/>
      <c r="W53" s="1352">
        <f>V25*P21</f>
        <v>1.7099999999999997E-2</v>
      </c>
    </row>
    <row r="54" spans="3:23" ht="15" x14ac:dyDescent="0.25">
      <c r="C54" s="1073" t="s">
        <v>1035</v>
      </c>
      <c r="D54" s="1073">
        <f>SUM(D34:D53)</f>
        <v>4.2749999999999993E-3</v>
      </c>
      <c r="E54" s="1073">
        <f t="shared" ref="E54:W54" si="35">SUM(E34:E53)</f>
        <v>1.6387499999999996E-2</v>
      </c>
      <c r="F54" s="1073">
        <f t="shared" si="35"/>
        <v>3.6337499999999995E-2</v>
      </c>
      <c r="G54" s="1073">
        <f t="shared" si="35"/>
        <v>6.7687499999999998E-2</v>
      </c>
      <c r="H54" s="1073">
        <f t="shared" si="35"/>
        <v>0.10901249999999998</v>
      </c>
      <c r="I54" s="1073">
        <f t="shared" si="35"/>
        <v>0.16280625000000001</v>
      </c>
      <c r="J54" s="1073">
        <f t="shared" si="35"/>
        <v>0.22621874999999997</v>
      </c>
      <c r="K54" s="1073">
        <f t="shared" si="35"/>
        <v>0.30673125000000001</v>
      </c>
      <c r="L54" s="1073">
        <f t="shared" si="35"/>
        <v>0.39871499999999993</v>
      </c>
      <c r="M54" s="1073">
        <f t="shared" si="35"/>
        <v>0.49832249999999995</v>
      </c>
      <c r="N54" s="1073">
        <f t="shared" si="35"/>
        <v>0.60184874999999982</v>
      </c>
      <c r="O54" s="1073">
        <f t="shared" si="35"/>
        <v>0.7173449999999999</v>
      </c>
      <c r="P54" s="1073">
        <f t="shared" si="35"/>
        <v>0.84245999999999999</v>
      </c>
      <c r="Q54" s="1073">
        <f t="shared" si="35"/>
        <v>0.97833374999999989</v>
      </c>
      <c r="R54" s="1073">
        <f t="shared" si="35"/>
        <v>1.1145637499999999</v>
      </c>
      <c r="S54" s="1073">
        <f t="shared" si="35"/>
        <v>1.2658987500000001</v>
      </c>
      <c r="T54" s="1073">
        <f t="shared" si="35"/>
        <v>1.4287049999999999</v>
      </c>
      <c r="U54" s="1073">
        <f t="shared" si="35"/>
        <v>1.601985</v>
      </c>
      <c r="V54" s="1073">
        <f t="shared" si="35"/>
        <v>1.7740537499999995</v>
      </c>
      <c r="W54" s="1073">
        <f t="shared" si="35"/>
        <v>1.9655024999999999</v>
      </c>
    </row>
    <row r="55" spans="3:23" ht="15" x14ac:dyDescent="0.25">
      <c r="C55" s="1073" t="s">
        <v>1036</v>
      </c>
      <c r="D55" s="1073">
        <f>D54</f>
        <v>4.2749999999999993E-3</v>
      </c>
      <c r="E55" s="1073">
        <f>E54-D54</f>
        <v>1.2112499999999997E-2</v>
      </c>
      <c r="F55" s="1073">
        <f t="shared" ref="F55:W55" si="36">F54-E54</f>
        <v>1.9949999999999999E-2</v>
      </c>
      <c r="G55" s="1073">
        <f t="shared" si="36"/>
        <v>3.1350000000000003E-2</v>
      </c>
      <c r="H55" s="1073">
        <f t="shared" si="36"/>
        <v>4.1324999999999987E-2</v>
      </c>
      <c r="I55" s="1073">
        <f t="shared" si="36"/>
        <v>5.3793750000000029E-2</v>
      </c>
      <c r="J55" s="1073">
        <f t="shared" si="36"/>
        <v>6.3412499999999955E-2</v>
      </c>
      <c r="K55" s="1073">
        <f t="shared" si="36"/>
        <v>8.0512500000000042E-2</v>
      </c>
      <c r="L55" s="1073">
        <f t="shared" si="36"/>
        <v>9.198374999999992E-2</v>
      </c>
      <c r="M55" s="1073">
        <f t="shared" si="36"/>
        <v>9.9607500000000015E-2</v>
      </c>
      <c r="N55" s="1073">
        <f t="shared" si="36"/>
        <v>0.10352624999999988</v>
      </c>
      <c r="O55" s="1073">
        <f t="shared" si="36"/>
        <v>0.11549625000000008</v>
      </c>
      <c r="P55" s="1073">
        <f>P54-O54</f>
        <v>0.12511500000000009</v>
      </c>
      <c r="Q55" s="1073">
        <f t="shared" si="36"/>
        <v>0.1358737499999999</v>
      </c>
      <c r="R55" s="1073">
        <f t="shared" si="36"/>
        <v>0.13622999999999996</v>
      </c>
      <c r="S55" s="1073">
        <f t="shared" si="36"/>
        <v>0.15133500000000022</v>
      </c>
      <c r="T55" s="1073">
        <f t="shared" si="36"/>
        <v>0.16280624999999982</v>
      </c>
      <c r="U55" s="1073">
        <f t="shared" si="36"/>
        <v>0.1732800000000001</v>
      </c>
      <c r="V55" s="1073">
        <f t="shared" si="36"/>
        <v>0.17206874999999955</v>
      </c>
      <c r="W55" s="1073">
        <f t="shared" si="36"/>
        <v>0.19144875000000039</v>
      </c>
    </row>
    <row r="56" spans="3:23" ht="15" x14ac:dyDescent="0.25">
      <c r="C56" s="1073" t="s">
        <v>1037</v>
      </c>
      <c r="D56" s="1075">
        <f>D55*1000</f>
        <v>4.2749999999999995</v>
      </c>
      <c r="E56" s="1075">
        <f>E55*1000</f>
        <v>12.112499999999997</v>
      </c>
      <c r="F56" s="1075">
        <f t="shared" ref="F56:W56" si="37">F55*1000</f>
        <v>19.95</v>
      </c>
      <c r="G56" s="1075">
        <f t="shared" si="37"/>
        <v>31.35</v>
      </c>
      <c r="H56" s="1075">
        <f t="shared" si="37"/>
        <v>41.324999999999989</v>
      </c>
      <c r="I56" s="1075">
        <f t="shared" si="37"/>
        <v>53.793750000000031</v>
      </c>
      <c r="J56" s="1075">
        <f t="shared" si="37"/>
        <v>63.412499999999952</v>
      </c>
      <c r="K56" s="1075">
        <f t="shared" si="37"/>
        <v>80.512500000000045</v>
      </c>
      <c r="L56" s="1075">
        <f t="shared" si="37"/>
        <v>91.983749999999915</v>
      </c>
      <c r="M56" s="1075">
        <f t="shared" si="37"/>
        <v>99.607500000000016</v>
      </c>
      <c r="N56" s="1075">
        <f t="shared" si="37"/>
        <v>103.52624999999988</v>
      </c>
      <c r="O56" s="1075">
        <f t="shared" si="37"/>
        <v>115.49625000000007</v>
      </c>
      <c r="P56" s="1075">
        <f t="shared" si="37"/>
        <v>125.11500000000009</v>
      </c>
      <c r="Q56" s="1075">
        <f t="shared" si="37"/>
        <v>135.87374999999992</v>
      </c>
      <c r="R56" s="1075">
        <f t="shared" si="37"/>
        <v>136.22999999999996</v>
      </c>
      <c r="S56" s="1075">
        <f t="shared" si="37"/>
        <v>151.33500000000021</v>
      </c>
      <c r="T56" s="1075">
        <f t="shared" si="37"/>
        <v>162.80624999999981</v>
      </c>
      <c r="U56" s="1075">
        <f t="shared" si="37"/>
        <v>173.28000000000009</v>
      </c>
      <c r="V56" s="1075">
        <f t="shared" si="37"/>
        <v>172.06874999999954</v>
      </c>
      <c r="W56" s="1075">
        <f t="shared" si="37"/>
        <v>191.44875000000039</v>
      </c>
    </row>
    <row r="62" spans="3:23" ht="15" x14ac:dyDescent="0.25">
      <c r="J62" s="1073">
        <v>2027</v>
      </c>
      <c r="K62" s="1073">
        <f>J62+1</f>
        <v>2028</v>
      </c>
      <c r="L62" s="1073">
        <f t="shared" ref="L62:M62" si="38">K62+1</f>
        <v>2029</v>
      </c>
      <c r="M62" s="1073">
        <f t="shared" si="38"/>
        <v>2030</v>
      </c>
    </row>
    <row r="63" spans="3:23" ht="15" x14ac:dyDescent="0.25">
      <c r="J63" s="1075">
        <f>SUM(H56:K56)</f>
        <v>239.04375000000002</v>
      </c>
      <c r="K63" s="1075">
        <f>SUM(L56:O56)</f>
        <v>410.61374999999992</v>
      </c>
      <c r="L63" s="1075">
        <f>SUM(P56:S56)</f>
        <v>548.55375000000015</v>
      </c>
      <c r="M63" s="1075">
        <f>SUM(T56:W56)</f>
        <v>699.60374999999976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09590-089E-4E88-BBB7-54C059E64FC5}">
  <dimension ref="A1:AS178"/>
  <sheetViews>
    <sheetView showGridLines="0" zoomScaleNormal="100" workbookViewId="0">
      <pane xSplit="3" ySplit="4" topLeftCell="X40" activePane="bottomRight" state="frozen"/>
      <selection pane="topRight" activeCell="D1" sqref="D1"/>
      <selection pane="bottomLeft" activeCell="A5" sqref="A5"/>
      <selection pane="bottomRight" activeCell="AC57" sqref="AC57"/>
    </sheetView>
  </sheetViews>
  <sheetFormatPr defaultColWidth="9" defaultRowHeight="12" outlineLevelCol="1" x14ac:dyDescent="0.2"/>
  <cols>
    <col min="1" max="1" width="4.125" style="2" customWidth="1"/>
    <col min="2" max="2" width="33.125" style="2" customWidth="1"/>
    <col min="3" max="3" width="3" style="2" customWidth="1"/>
    <col min="4" max="15" width="9" style="2" hidden="1" customWidth="1" outlineLevel="1"/>
    <col min="16" max="16" width="9" style="2" collapsed="1"/>
    <col min="17" max="16384" width="9" style="2"/>
  </cols>
  <sheetData>
    <row r="1" spans="1:45" s="6" customFormat="1" x14ac:dyDescent="0.2">
      <c r="D1" s="368" t="s">
        <v>380</v>
      </c>
      <c r="E1" s="345"/>
      <c r="F1" s="345"/>
      <c r="G1" s="345"/>
      <c r="H1" s="345"/>
      <c r="N1" s="63"/>
      <c r="O1" s="63"/>
      <c r="P1" s="63"/>
      <c r="Q1" s="63"/>
      <c r="R1" s="63"/>
      <c r="S1" s="63"/>
      <c r="T1" s="63"/>
      <c r="U1" s="63"/>
      <c r="V1" s="994"/>
      <c r="W1" s="995"/>
      <c r="X1" s="995"/>
      <c r="Y1" s="63"/>
      <c r="Z1" s="63"/>
      <c r="AA1" s="995"/>
      <c r="AB1" s="995"/>
      <c r="AC1" s="63"/>
      <c r="AD1" s="63"/>
      <c r="AE1" s="63"/>
      <c r="AF1" s="63"/>
      <c r="AG1" s="63"/>
      <c r="AH1" s="63"/>
      <c r="AI1" s="63"/>
    </row>
    <row r="2" spans="1:45" s="6" customFormat="1" x14ac:dyDescent="0.2">
      <c r="D2" s="6">
        <v>1</v>
      </c>
      <c r="E2" s="6">
        <v>2</v>
      </c>
      <c r="F2" s="6">
        <v>3</v>
      </c>
      <c r="G2" s="6">
        <v>4</v>
      </c>
      <c r="H2" s="6">
        <v>1</v>
      </c>
      <c r="I2" s="6">
        <v>2</v>
      </c>
      <c r="J2" s="6">
        <v>3</v>
      </c>
      <c r="K2" s="6">
        <v>4</v>
      </c>
      <c r="L2" s="6">
        <v>1</v>
      </c>
      <c r="M2" s="6">
        <v>2</v>
      </c>
      <c r="N2" s="6">
        <v>3</v>
      </c>
      <c r="O2" s="6">
        <v>4</v>
      </c>
      <c r="P2" s="6">
        <v>1</v>
      </c>
      <c r="Q2" s="6">
        <v>2</v>
      </c>
      <c r="R2" s="6">
        <v>3</v>
      </c>
      <c r="S2" s="6">
        <v>4</v>
      </c>
      <c r="T2" s="6">
        <f>+P2</f>
        <v>1</v>
      </c>
      <c r="U2" s="6">
        <f t="shared" ref="U2:AB2" si="0">+Q2</f>
        <v>2</v>
      </c>
      <c r="V2" s="6">
        <f t="shared" si="0"/>
        <v>3</v>
      </c>
      <c r="W2" s="6">
        <f t="shared" si="0"/>
        <v>4</v>
      </c>
      <c r="X2" s="6">
        <f t="shared" si="0"/>
        <v>1</v>
      </c>
      <c r="Y2" s="6">
        <f t="shared" si="0"/>
        <v>2</v>
      </c>
      <c r="Z2" s="6">
        <f t="shared" si="0"/>
        <v>3</v>
      </c>
      <c r="AA2" s="6">
        <f t="shared" si="0"/>
        <v>4</v>
      </c>
      <c r="AB2" s="6">
        <f t="shared" si="0"/>
        <v>1</v>
      </c>
      <c r="AC2" s="6">
        <f t="shared" ref="AC2:AD2" si="1">+Y2</f>
        <v>2</v>
      </c>
      <c r="AD2" s="6">
        <f t="shared" si="1"/>
        <v>3</v>
      </c>
      <c r="AE2" s="6">
        <f t="shared" ref="AE2" si="2">+AA2</f>
        <v>4</v>
      </c>
      <c r="AF2" s="6">
        <f t="shared" ref="AF2" si="3">+AB2</f>
        <v>1</v>
      </c>
      <c r="AG2" s="6">
        <f t="shared" ref="AG2" si="4">+AC2</f>
        <v>2</v>
      </c>
      <c r="AH2" s="6">
        <f t="shared" ref="AH2" si="5">+AD2</f>
        <v>3</v>
      </c>
      <c r="AI2" s="6">
        <f t="shared" ref="AI2" si="6">+AE2</f>
        <v>4</v>
      </c>
    </row>
    <row r="3" spans="1:45" s="6" customFormat="1" x14ac:dyDescent="0.2">
      <c r="D3" s="6">
        <v>2019</v>
      </c>
      <c r="E3" s="6">
        <v>2019</v>
      </c>
      <c r="F3" s="6">
        <v>2019</v>
      </c>
      <c r="G3" s="6">
        <v>2019</v>
      </c>
      <c r="H3" s="6">
        <v>2020</v>
      </c>
      <c r="I3" s="6">
        <v>2020</v>
      </c>
      <c r="J3" s="6">
        <v>2020</v>
      </c>
      <c r="K3" s="6">
        <v>2020</v>
      </c>
      <c r="L3" s="6">
        <v>2021</v>
      </c>
      <c r="M3" s="6">
        <v>2021</v>
      </c>
      <c r="N3" s="6">
        <v>2021</v>
      </c>
      <c r="O3" s="6">
        <v>2021</v>
      </c>
      <c r="P3" s="6">
        <v>2022</v>
      </c>
      <c r="Q3" s="6">
        <v>2022</v>
      </c>
      <c r="R3" s="6">
        <v>2022</v>
      </c>
      <c r="S3" s="6">
        <v>2022</v>
      </c>
      <c r="T3" s="6">
        <f>+P3+1</f>
        <v>2023</v>
      </c>
      <c r="U3" s="6">
        <f t="shared" ref="U3:AB3" si="7">+Q3+1</f>
        <v>2023</v>
      </c>
      <c r="V3" s="6">
        <f t="shared" si="7"/>
        <v>2023</v>
      </c>
      <c r="W3" s="6">
        <f t="shared" si="7"/>
        <v>2023</v>
      </c>
      <c r="X3" s="6">
        <f t="shared" si="7"/>
        <v>2024</v>
      </c>
      <c r="Y3" s="6">
        <f t="shared" si="7"/>
        <v>2024</v>
      </c>
      <c r="Z3" s="6">
        <f t="shared" si="7"/>
        <v>2024</v>
      </c>
      <c r="AA3" s="6">
        <f t="shared" si="7"/>
        <v>2024</v>
      </c>
      <c r="AB3" s="6">
        <f t="shared" si="7"/>
        <v>2025</v>
      </c>
      <c r="AC3" s="6">
        <f t="shared" ref="AC3:AI3" si="8">+Y3+1</f>
        <v>2025</v>
      </c>
      <c r="AD3" s="6">
        <f t="shared" si="8"/>
        <v>2025</v>
      </c>
      <c r="AE3" s="6">
        <f t="shared" si="8"/>
        <v>2025</v>
      </c>
      <c r="AF3" s="6">
        <f t="shared" si="8"/>
        <v>2026</v>
      </c>
      <c r="AG3" s="6">
        <f t="shared" si="8"/>
        <v>2026</v>
      </c>
      <c r="AH3" s="6">
        <f t="shared" si="8"/>
        <v>2026</v>
      </c>
      <c r="AI3" s="6">
        <f t="shared" si="8"/>
        <v>2026</v>
      </c>
      <c r="AK3" s="6">
        <f t="shared" ref="AK3:AN3" si="9">+AK4</f>
        <v>2019</v>
      </c>
      <c r="AL3" s="6">
        <f t="shared" si="9"/>
        <v>2020</v>
      </c>
      <c r="AM3" s="6">
        <f t="shared" si="9"/>
        <v>2021</v>
      </c>
      <c r="AN3" s="6">
        <f t="shared" si="9"/>
        <v>2022</v>
      </c>
      <c r="AO3" s="6">
        <f>+AO4</f>
        <v>2023</v>
      </c>
      <c r="AP3" s="6">
        <f>+AP4</f>
        <v>2024</v>
      </c>
      <c r="AQ3" s="6">
        <f t="shared" ref="AQ3:AS3" si="10">+AP3+1</f>
        <v>2025</v>
      </c>
      <c r="AR3" s="6">
        <f t="shared" si="10"/>
        <v>2026</v>
      </c>
      <c r="AS3" s="6">
        <f t="shared" si="10"/>
        <v>2027</v>
      </c>
    </row>
    <row r="4" spans="1:45" s="6" customFormat="1" x14ac:dyDescent="0.2">
      <c r="B4" s="36" t="s">
        <v>183</v>
      </c>
      <c r="C4" s="36"/>
      <c r="D4" s="7" t="s">
        <v>239</v>
      </c>
      <c r="E4" s="7" t="s">
        <v>240</v>
      </c>
      <c r="F4" s="7" t="s">
        <v>202</v>
      </c>
      <c r="G4" s="885" t="s">
        <v>201</v>
      </c>
      <c r="H4" s="7" t="s">
        <v>200</v>
      </c>
      <c r="I4" s="7" t="s">
        <v>199</v>
      </c>
      <c r="J4" s="7" t="s">
        <v>198</v>
      </c>
      <c r="K4" s="885" t="s">
        <v>180</v>
      </c>
      <c r="L4" s="7" t="s">
        <v>174</v>
      </c>
      <c r="M4" s="7" t="s">
        <v>175</v>
      </c>
      <c r="N4" s="7" t="s">
        <v>176</v>
      </c>
      <c r="O4" s="885" t="s">
        <v>177</v>
      </c>
      <c r="P4" s="7" t="s">
        <v>1</v>
      </c>
      <c r="Q4" s="7" t="s">
        <v>2</v>
      </c>
      <c r="R4" s="7" t="s">
        <v>3</v>
      </c>
      <c r="S4" s="885" t="s">
        <v>4</v>
      </c>
      <c r="T4" s="7" t="s">
        <v>5</v>
      </c>
      <c r="U4" s="7" t="s">
        <v>6</v>
      </c>
      <c r="V4" s="7" t="s">
        <v>7</v>
      </c>
      <c r="W4" s="885" t="s">
        <v>8</v>
      </c>
      <c r="X4" s="7" t="s">
        <v>9</v>
      </c>
      <c r="Y4" s="7" t="s">
        <v>10</v>
      </c>
      <c r="Z4" s="7" t="s">
        <v>716</v>
      </c>
      <c r="AA4" s="885" t="s">
        <v>717</v>
      </c>
      <c r="AB4" s="7" t="s">
        <v>718</v>
      </c>
      <c r="AC4" s="7" t="s">
        <v>719</v>
      </c>
      <c r="AD4" s="7" t="s">
        <v>720</v>
      </c>
      <c r="AE4" s="935" t="str">
        <f t="shared" ref="AE4:AI4" si="11">+_xlfn.CONCAT(AE2,"Q",RIGHT(AE3,2))</f>
        <v>4Q25</v>
      </c>
      <c r="AF4" s="638" t="str">
        <f t="shared" si="11"/>
        <v>1Q26</v>
      </c>
      <c r="AG4" s="638" t="str">
        <f t="shared" si="11"/>
        <v>2Q26</v>
      </c>
      <c r="AH4" s="638" t="str">
        <f t="shared" si="11"/>
        <v>3Q26</v>
      </c>
      <c r="AI4" s="935" t="str">
        <f t="shared" si="11"/>
        <v>4Q26</v>
      </c>
      <c r="AK4" s="7">
        <v>2019</v>
      </c>
      <c r="AL4" s="7">
        <f t="shared" ref="AL4:AP4" si="12">+AK4+1</f>
        <v>2020</v>
      </c>
      <c r="AM4" s="7">
        <f t="shared" si="12"/>
        <v>2021</v>
      </c>
      <c r="AN4" s="7">
        <f t="shared" si="12"/>
        <v>2022</v>
      </c>
      <c r="AO4" s="7">
        <f t="shared" si="12"/>
        <v>2023</v>
      </c>
      <c r="AP4" s="7">
        <f t="shared" si="12"/>
        <v>2024</v>
      </c>
      <c r="AQ4" s="228" t="str">
        <f t="shared" ref="AQ4:AS4" si="13">+_xlfn.CONCAT(AQ3,"E")</f>
        <v>2025E</v>
      </c>
      <c r="AR4" s="228" t="str">
        <f t="shared" si="13"/>
        <v>2026E</v>
      </c>
      <c r="AS4" s="228" t="str">
        <f t="shared" si="13"/>
        <v>2027E</v>
      </c>
    </row>
    <row r="5" spans="1:45" s="6" customFormat="1" x14ac:dyDescent="0.2">
      <c r="A5" s="6" t="s">
        <v>238</v>
      </c>
      <c r="B5" s="8" t="s">
        <v>0</v>
      </c>
      <c r="C5" s="8"/>
      <c r="D5" s="92"/>
      <c r="E5" s="92"/>
      <c r="F5" s="92"/>
      <c r="G5" s="903"/>
      <c r="H5" s="92"/>
      <c r="I5" s="92"/>
      <c r="J5" s="92"/>
      <c r="K5" s="903"/>
      <c r="L5" s="92"/>
      <c r="M5" s="92"/>
      <c r="N5" s="92"/>
      <c r="O5" s="903"/>
      <c r="P5" s="92"/>
      <c r="Q5" s="92"/>
      <c r="R5" s="92"/>
      <c r="S5" s="903"/>
      <c r="T5" s="92"/>
      <c r="U5" s="92"/>
      <c r="V5" s="92"/>
      <c r="W5" s="903"/>
      <c r="X5" s="92"/>
      <c r="Y5" s="92"/>
      <c r="Z5" s="92"/>
      <c r="AA5" s="903"/>
      <c r="AB5" s="92"/>
      <c r="AC5" s="92"/>
      <c r="AD5" s="92"/>
      <c r="AE5" s="903"/>
      <c r="AF5" s="92"/>
      <c r="AG5" s="92"/>
      <c r="AH5" s="92"/>
      <c r="AI5" s="903"/>
      <c r="AK5" s="91"/>
      <c r="AL5" s="91"/>
      <c r="AM5" s="91"/>
      <c r="AN5" s="91"/>
      <c r="AO5" s="91"/>
      <c r="AP5" s="91"/>
      <c r="AQ5" s="91"/>
      <c r="AR5" s="91"/>
      <c r="AS5" s="91"/>
    </row>
    <row r="6" spans="1:45" x14ac:dyDescent="0.2">
      <c r="B6" s="10" t="s">
        <v>11</v>
      </c>
      <c r="C6" s="137"/>
      <c r="D6" s="162">
        <f>'3FS'!K6</f>
        <v>0</v>
      </c>
      <c r="E6" s="162">
        <f>'3FS'!L6</f>
        <v>0</v>
      </c>
      <c r="F6" s="162">
        <f>'3FS'!M6</f>
        <v>0</v>
      </c>
      <c r="G6" s="863">
        <f>'3FS'!N6</f>
        <v>0</v>
      </c>
      <c r="H6" s="162">
        <f>'3FS'!O6</f>
        <v>0</v>
      </c>
      <c r="I6" s="162">
        <f>'3FS'!P6</f>
        <v>9959</v>
      </c>
      <c r="J6" s="162">
        <f>'3FS'!Q6</f>
        <v>10209</v>
      </c>
      <c r="K6" s="863">
        <f>'3FS'!R6</f>
        <v>10251</v>
      </c>
      <c r="L6" s="162">
        <f>'3FS'!S6</f>
        <v>10303</v>
      </c>
      <c r="M6" s="162">
        <f>'3FS'!T6</f>
        <v>10492</v>
      </c>
      <c r="N6" s="162">
        <f>'3FS'!U6</f>
        <v>10804</v>
      </c>
      <c r="O6" s="863">
        <f>'3FS'!V6</f>
        <v>10963</v>
      </c>
      <c r="P6" s="162">
        <f>'3FS'!W6</f>
        <v>11201</v>
      </c>
      <c r="Q6" s="162">
        <f>'3FS'!X6</f>
        <v>11445</v>
      </c>
      <c r="R6" s="162">
        <f>'3FS'!Y6</f>
        <v>11548</v>
      </c>
      <c r="S6" s="863">
        <f>'3FS'!Z6</f>
        <v>11725</v>
      </c>
      <c r="T6" s="162">
        <f>'3FS'!AA6</f>
        <v>11862</v>
      </c>
      <c r="U6" s="162">
        <f>'3FS'!AB6</f>
        <v>12070</v>
      </c>
      <c r="V6" s="162">
        <f>'3FS'!AC6</f>
        <v>12288</v>
      </c>
      <c r="W6" s="863">
        <f>'3FS'!AD6</f>
        <v>12472</v>
      </c>
      <c r="X6" s="162">
        <f>'3FS'!AE6</f>
        <v>12631</v>
      </c>
      <c r="Y6" s="162">
        <f>'3FS'!AF6</f>
        <v>12899</v>
      </c>
      <c r="Z6" s="162">
        <f>'3FS'!AG6</f>
        <v>13308</v>
      </c>
      <c r="AA6" s="863">
        <f>'3FS'!AH6</f>
        <v>13502</v>
      </c>
      <c r="AB6" s="162">
        <f>'3FS'!AI6</f>
        <v>13594</v>
      </c>
      <c r="AC6" s="162">
        <f>'3FS'!AJ6</f>
        <v>14078</v>
      </c>
      <c r="AD6" s="162">
        <f>'3FS'!AK6</f>
        <v>14882</v>
      </c>
      <c r="AE6" s="902">
        <f>+'IS Drivers'!AE9</f>
        <v>15201.074586422234</v>
      </c>
      <c r="AF6" s="371">
        <f>+'IS Drivers'!AF9</f>
        <v>15280.935884285471</v>
      </c>
      <c r="AG6" s="371">
        <f>+'IS Drivers'!AG9</f>
        <v>15801.25455072703</v>
      </c>
      <c r="AH6" s="371">
        <f>+'IS Drivers'!AH9</f>
        <v>16201.781749218617</v>
      </c>
      <c r="AI6" s="902">
        <f>+'IS Drivers'!AI9</f>
        <v>16299.261628457032</v>
      </c>
      <c r="AJ6" s="174"/>
      <c r="AK6" s="162">
        <f>'3FS'!D6</f>
        <v>22673</v>
      </c>
      <c r="AL6" s="162">
        <f>'3FS'!E6</f>
        <v>36306</v>
      </c>
      <c r="AM6" s="162">
        <f>'3FS'!F6</f>
        <v>42562</v>
      </c>
      <c r="AN6" s="162">
        <f>'3FS'!G6</f>
        <v>45919</v>
      </c>
      <c r="AO6" s="162">
        <f>'3FS'!H6</f>
        <v>48692</v>
      </c>
      <c r="AP6" s="162">
        <f>'3FS'!I6</f>
        <v>52340</v>
      </c>
      <c r="AQ6" s="554">
        <f t="shared" ref="AQ6:AR8" si="14">SUMIFS($F6:$AI6,$F$3:$AI$3,AQ$3)</f>
        <v>57755.074586422234</v>
      </c>
      <c r="AR6" s="554">
        <f t="shared" si="14"/>
        <v>63583.233812688151</v>
      </c>
      <c r="AS6" s="371">
        <f>+'IS Drivers'!AS9</f>
        <v>68048.48580345769</v>
      </c>
    </row>
    <row r="7" spans="1:45" x14ac:dyDescent="0.2">
      <c r="B7" s="10" t="s">
        <v>12</v>
      </c>
      <c r="C7" s="137"/>
      <c r="D7" s="162">
        <f>'3FS'!K7</f>
        <v>0</v>
      </c>
      <c r="E7" s="162">
        <f>'3FS'!L7</f>
        <v>0</v>
      </c>
      <c r="F7" s="162">
        <f>'3FS'!M7</f>
        <v>0</v>
      </c>
      <c r="G7" s="863">
        <f>'3FS'!N7</f>
        <v>0</v>
      </c>
      <c r="H7" s="162">
        <f>'3FS'!O7</f>
        <v>0</v>
      </c>
      <c r="I7" s="162">
        <f>'3FS'!P7</f>
        <v>2311</v>
      </c>
      <c r="J7" s="162">
        <f>'3FS'!Q7</f>
        <v>2383</v>
      </c>
      <c r="K7" s="863">
        <f>'3FS'!R7</f>
        <v>2354</v>
      </c>
      <c r="L7" s="162">
        <f>'3FS'!S7</f>
        <v>2351</v>
      </c>
      <c r="M7" s="162">
        <f>'3FS'!T7</f>
        <v>2427</v>
      </c>
      <c r="N7" s="162">
        <f>'3FS'!U7</f>
        <v>2481</v>
      </c>
      <c r="O7" s="863">
        <f>'3FS'!V7</f>
        <v>2474</v>
      </c>
      <c r="P7" s="162">
        <f>'3FS'!W7</f>
        <v>2455</v>
      </c>
      <c r="Q7" s="162">
        <f>'3FS'!X7</f>
        <v>2469</v>
      </c>
      <c r="R7" s="162">
        <f>'3FS'!Y7</f>
        <v>2484</v>
      </c>
      <c r="S7" s="863">
        <f>'3FS'!Z7</f>
        <v>2449</v>
      </c>
      <c r="T7" s="162">
        <f>'3FS'!AA7</f>
        <v>2417</v>
      </c>
      <c r="U7" s="162">
        <f>'3FS'!AB7</f>
        <v>2444</v>
      </c>
      <c r="V7" s="162">
        <f>'3FS'!AC7</f>
        <v>2473</v>
      </c>
      <c r="W7" s="863">
        <f>'3FS'!AD7</f>
        <v>2433</v>
      </c>
      <c r="X7" s="162">
        <f>'3FS'!AE7</f>
        <v>2403</v>
      </c>
      <c r="Y7" s="162">
        <f>'3FS'!AF7</f>
        <v>2592</v>
      </c>
      <c r="Z7" s="162">
        <f>'3FS'!AG7</f>
        <v>2716</v>
      </c>
      <c r="AA7" s="863">
        <f>'3FS'!AH7</f>
        <v>2688</v>
      </c>
      <c r="AB7" s="162">
        <f>'3FS'!AI7</f>
        <v>2643</v>
      </c>
      <c r="AC7" s="162">
        <f>'3FS'!AJ7</f>
        <v>2643</v>
      </c>
      <c r="AD7" s="162">
        <f>'3FS'!AK7</f>
        <v>2625</v>
      </c>
      <c r="AE7" s="902">
        <f>+'IS Drivers'!AE11</f>
        <v>2603.7494039372605</v>
      </c>
      <c r="AF7" s="371">
        <f>+'IS Drivers'!AF11</f>
        <v>2557.3003048894129</v>
      </c>
      <c r="AG7" s="371">
        <f>+'IS Drivers'!AG11</f>
        <v>2565.5624094357663</v>
      </c>
      <c r="AH7" s="371">
        <f>+'IS Drivers'!AH11</f>
        <v>2549.7529610063602</v>
      </c>
      <c r="AI7" s="902">
        <f>+'IS Drivers'!AI11</f>
        <v>2556.1863073033028</v>
      </c>
      <c r="AJ7" s="174"/>
      <c r="AK7" s="162">
        <f>'3FS'!D7</f>
        <v>9543</v>
      </c>
      <c r="AL7" s="162">
        <f>'3FS'!E7</f>
        <v>9421</v>
      </c>
      <c r="AM7" s="162">
        <f>'3FS'!F7</f>
        <v>9733</v>
      </c>
      <c r="AN7" s="162">
        <f>'3FS'!G7</f>
        <v>9857</v>
      </c>
      <c r="AO7" s="162">
        <f>'3FS'!H7</f>
        <v>9767</v>
      </c>
      <c r="AP7" s="162">
        <f>'3FS'!I7</f>
        <v>10399</v>
      </c>
      <c r="AQ7" s="554">
        <f t="shared" si="14"/>
        <v>10514.749403937261</v>
      </c>
      <c r="AR7" s="554">
        <f t="shared" si="14"/>
        <v>10228.801982634843</v>
      </c>
      <c r="AS7" s="371">
        <f>+'IS Drivers'!AS11</f>
        <v>9933.2180592852019</v>
      </c>
    </row>
    <row r="8" spans="1:45" x14ac:dyDescent="0.2">
      <c r="B8" s="10" t="s">
        <v>13</v>
      </c>
      <c r="C8" s="137"/>
      <c r="D8" s="163">
        <f t="shared" ref="D8:E8" si="15">SUM(D9:D10)</f>
        <v>0</v>
      </c>
      <c r="E8" s="163">
        <f t="shared" si="15"/>
        <v>0</v>
      </c>
      <c r="F8" s="163">
        <f t="shared" ref="F8:O8" si="16">SUM(F9:F10)</f>
        <v>0</v>
      </c>
      <c r="G8" s="865">
        <f t="shared" si="16"/>
        <v>0</v>
      </c>
      <c r="H8" s="163">
        <f t="shared" si="16"/>
        <v>0</v>
      </c>
      <c r="I8" s="163">
        <f t="shared" si="16"/>
        <v>960</v>
      </c>
      <c r="J8" s="163">
        <f t="shared" si="16"/>
        <v>1547</v>
      </c>
      <c r="K8" s="865">
        <f t="shared" si="16"/>
        <v>1575</v>
      </c>
      <c r="L8" s="163">
        <f t="shared" si="16"/>
        <v>1538</v>
      </c>
      <c r="M8" s="163">
        <f t="shared" si="16"/>
        <v>1573</v>
      </c>
      <c r="N8" s="163">
        <f t="shared" si="16"/>
        <v>1437</v>
      </c>
      <c r="O8" s="865">
        <f t="shared" si="16"/>
        <v>1526</v>
      </c>
      <c r="P8" s="162">
        <f>'3FS'!W8</f>
        <v>1472</v>
      </c>
      <c r="Q8" s="162">
        <f>'3FS'!X8</f>
        <v>1402</v>
      </c>
      <c r="R8" s="162">
        <f>'3FS'!Y8</f>
        <v>1329</v>
      </c>
      <c r="S8" s="863">
        <f>'3FS'!Z8</f>
        <v>1344</v>
      </c>
      <c r="T8" s="162">
        <f>'3FS'!AA8</f>
        <v>1267</v>
      </c>
      <c r="U8" s="162">
        <f>'3FS'!AB8</f>
        <v>1224</v>
      </c>
      <c r="V8" s="162">
        <f>'3FS'!AC8</f>
        <v>1153</v>
      </c>
      <c r="W8" s="863">
        <f>'3FS'!AD8</f>
        <v>1138</v>
      </c>
      <c r="X8" s="162">
        <f>'3FS'!AE8</f>
        <v>1062</v>
      </c>
      <c r="Y8" s="162">
        <f>'3FS'!AF8</f>
        <v>938</v>
      </c>
      <c r="Z8" s="162">
        <f>'3FS'!AG8</f>
        <v>701</v>
      </c>
      <c r="AA8" s="863">
        <f>'3FS'!AH8</f>
        <v>738</v>
      </c>
      <c r="AB8" s="162">
        <f>'3FS'!AI8</f>
        <v>688</v>
      </c>
      <c r="AC8" s="162">
        <f>'3FS'!AJ8</f>
        <v>717</v>
      </c>
      <c r="AD8" s="162">
        <f>'3FS'!AK8</f>
        <v>734</v>
      </c>
      <c r="AE8" s="902">
        <f>+'IS Drivers'!AE12</f>
        <v>752.76</v>
      </c>
      <c r="AF8" s="371">
        <f>+'IS Drivers'!AF12</f>
        <v>694.88</v>
      </c>
      <c r="AG8" s="371">
        <f>+'IS Drivers'!AG12</f>
        <v>731.34</v>
      </c>
      <c r="AH8" s="371">
        <f>+'IS Drivers'!AH12</f>
        <v>756.02</v>
      </c>
      <c r="AI8" s="902">
        <f>+'IS Drivers'!AI12</f>
        <v>782.87040000000002</v>
      </c>
      <c r="AJ8" s="174"/>
      <c r="AK8" s="163">
        <f t="shared" ref="AK8:AM8" si="17">SUM(AK9:AK10)</f>
        <v>2284</v>
      </c>
      <c r="AL8" s="163">
        <f t="shared" si="17"/>
        <v>4668</v>
      </c>
      <c r="AM8" s="163">
        <f t="shared" si="17"/>
        <v>6074</v>
      </c>
      <c r="AN8" s="163">
        <f t="shared" ref="AN8:AP8" si="18">SUMIFS($F8:$AI8,$F$3:$AI$3,AN$3)</f>
        <v>5547</v>
      </c>
      <c r="AO8" s="163">
        <f t="shared" si="18"/>
        <v>4782</v>
      </c>
      <c r="AP8" s="163">
        <f t="shared" si="18"/>
        <v>3439</v>
      </c>
      <c r="AQ8" s="554">
        <f t="shared" si="14"/>
        <v>2891.76</v>
      </c>
      <c r="AR8" s="554">
        <f t="shared" si="14"/>
        <v>2965.1103999999996</v>
      </c>
      <c r="AS8" s="371">
        <f>+'IS Drivers'!AS12</f>
        <v>3069.9724599175579</v>
      </c>
    </row>
    <row r="9" spans="1:45" x14ac:dyDescent="0.2">
      <c r="B9" s="29" t="s">
        <v>178</v>
      </c>
      <c r="C9" s="137"/>
      <c r="D9" s="162">
        <f>'3FS'!K9</f>
        <v>0</v>
      </c>
      <c r="E9" s="162">
        <f>'3FS'!L9</f>
        <v>0</v>
      </c>
      <c r="F9" s="162">
        <f>'3FS'!M9</f>
        <v>0</v>
      </c>
      <c r="G9" s="863">
        <f>'3FS'!N9</f>
        <v>0</v>
      </c>
      <c r="H9" s="162">
        <f>'3FS'!O9</f>
        <v>0</v>
      </c>
      <c r="I9" s="162">
        <f>'3FS'!P9</f>
        <v>408</v>
      </c>
      <c r="J9" s="162">
        <f>'3FS'!Q9</f>
        <v>930</v>
      </c>
      <c r="K9" s="863">
        <f>'3FS'!R9</f>
        <v>927</v>
      </c>
      <c r="L9" s="162">
        <f>'3FS'!S9</f>
        <v>897</v>
      </c>
      <c r="M9" s="162">
        <f>'3FS'!T9</f>
        <v>935</v>
      </c>
      <c r="N9" s="162">
        <f>'3FS'!U9</f>
        <v>944</v>
      </c>
      <c r="O9" s="863">
        <f>'3FS'!V9</f>
        <v>975</v>
      </c>
      <c r="P9" s="162">
        <f>'3FS'!W9</f>
        <v>0</v>
      </c>
      <c r="Q9" s="162">
        <f>'3FS'!X9</f>
        <v>0</v>
      </c>
      <c r="R9" s="162">
        <f>'3FS'!Y9</f>
        <v>0</v>
      </c>
      <c r="S9" s="863">
        <f>'3FS'!Z9</f>
        <v>0</v>
      </c>
      <c r="T9" s="162">
        <f>'3FS'!AA9</f>
        <v>0</v>
      </c>
      <c r="U9" s="162">
        <f>'3FS'!AB9</f>
        <v>0</v>
      </c>
      <c r="V9" s="162">
        <f>'3FS'!AC9</f>
        <v>0</v>
      </c>
      <c r="W9" s="863">
        <f>'3FS'!AD9</f>
        <v>0</v>
      </c>
      <c r="X9" s="162">
        <f>'3FS'!AE9</f>
        <v>0</v>
      </c>
      <c r="Y9" s="162">
        <f>'3FS'!AF9</f>
        <v>0</v>
      </c>
      <c r="Z9" s="162">
        <f>'3FS'!AG9</f>
        <v>0</v>
      </c>
      <c r="AA9" s="863">
        <f>'3FS'!AH9</f>
        <v>0</v>
      </c>
      <c r="AB9" s="162">
        <f>'3FS'!AI9</f>
        <v>0</v>
      </c>
      <c r="AC9" s="162">
        <f>'3FS'!AJ9</f>
        <v>0</v>
      </c>
      <c r="AD9" s="162">
        <f>'3FS'!AK9</f>
        <v>0</v>
      </c>
      <c r="AE9" s="902"/>
      <c r="AF9" s="371"/>
      <c r="AG9" s="371"/>
      <c r="AH9" s="371"/>
      <c r="AI9" s="902"/>
      <c r="AK9" s="162">
        <f>'3FS'!D9</f>
        <v>1279</v>
      </c>
      <c r="AL9" s="162">
        <f>'3FS'!E9</f>
        <v>2590</v>
      </c>
      <c r="AM9" s="162">
        <f>'3FS'!F9</f>
        <v>3751</v>
      </c>
      <c r="AN9" s="162">
        <f>'3FS'!G9</f>
        <v>0</v>
      </c>
      <c r="AO9" s="162">
        <f>'3FS'!H9</f>
        <v>0</v>
      </c>
      <c r="AP9" s="162">
        <f>'3FS'!I9</f>
        <v>0</v>
      </c>
      <c r="AQ9" s="371"/>
      <c r="AR9" s="371"/>
      <c r="AS9" s="371"/>
    </row>
    <row r="10" spans="1:45" x14ac:dyDescent="0.2">
      <c r="B10" s="29" t="s">
        <v>179</v>
      </c>
      <c r="C10" s="137"/>
      <c r="D10" s="162">
        <f>'3FS'!K10</f>
        <v>0</v>
      </c>
      <c r="E10" s="162">
        <f>'3FS'!L10</f>
        <v>0</v>
      </c>
      <c r="F10" s="162">
        <f>'3FS'!M10</f>
        <v>0</v>
      </c>
      <c r="G10" s="863">
        <f>'3FS'!N10</f>
        <v>0</v>
      </c>
      <c r="H10" s="162">
        <f>'3FS'!O10</f>
        <v>0</v>
      </c>
      <c r="I10" s="162">
        <f>'3FS'!P10</f>
        <v>552</v>
      </c>
      <c r="J10" s="162">
        <f>'3FS'!Q10</f>
        <v>617</v>
      </c>
      <c r="K10" s="863">
        <f>'3FS'!R10</f>
        <v>648</v>
      </c>
      <c r="L10" s="162">
        <f>'3FS'!S10</f>
        <v>641</v>
      </c>
      <c r="M10" s="162">
        <f>'3FS'!T10</f>
        <v>638</v>
      </c>
      <c r="N10" s="162">
        <f>'3FS'!U10</f>
        <v>493</v>
      </c>
      <c r="O10" s="863">
        <f>'3FS'!V10</f>
        <v>551</v>
      </c>
      <c r="P10" s="162">
        <f>'3FS'!W10</f>
        <v>0</v>
      </c>
      <c r="Q10" s="162">
        <f>'3FS'!X10</f>
        <v>0</v>
      </c>
      <c r="R10" s="162">
        <f>'3FS'!Y10</f>
        <v>0</v>
      </c>
      <c r="S10" s="863">
        <f>'3FS'!Z10</f>
        <v>0</v>
      </c>
      <c r="T10" s="162">
        <f>'3FS'!AA10</f>
        <v>0</v>
      </c>
      <c r="U10" s="162">
        <f>'3FS'!AB10</f>
        <v>0</v>
      </c>
      <c r="V10" s="162">
        <f>'3FS'!AC10</f>
        <v>0</v>
      </c>
      <c r="W10" s="863">
        <f>'3FS'!AD10</f>
        <v>0</v>
      </c>
      <c r="X10" s="162">
        <f>'3FS'!AE10</f>
        <v>0</v>
      </c>
      <c r="Y10" s="162">
        <f>'3FS'!AF10</f>
        <v>0</v>
      </c>
      <c r="Z10" s="162">
        <f>'3FS'!AG10</f>
        <v>0</v>
      </c>
      <c r="AA10" s="863">
        <f>'3FS'!AH10</f>
        <v>0</v>
      </c>
      <c r="AB10" s="162">
        <f>'3FS'!AI10</f>
        <v>0</v>
      </c>
      <c r="AC10" s="162">
        <f>'3FS'!AJ10</f>
        <v>0</v>
      </c>
      <c r="AD10" s="162">
        <f>'3FS'!AK10</f>
        <v>0</v>
      </c>
      <c r="AE10" s="902"/>
      <c r="AF10" s="371"/>
      <c r="AG10" s="371"/>
      <c r="AH10" s="371"/>
      <c r="AI10" s="902"/>
      <c r="AK10" s="162">
        <f>'3FS'!D10</f>
        <v>1005</v>
      </c>
      <c r="AL10" s="162">
        <f>'3FS'!E10</f>
        <v>2078</v>
      </c>
      <c r="AM10" s="162">
        <f>'3FS'!F10</f>
        <v>2323</v>
      </c>
      <c r="AN10" s="162">
        <f>'3FS'!G10</f>
        <v>0</v>
      </c>
      <c r="AO10" s="162">
        <f>'3FS'!H10</f>
        <v>0</v>
      </c>
      <c r="AP10" s="162">
        <f>'3FS'!I10</f>
        <v>0</v>
      </c>
      <c r="AQ10" s="371"/>
      <c r="AR10" s="371"/>
      <c r="AS10" s="371"/>
    </row>
    <row r="11" spans="1:45" s="3" customFormat="1" x14ac:dyDescent="0.2">
      <c r="B11" s="198" t="s">
        <v>14</v>
      </c>
      <c r="C11" s="199"/>
      <c r="D11" s="201">
        <f>'3FS'!K11</f>
        <v>12901</v>
      </c>
      <c r="E11" s="201">
        <f>'3FS'!L11</f>
        <v>13008</v>
      </c>
      <c r="F11" s="201">
        <f>'3FS'!M11</f>
        <v>12910</v>
      </c>
      <c r="G11" s="904">
        <f>'3FS'!N11</f>
        <v>13208</v>
      </c>
      <c r="H11" s="201">
        <f>'3FS'!O11</f>
        <v>13197</v>
      </c>
      <c r="I11" s="200">
        <f t="shared" ref="I11:AD11" si="19">+SUM(I6:I8)</f>
        <v>13230</v>
      </c>
      <c r="J11" s="200">
        <f t="shared" si="19"/>
        <v>14139</v>
      </c>
      <c r="K11" s="879">
        <f t="shared" si="19"/>
        <v>14180</v>
      </c>
      <c r="L11" s="200">
        <f t="shared" si="19"/>
        <v>14192</v>
      </c>
      <c r="M11" s="200">
        <f t="shared" si="19"/>
        <v>14492</v>
      </c>
      <c r="N11" s="200">
        <f t="shared" si="19"/>
        <v>14722</v>
      </c>
      <c r="O11" s="879">
        <f t="shared" si="19"/>
        <v>14963</v>
      </c>
      <c r="P11" s="200">
        <f t="shared" si="19"/>
        <v>15128</v>
      </c>
      <c r="Q11" s="200">
        <f t="shared" si="19"/>
        <v>15316</v>
      </c>
      <c r="R11" s="200">
        <f t="shared" si="19"/>
        <v>15361</v>
      </c>
      <c r="S11" s="879">
        <f t="shared" si="19"/>
        <v>15518</v>
      </c>
      <c r="T11" s="200">
        <f t="shared" si="19"/>
        <v>15546</v>
      </c>
      <c r="U11" s="200">
        <f t="shared" si="19"/>
        <v>15738</v>
      </c>
      <c r="V11" s="200">
        <f t="shared" si="19"/>
        <v>15914</v>
      </c>
      <c r="W11" s="879">
        <f t="shared" si="19"/>
        <v>16043</v>
      </c>
      <c r="X11" s="200">
        <f t="shared" si="19"/>
        <v>16096</v>
      </c>
      <c r="Y11" s="200">
        <f t="shared" si="19"/>
        <v>16429</v>
      </c>
      <c r="Z11" s="200">
        <f t="shared" si="19"/>
        <v>16725</v>
      </c>
      <c r="AA11" s="879">
        <f t="shared" si="19"/>
        <v>16928</v>
      </c>
      <c r="AB11" s="200">
        <f t="shared" si="19"/>
        <v>16925</v>
      </c>
      <c r="AC11" s="200">
        <f t="shared" si="19"/>
        <v>17438</v>
      </c>
      <c r="AD11" s="200">
        <f t="shared" si="19"/>
        <v>18241</v>
      </c>
      <c r="AE11" s="1155">
        <f>+SUM(AE6:AE10)</f>
        <v>18557.583990359493</v>
      </c>
      <c r="AF11" s="1092">
        <f>+SUM(AF6:AF10)</f>
        <v>18533.116189174885</v>
      </c>
      <c r="AG11" s="1092">
        <f>+SUM(AG6:AG10)</f>
        <v>19098.156960162796</v>
      </c>
      <c r="AH11" s="1092">
        <f>+SUM(AH6:AH10)</f>
        <v>19507.554710224977</v>
      </c>
      <c r="AI11" s="1155">
        <f>+SUM(AI6:AI10)</f>
        <v>19638.318335760334</v>
      </c>
      <c r="AK11" s="200">
        <f t="shared" ref="AK11:AP11" si="20">+SUM(AK6:AK8)</f>
        <v>34500</v>
      </c>
      <c r="AL11" s="200">
        <f t="shared" si="20"/>
        <v>50395</v>
      </c>
      <c r="AM11" s="200">
        <f t="shared" si="20"/>
        <v>58369</v>
      </c>
      <c r="AN11" s="200">
        <f t="shared" si="20"/>
        <v>61323</v>
      </c>
      <c r="AO11" s="200">
        <f t="shared" si="20"/>
        <v>63241</v>
      </c>
      <c r="AP11" s="200">
        <f t="shared" si="20"/>
        <v>66178</v>
      </c>
      <c r="AQ11" s="1092">
        <f t="shared" ref="AQ11:AS11" si="21">+SUM(AQ6:AQ10)</f>
        <v>71161.58399035949</v>
      </c>
      <c r="AR11" s="1092">
        <f t="shared" si="21"/>
        <v>76777.146195323003</v>
      </c>
      <c r="AS11" s="1092">
        <f t="shared" si="21"/>
        <v>81051.676322660453</v>
      </c>
    </row>
    <row r="12" spans="1:45" x14ac:dyDescent="0.2">
      <c r="B12" s="10" t="s">
        <v>15</v>
      </c>
      <c r="C12" s="137"/>
      <c r="D12" s="162">
        <f>'3FS'!K12</f>
        <v>4369</v>
      </c>
      <c r="E12" s="162">
        <f>'3FS'!L12</f>
        <v>4099</v>
      </c>
      <c r="F12" s="162">
        <f>'3FS'!M12</f>
        <v>3974</v>
      </c>
      <c r="G12" s="863">
        <f>'3FS'!N12</f>
        <v>4704</v>
      </c>
      <c r="H12" s="162">
        <f>'3FS'!O12</f>
        <v>3876</v>
      </c>
      <c r="I12" s="162">
        <f>'3FS'!P12</f>
        <v>4269</v>
      </c>
      <c r="J12" s="162">
        <f>'3FS'!Q12</f>
        <v>4953</v>
      </c>
      <c r="K12" s="863">
        <f>'3FS'!R12</f>
        <v>5973</v>
      </c>
      <c r="L12" s="162">
        <f>'3FS'!S12</f>
        <v>5346</v>
      </c>
      <c r="M12" s="162">
        <f>'3FS'!T12</f>
        <v>5215</v>
      </c>
      <c r="N12" s="162">
        <f>'3FS'!U12</f>
        <v>4660</v>
      </c>
      <c r="O12" s="863">
        <f>'3FS'!V12</f>
        <v>5506</v>
      </c>
      <c r="P12" s="162">
        <f>'3FS'!W12</f>
        <v>4694</v>
      </c>
      <c r="Q12" s="162">
        <f>'3FS'!X12</f>
        <v>4130</v>
      </c>
      <c r="R12" s="162">
        <f>'3FS'!Y12</f>
        <v>3855</v>
      </c>
      <c r="S12" s="863">
        <f>'3FS'!Z12</f>
        <v>4451</v>
      </c>
      <c r="T12" s="162">
        <f>'3FS'!AA12</f>
        <v>3719</v>
      </c>
      <c r="U12" s="162">
        <f>'3FS'!AB12</f>
        <v>3169</v>
      </c>
      <c r="V12" s="162">
        <f>'3FS'!AC12</f>
        <v>3076</v>
      </c>
      <c r="W12" s="863">
        <f>'3FS'!AD12</f>
        <v>4174</v>
      </c>
      <c r="X12" s="162">
        <f>'3FS'!AE12</f>
        <v>3251</v>
      </c>
      <c r="Y12" s="162">
        <f>'3FS'!AF12</f>
        <v>3106</v>
      </c>
      <c r="Z12" s="162">
        <f>'3FS'!AG12</f>
        <v>3207</v>
      </c>
      <c r="AA12" s="863">
        <f>'3FS'!AH12</f>
        <v>4699</v>
      </c>
      <c r="AB12" s="162">
        <f>'3FS'!AI12</f>
        <v>3704</v>
      </c>
      <c r="AC12" s="162">
        <f>'3FS'!AJ12</f>
        <v>3439</v>
      </c>
      <c r="AD12" s="162">
        <f>'3FS'!AK12</f>
        <v>3465</v>
      </c>
      <c r="AE12" s="902">
        <f>+'IS Drivers'!AE13</f>
        <v>5051.1421293133808</v>
      </c>
      <c r="AF12" s="371">
        <f>+'IS Drivers'!AF13</f>
        <v>3756.717907266308</v>
      </c>
      <c r="AG12" s="371">
        <f>+'IS Drivers'!AG13</f>
        <v>3782.0806135501621</v>
      </c>
      <c r="AH12" s="371">
        <f>+'IS Drivers'!AH13</f>
        <v>3696.9684334298386</v>
      </c>
      <c r="AI12" s="902">
        <f>+'IS Drivers'!AI13</f>
        <v>5317.7985434217626</v>
      </c>
      <c r="AJ12" s="174"/>
      <c r="AK12" s="162">
        <f>'3FS'!D12</f>
        <v>9840</v>
      </c>
      <c r="AL12" s="162">
        <f>'3FS'!E12</f>
        <v>17312</v>
      </c>
      <c r="AM12" s="162">
        <f>'3FS'!F12</f>
        <v>20727</v>
      </c>
      <c r="AN12" s="162">
        <f>'3FS'!G12</f>
        <v>17130</v>
      </c>
      <c r="AO12" s="162">
        <f>'3FS'!H12</f>
        <v>14138</v>
      </c>
      <c r="AP12" s="162">
        <f>'3FS'!I12</f>
        <v>14263</v>
      </c>
      <c r="AQ12" s="554">
        <f t="shared" ref="AQ12:AR13" si="22">SUMIFS($F12:$AI12,$F$3:$AI$3,AQ$3)</f>
        <v>15659.142129313381</v>
      </c>
      <c r="AR12" s="554">
        <f t="shared" si="22"/>
        <v>16553.565497668071</v>
      </c>
      <c r="AS12" s="371">
        <f>+'IS Drivers'!AS13</f>
        <v>17077.990949143521</v>
      </c>
    </row>
    <row r="13" spans="1:45" x14ac:dyDescent="0.2">
      <c r="B13" s="10" t="s">
        <v>16</v>
      </c>
      <c r="C13" s="137"/>
      <c r="D13" s="162">
        <f>'3FS'!K13</f>
        <v>349</v>
      </c>
      <c r="E13" s="162">
        <f>'3FS'!L13</f>
        <v>353</v>
      </c>
      <c r="F13" s="162">
        <f>'3FS'!M13</f>
        <v>359</v>
      </c>
      <c r="G13" s="863">
        <f>'3FS'!N13</f>
        <v>373</v>
      </c>
      <c r="H13" s="162">
        <f>'3FS'!O13</f>
        <v>335</v>
      </c>
      <c r="I13" s="162">
        <f>'3FS'!P13</f>
        <v>172</v>
      </c>
      <c r="J13" s="162">
        <f>'3FS'!Q13</f>
        <v>180</v>
      </c>
      <c r="K13" s="863">
        <f>'3FS'!R13</f>
        <v>188</v>
      </c>
      <c r="L13" s="162">
        <f>'3FS'!S13</f>
        <v>221</v>
      </c>
      <c r="M13" s="162">
        <f>'3FS'!T13</f>
        <v>243</v>
      </c>
      <c r="N13" s="162">
        <f>'3FS'!U13</f>
        <v>242</v>
      </c>
      <c r="O13" s="863">
        <f>'3FS'!V13</f>
        <v>316</v>
      </c>
      <c r="P13" s="162">
        <f>'3FS'!W13</f>
        <v>298</v>
      </c>
      <c r="Q13" s="162">
        <f>'3FS'!X13</f>
        <v>255</v>
      </c>
      <c r="R13" s="162">
        <f>'3FS'!Y13</f>
        <v>261</v>
      </c>
      <c r="S13" s="863">
        <f>'3FS'!Z13</f>
        <v>304</v>
      </c>
      <c r="T13" s="162">
        <f>'3FS'!AA13</f>
        <v>367</v>
      </c>
      <c r="U13" s="162">
        <f>'3FS'!AB13</f>
        <v>289</v>
      </c>
      <c r="V13" s="162">
        <f>'3FS'!AC13</f>
        <v>262</v>
      </c>
      <c r="W13" s="863">
        <f>'3FS'!AD13</f>
        <v>261</v>
      </c>
      <c r="X13" s="162">
        <f>'3FS'!AE13</f>
        <v>247</v>
      </c>
      <c r="Y13" s="162">
        <f>'3FS'!AF13</f>
        <v>237</v>
      </c>
      <c r="Z13" s="162">
        <f>'3FS'!AG13</f>
        <v>230</v>
      </c>
      <c r="AA13" s="863">
        <f>'3FS'!AH13</f>
        <v>245</v>
      </c>
      <c r="AB13" s="162">
        <f>'3FS'!AI13</f>
        <v>257</v>
      </c>
      <c r="AC13" s="162">
        <f>'3FS'!AJ13</f>
        <v>255</v>
      </c>
      <c r="AD13" s="162">
        <f>'3FS'!AK13</f>
        <v>251</v>
      </c>
      <c r="AE13" s="902">
        <f>+'IS Drivers'!AE16</f>
        <v>263.76915991505513</v>
      </c>
      <c r="AF13" s="371">
        <f>+'IS Drivers'!AF16</f>
        <v>260.45058119563629</v>
      </c>
      <c r="AG13" s="371">
        <f>+'IS Drivers'!AG16</f>
        <v>280.63226229399692</v>
      </c>
      <c r="AH13" s="371">
        <f>+'IS Drivers'!AH16</f>
        <v>267.82290574715097</v>
      </c>
      <c r="AI13" s="902">
        <f>+'IS Drivers'!AI16</f>
        <v>277.70491534520733</v>
      </c>
      <c r="AJ13" s="174"/>
      <c r="AK13" s="162">
        <f>'3FS'!D13</f>
        <v>658</v>
      </c>
      <c r="AL13" s="162">
        <f>'3FS'!E13</f>
        <v>690</v>
      </c>
      <c r="AM13" s="162">
        <f>'3FS'!F13</f>
        <v>1022</v>
      </c>
      <c r="AN13" s="162">
        <f>'3FS'!G13</f>
        <v>1118</v>
      </c>
      <c r="AO13" s="162">
        <f>'3FS'!H13</f>
        <v>1179</v>
      </c>
      <c r="AP13" s="162">
        <f>'3FS'!I13</f>
        <v>959</v>
      </c>
      <c r="AQ13" s="554">
        <f t="shared" si="22"/>
        <v>1026.7691599150551</v>
      </c>
      <c r="AR13" s="554">
        <f t="shared" si="22"/>
        <v>1086.6106645819916</v>
      </c>
      <c r="AS13" s="371">
        <f>+'IS Drivers'!AS16</f>
        <v>1122.1196431597373</v>
      </c>
    </row>
    <row r="14" spans="1:45" s="3" customFormat="1" x14ac:dyDescent="0.2">
      <c r="B14" s="193" t="s">
        <v>17</v>
      </c>
      <c r="C14" s="194"/>
      <c r="D14" s="195">
        <f t="shared" ref="D14:E14" si="23">+D13+D12+D11</f>
        <v>17619</v>
      </c>
      <c r="E14" s="195">
        <f t="shared" si="23"/>
        <v>17460</v>
      </c>
      <c r="F14" s="195">
        <f t="shared" ref="F14:Y14" si="24">+F13+F12+F11</f>
        <v>17243</v>
      </c>
      <c r="G14" s="905">
        <f t="shared" si="24"/>
        <v>18285</v>
      </c>
      <c r="H14" s="195">
        <f t="shared" si="24"/>
        <v>17408</v>
      </c>
      <c r="I14" s="195">
        <f t="shared" si="24"/>
        <v>17671</v>
      </c>
      <c r="J14" s="195">
        <f t="shared" si="24"/>
        <v>19272</v>
      </c>
      <c r="K14" s="905">
        <f t="shared" si="24"/>
        <v>20341</v>
      </c>
      <c r="L14" s="195">
        <f t="shared" si="24"/>
        <v>19759</v>
      </c>
      <c r="M14" s="195">
        <f t="shared" si="24"/>
        <v>19950</v>
      </c>
      <c r="N14" s="195">
        <f t="shared" si="24"/>
        <v>19624</v>
      </c>
      <c r="O14" s="905">
        <f t="shared" si="24"/>
        <v>20785</v>
      </c>
      <c r="P14" s="195">
        <f t="shared" si="24"/>
        <v>20120</v>
      </c>
      <c r="Q14" s="195">
        <f t="shared" si="24"/>
        <v>19701</v>
      </c>
      <c r="R14" s="195">
        <f t="shared" si="24"/>
        <v>19477</v>
      </c>
      <c r="S14" s="905">
        <f t="shared" si="24"/>
        <v>20273</v>
      </c>
      <c r="T14" s="195">
        <f t="shared" si="24"/>
        <v>19632</v>
      </c>
      <c r="U14" s="195">
        <f t="shared" si="24"/>
        <v>19196</v>
      </c>
      <c r="V14" s="195">
        <f t="shared" si="24"/>
        <v>19252</v>
      </c>
      <c r="W14" s="905">
        <f t="shared" si="24"/>
        <v>20478</v>
      </c>
      <c r="X14" s="195">
        <f t="shared" si="24"/>
        <v>19594</v>
      </c>
      <c r="Y14" s="195">
        <f t="shared" si="24"/>
        <v>19772</v>
      </c>
      <c r="Z14" s="195">
        <f t="shared" ref="Z14:AA14" si="25">+Z13+Z12+Z11</f>
        <v>20162</v>
      </c>
      <c r="AA14" s="905">
        <f t="shared" si="25"/>
        <v>21872</v>
      </c>
      <c r="AB14" s="195">
        <f t="shared" ref="AB14:AC14" si="26">+AB13+AB12+AB11</f>
        <v>20886</v>
      </c>
      <c r="AC14" s="195">
        <f t="shared" si="26"/>
        <v>21132</v>
      </c>
      <c r="AD14" s="195">
        <f t="shared" ref="AD14" si="27">+AD13+AD12+AD11</f>
        <v>21957</v>
      </c>
      <c r="AE14" s="1202">
        <f t="shared" ref="AE14" si="28">+AE13+AE12+AE11</f>
        <v>23872.495279587929</v>
      </c>
      <c r="AF14" s="1203">
        <f t="shared" ref="AF14" si="29">+AF13+AF12+AF11</f>
        <v>22550.284677636831</v>
      </c>
      <c r="AG14" s="1203">
        <f t="shared" ref="AG14" si="30">+AG13+AG12+AG11</f>
        <v>23160.869836006954</v>
      </c>
      <c r="AH14" s="1203">
        <f t="shared" ref="AH14" si="31">+AH13+AH12+AH11</f>
        <v>23472.346049401967</v>
      </c>
      <c r="AI14" s="1202">
        <f t="shared" ref="AI14" si="32">+AI13+AI12+AI11</f>
        <v>25233.821794527303</v>
      </c>
      <c r="AK14" s="195">
        <f t="shared" ref="AK14:AO14" si="33">+AK13+AK12+AK11</f>
        <v>44998</v>
      </c>
      <c r="AL14" s="195">
        <f t="shared" si="33"/>
        <v>68397</v>
      </c>
      <c r="AM14" s="195">
        <f t="shared" si="33"/>
        <v>80118</v>
      </c>
      <c r="AN14" s="195">
        <f t="shared" si="33"/>
        <v>79571</v>
      </c>
      <c r="AO14" s="195">
        <f t="shared" si="33"/>
        <v>78558</v>
      </c>
      <c r="AP14" s="195">
        <f t="shared" ref="AP14" si="34">+AP13+AP12+AP11</f>
        <v>81400</v>
      </c>
      <c r="AQ14" s="1203">
        <f t="shared" ref="AQ14" si="35">+AQ13+AQ12+AQ11</f>
        <v>87847.495279587922</v>
      </c>
      <c r="AR14" s="1203">
        <f t="shared" ref="AR14" si="36">+AR13+AR12+AR11</f>
        <v>94417.322357573066</v>
      </c>
      <c r="AS14" s="1203">
        <f t="shared" ref="AS14" si="37">+AS13+AS12+AS11</f>
        <v>99251.786914963712</v>
      </c>
    </row>
    <row r="15" spans="1:45" x14ac:dyDescent="0.2">
      <c r="B15" s="14" t="s">
        <v>18</v>
      </c>
      <c r="C15" s="139"/>
      <c r="D15" s="162"/>
      <c r="E15" s="162"/>
      <c r="F15" s="162"/>
      <c r="G15" s="863"/>
      <c r="H15" s="162"/>
      <c r="I15" s="162"/>
      <c r="J15" s="162"/>
      <c r="K15" s="863"/>
      <c r="L15" s="162"/>
      <c r="M15" s="162"/>
      <c r="N15" s="162"/>
      <c r="O15" s="863"/>
      <c r="P15" s="162"/>
      <c r="Q15" s="162"/>
      <c r="R15" s="162"/>
      <c r="S15" s="863"/>
      <c r="T15" s="162"/>
      <c r="U15" s="162"/>
      <c r="V15" s="162"/>
      <c r="W15" s="863"/>
      <c r="X15" s="162"/>
      <c r="Y15" s="162"/>
      <c r="Z15" s="162"/>
      <c r="AA15" s="863"/>
      <c r="AB15" s="162"/>
      <c r="AC15" s="162"/>
      <c r="AD15" s="162"/>
      <c r="AE15" s="902"/>
      <c r="AF15" s="371"/>
      <c r="AG15" s="371"/>
      <c r="AH15" s="371"/>
      <c r="AI15" s="902"/>
      <c r="AK15" s="162"/>
      <c r="AL15" s="162"/>
      <c r="AM15" s="162"/>
      <c r="AN15" s="162"/>
      <c r="AO15" s="162"/>
      <c r="AP15" s="162"/>
      <c r="AQ15" s="371"/>
      <c r="AR15" s="371"/>
      <c r="AS15" s="371"/>
    </row>
    <row r="16" spans="1:45" x14ac:dyDescent="0.2">
      <c r="B16" s="10" t="s">
        <v>184</v>
      </c>
      <c r="C16" s="137"/>
      <c r="D16" s="162">
        <f>'3FS'!K16</f>
        <v>3342</v>
      </c>
      <c r="E16" s="162">
        <f>'3FS'!L16</f>
        <v>3219</v>
      </c>
      <c r="F16" s="162">
        <f>'3FS'!M16</f>
        <v>3366</v>
      </c>
      <c r="G16" s="863">
        <f>'3FS'!N16</f>
        <v>3297</v>
      </c>
      <c r="H16" s="162">
        <f>'3FS'!O16</f>
        <v>3200</v>
      </c>
      <c r="I16" s="162">
        <f>'3FS'!P16</f>
        <v>3098</v>
      </c>
      <c r="J16" s="162">
        <f>'3FS'!Q16</f>
        <v>3314</v>
      </c>
      <c r="K16" s="863">
        <f>'3FS'!R16</f>
        <v>3827</v>
      </c>
      <c r="L16" s="162">
        <f>'3FS'!S16</f>
        <v>3384</v>
      </c>
      <c r="M16" s="162">
        <f>'3FS'!T16</f>
        <v>3491</v>
      </c>
      <c r="N16" s="162">
        <f>'3FS'!U16</f>
        <v>3538</v>
      </c>
      <c r="O16" s="863">
        <f>'3FS'!V16</f>
        <v>3521</v>
      </c>
      <c r="P16" s="162">
        <f>'3FS'!W16</f>
        <v>3727</v>
      </c>
      <c r="Q16" s="162">
        <f>'3FS'!X16</f>
        <v>4060</v>
      </c>
      <c r="R16" s="162">
        <f>'3FS'!Y16</f>
        <v>3712</v>
      </c>
      <c r="S16" s="863">
        <f>'3FS'!Z16</f>
        <v>3167</v>
      </c>
      <c r="T16" s="162">
        <f>'3FS'!AA16</f>
        <v>3061</v>
      </c>
      <c r="U16" s="162">
        <f>'3FS'!AB16</f>
        <v>2916</v>
      </c>
      <c r="V16" s="162">
        <f>'3FS'!AC16</f>
        <v>2886</v>
      </c>
      <c r="W16" s="863">
        <f>'3FS'!AD16</f>
        <v>2792</v>
      </c>
      <c r="X16" s="162">
        <f>'3FS'!AE16</f>
        <v>2688</v>
      </c>
      <c r="Y16" s="162">
        <f>'3FS'!AF16</f>
        <v>2664</v>
      </c>
      <c r="Z16" s="162">
        <f>'3FS'!AG16</f>
        <v>2722</v>
      </c>
      <c r="AA16" s="863">
        <f>'3FS'!AH16</f>
        <v>2697</v>
      </c>
      <c r="AB16" s="162">
        <f>'3FS'!AI16</f>
        <v>2602</v>
      </c>
      <c r="AC16" s="162">
        <f>'3FS'!AJ16</f>
        <v>2717</v>
      </c>
      <c r="AD16" s="162">
        <f>'3FS'!AK16</f>
        <v>2873</v>
      </c>
      <c r="AE16" s="902">
        <f>+'IS Drivers'!AE202</f>
        <v>2938.0707254377803</v>
      </c>
      <c r="AF16" s="371">
        <f>+'IS Drivers'!AF202</f>
        <v>2830.6939635291737</v>
      </c>
      <c r="AG16" s="371">
        <f>+'IS Drivers'!AG202</f>
        <v>2956.5694918964905</v>
      </c>
      <c r="AH16" s="371">
        <f>+'IS Drivers'!AH202</f>
        <v>3052.9777631164488</v>
      </c>
      <c r="AI16" s="902">
        <f>+'IS Drivers'!AI202</f>
        <v>3089.5362503526771</v>
      </c>
      <c r="AK16" s="162">
        <f>'3FS'!D16</f>
        <v>6622</v>
      </c>
      <c r="AL16" s="162">
        <f>'3FS'!E16</f>
        <v>11878</v>
      </c>
      <c r="AM16" s="162">
        <f>'3FS'!F16</f>
        <v>13934</v>
      </c>
      <c r="AN16" s="162">
        <f>'3FS'!G16</f>
        <v>14666</v>
      </c>
      <c r="AO16" s="162">
        <f>'3FS'!H16</f>
        <v>11655</v>
      </c>
      <c r="AP16" s="162">
        <f>'3FS'!I16</f>
        <v>10771</v>
      </c>
      <c r="AQ16" s="554">
        <f t="shared" ref="AQ16:AR21" si="38">SUMIFS($F16:$AI16,$F$3:$AI$3,AQ$3)</f>
        <v>11130.070725437781</v>
      </c>
      <c r="AR16" s="554">
        <f t="shared" si="38"/>
        <v>11929.77746889479</v>
      </c>
      <c r="AS16" s="371">
        <f>+'IS Drivers'!AS202</f>
        <v>12593.962004661355</v>
      </c>
    </row>
    <row r="17" spans="2:45" x14ac:dyDescent="0.2">
      <c r="B17" s="10" t="s">
        <v>185</v>
      </c>
      <c r="C17" s="137"/>
      <c r="D17" s="162">
        <f>'3FS'!K17</f>
        <v>3624</v>
      </c>
      <c r="E17" s="162">
        <f>'3FS'!L17</f>
        <v>3280</v>
      </c>
      <c r="F17" s="162">
        <f>'3FS'!M17</f>
        <v>3330</v>
      </c>
      <c r="G17" s="863">
        <f>'3FS'!N17</f>
        <v>4341</v>
      </c>
      <c r="H17" s="162">
        <f>'3FS'!O17</f>
        <v>3268</v>
      </c>
      <c r="I17" s="162">
        <f>'3FS'!P17</f>
        <v>3667</v>
      </c>
      <c r="J17" s="162">
        <f>'3FS'!Q17</f>
        <v>4367</v>
      </c>
      <c r="K17" s="863">
        <f>'3FS'!R17</f>
        <v>5825</v>
      </c>
      <c r="L17" s="162">
        <f>'3FS'!S17</f>
        <v>5142</v>
      </c>
      <c r="M17" s="162">
        <f>'3FS'!T17</f>
        <v>5453</v>
      </c>
      <c r="N17" s="162">
        <f>'3FS'!U17</f>
        <v>5145</v>
      </c>
      <c r="O17" s="863">
        <f>'3FS'!V17</f>
        <v>6931</v>
      </c>
      <c r="P17" s="162">
        <f>'3FS'!W17</f>
        <v>5946</v>
      </c>
      <c r="Q17" s="162">
        <f>'3FS'!X17</f>
        <v>5108</v>
      </c>
      <c r="R17" s="162">
        <f>'3FS'!Y17</f>
        <v>4982</v>
      </c>
      <c r="S17" s="863">
        <f>'3FS'!Z17</f>
        <v>5504</v>
      </c>
      <c r="T17" s="162">
        <f>'3FS'!AA17</f>
        <v>4588</v>
      </c>
      <c r="U17" s="162">
        <f>'3FS'!AB17</f>
        <v>4088</v>
      </c>
      <c r="V17" s="162">
        <f>'3FS'!AC17</f>
        <v>4249</v>
      </c>
      <c r="W17" s="863">
        <f>'3FS'!AD17</f>
        <v>5608</v>
      </c>
      <c r="X17" s="162">
        <f>'3FS'!AE17</f>
        <v>4399</v>
      </c>
      <c r="Y17" s="162">
        <f>'3FS'!AF17</f>
        <v>4088</v>
      </c>
      <c r="Z17" s="162">
        <f>'3FS'!AG17</f>
        <v>4307</v>
      </c>
      <c r="AA17" s="863">
        <f>'3FS'!AH17</f>
        <v>6088</v>
      </c>
      <c r="AB17" s="162">
        <f>'3FS'!AI17</f>
        <v>4798</v>
      </c>
      <c r="AC17" s="162">
        <f>'3FS'!AJ17</f>
        <v>4659</v>
      </c>
      <c r="AD17" s="162">
        <f>'3FS'!AK17</f>
        <v>4853</v>
      </c>
      <c r="AE17" s="902">
        <f>+'IS Drivers'!AE207</f>
        <v>6907.6944207370607</v>
      </c>
      <c r="AF17" s="371">
        <f>+'IS Drivers'!AF207</f>
        <v>4862.4197999091939</v>
      </c>
      <c r="AG17" s="371">
        <f>+'IS Drivers'!AG207</f>
        <v>5127.3165099126727</v>
      </c>
      <c r="AH17" s="371">
        <f>+'IS Drivers'!AH207</f>
        <v>5178.2651856212096</v>
      </c>
      <c r="AI17" s="902">
        <f>+'IS Drivers'!AI207</f>
        <v>7272.6496720053274</v>
      </c>
      <c r="AK17" s="162">
        <f>'3FS'!D17</f>
        <v>11899</v>
      </c>
      <c r="AL17" s="162">
        <f>'3FS'!E17</f>
        <v>16388</v>
      </c>
      <c r="AM17" s="162">
        <f>'3FS'!F17</f>
        <v>22671</v>
      </c>
      <c r="AN17" s="162">
        <f>'3FS'!G17</f>
        <v>21540</v>
      </c>
      <c r="AO17" s="162">
        <f>'3FS'!H17</f>
        <v>18533</v>
      </c>
      <c r="AP17" s="162">
        <f>'3FS'!I17</f>
        <v>18882</v>
      </c>
      <c r="AQ17" s="554">
        <f t="shared" si="38"/>
        <v>21217.694420737062</v>
      </c>
      <c r="AR17" s="554">
        <f t="shared" si="38"/>
        <v>22440.651167448406</v>
      </c>
      <c r="AS17" s="371">
        <f>+'IS Drivers'!AS207</f>
        <v>23173.981538250653</v>
      </c>
    </row>
    <row r="18" spans="2:45" x14ac:dyDescent="0.2">
      <c r="B18" s="10" t="s">
        <v>19</v>
      </c>
      <c r="C18" s="137"/>
      <c r="D18" s="162">
        <f>'3FS'!K18</f>
        <v>5010</v>
      </c>
      <c r="E18" s="162">
        <f>'3FS'!L18</f>
        <v>5177</v>
      </c>
      <c r="F18" s="162">
        <f>'3FS'!M18</f>
        <v>4979</v>
      </c>
      <c r="G18" s="863">
        <f>'3FS'!N18</f>
        <v>5028</v>
      </c>
      <c r="H18" s="162">
        <f>'3FS'!O18</f>
        <v>5280</v>
      </c>
      <c r="I18" s="162">
        <f>'3FS'!P18</f>
        <v>5604</v>
      </c>
      <c r="J18" s="162">
        <f>'3FS'!Q18</f>
        <v>4876</v>
      </c>
      <c r="K18" s="863">
        <f>'3FS'!R18</f>
        <v>4758</v>
      </c>
      <c r="L18" s="162">
        <f>'3FS'!S18</f>
        <v>4805</v>
      </c>
      <c r="M18" s="162">
        <f>'3FS'!T18</f>
        <v>4823</v>
      </c>
      <c r="N18" s="162">
        <f>'3FS'!U18</f>
        <v>5212</v>
      </c>
      <c r="O18" s="863">
        <f>'3FS'!V18</f>
        <v>5398</v>
      </c>
      <c r="P18" s="162">
        <f>'3FS'!W18</f>
        <v>5056</v>
      </c>
      <c r="Q18" s="162">
        <f>'3FS'!X18</f>
        <v>5856</v>
      </c>
      <c r="R18" s="162">
        <f>'3FS'!Y18</f>
        <v>5118</v>
      </c>
      <c r="S18" s="863">
        <f>'3FS'!Z18</f>
        <v>5577</v>
      </c>
      <c r="T18" s="162">
        <f>'3FS'!AA18</f>
        <v>5425</v>
      </c>
      <c r="U18" s="162">
        <f>'3FS'!AB18</f>
        <v>5272</v>
      </c>
      <c r="V18" s="162">
        <f>'3FS'!AC18</f>
        <v>5334</v>
      </c>
      <c r="W18" s="863">
        <f>'3FS'!AD18</f>
        <v>5280</v>
      </c>
      <c r="X18" s="162">
        <f>'3FS'!AE18</f>
        <v>5138</v>
      </c>
      <c r="Y18" s="162">
        <f>'3FS'!AF18</f>
        <v>5142</v>
      </c>
      <c r="Z18" s="162">
        <f>'3FS'!AG18</f>
        <v>5186</v>
      </c>
      <c r="AA18" s="863">
        <f>'3FS'!AH18</f>
        <v>5352</v>
      </c>
      <c r="AB18" s="162">
        <f>'3FS'!AI18</f>
        <v>5488</v>
      </c>
      <c r="AC18" s="162">
        <f>'3FS'!AJ18</f>
        <v>5397</v>
      </c>
      <c r="AD18" s="162">
        <f>'3FS'!AK18</f>
        <v>6015</v>
      </c>
      <c r="AE18" s="902">
        <f>+'IS Drivers'!AE212</f>
        <v>6320.3537322176526</v>
      </c>
      <c r="AF18" s="371">
        <f>+'IS Drivers'!AF212</f>
        <v>6186.0397787664797</v>
      </c>
      <c r="AG18" s="371">
        <f>+'IS Drivers'!AG212</f>
        <v>6055.6417516885549</v>
      </c>
      <c r="AH18" s="371">
        <f>+'IS Drivers'!AH212</f>
        <v>6542.3422374297888</v>
      </c>
      <c r="AI18" s="902">
        <f>+'IS Drivers'!AI212</f>
        <v>6325.5909439819752</v>
      </c>
      <c r="AK18" s="162">
        <f>'3FS'!D18</f>
        <v>14139</v>
      </c>
      <c r="AL18" s="162">
        <f>'3FS'!E18</f>
        <v>18926</v>
      </c>
      <c r="AM18" s="162">
        <f>'3FS'!F18</f>
        <v>20238</v>
      </c>
      <c r="AN18" s="162">
        <f>'3FS'!G18</f>
        <v>21607</v>
      </c>
      <c r="AO18" s="162">
        <f>'3FS'!H18</f>
        <v>21311</v>
      </c>
      <c r="AP18" s="162">
        <f>'3FS'!I18</f>
        <v>20818</v>
      </c>
      <c r="AQ18" s="554">
        <f t="shared" si="38"/>
        <v>23220.353732217653</v>
      </c>
      <c r="AR18" s="554">
        <f t="shared" si="38"/>
        <v>25109.614711866801</v>
      </c>
      <c r="AS18" s="371">
        <f>+'IS Drivers'!AS212</f>
        <v>24975.525419487622</v>
      </c>
    </row>
    <row r="19" spans="2:45" x14ac:dyDescent="0.2">
      <c r="B19" s="10" t="s">
        <v>20</v>
      </c>
      <c r="C19" s="137"/>
      <c r="D19" s="162">
        <f>'3FS'!K19</f>
        <v>2000</v>
      </c>
      <c r="E19" s="162">
        <f>'3FS'!L19</f>
        <v>0</v>
      </c>
      <c r="F19" s="162">
        <f>'3FS'!M19</f>
        <v>0</v>
      </c>
      <c r="G19" s="863">
        <f>'3FS'!N19</f>
        <v>0</v>
      </c>
      <c r="H19" s="162">
        <f>'3FS'!O19</f>
        <v>0</v>
      </c>
      <c r="I19" s="162">
        <f>'3FS'!P19</f>
        <v>418</v>
      </c>
      <c r="J19" s="162">
        <f>'3FS'!Q19</f>
        <v>0</v>
      </c>
      <c r="K19" s="863">
        <f>'3FS'!R19</f>
        <v>0</v>
      </c>
      <c r="L19" s="162">
        <f>'3FS'!S19</f>
        <v>0</v>
      </c>
      <c r="M19" s="162">
        <f>'3FS'!T19</f>
        <v>0</v>
      </c>
      <c r="N19" s="162">
        <f>'3FS'!U19</f>
        <v>0</v>
      </c>
      <c r="O19" s="863">
        <f>'3FS'!V19</f>
        <v>0</v>
      </c>
      <c r="P19" s="162">
        <f>'3FS'!W19</f>
        <v>0</v>
      </c>
      <c r="Q19" s="162">
        <f>'3FS'!X19</f>
        <v>477</v>
      </c>
      <c r="R19" s="162">
        <f>'3FS'!Y19</f>
        <v>0</v>
      </c>
      <c r="S19" s="863">
        <f>'3FS'!Z19</f>
        <v>0</v>
      </c>
      <c r="T19" s="162">
        <f>'3FS'!AA19</f>
        <v>0</v>
      </c>
      <c r="U19" s="162">
        <f>'3FS'!AB19</f>
        <v>0</v>
      </c>
      <c r="V19" s="162">
        <f>'3FS'!AC19</f>
        <v>0</v>
      </c>
      <c r="W19" s="863">
        <f>'3FS'!AD19</f>
        <v>0</v>
      </c>
      <c r="X19" s="162">
        <f>'3FS'!AE19</f>
        <v>0</v>
      </c>
      <c r="Y19" s="162">
        <f>'3FS'!AF19</f>
        <v>0</v>
      </c>
      <c r="Z19" s="162">
        <f>'3FS'!AG19</f>
        <v>0</v>
      </c>
      <c r="AA19" s="863">
        <f>'3FS'!AH19</f>
        <v>0</v>
      </c>
      <c r="AB19" s="162">
        <f>'3FS'!AI19</f>
        <v>0</v>
      </c>
      <c r="AC19" s="162">
        <f>'3FS'!AJ19</f>
        <v>0</v>
      </c>
      <c r="AD19" s="162">
        <f>'3FS'!AK19</f>
        <v>278</v>
      </c>
      <c r="AE19" s="902"/>
      <c r="AF19" s="371"/>
      <c r="AG19" s="371"/>
      <c r="AH19" s="371"/>
      <c r="AI19" s="902"/>
      <c r="AK19" s="162">
        <f>'3FS'!D19</f>
        <v>0</v>
      </c>
      <c r="AL19" s="162">
        <f>'3FS'!E19</f>
        <v>418</v>
      </c>
      <c r="AM19" s="162">
        <f>'3FS'!F19</f>
        <v>0</v>
      </c>
      <c r="AN19" s="162">
        <f>'3FS'!G19</f>
        <v>477</v>
      </c>
      <c r="AO19" s="162">
        <f>'3FS'!H19</f>
        <v>0</v>
      </c>
      <c r="AP19" s="162">
        <f>'3FS'!I19</f>
        <v>0</v>
      </c>
      <c r="AQ19" s="554">
        <f t="shared" si="38"/>
        <v>278</v>
      </c>
      <c r="AR19" s="554">
        <f t="shared" si="38"/>
        <v>0</v>
      </c>
      <c r="AS19" s="371"/>
    </row>
    <row r="20" spans="2:45" x14ac:dyDescent="0.2">
      <c r="B20" s="10" t="s">
        <v>21</v>
      </c>
      <c r="C20" s="137"/>
      <c r="D20" s="162">
        <f>'3FS'!K20</f>
        <v>0</v>
      </c>
      <c r="E20" s="162">
        <f>'3FS'!L20</f>
        <v>0</v>
      </c>
      <c r="F20" s="162">
        <f>'3FS'!M20</f>
        <v>0</v>
      </c>
      <c r="G20" s="863">
        <f>'3FS'!N20</f>
        <v>0</v>
      </c>
      <c r="H20" s="162">
        <f>'3FS'!O20</f>
        <v>0</v>
      </c>
      <c r="I20" s="162">
        <f>'3FS'!P20</f>
        <v>0</v>
      </c>
      <c r="J20" s="162">
        <f>'3FS'!Q20</f>
        <v>0</v>
      </c>
      <c r="K20" s="863">
        <f>'3FS'!R20</f>
        <v>0</v>
      </c>
      <c r="L20" s="162">
        <f>'3FS'!S20</f>
        <v>0</v>
      </c>
      <c r="M20" s="162">
        <f>'3FS'!T20</f>
        <v>0</v>
      </c>
      <c r="N20" s="162">
        <f>'3FS'!U20</f>
        <v>0</v>
      </c>
      <c r="O20" s="863">
        <f>'3FS'!V20</f>
        <v>0</v>
      </c>
      <c r="P20" s="162">
        <f>'3FS'!W20</f>
        <v>0</v>
      </c>
      <c r="Q20" s="162">
        <f>'3FS'!X20</f>
        <v>0</v>
      </c>
      <c r="R20" s="162">
        <f>'3FS'!Y20</f>
        <v>1071</v>
      </c>
      <c r="S20" s="863">
        <f>'3FS'!Z20</f>
        <v>16</v>
      </c>
      <c r="T20" s="162">
        <f>'3FS'!AA20</f>
        <v>-42</v>
      </c>
      <c r="U20" s="162">
        <f>'3FS'!AB20</f>
        <v>17</v>
      </c>
      <c r="V20" s="162">
        <f>'3FS'!AC20</f>
        <v>0</v>
      </c>
      <c r="W20" s="863">
        <f>'3FS'!AD20</f>
        <v>0</v>
      </c>
      <c r="X20" s="162">
        <f>'3FS'!AE20</f>
        <v>0</v>
      </c>
      <c r="Y20" s="162">
        <f>'3FS'!AF20</f>
        <v>0</v>
      </c>
      <c r="Z20" s="162">
        <f>'3FS'!AG20</f>
        <v>0</v>
      </c>
      <c r="AA20" s="863">
        <f>'3FS'!AH20</f>
        <v>0</v>
      </c>
      <c r="AB20" s="162">
        <f>'3FS'!AI20</f>
        <v>0</v>
      </c>
      <c r="AC20" s="162">
        <f>'3FS'!AJ20</f>
        <v>0</v>
      </c>
      <c r="AD20" s="162">
        <f>'3FS'!AK20</f>
        <v>0</v>
      </c>
      <c r="AE20" s="902"/>
      <c r="AF20" s="371"/>
      <c r="AG20" s="371"/>
      <c r="AH20" s="371"/>
      <c r="AI20" s="902"/>
      <c r="AK20" s="162">
        <f>'3FS'!D20</f>
        <v>0</v>
      </c>
      <c r="AL20" s="162">
        <f>'3FS'!E20</f>
        <v>0</v>
      </c>
      <c r="AM20" s="162">
        <f>'3FS'!F20</f>
        <v>0</v>
      </c>
      <c r="AN20" s="162">
        <f>'3FS'!G20</f>
        <v>1087</v>
      </c>
      <c r="AO20" s="162">
        <f>'3FS'!H20</f>
        <v>-25</v>
      </c>
      <c r="AP20" s="162">
        <f>'3FS'!I20</f>
        <v>0</v>
      </c>
      <c r="AQ20" s="554">
        <f t="shared" si="38"/>
        <v>0</v>
      </c>
      <c r="AR20" s="554">
        <f t="shared" si="38"/>
        <v>0</v>
      </c>
      <c r="AS20" s="371"/>
    </row>
    <row r="21" spans="2:45" x14ac:dyDescent="0.2">
      <c r="B21" s="10" t="s">
        <v>22</v>
      </c>
      <c r="C21" s="137"/>
      <c r="D21" s="162">
        <f>'3FS'!K21</f>
        <v>4015</v>
      </c>
      <c r="E21" s="162">
        <f>'3FS'!L21</f>
        <v>3972</v>
      </c>
      <c r="F21" s="162">
        <f>'3FS'!M21</f>
        <v>4084</v>
      </c>
      <c r="G21" s="863">
        <f>'3FS'!N21</f>
        <v>4122</v>
      </c>
      <c r="H21" s="162">
        <f>'3FS'!O21</f>
        <v>4014</v>
      </c>
      <c r="I21" s="162">
        <f>'3FS'!P21</f>
        <v>4064</v>
      </c>
      <c r="J21" s="162">
        <f>'3FS'!Q21</f>
        <v>4150</v>
      </c>
      <c r="K21" s="863">
        <f>'3FS'!R21</f>
        <v>4219</v>
      </c>
      <c r="L21" s="162">
        <f>'3FS'!S21</f>
        <v>4289</v>
      </c>
      <c r="M21" s="162">
        <f>'3FS'!T21</f>
        <v>4077</v>
      </c>
      <c r="N21" s="162">
        <f>'3FS'!U21</f>
        <v>4145</v>
      </c>
      <c r="O21" s="863">
        <f>'3FS'!V21</f>
        <v>3872</v>
      </c>
      <c r="P21" s="162">
        <f>'3FS'!W21</f>
        <v>3585</v>
      </c>
      <c r="Q21" s="162">
        <f>'3FS'!X21</f>
        <v>3491</v>
      </c>
      <c r="R21" s="162">
        <f>'3FS'!Y21</f>
        <v>3313</v>
      </c>
      <c r="S21" s="863">
        <f>'3FS'!Z21</f>
        <v>3262</v>
      </c>
      <c r="T21" s="162">
        <f>'3FS'!AA21</f>
        <v>3203</v>
      </c>
      <c r="U21" s="162">
        <f>'3FS'!AB21</f>
        <v>3110</v>
      </c>
      <c r="V21" s="162">
        <f>'3FS'!AC21</f>
        <v>3187</v>
      </c>
      <c r="W21" s="863">
        <f>'3FS'!AD21</f>
        <v>3318</v>
      </c>
      <c r="X21" s="162">
        <f>'3FS'!AE21</f>
        <v>3371</v>
      </c>
      <c r="Y21" s="162">
        <f>'3FS'!AF21</f>
        <v>3248</v>
      </c>
      <c r="Z21" s="162">
        <f>'3FS'!AG21</f>
        <v>3151</v>
      </c>
      <c r="AA21" s="863">
        <f>'3FS'!AH21</f>
        <v>3149</v>
      </c>
      <c r="AB21" s="162">
        <f>'3FS'!AI21</f>
        <v>3198</v>
      </c>
      <c r="AC21" s="162">
        <f>'3FS'!AJ21</f>
        <v>3146</v>
      </c>
      <c r="AD21" s="162">
        <f>'3FS'!AK21</f>
        <v>3408</v>
      </c>
      <c r="AE21" s="901">
        <f t="shared" ref="AE21:AI21" si="39">+AE122</f>
        <v>3670.0321228857165</v>
      </c>
      <c r="AF21" s="554">
        <f t="shared" si="39"/>
        <v>3720.8607563039691</v>
      </c>
      <c r="AG21" s="554">
        <f t="shared" si="39"/>
        <v>3615.6245061200548</v>
      </c>
      <c r="AH21" s="554">
        <f t="shared" si="39"/>
        <v>3525.2305523928471</v>
      </c>
      <c r="AI21" s="901">
        <f t="shared" si="39"/>
        <v>3446.8784815679955</v>
      </c>
      <c r="AK21" s="162">
        <f>'3FS'!D21</f>
        <v>6616</v>
      </c>
      <c r="AL21" s="162">
        <f>'3FS'!E21</f>
        <v>14151</v>
      </c>
      <c r="AM21" s="162">
        <f>'3FS'!F21</f>
        <v>16383</v>
      </c>
      <c r="AN21" s="162">
        <f>'3FS'!G21</f>
        <v>13651</v>
      </c>
      <c r="AO21" s="162">
        <f>'3FS'!H21</f>
        <v>12818</v>
      </c>
      <c r="AP21" s="162">
        <f>'3FS'!I21</f>
        <v>12919</v>
      </c>
      <c r="AQ21" s="554">
        <f t="shared" si="38"/>
        <v>13422.032122885717</v>
      </c>
      <c r="AR21" s="554">
        <f t="shared" si="38"/>
        <v>14308.594296384867</v>
      </c>
      <c r="AS21" s="554">
        <f>+AS122</f>
        <v>14771.98306379588</v>
      </c>
    </row>
    <row r="22" spans="2:45" x14ac:dyDescent="0.2">
      <c r="B22" s="184" t="s">
        <v>23</v>
      </c>
      <c r="C22" s="190"/>
      <c r="D22" s="191">
        <f t="shared" ref="D22:AI22" si="40">+SUM(D16:D21)</f>
        <v>17991</v>
      </c>
      <c r="E22" s="191">
        <f t="shared" si="40"/>
        <v>15648</v>
      </c>
      <c r="F22" s="191">
        <f t="shared" si="40"/>
        <v>15759</v>
      </c>
      <c r="G22" s="906">
        <f t="shared" si="40"/>
        <v>16788</v>
      </c>
      <c r="H22" s="191">
        <f t="shared" si="40"/>
        <v>15762</v>
      </c>
      <c r="I22" s="191">
        <f t="shared" si="40"/>
        <v>16851</v>
      </c>
      <c r="J22" s="191">
        <f t="shared" si="40"/>
        <v>16707</v>
      </c>
      <c r="K22" s="906">
        <f t="shared" si="40"/>
        <v>18629</v>
      </c>
      <c r="L22" s="191">
        <f t="shared" si="40"/>
        <v>17620</v>
      </c>
      <c r="M22" s="191">
        <f t="shared" si="40"/>
        <v>17844</v>
      </c>
      <c r="N22" s="191">
        <f t="shared" si="40"/>
        <v>18040</v>
      </c>
      <c r="O22" s="906">
        <f t="shared" si="40"/>
        <v>19722</v>
      </c>
      <c r="P22" s="191">
        <f t="shared" si="40"/>
        <v>18314</v>
      </c>
      <c r="Q22" s="191">
        <f t="shared" si="40"/>
        <v>18992</v>
      </c>
      <c r="R22" s="191">
        <f t="shared" si="40"/>
        <v>18196</v>
      </c>
      <c r="S22" s="906">
        <f t="shared" si="40"/>
        <v>17526</v>
      </c>
      <c r="T22" s="191">
        <f t="shared" si="40"/>
        <v>16235</v>
      </c>
      <c r="U22" s="191">
        <f t="shared" si="40"/>
        <v>15403</v>
      </c>
      <c r="V22" s="191">
        <f t="shared" si="40"/>
        <v>15656</v>
      </c>
      <c r="W22" s="906">
        <f t="shared" si="40"/>
        <v>16998</v>
      </c>
      <c r="X22" s="191">
        <f t="shared" si="40"/>
        <v>15596</v>
      </c>
      <c r="Y22" s="191">
        <f t="shared" si="40"/>
        <v>15142</v>
      </c>
      <c r="Z22" s="191">
        <f t="shared" si="40"/>
        <v>15366</v>
      </c>
      <c r="AA22" s="906">
        <f t="shared" si="40"/>
        <v>17286</v>
      </c>
      <c r="AB22" s="191">
        <f t="shared" si="40"/>
        <v>16086</v>
      </c>
      <c r="AC22" s="191">
        <f t="shared" si="40"/>
        <v>15919</v>
      </c>
      <c r="AD22" s="191">
        <f t="shared" si="40"/>
        <v>17427</v>
      </c>
      <c r="AE22" s="1204">
        <f t="shared" si="40"/>
        <v>19836.151001278209</v>
      </c>
      <c r="AF22" s="1205">
        <f t="shared" si="40"/>
        <v>17600.014298508817</v>
      </c>
      <c r="AG22" s="1205">
        <f t="shared" si="40"/>
        <v>17755.152259617771</v>
      </c>
      <c r="AH22" s="1205">
        <f t="shared" si="40"/>
        <v>18298.815738560294</v>
      </c>
      <c r="AI22" s="1204">
        <f t="shared" si="40"/>
        <v>20134.655347907974</v>
      </c>
      <c r="AK22" s="191">
        <f t="shared" ref="AK22:AS22" si="41">+SUM(AK16:AK21)</f>
        <v>39276</v>
      </c>
      <c r="AL22" s="191">
        <f t="shared" si="41"/>
        <v>61761</v>
      </c>
      <c r="AM22" s="191">
        <f t="shared" si="41"/>
        <v>73226</v>
      </c>
      <c r="AN22" s="191">
        <f t="shared" si="41"/>
        <v>73028</v>
      </c>
      <c r="AO22" s="191">
        <f t="shared" si="41"/>
        <v>64292</v>
      </c>
      <c r="AP22" s="191">
        <f t="shared" si="41"/>
        <v>63390</v>
      </c>
      <c r="AQ22" s="1205">
        <f t="shared" si="41"/>
        <v>69268.151001278209</v>
      </c>
      <c r="AR22" s="1205">
        <f t="shared" si="41"/>
        <v>73788.63764459487</v>
      </c>
      <c r="AS22" s="1205">
        <f t="shared" si="41"/>
        <v>75515.452026195504</v>
      </c>
    </row>
    <row r="23" spans="2:45" s="3" customFormat="1" x14ac:dyDescent="0.2">
      <c r="B23" s="157" t="s">
        <v>24</v>
      </c>
      <c r="C23" s="139"/>
      <c r="D23" s="164">
        <f t="shared" ref="D23:AI23" si="42">+D14-D22</f>
        <v>-372</v>
      </c>
      <c r="E23" s="164">
        <f t="shared" si="42"/>
        <v>1812</v>
      </c>
      <c r="F23" s="164">
        <f t="shared" si="42"/>
        <v>1484</v>
      </c>
      <c r="G23" s="870">
        <f t="shared" si="42"/>
        <v>1497</v>
      </c>
      <c r="H23" s="164">
        <f t="shared" si="42"/>
        <v>1646</v>
      </c>
      <c r="I23" s="164">
        <f t="shared" si="42"/>
        <v>820</v>
      </c>
      <c r="J23" s="164">
        <f t="shared" si="42"/>
        <v>2565</v>
      </c>
      <c r="K23" s="870">
        <f t="shared" si="42"/>
        <v>1712</v>
      </c>
      <c r="L23" s="164">
        <f t="shared" si="42"/>
        <v>2139</v>
      </c>
      <c r="M23" s="164">
        <f t="shared" si="42"/>
        <v>2106</v>
      </c>
      <c r="N23" s="164">
        <f t="shared" si="42"/>
        <v>1584</v>
      </c>
      <c r="O23" s="870">
        <f t="shared" si="42"/>
        <v>1063</v>
      </c>
      <c r="P23" s="164">
        <f t="shared" si="42"/>
        <v>1806</v>
      </c>
      <c r="Q23" s="164">
        <f t="shared" si="42"/>
        <v>709</v>
      </c>
      <c r="R23" s="164">
        <f t="shared" si="42"/>
        <v>1281</v>
      </c>
      <c r="S23" s="870">
        <f t="shared" si="42"/>
        <v>2747</v>
      </c>
      <c r="T23" s="164">
        <f t="shared" si="42"/>
        <v>3397</v>
      </c>
      <c r="U23" s="164">
        <f t="shared" si="42"/>
        <v>3793</v>
      </c>
      <c r="V23" s="164">
        <f t="shared" si="42"/>
        <v>3596</v>
      </c>
      <c r="W23" s="870">
        <f t="shared" si="42"/>
        <v>3480</v>
      </c>
      <c r="X23" s="164">
        <f t="shared" si="42"/>
        <v>3998</v>
      </c>
      <c r="Y23" s="164">
        <f t="shared" si="42"/>
        <v>4630</v>
      </c>
      <c r="Z23" s="164">
        <f t="shared" si="42"/>
        <v>4796</v>
      </c>
      <c r="AA23" s="870">
        <f t="shared" si="42"/>
        <v>4586</v>
      </c>
      <c r="AB23" s="164">
        <f t="shared" si="42"/>
        <v>4800</v>
      </c>
      <c r="AC23" s="164">
        <f t="shared" si="42"/>
        <v>5213</v>
      </c>
      <c r="AD23" s="164">
        <f t="shared" si="42"/>
        <v>4530</v>
      </c>
      <c r="AE23" s="1152">
        <f t="shared" si="42"/>
        <v>4036.3442783097198</v>
      </c>
      <c r="AF23" s="525">
        <f t="shared" si="42"/>
        <v>4950.2703791280146</v>
      </c>
      <c r="AG23" s="525">
        <f t="shared" si="42"/>
        <v>5405.7175763891828</v>
      </c>
      <c r="AH23" s="525">
        <f t="shared" si="42"/>
        <v>5173.5303108416738</v>
      </c>
      <c r="AI23" s="1152">
        <f t="shared" si="42"/>
        <v>5099.1664466193288</v>
      </c>
      <c r="AK23" s="164">
        <f t="shared" ref="AK23:AS23" si="43">+AK14-AK22</f>
        <v>5722</v>
      </c>
      <c r="AL23" s="164">
        <f t="shared" si="43"/>
        <v>6636</v>
      </c>
      <c r="AM23" s="164">
        <f t="shared" si="43"/>
        <v>6892</v>
      </c>
      <c r="AN23" s="164">
        <f t="shared" si="43"/>
        <v>6543</v>
      </c>
      <c r="AO23" s="164">
        <f t="shared" si="43"/>
        <v>14266</v>
      </c>
      <c r="AP23" s="164">
        <f t="shared" si="43"/>
        <v>18010</v>
      </c>
      <c r="AQ23" s="525">
        <f t="shared" si="43"/>
        <v>18579.344278309713</v>
      </c>
      <c r="AR23" s="525">
        <f t="shared" si="43"/>
        <v>20628.684712978196</v>
      </c>
      <c r="AS23" s="525">
        <f t="shared" si="43"/>
        <v>23736.334888768208</v>
      </c>
    </row>
    <row r="24" spans="2:45" x14ac:dyDescent="0.2">
      <c r="B24" s="14" t="s">
        <v>25</v>
      </c>
      <c r="C24" s="139"/>
      <c r="D24" s="162"/>
      <c r="E24" s="162"/>
      <c r="F24" s="162"/>
      <c r="G24" s="863"/>
      <c r="H24" s="162"/>
      <c r="I24" s="162"/>
      <c r="J24" s="162"/>
      <c r="K24" s="863"/>
      <c r="L24" s="162"/>
      <c r="M24" s="162"/>
      <c r="N24" s="162"/>
      <c r="O24" s="863"/>
      <c r="P24" s="162"/>
      <c r="Q24" s="162"/>
      <c r="R24" s="162"/>
      <c r="S24" s="863"/>
      <c r="T24" s="162"/>
      <c r="U24" s="162"/>
      <c r="V24" s="162"/>
      <c r="W24" s="863"/>
      <c r="X24" s="162"/>
      <c r="Y24" s="162"/>
      <c r="Z24" s="162"/>
      <c r="AA24" s="863"/>
      <c r="AB24" s="162"/>
      <c r="AC24" s="162"/>
      <c r="AD24" s="162"/>
      <c r="AE24" s="902"/>
      <c r="AF24" s="371"/>
      <c r="AG24" s="371"/>
      <c r="AH24" s="371"/>
      <c r="AI24" s="902"/>
      <c r="AK24" s="162"/>
      <c r="AL24" s="162"/>
      <c r="AM24" s="162"/>
      <c r="AN24" s="162"/>
      <c r="AO24" s="162"/>
      <c r="AP24" s="162"/>
      <c r="AQ24" s="371"/>
      <c r="AR24" s="371"/>
      <c r="AS24" s="371"/>
    </row>
    <row r="25" spans="2:45" x14ac:dyDescent="0.2">
      <c r="B25" s="10" t="s">
        <v>26</v>
      </c>
      <c r="C25" s="137"/>
      <c r="D25" s="162">
        <f>'3FS'!K25</f>
        <v>-828</v>
      </c>
      <c r="E25" s="162">
        <f>'3FS'!L25</f>
        <v>-819</v>
      </c>
      <c r="F25" s="162">
        <f>'3FS'!M25</f>
        <v>-830</v>
      </c>
      <c r="G25" s="863">
        <f>'3FS'!N25</f>
        <v>-827</v>
      </c>
      <c r="H25" s="162">
        <f>'3FS'!O25</f>
        <v>-804</v>
      </c>
      <c r="I25" s="162">
        <f>'3FS'!P25</f>
        <v>-833</v>
      </c>
      <c r="J25" s="162">
        <f>'3FS'!Q25</f>
        <v>-806</v>
      </c>
      <c r="K25" s="863">
        <f>'3FS'!R25</f>
        <v>-790</v>
      </c>
      <c r="L25" s="162">
        <f>'3FS'!S25</f>
        <v>-835</v>
      </c>
      <c r="M25" s="162">
        <f>'3FS'!T25</f>
        <v>-850</v>
      </c>
      <c r="N25" s="162">
        <f>'3FS'!U25</f>
        <v>-836</v>
      </c>
      <c r="O25" s="863">
        <f>'3FS'!V25</f>
        <v>-821</v>
      </c>
      <c r="P25" s="162">
        <f>'3FS'!W25</f>
        <v>-864</v>
      </c>
      <c r="Q25" s="162">
        <f>'3FS'!X25</f>
        <v>-851</v>
      </c>
      <c r="R25" s="162">
        <f>'3FS'!Y25</f>
        <v>-827</v>
      </c>
      <c r="S25" s="863">
        <f>'3FS'!Z25</f>
        <v>-822</v>
      </c>
      <c r="T25" s="162">
        <f>'3FS'!AA25</f>
        <v>-835</v>
      </c>
      <c r="U25" s="162">
        <f>'3FS'!AB25</f>
        <v>-861</v>
      </c>
      <c r="V25" s="162">
        <f>'3FS'!AC25</f>
        <v>-790</v>
      </c>
      <c r="W25" s="863">
        <f>'3FS'!AD25</f>
        <v>-849</v>
      </c>
      <c r="X25" s="162">
        <f>'3FS'!AE25</f>
        <v>-880</v>
      </c>
      <c r="Y25" s="162">
        <f>'3FS'!AF25</f>
        <v>-854</v>
      </c>
      <c r="Z25" s="162">
        <f>'3FS'!AG25</f>
        <v>-836</v>
      </c>
      <c r="AA25" s="863">
        <f>'3FS'!AH25</f>
        <v>-841</v>
      </c>
      <c r="AB25" s="162">
        <f>'3FS'!AI25</f>
        <v>-916</v>
      </c>
      <c r="AC25" s="162">
        <f>'3FS'!AJ25</f>
        <v>-922</v>
      </c>
      <c r="AD25" s="162">
        <f>'3FS'!AK25</f>
        <v>-924</v>
      </c>
      <c r="AE25" s="902">
        <f>+'BS Drivers'!AE107</f>
        <v>-1014.6249464217237</v>
      </c>
      <c r="AF25" s="371">
        <f>+'BS Drivers'!AF107</f>
        <v>-957.77247821602327</v>
      </c>
      <c r="AG25" s="371">
        <f>+'BS Drivers'!AG107</f>
        <v>-968.96248713336445</v>
      </c>
      <c r="AH25" s="371">
        <f>+'BS Drivers'!AH107</f>
        <v>-998.72283828119964</v>
      </c>
      <c r="AI25" s="902">
        <f>+'BS Drivers'!AI107</f>
        <v>-1024.3196510173768</v>
      </c>
      <c r="AK25" s="162">
        <f>'3FS'!D25</f>
        <v>-1111</v>
      </c>
      <c r="AL25" s="162">
        <f>'3FS'!E25</f>
        <v>-2701</v>
      </c>
      <c r="AM25" s="162">
        <f>'3FS'!F25</f>
        <v>-3342</v>
      </c>
      <c r="AN25" s="162">
        <f>'3FS'!G25</f>
        <v>-3364</v>
      </c>
      <c r="AO25" s="162">
        <f>'3FS'!H25</f>
        <v>-3335</v>
      </c>
      <c r="AP25" s="162">
        <f>'3FS'!I25</f>
        <v>-3411</v>
      </c>
      <c r="AQ25" s="554">
        <f t="shared" ref="AQ25:AR26" si="44">SUMIFS($F25:$AI25,$F$3:$AI$3,AQ$3)</f>
        <v>-3776.6249464217235</v>
      </c>
      <c r="AR25" s="554">
        <f t="shared" si="44"/>
        <v>-3949.7774546479641</v>
      </c>
      <c r="AS25" s="371">
        <f>+'BS Drivers'!AS107</f>
        <v>-4240.0516674351875</v>
      </c>
    </row>
    <row r="26" spans="2:45" x14ac:dyDescent="0.2">
      <c r="B26" s="16" t="s">
        <v>27</v>
      </c>
      <c r="C26" s="155"/>
      <c r="D26" s="162">
        <f>'3FS'!K26</f>
        <v>1</v>
      </c>
      <c r="E26" s="162">
        <f>'3FS'!L26</f>
        <v>-24</v>
      </c>
      <c r="F26" s="162">
        <f>'3FS'!M26</f>
        <v>1</v>
      </c>
      <c r="G26" s="863">
        <f>'3FS'!N26</f>
        <v>-20</v>
      </c>
      <c r="H26" s="162">
        <f>'3FS'!O26</f>
        <v>-19</v>
      </c>
      <c r="I26" s="162">
        <f>'3FS'!P26</f>
        <v>-195</v>
      </c>
      <c r="J26" s="162">
        <f>'3FS'!Q26</f>
        <v>-99</v>
      </c>
      <c r="K26" s="863">
        <f>'3FS'!R26</f>
        <v>-101</v>
      </c>
      <c r="L26" s="162">
        <f>'3FS'!S26</f>
        <v>-125</v>
      </c>
      <c r="M26" s="162">
        <f>'3FS'!T26</f>
        <v>-1</v>
      </c>
      <c r="N26" s="162">
        <f>'3FS'!U26</f>
        <v>-60</v>
      </c>
      <c r="O26" s="863">
        <f>'3FS'!V26</f>
        <v>-13</v>
      </c>
      <c r="P26" s="162">
        <f>'3FS'!W26</f>
        <v>-11</v>
      </c>
      <c r="Q26" s="162">
        <f>'3FS'!X26</f>
        <v>-21</v>
      </c>
      <c r="R26" s="162">
        <f>'3FS'!Y26</f>
        <v>-3</v>
      </c>
      <c r="S26" s="863">
        <f>'3FS'!Z26</f>
        <v>2</v>
      </c>
      <c r="T26" s="162">
        <f>'3FS'!AA26</f>
        <v>9</v>
      </c>
      <c r="U26" s="162">
        <f>'3FS'!AB26</f>
        <v>6</v>
      </c>
      <c r="V26" s="162">
        <f>'3FS'!AC26</f>
        <v>41</v>
      </c>
      <c r="W26" s="863">
        <f>'3FS'!AD26</f>
        <v>12</v>
      </c>
      <c r="X26" s="162">
        <f>'3FS'!AE26</f>
        <v>20</v>
      </c>
      <c r="Y26" s="162">
        <f>'3FS'!AF26</f>
        <v>-8</v>
      </c>
      <c r="Z26" s="162">
        <f>'3FS'!AG26</f>
        <v>7</v>
      </c>
      <c r="AA26" s="863">
        <f>'3FS'!AH26</f>
        <v>94</v>
      </c>
      <c r="AB26" s="162">
        <f>'3FS'!AI26</f>
        <v>-46</v>
      </c>
      <c r="AC26" s="162">
        <f>'3FS'!AJ26</f>
        <v>-11</v>
      </c>
      <c r="AD26" s="162">
        <f>'3FS'!AK26</f>
        <v>-78</v>
      </c>
      <c r="AE26" s="902">
        <f>AD26</f>
        <v>-78</v>
      </c>
      <c r="AF26" s="371">
        <f>AVERAGE(AB26:AE26)</f>
        <v>-53.25</v>
      </c>
      <c r="AG26" s="371">
        <f t="shared" ref="AG26:AI26" si="45">AF26</f>
        <v>-53.25</v>
      </c>
      <c r="AH26" s="371">
        <f t="shared" si="45"/>
        <v>-53.25</v>
      </c>
      <c r="AI26" s="902">
        <f t="shared" si="45"/>
        <v>-53.25</v>
      </c>
      <c r="AK26" s="162">
        <f>'3FS'!D26</f>
        <v>-8</v>
      </c>
      <c r="AL26" s="162">
        <f>'3FS'!E26</f>
        <v>-405</v>
      </c>
      <c r="AM26" s="162">
        <f>'3FS'!F26</f>
        <v>-199</v>
      </c>
      <c r="AN26" s="162">
        <f>'3FS'!G26</f>
        <v>-33</v>
      </c>
      <c r="AO26" s="162">
        <f>'3FS'!H26</f>
        <v>68</v>
      </c>
      <c r="AP26" s="162">
        <f>'3FS'!I26</f>
        <v>113</v>
      </c>
      <c r="AQ26" s="554">
        <f t="shared" si="44"/>
        <v>-213</v>
      </c>
      <c r="AR26" s="554">
        <f t="shared" si="44"/>
        <v>-213</v>
      </c>
      <c r="AS26" s="371">
        <f>AR26</f>
        <v>-213</v>
      </c>
    </row>
    <row r="27" spans="2:45" x14ac:dyDescent="0.2">
      <c r="B27" s="184" t="s">
        <v>28</v>
      </c>
      <c r="C27" s="190"/>
      <c r="D27" s="191">
        <f t="shared" ref="D27:F27" si="46">+SUM(D25:D26)</f>
        <v>-827</v>
      </c>
      <c r="E27" s="191">
        <f t="shared" si="46"/>
        <v>-843</v>
      </c>
      <c r="F27" s="191">
        <f t="shared" si="46"/>
        <v>-829</v>
      </c>
      <c r="G27" s="906">
        <f t="shared" ref="G27" si="47">+SUM(G25:G26)</f>
        <v>-847</v>
      </c>
      <c r="H27" s="191">
        <f t="shared" ref="H27" si="48">+SUM(H25:H26)</f>
        <v>-823</v>
      </c>
      <c r="I27" s="191">
        <f t="shared" ref="I27" si="49">+SUM(I25:I26)</f>
        <v>-1028</v>
      </c>
      <c r="J27" s="191">
        <f t="shared" ref="J27" si="50">+SUM(J25:J26)</f>
        <v>-905</v>
      </c>
      <c r="K27" s="906">
        <f t="shared" ref="K27" si="51">+SUM(K25:K26)</f>
        <v>-891</v>
      </c>
      <c r="L27" s="191">
        <f t="shared" ref="L27" si="52">+SUM(L25:L26)</f>
        <v>-960</v>
      </c>
      <c r="M27" s="191">
        <f t="shared" ref="M27" si="53">+SUM(M25:M26)</f>
        <v>-851</v>
      </c>
      <c r="N27" s="191">
        <f t="shared" ref="N27" si="54">+SUM(N25:N26)</f>
        <v>-896</v>
      </c>
      <c r="O27" s="906">
        <f t="shared" ref="O27" si="55">+SUM(O25:O26)</f>
        <v>-834</v>
      </c>
      <c r="P27" s="191">
        <f t="shared" ref="P27" si="56">+SUM(P25:P26)</f>
        <v>-875</v>
      </c>
      <c r="Q27" s="191">
        <f t="shared" ref="Q27" si="57">+SUM(Q25:Q26)</f>
        <v>-872</v>
      </c>
      <c r="R27" s="191">
        <f t="shared" ref="R27" si="58">+SUM(R25:R26)</f>
        <v>-830</v>
      </c>
      <c r="S27" s="906">
        <f t="shared" ref="S27" si="59">+SUM(S25:S26)</f>
        <v>-820</v>
      </c>
      <c r="T27" s="191">
        <f t="shared" ref="T27" si="60">+SUM(T25:T26)</f>
        <v>-826</v>
      </c>
      <c r="U27" s="191">
        <f t="shared" ref="U27" si="61">+SUM(U25:U26)</f>
        <v>-855</v>
      </c>
      <c r="V27" s="191">
        <f t="shared" ref="V27" si="62">+SUM(V25:V26)</f>
        <v>-749</v>
      </c>
      <c r="W27" s="906">
        <f t="shared" ref="W27" si="63">+SUM(W25:W26)</f>
        <v>-837</v>
      </c>
      <c r="X27" s="191">
        <f t="shared" ref="X27" si="64">+SUM(X25:X26)</f>
        <v>-860</v>
      </c>
      <c r="Y27" s="191">
        <f t="shared" ref="Y27" si="65">+SUM(Y25:Y26)</f>
        <v>-862</v>
      </c>
      <c r="Z27" s="191">
        <f t="shared" ref="Z27:AA27" si="66">+SUM(Z25:Z26)</f>
        <v>-829</v>
      </c>
      <c r="AA27" s="906">
        <f t="shared" si="66"/>
        <v>-747</v>
      </c>
      <c r="AB27" s="191">
        <f t="shared" ref="AB27:AC27" si="67">+SUM(AB25:AB26)</f>
        <v>-962</v>
      </c>
      <c r="AC27" s="191">
        <f t="shared" si="67"/>
        <v>-933</v>
      </c>
      <c r="AD27" s="191">
        <f t="shared" ref="AD27" si="68">+SUM(AD25:AD26)</f>
        <v>-1002</v>
      </c>
      <c r="AE27" s="1204">
        <f t="shared" ref="AE27" si="69">+SUM(AE25:AE26)</f>
        <v>-1092.6249464217237</v>
      </c>
      <c r="AF27" s="1205">
        <f t="shared" ref="AF27" si="70">+SUM(AF25:AF26)</f>
        <v>-1011.0224782160233</v>
      </c>
      <c r="AG27" s="1205">
        <f t="shared" ref="AG27" si="71">+SUM(AG25:AG26)</f>
        <v>-1022.2124871333644</v>
      </c>
      <c r="AH27" s="1205">
        <f t="shared" ref="AH27" si="72">+SUM(AH25:AH26)</f>
        <v>-1051.9728382811995</v>
      </c>
      <c r="AI27" s="1204">
        <f t="shared" ref="AI27" si="73">+SUM(AI25:AI26)</f>
        <v>-1077.5696510173768</v>
      </c>
      <c r="AK27" s="191">
        <f t="shared" ref="AK27:AO27" si="74">+SUM(AK25:AK26)</f>
        <v>-1119</v>
      </c>
      <c r="AL27" s="191">
        <f t="shared" si="74"/>
        <v>-3106</v>
      </c>
      <c r="AM27" s="191">
        <f t="shared" si="74"/>
        <v>-3541</v>
      </c>
      <c r="AN27" s="191">
        <f t="shared" si="74"/>
        <v>-3397</v>
      </c>
      <c r="AO27" s="191">
        <f t="shared" si="74"/>
        <v>-3267</v>
      </c>
      <c r="AP27" s="191">
        <f t="shared" ref="AP27" si="75">+SUM(AP25:AP26)</f>
        <v>-3298</v>
      </c>
      <c r="AQ27" s="1205">
        <f t="shared" ref="AQ27" si="76">+SUM(AQ25:AQ26)</f>
        <v>-3989.6249464217235</v>
      </c>
      <c r="AR27" s="1205">
        <f t="shared" ref="AR27" si="77">+SUM(AR25:AR26)</f>
        <v>-4162.7774546479641</v>
      </c>
      <c r="AS27" s="1205">
        <f t="shared" ref="AS27" si="78">+SUM(AS25:AS26)</f>
        <v>-4453.0516674351875</v>
      </c>
    </row>
    <row r="28" spans="2:45" x14ac:dyDescent="0.2">
      <c r="B28" s="104" t="s">
        <v>29</v>
      </c>
      <c r="C28" s="156"/>
      <c r="D28" s="163">
        <f t="shared" ref="D28:F28" si="79">+D27+D23</f>
        <v>-1199</v>
      </c>
      <c r="E28" s="163">
        <f t="shared" si="79"/>
        <v>969</v>
      </c>
      <c r="F28" s="163">
        <f t="shared" si="79"/>
        <v>655</v>
      </c>
      <c r="G28" s="865">
        <f t="shared" ref="G28" si="80">+G27+G23</f>
        <v>650</v>
      </c>
      <c r="H28" s="163">
        <f t="shared" ref="H28" si="81">+H27+H23</f>
        <v>823</v>
      </c>
      <c r="I28" s="163">
        <f t="shared" ref="I28" si="82">+I27+I23</f>
        <v>-208</v>
      </c>
      <c r="J28" s="163">
        <f t="shared" ref="J28" si="83">+J27+J23</f>
        <v>1660</v>
      </c>
      <c r="K28" s="865">
        <f t="shared" ref="K28" si="84">+K27+K23</f>
        <v>821</v>
      </c>
      <c r="L28" s="163">
        <f t="shared" ref="L28" si="85">+L27+L23</f>
        <v>1179</v>
      </c>
      <c r="M28" s="163">
        <f t="shared" ref="M28" si="86">+M27+M23</f>
        <v>1255</v>
      </c>
      <c r="N28" s="163">
        <f t="shared" ref="N28" si="87">+N27+N23</f>
        <v>688</v>
      </c>
      <c r="O28" s="865">
        <f t="shared" ref="O28" si="88">+O27+O23</f>
        <v>229</v>
      </c>
      <c r="P28" s="163">
        <f t="shared" ref="P28" si="89">+P27+P23</f>
        <v>931</v>
      </c>
      <c r="Q28" s="163">
        <f t="shared" ref="Q28" si="90">+Q27+Q23</f>
        <v>-163</v>
      </c>
      <c r="R28" s="163">
        <f t="shared" ref="R28" si="91">+R27+R23</f>
        <v>451</v>
      </c>
      <c r="S28" s="865">
        <f t="shared" ref="S28" si="92">+S27+S23</f>
        <v>1927</v>
      </c>
      <c r="T28" s="163">
        <f t="shared" ref="T28" si="93">+T27+T23</f>
        <v>2571</v>
      </c>
      <c r="U28" s="163">
        <f t="shared" ref="U28" si="94">+U27+U23</f>
        <v>2938</v>
      </c>
      <c r="V28" s="163">
        <f t="shared" ref="V28" si="95">+V27+V23</f>
        <v>2847</v>
      </c>
      <c r="W28" s="865">
        <f t="shared" ref="W28" si="96">+W27+W23</f>
        <v>2643</v>
      </c>
      <c r="X28" s="163">
        <f t="shared" ref="X28" si="97">+X27+X23</f>
        <v>3138</v>
      </c>
      <c r="Y28" s="163">
        <f t="shared" ref="Y28" si="98">+Y27+Y23</f>
        <v>3768</v>
      </c>
      <c r="Z28" s="163">
        <f t="shared" ref="Z28:AA28" si="99">+Z27+Z23</f>
        <v>3967</v>
      </c>
      <c r="AA28" s="865">
        <f t="shared" si="99"/>
        <v>3839</v>
      </c>
      <c r="AB28" s="163">
        <f t="shared" ref="AB28:AC28" si="100">+AB27+AB23</f>
        <v>3838</v>
      </c>
      <c r="AC28" s="163">
        <f t="shared" si="100"/>
        <v>4280</v>
      </c>
      <c r="AD28" s="163">
        <f t="shared" ref="AD28" si="101">+AD27+AD23</f>
        <v>3528</v>
      </c>
      <c r="AE28" s="901">
        <f t="shared" ref="AE28" si="102">+AE27+AE23</f>
        <v>2943.7193318879963</v>
      </c>
      <c r="AF28" s="554">
        <f t="shared" ref="AF28" si="103">+AF27+AF23</f>
        <v>3939.2479009119916</v>
      </c>
      <c r="AG28" s="554">
        <f t="shared" ref="AG28" si="104">+AG27+AG23</f>
        <v>4383.5050892558183</v>
      </c>
      <c r="AH28" s="554">
        <f t="shared" ref="AH28" si="105">+AH27+AH23</f>
        <v>4121.5574725604747</v>
      </c>
      <c r="AI28" s="901">
        <f t="shared" ref="AI28" si="106">+AI27+AI23</f>
        <v>4021.5967956019522</v>
      </c>
      <c r="AK28" s="163">
        <f t="shared" ref="AK28:AO28" si="107">+AK27+AK23</f>
        <v>4603</v>
      </c>
      <c r="AL28" s="163">
        <f t="shared" si="107"/>
        <v>3530</v>
      </c>
      <c r="AM28" s="163">
        <f t="shared" si="107"/>
        <v>3351</v>
      </c>
      <c r="AN28" s="163">
        <f t="shared" si="107"/>
        <v>3146</v>
      </c>
      <c r="AO28" s="163">
        <f t="shared" si="107"/>
        <v>10999</v>
      </c>
      <c r="AP28" s="163">
        <f t="shared" ref="AP28" si="108">+AP27+AP23</f>
        <v>14712</v>
      </c>
      <c r="AQ28" s="554">
        <f t="shared" ref="AQ28" si="109">+AQ27+AQ23</f>
        <v>14589.719331887989</v>
      </c>
      <c r="AR28" s="554">
        <f t="shared" ref="AR28" si="110">+AR27+AR23</f>
        <v>16465.907258330233</v>
      </c>
      <c r="AS28" s="554">
        <f t="shared" ref="AS28" si="111">+AS27+AS23</f>
        <v>19283.283221333018</v>
      </c>
    </row>
    <row r="29" spans="2:45" x14ac:dyDescent="0.2">
      <c r="B29" s="16" t="s">
        <v>30</v>
      </c>
      <c r="C29" s="155"/>
      <c r="D29" s="162">
        <f>'3FS'!K29</f>
        <v>-164</v>
      </c>
      <c r="E29" s="162">
        <f>'3FS'!L29</f>
        <v>-241</v>
      </c>
      <c r="F29" s="162">
        <f>'3FS'!M29</f>
        <v>-204</v>
      </c>
      <c r="G29" s="863">
        <f>'3FS'!N29</f>
        <v>143</v>
      </c>
      <c r="H29" s="162">
        <f>'3FS'!O29</f>
        <v>282</v>
      </c>
      <c r="I29" s="162">
        <f>'3FS'!P29</f>
        <v>-2</v>
      </c>
      <c r="J29" s="162">
        <f>'3FS'!Q29</f>
        <v>-407</v>
      </c>
      <c r="K29" s="863">
        <f>'3FS'!R29</f>
        <v>-71</v>
      </c>
      <c r="L29" s="162">
        <f>'3FS'!S29</f>
        <v>-246</v>
      </c>
      <c r="M29" s="162">
        <f>'3FS'!T29</f>
        <v>-277</v>
      </c>
      <c r="N29" s="162">
        <f>'3FS'!U29</f>
        <v>3</v>
      </c>
      <c r="O29" s="863">
        <f>'3FS'!V29</f>
        <v>193</v>
      </c>
      <c r="P29" s="162">
        <f>'3FS'!W29</f>
        <v>-218</v>
      </c>
      <c r="Q29" s="162">
        <f>'3FS'!X29</f>
        <v>55</v>
      </c>
      <c r="R29" s="162">
        <f>'3FS'!Y29</f>
        <v>57</v>
      </c>
      <c r="S29" s="863">
        <f>'3FS'!Z29</f>
        <v>-450</v>
      </c>
      <c r="T29" s="162">
        <f>'3FS'!AA29</f>
        <v>-631</v>
      </c>
      <c r="U29" s="162">
        <f>'3FS'!AB29</f>
        <v>-717</v>
      </c>
      <c r="V29" s="162">
        <f>'3FS'!AC29</f>
        <v>-705</v>
      </c>
      <c r="W29" s="863">
        <f>'3FS'!AD29</f>
        <v>-629</v>
      </c>
      <c r="X29" s="162">
        <f>'3FS'!AE29</f>
        <v>-764</v>
      </c>
      <c r="Y29" s="162">
        <f>'3FS'!AF29</f>
        <v>-843</v>
      </c>
      <c r="Z29" s="162">
        <f>'3FS'!AG29</f>
        <v>-908</v>
      </c>
      <c r="AA29" s="863">
        <f>'3FS'!AH29</f>
        <v>-858</v>
      </c>
      <c r="AB29" s="162">
        <f>'3FS'!AI29</f>
        <v>-885</v>
      </c>
      <c r="AC29" s="162">
        <f>'3FS'!AJ29</f>
        <v>-1058</v>
      </c>
      <c r="AD29" s="162">
        <f>'3FS'!AK29</f>
        <v>-814</v>
      </c>
      <c r="AE29" s="902">
        <f>'BS Drivers'!AE123</f>
        <v>-679.19147850250249</v>
      </c>
      <c r="AF29" s="371">
        <f>'BS Drivers'!AF123</f>
        <v>-908.88542838502303</v>
      </c>
      <c r="AG29" s="371">
        <f>'BS Drivers'!AG123</f>
        <v>-1011.3869451967789</v>
      </c>
      <c r="AH29" s="371">
        <f>'BS Drivers'!AH123</f>
        <v>-950.94891798872629</v>
      </c>
      <c r="AI29" s="902">
        <f>'BS Drivers'!AI123</f>
        <v>-927.8854284637157</v>
      </c>
      <c r="AK29" s="162">
        <f>'3FS'!D29</f>
        <v>-1135</v>
      </c>
      <c r="AL29" s="162">
        <f>'3FS'!E29</f>
        <v>-786</v>
      </c>
      <c r="AM29" s="162">
        <f>'3FS'!F29</f>
        <v>-327</v>
      </c>
      <c r="AN29" s="162">
        <f>'3FS'!G29</f>
        <v>-556</v>
      </c>
      <c r="AO29" s="162">
        <f>'3FS'!H29</f>
        <v>-2682</v>
      </c>
      <c r="AP29" s="162">
        <f>'3FS'!I29</f>
        <v>-3373</v>
      </c>
      <c r="AQ29" s="554">
        <f t="shared" ref="AQ29:AR29" si="112">SUMIFS($F29:$AI29,$F$3:$AI$3,AQ$3)</f>
        <v>-3436.1914785025024</v>
      </c>
      <c r="AR29" s="554">
        <f t="shared" si="112"/>
        <v>-3799.1067200342441</v>
      </c>
      <c r="AS29" s="371">
        <f>'BS Drivers'!AS123</f>
        <v>-4449.1475459651592</v>
      </c>
    </row>
    <row r="30" spans="2:45" x14ac:dyDescent="0.2">
      <c r="B30" s="188" t="s">
        <v>181</v>
      </c>
      <c r="C30" s="183"/>
      <c r="D30" s="189">
        <f t="shared" ref="D30:E30" si="113">+D29+D28</f>
        <v>-1363</v>
      </c>
      <c r="E30" s="189">
        <f t="shared" si="113"/>
        <v>728</v>
      </c>
      <c r="F30" s="189">
        <f t="shared" ref="F30:Y30" si="114">+F29+F28</f>
        <v>451</v>
      </c>
      <c r="G30" s="907">
        <f t="shared" si="114"/>
        <v>793</v>
      </c>
      <c r="H30" s="189">
        <f t="shared" si="114"/>
        <v>1105</v>
      </c>
      <c r="I30" s="189">
        <f t="shared" si="114"/>
        <v>-210</v>
      </c>
      <c r="J30" s="189">
        <f t="shared" si="114"/>
        <v>1253</v>
      </c>
      <c r="K30" s="907">
        <f t="shared" si="114"/>
        <v>750</v>
      </c>
      <c r="L30" s="189">
        <f t="shared" si="114"/>
        <v>933</v>
      </c>
      <c r="M30" s="189">
        <f t="shared" si="114"/>
        <v>978</v>
      </c>
      <c r="N30" s="189">
        <f t="shared" si="114"/>
        <v>691</v>
      </c>
      <c r="O30" s="907">
        <f t="shared" si="114"/>
        <v>422</v>
      </c>
      <c r="P30" s="189">
        <f t="shared" si="114"/>
        <v>713</v>
      </c>
      <c r="Q30" s="189">
        <f t="shared" si="114"/>
        <v>-108</v>
      </c>
      <c r="R30" s="189">
        <f t="shared" si="114"/>
        <v>508</v>
      </c>
      <c r="S30" s="907">
        <f t="shared" si="114"/>
        <v>1477</v>
      </c>
      <c r="T30" s="189">
        <f t="shared" si="114"/>
        <v>1940</v>
      </c>
      <c r="U30" s="189">
        <f t="shared" si="114"/>
        <v>2221</v>
      </c>
      <c r="V30" s="189">
        <f t="shared" si="114"/>
        <v>2142</v>
      </c>
      <c r="W30" s="907">
        <f t="shared" si="114"/>
        <v>2014</v>
      </c>
      <c r="X30" s="189">
        <f t="shared" si="114"/>
        <v>2374</v>
      </c>
      <c r="Y30" s="189">
        <f t="shared" si="114"/>
        <v>2925</v>
      </c>
      <c r="Z30" s="189">
        <f t="shared" ref="Z30:AA30" si="115">+Z29+Z28</f>
        <v>3059</v>
      </c>
      <c r="AA30" s="907">
        <f t="shared" si="115"/>
        <v>2981</v>
      </c>
      <c r="AB30" s="189">
        <f t="shared" ref="AB30:AC30" si="116">+AB29+AB28</f>
        <v>2953</v>
      </c>
      <c r="AC30" s="189">
        <f t="shared" si="116"/>
        <v>3222</v>
      </c>
      <c r="AD30" s="189">
        <f t="shared" ref="AD30" si="117">+AD29+AD28</f>
        <v>2714</v>
      </c>
      <c r="AE30" s="1206">
        <f t="shared" ref="AE30" si="118">+AE29+AE28</f>
        <v>2264.5278533854939</v>
      </c>
      <c r="AF30" s="1207">
        <f t="shared" ref="AF30" si="119">+AF29+AF28</f>
        <v>3030.3624725269683</v>
      </c>
      <c r="AG30" s="1207">
        <f t="shared" ref="AG30" si="120">+AG29+AG28</f>
        <v>3372.1181440590394</v>
      </c>
      <c r="AH30" s="1207">
        <f t="shared" ref="AH30" si="121">+AH29+AH28</f>
        <v>3170.6085545717483</v>
      </c>
      <c r="AI30" s="1206">
        <f t="shared" ref="AI30" si="122">+AI29+AI28</f>
        <v>3093.7113671382367</v>
      </c>
      <c r="AK30" s="189">
        <f t="shared" ref="AK30:AO30" si="123">+AK29+AK28</f>
        <v>3468</v>
      </c>
      <c r="AL30" s="189">
        <f t="shared" si="123"/>
        <v>2744</v>
      </c>
      <c r="AM30" s="189">
        <f t="shared" si="123"/>
        <v>3024</v>
      </c>
      <c r="AN30" s="189">
        <f t="shared" si="123"/>
        <v>2590</v>
      </c>
      <c r="AO30" s="189">
        <f t="shared" si="123"/>
        <v>8317</v>
      </c>
      <c r="AP30" s="189">
        <f t="shared" ref="AP30" si="124">+AP29+AP28</f>
        <v>11339</v>
      </c>
      <c r="AQ30" s="1207">
        <f t="shared" ref="AQ30" si="125">+AQ29+AQ28</f>
        <v>11153.527853385487</v>
      </c>
      <c r="AR30" s="1207">
        <f t="shared" ref="AR30" si="126">+AR29+AR28</f>
        <v>12666.800538295989</v>
      </c>
      <c r="AS30" s="1207">
        <f t="shared" ref="AS30" si="127">+AS29+AS28</f>
        <v>14834.135675367859</v>
      </c>
    </row>
    <row r="31" spans="2:45" x14ac:dyDescent="0.2">
      <c r="B31" s="166" t="s">
        <v>182</v>
      </c>
      <c r="C31" s="155"/>
      <c r="D31" s="162">
        <f>'3FS'!K31</f>
        <v>423</v>
      </c>
      <c r="E31" s="162">
        <f>'3FS'!L31</f>
        <v>423</v>
      </c>
      <c r="F31" s="162">
        <f>'3FS'!M31</f>
        <v>393</v>
      </c>
      <c r="G31" s="863">
        <f>'3FS'!N31</f>
        <v>355</v>
      </c>
      <c r="H31" s="162">
        <f>'3FS'!O31</f>
        <v>357</v>
      </c>
      <c r="I31" s="162">
        <f>'3FS'!P31</f>
        <v>320</v>
      </c>
      <c r="J31" s="162">
        <f>'3FS'!Q31</f>
        <v>0</v>
      </c>
      <c r="K31" s="863">
        <f>'3FS'!R31</f>
        <v>0</v>
      </c>
      <c r="L31" s="162">
        <f>'3FS'!S31</f>
        <v>0</v>
      </c>
      <c r="M31" s="162">
        <f>'3FS'!T31</f>
        <v>0</v>
      </c>
      <c r="N31" s="162">
        <f>'3FS'!U31</f>
        <v>0</v>
      </c>
      <c r="O31" s="863">
        <f>'3FS'!V31</f>
        <v>0</v>
      </c>
      <c r="P31" s="162">
        <f>'3FS'!W31</f>
        <v>0</v>
      </c>
      <c r="Q31" s="162">
        <f>'3FS'!X31</f>
        <v>0</v>
      </c>
      <c r="R31" s="162">
        <f>'3FS'!Y31</f>
        <v>0</v>
      </c>
      <c r="S31" s="863">
        <f>'3FS'!Z31</f>
        <v>0</v>
      </c>
      <c r="T31" s="162">
        <f>'3FS'!AA31</f>
        <v>0</v>
      </c>
      <c r="U31" s="162">
        <f>'3FS'!AB31</f>
        <v>0</v>
      </c>
      <c r="V31" s="162">
        <f>'3FS'!AC31</f>
        <v>0</v>
      </c>
      <c r="W31" s="863">
        <f>'3FS'!AD31</f>
        <v>0</v>
      </c>
      <c r="X31" s="162">
        <f>'3FS'!AE31</f>
        <v>0</v>
      </c>
      <c r="Y31" s="162">
        <f>'3FS'!AF31</f>
        <v>0</v>
      </c>
      <c r="Z31" s="162">
        <f>'3FS'!AG31</f>
        <v>0</v>
      </c>
      <c r="AA31" s="863">
        <f>'3FS'!AH31</f>
        <v>0</v>
      </c>
      <c r="AB31" s="162">
        <f>'3FS'!AI31</f>
        <v>0</v>
      </c>
      <c r="AC31" s="162">
        <f>'3FS'!AJ31</f>
        <v>0</v>
      </c>
      <c r="AD31" s="162">
        <f>'3FS'!AK31</f>
        <v>0</v>
      </c>
      <c r="AE31" s="1208">
        <v>0</v>
      </c>
      <c r="AF31" s="332">
        <v>0</v>
      </c>
      <c r="AG31" s="332">
        <v>0</v>
      </c>
      <c r="AH31" s="332">
        <v>0</v>
      </c>
      <c r="AI31" s="1208">
        <v>0</v>
      </c>
      <c r="AK31" s="162">
        <f>'3FS'!D31</f>
        <v>0</v>
      </c>
      <c r="AL31" s="162">
        <f>'3FS'!E31</f>
        <v>320</v>
      </c>
      <c r="AM31" s="162">
        <f>'3FS'!F31</f>
        <v>0</v>
      </c>
      <c r="AN31" s="162">
        <f>'3FS'!G31</f>
        <v>0</v>
      </c>
      <c r="AO31" s="162">
        <f>'3FS'!H31</f>
        <v>0</v>
      </c>
      <c r="AP31" s="162">
        <f>'3FS'!I31</f>
        <v>0</v>
      </c>
      <c r="AQ31" s="554">
        <f t="shared" ref="AQ31:AR31" si="128">SUMIFS($F31:$AI31,$F$3:$AI$3,AQ$3)</f>
        <v>0</v>
      </c>
      <c r="AR31" s="554">
        <f t="shared" si="128"/>
        <v>0</v>
      </c>
      <c r="AS31" s="332">
        <v>0</v>
      </c>
    </row>
    <row r="32" spans="2:45" s="3" customFormat="1" ht="12.75" thickBot="1" x14ac:dyDescent="0.25">
      <c r="B32" s="181" t="s">
        <v>31</v>
      </c>
      <c r="C32" s="565"/>
      <c r="D32" s="566">
        <f t="shared" ref="D32:F32" si="129">+D31+D30</f>
        <v>-940</v>
      </c>
      <c r="E32" s="566">
        <f t="shared" si="129"/>
        <v>1151</v>
      </c>
      <c r="F32" s="566">
        <f t="shared" si="129"/>
        <v>844</v>
      </c>
      <c r="G32" s="908">
        <f t="shared" ref="G32" si="130">+G31+G30</f>
        <v>1148</v>
      </c>
      <c r="H32" s="566">
        <f t="shared" ref="H32" si="131">+H31+H30</f>
        <v>1462</v>
      </c>
      <c r="I32" s="566">
        <f t="shared" ref="I32" si="132">+I31+I30</f>
        <v>110</v>
      </c>
      <c r="J32" s="566">
        <f t="shared" ref="J32" si="133">+J31+J30</f>
        <v>1253</v>
      </c>
      <c r="K32" s="908">
        <f t="shared" ref="K32" si="134">+K31+K30</f>
        <v>750</v>
      </c>
      <c r="L32" s="566">
        <f t="shared" ref="L32" si="135">+L31+L30</f>
        <v>933</v>
      </c>
      <c r="M32" s="566">
        <f t="shared" ref="M32" si="136">+M31+M30</f>
        <v>978</v>
      </c>
      <c r="N32" s="566">
        <f t="shared" ref="N32" si="137">+N31+N30</f>
        <v>691</v>
      </c>
      <c r="O32" s="908">
        <f t="shared" ref="O32" si="138">+O31+O30</f>
        <v>422</v>
      </c>
      <c r="P32" s="566">
        <f t="shared" ref="P32" si="139">+P31+P30</f>
        <v>713</v>
      </c>
      <c r="Q32" s="566">
        <f t="shared" ref="Q32" si="140">+Q31+Q30</f>
        <v>-108</v>
      </c>
      <c r="R32" s="566">
        <f t="shared" ref="R32" si="141">+R31+R30</f>
        <v>508</v>
      </c>
      <c r="S32" s="908">
        <f t="shared" ref="S32" si="142">+S31+S30</f>
        <v>1477</v>
      </c>
      <c r="T32" s="566">
        <f t="shared" ref="T32" si="143">+T31+T30</f>
        <v>1940</v>
      </c>
      <c r="U32" s="566">
        <f t="shared" ref="U32" si="144">+U31+U30</f>
        <v>2221</v>
      </c>
      <c r="V32" s="566">
        <f t="shared" ref="V32" si="145">+V31+V30</f>
        <v>2142</v>
      </c>
      <c r="W32" s="908">
        <f t="shared" ref="W32" si="146">+W31+W30</f>
        <v>2014</v>
      </c>
      <c r="X32" s="566">
        <f t="shared" ref="X32" si="147">+X31+X30</f>
        <v>2374</v>
      </c>
      <c r="Y32" s="566">
        <f t="shared" ref="Y32" si="148">+Y31+Y30</f>
        <v>2925</v>
      </c>
      <c r="Z32" s="566">
        <f t="shared" ref="Z32:AA32" si="149">+Z31+Z30</f>
        <v>3059</v>
      </c>
      <c r="AA32" s="908">
        <f t="shared" si="149"/>
        <v>2981</v>
      </c>
      <c r="AB32" s="566">
        <f t="shared" ref="AB32:AC32" si="150">+AB31+AB30</f>
        <v>2953</v>
      </c>
      <c r="AC32" s="566">
        <f t="shared" si="150"/>
        <v>3222</v>
      </c>
      <c r="AD32" s="566">
        <f t="shared" ref="AD32" si="151">+AD31+AD30</f>
        <v>2714</v>
      </c>
      <c r="AE32" s="1209">
        <f t="shared" ref="AE32" si="152">+AE31+AE30</f>
        <v>2264.5278533854939</v>
      </c>
      <c r="AF32" s="1210">
        <f t="shared" ref="AF32" si="153">+AF31+AF30</f>
        <v>3030.3624725269683</v>
      </c>
      <c r="AG32" s="1210">
        <f t="shared" ref="AG32" si="154">+AG31+AG30</f>
        <v>3372.1181440590394</v>
      </c>
      <c r="AH32" s="1210">
        <f t="shared" ref="AH32" si="155">+AH31+AH30</f>
        <v>3170.6085545717483</v>
      </c>
      <c r="AI32" s="1209">
        <f t="shared" ref="AI32" si="156">+AI31+AI30</f>
        <v>3093.7113671382367</v>
      </c>
      <c r="AK32" s="566">
        <f t="shared" ref="AK32:AO32" si="157">+AK31+AK30</f>
        <v>3468</v>
      </c>
      <c r="AL32" s="566">
        <f t="shared" si="157"/>
        <v>3064</v>
      </c>
      <c r="AM32" s="566">
        <f t="shared" si="157"/>
        <v>3024</v>
      </c>
      <c r="AN32" s="566">
        <f t="shared" si="157"/>
        <v>2590</v>
      </c>
      <c r="AO32" s="566">
        <f t="shared" si="157"/>
        <v>8317</v>
      </c>
      <c r="AP32" s="566">
        <f t="shared" ref="AP32" si="158">+AP31+AP30</f>
        <v>11339</v>
      </c>
      <c r="AQ32" s="1210">
        <f t="shared" ref="AQ32" si="159">+AQ31+AQ30</f>
        <v>11153.527853385487</v>
      </c>
      <c r="AR32" s="1210">
        <f t="shared" ref="AR32" si="160">+AR31+AR30</f>
        <v>12666.800538295989</v>
      </c>
      <c r="AS32" s="1210">
        <f t="shared" ref="AS32" si="161">+AS31+AS30</f>
        <v>14834.135675367859</v>
      </c>
    </row>
    <row r="33" spans="2:45" x14ac:dyDescent="0.2">
      <c r="B33" s="15"/>
      <c r="C33" s="15"/>
      <c r="G33" s="595"/>
      <c r="K33" s="595"/>
      <c r="O33" s="595"/>
      <c r="S33" s="595"/>
      <c r="W33" s="595"/>
      <c r="AA33" s="595"/>
      <c r="AE33" s="913"/>
      <c r="AF33" s="370"/>
      <c r="AG33" s="370"/>
      <c r="AH33" s="370"/>
      <c r="AI33" s="913"/>
      <c r="AQ33" s="370"/>
      <c r="AR33" s="370"/>
      <c r="AS33" s="370"/>
    </row>
    <row r="34" spans="2:45" x14ac:dyDescent="0.2">
      <c r="B34" s="14" t="s">
        <v>32</v>
      </c>
      <c r="C34" s="137"/>
      <c r="G34" s="595"/>
      <c r="K34" s="595"/>
      <c r="O34" s="595"/>
      <c r="S34" s="595"/>
      <c r="W34" s="595"/>
      <c r="AA34" s="595"/>
      <c r="AE34" s="913"/>
      <c r="AF34" s="370"/>
      <c r="AG34" s="370"/>
      <c r="AH34" s="370"/>
      <c r="AI34" s="913"/>
      <c r="AQ34" s="370"/>
      <c r="AR34" s="370"/>
      <c r="AS34" s="370"/>
    </row>
    <row r="35" spans="2:45" x14ac:dyDescent="0.2">
      <c r="B35" s="10" t="s">
        <v>33</v>
      </c>
      <c r="D35" s="167"/>
      <c r="E35" s="167"/>
      <c r="F35" s="167"/>
      <c r="G35" s="883"/>
      <c r="H35" s="167"/>
      <c r="I35" s="167">
        <f t="shared" ref="I35:Y35" si="162">+I$32/I38</f>
        <v>8.8958730010419387E-2</v>
      </c>
      <c r="J35" s="167">
        <f t="shared" si="162"/>
        <v>1.0117480133938157</v>
      </c>
      <c r="K35" s="883">
        <f t="shared" si="162"/>
        <v>0.6040696826918206</v>
      </c>
      <c r="L35" s="167">
        <f t="shared" si="162"/>
        <v>0.75028948508465765</v>
      </c>
      <c r="M35" s="167">
        <f t="shared" si="162"/>
        <v>0.78392813871506772</v>
      </c>
      <c r="N35" s="167">
        <f t="shared" si="162"/>
        <v>0.5536017397688564</v>
      </c>
      <c r="O35" s="883">
        <f t="shared" si="162"/>
        <v>0.33779665278033189</v>
      </c>
      <c r="P35" s="167">
        <f t="shared" si="162"/>
        <v>0.57016919596560844</v>
      </c>
      <c r="Q35" s="167">
        <f t="shared" si="162"/>
        <v>-8.6129004664368874E-2</v>
      </c>
      <c r="R35" s="167">
        <f t="shared" si="162"/>
        <v>0.40514456104644037</v>
      </c>
      <c r="S35" s="883">
        <f t="shared" si="162"/>
        <v>1.1903344532921836</v>
      </c>
      <c r="T35" s="167">
        <f t="shared" si="162"/>
        <v>1.5906745644303808</v>
      </c>
      <c r="U35" s="167">
        <f t="shared" si="162"/>
        <v>1.8615701080239797</v>
      </c>
      <c r="V35" s="167">
        <f t="shared" si="162"/>
        <v>1.828680513449743</v>
      </c>
      <c r="W35" s="883">
        <f t="shared" si="162"/>
        <v>1.7402373958755115</v>
      </c>
      <c r="X35" s="167">
        <f t="shared" si="162"/>
        <v>2.0028710118241211</v>
      </c>
      <c r="Y35" s="167">
        <f t="shared" si="162"/>
        <v>2.4999447405377095</v>
      </c>
      <c r="Z35" s="167">
        <f t="shared" ref="Z35:AA35" si="163">+Z$32/Z38</f>
        <v>2.6213369777486837</v>
      </c>
      <c r="AA35" s="883">
        <f t="shared" si="163"/>
        <v>2.5816689002447291</v>
      </c>
      <c r="AB35" s="167">
        <f t="shared" ref="AB35:AC35" si="164">+AB$32/AB38</f>
        <v>2.5891291375591114</v>
      </c>
      <c r="AC35" s="167">
        <f t="shared" si="164"/>
        <v>2.8443789305446847</v>
      </c>
      <c r="AD35" s="167">
        <f t="shared" ref="AD35" si="165">+AD$32/AD38</f>
        <v>2.4151191169495858</v>
      </c>
      <c r="AE35" s="973">
        <f t="shared" ref="AE35:AI35" si="166">+AE$32/AE38</f>
        <v>2.0011984516986101</v>
      </c>
      <c r="AF35" s="1176">
        <f t="shared" si="166"/>
        <v>2.711182600532577</v>
      </c>
      <c r="AG35" s="1176">
        <f t="shared" si="166"/>
        <v>3.0376562283120441</v>
      </c>
      <c r="AH35" s="1176">
        <f t="shared" si="166"/>
        <v>2.8790238568383608</v>
      </c>
      <c r="AI35" s="973">
        <f t="shared" si="166"/>
        <v>2.7897559256920896</v>
      </c>
      <c r="AK35" s="167">
        <f t="shared" ref="AK35:AO36" si="167">+AK$32/AK38</f>
        <v>4.0602064885914038</v>
      </c>
      <c r="AL35" s="167">
        <f t="shared" si="167"/>
        <v>2.6778387170007658</v>
      </c>
      <c r="AM35" s="167">
        <f t="shared" si="167"/>
        <v>2.4247186829998069</v>
      </c>
      <c r="AN35" s="167">
        <f t="shared" si="167"/>
        <v>2.0723913769142261</v>
      </c>
      <c r="AO35" s="167">
        <f t="shared" si="167"/>
        <v>7.0178454824198022</v>
      </c>
      <c r="AP35" s="167">
        <f t="shared" ref="AP35" si="168">+AP$32/AP38</f>
        <v>9.6981225395253077</v>
      </c>
      <c r="AQ35" s="1175">
        <f t="shared" ref="AQ35:AR36" si="169">SUMIFS($F35:$AI35,$F$3:$AI$3,AQ$3)</f>
        <v>9.8498256367519925</v>
      </c>
      <c r="AR35" s="1175">
        <f t="shared" si="169"/>
        <v>11.417618611375071</v>
      </c>
      <c r="AS35" s="1176">
        <f t="shared" ref="AS35" si="170">+AS$32/AS38</f>
        <v>13.647816058881629</v>
      </c>
    </row>
    <row r="36" spans="2:45" x14ac:dyDescent="0.2">
      <c r="B36" s="10" t="s">
        <v>34</v>
      </c>
      <c r="D36" s="167"/>
      <c r="E36" s="167"/>
      <c r="F36" s="167"/>
      <c r="G36" s="883"/>
      <c r="H36" s="167"/>
      <c r="I36" s="167">
        <f t="shared" ref="I36:Y36" si="171">+I$32/I39</f>
        <v>8.8958730010419387E-2</v>
      </c>
      <c r="J36" s="167">
        <f t="shared" si="171"/>
        <v>1.0025614204091773</v>
      </c>
      <c r="K36" s="883">
        <f t="shared" si="171"/>
        <v>0.59924883008590979</v>
      </c>
      <c r="L36" s="167">
        <f t="shared" si="171"/>
        <v>0.74474157133817565</v>
      </c>
      <c r="M36" s="167">
        <f t="shared" si="171"/>
        <v>0.78007965493857634</v>
      </c>
      <c r="N36" s="167">
        <f t="shared" si="171"/>
        <v>0.55118557964197101</v>
      </c>
      <c r="O36" s="883">
        <f t="shared" si="171"/>
        <v>0.33644554229867102</v>
      </c>
      <c r="P36" s="167">
        <f t="shared" si="171"/>
        <v>0.5679606806667663</v>
      </c>
      <c r="Q36" s="167">
        <f t="shared" si="171"/>
        <v>-8.6129004664368874E-2</v>
      </c>
      <c r="R36" s="167">
        <f t="shared" si="171"/>
        <v>0.40342745901887583</v>
      </c>
      <c r="S36" s="883">
        <f t="shared" si="171"/>
        <v>1.1845565194545831</v>
      </c>
      <c r="T36" s="167">
        <f t="shared" si="171"/>
        <v>1.5841846786708962</v>
      </c>
      <c r="U36" s="167">
        <f t="shared" si="171"/>
        <v>1.857748027853463</v>
      </c>
      <c r="V36" s="167">
        <f t="shared" si="171"/>
        <v>1.8239248793905405</v>
      </c>
      <c r="W36" s="883">
        <f t="shared" si="171"/>
        <v>1.6713497307983793</v>
      </c>
      <c r="X36" s="167">
        <f t="shared" si="171"/>
        <v>1.9964813168929361</v>
      </c>
      <c r="Y36" s="167">
        <f t="shared" si="171"/>
        <v>2.4947815290090896</v>
      </c>
      <c r="Z36" s="167">
        <f t="shared" ref="Z36:AA36" si="172">+Z$32/Z39</f>
        <v>2.6130791843349952</v>
      </c>
      <c r="AA36" s="883">
        <f t="shared" si="172"/>
        <v>2.5718325158891795</v>
      </c>
      <c r="AB36" s="167">
        <f t="shared" ref="AB36:AC36" si="173">+AB$32/AB39</f>
        <v>2.5798159565936118</v>
      </c>
      <c r="AC36" s="167">
        <f t="shared" si="173"/>
        <v>2.8391493272054089</v>
      </c>
      <c r="AD36" s="167">
        <f t="shared" ref="AD36" si="174">+AD$32/AD39</f>
        <v>2.4089590383125925</v>
      </c>
      <c r="AE36" s="973">
        <f t="shared" ref="AE36:AI36" si="175">+AE$32/AE39</f>
        <v>1.9960941321045262</v>
      </c>
      <c r="AF36" s="1176">
        <f t="shared" si="175"/>
        <v>2.7042673730801008</v>
      </c>
      <c r="AG36" s="1176">
        <f t="shared" si="175"/>
        <v>3.0299082869756391</v>
      </c>
      <c r="AH36" s="1176">
        <f t="shared" si="175"/>
        <v>2.871680528208548</v>
      </c>
      <c r="AI36" s="973">
        <f t="shared" si="175"/>
        <v>2.7826402866498268</v>
      </c>
      <c r="AK36" s="167">
        <f t="shared" si="167"/>
        <v>4.0165223561724837</v>
      </c>
      <c r="AL36" s="167">
        <f t="shared" si="167"/>
        <v>2.6533894936036284</v>
      </c>
      <c r="AM36" s="167">
        <f t="shared" si="167"/>
        <v>2.4100035690527064</v>
      </c>
      <c r="AN36" s="167">
        <f t="shared" si="167"/>
        <v>2.0631256400125402</v>
      </c>
      <c r="AO36" s="167">
        <f t="shared" si="167"/>
        <v>6.9291803542625559</v>
      </c>
      <c r="AP36" s="167">
        <f t="shared" ref="AP36" si="176">+AP$32/AP39</f>
        <v>9.6649042594277219</v>
      </c>
      <c r="AQ36" s="1175">
        <f t="shared" si="169"/>
        <v>9.8240184542161391</v>
      </c>
      <c r="AR36" s="1175">
        <f t="shared" si="169"/>
        <v>11.388496474914115</v>
      </c>
      <c r="AS36" s="1176">
        <f t="shared" ref="AS36" si="177">+AS$32/AS39</f>
        <v>13.613005510798967</v>
      </c>
    </row>
    <row r="37" spans="2:45" x14ac:dyDescent="0.2">
      <c r="B37" s="14" t="s">
        <v>35</v>
      </c>
      <c r="G37" s="595"/>
      <c r="K37" s="595"/>
      <c r="O37" s="595"/>
      <c r="S37" s="595"/>
      <c r="W37" s="595"/>
      <c r="AA37" s="595"/>
      <c r="AE37" s="913"/>
      <c r="AF37" s="370"/>
      <c r="AG37" s="370"/>
      <c r="AH37" s="370"/>
      <c r="AI37" s="913"/>
      <c r="AQ37" s="370"/>
      <c r="AR37" s="370"/>
      <c r="AS37" s="370"/>
    </row>
    <row r="38" spans="2:45" x14ac:dyDescent="0.2">
      <c r="B38" s="10" t="s">
        <v>33</v>
      </c>
      <c r="D38" s="162"/>
      <c r="E38" s="162"/>
      <c r="F38" s="162"/>
      <c r="G38" s="863"/>
      <c r="H38" s="162"/>
      <c r="I38" s="162">
        <f>'3FS'!P42</f>
        <v>1236.528444</v>
      </c>
      <c r="J38" s="162">
        <f>'3FS'!Q42</f>
        <v>1238.4506650000001</v>
      </c>
      <c r="K38" s="863">
        <f>'3FS'!R42</f>
        <v>1241.5786149999999</v>
      </c>
      <c r="L38" s="162">
        <f>'3FS'!S42</f>
        <v>1243.5200259999999</v>
      </c>
      <c r="M38" s="162">
        <f>'3FS'!T42</f>
        <v>1247.5633310000001</v>
      </c>
      <c r="N38" s="162">
        <f>'3FS'!U42</f>
        <v>1248.189719</v>
      </c>
      <c r="O38" s="863">
        <f>'3FS'!V42</f>
        <v>1249.2722960000001</v>
      </c>
      <c r="P38" s="162">
        <f>'3FS'!W42</f>
        <v>1250.505999</v>
      </c>
      <c r="Q38" s="162">
        <f>'3FS'!X42</f>
        <v>1253.932986</v>
      </c>
      <c r="R38" s="162">
        <f>'3FS'!Y42</f>
        <v>1253.873429</v>
      </c>
      <c r="S38" s="863">
        <f>'3FS'!Z42</f>
        <v>1240.827732</v>
      </c>
      <c r="T38" s="162">
        <f>'3FS'!AA42</f>
        <v>1219.6083619999999</v>
      </c>
      <c r="U38" s="162">
        <f>'3FS'!AB42</f>
        <v>1193.0788910000001</v>
      </c>
      <c r="V38" s="162">
        <f>'3FS'!AC42</f>
        <v>1171.3363730000001</v>
      </c>
      <c r="W38" s="863">
        <f>'3FS'!AD42</f>
        <v>1157.313367</v>
      </c>
      <c r="X38" s="162">
        <f>'3FS'!AE42</f>
        <v>1185.298497</v>
      </c>
      <c r="Y38" s="162">
        <f>'3FS'!AF42</f>
        <v>1170.025862</v>
      </c>
      <c r="Z38" s="162">
        <f>'3FS'!AG42</f>
        <v>1166.961755</v>
      </c>
      <c r="AA38" s="863">
        <f>'3FS'!AH42</f>
        <v>1154.6794400000001</v>
      </c>
      <c r="AB38" s="162">
        <f>'3FS'!AI42</f>
        <v>1140.5379350000001</v>
      </c>
      <c r="AC38" s="162">
        <f>'3FS'!AJ42</f>
        <v>1132.7604650000001</v>
      </c>
      <c r="AD38" s="162">
        <f>'3FS'!AK42</f>
        <v>1123.7540959999999</v>
      </c>
      <c r="AE38" s="902">
        <f>+'BS Drivers'!AE151</f>
        <v>1131.5858512</v>
      </c>
      <c r="AF38" s="371">
        <f>+'BS Drivers'!AF151</f>
        <v>1117.7271763000001</v>
      </c>
      <c r="AG38" s="371">
        <f>+'BS Drivers'!AG151</f>
        <v>1110.1052557</v>
      </c>
      <c r="AH38" s="371">
        <f>+'BS Drivers'!AH151</f>
        <v>1101.2790140799998</v>
      </c>
      <c r="AI38" s="902">
        <f>+'BS Drivers'!AI151</f>
        <v>1108.954134176</v>
      </c>
      <c r="AK38" s="162">
        <f>'3FS'!D42</f>
        <v>854.14375099999995</v>
      </c>
      <c r="AL38" s="162">
        <f>'3FS'!E42</f>
        <v>1144.206326</v>
      </c>
      <c r="AM38" s="162">
        <f>'3FS'!F42</f>
        <v>1247.154988</v>
      </c>
      <c r="AN38" s="162">
        <f>'3FS'!G42</f>
        <v>1249.7639340000001</v>
      </c>
      <c r="AO38" s="162">
        <f>'3FS'!H42</f>
        <v>1185.121562</v>
      </c>
      <c r="AP38" s="162">
        <f>'3FS'!I42</f>
        <v>1169.195373</v>
      </c>
      <c r="AQ38" s="554">
        <f t="shared" ref="AQ38:AR38" si="178">+AQ$32/AQ35</f>
        <v>1132.3578979681708</v>
      </c>
      <c r="AR38" s="554">
        <f t="shared" si="178"/>
        <v>1109.4082723762021</v>
      </c>
      <c r="AS38" s="371">
        <f>+'BS Drivers'!AS151</f>
        <v>1086.9237694417932</v>
      </c>
    </row>
    <row r="39" spans="2:45" x14ac:dyDescent="0.2">
      <c r="B39" s="10" t="s">
        <v>34</v>
      </c>
      <c r="D39" s="162"/>
      <c r="E39" s="162"/>
      <c r="F39" s="162"/>
      <c r="G39" s="863"/>
      <c r="H39" s="162"/>
      <c r="I39" s="162">
        <f>'3FS'!P43</f>
        <v>1236.528444</v>
      </c>
      <c r="J39" s="162">
        <f>'3FS'!Q43</f>
        <v>1249.79874</v>
      </c>
      <c r="K39" s="863">
        <f>'3FS'!R43</f>
        <v>1251.5668989999999</v>
      </c>
      <c r="L39" s="162">
        <f>'3FS'!S43</f>
        <v>1252.7835640000001</v>
      </c>
      <c r="M39" s="162">
        <f>'3FS'!T43</f>
        <v>1253.718122</v>
      </c>
      <c r="N39" s="162">
        <f>'3FS'!U43</f>
        <v>1253.661245</v>
      </c>
      <c r="O39" s="863">
        <f>'3FS'!V43</f>
        <v>1254.28917</v>
      </c>
      <c r="P39" s="162">
        <f>'3FS'!W43</f>
        <v>1255.368592</v>
      </c>
      <c r="Q39" s="162">
        <f>'3FS'!X43</f>
        <v>1253.932986</v>
      </c>
      <c r="R39" s="162">
        <f>'3FS'!Y43</f>
        <v>1259.2102709999999</v>
      </c>
      <c r="S39" s="863">
        <f>'3FS'!Z43</f>
        <v>1246.8801410000001</v>
      </c>
      <c r="T39" s="162">
        <f>'3FS'!AA43</f>
        <v>1224.6046980000001</v>
      </c>
      <c r="U39" s="162">
        <f>'3FS'!AB43</f>
        <v>1195.5334989999999</v>
      </c>
      <c r="V39" s="162">
        <f>'3FS'!AC43</f>
        <v>1174.390472</v>
      </c>
      <c r="W39" s="863">
        <f>'3FS'!AD43</f>
        <v>1205.014105</v>
      </c>
      <c r="X39" s="162">
        <f>'3FS'!AE43</f>
        <v>1189.0920189999999</v>
      </c>
      <c r="Y39" s="162">
        <f>'3FS'!AF43</f>
        <v>1172.447353</v>
      </c>
      <c r="Z39" s="162">
        <f>'3FS'!AG43</f>
        <v>1170.6495609999999</v>
      </c>
      <c r="AA39" s="863">
        <f>'3FS'!AH43</f>
        <v>1159.0956960000001</v>
      </c>
      <c r="AB39" s="162">
        <f>'3FS'!AI43</f>
        <v>1144.655297</v>
      </c>
      <c r="AC39" s="162">
        <f>'3FS'!AJ43</f>
        <v>1134.8469660000001</v>
      </c>
      <c r="AD39" s="162">
        <f>'3FS'!AK43</f>
        <v>1126.627708</v>
      </c>
      <c r="AE39" s="902">
        <f>+'BS Drivers'!AE154</f>
        <v>1134.479490202174</v>
      </c>
      <c r="AF39" s="371">
        <f>+'BS Drivers'!AF154</f>
        <v>1120.5853765396919</v>
      </c>
      <c r="AG39" s="371">
        <f>+'BS Drivers'!AG154</f>
        <v>1112.9439655168519</v>
      </c>
      <c r="AH39" s="371">
        <f>+'BS Drivers'!AH154</f>
        <v>1104.0951538399997</v>
      </c>
      <c r="AI39" s="902">
        <f>+'BS Drivers'!AI154</f>
        <v>1111.7899003981306</v>
      </c>
      <c r="AK39" s="162">
        <f>'3FS'!D43</f>
        <v>863.43351099999995</v>
      </c>
      <c r="AL39" s="162">
        <f>'3FS'!E43</f>
        <v>1154.7494280000001</v>
      </c>
      <c r="AM39" s="162">
        <f>'3FS'!F43</f>
        <v>1254.7699259999999</v>
      </c>
      <c r="AN39" s="162">
        <f>'3FS'!G43</f>
        <v>1255.376769</v>
      </c>
      <c r="AO39" s="162">
        <f>'3FS'!H43</f>
        <v>1200.2862640000001</v>
      </c>
      <c r="AP39" s="162">
        <f>'3FS'!I43</f>
        <v>1173.213898</v>
      </c>
      <c r="AQ39" s="554">
        <f t="shared" ref="AQ39:AR39" si="179">+AQ$32/AQ36</f>
        <v>1135.3325429268475</v>
      </c>
      <c r="AR39" s="554">
        <f t="shared" si="179"/>
        <v>1112.2451998995341</v>
      </c>
      <c r="AS39" s="371">
        <f>+'BS Drivers'!AS154</f>
        <v>1089.7032006341428</v>
      </c>
    </row>
    <row r="40" spans="2:45" x14ac:dyDescent="0.2">
      <c r="B40" s="10"/>
      <c r="D40" s="162"/>
      <c r="E40" s="162"/>
      <c r="F40" s="162"/>
      <c r="G40" s="863"/>
      <c r="H40" s="162"/>
      <c r="I40" s="162"/>
      <c r="J40" s="162"/>
      <c r="K40" s="863"/>
      <c r="L40" s="162"/>
      <c r="M40" s="162"/>
      <c r="N40" s="162"/>
      <c r="O40" s="863"/>
      <c r="P40" s="162"/>
      <c r="Q40" s="162"/>
      <c r="R40" s="162"/>
      <c r="S40" s="863"/>
      <c r="T40" s="162"/>
      <c r="U40" s="162"/>
      <c r="V40" s="162"/>
      <c r="W40" s="863"/>
      <c r="X40" s="162"/>
      <c r="Y40" s="162"/>
      <c r="Z40" s="162"/>
      <c r="AA40" s="863"/>
      <c r="AB40" s="162"/>
      <c r="AC40" s="1319"/>
      <c r="AD40" s="1319"/>
      <c r="AE40" s="902"/>
      <c r="AF40" s="371"/>
      <c r="AG40" s="371"/>
      <c r="AH40" s="371"/>
      <c r="AI40" s="902"/>
      <c r="AK40" s="162"/>
      <c r="AL40" s="162"/>
      <c r="AM40" s="162"/>
      <c r="AN40" s="162"/>
      <c r="AO40" s="162"/>
      <c r="AP40" s="162"/>
      <c r="AQ40" s="554"/>
      <c r="AR40" s="554"/>
      <c r="AS40" s="371"/>
    </row>
    <row r="41" spans="2:45" x14ac:dyDescent="0.2">
      <c r="B41" s="10" t="s">
        <v>769</v>
      </c>
      <c r="D41" s="241">
        <f t="shared" ref="D41:AI41" si="180">1-D16/D11</f>
        <v>0.74095031392915278</v>
      </c>
      <c r="E41" s="241">
        <f t="shared" si="180"/>
        <v>0.75253690036900367</v>
      </c>
      <c r="F41" s="241">
        <f t="shared" si="180"/>
        <v>0.73927188226181251</v>
      </c>
      <c r="G41" s="867">
        <f t="shared" si="180"/>
        <v>0.75037855844942458</v>
      </c>
      <c r="H41" s="241">
        <f t="shared" si="180"/>
        <v>0.75752064863226487</v>
      </c>
      <c r="I41" s="241">
        <f t="shared" si="180"/>
        <v>0.76583522297808015</v>
      </c>
      <c r="J41" s="241">
        <f t="shared" si="180"/>
        <v>0.76561284390692408</v>
      </c>
      <c r="K41" s="867">
        <f t="shared" si="180"/>
        <v>0.73011283497884349</v>
      </c>
      <c r="L41" s="241">
        <f t="shared" si="180"/>
        <v>0.76155580608793683</v>
      </c>
      <c r="M41" s="241">
        <f t="shared" si="180"/>
        <v>0.75910847364062928</v>
      </c>
      <c r="N41" s="241">
        <f t="shared" si="180"/>
        <v>0.75967939138703977</v>
      </c>
      <c r="O41" s="867">
        <f t="shared" si="180"/>
        <v>0.76468622602419301</v>
      </c>
      <c r="P41" s="241">
        <f t="shared" si="180"/>
        <v>0.75363564251718662</v>
      </c>
      <c r="Q41" s="241">
        <f t="shared" si="180"/>
        <v>0.73491773308957953</v>
      </c>
      <c r="R41" s="241">
        <f t="shared" si="180"/>
        <v>0.75834906581602757</v>
      </c>
      <c r="S41" s="867">
        <f t="shared" si="180"/>
        <v>0.79591442196159301</v>
      </c>
      <c r="T41" s="241">
        <f t="shared" si="180"/>
        <v>0.80310047600668977</v>
      </c>
      <c r="U41" s="241">
        <f t="shared" si="180"/>
        <v>0.81471597407548613</v>
      </c>
      <c r="V41" s="241">
        <f t="shared" si="180"/>
        <v>0.81865024506723638</v>
      </c>
      <c r="W41" s="867">
        <f t="shared" si="180"/>
        <v>0.82596771177460571</v>
      </c>
      <c r="X41" s="241">
        <f t="shared" si="180"/>
        <v>0.83300198807157055</v>
      </c>
      <c r="Y41" s="241">
        <f t="shared" si="180"/>
        <v>0.83784770832065247</v>
      </c>
      <c r="Z41" s="241">
        <f t="shared" si="180"/>
        <v>0.83724962630792232</v>
      </c>
      <c r="AA41" s="867">
        <f t="shared" si="180"/>
        <v>0.84067816635160675</v>
      </c>
      <c r="AB41" s="241">
        <f t="shared" si="180"/>
        <v>0.84626292466765141</v>
      </c>
      <c r="AC41" s="241">
        <f t="shared" si="180"/>
        <v>0.8441908475742631</v>
      </c>
      <c r="AD41" s="241">
        <f t="shared" si="180"/>
        <v>0.84249767008387699</v>
      </c>
      <c r="AE41" s="1211">
        <f t="shared" si="180"/>
        <v>0.84167816635160686</v>
      </c>
      <c r="AF41" s="1115">
        <f t="shared" si="180"/>
        <v>0.84726292466765141</v>
      </c>
      <c r="AG41" s="1115">
        <f t="shared" si="180"/>
        <v>0.8451908475742631</v>
      </c>
      <c r="AH41" s="1115">
        <f t="shared" si="180"/>
        <v>0.84349767008387699</v>
      </c>
      <c r="AI41" s="1211">
        <f t="shared" si="180"/>
        <v>0.84267816635160675</v>
      </c>
      <c r="AK41" s="241">
        <f t="shared" ref="AK41:AS41" si="181">1-AK16/AK11</f>
        <v>0.80805797101449273</v>
      </c>
      <c r="AL41" s="241">
        <f t="shared" si="181"/>
        <v>0.76430201408869924</v>
      </c>
      <c r="AM41" s="241">
        <f t="shared" si="181"/>
        <v>0.76127739039558673</v>
      </c>
      <c r="AN41" s="241">
        <f t="shared" si="181"/>
        <v>0.76084014154558655</v>
      </c>
      <c r="AO41" s="241">
        <f t="shared" si="181"/>
        <v>0.81570500150219005</v>
      </c>
      <c r="AP41" s="241">
        <f t="shared" si="181"/>
        <v>0.83724198374082026</v>
      </c>
      <c r="AQ41" s="1115">
        <f t="shared" si="181"/>
        <v>0.84359439319189955</v>
      </c>
      <c r="AR41" s="1115">
        <f t="shared" si="181"/>
        <v>0.84461811801984488</v>
      </c>
      <c r="AS41" s="1115">
        <f t="shared" si="181"/>
        <v>0.84461811801984488</v>
      </c>
    </row>
    <row r="42" spans="2:45" x14ac:dyDescent="0.2">
      <c r="B42" s="10" t="s">
        <v>770</v>
      </c>
      <c r="D42" s="241">
        <f t="shared" ref="D42:AI42" si="182">1-D17/D12</f>
        <v>0.17051956969558246</v>
      </c>
      <c r="E42" s="241">
        <f t="shared" si="182"/>
        <v>0.19980483044645037</v>
      </c>
      <c r="F42" s="241">
        <f t="shared" si="182"/>
        <v>0.16205334675390037</v>
      </c>
      <c r="G42" s="867">
        <f t="shared" si="182"/>
        <v>7.7168367346938771E-2</v>
      </c>
      <c r="H42" s="241">
        <f t="shared" si="182"/>
        <v>0.15686274509803921</v>
      </c>
      <c r="I42" s="241">
        <f t="shared" si="182"/>
        <v>0.14101663152963229</v>
      </c>
      <c r="J42" s="241">
        <f t="shared" si="182"/>
        <v>0.11831213406016561</v>
      </c>
      <c r="K42" s="867">
        <f t="shared" si="182"/>
        <v>2.4778168424577252E-2</v>
      </c>
      <c r="L42" s="241">
        <f t="shared" si="182"/>
        <v>3.8159371492704874E-2</v>
      </c>
      <c r="M42" s="241">
        <f t="shared" si="182"/>
        <v>-4.5637583892617517E-2</v>
      </c>
      <c r="N42" s="241">
        <f t="shared" si="182"/>
        <v>-0.10407725321888406</v>
      </c>
      <c r="O42" s="867">
        <f t="shared" si="182"/>
        <v>-0.25880857246640021</v>
      </c>
      <c r="P42" s="241">
        <f t="shared" si="182"/>
        <v>-0.26672347677886665</v>
      </c>
      <c r="Q42" s="241">
        <f t="shared" si="182"/>
        <v>-0.23680387409200976</v>
      </c>
      <c r="R42" s="241">
        <f t="shared" si="182"/>
        <v>-0.29234760051880682</v>
      </c>
      <c r="S42" s="867">
        <f t="shared" si="182"/>
        <v>-0.23657605032576945</v>
      </c>
      <c r="T42" s="241">
        <f t="shared" si="182"/>
        <v>-0.23366496369991929</v>
      </c>
      <c r="U42" s="241">
        <f t="shared" si="182"/>
        <v>-0.28999684443041973</v>
      </c>
      <c r="V42" s="241">
        <f t="shared" si="182"/>
        <v>-0.38133940182054626</v>
      </c>
      <c r="W42" s="867">
        <f t="shared" si="182"/>
        <v>-0.34355534259702925</v>
      </c>
      <c r="X42" s="241">
        <f t="shared" si="182"/>
        <v>-0.35312211627191625</v>
      </c>
      <c r="Y42" s="241">
        <f t="shared" si="182"/>
        <v>-0.31616226658081126</v>
      </c>
      <c r="Z42" s="241">
        <f t="shared" si="182"/>
        <v>-0.34299968818210158</v>
      </c>
      <c r="AA42" s="867">
        <f t="shared" si="182"/>
        <v>-0.29559480740583099</v>
      </c>
      <c r="AB42" s="241">
        <f t="shared" si="182"/>
        <v>-0.29535637149028071</v>
      </c>
      <c r="AC42" s="241">
        <f t="shared" si="182"/>
        <v>-0.35475428903751083</v>
      </c>
      <c r="AD42" s="241">
        <f t="shared" si="182"/>
        <v>-0.40057720057720059</v>
      </c>
      <c r="AE42" s="1211">
        <f t="shared" si="182"/>
        <v>-0.36755099023041105</v>
      </c>
      <c r="AF42" s="1115">
        <f t="shared" si="182"/>
        <v>-0.294326569078881</v>
      </c>
      <c r="AG42" s="1115">
        <f t="shared" si="182"/>
        <v>-0.35568673273195128</v>
      </c>
      <c r="AH42" s="1115">
        <f t="shared" si="182"/>
        <v>-0.40067876663396551</v>
      </c>
      <c r="AI42" s="1211">
        <f t="shared" si="182"/>
        <v>-0.36760533755114877</v>
      </c>
      <c r="AK42" s="241">
        <f t="shared" ref="AK42:AS42" si="183">1-AK17/AK12</f>
        <v>-0.20924796747967478</v>
      </c>
      <c r="AL42" s="241">
        <f t="shared" si="183"/>
        <v>5.3373382624768984E-2</v>
      </c>
      <c r="AM42" s="241">
        <f t="shared" si="183"/>
        <v>-9.3790707772470672E-2</v>
      </c>
      <c r="AN42" s="241">
        <f t="shared" si="183"/>
        <v>-0.25744308231173374</v>
      </c>
      <c r="AO42" s="241">
        <f t="shared" si="183"/>
        <v>-0.31086433724713536</v>
      </c>
      <c r="AP42" s="241">
        <f t="shared" si="183"/>
        <v>-0.32384491341232557</v>
      </c>
      <c r="AQ42" s="1115">
        <f t="shared" si="183"/>
        <v>-0.35497169931284178</v>
      </c>
      <c r="AR42" s="1115">
        <f t="shared" si="183"/>
        <v>-0.35563852818352992</v>
      </c>
      <c r="AS42" s="1115">
        <f t="shared" si="183"/>
        <v>-0.35695010070331801</v>
      </c>
    </row>
    <row r="43" spans="2:45" x14ac:dyDescent="0.2">
      <c r="B43" s="10" t="s">
        <v>807</v>
      </c>
      <c r="D43" s="241">
        <f t="shared" ref="D43:AI43" si="184">D23/D14</f>
        <v>-2.1113570577217775E-2</v>
      </c>
      <c r="E43" s="241">
        <f t="shared" si="184"/>
        <v>0.10378006872852234</v>
      </c>
      <c r="F43" s="241">
        <f t="shared" si="184"/>
        <v>8.6063909992460705E-2</v>
      </c>
      <c r="G43" s="867">
        <f t="shared" si="184"/>
        <v>8.1870385561936015E-2</v>
      </c>
      <c r="H43" s="241">
        <f t="shared" si="184"/>
        <v>9.4554227941176475E-2</v>
      </c>
      <c r="I43" s="241">
        <f t="shared" si="184"/>
        <v>4.6403712296983757E-2</v>
      </c>
      <c r="J43" s="241">
        <f t="shared" si="184"/>
        <v>0.13309464508094646</v>
      </c>
      <c r="K43" s="867">
        <f t="shared" si="184"/>
        <v>8.4164986972125266E-2</v>
      </c>
      <c r="L43" s="241">
        <f t="shared" si="184"/>
        <v>0.1082544663191457</v>
      </c>
      <c r="M43" s="241">
        <f t="shared" si="184"/>
        <v>0.1055639097744361</v>
      </c>
      <c r="N43" s="241">
        <f t="shared" si="184"/>
        <v>8.0717488789237665E-2</v>
      </c>
      <c r="O43" s="867">
        <f t="shared" si="184"/>
        <v>5.1142650950204475E-2</v>
      </c>
      <c r="P43" s="241">
        <f t="shared" si="184"/>
        <v>8.9761431411530812E-2</v>
      </c>
      <c r="Q43" s="241">
        <f t="shared" si="184"/>
        <v>3.5988020912644025E-2</v>
      </c>
      <c r="R43" s="241">
        <f t="shared" si="184"/>
        <v>6.5769882425424864E-2</v>
      </c>
      <c r="S43" s="867">
        <f t="shared" si="184"/>
        <v>0.1355004192768707</v>
      </c>
      <c r="T43" s="241">
        <f t="shared" si="184"/>
        <v>0.17303382233088835</v>
      </c>
      <c r="U43" s="241">
        <f t="shared" si="184"/>
        <v>0.19759324859345698</v>
      </c>
      <c r="V43" s="241">
        <f t="shared" si="184"/>
        <v>0.18678578848950758</v>
      </c>
      <c r="W43" s="867">
        <f t="shared" si="184"/>
        <v>0.16993847055376501</v>
      </c>
      <c r="X43" s="241">
        <f t="shared" si="184"/>
        <v>0.20404205368990508</v>
      </c>
      <c r="Y43" s="241">
        <f t="shared" si="184"/>
        <v>0.23416953267246612</v>
      </c>
      <c r="Z43" s="241">
        <f t="shared" si="184"/>
        <v>0.23787322686241444</v>
      </c>
      <c r="AA43" s="867">
        <f t="shared" si="184"/>
        <v>0.20967446964155084</v>
      </c>
      <c r="AB43" s="241">
        <f t="shared" si="184"/>
        <v>0.2298190175237001</v>
      </c>
      <c r="AC43" s="241">
        <f t="shared" si="184"/>
        <v>0.24668748816960059</v>
      </c>
      <c r="AD43" s="241">
        <f t="shared" si="184"/>
        <v>0.20631233775105889</v>
      </c>
      <c r="AE43" s="1211">
        <f t="shared" si="184"/>
        <v>0.16907927851852914</v>
      </c>
      <c r="AF43" s="1115">
        <f t="shared" si="184"/>
        <v>0.21952141402619227</v>
      </c>
      <c r="AG43" s="1115">
        <f t="shared" si="184"/>
        <v>0.23339872874658643</v>
      </c>
      <c r="AH43" s="1115">
        <f t="shared" si="184"/>
        <v>0.22040959603922872</v>
      </c>
      <c r="AI43" s="1211">
        <f t="shared" si="184"/>
        <v>0.20207666076667122</v>
      </c>
      <c r="AK43" s="241">
        <f t="shared" ref="AK43:AS43" si="185">AK23/AK14</f>
        <v>0.12716120716476287</v>
      </c>
      <c r="AL43" s="241">
        <f t="shared" si="185"/>
        <v>9.7021799201719369E-2</v>
      </c>
      <c r="AM43" s="241">
        <f t="shared" si="185"/>
        <v>8.6023115904041533E-2</v>
      </c>
      <c r="AN43" s="241">
        <f t="shared" si="185"/>
        <v>8.2228450063465339E-2</v>
      </c>
      <c r="AO43" s="241">
        <f t="shared" si="185"/>
        <v>0.18159830952926501</v>
      </c>
      <c r="AP43" s="241">
        <f t="shared" si="185"/>
        <v>0.22125307125307125</v>
      </c>
      <c r="AQ43" s="1115">
        <f t="shared" si="185"/>
        <v>0.21149543557477812</v>
      </c>
      <c r="AR43" s="1115">
        <f t="shared" si="185"/>
        <v>0.21848411073186511</v>
      </c>
      <c r="AS43" s="1115">
        <f t="shared" si="185"/>
        <v>0.2391527208382139</v>
      </c>
    </row>
    <row r="44" spans="2:45" x14ac:dyDescent="0.2">
      <c r="G44" s="595"/>
      <c r="K44" s="595"/>
      <c r="O44" s="595"/>
      <c r="S44" s="595"/>
      <c r="W44" s="595"/>
      <c r="AA44" s="595"/>
      <c r="AE44" s="913"/>
      <c r="AF44" s="370"/>
      <c r="AG44" s="370"/>
      <c r="AH44" s="370"/>
      <c r="AI44" s="913"/>
      <c r="AQ44" s="370"/>
      <c r="AR44" s="370"/>
      <c r="AS44" s="370"/>
    </row>
    <row r="45" spans="2:45" x14ac:dyDescent="0.2">
      <c r="B45" s="14" t="s">
        <v>130</v>
      </c>
      <c r="G45" s="595"/>
      <c r="K45" s="595"/>
      <c r="O45" s="595"/>
      <c r="S45" s="595"/>
      <c r="W45" s="595"/>
      <c r="AA45" s="595"/>
      <c r="AE45" s="913"/>
      <c r="AF45" s="370"/>
      <c r="AG45" s="370"/>
      <c r="AH45" s="370"/>
      <c r="AI45" s="913"/>
      <c r="AQ45" s="370"/>
      <c r="AR45" s="370"/>
      <c r="AS45" s="370"/>
    </row>
    <row r="46" spans="2:45" x14ac:dyDescent="0.2">
      <c r="B46" s="10" t="s">
        <v>24</v>
      </c>
      <c r="D46" s="170">
        <f t="shared" ref="D46:E46" si="186">D23</f>
        <v>-372</v>
      </c>
      <c r="E46" s="170">
        <f t="shared" si="186"/>
        <v>1812</v>
      </c>
      <c r="F46" s="170">
        <f t="shared" ref="F46:Y46" si="187">F23</f>
        <v>1484</v>
      </c>
      <c r="G46" s="872">
        <f t="shared" si="187"/>
        <v>1497</v>
      </c>
      <c r="H46" s="170">
        <f t="shared" si="187"/>
        <v>1646</v>
      </c>
      <c r="I46" s="170">
        <f t="shared" si="187"/>
        <v>820</v>
      </c>
      <c r="J46" s="170">
        <f t="shared" si="187"/>
        <v>2565</v>
      </c>
      <c r="K46" s="872">
        <f t="shared" si="187"/>
        <v>1712</v>
      </c>
      <c r="L46" s="170">
        <f t="shared" si="187"/>
        <v>2139</v>
      </c>
      <c r="M46" s="170">
        <f t="shared" si="187"/>
        <v>2106</v>
      </c>
      <c r="N46" s="170">
        <f t="shared" si="187"/>
        <v>1584</v>
      </c>
      <c r="O46" s="872">
        <f t="shared" si="187"/>
        <v>1063</v>
      </c>
      <c r="P46" s="170">
        <f t="shared" si="187"/>
        <v>1806</v>
      </c>
      <c r="Q46" s="170">
        <f t="shared" si="187"/>
        <v>709</v>
      </c>
      <c r="R46" s="170">
        <f t="shared" si="187"/>
        <v>1281</v>
      </c>
      <c r="S46" s="872">
        <f t="shared" si="187"/>
        <v>2747</v>
      </c>
      <c r="T46" s="170">
        <f t="shared" si="187"/>
        <v>3397</v>
      </c>
      <c r="U46" s="170">
        <f t="shared" si="187"/>
        <v>3793</v>
      </c>
      <c r="V46" s="170">
        <f t="shared" si="187"/>
        <v>3596</v>
      </c>
      <c r="W46" s="872">
        <f t="shared" si="187"/>
        <v>3480</v>
      </c>
      <c r="X46" s="170">
        <f t="shared" si="187"/>
        <v>3998</v>
      </c>
      <c r="Y46" s="170">
        <f t="shared" si="187"/>
        <v>4630</v>
      </c>
      <c r="Z46" s="170">
        <f t="shared" ref="Z46:AA46" si="188">Z23</f>
        <v>4796</v>
      </c>
      <c r="AA46" s="872">
        <f t="shared" si="188"/>
        <v>4586</v>
      </c>
      <c r="AB46" s="170">
        <f t="shared" ref="AB46:AC46" si="189">AB23</f>
        <v>4800</v>
      </c>
      <c r="AC46" s="170">
        <f t="shared" si="189"/>
        <v>5213</v>
      </c>
      <c r="AD46" s="170">
        <f t="shared" ref="AD46" si="190">AD23</f>
        <v>4530</v>
      </c>
      <c r="AE46" s="923">
        <f t="shared" ref="AE46:AI46" si="191">AE23</f>
        <v>4036.3442783097198</v>
      </c>
      <c r="AF46" s="382">
        <f t="shared" si="191"/>
        <v>4950.2703791280146</v>
      </c>
      <c r="AG46" s="382">
        <f t="shared" si="191"/>
        <v>5405.7175763891828</v>
      </c>
      <c r="AH46" s="382">
        <f t="shared" si="191"/>
        <v>5173.5303108416738</v>
      </c>
      <c r="AI46" s="923">
        <f t="shared" si="191"/>
        <v>5099.1664466193288</v>
      </c>
      <c r="AK46" s="170">
        <f t="shared" ref="AK46:AO46" si="192">AK23</f>
        <v>5722</v>
      </c>
      <c r="AL46" s="170">
        <f t="shared" si="192"/>
        <v>6636</v>
      </c>
      <c r="AM46" s="170">
        <f t="shared" si="192"/>
        <v>6892</v>
      </c>
      <c r="AN46" s="170">
        <f t="shared" si="192"/>
        <v>6543</v>
      </c>
      <c r="AO46" s="170">
        <f t="shared" si="192"/>
        <v>14266</v>
      </c>
      <c r="AP46" s="170">
        <f t="shared" ref="AP46" si="193">AP23</f>
        <v>18010</v>
      </c>
      <c r="AQ46" s="554">
        <f t="shared" ref="AQ46:AR55" si="194">SUMIFS($F46:$AI46,$F$3:$AI$3,AQ$3)</f>
        <v>18579.34427830972</v>
      </c>
      <c r="AR46" s="554">
        <f t="shared" si="194"/>
        <v>20628.6847129782</v>
      </c>
      <c r="AS46" s="382">
        <f t="shared" ref="AS46" si="195">AS23</f>
        <v>23736.334888768208</v>
      </c>
    </row>
    <row r="47" spans="2:45" x14ac:dyDescent="0.2">
      <c r="B47" s="29" t="s">
        <v>22</v>
      </c>
      <c r="D47" s="163">
        <f t="shared" ref="D47:AI47" si="196">+D21</f>
        <v>4015</v>
      </c>
      <c r="E47" s="163">
        <f t="shared" si="196"/>
        <v>3972</v>
      </c>
      <c r="F47" s="163">
        <f t="shared" si="196"/>
        <v>4084</v>
      </c>
      <c r="G47" s="865">
        <f t="shared" si="196"/>
        <v>4122</v>
      </c>
      <c r="H47" s="163">
        <f t="shared" si="196"/>
        <v>4014</v>
      </c>
      <c r="I47" s="163">
        <f t="shared" si="196"/>
        <v>4064</v>
      </c>
      <c r="J47" s="163">
        <f t="shared" si="196"/>
        <v>4150</v>
      </c>
      <c r="K47" s="865">
        <f t="shared" si="196"/>
        <v>4219</v>
      </c>
      <c r="L47" s="163">
        <f t="shared" si="196"/>
        <v>4289</v>
      </c>
      <c r="M47" s="163">
        <f t="shared" si="196"/>
        <v>4077</v>
      </c>
      <c r="N47" s="163">
        <f t="shared" si="196"/>
        <v>4145</v>
      </c>
      <c r="O47" s="865">
        <f t="shared" si="196"/>
        <v>3872</v>
      </c>
      <c r="P47" s="163">
        <f t="shared" si="196"/>
        <v>3585</v>
      </c>
      <c r="Q47" s="163">
        <f t="shared" si="196"/>
        <v>3491</v>
      </c>
      <c r="R47" s="163">
        <f t="shared" si="196"/>
        <v>3313</v>
      </c>
      <c r="S47" s="865">
        <f t="shared" si="196"/>
        <v>3262</v>
      </c>
      <c r="T47" s="163">
        <f t="shared" si="196"/>
        <v>3203</v>
      </c>
      <c r="U47" s="163">
        <f t="shared" si="196"/>
        <v>3110</v>
      </c>
      <c r="V47" s="163">
        <f t="shared" si="196"/>
        <v>3187</v>
      </c>
      <c r="W47" s="865">
        <f t="shared" si="196"/>
        <v>3318</v>
      </c>
      <c r="X47" s="163">
        <f t="shared" si="196"/>
        <v>3371</v>
      </c>
      <c r="Y47" s="163">
        <f t="shared" si="196"/>
        <v>3248</v>
      </c>
      <c r="Z47" s="163">
        <f t="shared" si="196"/>
        <v>3151</v>
      </c>
      <c r="AA47" s="865">
        <f t="shared" si="196"/>
        <v>3149</v>
      </c>
      <c r="AB47" s="163">
        <f t="shared" si="196"/>
        <v>3198</v>
      </c>
      <c r="AC47" s="163">
        <f t="shared" si="196"/>
        <v>3146</v>
      </c>
      <c r="AD47" s="163">
        <f t="shared" si="196"/>
        <v>3408</v>
      </c>
      <c r="AE47" s="901">
        <f t="shared" si="196"/>
        <v>3670.0321228857165</v>
      </c>
      <c r="AF47" s="554">
        <f t="shared" si="196"/>
        <v>3720.8607563039691</v>
      </c>
      <c r="AG47" s="554">
        <f t="shared" si="196"/>
        <v>3615.6245061200548</v>
      </c>
      <c r="AH47" s="554">
        <f t="shared" si="196"/>
        <v>3525.2305523928471</v>
      </c>
      <c r="AI47" s="901">
        <f t="shared" si="196"/>
        <v>3446.8784815679955</v>
      </c>
      <c r="AK47" s="163">
        <f t="shared" ref="AK47:AP47" si="197">+AK21</f>
        <v>6616</v>
      </c>
      <c r="AL47" s="163">
        <f t="shared" si="197"/>
        <v>14151</v>
      </c>
      <c r="AM47" s="163">
        <f t="shared" si="197"/>
        <v>16383</v>
      </c>
      <c r="AN47" s="163">
        <f t="shared" si="197"/>
        <v>13651</v>
      </c>
      <c r="AO47" s="163">
        <f t="shared" si="197"/>
        <v>12818</v>
      </c>
      <c r="AP47" s="163">
        <f t="shared" si="197"/>
        <v>12919</v>
      </c>
      <c r="AQ47" s="554">
        <f t="shared" si="194"/>
        <v>13422.032122885717</v>
      </c>
      <c r="AR47" s="554">
        <f t="shared" si="194"/>
        <v>14308.594296384867</v>
      </c>
      <c r="AS47" s="554">
        <f>+AS21</f>
        <v>14771.98306379588</v>
      </c>
    </row>
    <row r="48" spans="2:45" x14ac:dyDescent="0.2">
      <c r="B48" s="138" t="s">
        <v>203</v>
      </c>
      <c r="D48" s="162">
        <f>+'3FS'!K48</f>
        <v>571</v>
      </c>
      <c r="E48" s="162">
        <f>+'3FS'!L48</f>
        <v>572</v>
      </c>
      <c r="F48" s="162">
        <f>+'3FS'!M48</f>
        <v>531</v>
      </c>
      <c r="G48" s="863">
        <f>+'3FS'!N48</f>
        <v>480</v>
      </c>
      <c r="H48" s="162">
        <f>+'3FS'!O48</f>
        <v>482</v>
      </c>
      <c r="I48" s="162">
        <f>+'3FS'!P48</f>
        <v>432</v>
      </c>
      <c r="J48" s="162">
        <f>+'3FS'!Q48</f>
        <v>0</v>
      </c>
      <c r="K48" s="863">
        <f>+'3FS'!R48</f>
        <v>0</v>
      </c>
      <c r="L48" s="162">
        <f>+'3FS'!S48</f>
        <v>0</v>
      </c>
      <c r="M48" s="162">
        <f>+'3FS'!T48</f>
        <v>0</v>
      </c>
      <c r="N48" s="162">
        <f>+'3FS'!U48</f>
        <v>0</v>
      </c>
      <c r="O48" s="863">
        <f>+'3FS'!V48</f>
        <v>0</v>
      </c>
      <c r="P48" s="162">
        <f>+'3FS'!W48</f>
        <v>0</v>
      </c>
      <c r="Q48" s="162">
        <f>+'3FS'!X48</f>
        <v>0</v>
      </c>
      <c r="R48" s="162">
        <f>+'3FS'!Y48</f>
        <v>0</v>
      </c>
      <c r="S48" s="863">
        <f>+'3FS'!Z48</f>
        <v>0</v>
      </c>
      <c r="T48" s="162">
        <f>+'3FS'!AA48</f>
        <v>0</v>
      </c>
      <c r="U48" s="162">
        <f>+'3FS'!AB48</f>
        <v>0</v>
      </c>
      <c r="V48" s="162">
        <f>+'3FS'!AC48</f>
        <v>0</v>
      </c>
      <c r="W48" s="863">
        <f>+'3FS'!AD48</f>
        <v>0</v>
      </c>
      <c r="X48" s="162">
        <f>+'3FS'!AE48</f>
        <v>0</v>
      </c>
      <c r="Y48" s="162">
        <f>+'3FS'!AF48</f>
        <v>0</v>
      </c>
      <c r="Z48" s="162">
        <f>+'3FS'!AG48</f>
        <v>0</v>
      </c>
      <c r="AA48" s="863">
        <f>+'3FS'!AH48</f>
        <v>0</v>
      </c>
      <c r="AB48" s="162">
        <f>+'3FS'!AI48</f>
        <v>0</v>
      </c>
      <c r="AC48" s="162">
        <f>+'3FS'!AJ48</f>
        <v>0</v>
      </c>
      <c r="AD48" s="162">
        <f>+'3FS'!AK48</f>
        <v>0</v>
      </c>
      <c r="AE48" s="902"/>
      <c r="AF48" s="371"/>
      <c r="AG48" s="371"/>
      <c r="AH48" s="371"/>
      <c r="AI48" s="902"/>
      <c r="AK48" s="162">
        <f>+'3FS'!D48</f>
        <v>0</v>
      </c>
      <c r="AL48" s="162">
        <f>+'3FS'!E48</f>
        <v>914</v>
      </c>
      <c r="AM48" s="162">
        <f>+'3FS'!F48</f>
        <v>0</v>
      </c>
      <c r="AN48" s="162">
        <f>+'3FS'!G48</f>
        <v>0</v>
      </c>
      <c r="AO48" s="162">
        <f>+'3FS'!H48</f>
        <v>0</v>
      </c>
      <c r="AP48" s="162">
        <f>+'3FS'!I48</f>
        <v>0</v>
      </c>
      <c r="AQ48" s="554">
        <f t="shared" si="194"/>
        <v>0</v>
      </c>
      <c r="AR48" s="554">
        <f t="shared" si="194"/>
        <v>0</v>
      </c>
      <c r="AS48" s="371"/>
    </row>
    <row r="49" spans="2:45" x14ac:dyDescent="0.2">
      <c r="B49" s="29" t="s">
        <v>230</v>
      </c>
      <c r="D49" s="162">
        <f>+'3FS'!K49</f>
        <v>183</v>
      </c>
      <c r="E49" s="162">
        <f>+'3FS'!L49</f>
        <v>133</v>
      </c>
      <c r="F49" s="162">
        <f>+'3FS'!M49</f>
        <v>117</v>
      </c>
      <c r="G49" s="863">
        <f>+'3FS'!N49</f>
        <v>119</v>
      </c>
      <c r="H49" s="162">
        <f>+'3FS'!O49</f>
        <v>124</v>
      </c>
      <c r="I49" s="162">
        <f>+'3FS'!P49</f>
        <v>139</v>
      </c>
      <c r="J49" s="162">
        <f>+'3FS'!Q49</f>
        <v>125</v>
      </c>
      <c r="K49" s="863">
        <f>+'3FS'!R49</f>
        <v>129</v>
      </c>
      <c r="L49" s="162">
        <f>+'3FS'!S49</f>
        <v>130</v>
      </c>
      <c r="M49" s="162">
        <f>+'3FS'!T49</f>
        <v>129</v>
      </c>
      <c r="N49" s="162">
        <f>+'3FS'!U49</f>
        <v>127</v>
      </c>
      <c r="O49" s="863">
        <f>+'3FS'!V49</f>
        <v>135</v>
      </c>
      <c r="P49" s="162">
        <f>+'3FS'!W49</f>
        <v>136</v>
      </c>
      <c r="Q49" s="162">
        <f>+'3FS'!X49</f>
        <v>149</v>
      </c>
      <c r="R49" s="162">
        <f>+'3FS'!Y49</f>
        <v>145</v>
      </c>
      <c r="S49" s="863">
        <f>+'3FS'!Z49</f>
        <v>146</v>
      </c>
      <c r="T49" s="162">
        <f>+'3FS'!AA49</f>
        <v>173</v>
      </c>
      <c r="U49" s="162">
        <f>+'3FS'!AB49</f>
        <v>155</v>
      </c>
      <c r="V49" s="162">
        <f>+'3FS'!AC49</f>
        <v>152</v>
      </c>
      <c r="W49" s="863">
        <f>+'3FS'!AD49</f>
        <v>164</v>
      </c>
      <c r="X49" s="162">
        <f>+'3FS'!AE49</f>
        <v>140</v>
      </c>
      <c r="Y49" s="162">
        <f>+'3FS'!AF49</f>
        <v>147</v>
      </c>
      <c r="Z49" s="162">
        <f>+'3FS'!AG49</f>
        <v>143</v>
      </c>
      <c r="AA49" s="863">
        <f>+'3FS'!AH49</f>
        <v>156</v>
      </c>
      <c r="AB49" s="162">
        <f>+'3FS'!AI49</f>
        <v>168</v>
      </c>
      <c r="AC49" s="162">
        <f>+'3FS'!AJ49</f>
        <v>178</v>
      </c>
      <c r="AD49" s="162">
        <f>+'3FS'!AK49</f>
        <v>217</v>
      </c>
      <c r="AE49" s="901">
        <f>AD49*AE123/AD123</f>
        <v>228.01608643245731</v>
      </c>
      <c r="AF49" s="554">
        <f>AE49*AF123/AE123</f>
        <v>223.17051238442662</v>
      </c>
      <c r="AG49" s="554">
        <f>AF49*AG123/AF123</f>
        <v>218.46621115817399</v>
      </c>
      <c r="AH49" s="554">
        <f>AG49*AH123/AG123</f>
        <v>236.02464929713454</v>
      </c>
      <c r="AI49" s="901">
        <f>AH49*AI123/AH123</f>
        <v>228.20502657424584</v>
      </c>
      <c r="AK49" s="162">
        <f>+'3FS'!D49</f>
        <v>423</v>
      </c>
      <c r="AL49" s="162">
        <f>+'3FS'!E49</f>
        <v>517</v>
      </c>
      <c r="AM49" s="162">
        <f>+'3FS'!F49</f>
        <v>521</v>
      </c>
      <c r="AN49" s="162">
        <f>+'3FS'!G49</f>
        <v>576</v>
      </c>
      <c r="AO49" s="162">
        <f>+'3FS'!H49</f>
        <v>644</v>
      </c>
      <c r="AP49" s="162">
        <f>+'3FS'!I49</f>
        <v>586</v>
      </c>
      <c r="AQ49" s="554">
        <f t="shared" si="194"/>
        <v>791.01608643245731</v>
      </c>
      <c r="AR49" s="554">
        <f t="shared" si="194"/>
        <v>905.86639941398096</v>
      </c>
      <c r="AS49" s="554">
        <f>AR49*AS123/AR123</f>
        <v>901.02893034560486</v>
      </c>
    </row>
    <row r="50" spans="2:45" x14ac:dyDescent="0.2">
      <c r="B50" s="29" t="s">
        <v>131</v>
      </c>
      <c r="D50" s="162">
        <f>+'3FS'!K50</f>
        <v>123</v>
      </c>
      <c r="E50" s="162">
        <f>+'3FS'!L50</f>
        <v>235</v>
      </c>
      <c r="F50" s="162">
        <f>+'3FS'!M50</f>
        <v>165</v>
      </c>
      <c r="G50" s="863">
        <f>+'3FS'!N50</f>
        <v>117</v>
      </c>
      <c r="H50" s="162">
        <f>+'3FS'!O50</f>
        <v>136</v>
      </c>
      <c r="I50" s="162">
        <f>+'3FS'!P50</f>
        <v>798</v>
      </c>
      <c r="J50" s="162">
        <f>+'3FS'!Q50</f>
        <v>288</v>
      </c>
      <c r="K50" s="863">
        <f>+'3FS'!R50</f>
        <v>686</v>
      </c>
      <c r="L50" s="162">
        <f>+'3FS'!S50</f>
        <v>298</v>
      </c>
      <c r="M50" s="162">
        <f>+'3FS'!T50</f>
        <v>611</v>
      </c>
      <c r="N50" s="162">
        <f>+'3FS'!U50</f>
        <v>955</v>
      </c>
      <c r="O50" s="863">
        <f>+'3FS'!V50</f>
        <v>1243</v>
      </c>
      <c r="P50" s="162">
        <f>+'3FS'!W50</f>
        <v>1413</v>
      </c>
      <c r="Q50" s="162">
        <f>+'3FS'!X50</f>
        <v>1668</v>
      </c>
      <c r="R50" s="162">
        <f>+'3FS'!Y50</f>
        <v>1296</v>
      </c>
      <c r="S50" s="863">
        <f>+'3FS'!Z50</f>
        <v>592</v>
      </c>
      <c r="T50" s="162">
        <f>+'3FS'!AA50</f>
        <v>358</v>
      </c>
      <c r="U50" s="162">
        <f>+'3FS'!AB50</f>
        <v>276</v>
      </c>
      <c r="V50" s="162">
        <f>+'3FS'!AC50</f>
        <v>152</v>
      </c>
      <c r="W50" s="863">
        <f>+'3FS'!AD50</f>
        <v>248</v>
      </c>
      <c r="X50" s="162">
        <f>+'3FS'!AE50</f>
        <v>130</v>
      </c>
      <c r="Y50" s="162">
        <f>+'3FS'!AF50</f>
        <v>-9</v>
      </c>
      <c r="Z50" s="162">
        <f>+'3FS'!AG50</f>
        <v>0</v>
      </c>
      <c r="AA50" s="863">
        <f>+'3FS'!AH50</f>
        <v>0</v>
      </c>
      <c r="AB50" s="162">
        <f>+'3FS'!AI50</f>
        <v>14</v>
      </c>
      <c r="AC50" s="162">
        <f>+'3FS'!AJ50</f>
        <v>33</v>
      </c>
      <c r="AD50" s="162">
        <f>+'3FS'!AK50</f>
        <v>73</v>
      </c>
      <c r="AE50" s="902"/>
      <c r="AF50" s="371"/>
      <c r="AG50" s="371"/>
      <c r="AH50" s="371"/>
      <c r="AI50" s="902"/>
      <c r="AK50" s="162">
        <f>+'3FS'!D50</f>
        <v>620</v>
      </c>
      <c r="AL50" s="162">
        <f>+'3FS'!E50</f>
        <v>1908</v>
      </c>
      <c r="AM50" s="162">
        <f>+'3FS'!F50</f>
        <v>3107</v>
      </c>
      <c r="AN50" s="162">
        <f>+'3FS'!G50</f>
        <v>4969</v>
      </c>
      <c r="AO50" s="162">
        <f>+'3FS'!H50</f>
        <v>1034</v>
      </c>
      <c r="AP50" s="162">
        <f>+'3FS'!I50</f>
        <v>121</v>
      </c>
      <c r="AQ50" s="554">
        <f t="shared" si="194"/>
        <v>120</v>
      </c>
      <c r="AR50" s="554">
        <f t="shared" si="194"/>
        <v>0</v>
      </c>
      <c r="AS50" s="371"/>
    </row>
    <row r="51" spans="2:45" x14ac:dyDescent="0.2">
      <c r="B51" s="29" t="s">
        <v>20</v>
      </c>
      <c r="D51" s="161">
        <f t="shared" ref="D51:AI51" si="198">+D19</f>
        <v>2000</v>
      </c>
      <c r="E51" s="161">
        <f t="shared" si="198"/>
        <v>0</v>
      </c>
      <c r="F51" s="161">
        <f t="shared" si="198"/>
        <v>0</v>
      </c>
      <c r="G51" s="640">
        <f t="shared" si="198"/>
        <v>0</v>
      </c>
      <c r="H51" s="161">
        <f t="shared" si="198"/>
        <v>0</v>
      </c>
      <c r="I51" s="161">
        <f t="shared" si="198"/>
        <v>418</v>
      </c>
      <c r="J51" s="161">
        <f t="shared" si="198"/>
        <v>0</v>
      </c>
      <c r="K51" s="640">
        <f t="shared" si="198"/>
        <v>0</v>
      </c>
      <c r="L51" s="161">
        <f t="shared" si="198"/>
        <v>0</v>
      </c>
      <c r="M51" s="161">
        <f t="shared" si="198"/>
        <v>0</v>
      </c>
      <c r="N51" s="161">
        <f t="shared" si="198"/>
        <v>0</v>
      </c>
      <c r="O51" s="640">
        <f t="shared" si="198"/>
        <v>0</v>
      </c>
      <c r="P51" s="161">
        <f t="shared" si="198"/>
        <v>0</v>
      </c>
      <c r="Q51" s="161">
        <f t="shared" si="198"/>
        <v>477</v>
      </c>
      <c r="R51" s="161">
        <f t="shared" si="198"/>
        <v>0</v>
      </c>
      <c r="S51" s="640">
        <f t="shared" si="198"/>
        <v>0</v>
      </c>
      <c r="T51" s="161">
        <f t="shared" si="198"/>
        <v>0</v>
      </c>
      <c r="U51" s="161">
        <f t="shared" si="198"/>
        <v>0</v>
      </c>
      <c r="V51" s="161">
        <f t="shared" si="198"/>
        <v>0</v>
      </c>
      <c r="W51" s="640">
        <f t="shared" si="198"/>
        <v>0</v>
      </c>
      <c r="X51" s="161">
        <f t="shared" si="198"/>
        <v>0</v>
      </c>
      <c r="Y51" s="161">
        <f t="shared" si="198"/>
        <v>0</v>
      </c>
      <c r="Z51" s="161">
        <f t="shared" si="198"/>
        <v>0</v>
      </c>
      <c r="AA51" s="640">
        <f t="shared" si="198"/>
        <v>0</v>
      </c>
      <c r="AB51" s="161">
        <f t="shared" si="198"/>
        <v>0</v>
      </c>
      <c r="AC51" s="161">
        <f t="shared" si="198"/>
        <v>0</v>
      </c>
      <c r="AD51" s="161">
        <f t="shared" si="198"/>
        <v>278</v>
      </c>
      <c r="AE51" s="970">
        <f t="shared" si="198"/>
        <v>0</v>
      </c>
      <c r="AF51" s="524">
        <f t="shared" si="198"/>
        <v>0</v>
      </c>
      <c r="AG51" s="524">
        <f t="shared" si="198"/>
        <v>0</v>
      </c>
      <c r="AH51" s="524">
        <f t="shared" si="198"/>
        <v>0</v>
      </c>
      <c r="AI51" s="970">
        <f t="shared" si="198"/>
        <v>0</v>
      </c>
      <c r="AK51" s="161">
        <f t="shared" ref="AK51:AP51" si="199">+AK19</f>
        <v>0</v>
      </c>
      <c r="AL51" s="161">
        <f t="shared" si="199"/>
        <v>418</v>
      </c>
      <c r="AM51" s="161">
        <f t="shared" si="199"/>
        <v>0</v>
      </c>
      <c r="AN51" s="161">
        <f t="shared" si="199"/>
        <v>477</v>
      </c>
      <c r="AO51" s="161">
        <f t="shared" si="199"/>
        <v>0</v>
      </c>
      <c r="AP51" s="161">
        <f t="shared" si="199"/>
        <v>0</v>
      </c>
      <c r="AQ51" s="554">
        <f t="shared" si="194"/>
        <v>278</v>
      </c>
      <c r="AR51" s="554">
        <f t="shared" si="194"/>
        <v>0</v>
      </c>
      <c r="AS51" s="524">
        <f>+AS19</f>
        <v>0</v>
      </c>
    </row>
    <row r="52" spans="2:45" x14ac:dyDescent="0.2">
      <c r="B52" s="29" t="s">
        <v>231</v>
      </c>
      <c r="D52" s="162">
        <f>'3FS'!K53</f>
        <v>0</v>
      </c>
      <c r="E52" s="162">
        <f>'3FS'!L53</f>
        <v>0</v>
      </c>
      <c r="F52" s="162">
        <f>'3FS'!M53</f>
        <v>0</v>
      </c>
      <c r="G52" s="863">
        <f>'3FS'!N53</f>
        <v>0</v>
      </c>
      <c r="H52" s="162">
        <f>'3FS'!O53</f>
        <v>0</v>
      </c>
      <c r="I52" s="162">
        <f>'3FS'!P53</f>
        <v>0</v>
      </c>
      <c r="J52" s="162">
        <f>'3FS'!Q53</f>
        <v>0</v>
      </c>
      <c r="K52" s="863">
        <f>'3FS'!R53</f>
        <v>0</v>
      </c>
      <c r="L52" s="162">
        <f>'3FS'!S53</f>
        <v>0</v>
      </c>
      <c r="M52" s="162">
        <f>'3FS'!T53</f>
        <v>0</v>
      </c>
      <c r="N52" s="162">
        <f>'3FS'!U53</f>
        <v>0</v>
      </c>
      <c r="O52" s="863">
        <f>'3FS'!V53</f>
        <v>0</v>
      </c>
      <c r="P52" s="162">
        <f>'3FS'!W53</f>
        <v>0</v>
      </c>
      <c r="Q52" s="162">
        <f>'3FS'!X53</f>
        <v>400</v>
      </c>
      <c r="R52" s="162">
        <f>'3FS'!Y53</f>
        <v>-19</v>
      </c>
      <c r="S52" s="863">
        <f>'3FS'!Z53</f>
        <v>10</v>
      </c>
      <c r="T52" s="162">
        <f>'3FS'!AA53</f>
        <v>-43</v>
      </c>
      <c r="U52" s="162">
        <f>'3FS'!AB53</f>
        <v>0</v>
      </c>
      <c r="V52" s="162">
        <f>'3FS'!AC53</f>
        <v>0</v>
      </c>
      <c r="W52" s="863">
        <f>'3FS'!AD53</f>
        <v>1</v>
      </c>
      <c r="X52" s="162">
        <f>'3FS'!AE53</f>
        <v>0</v>
      </c>
      <c r="Y52" s="162">
        <f>'3FS'!AF53</f>
        <v>15</v>
      </c>
      <c r="Z52" s="162">
        <f>'3FS'!AG53</f>
        <v>1</v>
      </c>
      <c r="AA52" s="863">
        <f>'3FS'!AH53</f>
        <v>-105</v>
      </c>
      <c r="AB52" s="162">
        <f>'3FS'!AI53</f>
        <v>6</v>
      </c>
      <c r="AC52" s="162">
        <f>'3FS'!AJ53</f>
        <v>-4</v>
      </c>
      <c r="AD52" s="162">
        <f>'3FS'!AK53</f>
        <v>8</v>
      </c>
      <c r="AE52" s="902"/>
      <c r="AF52" s="371"/>
      <c r="AG52" s="371"/>
      <c r="AH52" s="371"/>
      <c r="AI52" s="902"/>
      <c r="AK52" s="162">
        <f>'3FS'!D53</f>
        <v>0</v>
      </c>
      <c r="AL52" s="162">
        <f>'3FS'!E53</f>
        <v>0</v>
      </c>
      <c r="AM52" s="162">
        <f>'3FS'!F53</f>
        <v>0</v>
      </c>
      <c r="AN52" s="162">
        <f>'3FS'!G53</f>
        <v>391</v>
      </c>
      <c r="AO52" s="162">
        <f>'3FS'!H53</f>
        <v>-42</v>
      </c>
      <c r="AP52" s="162">
        <f>'3FS'!I53</f>
        <v>-89</v>
      </c>
      <c r="AQ52" s="554">
        <f t="shared" si="194"/>
        <v>10</v>
      </c>
      <c r="AR52" s="554">
        <f t="shared" si="194"/>
        <v>0</v>
      </c>
      <c r="AS52" s="371"/>
    </row>
    <row r="53" spans="2:45" x14ac:dyDescent="0.2">
      <c r="B53" s="29" t="s">
        <v>21</v>
      </c>
      <c r="D53" s="161">
        <f t="shared" ref="D53:AI53" si="200">+D20</f>
        <v>0</v>
      </c>
      <c r="E53" s="161">
        <f t="shared" si="200"/>
        <v>0</v>
      </c>
      <c r="F53" s="161">
        <f t="shared" si="200"/>
        <v>0</v>
      </c>
      <c r="G53" s="640">
        <f t="shared" si="200"/>
        <v>0</v>
      </c>
      <c r="H53" s="161">
        <f t="shared" si="200"/>
        <v>0</v>
      </c>
      <c r="I53" s="161">
        <f t="shared" si="200"/>
        <v>0</v>
      </c>
      <c r="J53" s="161">
        <f t="shared" si="200"/>
        <v>0</v>
      </c>
      <c r="K53" s="640">
        <f t="shared" si="200"/>
        <v>0</v>
      </c>
      <c r="L53" s="161">
        <f t="shared" si="200"/>
        <v>0</v>
      </c>
      <c r="M53" s="161">
        <f t="shared" si="200"/>
        <v>0</v>
      </c>
      <c r="N53" s="161">
        <f t="shared" si="200"/>
        <v>0</v>
      </c>
      <c r="O53" s="640">
        <f t="shared" si="200"/>
        <v>0</v>
      </c>
      <c r="P53" s="161">
        <f t="shared" si="200"/>
        <v>0</v>
      </c>
      <c r="Q53" s="161">
        <f t="shared" si="200"/>
        <v>0</v>
      </c>
      <c r="R53" s="161">
        <f t="shared" si="200"/>
        <v>1071</v>
      </c>
      <c r="S53" s="640">
        <f t="shared" si="200"/>
        <v>16</v>
      </c>
      <c r="T53" s="161">
        <f t="shared" si="200"/>
        <v>-42</v>
      </c>
      <c r="U53" s="161">
        <f t="shared" si="200"/>
        <v>17</v>
      </c>
      <c r="V53" s="161">
        <f t="shared" si="200"/>
        <v>0</v>
      </c>
      <c r="W53" s="640">
        <f t="shared" si="200"/>
        <v>0</v>
      </c>
      <c r="X53" s="161">
        <f t="shared" si="200"/>
        <v>0</v>
      </c>
      <c r="Y53" s="161">
        <f t="shared" si="200"/>
        <v>0</v>
      </c>
      <c r="Z53" s="161">
        <f t="shared" si="200"/>
        <v>0</v>
      </c>
      <c r="AA53" s="640">
        <f t="shared" si="200"/>
        <v>0</v>
      </c>
      <c r="AB53" s="161">
        <f t="shared" si="200"/>
        <v>0</v>
      </c>
      <c r="AC53" s="161">
        <f t="shared" si="200"/>
        <v>0</v>
      </c>
      <c r="AD53" s="161">
        <f t="shared" si="200"/>
        <v>0</v>
      </c>
      <c r="AE53" s="970">
        <f t="shared" si="200"/>
        <v>0</v>
      </c>
      <c r="AF53" s="524">
        <f t="shared" si="200"/>
        <v>0</v>
      </c>
      <c r="AG53" s="524">
        <f t="shared" si="200"/>
        <v>0</v>
      </c>
      <c r="AH53" s="524">
        <f t="shared" si="200"/>
        <v>0</v>
      </c>
      <c r="AI53" s="970">
        <f t="shared" si="200"/>
        <v>0</v>
      </c>
      <c r="AK53" s="161">
        <f t="shared" ref="AK53:AP53" si="201">+AK20</f>
        <v>0</v>
      </c>
      <c r="AL53" s="161">
        <f t="shared" si="201"/>
        <v>0</v>
      </c>
      <c r="AM53" s="161">
        <f t="shared" si="201"/>
        <v>0</v>
      </c>
      <c r="AN53" s="161">
        <f t="shared" si="201"/>
        <v>1087</v>
      </c>
      <c r="AO53" s="161">
        <f t="shared" si="201"/>
        <v>-25</v>
      </c>
      <c r="AP53" s="161">
        <f t="shared" si="201"/>
        <v>0</v>
      </c>
      <c r="AQ53" s="554">
        <f t="shared" si="194"/>
        <v>0</v>
      </c>
      <c r="AR53" s="554">
        <f t="shared" si="194"/>
        <v>0</v>
      </c>
      <c r="AS53" s="524">
        <f>+AS20</f>
        <v>0</v>
      </c>
    </row>
    <row r="54" spans="2:45" x14ac:dyDescent="0.2">
      <c r="B54" s="29" t="s">
        <v>95</v>
      </c>
      <c r="D54" s="162">
        <f>+'3FS'!K55</f>
        <v>352</v>
      </c>
      <c r="E54" s="162">
        <f>+'3FS'!L55</f>
        <v>239</v>
      </c>
      <c r="F54" s="162">
        <f>+'3FS'!M55</f>
        <v>24</v>
      </c>
      <c r="G54" s="863">
        <f>+'3FS'!N55</f>
        <v>-157</v>
      </c>
      <c r="H54" s="162">
        <f>+'3FS'!O55</f>
        <v>249</v>
      </c>
      <c r="I54" s="162">
        <f>+'3FS'!P55</f>
        <v>346</v>
      </c>
      <c r="J54" s="162">
        <f>+'3FS'!Q55</f>
        <v>1</v>
      </c>
      <c r="K54" s="863">
        <f>+'3FS'!R55</f>
        <v>0</v>
      </c>
      <c r="L54" s="162">
        <f>+'3FS'!S55</f>
        <v>49</v>
      </c>
      <c r="M54" s="162">
        <f>+'3FS'!T55</f>
        <v>-17</v>
      </c>
      <c r="N54" s="162">
        <f>+'3FS'!U55</f>
        <v>0</v>
      </c>
      <c r="O54" s="863">
        <f>+'3FS'!V55</f>
        <v>-11</v>
      </c>
      <c r="P54" s="162">
        <f>+'3FS'!W55</f>
        <v>10</v>
      </c>
      <c r="Q54" s="162">
        <f>+'3FS'!X55</f>
        <v>110</v>
      </c>
      <c r="R54" s="162">
        <f>+'3FS'!Y55</f>
        <v>-48</v>
      </c>
      <c r="S54" s="863">
        <f>+'3FS'!Z55</f>
        <v>55</v>
      </c>
      <c r="T54" s="162">
        <f>+'3FS'!AA55</f>
        <v>153</v>
      </c>
      <c r="U54" s="162">
        <f>+'3FS'!AB55</f>
        <v>54</v>
      </c>
      <c r="V54" s="162">
        <f>+'3FS'!AC55</f>
        <v>513</v>
      </c>
      <c r="W54" s="863">
        <f>+'3FS'!AD55</f>
        <v>13</v>
      </c>
      <c r="X54" s="162">
        <f>+'3FS'!AE55</f>
        <v>13</v>
      </c>
      <c r="Y54" s="162">
        <f>+'3FS'!AF55</f>
        <v>22</v>
      </c>
      <c r="Z54" s="162">
        <f>+'3FS'!AG55</f>
        <v>152</v>
      </c>
      <c r="AA54" s="863">
        <f>+'3FS'!AH55</f>
        <v>130</v>
      </c>
      <c r="AB54" s="162">
        <f>+'3FS'!AI55</f>
        <v>73</v>
      </c>
      <c r="AC54" s="162">
        <f>+'3FS'!AJ55</f>
        <v>-19</v>
      </c>
      <c r="AD54" s="162">
        <f>+'3FS'!AK55</f>
        <v>170</v>
      </c>
      <c r="AE54" s="1208">
        <v>0</v>
      </c>
      <c r="AF54" s="332">
        <v>0</v>
      </c>
      <c r="AG54" s="332">
        <v>0</v>
      </c>
      <c r="AH54" s="332">
        <v>0</v>
      </c>
      <c r="AI54" s="1208">
        <v>0</v>
      </c>
      <c r="AK54" s="162">
        <f>+'3FS'!D55</f>
        <v>2</v>
      </c>
      <c r="AL54" s="162">
        <f>+'3FS'!E55</f>
        <v>596</v>
      </c>
      <c r="AM54" s="162">
        <f>+'3FS'!F55</f>
        <v>21</v>
      </c>
      <c r="AN54" s="162">
        <f>+'3FS'!G55</f>
        <v>127</v>
      </c>
      <c r="AO54" s="162">
        <f>+'3FS'!H55</f>
        <v>733</v>
      </c>
      <c r="AP54" s="162">
        <f>+'3FS'!I55</f>
        <v>317</v>
      </c>
      <c r="AQ54" s="554">
        <f t="shared" si="194"/>
        <v>224</v>
      </c>
      <c r="AR54" s="554">
        <f t="shared" si="194"/>
        <v>0</v>
      </c>
      <c r="AS54" s="332">
        <v>0</v>
      </c>
    </row>
    <row r="55" spans="2:45" x14ac:dyDescent="0.2">
      <c r="B55" s="29" t="s">
        <v>944</v>
      </c>
      <c r="D55" s="162"/>
      <c r="E55" s="162"/>
      <c r="F55" s="162"/>
      <c r="G55" s="863"/>
      <c r="H55" s="162"/>
      <c r="I55" s="162"/>
      <c r="J55" s="162"/>
      <c r="K55" s="863"/>
      <c r="L55" s="162"/>
      <c r="M55" s="162"/>
      <c r="N55" s="162"/>
      <c r="O55" s="863"/>
      <c r="P55" s="162"/>
      <c r="Q55" s="162"/>
      <c r="R55" s="162"/>
      <c r="S55" s="863"/>
      <c r="T55" s="162"/>
      <c r="U55" s="162"/>
      <c r="V55" s="162"/>
      <c r="W55" s="863"/>
      <c r="X55" s="162"/>
      <c r="Y55" s="162"/>
      <c r="Z55" s="162"/>
      <c r="AA55" s="863"/>
      <c r="AB55" s="162"/>
      <c r="AC55" s="162"/>
      <c r="AD55" s="162"/>
      <c r="AE55" s="901">
        <f>'IS Drivers'!AE218</f>
        <v>460</v>
      </c>
      <c r="AF55" s="554">
        <f>'IS Drivers'!AF218</f>
        <v>385</v>
      </c>
      <c r="AG55" s="554">
        <f>'IS Drivers'!AG218</f>
        <v>385</v>
      </c>
      <c r="AH55" s="554">
        <f>'IS Drivers'!AH218</f>
        <v>385</v>
      </c>
      <c r="AI55" s="901">
        <f>'IS Drivers'!AI218</f>
        <v>385</v>
      </c>
      <c r="AK55" s="162"/>
      <c r="AL55" s="162"/>
      <c r="AM55" s="162"/>
      <c r="AN55" s="162"/>
      <c r="AO55" s="162"/>
      <c r="AP55" s="162"/>
      <c r="AQ55" s="554">
        <f t="shared" si="194"/>
        <v>460</v>
      </c>
      <c r="AR55" s="554">
        <f t="shared" si="194"/>
        <v>1540</v>
      </c>
      <c r="AS55" s="554">
        <f>'IS Drivers'!AS218</f>
        <v>660</v>
      </c>
    </row>
    <row r="56" spans="2:45" s="3" customFormat="1" x14ac:dyDescent="0.2">
      <c r="B56" s="179" t="s">
        <v>130</v>
      </c>
      <c r="C56" s="180"/>
      <c r="D56" s="178">
        <f t="shared" ref="D56:AD56" si="202">+SUM(D46:D54)</f>
        <v>6872</v>
      </c>
      <c r="E56" s="178">
        <f t="shared" si="202"/>
        <v>6963</v>
      </c>
      <c r="F56" s="178">
        <f t="shared" si="202"/>
        <v>6405</v>
      </c>
      <c r="G56" s="909">
        <f t="shared" si="202"/>
        <v>6178</v>
      </c>
      <c r="H56" s="178">
        <f t="shared" si="202"/>
        <v>6651</v>
      </c>
      <c r="I56" s="178">
        <f t="shared" si="202"/>
        <v>7017</v>
      </c>
      <c r="J56" s="178">
        <f t="shared" si="202"/>
        <v>7129</v>
      </c>
      <c r="K56" s="909">
        <f t="shared" si="202"/>
        <v>6746</v>
      </c>
      <c r="L56" s="178">
        <f t="shared" si="202"/>
        <v>6905</v>
      </c>
      <c r="M56" s="178">
        <f t="shared" si="202"/>
        <v>6906</v>
      </c>
      <c r="N56" s="178">
        <f t="shared" si="202"/>
        <v>6811</v>
      </c>
      <c r="O56" s="909">
        <f t="shared" si="202"/>
        <v>6302</v>
      </c>
      <c r="P56" s="178">
        <f t="shared" si="202"/>
        <v>6950</v>
      </c>
      <c r="Q56" s="178">
        <f t="shared" si="202"/>
        <v>7004</v>
      </c>
      <c r="R56" s="178">
        <f t="shared" si="202"/>
        <v>7039</v>
      </c>
      <c r="S56" s="909">
        <f t="shared" si="202"/>
        <v>6828</v>
      </c>
      <c r="T56" s="178">
        <f t="shared" si="202"/>
        <v>7199</v>
      </c>
      <c r="U56" s="178">
        <f t="shared" si="202"/>
        <v>7405</v>
      </c>
      <c r="V56" s="178">
        <f t="shared" si="202"/>
        <v>7600</v>
      </c>
      <c r="W56" s="909">
        <f t="shared" si="202"/>
        <v>7224</v>
      </c>
      <c r="X56" s="178">
        <f t="shared" si="202"/>
        <v>7652</v>
      </c>
      <c r="Y56" s="178">
        <f t="shared" si="202"/>
        <v>8053</v>
      </c>
      <c r="Z56" s="178">
        <f t="shared" si="202"/>
        <v>8243</v>
      </c>
      <c r="AA56" s="909">
        <f t="shared" si="202"/>
        <v>7916</v>
      </c>
      <c r="AB56" s="178">
        <f t="shared" si="202"/>
        <v>8259</v>
      </c>
      <c r="AC56" s="178">
        <f t="shared" si="202"/>
        <v>8547</v>
      </c>
      <c r="AD56" s="178">
        <f t="shared" si="202"/>
        <v>8684</v>
      </c>
      <c r="AE56" s="1212">
        <f>+SUM(AE46:AE55)</f>
        <v>8394.3924876278943</v>
      </c>
      <c r="AF56" s="1213">
        <f>+SUM(AF46:AF55)</f>
        <v>9279.30164781641</v>
      </c>
      <c r="AG56" s="1213">
        <f>+SUM(AG46:AG55)</f>
        <v>9624.8082936674127</v>
      </c>
      <c r="AH56" s="1213">
        <f>+SUM(AH46:AH55)</f>
        <v>9319.7855125316564</v>
      </c>
      <c r="AI56" s="1212">
        <f>+SUM(AI46:AI55)</f>
        <v>9159.2499547615698</v>
      </c>
      <c r="AK56" s="178">
        <f t="shared" ref="AK56:AP56" si="203">+SUM(AK46:AK54)</f>
        <v>13383</v>
      </c>
      <c r="AL56" s="178">
        <f t="shared" si="203"/>
        <v>25140</v>
      </c>
      <c r="AM56" s="178">
        <f t="shared" si="203"/>
        <v>26924</v>
      </c>
      <c r="AN56" s="178">
        <f t="shared" si="203"/>
        <v>27821</v>
      </c>
      <c r="AO56" s="178">
        <f t="shared" si="203"/>
        <v>29428</v>
      </c>
      <c r="AP56" s="178">
        <f t="shared" si="203"/>
        <v>31864</v>
      </c>
      <c r="AQ56" s="1213">
        <f t="shared" ref="AQ56:AS56" si="204">+SUM(AQ46:AQ55)</f>
        <v>33884.392487627898</v>
      </c>
      <c r="AR56" s="1213">
        <f t="shared" si="204"/>
        <v>37383.145408777047</v>
      </c>
      <c r="AS56" s="1213">
        <f t="shared" si="204"/>
        <v>40069.346882909696</v>
      </c>
    </row>
    <row r="57" spans="2:45" x14ac:dyDescent="0.2">
      <c r="B57" s="29" t="s">
        <v>132</v>
      </c>
      <c r="D57" s="162"/>
      <c r="E57" s="162"/>
      <c r="F57" s="162">
        <f>+'3FS'!M57</f>
        <v>-1472</v>
      </c>
      <c r="G57" s="863">
        <f>+'3FS'!N57</f>
        <v>-1445</v>
      </c>
      <c r="H57" s="162">
        <f>+'3FS'!O57</f>
        <v>-1402</v>
      </c>
      <c r="I57" s="162">
        <f>+'3FS'!P57</f>
        <v>-1421</v>
      </c>
      <c r="J57" s="162">
        <f>+'3FS'!Q57</f>
        <v>-1350</v>
      </c>
      <c r="K57" s="863">
        <f>+'3FS'!R57</f>
        <v>-1245</v>
      </c>
      <c r="L57" s="162">
        <f>+'3FS'!S57</f>
        <v>-1041</v>
      </c>
      <c r="M57" s="162">
        <f>+'3FS'!T57</f>
        <v>-914</v>
      </c>
      <c r="N57" s="162">
        <f>+'3FS'!U57</f>
        <v>-770</v>
      </c>
      <c r="O57" s="863">
        <f>+'3FS'!V57</f>
        <v>-623</v>
      </c>
      <c r="P57" s="162">
        <f>+'3FS'!W57</f>
        <v>-487</v>
      </c>
      <c r="Q57" s="162">
        <f>+'3FS'!X57</f>
        <v>-386</v>
      </c>
      <c r="R57" s="162">
        <f>+'3FS'!Y57</f>
        <v>-311</v>
      </c>
      <c r="S57" s="863">
        <f>+'3FS'!Z57</f>
        <v>-246</v>
      </c>
      <c r="T57" s="162">
        <f>+'3FS'!AA57</f>
        <v>-147</v>
      </c>
      <c r="U57" s="162">
        <f>+'3FS'!AB57</f>
        <v>-69</v>
      </c>
      <c r="V57" s="162">
        <f>+'3FS'!AC57</f>
        <v>-53</v>
      </c>
      <c r="W57" s="863">
        <f>+'3FS'!AD57</f>
        <v>-43</v>
      </c>
      <c r="X57" s="162">
        <f>+'3FS'!AE57</f>
        <v>-35</v>
      </c>
      <c r="Y57" s="162">
        <f>+'3FS'!AF57</f>
        <v>-26</v>
      </c>
      <c r="Z57" s="162">
        <f>+'3FS'!AG57</f>
        <v>-21</v>
      </c>
      <c r="AA57" s="863">
        <f>+'3FS'!AH57</f>
        <v>-11</v>
      </c>
      <c r="AB57" s="162">
        <f>+'3FS'!AI57</f>
        <v>-1</v>
      </c>
      <c r="AC57" s="162">
        <f>+'3FS'!AJ57</f>
        <v>-6</v>
      </c>
      <c r="AD57" s="162">
        <f>+'3FS'!AK57</f>
        <v>-4</v>
      </c>
      <c r="AE57" s="902">
        <f>-'IS Drivers'!AE14</f>
        <v>-4</v>
      </c>
      <c r="AF57" s="371">
        <f>-'IS Drivers'!AF14</f>
        <v>-4</v>
      </c>
      <c r="AG57" s="371">
        <f>-'IS Drivers'!AG14</f>
        <v>-4</v>
      </c>
      <c r="AH57" s="371">
        <f>-'IS Drivers'!AH14</f>
        <v>-4</v>
      </c>
      <c r="AI57" s="902">
        <f>-'IS Drivers'!AI14</f>
        <v>-4</v>
      </c>
      <c r="AK57" s="162">
        <f>+'3FS'!D57</f>
        <v>0</v>
      </c>
      <c r="AL57" s="162">
        <f>+'3FS'!E57</f>
        <v>-5418</v>
      </c>
      <c r="AM57" s="162">
        <f>+'3FS'!F57</f>
        <v>-3348</v>
      </c>
      <c r="AN57" s="162">
        <f>+'3FS'!G57</f>
        <v>-1430</v>
      </c>
      <c r="AO57" s="162">
        <f>+'3FS'!H57</f>
        <v>-312</v>
      </c>
      <c r="AP57" s="162">
        <f>+'3FS'!I57</f>
        <v>-93</v>
      </c>
      <c r="AQ57" s="554">
        <f t="shared" ref="AQ57:AR57" si="205">SUMIFS($F57:$AI57,$F$3:$AI$3,AQ$3)</f>
        <v>-15</v>
      </c>
      <c r="AR57" s="554">
        <f t="shared" si="205"/>
        <v>-16</v>
      </c>
      <c r="AS57" s="371">
        <f>-'IS Drivers'!AS14</f>
        <v>0</v>
      </c>
    </row>
    <row r="58" spans="2:45" s="3" customFormat="1" ht="12.75" thickBot="1" x14ac:dyDescent="0.25">
      <c r="B58" s="181" t="s">
        <v>133</v>
      </c>
      <c r="C58" s="182"/>
      <c r="D58" s="175">
        <f t="shared" ref="D58:F58" si="206">+D57+D56</f>
        <v>6872</v>
      </c>
      <c r="E58" s="175">
        <f t="shared" si="206"/>
        <v>6963</v>
      </c>
      <c r="F58" s="175">
        <f t="shared" si="206"/>
        <v>4933</v>
      </c>
      <c r="G58" s="910">
        <f t="shared" ref="G58" si="207">+G57+G56</f>
        <v>4733</v>
      </c>
      <c r="H58" s="175">
        <f t="shared" ref="H58" si="208">+H57+H56</f>
        <v>5249</v>
      </c>
      <c r="I58" s="175">
        <f t="shared" ref="I58" si="209">+I57+I56</f>
        <v>5596</v>
      </c>
      <c r="J58" s="175">
        <f t="shared" ref="J58" si="210">+J57+J56</f>
        <v>5779</v>
      </c>
      <c r="K58" s="910">
        <f t="shared" ref="K58" si="211">+K57+K56</f>
        <v>5501</v>
      </c>
      <c r="L58" s="175">
        <f t="shared" ref="L58" si="212">+L57+L56</f>
        <v>5864</v>
      </c>
      <c r="M58" s="175">
        <f t="shared" ref="M58" si="213">+M57+M56</f>
        <v>5992</v>
      </c>
      <c r="N58" s="175">
        <f t="shared" ref="N58" si="214">+N57+N56</f>
        <v>6041</v>
      </c>
      <c r="O58" s="910">
        <f t="shared" ref="O58" si="215">+O57+O56</f>
        <v>5679</v>
      </c>
      <c r="P58" s="175">
        <f t="shared" ref="P58" si="216">+P57+P56</f>
        <v>6463</v>
      </c>
      <c r="Q58" s="175">
        <f t="shared" ref="Q58" si="217">+Q57+Q56</f>
        <v>6618</v>
      </c>
      <c r="R58" s="175">
        <f t="shared" ref="R58" si="218">+R57+R56</f>
        <v>6728</v>
      </c>
      <c r="S58" s="910">
        <f t="shared" ref="S58" si="219">+S57+S56</f>
        <v>6582</v>
      </c>
      <c r="T58" s="175">
        <f t="shared" ref="T58" si="220">+T57+T56</f>
        <v>7052</v>
      </c>
      <c r="U58" s="175">
        <f t="shared" ref="U58" si="221">+U57+U56</f>
        <v>7336</v>
      </c>
      <c r="V58" s="175">
        <f t="shared" ref="V58" si="222">+V57+V56</f>
        <v>7547</v>
      </c>
      <c r="W58" s="910">
        <f t="shared" ref="W58" si="223">+W57+W56</f>
        <v>7181</v>
      </c>
      <c r="X58" s="175">
        <f t="shared" ref="X58" si="224">+X57+X56</f>
        <v>7617</v>
      </c>
      <c r="Y58" s="175">
        <f t="shared" ref="Y58" si="225">+Y57+Y56</f>
        <v>8027</v>
      </c>
      <c r="Z58" s="175">
        <f t="shared" ref="Z58:AA58" si="226">+Z57+Z56</f>
        <v>8222</v>
      </c>
      <c r="AA58" s="910">
        <f t="shared" si="226"/>
        <v>7905</v>
      </c>
      <c r="AB58" s="175">
        <f t="shared" ref="AB58:AC58" si="227">+AB57+AB56</f>
        <v>8258</v>
      </c>
      <c r="AC58" s="175">
        <f t="shared" si="227"/>
        <v>8541</v>
      </c>
      <c r="AD58" s="175">
        <f t="shared" ref="AD58" si="228">+AD57+AD56</f>
        <v>8680</v>
      </c>
      <c r="AE58" s="1214">
        <f t="shared" ref="AE58" si="229">+AE57+AE56</f>
        <v>8390.3924876278943</v>
      </c>
      <c r="AF58" s="1215">
        <f t="shared" ref="AF58" si="230">+AF57+AF56</f>
        <v>9275.30164781641</v>
      </c>
      <c r="AG58" s="1215">
        <f t="shared" ref="AG58" si="231">+AG57+AG56</f>
        <v>9620.8082936674127</v>
      </c>
      <c r="AH58" s="1215">
        <f t="shared" ref="AH58" si="232">+AH57+AH56</f>
        <v>9315.7855125316564</v>
      </c>
      <c r="AI58" s="1214">
        <f t="shared" ref="AI58" si="233">+AI57+AI56</f>
        <v>9155.2499547615698</v>
      </c>
      <c r="AK58" s="175">
        <f t="shared" ref="AK58:AO58" si="234">+AK57+AK56</f>
        <v>13383</v>
      </c>
      <c r="AL58" s="175">
        <f t="shared" si="234"/>
        <v>19722</v>
      </c>
      <c r="AM58" s="175">
        <f t="shared" si="234"/>
        <v>23576</v>
      </c>
      <c r="AN58" s="175">
        <f t="shared" si="234"/>
        <v>26391</v>
      </c>
      <c r="AO58" s="175">
        <f t="shared" si="234"/>
        <v>29116</v>
      </c>
      <c r="AP58" s="175">
        <f t="shared" ref="AP58" si="235">+AP57+AP56</f>
        <v>31771</v>
      </c>
      <c r="AQ58" s="1215">
        <f t="shared" ref="AQ58:AS58" si="236">+AQ57+AQ56</f>
        <v>33869.392487627898</v>
      </c>
      <c r="AR58" s="1215">
        <f t="shared" si="236"/>
        <v>37367.145408777047</v>
      </c>
      <c r="AS58" s="1215">
        <f t="shared" si="236"/>
        <v>40069.346882909696</v>
      </c>
    </row>
    <row r="59" spans="2:45" x14ac:dyDescent="0.2">
      <c r="B59" s="137" t="s">
        <v>194</v>
      </c>
      <c r="D59" s="174">
        <f t="shared" ref="D59:AI59" si="237">+D56/D11</f>
        <v>0.53267188590031778</v>
      </c>
      <c r="E59" s="174">
        <f t="shared" si="237"/>
        <v>0.53528597785977861</v>
      </c>
      <c r="F59" s="174">
        <f t="shared" si="237"/>
        <v>0.49612703330751357</v>
      </c>
      <c r="G59" s="911">
        <f t="shared" si="237"/>
        <v>0.46774682010902485</v>
      </c>
      <c r="H59" s="174">
        <f t="shared" si="237"/>
        <v>0.50397817685837687</v>
      </c>
      <c r="I59" s="174">
        <f t="shared" si="237"/>
        <v>0.53038548752834469</v>
      </c>
      <c r="J59" s="174">
        <f t="shared" si="237"/>
        <v>0.50420821840299879</v>
      </c>
      <c r="K59" s="911">
        <f t="shared" si="237"/>
        <v>0.47574047954866011</v>
      </c>
      <c r="L59" s="174">
        <f t="shared" si="237"/>
        <v>0.48654171364148818</v>
      </c>
      <c r="M59" s="174">
        <f t="shared" si="237"/>
        <v>0.47653878001656086</v>
      </c>
      <c r="N59" s="174">
        <f t="shared" si="237"/>
        <v>0.46264094552370599</v>
      </c>
      <c r="O59" s="911">
        <f t="shared" si="237"/>
        <v>0.42117222482122568</v>
      </c>
      <c r="P59" s="174">
        <f t="shared" si="237"/>
        <v>0.45941300898995241</v>
      </c>
      <c r="Q59" s="174">
        <f t="shared" si="237"/>
        <v>0.45729955601984851</v>
      </c>
      <c r="R59" s="174">
        <f t="shared" si="237"/>
        <v>0.45823839593776444</v>
      </c>
      <c r="S59" s="911">
        <f t="shared" si="237"/>
        <v>0.44000515530351847</v>
      </c>
      <c r="T59" s="174">
        <f t="shared" si="237"/>
        <v>0.46307731892448217</v>
      </c>
      <c r="U59" s="174">
        <f t="shared" si="237"/>
        <v>0.47051721946880165</v>
      </c>
      <c r="V59" s="174">
        <f t="shared" si="237"/>
        <v>0.47756692220686187</v>
      </c>
      <c r="W59" s="911">
        <f t="shared" si="237"/>
        <v>0.45028984603877081</v>
      </c>
      <c r="X59" s="174">
        <f t="shared" si="237"/>
        <v>0.47539761431411531</v>
      </c>
      <c r="Y59" s="174">
        <f t="shared" si="237"/>
        <v>0.49016982165682632</v>
      </c>
      <c r="Z59" s="174">
        <f t="shared" si="237"/>
        <v>0.49285500747384153</v>
      </c>
      <c r="AA59" s="911">
        <f t="shared" si="237"/>
        <v>0.46762759924385633</v>
      </c>
      <c r="AB59" s="174">
        <f t="shared" si="237"/>
        <v>0.48797636632200886</v>
      </c>
      <c r="AC59" s="174">
        <f t="shared" si="237"/>
        <v>0.49013648354169054</v>
      </c>
      <c r="AD59" s="174">
        <f t="shared" si="237"/>
        <v>0.47607039087769309</v>
      </c>
      <c r="AE59" s="925">
        <f t="shared" si="237"/>
        <v>0.45234296080722092</v>
      </c>
      <c r="AF59" s="384">
        <f t="shared" si="237"/>
        <v>0.50068760984924976</v>
      </c>
      <c r="AG59" s="384">
        <f t="shared" si="237"/>
        <v>0.50396529433410675</v>
      </c>
      <c r="AH59" s="384">
        <f t="shared" si="237"/>
        <v>0.47775262717303296</v>
      </c>
      <c r="AI59" s="925">
        <f t="shared" si="237"/>
        <v>0.46639685731558095</v>
      </c>
      <c r="AK59" s="174">
        <f t="shared" ref="AK59:AS59" si="238">+AK56/AK11</f>
        <v>0.38791304347826089</v>
      </c>
      <c r="AL59" s="174">
        <f t="shared" si="238"/>
        <v>0.49885901379105069</v>
      </c>
      <c r="AM59" s="174">
        <f t="shared" si="238"/>
        <v>0.46127225068101219</v>
      </c>
      <c r="AN59" s="174">
        <f t="shared" si="238"/>
        <v>0.45367969603574515</v>
      </c>
      <c r="AO59" s="174">
        <f t="shared" si="238"/>
        <v>0.46533103524612196</v>
      </c>
      <c r="AP59" s="174">
        <f t="shared" si="238"/>
        <v>0.48148931669134759</v>
      </c>
      <c r="AQ59" s="384">
        <f t="shared" si="238"/>
        <v>0.47616130203366941</v>
      </c>
      <c r="AR59" s="384">
        <f t="shared" si="238"/>
        <v>0.48690459676208048</v>
      </c>
      <c r="AS59" s="384">
        <f t="shared" si="238"/>
        <v>0.4943678983688965</v>
      </c>
    </row>
    <row r="60" spans="2:45" x14ac:dyDescent="0.2">
      <c r="B60" s="137" t="s">
        <v>195</v>
      </c>
      <c r="D60" s="174"/>
      <c r="E60" s="174"/>
      <c r="F60" s="174">
        <f t="shared" ref="F60:AI60" si="239">+F58/F11</f>
        <v>0.38210689388071262</v>
      </c>
      <c r="G60" s="911">
        <f t="shared" si="239"/>
        <v>0.35834342822531801</v>
      </c>
      <c r="H60" s="174">
        <f t="shared" si="239"/>
        <v>0.39774191104038797</v>
      </c>
      <c r="I60" s="174">
        <f t="shared" si="239"/>
        <v>0.42297808012093724</v>
      </c>
      <c r="J60" s="174">
        <f t="shared" si="239"/>
        <v>0.40872763278874036</v>
      </c>
      <c r="K60" s="911">
        <f t="shared" si="239"/>
        <v>0.38794076163610719</v>
      </c>
      <c r="L60" s="174">
        <f t="shared" si="239"/>
        <v>0.41319052987598648</v>
      </c>
      <c r="M60" s="174">
        <f t="shared" si="239"/>
        <v>0.41346950041402153</v>
      </c>
      <c r="N60" s="174">
        <f t="shared" si="239"/>
        <v>0.41033826925689443</v>
      </c>
      <c r="O60" s="911">
        <f t="shared" si="239"/>
        <v>0.37953618926685823</v>
      </c>
      <c r="P60" s="174">
        <f t="shared" si="239"/>
        <v>0.42722104706504493</v>
      </c>
      <c r="Q60" s="174">
        <f t="shared" si="239"/>
        <v>0.43209715330373466</v>
      </c>
      <c r="R60" s="174">
        <f t="shared" si="239"/>
        <v>0.43799231820844997</v>
      </c>
      <c r="S60" s="911">
        <f t="shared" si="239"/>
        <v>0.42415259698414742</v>
      </c>
      <c r="T60" s="174">
        <f t="shared" si="239"/>
        <v>0.45362151035636178</v>
      </c>
      <c r="U60" s="174">
        <f t="shared" si="239"/>
        <v>0.46613292667429151</v>
      </c>
      <c r="V60" s="174">
        <f t="shared" si="239"/>
        <v>0.47423652130199823</v>
      </c>
      <c r="W60" s="911">
        <f t="shared" si="239"/>
        <v>0.4476095493361591</v>
      </c>
      <c r="X60" s="174">
        <f t="shared" si="239"/>
        <v>0.47322316103379719</v>
      </c>
      <c r="Y60" s="174">
        <f t="shared" si="239"/>
        <v>0.48858725424554145</v>
      </c>
      <c r="Z60" s="174">
        <f t="shared" si="239"/>
        <v>0.49159940209267561</v>
      </c>
      <c r="AA60" s="911">
        <f t="shared" si="239"/>
        <v>0.46697778827977315</v>
      </c>
      <c r="AB60" s="174">
        <f t="shared" si="239"/>
        <v>0.487917282127031</v>
      </c>
      <c r="AC60" s="174">
        <f t="shared" si="239"/>
        <v>0.48979240738616814</v>
      </c>
      <c r="AD60" s="174">
        <f t="shared" si="239"/>
        <v>0.4758511046543501</v>
      </c>
      <c r="AE60" s="925">
        <f t="shared" si="239"/>
        <v>0.45212741550767771</v>
      </c>
      <c r="AF60" s="384">
        <f t="shared" si="239"/>
        <v>0.5004717799823688</v>
      </c>
      <c r="AG60" s="384">
        <f t="shared" si="239"/>
        <v>0.50375585004017076</v>
      </c>
      <c r="AH60" s="384">
        <f t="shared" si="239"/>
        <v>0.47754757840810996</v>
      </c>
      <c r="AI60" s="925">
        <f t="shared" si="239"/>
        <v>0.46619317388751896</v>
      </c>
      <c r="AK60" s="174">
        <f t="shared" ref="AK60:AS60" si="240">+AK58/AK11</f>
        <v>0.38791304347826089</v>
      </c>
      <c r="AL60" s="174">
        <f t="shared" si="240"/>
        <v>0.39134834805040181</v>
      </c>
      <c r="AM60" s="174">
        <f t="shared" si="240"/>
        <v>0.40391303602939915</v>
      </c>
      <c r="AN60" s="174">
        <f t="shared" si="240"/>
        <v>0.43036054987525074</v>
      </c>
      <c r="AO60" s="174">
        <f t="shared" si="240"/>
        <v>0.46039752692082669</v>
      </c>
      <c r="AP60" s="174">
        <f t="shared" si="240"/>
        <v>0.48008401583607846</v>
      </c>
      <c r="AQ60" s="384">
        <f t="shared" si="240"/>
        <v>0.47595051414561407</v>
      </c>
      <c r="AR60" s="384">
        <f t="shared" si="240"/>
        <v>0.48669620141538061</v>
      </c>
      <c r="AS60" s="384">
        <f t="shared" si="240"/>
        <v>0.4943678983688965</v>
      </c>
    </row>
    <row r="61" spans="2:45" x14ac:dyDescent="0.2">
      <c r="B61" s="137" t="s">
        <v>767</v>
      </c>
      <c r="D61" s="174"/>
      <c r="E61" s="174"/>
      <c r="F61" s="174">
        <f t="shared" ref="F61:AI61" si="241">+F23/F14</f>
        <v>8.6063909992460705E-2</v>
      </c>
      <c r="G61" s="911">
        <f t="shared" si="241"/>
        <v>8.1870385561936015E-2</v>
      </c>
      <c r="H61" s="174">
        <f t="shared" si="241"/>
        <v>9.4554227941176475E-2</v>
      </c>
      <c r="I61" s="174">
        <f t="shared" si="241"/>
        <v>4.6403712296983757E-2</v>
      </c>
      <c r="J61" s="174">
        <f t="shared" si="241"/>
        <v>0.13309464508094646</v>
      </c>
      <c r="K61" s="911">
        <f t="shared" si="241"/>
        <v>8.4164986972125266E-2</v>
      </c>
      <c r="L61" s="174">
        <f t="shared" si="241"/>
        <v>0.1082544663191457</v>
      </c>
      <c r="M61" s="174">
        <f t="shared" si="241"/>
        <v>0.1055639097744361</v>
      </c>
      <c r="N61" s="174">
        <f t="shared" si="241"/>
        <v>8.0717488789237665E-2</v>
      </c>
      <c r="O61" s="911">
        <f t="shared" si="241"/>
        <v>5.1142650950204475E-2</v>
      </c>
      <c r="P61" s="174">
        <f t="shared" si="241"/>
        <v>8.9761431411530812E-2</v>
      </c>
      <c r="Q61" s="174">
        <f t="shared" si="241"/>
        <v>3.5988020912644025E-2</v>
      </c>
      <c r="R61" s="174">
        <f t="shared" si="241"/>
        <v>6.5769882425424864E-2</v>
      </c>
      <c r="S61" s="911">
        <f t="shared" si="241"/>
        <v>0.1355004192768707</v>
      </c>
      <c r="T61" s="174">
        <f t="shared" si="241"/>
        <v>0.17303382233088835</v>
      </c>
      <c r="U61" s="174">
        <f t="shared" si="241"/>
        <v>0.19759324859345698</v>
      </c>
      <c r="V61" s="174">
        <f t="shared" si="241"/>
        <v>0.18678578848950758</v>
      </c>
      <c r="W61" s="911">
        <f t="shared" si="241"/>
        <v>0.16993847055376501</v>
      </c>
      <c r="X61" s="174">
        <f t="shared" si="241"/>
        <v>0.20404205368990508</v>
      </c>
      <c r="Y61" s="174">
        <f t="shared" si="241"/>
        <v>0.23416953267246612</v>
      </c>
      <c r="Z61" s="174">
        <f t="shared" si="241"/>
        <v>0.23787322686241444</v>
      </c>
      <c r="AA61" s="911">
        <f t="shared" si="241"/>
        <v>0.20967446964155084</v>
      </c>
      <c r="AB61" s="174">
        <f t="shared" si="241"/>
        <v>0.2298190175237001</v>
      </c>
      <c r="AC61" s="174">
        <f t="shared" si="241"/>
        <v>0.24668748816960059</v>
      </c>
      <c r="AD61" s="174">
        <f t="shared" si="241"/>
        <v>0.20631233775105889</v>
      </c>
      <c r="AE61" s="925">
        <f t="shared" si="241"/>
        <v>0.16907927851852914</v>
      </c>
      <c r="AF61" s="384">
        <f t="shared" si="241"/>
        <v>0.21952141402619227</v>
      </c>
      <c r="AG61" s="384">
        <f t="shared" si="241"/>
        <v>0.23339872874658643</v>
      </c>
      <c r="AH61" s="384">
        <f t="shared" si="241"/>
        <v>0.22040959603922872</v>
      </c>
      <c r="AI61" s="925">
        <f t="shared" si="241"/>
        <v>0.20207666076667122</v>
      </c>
      <c r="AK61" s="174">
        <f t="shared" ref="AK61:AS61" si="242">+AK23/AK14</f>
        <v>0.12716120716476287</v>
      </c>
      <c r="AL61" s="174">
        <f t="shared" si="242"/>
        <v>9.7021799201719369E-2</v>
      </c>
      <c r="AM61" s="174">
        <f t="shared" si="242"/>
        <v>8.6023115904041533E-2</v>
      </c>
      <c r="AN61" s="174">
        <f t="shared" si="242"/>
        <v>8.2228450063465339E-2</v>
      </c>
      <c r="AO61" s="174">
        <f t="shared" si="242"/>
        <v>0.18159830952926501</v>
      </c>
      <c r="AP61" s="174">
        <f t="shared" si="242"/>
        <v>0.22125307125307125</v>
      </c>
      <c r="AQ61" s="384">
        <f t="shared" si="242"/>
        <v>0.21149543557477812</v>
      </c>
      <c r="AR61" s="384">
        <f t="shared" si="242"/>
        <v>0.21848411073186511</v>
      </c>
      <c r="AS61" s="384">
        <f t="shared" si="242"/>
        <v>0.2391527208382139</v>
      </c>
    </row>
    <row r="62" spans="2:45" x14ac:dyDescent="0.2">
      <c r="B62" s="137"/>
      <c r="D62" s="174"/>
      <c r="E62" s="174"/>
      <c r="F62" s="174"/>
      <c r="G62" s="911"/>
      <c r="H62" s="174"/>
      <c r="I62" s="174"/>
      <c r="J62" s="174"/>
      <c r="K62" s="911"/>
      <c r="L62" s="174"/>
      <c r="M62" s="174"/>
      <c r="N62" s="174"/>
      <c r="O62" s="911"/>
      <c r="P62" s="174"/>
      <c r="Q62" s="174"/>
      <c r="R62" s="174"/>
      <c r="S62" s="911"/>
      <c r="T62" s="174"/>
      <c r="U62" s="174"/>
      <c r="V62" s="174"/>
      <c r="W62" s="911"/>
      <c r="X62" s="174"/>
      <c r="Y62" s="174"/>
      <c r="Z62" s="174"/>
      <c r="AA62" s="911"/>
      <c r="AB62" s="174"/>
      <c r="AC62" s="174"/>
      <c r="AD62" s="174"/>
      <c r="AE62" s="925"/>
      <c r="AF62" s="384"/>
      <c r="AG62" s="384"/>
      <c r="AH62" s="384"/>
      <c r="AI62" s="925"/>
      <c r="AK62" s="174"/>
      <c r="AL62" s="174"/>
      <c r="AM62" s="174"/>
      <c r="AN62" s="174"/>
      <c r="AO62" s="174"/>
      <c r="AP62" s="174"/>
      <c r="AQ62" s="384"/>
      <c r="AR62" s="384"/>
      <c r="AS62" s="384"/>
    </row>
    <row r="63" spans="2:45" s="1126" customFormat="1" x14ac:dyDescent="0.2">
      <c r="B63" s="1125" t="s">
        <v>887</v>
      </c>
      <c r="D63" s="1127"/>
      <c r="E63" s="1127"/>
      <c r="F63" s="1127"/>
      <c r="G63" s="1128"/>
      <c r="H63" s="1127">
        <f t="shared" ref="H63:AH63" si="243">H56/D56-1</f>
        <v>-3.2159487776484252E-2</v>
      </c>
      <c r="I63" s="1127">
        <f t="shared" si="243"/>
        <v>7.7552778974578906E-3</v>
      </c>
      <c r="J63" s="1127">
        <f t="shared" si="243"/>
        <v>0.11303669008587036</v>
      </c>
      <c r="K63" s="1128">
        <f t="shared" si="243"/>
        <v>9.1939138879896465E-2</v>
      </c>
      <c r="L63" s="1127">
        <f t="shared" si="243"/>
        <v>3.8189745902871719E-2</v>
      </c>
      <c r="M63" s="1127">
        <f t="shared" si="243"/>
        <v>-1.5818725951261214E-2</v>
      </c>
      <c r="N63" s="1127">
        <f t="shared" si="243"/>
        <v>-4.4606536681161435E-2</v>
      </c>
      <c r="O63" s="1128">
        <f t="shared" si="243"/>
        <v>-6.5816780314260304E-2</v>
      </c>
      <c r="P63" s="1127">
        <f t="shared" si="243"/>
        <v>6.517016654598029E-3</v>
      </c>
      <c r="Q63" s="1127">
        <f t="shared" si="243"/>
        <v>1.4190558934260133E-2</v>
      </c>
      <c r="R63" s="1127">
        <f t="shared" si="243"/>
        <v>3.347526060784034E-2</v>
      </c>
      <c r="S63" s="1128">
        <f t="shared" si="243"/>
        <v>8.3465566486829568E-2</v>
      </c>
      <c r="T63" s="1127">
        <f t="shared" si="243"/>
        <v>3.5827338129496455E-2</v>
      </c>
      <c r="U63" s="1127">
        <f t="shared" si="243"/>
        <v>5.7252998286693391E-2</v>
      </c>
      <c r="V63" s="1127">
        <f t="shared" si="243"/>
        <v>7.9698820855235164E-2</v>
      </c>
      <c r="W63" s="1128">
        <f t="shared" si="243"/>
        <v>5.7996485061511338E-2</v>
      </c>
      <c r="X63" s="1127">
        <f t="shared" si="243"/>
        <v>6.2925406306431508E-2</v>
      </c>
      <c r="Y63" s="1127">
        <f t="shared" si="243"/>
        <v>8.7508440243079022E-2</v>
      </c>
      <c r="Z63" s="1127">
        <f t="shared" si="243"/>
        <v>8.4605263157894628E-2</v>
      </c>
      <c r="AA63" s="1128">
        <f t="shared" si="243"/>
        <v>9.5791805094130655E-2</v>
      </c>
      <c r="AB63" s="1127">
        <f t="shared" si="243"/>
        <v>7.9325666492420233E-2</v>
      </c>
      <c r="AC63" s="1127">
        <f t="shared" si="243"/>
        <v>6.1343598658884835E-2</v>
      </c>
      <c r="AD63" s="1127">
        <f t="shared" si="243"/>
        <v>5.3499939342472436E-2</v>
      </c>
      <c r="AE63" s="1216">
        <f t="shared" si="243"/>
        <v>6.0433613899430805E-2</v>
      </c>
      <c r="AF63" s="1217">
        <f t="shared" si="243"/>
        <v>0.12353815810829527</v>
      </c>
      <c r="AG63" s="1217">
        <f t="shared" si="243"/>
        <v>0.12610369646278374</v>
      </c>
      <c r="AH63" s="1217">
        <f t="shared" si="243"/>
        <v>7.3213439950674308E-2</v>
      </c>
      <c r="AI63" s="1216">
        <f>AI56/AE56-1</f>
        <v>9.111528538378022E-2</v>
      </c>
      <c r="AK63" s="1127"/>
      <c r="AL63" s="1127"/>
      <c r="AM63" s="1127">
        <f t="shared" ref="AM63:AP63" si="244">AM56/AL56-1</f>
        <v>7.0962609387430486E-2</v>
      </c>
      <c r="AN63" s="1127">
        <f t="shared" si="244"/>
        <v>3.3316000594265427E-2</v>
      </c>
      <c r="AO63" s="1127">
        <f t="shared" si="244"/>
        <v>5.7762122137953398E-2</v>
      </c>
      <c r="AP63" s="1127">
        <f t="shared" si="244"/>
        <v>8.2778306374881039E-2</v>
      </c>
      <c r="AQ63" s="1217">
        <f>AQ56/AP56-1</f>
        <v>6.3406743899946605E-2</v>
      </c>
      <c r="AR63" s="1217">
        <f t="shared" ref="AR63:AS63" si="245">AR56/AQ56-1</f>
        <v>0.10325558949969782</v>
      </c>
      <c r="AS63" s="1217">
        <f t="shared" si="245"/>
        <v>7.185595125181643E-2</v>
      </c>
    </row>
    <row r="64" spans="2:45" s="1126" customFormat="1" x14ac:dyDescent="0.2">
      <c r="B64" s="1125" t="s">
        <v>886</v>
      </c>
      <c r="D64" s="1127"/>
      <c r="E64" s="1127"/>
      <c r="F64" s="1127"/>
      <c r="G64" s="1128"/>
      <c r="H64" s="1127">
        <f t="shared" ref="H64:AH64" si="246">H58/D58-1</f>
        <v>-0.23617578579743892</v>
      </c>
      <c r="I64" s="1127">
        <f t="shared" si="246"/>
        <v>-0.19632342381157541</v>
      </c>
      <c r="J64" s="1127">
        <f t="shared" si="246"/>
        <v>0.17149807419420227</v>
      </c>
      <c r="K64" s="1128">
        <f t="shared" si="246"/>
        <v>0.16226494823579118</v>
      </c>
      <c r="L64" s="1127">
        <f t="shared" si="246"/>
        <v>0.11716517431891793</v>
      </c>
      <c r="M64" s="1127">
        <f t="shared" si="246"/>
        <v>7.0764832022873536E-2</v>
      </c>
      <c r="N64" s="1127">
        <f t="shared" si="246"/>
        <v>4.533656341927661E-2</v>
      </c>
      <c r="O64" s="1128">
        <f t="shared" si="246"/>
        <v>3.2357753135793477E-2</v>
      </c>
      <c r="P64" s="1127">
        <f t="shared" si="246"/>
        <v>0.10214870395634379</v>
      </c>
      <c r="Q64" s="1127">
        <f t="shared" si="246"/>
        <v>0.10447263017356478</v>
      </c>
      <c r="R64" s="1127">
        <f t="shared" si="246"/>
        <v>0.11372289356066867</v>
      </c>
      <c r="S64" s="1128">
        <f t="shared" si="246"/>
        <v>0.15900686740623349</v>
      </c>
      <c r="T64" s="1127">
        <f t="shared" si="246"/>
        <v>9.1134148228376954E-2</v>
      </c>
      <c r="U64" s="1127">
        <f t="shared" si="246"/>
        <v>0.10849199153822897</v>
      </c>
      <c r="V64" s="1127">
        <f t="shared" si="246"/>
        <v>0.12173008323424495</v>
      </c>
      <c r="W64" s="1128">
        <f t="shared" si="246"/>
        <v>9.1005773321178873E-2</v>
      </c>
      <c r="X64" s="1127">
        <f t="shared" si="246"/>
        <v>8.0119115144639874E-2</v>
      </c>
      <c r="Y64" s="1127">
        <f t="shared" si="246"/>
        <v>9.4193020719738341E-2</v>
      </c>
      <c r="Z64" s="1127">
        <f t="shared" si="246"/>
        <v>8.9439512389028808E-2</v>
      </c>
      <c r="AA64" s="1128">
        <f t="shared" si="246"/>
        <v>0.10082161258877598</v>
      </c>
      <c r="AB64" s="1127">
        <f t="shared" si="246"/>
        <v>8.4153866351581952E-2</v>
      </c>
      <c r="AC64" s="1127">
        <f t="shared" si="246"/>
        <v>6.403388563597856E-2</v>
      </c>
      <c r="AD64" s="1127">
        <f t="shared" si="246"/>
        <v>5.5704208221843743E-2</v>
      </c>
      <c r="AE64" s="1216">
        <f t="shared" si="246"/>
        <v>6.1403224241352916E-2</v>
      </c>
      <c r="AF64" s="1217">
        <f t="shared" si="246"/>
        <v>0.12318983383584525</v>
      </c>
      <c r="AG64" s="1217">
        <f t="shared" si="246"/>
        <v>0.12642644815213822</v>
      </c>
      <c r="AH64" s="1217">
        <f t="shared" si="246"/>
        <v>7.3247178863093954E-2</v>
      </c>
      <c r="AI64" s="1216">
        <f>AI58/AE58-1</f>
        <v>9.1158723297092514E-2</v>
      </c>
      <c r="AK64" s="1127"/>
      <c r="AL64" s="1127"/>
      <c r="AM64" s="1127">
        <f t="shared" ref="AM64:AP64" si="247">AM58/AL58-1</f>
        <v>0.19541628638069164</v>
      </c>
      <c r="AN64" s="1127">
        <f t="shared" si="247"/>
        <v>0.11940108585001696</v>
      </c>
      <c r="AO64" s="1127">
        <f t="shared" si="247"/>
        <v>0.10325489750293659</v>
      </c>
      <c r="AP64" s="1127">
        <f t="shared" si="247"/>
        <v>9.1186976232999095E-2</v>
      </c>
      <c r="AQ64" s="1217">
        <f>AQ58/AP58-1</f>
        <v>6.6047417066755765E-2</v>
      </c>
      <c r="AR64" s="1217">
        <f t="shared" ref="AR64:AS64" si="248">AR58/AQ58-1</f>
        <v>0.10327179391915098</v>
      </c>
      <c r="AS64" s="1217">
        <f t="shared" si="248"/>
        <v>7.2314902424897021E-2</v>
      </c>
    </row>
    <row r="65" spans="1:45" x14ac:dyDescent="0.2">
      <c r="G65" s="595"/>
      <c r="K65" s="595"/>
      <c r="O65" s="595"/>
      <c r="S65" s="595"/>
      <c r="W65" s="595"/>
      <c r="AA65" s="595"/>
      <c r="AE65" s="913"/>
      <c r="AF65" s="370"/>
      <c r="AG65" s="370"/>
      <c r="AH65" s="370"/>
      <c r="AI65" s="913"/>
      <c r="AQ65" s="370"/>
      <c r="AR65" s="370"/>
      <c r="AS65" s="370"/>
    </row>
    <row r="66" spans="1:45" x14ac:dyDescent="0.2">
      <c r="A66" s="2" t="s">
        <v>238</v>
      </c>
      <c r="B66" s="8" t="s">
        <v>36</v>
      </c>
      <c r="C66" s="172"/>
      <c r="D66" s="172"/>
      <c r="E66" s="172"/>
      <c r="F66" s="172"/>
      <c r="G66" s="864"/>
      <c r="H66" s="172"/>
      <c r="I66" s="172"/>
      <c r="J66" s="172"/>
      <c r="K66" s="864"/>
      <c r="L66" s="172"/>
      <c r="M66" s="172"/>
      <c r="N66" s="172"/>
      <c r="O66" s="864"/>
      <c r="P66" s="172"/>
      <c r="Q66" s="172"/>
      <c r="R66" s="172"/>
      <c r="S66" s="864"/>
      <c r="T66" s="172"/>
      <c r="U66" s="172"/>
      <c r="V66" s="172"/>
      <c r="W66" s="864"/>
      <c r="X66" s="172"/>
      <c r="Y66" s="172"/>
      <c r="Z66" s="172"/>
      <c r="AA66" s="864"/>
      <c r="AB66" s="172"/>
      <c r="AC66" s="172"/>
      <c r="AD66" s="172"/>
      <c r="AE66" s="864"/>
      <c r="AF66" s="172"/>
      <c r="AG66" s="172"/>
      <c r="AH66" s="172"/>
      <c r="AI66" s="864"/>
      <c r="AK66" s="172"/>
      <c r="AL66" s="172"/>
      <c r="AM66" s="172"/>
      <c r="AN66" s="172"/>
      <c r="AO66" s="172"/>
      <c r="AP66" s="172"/>
      <c r="AQ66" s="172"/>
      <c r="AR66" s="172"/>
      <c r="AS66" s="172"/>
    </row>
    <row r="67" spans="1:45" x14ac:dyDescent="0.2">
      <c r="B67" s="20" t="s">
        <v>37</v>
      </c>
      <c r="D67" s="369" t="s">
        <v>381</v>
      </c>
      <c r="E67" s="346"/>
      <c r="F67" s="346"/>
      <c r="G67" s="912"/>
      <c r="H67" s="713"/>
      <c r="K67" s="595"/>
      <c r="O67" s="595"/>
      <c r="S67" s="595"/>
      <c r="W67" s="595"/>
      <c r="Y67" s="5"/>
      <c r="Z67" s="5"/>
      <c r="AA67" s="595"/>
      <c r="AE67" s="913"/>
      <c r="AF67" s="370"/>
      <c r="AG67" s="370"/>
      <c r="AH67" s="370"/>
      <c r="AI67" s="913"/>
      <c r="AQ67" s="370"/>
      <c r="AR67" s="370"/>
      <c r="AS67" s="370"/>
    </row>
    <row r="68" spans="1:45" x14ac:dyDescent="0.2">
      <c r="B68" s="10" t="s">
        <v>38</v>
      </c>
      <c r="D68" s="370"/>
      <c r="E68" s="370"/>
      <c r="F68" s="370"/>
      <c r="G68" s="913"/>
      <c r="H68" s="370"/>
      <c r="K68" s="595"/>
      <c r="O68" s="595"/>
      <c r="S68" s="595"/>
      <c r="W68" s="595"/>
      <c r="Y68" s="5"/>
      <c r="Z68" s="5"/>
      <c r="AA68" s="595"/>
      <c r="AE68" s="913"/>
      <c r="AF68" s="370"/>
      <c r="AG68" s="370"/>
      <c r="AH68" s="370"/>
      <c r="AI68" s="913"/>
      <c r="AQ68" s="370"/>
      <c r="AR68" s="370"/>
      <c r="AS68" s="370"/>
    </row>
    <row r="69" spans="1:45" x14ac:dyDescent="0.2">
      <c r="B69" s="29" t="s">
        <v>39</v>
      </c>
      <c r="D69" s="371">
        <f>'3FS'!K66</f>
        <v>1439</v>
      </c>
      <c r="E69" s="371">
        <f>'3FS'!L66</f>
        <v>1105</v>
      </c>
      <c r="F69" s="371">
        <f>'3FS'!M66</f>
        <v>1653</v>
      </c>
      <c r="G69" s="902">
        <f>'3FS'!N66</f>
        <v>1528</v>
      </c>
      <c r="H69" s="371">
        <f>'3FS'!O66</f>
        <v>1112</v>
      </c>
      <c r="I69" s="162">
        <f>'3FS'!P66</f>
        <v>11076</v>
      </c>
      <c r="J69" s="162">
        <f>'3FS'!Q66</f>
        <v>6571</v>
      </c>
      <c r="K69" s="863">
        <f>'3FS'!R66</f>
        <v>10385</v>
      </c>
      <c r="L69" s="162">
        <f>'3FS'!S66</f>
        <v>6677</v>
      </c>
      <c r="M69" s="162">
        <f>'3FS'!T66</f>
        <v>7793</v>
      </c>
      <c r="N69" s="162">
        <f>'3FS'!U66</f>
        <v>4055</v>
      </c>
      <c r="O69" s="863">
        <f>'3FS'!V66</f>
        <v>6631</v>
      </c>
      <c r="P69" s="162">
        <f>'3FS'!W66</f>
        <v>3245</v>
      </c>
      <c r="Q69" s="162">
        <f>'3FS'!X66</f>
        <v>3151</v>
      </c>
      <c r="R69" s="162">
        <f>'3FS'!Y66</f>
        <v>6888</v>
      </c>
      <c r="S69" s="863">
        <f>'3FS'!Z66</f>
        <v>4507</v>
      </c>
      <c r="T69" s="162">
        <f>'3FS'!AA66</f>
        <v>4540</v>
      </c>
      <c r="U69" s="162">
        <f>'3FS'!AB66</f>
        <v>6647</v>
      </c>
      <c r="V69" s="162">
        <f>'3FS'!AC66</f>
        <v>5030</v>
      </c>
      <c r="W69" s="863">
        <f>'3FS'!AD66</f>
        <v>5135</v>
      </c>
      <c r="X69" s="162">
        <f>'3FS'!AE66</f>
        <v>6708</v>
      </c>
      <c r="Y69" s="162">
        <f>'3FS'!AF66</f>
        <v>6417</v>
      </c>
      <c r="Z69" s="162">
        <f>'3FS'!AG66</f>
        <v>9754</v>
      </c>
      <c r="AA69" s="863">
        <f>'3FS'!AH66</f>
        <v>5409</v>
      </c>
      <c r="AB69" s="162">
        <f>'3FS'!AI66</f>
        <v>12003</v>
      </c>
      <c r="AC69" s="162">
        <f>'3FS'!AJ66</f>
        <v>10259</v>
      </c>
      <c r="AD69" s="162">
        <f>'3FS'!AK66</f>
        <v>3310</v>
      </c>
      <c r="AE69" s="901">
        <f t="shared" ref="AE69:AI69" si="249">+AE165-AE166</f>
        <v>1858.3843139600867</v>
      </c>
      <c r="AF69" s="554">
        <f t="shared" si="249"/>
        <v>2175.0272291116407</v>
      </c>
      <c r="AG69" s="554">
        <f t="shared" si="249"/>
        <v>3602.8934301426052</v>
      </c>
      <c r="AH69" s="554">
        <f t="shared" si="249"/>
        <v>5883.6863139935776</v>
      </c>
      <c r="AI69" s="901">
        <f t="shared" si="249"/>
        <v>7040.4039150683648</v>
      </c>
      <c r="AK69" s="162">
        <f>'3FS'!D66</f>
        <v>1528</v>
      </c>
      <c r="AL69" s="162">
        <f>'3FS'!E66</f>
        <v>10385</v>
      </c>
      <c r="AM69" s="162">
        <f>'3FS'!F66</f>
        <v>6631</v>
      </c>
      <c r="AN69" s="162">
        <f>'3FS'!G66</f>
        <v>4507</v>
      </c>
      <c r="AO69" s="162">
        <f>'3FS'!H66</f>
        <v>5135</v>
      </c>
      <c r="AP69" s="162">
        <f>'3FS'!I66</f>
        <v>5409</v>
      </c>
      <c r="AQ69" s="554">
        <f t="shared" ref="AQ69:AR83" si="250">SUMIFS($F69:$AI69,$F$3:$AI$3,AQ$3,$F$2:$AI$2,4)</f>
        <v>1858.3843139600867</v>
      </c>
      <c r="AR69" s="554">
        <f t="shared" si="250"/>
        <v>7040.4039150683648</v>
      </c>
      <c r="AS69" s="554">
        <f t="shared" ref="AS69" si="251">+AS165-AS166</f>
        <v>10264.348377985407</v>
      </c>
    </row>
    <row r="70" spans="1:45" x14ac:dyDescent="0.2">
      <c r="B70" s="29" t="s">
        <v>90</v>
      </c>
      <c r="D70" s="371">
        <f>'3FS'!K67</f>
        <v>1765</v>
      </c>
      <c r="E70" s="371">
        <f>'3FS'!L67</f>
        <v>1835</v>
      </c>
      <c r="F70" s="371">
        <f>'3FS'!M67</f>
        <v>1842</v>
      </c>
      <c r="G70" s="902">
        <f>'3FS'!N67</f>
        <v>1908</v>
      </c>
      <c r="H70" s="371">
        <f>'3FS'!O67</f>
        <v>1862</v>
      </c>
      <c r="I70" s="162">
        <f>'3FS'!P67</f>
        <v>3379</v>
      </c>
      <c r="J70" s="162">
        <f>'3FS'!Q67</f>
        <v>4332</v>
      </c>
      <c r="K70" s="863">
        <f>'3FS'!R67</f>
        <v>4276</v>
      </c>
      <c r="L70" s="162">
        <f>'3FS'!S67</f>
        <v>3612</v>
      </c>
      <c r="M70" s="162">
        <f>'3FS'!T67</f>
        <v>4546</v>
      </c>
      <c r="N70" s="162">
        <f>'3FS'!U67</f>
        <v>4130</v>
      </c>
      <c r="O70" s="863">
        <f>'3FS'!V67</f>
        <v>4194</v>
      </c>
      <c r="P70" s="162">
        <f>'3FS'!W67</f>
        <v>4016</v>
      </c>
      <c r="Q70" s="162">
        <f>'3FS'!X67</f>
        <v>4466</v>
      </c>
      <c r="R70" s="162">
        <f>'3FS'!Y67</f>
        <v>4324</v>
      </c>
      <c r="S70" s="863">
        <f>'3FS'!Z67</f>
        <v>4445</v>
      </c>
      <c r="T70" s="162">
        <f>'3FS'!AA67</f>
        <v>4366</v>
      </c>
      <c r="U70" s="162">
        <f>'3FS'!AB67</f>
        <v>4592</v>
      </c>
      <c r="V70" s="162">
        <f>'3FS'!AC67</f>
        <v>4500</v>
      </c>
      <c r="W70" s="863">
        <f>'3FS'!AD67</f>
        <v>4692</v>
      </c>
      <c r="X70" s="162">
        <f>'3FS'!AE67</f>
        <v>4253</v>
      </c>
      <c r="Y70" s="162">
        <f>'3FS'!AF67</f>
        <v>4563</v>
      </c>
      <c r="Z70" s="162">
        <f>'3FS'!AG67</f>
        <v>4286</v>
      </c>
      <c r="AA70" s="863">
        <f>'3FS'!AH67</f>
        <v>4276</v>
      </c>
      <c r="AB70" s="162">
        <f>'3FS'!AI67</f>
        <v>4392</v>
      </c>
      <c r="AC70" s="162">
        <f>'3FS'!AJ67</f>
        <v>4598</v>
      </c>
      <c r="AD70" s="162">
        <f>'3FS'!AK67</f>
        <v>5084</v>
      </c>
      <c r="AE70" s="902">
        <f>'BS Drivers'!AE9</f>
        <v>5096.0476595934488</v>
      </c>
      <c r="AF70" s="371">
        <f>'BS Drivers'!AF9</f>
        <v>5244.6928138771946</v>
      </c>
      <c r="AG70" s="371">
        <f>'BS Drivers'!AG9</f>
        <v>5509.2534276344395</v>
      </c>
      <c r="AH70" s="371">
        <f>'BS Drivers'!AH9</f>
        <v>6020.8244133453345</v>
      </c>
      <c r="AI70" s="902">
        <f>'BS Drivers'!AI9</f>
        <v>5994.5196006860879</v>
      </c>
      <c r="AJ70" s="5"/>
      <c r="AK70" s="162">
        <f>'3FS'!D67</f>
        <v>1908</v>
      </c>
      <c r="AL70" s="162">
        <f>'3FS'!E67</f>
        <v>4276</v>
      </c>
      <c r="AM70" s="162">
        <f>'3FS'!F67</f>
        <v>4194</v>
      </c>
      <c r="AN70" s="162">
        <f>'3FS'!G67</f>
        <v>4445</v>
      </c>
      <c r="AO70" s="162">
        <f>'3FS'!H67</f>
        <v>4692</v>
      </c>
      <c r="AP70" s="162">
        <f>'3FS'!I67</f>
        <v>4276</v>
      </c>
      <c r="AQ70" s="554">
        <f t="shared" si="250"/>
        <v>5096.0476595934488</v>
      </c>
      <c r="AR70" s="554">
        <f t="shared" si="250"/>
        <v>5994.5196006860879</v>
      </c>
      <c r="AS70" s="371">
        <f>'BS Drivers'!AS9</f>
        <v>6573.3806059725566</v>
      </c>
    </row>
    <row r="71" spans="1:45" x14ac:dyDescent="0.2">
      <c r="B71" s="88" t="s">
        <v>91</v>
      </c>
      <c r="D71" s="371">
        <f>'3FS'!K68</f>
        <v>2466</v>
      </c>
      <c r="E71" s="371">
        <f>'3FS'!L68</f>
        <v>2446</v>
      </c>
      <c r="F71" s="371">
        <f>'3FS'!M68</f>
        <v>2425</v>
      </c>
      <c r="G71" s="902">
        <f>'3FS'!N68</f>
        <v>2600</v>
      </c>
      <c r="H71" s="371">
        <f>'3FS'!O68</f>
        <v>2406</v>
      </c>
      <c r="I71" s="162">
        <f>'3FS'!P68</f>
        <v>3194</v>
      </c>
      <c r="J71" s="162">
        <f>'3FS'!Q68</f>
        <v>3083</v>
      </c>
      <c r="K71" s="863">
        <f>'3FS'!R68</f>
        <v>3577</v>
      </c>
      <c r="L71" s="162">
        <f>'3FS'!S68</f>
        <v>3841</v>
      </c>
      <c r="M71" s="162">
        <f>'3FS'!T68</f>
        <v>4064</v>
      </c>
      <c r="N71" s="162">
        <f>'3FS'!U68</f>
        <v>4306</v>
      </c>
      <c r="O71" s="863">
        <f>'3FS'!V68</f>
        <v>4748</v>
      </c>
      <c r="P71" s="162">
        <f>'3FS'!W68</f>
        <v>5061</v>
      </c>
      <c r="Q71" s="162">
        <f>'3FS'!X68</f>
        <v>5129</v>
      </c>
      <c r="R71" s="162">
        <f>'3FS'!Y68</f>
        <v>5048</v>
      </c>
      <c r="S71" s="863">
        <f>'3FS'!Z68</f>
        <v>5123</v>
      </c>
      <c r="T71" s="162">
        <f>'3FS'!AA68</f>
        <v>5012</v>
      </c>
      <c r="U71" s="162">
        <f>'3FS'!AB68</f>
        <v>4779</v>
      </c>
      <c r="V71" s="162">
        <f>'3FS'!AC68</f>
        <v>4470</v>
      </c>
      <c r="W71" s="863">
        <f>'3FS'!AD68</f>
        <v>4456</v>
      </c>
      <c r="X71" s="162">
        <f>'3FS'!AE68</f>
        <v>4059</v>
      </c>
      <c r="Y71" s="162">
        <f>'3FS'!AF68</f>
        <v>3776</v>
      </c>
      <c r="Z71" s="162">
        <f>'3FS'!AG68</f>
        <v>3595</v>
      </c>
      <c r="AA71" s="863">
        <f>'3FS'!AH68</f>
        <v>4379</v>
      </c>
      <c r="AB71" s="162">
        <f>'3FS'!AI68</f>
        <v>4294</v>
      </c>
      <c r="AC71" s="162">
        <f>'3FS'!AJ68</f>
        <v>4226</v>
      </c>
      <c r="AD71" s="162">
        <f>'3FS'!AK68</f>
        <v>4599</v>
      </c>
      <c r="AE71" s="902">
        <f>'BS Drivers'!AE15</f>
        <v>4823.3219970913105</v>
      </c>
      <c r="AF71" s="371">
        <f>'BS Drivers'!AF15</f>
        <v>4838.6507683198452</v>
      </c>
      <c r="AG71" s="371">
        <f>'BS Drivers'!AG15</f>
        <v>4945.0442605515163</v>
      </c>
      <c r="AH71" s="371">
        <f>'BS Drivers'!AH15</f>
        <v>5016.5635831416939</v>
      </c>
      <c r="AI71" s="902">
        <f>'BS Drivers'!AI15</f>
        <v>5098.7777267619094</v>
      </c>
      <c r="AJ71" s="5"/>
      <c r="AK71" s="162">
        <f>'3FS'!D68</f>
        <v>2600</v>
      </c>
      <c r="AL71" s="162">
        <f>'3FS'!E68</f>
        <v>3577</v>
      </c>
      <c r="AM71" s="162">
        <f>'3FS'!F68</f>
        <v>4748</v>
      </c>
      <c r="AN71" s="162">
        <f>'3FS'!G68</f>
        <v>5123</v>
      </c>
      <c r="AO71" s="162">
        <f>'3FS'!H68</f>
        <v>4456</v>
      </c>
      <c r="AP71" s="162">
        <f>'3FS'!I68</f>
        <v>4379</v>
      </c>
      <c r="AQ71" s="554">
        <f t="shared" si="250"/>
        <v>4823.3219970913105</v>
      </c>
      <c r="AR71" s="554">
        <f t="shared" si="250"/>
        <v>5098.7777267619094</v>
      </c>
      <c r="AS71" s="371">
        <f>'BS Drivers'!AS15</f>
        <v>5265.3989416769364</v>
      </c>
    </row>
    <row r="72" spans="1:45" x14ac:dyDescent="0.2">
      <c r="B72" s="29" t="s">
        <v>40</v>
      </c>
      <c r="D72" s="371">
        <f>'3FS'!K69</f>
        <v>1261</v>
      </c>
      <c r="E72" s="371">
        <f>'3FS'!L69</f>
        <v>998</v>
      </c>
      <c r="F72" s="371">
        <f>'3FS'!M69</f>
        <v>801</v>
      </c>
      <c r="G72" s="902">
        <f>'3FS'!N69</f>
        <v>964</v>
      </c>
      <c r="H72" s="371">
        <f>'3FS'!O69</f>
        <v>1225</v>
      </c>
      <c r="I72" s="162">
        <f>'3FS'!P69</f>
        <v>1549</v>
      </c>
      <c r="J72" s="162">
        <f>'3FS'!Q69</f>
        <v>1931</v>
      </c>
      <c r="K72" s="863">
        <f>'3FS'!R69</f>
        <v>2527</v>
      </c>
      <c r="L72" s="162">
        <f>'3FS'!S69</f>
        <v>2209</v>
      </c>
      <c r="M72" s="162">
        <f>'3FS'!T69</f>
        <v>1707</v>
      </c>
      <c r="N72" s="162">
        <f>'3FS'!U69</f>
        <v>1762</v>
      </c>
      <c r="O72" s="863">
        <f>'3FS'!V69</f>
        <v>2567</v>
      </c>
      <c r="P72" s="162">
        <f>'3FS'!W69</f>
        <v>2715</v>
      </c>
      <c r="Q72" s="162">
        <f>'3FS'!X69</f>
        <v>2243</v>
      </c>
      <c r="R72" s="162">
        <f>'3FS'!Y69</f>
        <v>2247</v>
      </c>
      <c r="S72" s="863">
        <f>'3FS'!Z69</f>
        <v>1884</v>
      </c>
      <c r="T72" s="162">
        <f>'3FS'!AA69</f>
        <v>1741</v>
      </c>
      <c r="U72" s="162">
        <f>'3FS'!AB69</f>
        <v>1373</v>
      </c>
      <c r="V72" s="162">
        <f>'3FS'!AC69</f>
        <v>1685</v>
      </c>
      <c r="W72" s="863">
        <f>'3FS'!AD69</f>
        <v>1678</v>
      </c>
      <c r="X72" s="162">
        <f>'3FS'!AE69</f>
        <v>1521</v>
      </c>
      <c r="Y72" s="162">
        <f>'3FS'!AF69</f>
        <v>1319</v>
      </c>
      <c r="Z72" s="162">
        <f>'3FS'!AG69</f>
        <v>1789</v>
      </c>
      <c r="AA72" s="863">
        <f>'3FS'!AH69</f>
        <v>1607</v>
      </c>
      <c r="AB72" s="162">
        <f>'3FS'!AI69</f>
        <v>1937</v>
      </c>
      <c r="AC72" s="162">
        <f>'3FS'!AJ69</f>
        <v>1690</v>
      </c>
      <c r="AD72" s="162">
        <f>'3FS'!AK69</f>
        <v>2370</v>
      </c>
      <c r="AE72" s="902">
        <f>+'BS Drivers'!AE19</f>
        <v>2141.1953697149061</v>
      </c>
      <c r="AF72" s="371">
        <f>+'BS Drivers'!AF19</f>
        <v>2181.7606542947556</v>
      </c>
      <c r="AG72" s="371">
        <f>+'BS Drivers'!AG19</f>
        <v>2231.2123396818715</v>
      </c>
      <c r="AH72" s="371">
        <f>+'BS Drivers'!AH19</f>
        <v>2268.1473932558938</v>
      </c>
      <c r="AI72" s="902">
        <f>+'BS Drivers'!AI19</f>
        <v>2301.3283737856332</v>
      </c>
      <c r="AJ72" s="5"/>
      <c r="AK72" s="162">
        <f>'3FS'!D69</f>
        <v>964</v>
      </c>
      <c r="AL72" s="162">
        <f>'3FS'!E69</f>
        <v>2527</v>
      </c>
      <c r="AM72" s="162">
        <f>'3FS'!F69</f>
        <v>2567</v>
      </c>
      <c r="AN72" s="162">
        <f>'3FS'!G69</f>
        <v>1884</v>
      </c>
      <c r="AO72" s="162">
        <f>'3FS'!H69</f>
        <v>1678</v>
      </c>
      <c r="AP72" s="162">
        <f>'3FS'!I69</f>
        <v>1607</v>
      </c>
      <c r="AQ72" s="554">
        <f t="shared" si="250"/>
        <v>2141.1953697149061</v>
      </c>
      <c r="AR72" s="554">
        <f t="shared" si="250"/>
        <v>2301.3283737856332</v>
      </c>
      <c r="AS72" s="371">
        <f>+'BS Drivers'!AS19</f>
        <v>2419.1636415117118</v>
      </c>
    </row>
    <row r="73" spans="1:45" x14ac:dyDescent="0.2">
      <c r="B73" s="29" t="s">
        <v>41</v>
      </c>
      <c r="D73" s="371">
        <f>'3FS'!K70</f>
        <v>0</v>
      </c>
      <c r="E73" s="371">
        <f>'3FS'!L70</f>
        <v>0</v>
      </c>
      <c r="F73" s="371">
        <f>'3FS'!M70</f>
        <v>0</v>
      </c>
      <c r="G73" s="902">
        <f>'3FS'!N70</f>
        <v>0</v>
      </c>
      <c r="H73" s="371">
        <f>'3FS'!O70</f>
        <v>0</v>
      </c>
      <c r="I73" s="162">
        <f>'3FS'!P70</f>
        <v>627</v>
      </c>
      <c r="J73" s="162">
        <f>'3FS'!Q70</f>
        <v>659</v>
      </c>
      <c r="K73" s="863">
        <f>'3FS'!R70</f>
        <v>624</v>
      </c>
      <c r="L73" s="162">
        <f>'3FS'!S70</f>
        <v>670</v>
      </c>
      <c r="M73" s="162">
        <f>'3FS'!T70</f>
        <v>818</v>
      </c>
      <c r="N73" s="162">
        <f>'3FS'!U70</f>
        <v>943</v>
      </c>
      <c r="O73" s="863">
        <f>'3FS'!V70</f>
        <v>746</v>
      </c>
      <c r="P73" s="162">
        <f>'3FS'!W70</f>
        <v>727</v>
      </c>
      <c r="Q73" s="162">
        <f>'3FS'!X70</f>
        <v>776</v>
      </c>
      <c r="R73" s="162">
        <f>'3FS'!Y70</f>
        <v>711</v>
      </c>
      <c r="S73" s="863">
        <f>'3FS'!Z70</f>
        <v>673</v>
      </c>
      <c r="T73" s="162">
        <f>'3FS'!AA70</f>
        <v>674</v>
      </c>
      <c r="U73" s="162">
        <f>'3FS'!AB70</f>
        <v>814</v>
      </c>
      <c r="V73" s="162">
        <f>'3FS'!AC70</f>
        <v>712</v>
      </c>
      <c r="W73" s="863">
        <f>'3FS'!AD70</f>
        <v>702</v>
      </c>
      <c r="X73" s="162">
        <f>'3FS'!AE70</f>
        <v>715</v>
      </c>
      <c r="Y73" s="162">
        <f>'3FS'!AF70</f>
        <v>1059</v>
      </c>
      <c r="Z73" s="162">
        <f>'3FS'!AG70</f>
        <v>953</v>
      </c>
      <c r="AA73" s="863">
        <f>'3FS'!AH70</f>
        <v>880</v>
      </c>
      <c r="AB73" s="162">
        <f>'3FS'!AI70</f>
        <v>980</v>
      </c>
      <c r="AC73" s="162">
        <f>'3FS'!AJ70</f>
        <v>1125</v>
      </c>
      <c r="AD73" s="162">
        <f>'3FS'!AK70</f>
        <v>1128</v>
      </c>
      <c r="AE73" s="902">
        <f>+'BS Drivers'!AE23</f>
        <v>1154.2858186701362</v>
      </c>
      <c r="AF73" s="371">
        <f>+'BS Drivers'!AF23</f>
        <v>1176.1539458775442</v>
      </c>
      <c r="AG73" s="371">
        <f>+'BS Drivers'!AG23</f>
        <v>1202.8125964421049</v>
      </c>
      <c r="AH73" s="371">
        <f>+'BS Drivers'!AH23</f>
        <v>1222.7237213937681</v>
      </c>
      <c r="AI73" s="902">
        <f>+'BS Drivers'!AI23</f>
        <v>1240.611082732564</v>
      </c>
      <c r="AJ73" s="5"/>
      <c r="AK73" s="162">
        <f>'3FS'!D70</f>
        <v>0</v>
      </c>
      <c r="AL73" s="162">
        <f>'3FS'!E70</f>
        <v>624</v>
      </c>
      <c r="AM73" s="162">
        <f>'3FS'!F70</f>
        <v>746</v>
      </c>
      <c r="AN73" s="162">
        <f>'3FS'!G70</f>
        <v>673</v>
      </c>
      <c r="AO73" s="162">
        <f>'3FS'!H70</f>
        <v>702</v>
      </c>
      <c r="AP73" s="162">
        <f>'3FS'!I70</f>
        <v>880</v>
      </c>
      <c r="AQ73" s="554">
        <f t="shared" si="250"/>
        <v>1154.2858186701362</v>
      </c>
      <c r="AR73" s="554">
        <f t="shared" si="250"/>
        <v>1240.611082732564</v>
      </c>
      <c r="AS73" s="371">
        <f>+'BS Drivers'!AS23</f>
        <v>1304.1342812221635</v>
      </c>
    </row>
    <row r="74" spans="1:45" x14ac:dyDescent="0.2">
      <c r="B74" s="29" t="s">
        <v>42</v>
      </c>
      <c r="D74" s="371">
        <f>'3FS'!K71</f>
        <v>1814</v>
      </c>
      <c r="E74" s="371">
        <f>'3FS'!L71</f>
        <v>1730</v>
      </c>
      <c r="F74" s="371">
        <f>'3FS'!M71</f>
        <v>1737</v>
      </c>
      <c r="G74" s="902">
        <f>'3FS'!N71</f>
        <v>2305</v>
      </c>
      <c r="H74" s="371">
        <f>'3FS'!O71</f>
        <v>2882</v>
      </c>
      <c r="I74" s="162">
        <f>'3FS'!P71</f>
        <v>4496</v>
      </c>
      <c r="J74" s="162">
        <f>'3FS'!Q71</f>
        <v>2889</v>
      </c>
      <c r="K74" s="863">
        <f>'3FS'!R71</f>
        <v>2496</v>
      </c>
      <c r="L74" s="162">
        <f>'3FS'!S71</f>
        <v>1770</v>
      </c>
      <c r="M74" s="162">
        <f>'3FS'!T71</f>
        <v>1642</v>
      </c>
      <c r="N74" s="162">
        <f>'3FS'!U71</f>
        <v>1576</v>
      </c>
      <c r="O74" s="863">
        <f>'3FS'!V71</f>
        <v>2005</v>
      </c>
      <c r="P74" s="162">
        <f>'3FS'!W71</f>
        <v>1691</v>
      </c>
      <c r="Q74" s="162">
        <f>'3FS'!X71</f>
        <v>1711</v>
      </c>
      <c r="R74" s="162">
        <f>'3FS'!Y71</f>
        <v>2209</v>
      </c>
      <c r="S74" s="863">
        <f>'3FS'!Z71</f>
        <v>2435</v>
      </c>
      <c r="T74" s="162">
        <f>'3FS'!AA71</f>
        <v>2543</v>
      </c>
      <c r="U74" s="162">
        <f>'3FS'!AB71</f>
        <v>2032</v>
      </c>
      <c r="V74" s="162">
        <f>'3FS'!AC71</f>
        <v>2272</v>
      </c>
      <c r="W74" s="863">
        <f>'3FS'!AD71</f>
        <v>2352</v>
      </c>
      <c r="X74" s="162">
        <f>'3FS'!AE71</f>
        <v>2039</v>
      </c>
      <c r="Y74" s="162">
        <f>'3FS'!AF71</f>
        <v>2163</v>
      </c>
      <c r="Z74" s="162">
        <f>'3FS'!AG71</f>
        <v>2154</v>
      </c>
      <c r="AA74" s="863">
        <f>'3FS'!AH71</f>
        <v>1853</v>
      </c>
      <c r="AB74" s="162">
        <f>'3FS'!AI71</f>
        <v>3835</v>
      </c>
      <c r="AC74" s="162">
        <f>'3FS'!AJ71</f>
        <v>4874</v>
      </c>
      <c r="AD74" s="162">
        <f>'3FS'!AK71</f>
        <v>5212</v>
      </c>
      <c r="AE74" s="902">
        <f>'BS Drivers'!AE66</f>
        <v>5212</v>
      </c>
      <c r="AF74" s="371">
        <f>'BS Drivers'!AF66</f>
        <v>5212</v>
      </c>
      <c r="AG74" s="371">
        <f>'BS Drivers'!AG66</f>
        <v>5212</v>
      </c>
      <c r="AH74" s="371">
        <f>'BS Drivers'!AH66</f>
        <v>5212</v>
      </c>
      <c r="AI74" s="902">
        <f>'BS Drivers'!AI66</f>
        <v>5212</v>
      </c>
      <c r="AJ74" s="5"/>
      <c r="AK74" s="162">
        <f>'3FS'!D71</f>
        <v>2305</v>
      </c>
      <c r="AL74" s="162">
        <f>'3FS'!E71</f>
        <v>2496</v>
      </c>
      <c r="AM74" s="162">
        <f>'3FS'!F71</f>
        <v>2005</v>
      </c>
      <c r="AN74" s="162">
        <f>'3FS'!G71</f>
        <v>2435</v>
      </c>
      <c r="AO74" s="162">
        <f>'3FS'!H71</f>
        <v>2352</v>
      </c>
      <c r="AP74" s="162">
        <f>'3FS'!I71</f>
        <v>1853</v>
      </c>
      <c r="AQ74" s="554">
        <f t="shared" si="250"/>
        <v>5212</v>
      </c>
      <c r="AR74" s="554">
        <f t="shared" si="250"/>
        <v>5212</v>
      </c>
      <c r="AS74" s="371">
        <f>'BS Drivers'!AS66</f>
        <v>5212</v>
      </c>
    </row>
    <row r="75" spans="1:45" x14ac:dyDescent="0.2">
      <c r="B75" s="185" t="s">
        <v>43</v>
      </c>
      <c r="C75" s="192"/>
      <c r="D75" s="372">
        <f t="shared" ref="D75:F75" si="252">+SUM(D69:D74)</f>
        <v>8745</v>
      </c>
      <c r="E75" s="372">
        <f t="shared" si="252"/>
        <v>8114</v>
      </c>
      <c r="F75" s="372">
        <f t="shared" si="252"/>
        <v>8458</v>
      </c>
      <c r="G75" s="914">
        <f t="shared" ref="G75" si="253">+SUM(G69:G74)</f>
        <v>9305</v>
      </c>
      <c r="H75" s="372">
        <f t="shared" ref="H75" si="254">+SUM(H69:H74)</f>
        <v>9487</v>
      </c>
      <c r="I75" s="211">
        <f t="shared" ref="I75" si="255">+SUM(I69:I74)</f>
        <v>24321</v>
      </c>
      <c r="J75" s="211">
        <f t="shared" ref="J75" si="256">+SUM(J69:J74)</f>
        <v>19465</v>
      </c>
      <c r="K75" s="926">
        <f t="shared" ref="K75" si="257">+SUM(K69:K74)</f>
        <v>23885</v>
      </c>
      <c r="L75" s="211">
        <f t="shared" ref="L75" si="258">+SUM(L69:L74)</f>
        <v>18779</v>
      </c>
      <c r="M75" s="211">
        <f t="shared" ref="M75" si="259">+SUM(M69:M74)</f>
        <v>20570</v>
      </c>
      <c r="N75" s="211">
        <f t="shared" ref="N75" si="260">+SUM(N69:N74)</f>
        <v>16772</v>
      </c>
      <c r="O75" s="926">
        <f t="shared" ref="O75" si="261">+SUM(O69:O74)</f>
        <v>20891</v>
      </c>
      <c r="P75" s="211">
        <f t="shared" ref="P75" si="262">+SUM(P69:P74)</f>
        <v>17455</v>
      </c>
      <c r="Q75" s="211">
        <f t="shared" ref="Q75" si="263">+SUM(Q69:Q74)</f>
        <v>17476</v>
      </c>
      <c r="R75" s="211">
        <f t="shared" ref="R75" si="264">+SUM(R69:R74)</f>
        <v>21427</v>
      </c>
      <c r="S75" s="926">
        <f t="shared" ref="S75" si="265">+SUM(S69:S74)</f>
        <v>19067</v>
      </c>
      <c r="T75" s="211">
        <f t="shared" ref="T75" si="266">+SUM(T69:T74)</f>
        <v>18876</v>
      </c>
      <c r="U75" s="211">
        <f t="shared" ref="U75" si="267">+SUM(U69:U74)</f>
        <v>20237</v>
      </c>
      <c r="V75" s="211">
        <f t="shared" ref="V75" si="268">+SUM(V69:V74)</f>
        <v>18669</v>
      </c>
      <c r="W75" s="926">
        <f t="shared" ref="W75" si="269">+SUM(W69:W74)</f>
        <v>19015</v>
      </c>
      <c r="X75" s="211">
        <f t="shared" ref="X75" si="270">+SUM(X69:X74)</f>
        <v>19295</v>
      </c>
      <c r="Y75" s="211">
        <f t="shared" ref="Y75" si="271">+SUM(Y69:Y74)</f>
        <v>19297</v>
      </c>
      <c r="Z75" s="211">
        <f t="shared" ref="Z75:AA75" si="272">+SUM(Z69:Z74)</f>
        <v>22531</v>
      </c>
      <c r="AA75" s="926">
        <f t="shared" si="272"/>
        <v>18404</v>
      </c>
      <c r="AB75" s="211">
        <f t="shared" ref="AB75:AC75" si="273">+SUM(AB69:AB74)</f>
        <v>27441</v>
      </c>
      <c r="AC75" s="211">
        <f t="shared" si="273"/>
        <v>26772</v>
      </c>
      <c r="AD75" s="211">
        <f t="shared" ref="AD75" si="274">+SUM(AD69:AD74)</f>
        <v>21703</v>
      </c>
      <c r="AE75" s="914">
        <f t="shared" ref="AE75" si="275">+SUM(AE69:AE74)</f>
        <v>20285.235159029886</v>
      </c>
      <c r="AF75" s="372">
        <f t="shared" ref="AF75" si="276">+SUM(AF69:AF74)</f>
        <v>20828.285411480982</v>
      </c>
      <c r="AG75" s="372">
        <f t="shared" ref="AG75" si="277">+SUM(AG69:AG74)</f>
        <v>22703.216054452536</v>
      </c>
      <c r="AH75" s="372">
        <f t="shared" ref="AH75" si="278">+SUM(AH69:AH74)</f>
        <v>25623.94542513027</v>
      </c>
      <c r="AI75" s="914">
        <f t="shared" ref="AI75" si="279">+SUM(AI69:AI74)</f>
        <v>26887.64069903456</v>
      </c>
      <c r="AJ75" s="5"/>
      <c r="AK75" s="211">
        <f t="shared" ref="AK75:AO75" si="280">+SUM(AK69:AK74)</f>
        <v>9305</v>
      </c>
      <c r="AL75" s="211">
        <f t="shared" si="280"/>
        <v>23885</v>
      </c>
      <c r="AM75" s="211">
        <f t="shared" si="280"/>
        <v>20891</v>
      </c>
      <c r="AN75" s="211">
        <f t="shared" si="280"/>
        <v>19067</v>
      </c>
      <c r="AO75" s="211">
        <f t="shared" si="280"/>
        <v>19015</v>
      </c>
      <c r="AP75" s="211">
        <f t="shared" ref="AP75" si="281">+SUM(AP69:AP74)</f>
        <v>18404</v>
      </c>
      <c r="AQ75" s="372">
        <f t="shared" ref="AQ75" si="282">+SUM(AQ69:AQ74)</f>
        <v>20285.235159029886</v>
      </c>
      <c r="AR75" s="372">
        <f t="shared" ref="AR75" si="283">+SUM(AR69:AR74)</f>
        <v>26887.64069903456</v>
      </c>
      <c r="AS75" s="372">
        <f t="shared" ref="AS75" si="284">+SUM(AS69:AS74)</f>
        <v>31038.425848368774</v>
      </c>
    </row>
    <row r="76" spans="1:45" x14ac:dyDescent="0.2">
      <c r="B76" s="10" t="s">
        <v>44</v>
      </c>
      <c r="D76" s="371">
        <f>'3FS'!K73</f>
        <v>21464</v>
      </c>
      <c r="E76" s="371">
        <f>'3FS'!L73</f>
        <v>21847</v>
      </c>
      <c r="F76" s="371">
        <f>'3FS'!M73</f>
        <v>22098</v>
      </c>
      <c r="G76" s="902">
        <f>'3FS'!N73</f>
        <v>21984</v>
      </c>
      <c r="H76" s="371">
        <f>'3FS'!O73</f>
        <v>22149</v>
      </c>
      <c r="I76" s="162">
        <f>'3FS'!P73</f>
        <v>38801</v>
      </c>
      <c r="J76" s="162">
        <f>'3FS'!Q73</f>
        <v>38567</v>
      </c>
      <c r="K76" s="863">
        <f>'3FS'!R73</f>
        <v>41175</v>
      </c>
      <c r="L76" s="162">
        <f>'3FS'!S73</f>
        <v>40549</v>
      </c>
      <c r="M76" s="162">
        <f>'3FS'!T73</f>
        <v>39752</v>
      </c>
      <c r="N76" s="162">
        <f>'3FS'!U73</f>
        <v>39355</v>
      </c>
      <c r="O76" s="863">
        <f>'3FS'!V73</f>
        <v>39803</v>
      </c>
      <c r="P76" s="162">
        <f>'3FS'!W73</f>
        <v>40006</v>
      </c>
      <c r="Q76" s="162">
        <f>'3FS'!X73</f>
        <v>40245</v>
      </c>
      <c r="R76" s="162">
        <f>'3FS'!Y73</f>
        <v>41034</v>
      </c>
      <c r="S76" s="863">
        <f>'3FS'!Z73</f>
        <v>42086</v>
      </c>
      <c r="T76" s="162">
        <f>'3FS'!AA73</f>
        <v>42053</v>
      </c>
      <c r="U76" s="162">
        <f>'3FS'!AB73</f>
        <v>41804</v>
      </c>
      <c r="V76" s="162">
        <f>'3FS'!AC73</f>
        <v>41080</v>
      </c>
      <c r="W76" s="863">
        <f>'3FS'!AD73</f>
        <v>40432</v>
      </c>
      <c r="X76" s="162">
        <f>'3FS'!AE73</f>
        <v>39286</v>
      </c>
      <c r="Y76" s="162">
        <f>'3FS'!AF73</f>
        <v>38222</v>
      </c>
      <c r="Z76" s="162">
        <f>'3FS'!AG73</f>
        <v>37603</v>
      </c>
      <c r="AA76" s="863">
        <f>'3FS'!AH73</f>
        <v>38533</v>
      </c>
      <c r="AB76" s="162">
        <f>'3FS'!AI73</f>
        <v>37897</v>
      </c>
      <c r="AC76" s="162">
        <f>'3FS'!AJ73</f>
        <v>37481</v>
      </c>
      <c r="AD76" s="162">
        <f>'3FS'!AK73</f>
        <v>38718</v>
      </c>
      <c r="AE76" s="902">
        <f>+'BS Drivers'!AE47</f>
        <v>37585.234944362237</v>
      </c>
      <c r="AF76" s="371">
        <f>+'BS Drivers'!AF47</f>
        <v>36439.382473484453</v>
      </c>
      <c r="AG76" s="371">
        <f>+'BS Drivers'!AG47</f>
        <v>35450.659033590338</v>
      </c>
      <c r="AH76" s="371">
        <f>+'BS Drivers'!AH47</f>
        <v>34589.330138411642</v>
      </c>
      <c r="AI76" s="902">
        <f>+'BS Drivers'!AI47</f>
        <v>33838.887338546599</v>
      </c>
      <c r="AJ76" s="5"/>
      <c r="AK76" s="162">
        <f>'3FS'!D73</f>
        <v>21984</v>
      </c>
      <c r="AL76" s="162">
        <f>'3FS'!E73</f>
        <v>41175</v>
      </c>
      <c r="AM76" s="162">
        <f>'3FS'!F73</f>
        <v>39803</v>
      </c>
      <c r="AN76" s="162">
        <f>'3FS'!G73</f>
        <v>42086</v>
      </c>
      <c r="AO76" s="162">
        <f>'3FS'!H73</f>
        <v>40432</v>
      </c>
      <c r="AP76" s="162">
        <f>'3FS'!I73</f>
        <v>38533</v>
      </c>
      <c r="AQ76" s="554">
        <f t="shared" si="250"/>
        <v>37585.234944362237</v>
      </c>
      <c r="AR76" s="554">
        <f t="shared" si="250"/>
        <v>33838.887338546599</v>
      </c>
      <c r="AS76" s="371">
        <f>+'BS Drivers'!AS47</f>
        <v>30007.907806689836</v>
      </c>
    </row>
    <row r="77" spans="1:45" x14ac:dyDescent="0.2">
      <c r="B77" s="10" t="s">
        <v>45</v>
      </c>
      <c r="D77" s="371">
        <f>'3FS'!K74</f>
        <v>9509</v>
      </c>
      <c r="E77" s="371">
        <f>'3FS'!L74</f>
        <v>10439</v>
      </c>
      <c r="F77" s="371">
        <f>'3FS'!M74</f>
        <v>10914</v>
      </c>
      <c r="G77" s="902">
        <f>'3FS'!N74</f>
        <v>10933</v>
      </c>
      <c r="H77" s="371">
        <f>'3FS'!O74</f>
        <v>10956</v>
      </c>
      <c r="I77" s="162">
        <f>'3FS'!P74</f>
        <v>17246</v>
      </c>
      <c r="J77" s="162">
        <f>'3FS'!Q74</f>
        <v>27999</v>
      </c>
      <c r="K77" s="863">
        <f>'3FS'!R74</f>
        <v>28021</v>
      </c>
      <c r="L77" s="162">
        <f>'3FS'!S74</f>
        <v>27793</v>
      </c>
      <c r="M77" s="162">
        <f>'3FS'!T74</f>
        <v>27511</v>
      </c>
      <c r="N77" s="162">
        <f>'3FS'!U74</f>
        <v>27446</v>
      </c>
      <c r="O77" s="863">
        <f>'3FS'!V74</f>
        <v>26959</v>
      </c>
      <c r="P77" s="162">
        <f>'3FS'!W74</f>
        <v>31449</v>
      </c>
      <c r="Q77" s="162">
        <f>'3FS'!X74</f>
        <v>30110</v>
      </c>
      <c r="R77" s="162">
        <f>'3FS'!Y74</f>
        <v>29264</v>
      </c>
      <c r="S77" s="863">
        <f>'3FS'!Z74</f>
        <v>28715</v>
      </c>
      <c r="T77" s="162">
        <f>'3FS'!AA74</f>
        <v>28146</v>
      </c>
      <c r="U77" s="162">
        <f>'3FS'!AB74</f>
        <v>27891</v>
      </c>
      <c r="V77" s="162">
        <f>'3FS'!AC74</f>
        <v>27568</v>
      </c>
      <c r="W77" s="863">
        <f>'3FS'!AD74</f>
        <v>27135</v>
      </c>
      <c r="X77" s="162">
        <f>'3FS'!AE74</f>
        <v>26766</v>
      </c>
      <c r="Y77" s="162">
        <f>'3FS'!AF74</f>
        <v>26240</v>
      </c>
      <c r="Z77" s="162">
        <f>'3FS'!AG74</f>
        <v>25833</v>
      </c>
      <c r="AA77" s="863">
        <f>'3FS'!AH74</f>
        <v>25398</v>
      </c>
      <c r="AB77" s="162">
        <f>'3FS'!AI74</f>
        <v>25025</v>
      </c>
      <c r="AC77" s="162">
        <f>'3FS'!AJ74</f>
        <v>24735</v>
      </c>
      <c r="AD77" s="162">
        <f>'3FS'!AK74</f>
        <v>26070</v>
      </c>
      <c r="AE77" s="902">
        <f>+'BS Drivers'!AE119</f>
        <v>26969.969617776238</v>
      </c>
      <c r="AF77" s="371">
        <f>+'BS Drivers'!AF119</f>
        <v>25801.607509366902</v>
      </c>
      <c r="AG77" s="371">
        <f>+'BS Drivers'!AG119</f>
        <v>24589.386564485718</v>
      </c>
      <c r="AH77" s="371">
        <f>+'BS Drivers'!AH119</f>
        <v>26020.10677125724</v>
      </c>
      <c r="AI77" s="902">
        <f>+'BS Drivers'!AI119</f>
        <v>26996.865798475566</v>
      </c>
      <c r="AJ77" s="5"/>
      <c r="AK77" s="162">
        <f>'3FS'!D74</f>
        <v>10933</v>
      </c>
      <c r="AL77" s="162">
        <f>'3FS'!E74</f>
        <v>28021</v>
      </c>
      <c r="AM77" s="162">
        <f>'3FS'!F74</f>
        <v>26959</v>
      </c>
      <c r="AN77" s="162">
        <f>'3FS'!G74</f>
        <v>28715</v>
      </c>
      <c r="AO77" s="162">
        <f>'3FS'!H74</f>
        <v>27135</v>
      </c>
      <c r="AP77" s="162">
        <f>'3FS'!I74</f>
        <v>25398</v>
      </c>
      <c r="AQ77" s="554">
        <f t="shared" si="250"/>
        <v>26969.969617776238</v>
      </c>
      <c r="AR77" s="554">
        <f t="shared" si="250"/>
        <v>26996.865798475566</v>
      </c>
      <c r="AS77" s="371">
        <f>+'BS Drivers'!AS119</f>
        <v>26289.657475071377</v>
      </c>
    </row>
    <row r="78" spans="1:45" x14ac:dyDescent="0.2">
      <c r="B78" s="10" t="s">
        <v>46</v>
      </c>
      <c r="D78" s="371">
        <f>'3FS'!K75</f>
        <v>2339</v>
      </c>
      <c r="E78" s="371">
        <f>'3FS'!L75</f>
        <v>2589</v>
      </c>
      <c r="F78" s="371">
        <f>'3FS'!M75</f>
        <v>2855</v>
      </c>
      <c r="G78" s="902">
        <f>'3FS'!N75</f>
        <v>2715</v>
      </c>
      <c r="H78" s="371">
        <f>'3FS'!O75</f>
        <v>2749</v>
      </c>
      <c r="I78" s="162">
        <f>'3FS'!P75</f>
        <v>3288</v>
      </c>
      <c r="J78" s="162">
        <f>'3FS'!Q75</f>
        <v>3038</v>
      </c>
      <c r="K78" s="863">
        <f>'3FS'!R75</f>
        <v>3028</v>
      </c>
      <c r="L78" s="162">
        <f>'3FS'!S75</f>
        <v>2899</v>
      </c>
      <c r="M78" s="162">
        <f>'3FS'!T75</f>
        <v>3072</v>
      </c>
      <c r="N78" s="162">
        <f>'3FS'!U75</f>
        <v>3396</v>
      </c>
      <c r="O78" s="863">
        <f>'3FS'!V75</f>
        <v>3322</v>
      </c>
      <c r="P78" s="162">
        <f>'3FS'!W75</f>
        <v>3287</v>
      </c>
      <c r="Q78" s="162">
        <f>'3FS'!X75</f>
        <v>3588</v>
      </c>
      <c r="R78" s="162">
        <f>'3FS'!Y75</f>
        <v>3619</v>
      </c>
      <c r="S78" s="863">
        <f>'3FS'!Z75</f>
        <v>3257</v>
      </c>
      <c r="T78" s="162">
        <f>'3FS'!AA75</f>
        <v>3282</v>
      </c>
      <c r="U78" s="162">
        <f>'3FS'!AB75</f>
        <v>3365</v>
      </c>
      <c r="V78" s="162">
        <f>'3FS'!AC75</f>
        <v>3390</v>
      </c>
      <c r="W78" s="863">
        <f>'3FS'!AD75</f>
        <v>3270</v>
      </c>
      <c r="X78" s="162">
        <f>'3FS'!AE75</f>
        <v>3180</v>
      </c>
      <c r="Y78" s="162">
        <f>'3FS'!AF75</f>
        <v>3271</v>
      </c>
      <c r="Z78" s="162">
        <f>'3FS'!AG75</f>
        <v>3352</v>
      </c>
      <c r="AA78" s="863">
        <f>'3FS'!AH75</f>
        <v>3091</v>
      </c>
      <c r="AB78" s="162">
        <f>'3FS'!AI75</f>
        <v>2977</v>
      </c>
      <c r="AC78" s="162">
        <f>'3FS'!AJ75</f>
        <v>3105</v>
      </c>
      <c r="AD78" s="162">
        <f>'3FS'!AK75</f>
        <v>2955</v>
      </c>
      <c r="AE78" s="902">
        <f>+'BS Drivers'!AE49</f>
        <v>2962.1068482309897</v>
      </c>
      <c r="AF78" s="371">
        <f>+'BS Drivers'!AF49</f>
        <v>2975.9763102914935</v>
      </c>
      <c r="AG78" s="371">
        <f>+'BS Drivers'!AG49</f>
        <v>2997.383891898704</v>
      </c>
      <c r="AH78" s="371">
        <f>+'BS Drivers'!AH49</f>
        <v>3022.9233581092149</v>
      </c>
      <c r="AI78" s="902">
        <f>+'BS Drivers'!AI49</f>
        <v>3051.3193657967067</v>
      </c>
      <c r="AJ78" s="5"/>
      <c r="AK78" s="162">
        <f>'3FS'!D75</f>
        <v>2715</v>
      </c>
      <c r="AL78" s="162">
        <f>'3FS'!E75</f>
        <v>3028</v>
      </c>
      <c r="AM78" s="162">
        <f>'3FS'!F75</f>
        <v>3322</v>
      </c>
      <c r="AN78" s="162">
        <f>'3FS'!G75</f>
        <v>3257</v>
      </c>
      <c r="AO78" s="162">
        <f>'3FS'!H75</f>
        <v>3270</v>
      </c>
      <c r="AP78" s="162">
        <f>'3FS'!I75</f>
        <v>3091</v>
      </c>
      <c r="AQ78" s="554">
        <f t="shared" si="250"/>
        <v>2962.1068482309897</v>
      </c>
      <c r="AR78" s="554">
        <f t="shared" si="250"/>
        <v>3051.3193657967067</v>
      </c>
      <c r="AS78" s="371">
        <f>+'BS Drivers'!AS49</f>
        <v>3179.2926917222794</v>
      </c>
    </row>
    <row r="79" spans="1:45" x14ac:dyDescent="0.2">
      <c r="B79" s="10" t="s">
        <v>47</v>
      </c>
      <c r="D79" s="371">
        <f>'3FS'!K76</f>
        <v>1901</v>
      </c>
      <c r="E79" s="371">
        <f>'3FS'!L76</f>
        <v>1901</v>
      </c>
      <c r="F79" s="371">
        <f>'3FS'!M76</f>
        <v>1930</v>
      </c>
      <c r="G79" s="902">
        <f>'3FS'!N76</f>
        <v>1930</v>
      </c>
      <c r="H79" s="371">
        <f>'3FS'!O76</f>
        <v>1930</v>
      </c>
      <c r="I79" s="162">
        <f>'3FS'!P76</f>
        <v>10910</v>
      </c>
      <c r="J79" s="162">
        <f>'3FS'!Q76</f>
        <v>10906</v>
      </c>
      <c r="K79" s="863">
        <f>'3FS'!R76</f>
        <v>11117</v>
      </c>
      <c r="L79" s="162">
        <f>'3FS'!S76</f>
        <v>11158</v>
      </c>
      <c r="M79" s="162">
        <f>'3FS'!T76</f>
        <v>11152</v>
      </c>
      <c r="N79" s="162">
        <f>'3FS'!U76</f>
        <v>12188</v>
      </c>
      <c r="O79" s="863">
        <f>'3FS'!V76</f>
        <v>12188</v>
      </c>
      <c r="P79" s="162">
        <f>'3FS'!W76</f>
        <v>12234</v>
      </c>
      <c r="Q79" s="162">
        <f>'3FS'!X76</f>
        <v>12234</v>
      </c>
      <c r="R79" s="162">
        <f>'3FS'!Y76</f>
        <v>12234</v>
      </c>
      <c r="S79" s="863">
        <f>'3FS'!Z76</f>
        <v>12234</v>
      </c>
      <c r="T79" s="162">
        <f>'3FS'!AA76</f>
        <v>12234</v>
      </c>
      <c r="U79" s="162">
        <f>'3FS'!AB76</f>
        <v>12234</v>
      </c>
      <c r="V79" s="162">
        <f>'3FS'!AC76</f>
        <v>12234</v>
      </c>
      <c r="W79" s="863">
        <f>'3FS'!AD76</f>
        <v>12234</v>
      </c>
      <c r="X79" s="162">
        <f>'3FS'!AE76</f>
        <v>12234</v>
      </c>
      <c r="Y79" s="162">
        <f>'3FS'!AF76</f>
        <v>13015</v>
      </c>
      <c r="Z79" s="162">
        <f>'3FS'!AG76</f>
        <v>13015</v>
      </c>
      <c r="AA79" s="863">
        <f>'3FS'!AH76</f>
        <v>13005</v>
      </c>
      <c r="AB79" s="162">
        <f>'3FS'!AI76</f>
        <v>13467</v>
      </c>
      <c r="AC79" s="162">
        <f>'3FS'!AJ76</f>
        <v>13460</v>
      </c>
      <c r="AD79" s="162">
        <f>'3FS'!AK76</f>
        <v>13690</v>
      </c>
      <c r="AE79" s="1208">
        <f t="shared" ref="AE79:AI79" si="285">+AD79</f>
        <v>13690</v>
      </c>
      <c r="AF79" s="332">
        <f t="shared" si="285"/>
        <v>13690</v>
      </c>
      <c r="AG79" s="332">
        <f t="shared" si="285"/>
        <v>13690</v>
      </c>
      <c r="AH79" s="332">
        <f t="shared" si="285"/>
        <v>13690</v>
      </c>
      <c r="AI79" s="1208">
        <f t="shared" si="285"/>
        <v>13690</v>
      </c>
      <c r="AJ79" s="5"/>
      <c r="AK79" s="162">
        <f>'3FS'!D76</f>
        <v>1930</v>
      </c>
      <c r="AL79" s="162">
        <f>'3FS'!E76</f>
        <v>11117</v>
      </c>
      <c r="AM79" s="162">
        <f>'3FS'!F76</f>
        <v>12188</v>
      </c>
      <c r="AN79" s="162">
        <f>'3FS'!G76</f>
        <v>12234</v>
      </c>
      <c r="AO79" s="162">
        <f>'3FS'!H76</f>
        <v>12234</v>
      </c>
      <c r="AP79" s="162">
        <f>'3FS'!I76</f>
        <v>13005</v>
      </c>
      <c r="AQ79" s="554">
        <f t="shared" si="250"/>
        <v>13690</v>
      </c>
      <c r="AR79" s="554">
        <f t="shared" si="250"/>
        <v>13690</v>
      </c>
      <c r="AS79" s="332">
        <f t="shared" ref="AS79" si="286">+AR79</f>
        <v>13690</v>
      </c>
    </row>
    <row r="80" spans="1:45" x14ac:dyDescent="0.2">
      <c r="B80" s="10" t="s">
        <v>48</v>
      </c>
      <c r="D80" s="371">
        <f>'3FS'!K77</f>
        <v>35618</v>
      </c>
      <c r="E80" s="371">
        <f>'3FS'!L77</f>
        <v>36430</v>
      </c>
      <c r="F80" s="371">
        <f>'3FS'!M77</f>
        <v>36442</v>
      </c>
      <c r="G80" s="902">
        <f>'3FS'!N77</f>
        <v>36465</v>
      </c>
      <c r="H80" s="371">
        <f>'3FS'!O77</f>
        <v>36471</v>
      </c>
      <c r="I80" s="162">
        <f>'3FS'!P77</f>
        <v>82870</v>
      </c>
      <c r="J80" s="162">
        <f>'3FS'!Q77</f>
        <v>82891</v>
      </c>
      <c r="K80" s="863">
        <f>'3FS'!R77</f>
        <v>82828</v>
      </c>
      <c r="L80" s="162">
        <f>'3FS'!S77</f>
        <v>82901</v>
      </c>
      <c r="M80" s="162">
        <f>'3FS'!T77</f>
        <v>82917</v>
      </c>
      <c r="N80" s="162">
        <f>'3FS'!U77</f>
        <v>92589</v>
      </c>
      <c r="O80" s="863">
        <f>'3FS'!V77</f>
        <v>92606</v>
      </c>
      <c r="P80" s="162">
        <f>'3FS'!W77</f>
        <v>92661</v>
      </c>
      <c r="Q80" s="162">
        <f>'3FS'!X77</f>
        <v>95632</v>
      </c>
      <c r="R80" s="162">
        <f>'3FS'!Y77</f>
        <v>95767</v>
      </c>
      <c r="S80" s="863">
        <f>'3FS'!Z77</f>
        <v>95798</v>
      </c>
      <c r="T80" s="162">
        <f>'3FS'!AA77</f>
        <v>95878</v>
      </c>
      <c r="U80" s="162">
        <f>'3FS'!AB77</f>
        <v>95889</v>
      </c>
      <c r="V80" s="162">
        <f>'3FS'!AC77</f>
        <v>96689</v>
      </c>
      <c r="W80" s="863">
        <f>'3FS'!AD77</f>
        <v>96707</v>
      </c>
      <c r="X80" s="162">
        <f>'3FS'!AE77</f>
        <v>97154</v>
      </c>
      <c r="Y80" s="162">
        <f>'3FS'!AF77</f>
        <v>98661</v>
      </c>
      <c r="Z80" s="162">
        <f>'3FS'!AG77</f>
        <v>98736</v>
      </c>
      <c r="AA80" s="863">
        <f>'3FS'!AH77</f>
        <v>100558</v>
      </c>
      <c r="AB80" s="162">
        <f>'3FS'!AI77</f>
        <v>98733</v>
      </c>
      <c r="AC80" s="162">
        <f>'3FS'!AJ77</f>
        <v>95928</v>
      </c>
      <c r="AD80" s="162">
        <f>'3FS'!AK77</f>
        <v>97749</v>
      </c>
      <c r="AE80" s="902">
        <f>+'BS Drivers'!AE61</f>
        <v>99303.701894169062</v>
      </c>
      <c r="AF80" s="371">
        <f>+'BS Drivers'!AF61</f>
        <v>100883.13138636709</v>
      </c>
      <c r="AG80" s="371">
        <f>+'BS Drivers'!AG61</f>
        <v>102487.68177006504</v>
      </c>
      <c r="AH80" s="371">
        <f>+'BS Drivers'!AH61</f>
        <v>104117.75259408285</v>
      </c>
      <c r="AI80" s="902">
        <f>+'BS Drivers'!AI61</f>
        <v>105773.74976208096</v>
      </c>
      <c r="AJ80" s="5"/>
      <c r="AK80" s="162">
        <f>'3FS'!D77</f>
        <v>36465</v>
      </c>
      <c r="AL80" s="162">
        <f>'3FS'!E77</f>
        <v>82828</v>
      </c>
      <c r="AM80" s="162">
        <f>'3FS'!F77</f>
        <v>92606</v>
      </c>
      <c r="AN80" s="162">
        <f>'3FS'!G77</f>
        <v>95798</v>
      </c>
      <c r="AO80" s="162">
        <f>'3FS'!H77</f>
        <v>96707</v>
      </c>
      <c r="AP80" s="162">
        <f>'3FS'!I77</f>
        <v>100558</v>
      </c>
      <c r="AQ80" s="554">
        <f t="shared" si="250"/>
        <v>99303.701894169062</v>
      </c>
      <c r="AR80" s="554">
        <f t="shared" si="250"/>
        <v>105773.74976208096</v>
      </c>
      <c r="AS80" s="371">
        <f>+'BS Drivers'!AS61</f>
        <v>112665.34807186545</v>
      </c>
    </row>
    <row r="81" spans="2:45" x14ac:dyDescent="0.2">
      <c r="B81" s="10" t="s">
        <v>49</v>
      </c>
      <c r="D81" s="371">
        <f>'3FS'!K78</f>
        <v>174</v>
      </c>
      <c r="E81" s="371">
        <f>'3FS'!L78</f>
        <v>157</v>
      </c>
      <c r="F81" s="371">
        <f>'3FS'!M78</f>
        <v>144</v>
      </c>
      <c r="G81" s="902">
        <f>'3FS'!N78</f>
        <v>115</v>
      </c>
      <c r="H81" s="371">
        <f>'3FS'!O78</f>
        <v>91</v>
      </c>
      <c r="I81" s="162">
        <f>'3FS'!P78</f>
        <v>6038</v>
      </c>
      <c r="J81" s="162">
        <f>'3FS'!Q78</f>
        <v>5660</v>
      </c>
      <c r="K81" s="863">
        <f>'3FS'!R78</f>
        <v>5298</v>
      </c>
      <c r="L81" s="162">
        <f>'3FS'!S78</f>
        <v>4892</v>
      </c>
      <c r="M81" s="162">
        <f>'3FS'!T78</f>
        <v>4600</v>
      </c>
      <c r="N81" s="162">
        <f>'3FS'!U78</f>
        <v>5047</v>
      </c>
      <c r="O81" s="863">
        <f>'3FS'!V78</f>
        <v>4733</v>
      </c>
      <c r="P81" s="162">
        <f>'3FS'!W78</f>
        <v>4448</v>
      </c>
      <c r="Q81" s="162">
        <f>'3FS'!X78</f>
        <v>4140</v>
      </c>
      <c r="R81" s="162">
        <f>'3FS'!Y78</f>
        <v>3763</v>
      </c>
      <c r="S81" s="863">
        <f>'3FS'!Z78</f>
        <v>3508</v>
      </c>
      <c r="T81" s="162">
        <f>'3FS'!AA78</f>
        <v>3245</v>
      </c>
      <c r="U81" s="162">
        <f>'3FS'!AB78</f>
        <v>3032</v>
      </c>
      <c r="V81" s="162">
        <f>'3FS'!AC78</f>
        <v>2824</v>
      </c>
      <c r="W81" s="863">
        <f>'3FS'!AD78</f>
        <v>2618</v>
      </c>
      <c r="X81" s="162">
        <f>'3FS'!AE78</f>
        <v>2445</v>
      </c>
      <c r="Y81" s="162">
        <f>'3FS'!AF78</f>
        <v>2978</v>
      </c>
      <c r="Z81" s="162">
        <f>'3FS'!AG78</f>
        <v>2762</v>
      </c>
      <c r="AA81" s="863">
        <f>'3FS'!AH78</f>
        <v>2512</v>
      </c>
      <c r="AB81" s="162">
        <f>'3FS'!AI78</f>
        <v>2618</v>
      </c>
      <c r="AC81" s="162">
        <f>'3FS'!AJ78</f>
        <v>2438</v>
      </c>
      <c r="AD81" s="162">
        <f>'3FS'!AK78</f>
        <v>4117</v>
      </c>
      <c r="AE81" s="902">
        <f>+'BS Drivers'!AE63</f>
        <v>4182.4810555432196</v>
      </c>
      <c r="AF81" s="371">
        <f>+'BS Drivers'!AF63</f>
        <v>4249.0035899873474</v>
      </c>
      <c r="AG81" s="371">
        <f>+'BS Drivers'!AG63</f>
        <v>4316.5841680974554</v>
      </c>
      <c r="AH81" s="371">
        <f>+'BS Drivers'!AH63</f>
        <v>4385.2396181018703</v>
      </c>
      <c r="AI81" s="902">
        <f>+'BS Drivers'!AI63</f>
        <v>4454.9870358825865</v>
      </c>
      <c r="AJ81" s="5"/>
      <c r="AK81" s="162">
        <f>'3FS'!D78</f>
        <v>115</v>
      </c>
      <c r="AL81" s="162">
        <f>'3FS'!E78</f>
        <v>5298</v>
      </c>
      <c r="AM81" s="162">
        <f>'3FS'!F78</f>
        <v>4733</v>
      </c>
      <c r="AN81" s="162">
        <f>'3FS'!G78</f>
        <v>3508</v>
      </c>
      <c r="AO81" s="162">
        <f>'3FS'!H78</f>
        <v>2618</v>
      </c>
      <c r="AP81" s="162">
        <f>'3FS'!I78</f>
        <v>2512</v>
      </c>
      <c r="AQ81" s="554">
        <f t="shared" si="250"/>
        <v>4182.4810555432196</v>
      </c>
      <c r="AR81" s="554">
        <f t="shared" si="250"/>
        <v>4454.9870358825865</v>
      </c>
      <c r="AS81" s="371">
        <f>+'BS Drivers'!AS63</f>
        <v>4745.2479105859966</v>
      </c>
    </row>
    <row r="82" spans="2:45" x14ac:dyDescent="0.2">
      <c r="B82" s="137" t="s">
        <v>190</v>
      </c>
      <c r="D82" s="371">
        <f>'3FS'!K79</f>
        <v>1662</v>
      </c>
      <c r="E82" s="371">
        <f>'3FS'!L79</f>
        <v>1604</v>
      </c>
      <c r="F82" s="371">
        <f>'3FS'!M79</f>
        <v>1469</v>
      </c>
      <c r="G82" s="902">
        <f>'3FS'!N79</f>
        <v>1583</v>
      </c>
      <c r="H82" s="371">
        <f>'3FS'!O79</f>
        <v>1367</v>
      </c>
      <c r="I82" s="162">
        <f>'3FS'!P79</f>
        <v>1399</v>
      </c>
      <c r="J82" s="162">
        <f>'3FS'!Q79</f>
        <v>1398</v>
      </c>
      <c r="K82" s="863">
        <f>'3FS'!R79</f>
        <v>2031</v>
      </c>
      <c r="L82" s="162">
        <f>'3FS'!S79</f>
        <v>2221</v>
      </c>
      <c r="M82" s="162">
        <f>'3FS'!T79</f>
        <v>2284</v>
      </c>
      <c r="N82" s="162">
        <f>'3FS'!U79</f>
        <v>2280</v>
      </c>
      <c r="O82" s="863">
        <f>'3FS'!V79</f>
        <v>2829</v>
      </c>
      <c r="P82" s="162">
        <f>'3FS'!W79</f>
        <v>2837</v>
      </c>
      <c r="Q82" s="162">
        <f>'3FS'!X79</f>
        <v>2605</v>
      </c>
      <c r="R82" s="162">
        <f>'3FS'!Y79</f>
        <v>2514</v>
      </c>
      <c r="S82" s="863">
        <f>'3FS'!Z79</f>
        <v>2546</v>
      </c>
      <c r="T82" s="162">
        <f>'3FS'!AA79</f>
        <v>2250</v>
      </c>
      <c r="U82" s="162">
        <f>'3FS'!AB79</f>
        <v>1966</v>
      </c>
      <c r="V82" s="162">
        <f>'3FS'!AC79</f>
        <v>1879</v>
      </c>
      <c r="W82" s="863">
        <f>'3FS'!AD79</f>
        <v>2042</v>
      </c>
      <c r="X82" s="162">
        <f>'3FS'!AE79</f>
        <v>1908</v>
      </c>
      <c r="Y82" s="162">
        <f>'3FS'!AF79</f>
        <v>1780</v>
      </c>
      <c r="Z82" s="162">
        <f>'3FS'!AG79</f>
        <v>1752</v>
      </c>
      <c r="AA82" s="863">
        <f>'3FS'!AH79</f>
        <v>2209</v>
      </c>
      <c r="AB82" s="162">
        <f>'3FS'!AI79</f>
        <v>2111</v>
      </c>
      <c r="AC82" s="162">
        <f>'3FS'!AJ79</f>
        <v>1975</v>
      </c>
      <c r="AD82" s="162">
        <f>'3FS'!AK79</f>
        <v>2316</v>
      </c>
      <c r="AE82" s="902">
        <f>+'BS Drivers'!AE16</f>
        <v>2254.1554529709747</v>
      </c>
      <c r="AF82" s="371">
        <f>+'BS Drivers'!AF16</f>
        <v>2261.3192776695914</v>
      </c>
      <c r="AG82" s="371">
        <f>+'BS Drivers'!AG16</f>
        <v>2311.0417450518798</v>
      </c>
      <c r="AH82" s="371">
        <f>+'BS Drivers'!AH16</f>
        <v>2344.465943375496</v>
      </c>
      <c r="AI82" s="902">
        <f>+'BS Drivers'!AI16</f>
        <v>2382.8883129093169</v>
      </c>
      <c r="AJ82" s="5"/>
      <c r="AK82" s="162">
        <f>'3FS'!D79</f>
        <v>1583</v>
      </c>
      <c r="AL82" s="162">
        <f>'3FS'!E79</f>
        <v>2031</v>
      </c>
      <c r="AM82" s="162">
        <f>'3FS'!F79</f>
        <v>2829</v>
      </c>
      <c r="AN82" s="162">
        <f>'3FS'!G79</f>
        <v>2546</v>
      </c>
      <c r="AO82" s="162">
        <f>'3FS'!H79</f>
        <v>2042</v>
      </c>
      <c r="AP82" s="162">
        <f>'3FS'!I79</f>
        <v>2209</v>
      </c>
      <c r="AQ82" s="554">
        <f t="shared" si="250"/>
        <v>2254.1554529709747</v>
      </c>
      <c r="AR82" s="554">
        <f t="shared" si="250"/>
        <v>2382.8883129093169</v>
      </c>
      <c r="AS82" s="371">
        <f>+'BS Drivers'!AS16</f>
        <v>2460.7579057766088</v>
      </c>
    </row>
    <row r="83" spans="2:45" x14ac:dyDescent="0.2">
      <c r="B83" s="16" t="s">
        <v>50</v>
      </c>
      <c r="D83" s="371">
        <f>'3FS'!K80</f>
        <v>1661</v>
      </c>
      <c r="E83" s="371">
        <f>'3FS'!L80</f>
        <v>1707</v>
      </c>
      <c r="F83" s="371">
        <f>'3FS'!M80</f>
        <v>1799</v>
      </c>
      <c r="G83" s="902">
        <f>'3FS'!N80</f>
        <v>1891</v>
      </c>
      <c r="H83" s="371">
        <f>'3FS'!O80</f>
        <v>2026</v>
      </c>
      <c r="I83" s="162">
        <f>'3FS'!P80</f>
        <v>2326</v>
      </c>
      <c r="J83" s="162">
        <f>'3FS'!Q80</f>
        <v>2519</v>
      </c>
      <c r="K83" s="863">
        <f>'3FS'!R80</f>
        <v>2779</v>
      </c>
      <c r="L83" s="162">
        <f>'3FS'!S80</f>
        <v>12140</v>
      </c>
      <c r="M83" s="162">
        <f>'3FS'!T80</f>
        <v>12266</v>
      </c>
      <c r="N83" s="162">
        <f>'3FS'!U80</f>
        <v>3052</v>
      </c>
      <c r="O83" s="863">
        <f>'3FS'!V80</f>
        <v>3232</v>
      </c>
      <c r="P83" s="162">
        <f>'3FS'!W80</f>
        <v>6276</v>
      </c>
      <c r="Q83" s="162">
        <f>'3FS'!X80</f>
        <v>3433</v>
      </c>
      <c r="R83" s="162">
        <f>'3FS'!Y80</f>
        <v>3877</v>
      </c>
      <c r="S83" s="863">
        <f>'3FS'!Z80</f>
        <v>4127</v>
      </c>
      <c r="T83" s="162">
        <f>'3FS'!AA80</f>
        <v>4209</v>
      </c>
      <c r="U83" s="162">
        <f>'3FS'!AB80</f>
        <v>4184</v>
      </c>
      <c r="V83" s="162">
        <f>'3FS'!AC80</f>
        <v>4246</v>
      </c>
      <c r="W83" s="863">
        <f>'3FS'!AD80</f>
        <v>4229</v>
      </c>
      <c r="X83" s="162">
        <f>'3FS'!AE80</f>
        <v>4000</v>
      </c>
      <c r="Y83" s="162">
        <f>'3FS'!AF80</f>
        <v>5093</v>
      </c>
      <c r="Z83" s="162">
        <f>'3FS'!AG80</f>
        <v>5158</v>
      </c>
      <c r="AA83" s="863">
        <f>'3FS'!AH80</f>
        <v>4325</v>
      </c>
      <c r="AB83" s="162">
        <f>'3FS'!AI80</f>
        <v>4364</v>
      </c>
      <c r="AC83" s="162">
        <f>'3FS'!AJ80</f>
        <v>6749</v>
      </c>
      <c r="AD83" s="162">
        <f>'3FS'!AK80</f>
        <v>9862</v>
      </c>
      <c r="AE83" s="902">
        <f>'BS Drivers'!AE67</f>
        <v>9862</v>
      </c>
      <c r="AF83" s="371">
        <f>'BS Drivers'!AF67</f>
        <v>9862</v>
      </c>
      <c r="AG83" s="371">
        <f>'BS Drivers'!AG67</f>
        <v>9862</v>
      </c>
      <c r="AH83" s="371">
        <f>'BS Drivers'!AH67</f>
        <v>9862</v>
      </c>
      <c r="AI83" s="902">
        <f>'BS Drivers'!AI67</f>
        <v>9862</v>
      </c>
      <c r="AJ83" s="5"/>
      <c r="AK83" s="162">
        <f>'3FS'!D80</f>
        <v>1891</v>
      </c>
      <c r="AL83" s="162">
        <f>'3FS'!E80</f>
        <v>2779</v>
      </c>
      <c r="AM83" s="162">
        <f>'3FS'!F80</f>
        <v>3232</v>
      </c>
      <c r="AN83" s="162">
        <f>'3FS'!G80</f>
        <v>4127</v>
      </c>
      <c r="AO83" s="162">
        <f>'3FS'!H80</f>
        <v>4229</v>
      </c>
      <c r="AP83" s="162">
        <f>'3FS'!I80</f>
        <v>4325</v>
      </c>
      <c r="AQ83" s="554">
        <f t="shared" si="250"/>
        <v>9862</v>
      </c>
      <c r="AR83" s="554">
        <f t="shared" si="250"/>
        <v>9862</v>
      </c>
      <c r="AS83" s="371">
        <f>'BS Drivers'!AS67</f>
        <v>9862</v>
      </c>
    </row>
    <row r="84" spans="2:45" s="3" customFormat="1" ht="12.75" thickBot="1" x14ac:dyDescent="0.25">
      <c r="B84" s="212" t="s">
        <v>51</v>
      </c>
      <c r="C84" s="182"/>
      <c r="D84" s="373">
        <f t="shared" ref="D84:F84" si="287">+SUM(D75:D83)</f>
        <v>83073</v>
      </c>
      <c r="E84" s="373">
        <f t="shared" si="287"/>
        <v>84788</v>
      </c>
      <c r="F84" s="373">
        <f t="shared" si="287"/>
        <v>86109</v>
      </c>
      <c r="G84" s="915">
        <f t="shared" ref="G84" si="288">+SUM(G75:G83)</f>
        <v>86921</v>
      </c>
      <c r="H84" s="373">
        <f t="shared" ref="H84" si="289">+SUM(H75:H83)</f>
        <v>87226</v>
      </c>
      <c r="I84" s="213">
        <f t="shared" ref="I84" si="290">+SUM(I75:I83)</f>
        <v>187199</v>
      </c>
      <c r="J84" s="213">
        <f t="shared" ref="J84" si="291">+SUM(J75:J83)</f>
        <v>192443</v>
      </c>
      <c r="K84" s="927">
        <f t="shared" ref="K84" si="292">+SUM(K75:K83)</f>
        <v>200162</v>
      </c>
      <c r="L84" s="213">
        <f t="shared" ref="L84" si="293">+SUM(L75:L83)</f>
        <v>203332</v>
      </c>
      <c r="M84" s="213">
        <f t="shared" ref="M84" si="294">+SUM(M75:M83)</f>
        <v>204124</v>
      </c>
      <c r="N84" s="213">
        <f t="shared" ref="N84" si="295">+SUM(N75:N83)</f>
        <v>202125</v>
      </c>
      <c r="O84" s="927">
        <f t="shared" ref="O84" si="296">+SUM(O75:O83)</f>
        <v>206563</v>
      </c>
      <c r="P84" s="213">
        <f t="shared" ref="P84" si="297">+SUM(P75:P83)</f>
        <v>210653</v>
      </c>
      <c r="Q84" s="213">
        <f t="shared" ref="Q84" si="298">+SUM(Q75:Q83)</f>
        <v>209463</v>
      </c>
      <c r="R84" s="213">
        <f t="shared" ref="R84" si="299">+SUM(R75:R83)</f>
        <v>213499</v>
      </c>
      <c r="S84" s="927">
        <f t="shared" ref="S84" si="300">+SUM(S75:S83)</f>
        <v>211338</v>
      </c>
      <c r="T84" s="213">
        <f t="shared" ref="T84" si="301">+SUM(T75:T83)</f>
        <v>210173</v>
      </c>
      <c r="U84" s="213">
        <f t="shared" ref="U84" si="302">+SUM(U75:U83)</f>
        <v>210602</v>
      </c>
      <c r="V84" s="213">
        <f t="shared" ref="V84" si="303">+SUM(V75:V83)</f>
        <v>208579</v>
      </c>
      <c r="W84" s="927">
        <f t="shared" ref="W84" si="304">+SUM(W75:W83)</f>
        <v>207682</v>
      </c>
      <c r="X84" s="213">
        <f t="shared" ref="X84" si="305">+SUM(X75:X83)</f>
        <v>206268</v>
      </c>
      <c r="Y84" s="213">
        <f t="shared" ref="Y84" si="306">+SUM(Y75:Y83)</f>
        <v>208557</v>
      </c>
      <c r="Z84" s="213">
        <f t="shared" ref="Z84:AA84" si="307">+SUM(Z75:Z83)</f>
        <v>210742</v>
      </c>
      <c r="AA84" s="927">
        <f t="shared" si="307"/>
        <v>208035</v>
      </c>
      <c r="AB84" s="213">
        <f t="shared" ref="AB84:AC84" si="308">+SUM(AB75:AB83)</f>
        <v>214633</v>
      </c>
      <c r="AC84" s="213">
        <f t="shared" si="308"/>
        <v>212643</v>
      </c>
      <c r="AD84" s="213">
        <f t="shared" ref="AD84" si="309">+SUM(AD75:AD83)</f>
        <v>217180</v>
      </c>
      <c r="AE84" s="915">
        <f t="shared" ref="AE84" si="310">+SUM(AE75:AE83)</f>
        <v>217094.8849720826</v>
      </c>
      <c r="AF84" s="373">
        <f t="shared" ref="AF84" si="311">+SUM(AF75:AF83)</f>
        <v>216990.70595864786</v>
      </c>
      <c r="AG84" s="373">
        <f t="shared" ref="AG84" si="312">+SUM(AG75:AG83)</f>
        <v>218407.95322764167</v>
      </c>
      <c r="AH84" s="373">
        <f t="shared" ref="AH84" si="313">+SUM(AH75:AH83)</f>
        <v>223655.76384846854</v>
      </c>
      <c r="AI84" s="915">
        <f t="shared" ref="AI84" si="314">+SUM(AI75:AI83)</f>
        <v>226938.33831272632</v>
      </c>
      <c r="AJ84" s="5"/>
      <c r="AK84" s="213">
        <f t="shared" ref="AK84:AO84" si="315">+SUM(AK75:AK83)</f>
        <v>86921</v>
      </c>
      <c r="AL84" s="213">
        <f t="shared" si="315"/>
        <v>200162</v>
      </c>
      <c r="AM84" s="213">
        <f t="shared" si="315"/>
        <v>206563</v>
      </c>
      <c r="AN84" s="213">
        <f t="shared" si="315"/>
        <v>211338</v>
      </c>
      <c r="AO84" s="213">
        <f t="shared" si="315"/>
        <v>207682</v>
      </c>
      <c r="AP84" s="213">
        <f t="shared" ref="AP84" si="316">+SUM(AP75:AP83)</f>
        <v>208035</v>
      </c>
      <c r="AQ84" s="373">
        <f t="shared" ref="AQ84" si="317">+SUM(AQ75:AQ83)</f>
        <v>217094.8849720826</v>
      </c>
      <c r="AR84" s="373">
        <f t="shared" ref="AR84" si="318">+SUM(AR75:AR83)</f>
        <v>226938.33831272632</v>
      </c>
      <c r="AS84" s="373">
        <f t="shared" ref="AS84" si="319">+SUM(AS75:AS83)</f>
        <v>233938.63771008031</v>
      </c>
    </row>
    <row r="85" spans="2:45" x14ac:dyDescent="0.2">
      <c r="B85" s="14" t="s">
        <v>52</v>
      </c>
      <c r="D85" s="370"/>
      <c r="E85" s="370"/>
      <c r="F85" s="370"/>
      <c r="G85" s="913"/>
      <c r="H85" s="370"/>
      <c r="K85" s="595"/>
      <c r="O85" s="595"/>
      <c r="S85" s="595"/>
      <c r="W85" s="595"/>
      <c r="AA85" s="595"/>
      <c r="AE85" s="913"/>
      <c r="AF85" s="370"/>
      <c r="AG85" s="370"/>
      <c r="AH85" s="370"/>
      <c r="AI85" s="913"/>
      <c r="AJ85" s="5"/>
      <c r="AQ85" s="370"/>
      <c r="AR85" s="370"/>
      <c r="AS85" s="370"/>
    </row>
    <row r="86" spans="2:45" x14ac:dyDescent="0.2">
      <c r="B86" s="10" t="s">
        <v>53</v>
      </c>
      <c r="D86" s="370"/>
      <c r="E86" s="370"/>
      <c r="F86" s="370"/>
      <c r="G86" s="913"/>
      <c r="H86" s="370"/>
      <c r="K86" s="595"/>
      <c r="O86" s="595"/>
      <c r="S86" s="595"/>
      <c r="W86" s="595"/>
      <c r="AA86" s="595"/>
      <c r="AE86" s="913"/>
      <c r="AF86" s="370"/>
      <c r="AG86" s="370"/>
      <c r="AH86" s="370"/>
      <c r="AI86" s="913"/>
      <c r="AJ86" s="5"/>
      <c r="AQ86" s="370"/>
      <c r="AR86" s="370"/>
      <c r="AS86" s="370"/>
    </row>
    <row r="87" spans="2:45" x14ac:dyDescent="0.2">
      <c r="B87" s="29" t="s">
        <v>54</v>
      </c>
      <c r="D87" s="371">
        <f>'3FS'!K84</f>
        <v>7572</v>
      </c>
      <c r="E87" s="371">
        <f>'3FS'!L84</f>
        <v>7458</v>
      </c>
      <c r="F87" s="371">
        <f>'3FS'!M84</f>
        <v>6658</v>
      </c>
      <c r="G87" s="902">
        <f>'3FS'!N84</f>
        <v>6933</v>
      </c>
      <c r="H87" s="371">
        <f>'3FS'!O84</f>
        <v>6231</v>
      </c>
      <c r="I87" s="162">
        <f>'3FS'!P84</f>
        <v>9474</v>
      </c>
      <c r="J87" s="162">
        <f>'3FS'!Q84</f>
        <v>8524</v>
      </c>
      <c r="K87" s="863">
        <f>'3FS'!R84</f>
        <v>10353</v>
      </c>
      <c r="L87" s="162">
        <f>'3FS'!S84</f>
        <v>8820</v>
      </c>
      <c r="M87" s="162">
        <f>'3FS'!T84</f>
        <v>8516</v>
      </c>
      <c r="N87" s="162">
        <f>'3FS'!U84</f>
        <v>8827</v>
      </c>
      <c r="O87" s="863">
        <f>'3FS'!V84</f>
        <v>11508</v>
      </c>
      <c r="P87" s="162">
        <f>'3FS'!W84</f>
        <v>11134</v>
      </c>
      <c r="Q87" s="162">
        <f>'3FS'!X84</f>
        <v>11182</v>
      </c>
      <c r="R87" s="162">
        <f>'3FS'!Y84</f>
        <v>11971</v>
      </c>
      <c r="S87" s="863">
        <f>'3FS'!Z84</f>
        <v>12275</v>
      </c>
      <c r="T87" s="162">
        <f>'3FS'!AA84</f>
        <v>11091</v>
      </c>
      <c r="U87" s="162">
        <f>'3FS'!AB84</f>
        <v>9872</v>
      </c>
      <c r="V87" s="162">
        <f>'3FS'!AC84</f>
        <v>9665</v>
      </c>
      <c r="W87" s="863">
        <f>'3FS'!AD84</f>
        <v>10373</v>
      </c>
      <c r="X87" s="162">
        <f>'3FS'!AE84</f>
        <v>7720</v>
      </c>
      <c r="Y87" s="162">
        <f>'3FS'!AF84</f>
        <v>7591</v>
      </c>
      <c r="Z87" s="162">
        <f>'3FS'!AG84</f>
        <v>7496</v>
      </c>
      <c r="AA87" s="863">
        <f>'3FS'!AH84</f>
        <v>8463</v>
      </c>
      <c r="AB87" s="162">
        <f>'3FS'!AI84</f>
        <v>7900</v>
      </c>
      <c r="AC87" s="162">
        <f>'3FS'!AJ84</f>
        <v>7802</v>
      </c>
      <c r="AD87" s="162">
        <f>'3FS'!AK84</f>
        <v>9193</v>
      </c>
      <c r="AE87" s="902">
        <f>+'BS Drivers'!AE27</f>
        <v>8411.2993616470449</v>
      </c>
      <c r="AF87" s="371">
        <f>+'BS Drivers'!AF27</f>
        <v>7570.5782962810417</v>
      </c>
      <c r="AG87" s="371">
        <f>+'BS Drivers'!AG27</f>
        <v>7744.7337084354704</v>
      </c>
      <c r="AH87" s="371">
        <f>+'BS Drivers'!AH27</f>
        <v>9200.1377329268416</v>
      </c>
      <c r="AI87" s="902">
        <f>+'BS Drivers'!AI27</f>
        <v>9040.3529519777894</v>
      </c>
      <c r="AJ87" s="5"/>
      <c r="AK87" s="162">
        <f>'3FS'!D84</f>
        <v>6933</v>
      </c>
      <c r="AL87" s="162">
        <f>'3FS'!E84</f>
        <v>10353</v>
      </c>
      <c r="AM87" s="162">
        <f>'3FS'!F84</f>
        <v>11508</v>
      </c>
      <c r="AN87" s="162">
        <f>'3FS'!G84</f>
        <v>12275</v>
      </c>
      <c r="AO87" s="162">
        <f>'3FS'!H84</f>
        <v>10373</v>
      </c>
      <c r="AP87" s="162">
        <f>'3FS'!I84</f>
        <v>8463</v>
      </c>
      <c r="AQ87" s="554">
        <f t="shared" ref="AQ87:AR93" si="320">SUMIFS($F87:$AI87,$F$3:$AI$3,AQ$3,$F$2:$AI$2,4)</f>
        <v>8411.2993616470449</v>
      </c>
      <c r="AR87" s="554">
        <f t="shared" si="320"/>
        <v>9040.3529519777894</v>
      </c>
      <c r="AS87" s="371">
        <f>+'BS Drivers'!AS27</f>
        <v>9503.2475230303316</v>
      </c>
    </row>
    <row r="88" spans="2:45" x14ac:dyDescent="0.2">
      <c r="B88" s="29" t="s">
        <v>55</v>
      </c>
      <c r="D88" s="371">
        <f>'3FS'!K85</f>
        <v>250</v>
      </c>
      <c r="E88" s="371">
        <f>'3FS'!L85</f>
        <v>300</v>
      </c>
      <c r="F88" s="371">
        <f>'3FS'!M85</f>
        <v>475</v>
      </c>
      <c r="G88" s="902">
        <f>'3FS'!N85</f>
        <v>25</v>
      </c>
      <c r="H88" s="371">
        <f>'3FS'!O85</f>
        <v>0</v>
      </c>
      <c r="I88" s="162">
        <f>'3FS'!P85</f>
        <v>3818</v>
      </c>
      <c r="J88" s="162">
        <f>'3FS'!Q85</f>
        <v>3713</v>
      </c>
      <c r="K88" s="863">
        <f>'3FS'!R85</f>
        <v>4579</v>
      </c>
      <c r="L88" s="162">
        <f>'3FS'!S85</f>
        <v>4423</v>
      </c>
      <c r="M88" s="162">
        <f>'3FS'!T85</f>
        <v>4648</v>
      </c>
      <c r="N88" s="162">
        <f>'3FS'!U85</f>
        <v>2096</v>
      </c>
      <c r="O88" s="863">
        <f>'3FS'!V85</f>
        <v>3378</v>
      </c>
      <c r="P88" s="162">
        <f>'3FS'!W85</f>
        <v>2865</v>
      </c>
      <c r="Q88" s="162">
        <f>'3FS'!X85</f>
        <v>2942</v>
      </c>
      <c r="R88" s="162">
        <f>'3FS'!Y85</f>
        <v>7398</v>
      </c>
      <c r="S88" s="863">
        <f>'3FS'!Z85</f>
        <v>5164</v>
      </c>
      <c r="T88" s="162">
        <f>'3FS'!AA85</f>
        <v>5215</v>
      </c>
      <c r="U88" s="162">
        <f>'3FS'!AB85</f>
        <v>7731</v>
      </c>
      <c r="V88" s="162">
        <f>'3FS'!AC85</f>
        <v>3437</v>
      </c>
      <c r="W88" s="863">
        <f>'3FS'!AD85</f>
        <v>3619</v>
      </c>
      <c r="X88" s="162">
        <f>'3FS'!AE85</f>
        <v>5356</v>
      </c>
      <c r="Y88" s="162">
        <f>'3FS'!AF85</f>
        <v>5867</v>
      </c>
      <c r="Z88" s="162">
        <f>'3FS'!AG85</f>
        <v>5851</v>
      </c>
      <c r="AA88" s="863">
        <f>'3FS'!AH85</f>
        <v>4068</v>
      </c>
      <c r="AB88" s="162">
        <f>'3FS'!AI85</f>
        <v>8214</v>
      </c>
      <c r="AC88" s="162">
        <f>'3FS'!AJ85</f>
        <v>6408</v>
      </c>
      <c r="AD88" s="162">
        <f>'3FS'!AK85</f>
        <v>6333</v>
      </c>
      <c r="AE88" s="902">
        <f>+'BS Drivers'!AE73</f>
        <v>6333</v>
      </c>
      <c r="AF88" s="371">
        <f>+'BS Drivers'!AF73</f>
        <v>6333</v>
      </c>
      <c r="AG88" s="371">
        <f>+'BS Drivers'!AG73</f>
        <v>6333</v>
      </c>
      <c r="AH88" s="371">
        <f>+'BS Drivers'!AH73</f>
        <v>6333</v>
      </c>
      <c r="AI88" s="902">
        <f>+'BS Drivers'!AI73</f>
        <v>6333</v>
      </c>
      <c r="AJ88" s="5"/>
      <c r="AK88" s="162">
        <f>'3FS'!D85</f>
        <v>25</v>
      </c>
      <c r="AL88" s="162">
        <f>'3FS'!E85</f>
        <v>4579</v>
      </c>
      <c r="AM88" s="162">
        <f>'3FS'!F85</f>
        <v>3378</v>
      </c>
      <c r="AN88" s="162">
        <f>'3FS'!G85</f>
        <v>5164</v>
      </c>
      <c r="AO88" s="162">
        <f>'3FS'!H85</f>
        <v>3619</v>
      </c>
      <c r="AP88" s="162">
        <f>'3FS'!I85</f>
        <v>4068</v>
      </c>
      <c r="AQ88" s="554">
        <f t="shared" si="320"/>
        <v>6333</v>
      </c>
      <c r="AR88" s="554">
        <f t="shared" si="320"/>
        <v>6333</v>
      </c>
      <c r="AS88" s="371">
        <f>+'BS Drivers'!AS73</f>
        <v>6333</v>
      </c>
    </row>
    <row r="89" spans="2:45" x14ac:dyDescent="0.2">
      <c r="B89" s="29" t="s">
        <v>56</v>
      </c>
      <c r="D89" s="371">
        <f>'3FS'!K86</f>
        <v>598</v>
      </c>
      <c r="E89" s="371">
        <f>'3FS'!L86</f>
        <v>0</v>
      </c>
      <c r="F89" s="371">
        <f>'3FS'!M86</f>
        <v>0</v>
      </c>
      <c r="G89" s="902">
        <f>'3FS'!N86</f>
        <v>0</v>
      </c>
      <c r="H89" s="371">
        <f>'3FS'!O86</f>
        <v>2000</v>
      </c>
      <c r="I89" s="162">
        <f>'3FS'!P86</f>
        <v>1235</v>
      </c>
      <c r="J89" s="162">
        <f>'3FS'!Q86</f>
        <v>0</v>
      </c>
      <c r="K89" s="863">
        <f>'3FS'!R86</f>
        <v>0</v>
      </c>
      <c r="L89" s="162">
        <f>'3FS'!S86</f>
        <v>0</v>
      </c>
      <c r="M89" s="162">
        <f>'3FS'!T86</f>
        <v>2235</v>
      </c>
      <c r="N89" s="162">
        <f>'3FS'!U86</f>
        <v>2240</v>
      </c>
      <c r="O89" s="863">
        <f>'3FS'!V86</f>
        <v>2245</v>
      </c>
      <c r="P89" s="162">
        <f>'3FS'!W86</f>
        <v>1250</v>
      </c>
      <c r="Q89" s="162">
        <f>'3FS'!X86</f>
        <v>0</v>
      </c>
      <c r="R89" s="162">
        <f>'3FS'!Y86</f>
        <v>0</v>
      </c>
      <c r="S89" s="863">
        <f>'3FS'!Z86</f>
        <v>0</v>
      </c>
      <c r="T89" s="162">
        <f>'3FS'!AA86</f>
        <v>0</v>
      </c>
      <c r="U89" s="162">
        <f>'3FS'!AB86</f>
        <v>0</v>
      </c>
      <c r="V89" s="162">
        <f>'3FS'!AC86</f>
        <v>0</v>
      </c>
      <c r="W89" s="863">
        <f>'3FS'!AD86</f>
        <v>0</v>
      </c>
      <c r="X89" s="162">
        <f>'3FS'!AE86</f>
        <v>0</v>
      </c>
      <c r="Y89" s="162">
        <f>'3FS'!AF86</f>
        <v>0</v>
      </c>
      <c r="Z89" s="162">
        <f>'3FS'!AG86</f>
        <v>0</v>
      </c>
      <c r="AA89" s="863">
        <f>'3FS'!AH86</f>
        <v>0</v>
      </c>
      <c r="AB89" s="162">
        <f>'3FS'!AI86</f>
        <v>0</v>
      </c>
      <c r="AC89" s="162">
        <f>'3FS'!AJ86</f>
        <v>0</v>
      </c>
      <c r="AD89" s="162">
        <f>'3FS'!AK86</f>
        <v>0</v>
      </c>
      <c r="AE89" s="902">
        <f>+'BS Drivers'!AE74</f>
        <v>0</v>
      </c>
      <c r="AF89" s="371">
        <f>+'BS Drivers'!AF74</f>
        <v>0</v>
      </c>
      <c r="AG89" s="371">
        <f>+'BS Drivers'!AG74</f>
        <v>0</v>
      </c>
      <c r="AH89" s="371">
        <f>+'BS Drivers'!AH74</f>
        <v>0</v>
      </c>
      <c r="AI89" s="902">
        <f>+'BS Drivers'!AI74</f>
        <v>0</v>
      </c>
      <c r="AJ89" s="5"/>
      <c r="AK89" s="162">
        <f>'3FS'!D86</f>
        <v>0</v>
      </c>
      <c r="AL89" s="162">
        <f>'3FS'!E86</f>
        <v>0</v>
      </c>
      <c r="AM89" s="162">
        <f>'3FS'!F86</f>
        <v>2245</v>
      </c>
      <c r="AN89" s="162">
        <f>'3FS'!G86</f>
        <v>0</v>
      </c>
      <c r="AO89" s="162">
        <f>'3FS'!H86</f>
        <v>0</v>
      </c>
      <c r="AP89" s="162">
        <f>'3FS'!I86</f>
        <v>0</v>
      </c>
      <c r="AQ89" s="554">
        <f t="shared" si="320"/>
        <v>0</v>
      </c>
      <c r="AR89" s="554">
        <f t="shared" si="320"/>
        <v>0</v>
      </c>
      <c r="AS89" s="371">
        <f>+'BS Drivers'!AS74</f>
        <v>0</v>
      </c>
    </row>
    <row r="90" spans="2:45" x14ac:dyDescent="0.2">
      <c r="B90" s="29" t="s">
        <v>57</v>
      </c>
      <c r="D90" s="371">
        <f>'3FS'!K87</f>
        <v>665</v>
      </c>
      <c r="E90" s="371">
        <f>'3FS'!L87</f>
        <v>620</v>
      </c>
      <c r="F90" s="371">
        <f>'3FS'!M87</f>
        <v>608</v>
      </c>
      <c r="G90" s="902">
        <f>'3FS'!N87</f>
        <v>631</v>
      </c>
      <c r="H90" s="371">
        <f>'3FS'!O87</f>
        <v>619</v>
      </c>
      <c r="I90" s="162">
        <f>'3FS'!P87</f>
        <v>1185</v>
      </c>
      <c r="J90" s="162">
        <f>'3FS'!Q87</f>
        <v>1078</v>
      </c>
      <c r="K90" s="863">
        <f>'3FS'!R87</f>
        <v>1030</v>
      </c>
      <c r="L90" s="162">
        <f>'3FS'!S87</f>
        <v>972</v>
      </c>
      <c r="M90" s="162">
        <f>'3FS'!T87</f>
        <v>939</v>
      </c>
      <c r="N90" s="162">
        <f>'3FS'!U87</f>
        <v>914</v>
      </c>
      <c r="O90" s="863">
        <f>'3FS'!V87</f>
        <v>856</v>
      </c>
      <c r="P90" s="162">
        <f>'3FS'!W87</f>
        <v>842</v>
      </c>
      <c r="Q90" s="162">
        <f>'3FS'!X87</f>
        <v>810</v>
      </c>
      <c r="R90" s="162">
        <f>'3FS'!Y87</f>
        <v>777</v>
      </c>
      <c r="S90" s="863">
        <f>'3FS'!Z87</f>
        <v>780</v>
      </c>
      <c r="T90" s="162">
        <f>'3FS'!AA87</f>
        <v>804</v>
      </c>
      <c r="U90" s="162">
        <f>'3FS'!AB87</f>
        <v>810</v>
      </c>
      <c r="V90" s="162">
        <f>'3FS'!AC87</f>
        <v>830</v>
      </c>
      <c r="W90" s="863">
        <f>'3FS'!AD87</f>
        <v>825</v>
      </c>
      <c r="X90" s="162">
        <f>'3FS'!AE87</f>
        <v>846</v>
      </c>
      <c r="Y90" s="162">
        <f>'3FS'!AF87</f>
        <v>1098</v>
      </c>
      <c r="Z90" s="162">
        <f>'3FS'!AG87</f>
        <v>1125</v>
      </c>
      <c r="AA90" s="863">
        <f>'3FS'!AH87</f>
        <v>1222</v>
      </c>
      <c r="AB90" s="162">
        <f>'3FS'!AI87</f>
        <v>1193</v>
      </c>
      <c r="AC90" s="162">
        <f>'3FS'!AJ87</f>
        <v>1217</v>
      </c>
      <c r="AD90" s="162">
        <f>'3FS'!AK87</f>
        <v>1487</v>
      </c>
      <c r="AE90" s="902">
        <f>+'BS Drivers'!AE31</f>
        <v>1521.6516067043372</v>
      </c>
      <c r="AF90" s="371">
        <f>+'BS Drivers'!AF31</f>
        <v>1550.4795368084292</v>
      </c>
      <c r="AG90" s="371">
        <f>+'BS Drivers'!AG31</f>
        <v>1585.6226337849375</v>
      </c>
      <c r="AH90" s="371">
        <f>+'BS Drivers'!AH31</f>
        <v>1611.8707213763587</v>
      </c>
      <c r="AI90" s="902">
        <f>+'BS Drivers'!AI31</f>
        <v>1635.4509574674844</v>
      </c>
      <c r="AJ90" s="5"/>
      <c r="AK90" s="162">
        <f>'3FS'!D87</f>
        <v>631</v>
      </c>
      <c r="AL90" s="162">
        <f>'3FS'!E87</f>
        <v>1030</v>
      </c>
      <c r="AM90" s="162">
        <f>'3FS'!F87</f>
        <v>856</v>
      </c>
      <c r="AN90" s="162">
        <f>'3FS'!G87</f>
        <v>780</v>
      </c>
      <c r="AO90" s="162">
        <f>'3FS'!H87</f>
        <v>825</v>
      </c>
      <c r="AP90" s="162">
        <f>'3FS'!I87</f>
        <v>1222</v>
      </c>
      <c r="AQ90" s="554">
        <f t="shared" si="320"/>
        <v>1521.6516067043372</v>
      </c>
      <c r="AR90" s="554">
        <f t="shared" si="320"/>
        <v>1635.4509574674844</v>
      </c>
      <c r="AS90" s="371">
        <f>+'BS Drivers'!AS31</f>
        <v>1719.191202284891</v>
      </c>
    </row>
    <row r="91" spans="2:45" x14ac:dyDescent="0.2">
      <c r="B91" s="29" t="s">
        <v>58</v>
      </c>
      <c r="D91" s="371">
        <f>'3FS'!K88</f>
        <v>2202</v>
      </c>
      <c r="E91" s="371">
        <f>'3FS'!L88</f>
        <v>2268</v>
      </c>
      <c r="F91" s="371">
        <f>'3FS'!M88</f>
        <v>2232</v>
      </c>
      <c r="G91" s="902">
        <f>'3FS'!N88</f>
        <v>2287</v>
      </c>
      <c r="H91" s="371">
        <f>'3FS'!O88</f>
        <v>2187</v>
      </c>
      <c r="I91" s="162">
        <f>'3FS'!P88</f>
        <v>4164</v>
      </c>
      <c r="J91" s="162">
        <f>'3FS'!Q88</f>
        <v>3658</v>
      </c>
      <c r="K91" s="863">
        <f>'3FS'!R88</f>
        <v>3868</v>
      </c>
      <c r="L91" s="162">
        <f>'3FS'!S88</f>
        <v>3498</v>
      </c>
      <c r="M91" s="162">
        <f>'3FS'!T88</f>
        <v>3577</v>
      </c>
      <c r="N91" s="162">
        <f>'3FS'!U88</f>
        <v>3077</v>
      </c>
      <c r="O91" s="863">
        <f>'3FS'!V88</f>
        <v>3425</v>
      </c>
      <c r="P91" s="162">
        <f>'3FS'!W88</f>
        <v>3252</v>
      </c>
      <c r="Q91" s="162">
        <f>'3FS'!X88</f>
        <v>3348</v>
      </c>
      <c r="R91" s="162">
        <f>'3FS'!Y88</f>
        <v>3367</v>
      </c>
      <c r="S91" s="863">
        <f>'3FS'!Z88</f>
        <v>3512</v>
      </c>
      <c r="T91" s="162">
        <f>'3FS'!AA88</f>
        <v>3441</v>
      </c>
      <c r="U91" s="162">
        <f>'3FS'!AB88</f>
        <v>3289</v>
      </c>
      <c r="V91" s="162">
        <f>'3FS'!AC88</f>
        <v>3545</v>
      </c>
      <c r="W91" s="863">
        <f>'3FS'!AD88</f>
        <v>3555</v>
      </c>
      <c r="X91" s="162">
        <f>'3FS'!AE88</f>
        <v>3443</v>
      </c>
      <c r="Y91" s="162">
        <f>'3FS'!AF88</f>
        <v>3202</v>
      </c>
      <c r="Z91" s="162">
        <f>'3FS'!AG88</f>
        <v>3328</v>
      </c>
      <c r="AA91" s="863">
        <f>'3FS'!AH88</f>
        <v>3281</v>
      </c>
      <c r="AB91" s="162">
        <f>'3FS'!AI88</f>
        <v>3305</v>
      </c>
      <c r="AC91" s="162">
        <f>'3FS'!AJ88</f>
        <v>3343</v>
      </c>
      <c r="AD91" s="162">
        <f>'3FS'!AK88</f>
        <v>3550</v>
      </c>
      <c r="AE91" s="902">
        <f>+'BS Drivers'!AE113</f>
        <v>3690.0516988620147</v>
      </c>
      <c r="AF91" s="371">
        <f>+'BS Drivers'!AF113</f>
        <v>3533.3353692097226</v>
      </c>
      <c r="AG91" s="371">
        <f>+'BS Drivers'!AG113</f>
        <v>3373.0669145277061</v>
      </c>
      <c r="AH91" s="371">
        <f>+'BS Drivers'!AH113</f>
        <v>3543.2059469874657</v>
      </c>
      <c r="AI91" s="902">
        <f>+'BS Drivers'!AI113</f>
        <v>3693.7316547050905</v>
      </c>
      <c r="AJ91" s="5"/>
      <c r="AK91" s="162">
        <f>'3FS'!D88</f>
        <v>2287</v>
      </c>
      <c r="AL91" s="162">
        <f>'3FS'!E88</f>
        <v>3868</v>
      </c>
      <c r="AM91" s="162">
        <f>'3FS'!F88</f>
        <v>3425</v>
      </c>
      <c r="AN91" s="162">
        <f>'3FS'!G88</f>
        <v>3512</v>
      </c>
      <c r="AO91" s="162">
        <f>'3FS'!H88</f>
        <v>3555</v>
      </c>
      <c r="AP91" s="162">
        <f>'3FS'!I88</f>
        <v>3281</v>
      </c>
      <c r="AQ91" s="554">
        <f t="shared" si="320"/>
        <v>3690.0516988620147</v>
      </c>
      <c r="AR91" s="554">
        <f t="shared" si="320"/>
        <v>3693.7316547050905</v>
      </c>
      <c r="AS91" s="371">
        <f>+'BS Drivers'!AS113</f>
        <v>3639.5149973872976</v>
      </c>
    </row>
    <row r="92" spans="2:45" x14ac:dyDescent="0.2">
      <c r="B92" s="29" t="s">
        <v>59</v>
      </c>
      <c r="D92" s="371">
        <f>'3FS'!K89</f>
        <v>911</v>
      </c>
      <c r="E92" s="371">
        <f>'3FS'!L89</f>
        <v>963</v>
      </c>
      <c r="F92" s="371">
        <f>'3FS'!M89</f>
        <v>1013</v>
      </c>
      <c r="G92" s="902">
        <f>'3FS'!N89</f>
        <v>957</v>
      </c>
      <c r="H92" s="371">
        <f>'3FS'!O89</f>
        <v>918</v>
      </c>
      <c r="I92" s="162">
        <f>'3FS'!P89</f>
        <v>1040</v>
      </c>
      <c r="J92" s="162">
        <f>'3FS'!Q89</f>
        <v>1050</v>
      </c>
      <c r="K92" s="863">
        <f>'3FS'!R89</f>
        <v>1063</v>
      </c>
      <c r="L92" s="162">
        <f>'3FS'!S89</f>
        <v>1013</v>
      </c>
      <c r="M92" s="162">
        <f>'3FS'!T89</f>
        <v>1045</v>
      </c>
      <c r="N92" s="162">
        <f>'3FS'!U89</f>
        <v>1154</v>
      </c>
      <c r="O92" s="863">
        <f>'3FS'!V89</f>
        <v>1120</v>
      </c>
      <c r="P92" s="162">
        <f>'3FS'!W89</f>
        <v>1121</v>
      </c>
      <c r="Q92" s="162">
        <f>'3FS'!X89</f>
        <v>1220</v>
      </c>
      <c r="R92" s="162">
        <f>'3FS'!Y89</f>
        <v>1239</v>
      </c>
      <c r="S92" s="863">
        <f>'3FS'!Z89</f>
        <v>1161</v>
      </c>
      <c r="T92" s="162">
        <f>'3FS'!AA89</f>
        <v>1180</v>
      </c>
      <c r="U92" s="162">
        <f>'3FS'!AB89</f>
        <v>1220</v>
      </c>
      <c r="V92" s="162">
        <f>'3FS'!AC89</f>
        <v>1286</v>
      </c>
      <c r="W92" s="863">
        <f>'3FS'!AD89</f>
        <v>1260</v>
      </c>
      <c r="X92" s="162">
        <f>'3FS'!AE89</f>
        <v>1265</v>
      </c>
      <c r="Y92" s="162">
        <f>'3FS'!AF89</f>
        <v>1252</v>
      </c>
      <c r="Z92" s="162">
        <f>'3FS'!AG89</f>
        <v>1252</v>
      </c>
      <c r="AA92" s="863">
        <f>'3FS'!AH89</f>
        <v>1175</v>
      </c>
      <c r="AB92" s="162">
        <f>'3FS'!AI89</f>
        <v>1136</v>
      </c>
      <c r="AC92" s="162">
        <f>'3FS'!AJ89</f>
        <v>1157</v>
      </c>
      <c r="AD92" s="162">
        <f>'3FS'!AK89</f>
        <v>1157</v>
      </c>
      <c r="AE92" s="902">
        <f>+'BS Drivers'!AE88</f>
        <v>1159.7826136728443</v>
      </c>
      <c r="AF92" s="371">
        <f>+'BS Drivers'!AF88</f>
        <v>1165.2130595625238</v>
      </c>
      <c r="AG92" s="371">
        <f>+'BS Drivers'!AG88</f>
        <v>1173.5949789938411</v>
      </c>
      <c r="AH92" s="371">
        <f>+'BS Drivers'!AH88</f>
        <v>1183.5946955439463</v>
      </c>
      <c r="AI92" s="902">
        <f>+'BS Drivers'!AI88</f>
        <v>1194.7128616672721</v>
      </c>
      <c r="AJ92" s="5"/>
      <c r="AK92" s="162">
        <f>'3FS'!D89</f>
        <v>957</v>
      </c>
      <c r="AL92" s="162">
        <f>'3FS'!E89</f>
        <v>1063</v>
      </c>
      <c r="AM92" s="162">
        <f>'3FS'!F89</f>
        <v>1120</v>
      </c>
      <c r="AN92" s="162">
        <f>'3FS'!G89</f>
        <v>1161</v>
      </c>
      <c r="AO92" s="162">
        <f>'3FS'!H89</f>
        <v>1260</v>
      </c>
      <c r="AP92" s="162">
        <f>'3FS'!I89</f>
        <v>1175</v>
      </c>
      <c r="AQ92" s="554">
        <f t="shared" si="320"/>
        <v>1159.7826136728443</v>
      </c>
      <c r="AR92" s="554">
        <f t="shared" si="320"/>
        <v>1194.7128616672721</v>
      </c>
      <c r="AS92" s="371">
        <f>+'BS Drivers'!AS88</f>
        <v>1244.8195073850009</v>
      </c>
    </row>
    <row r="93" spans="2:45" x14ac:dyDescent="0.2">
      <c r="B93" s="29" t="s">
        <v>60</v>
      </c>
      <c r="D93" s="371">
        <f>'3FS'!K90</f>
        <v>1129</v>
      </c>
      <c r="E93" s="371">
        <f>'3FS'!L90</f>
        <v>1564</v>
      </c>
      <c r="F93" s="371">
        <f>'3FS'!M90</f>
        <v>1883</v>
      </c>
      <c r="G93" s="902">
        <f>'3FS'!N90</f>
        <v>1673</v>
      </c>
      <c r="H93" s="371">
        <f>'3FS'!O90</f>
        <v>2801</v>
      </c>
      <c r="I93" s="162">
        <f>'3FS'!P90</f>
        <v>2275</v>
      </c>
      <c r="J93" s="162">
        <f>'3FS'!Q90</f>
        <v>1817</v>
      </c>
      <c r="K93" s="863">
        <f>'3FS'!R90</f>
        <v>810</v>
      </c>
      <c r="L93" s="162">
        <f>'3FS'!S90</f>
        <v>769</v>
      </c>
      <c r="M93" s="162">
        <f>'3FS'!T90</f>
        <v>877</v>
      </c>
      <c r="N93" s="162">
        <f>'3FS'!U90</f>
        <v>939</v>
      </c>
      <c r="O93" s="863">
        <f>'3FS'!V90</f>
        <v>967</v>
      </c>
      <c r="P93" s="162">
        <f>'3FS'!W90</f>
        <v>959</v>
      </c>
      <c r="Q93" s="162">
        <f>'3FS'!X90</f>
        <v>1120</v>
      </c>
      <c r="R93" s="162">
        <f>'3FS'!Y90</f>
        <v>1610</v>
      </c>
      <c r="S93" s="863">
        <f>'3FS'!Z90</f>
        <v>1850</v>
      </c>
      <c r="T93" s="162">
        <f>'3FS'!AA90</f>
        <v>2115</v>
      </c>
      <c r="U93" s="162">
        <f>'3FS'!AB90</f>
        <v>1647</v>
      </c>
      <c r="V93" s="162">
        <f>'3FS'!AC90</f>
        <v>2948</v>
      </c>
      <c r="W93" s="863">
        <f>'3FS'!AD90</f>
        <v>1296</v>
      </c>
      <c r="X93" s="162">
        <f>'3FS'!AE90</f>
        <v>1933</v>
      </c>
      <c r="Y93" s="162">
        <f>'3FS'!AF90</f>
        <v>4028</v>
      </c>
      <c r="Z93" s="162">
        <f>'3FS'!AG90</f>
        <v>1903</v>
      </c>
      <c r="AA93" s="863">
        <f>'3FS'!AH90</f>
        <v>1965</v>
      </c>
      <c r="AB93" s="162">
        <f>'3FS'!AI90</f>
        <v>1881</v>
      </c>
      <c r="AC93" s="162">
        <f>'3FS'!AJ90</f>
        <v>2175</v>
      </c>
      <c r="AD93" s="162">
        <f>'3FS'!AK90</f>
        <v>2581</v>
      </c>
      <c r="AE93" s="1208">
        <f t="shared" ref="AE93:AI93" si="321">+AD93</f>
        <v>2581</v>
      </c>
      <c r="AF93" s="332">
        <f t="shared" si="321"/>
        <v>2581</v>
      </c>
      <c r="AG93" s="332">
        <f t="shared" si="321"/>
        <v>2581</v>
      </c>
      <c r="AH93" s="332">
        <f t="shared" si="321"/>
        <v>2581</v>
      </c>
      <c r="AI93" s="1208">
        <f t="shared" si="321"/>
        <v>2581</v>
      </c>
      <c r="AJ93" s="5"/>
      <c r="AK93" s="162">
        <f>'3FS'!D90</f>
        <v>1673</v>
      </c>
      <c r="AL93" s="162">
        <f>'3FS'!E90</f>
        <v>810</v>
      </c>
      <c r="AM93" s="162">
        <f>'3FS'!F90</f>
        <v>967</v>
      </c>
      <c r="AN93" s="162">
        <f>'3FS'!G90</f>
        <v>1850</v>
      </c>
      <c r="AO93" s="162">
        <f>'3FS'!H90</f>
        <v>1296</v>
      </c>
      <c r="AP93" s="162">
        <f>'3FS'!I90</f>
        <v>1965</v>
      </c>
      <c r="AQ93" s="554">
        <f t="shared" si="320"/>
        <v>2581</v>
      </c>
      <c r="AR93" s="554">
        <f t="shared" si="320"/>
        <v>2581</v>
      </c>
      <c r="AS93" s="332">
        <f t="shared" ref="AS93" si="322">+AR93</f>
        <v>2581</v>
      </c>
    </row>
    <row r="94" spans="2:45" x14ac:dyDescent="0.2">
      <c r="B94" s="185" t="s">
        <v>61</v>
      </c>
      <c r="C94" s="192"/>
      <c r="D94" s="372">
        <f t="shared" ref="D94:F94" si="323">+SUM(D87:D93)</f>
        <v>13327</v>
      </c>
      <c r="E94" s="372">
        <f t="shared" si="323"/>
        <v>13173</v>
      </c>
      <c r="F94" s="372">
        <f t="shared" si="323"/>
        <v>12869</v>
      </c>
      <c r="G94" s="914">
        <f t="shared" ref="G94" si="324">+SUM(G87:G93)</f>
        <v>12506</v>
      </c>
      <c r="H94" s="372">
        <f t="shared" ref="H94" si="325">+SUM(H87:H93)</f>
        <v>14756</v>
      </c>
      <c r="I94" s="211">
        <f t="shared" ref="I94" si="326">+SUM(I87:I93)</f>
        <v>23191</v>
      </c>
      <c r="J94" s="211">
        <f t="shared" ref="J94" si="327">+SUM(J87:J93)</f>
        <v>19840</v>
      </c>
      <c r="K94" s="926">
        <f t="shared" ref="K94" si="328">+SUM(K87:K93)</f>
        <v>21703</v>
      </c>
      <c r="L94" s="211">
        <f t="shared" ref="L94" si="329">+SUM(L87:L93)</f>
        <v>19495</v>
      </c>
      <c r="M94" s="211">
        <f t="shared" ref="M94" si="330">+SUM(M87:M93)</f>
        <v>21837</v>
      </c>
      <c r="N94" s="211">
        <f t="shared" ref="N94" si="331">+SUM(N87:N93)</f>
        <v>19247</v>
      </c>
      <c r="O94" s="926">
        <f t="shared" ref="O94" si="332">+SUM(O87:O93)</f>
        <v>23499</v>
      </c>
      <c r="P94" s="211">
        <f t="shared" ref="P94" si="333">+SUM(P87:P93)</f>
        <v>21423</v>
      </c>
      <c r="Q94" s="211">
        <f t="shared" ref="Q94" si="334">+SUM(Q87:Q93)</f>
        <v>20622</v>
      </c>
      <c r="R94" s="211">
        <f t="shared" ref="R94" si="335">+SUM(R87:R93)</f>
        <v>26362</v>
      </c>
      <c r="S94" s="926">
        <f t="shared" ref="S94" si="336">+SUM(S87:S93)</f>
        <v>24742</v>
      </c>
      <c r="T94" s="211">
        <f t="shared" ref="T94" si="337">+SUM(T87:T93)</f>
        <v>23846</v>
      </c>
      <c r="U94" s="211">
        <f t="shared" ref="U94" si="338">+SUM(U87:U93)</f>
        <v>24569</v>
      </c>
      <c r="V94" s="211">
        <f t="shared" ref="V94" si="339">+SUM(V87:V93)</f>
        <v>21711</v>
      </c>
      <c r="W94" s="926">
        <f t="shared" ref="W94" si="340">+SUM(W87:W93)</f>
        <v>20928</v>
      </c>
      <c r="X94" s="211">
        <f t="shared" ref="X94" si="341">+SUM(X87:X93)</f>
        <v>20563</v>
      </c>
      <c r="Y94" s="211">
        <f t="shared" ref="Y94" si="342">+SUM(Y87:Y93)</f>
        <v>23038</v>
      </c>
      <c r="Z94" s="211">
        <f t="shared" ref="Z94:AA94" si="343">+SUM(Z87:Z93)</f>
        <v>20955</v>
      </c>
      <c r="AA94" s="926">
        <f t="shared" si="343"/>
        <v>20174</v>
      </c>
      <c r="AB94" s="211">
        <f t="shared" ref="AB94:AC94" si="344">+SUM(AB87:AB93)</f>
        <v>23629</v>
      </c>
      <c r="AC94" s="211">
        <f t="shared" si="344"/>
        <v>22102</v>
      </c>
      <c r="AD94" s="211">
        <f t="shared" ref="AD94" si="345">+SUM(AD87:AD93)</f>
        <v>24301</v>
      </c>
      <c r="AE94" s="914">
        <f t="shared" ref="AE94" si="346">+SUM(AE87:AE93)</f>
        <v>23696.785280886241</v>
      </c>
      <c r="AF94" s="372">
        <f t="shared" ref="AF94" si="347">+SUM(AF87:AF93)</f>
        <v>22733.606261861718</v>
      </c>
      <c r="AG94" s="372">
        <f t="shared" ref="AG94" si="348">+SUM(AG87:AG93)</f>
        <v>22791.018235741954</v>
      </c>
      <c r="AH94" s="372">
        <f t="shared" ref="AH94" si="349">+SUM(AH87:AH93)</f>
        <v>24452.809096834611</v>
      </c>
      <c r="AI94" s="914">
        <f t="shared" ref="AI94" si="350">+SUM(AI87:AI93)</f>
        <v>24478.248425817634</v>
      </c>
      <c r="AJ94" s="5"/>
      <c r="AK94" s="211">
        <f t="shared" ref="AK94:AO94" si="351">+SUM(AK87:AK93)</f>
        <v>12506</v>
      </c>
      <c r="AL94" s="211">
        <f t="shared" si="351"/>
        <v>21703</v>
      </c>
      <c r="AM94" s="211">
        <f t="shared" si="351"/>
        <v>23499</v>
      </c>
      <c r="AN94" s="211">
        <f t="shared" si="351"/>
        <v>24742</v>
      </c>
      <c r="AO94" s="211">
        <f t="shared" si="351"/>
        <v>20928</v>
      </c>
      <c r="AP94" s="211">
        <f t="shared" ref="AP94" si="352">+SUM(AP87:AP93)</f>
        <v>20174</v>
      </c>
      <c r="AQ94" s="372">
        <f t="shared" ref="AQ94" si="353">+SUM(AQ87:AQ93)</f>
        <v>23696.785280886241</v>
      </c>
      <c r="AR94" s="372">
        <f t="shared" ref="AR94" si="354">+SUM(AR87:AR93)</f>
        <v>24478.248425817634</v>
      </c>
      <c r="AS94" s="372">
        <f t="shared" ref="AS94" si="355">+SUM(AS87:AS93)</f>
        <v>25020.773230087521</v>
      </c>
    </row>
    <row r="95" spans="2:45" x14ac:dyDescent="0.2">
      <c r="B95" s="10" t="s">
        <v>62</v>
      </c>
      <c r="D95" s="371">
        <f>'3FS'!K92</f>
        <v>10952</v>
      </c>
      <c r="E95" s="371">
        <f>'3FS'!L92</f>
        <v>10954</v>
      </c>
      <c r="F95" s="371">
        <f>'3FS'!M92</f>
        <v>10956</v>
      </c>
      <c r="G95" s="902">
        <f>'3FS'!N92</f>
        <v>10958</v>
      </c>
      <c r="H95" s="371">
        <f>'3FS'!O92</f>
        <v>10959</v>
      </c>
      <c r="I95" s="162">
        <f>'3FS'!P92</f>
        <v>62783</v>
      </c>
      <c r="J95" s="162">
        <f>'3FS'!Q92</f>
        <v>58345</v>
      </c>
      <c r="K95" s="863">
        <f>'3FS'!R92</f>
        <v>61830</v>
      </c>
      <c r="L95" s="162">
        <f>'3FS'!S92</f>
        <v>66395</v>
      </c>
      <c r="M95" s="162">
        <f>'3FS'!T92</f>
        <v>65897</v>
      </c>
      <c r="N95" s="162">
        <f>'3FS'!U92</f>
        <v>66645</v>
      </c>
      <c r="O95" s="863">
        <f>'3FS'!V92</f>
        <v>67076</v>
      </c>
      <c r="P95" s="162">
        <f>'3FS'!W92</f>
        <v>66861</v>
      </c>
      <c r="Q95" s="162">
        <f>'3FS'!X92</f>
        <v>66552</v>
      </c>
      <c r="R95" s="162">
        <f>'3FS'!Y92</f>
        <v>64834</v>
      </c>
      <c r="S95" s="863">
        <f>'3FS'!Z92</f>
        <v>65301</v>
      </c>
      <c r="T95" s="162">
        <f>'3FS'!AA92</f>
        <v>68035</v>
      </c>
      <c r="U95" s="162">
        <f>'3FS'!AB92</f>
        <v>68646</v>
      </c>
      <c r="V95" s="162">
        <f>'3FS'!AC92</f>
        <v>70365</v>
      </c>
      <c r="W95" s="863">
        <f>'3FS'!AD92</f>
        <v>69903</v>
      </c>
      <c r="X95" s="162">
        <f>'3FS'!AE92</f>
        <v>71361</v>
      </c>
      <c r="Y95" s="162">
        <f>'3FS'!AF92</f>
        <v>70203</v>
      </c>
      <c r="Z95" s="162">
        <f>'3FS'!AG92</f>
        <v>72522</v>
      </c>
      <c r="AA95" s="863">
        <f>'3FS'!AH92</f>
        <v>72700</v>
      </c>
      <c r="AB95" s="162">
        <f>'3FS'!AI92</f>
        <v>76033</v>
      </c>
      <c r="AC95" s="162">
        <f>'3FS'!AJ92</f>
        <v>75018</v>
      </c>
      <c r="AD95" s="162">
        <f>'3FS'!AK92</f>
        <v>76365</v>
      </c>
      <c r="AE95" s="902">
        <f>+'BS Drivers'!AE76</f>
        <v>76097.29946343854</v>
      </c>
      <c r="AF95" s="371">
        <f>+'BS Drivers'!AF76</f>
        <v>77618.123386016698</v>
      </c>
      <c r="AG95" s="371">
        <f>+'BS Drivers'!AG76</f>
        <v>79169.635394690704</v>
      </c>
      <c r="AH95" s="371">
        <f>+'BS Drivers'!AH76</f>
        <v>80752.45473184243</v>
      </c>
      <c r="AI95" s="902">
        <f>+'BS Drivers'!AI76</f>
        <v>82367.213135293379</v>
      </c>
      <c r="AJ95" s="5"/>
      <c r="AK95" s="162">
        <f>'3FS'!D92</f>
        <v>10958</v>
      </c>
      <c r="AL95" s="162">
        <f>'3FS'!E92</f>
        <v>61830</v>
      </c>
      <c r="AM95" s="162">
        <f>'3FS'!F92</f>
        <v>67076</v>
      </c>
      <c r="AN95" s="162">
        <f>'3FS'!G92</f>
        <v>65301</v>
      </c>
      <c r="AO95" s="162">
        <f>'3FS'!H92</f>
        <v>69903</v>
      </c>
      <c r="AP95" s="162">
        <f>'3FS'!I92</f>
        <v>72700</v>
      </c>
      <c r="AQ95" s="554">
        <f t="shared" ref="AQ95:AR101" si="356">SUMIFS($F95:$AI95,$F$3:$AI$3,AQ$3,$F$2:$AI$2,4)</f>
        <v>76097.29946343854</v>
      </c>
      <c r="AR95" s="554">
        <f t="shared" si="356"/>
        <v>82367.213135293379</v>
      </c>
      <c r="AS95" s="371">
        <f>+'BS Drivers'!AS76</f>
        <v>89143.753081218267</v>
      </c>
    </row>
    <row r="96" spans="2:45" x14ac:dyDescent="0.2">
      <c r="B96" s="10" t="s">
        <v>63</v>
      </c>
      <c r="D96" s="371">
        <f>'3FS'!K93</f>
        <v>13985</v>
      </c>
      <c r="E96" s="371">
        <f>'3FS'!L93</f>
        <v>13985</v>
      </c>
      <c r="F96" s="371">
        <f>'3FS'!M93</f>
        <v>13986</v>
      </c>
      <c r="G96" s="902">
        <f>'3FS'!N93</f>
        <v>13986</v>
      </c>
      <c r="H96" s="371">
        <f>'3FS'!O93</f>
        <v>11987</v>
      </c>
      <c r="I96" s="162">
        <f>'3FS'!P93</f>
        <v>4706</v>
      </c>
      <c r="J96" s="162">
        <f>'3FS'!Q93</f>
        <v>4711</v>
      </c>
      <c r="K96" s="863">
        <f>'3FS'!R93</f>
        <v>4716</v>
      </c>
      <c r="L96" s="162">
        <f>'3FS'!S93</f>
        <v>4721</v>
      </c>
      <c r="M96" s="162">
        <f>'3FS'!T93</f>
        <v>2490</v>
      </c>
      <c r="N96" s="162">
        <f>'3FS'!U93</f>
        <v>1494</v>
      </c>
      <c r="O96" s="863">
        <f>'3FS'!V93</f>
        <v>1494</v>
      </c>
      <c r="P96" s="162">
        <f>'3FS'!W93</f>
        <v>1494</v>
      </c>
      <c r="Q96" s="162">
        <f>'3FS'!X93</f>
        <v>1495</v>
      </c>
      <c r="R96" s="162">
        <f>'3FS'!Y93</f>
        <v>1495</v>
      </c>
      <c r="S96" s="863">
        <f>'3FS'!Z93</f>
        <v>1495</v>
      </c>
      <c r="T96" s="162">
        <f>'3FS'!AA93</f>
        <v>1495</v>
      </c>
      <c r="U96" s="162">
        <f>'3FS'!AB93</f>
        <v>1495</v>
      </c>
      <c r="V96" s="162">
        <f>'3FS'!AC93</f>
        <v>1496</v>
      </c>
      <c r="W96" s="863">
        <f>'3FS'!AD93</f>
        <v>1496</v>
      </c>
      <c r="X96" s="162">
        <f>'3FS'!AE93</f>
        <v>1496</v>
      </c>
      <c r="Y96" s="162">
        <f>'3FS'!AF93</f>
        <v>1496</v>
      </c>
      <c r="Z96" s="162">
        <f>'3FS'!AG93</f>
        <v>1497</v>
      </c>
      <c r="AA96" s="863">
        <f>'3FS'!AH93</f>
        <v>1497</v>
      </c>
      <c r="AB96" s="162">
        <f>'3FS'!AI93</f>
        <v>1497</v>
      </c>
      <c r="AC96" s="162">
        <f>'3FS'!AJ93</f>
        <v>1497</v>
      </c>
      <c r="AD96" s="162">
        <f>'3FS'!AK93</f>
        <v>1498</v>
      </c>
      <c r="AE96" s="902">
        <f>+'BS Drivers'!AE77</f>
        <v>1498</v>
      </c>
      <c r="AF96" s="371">
        <f>+'BS Drivers'!AF77</f>
        <v>1498</v>
      </c>
      <c r="AG96" s="371">
        <f>+'BS Drivers'!AG77</f>
        <v>1498</v>
      </c>
      <c r="AH96" s="371">
        <f>+'BS Drivers'!AH77</f>
        <v>1498</v>
      </c>
      <c r="AI96" s="902">
        <f>+'BS Drivers'!AI77</f>
        <v>1498</v>
      </c>
      <c r="AJ96" s="5"/>
      <c r="AK96" s="162">
        <f>'3FS'!D93</f>
        <v>13986</v>
      </c>
      <c r="AL96" s="162">
        <f>'3FS'!E93</f>
        <v>4716</v>
      </c>
      <c r="AM96" s="162">
        <f>'3FS'!F93</f>
        <v>1494</v>
      </c>
      <c r="AN96" s="162">
        <f>'3FS'!G93</f>
        <v>1495</v>
      </c>
      <c r="AO96" s="162">
        <f>'3FS'!H93</f>
        <v>1496</v>
      </c>
      <c r="AP96" s="162">
        <f>'3FS'!I93</f>
        <v>1497</v>
      </c>
      <c r="AQ96" s="554">
        <f t="shared" si="356"/>
        <v>1498</v>
      </c>
      <c r="AR96" s="554">
        <f t="shared" si="356"/>
        <v>1498</v>
      </c>
      <c r="AS96" s="371">
        <f>+'BS Drivers'!AS77</f>
        <v>1498</v>
      </c>
    </row>
    <row r="97" spans="2:45" x14ac:dyDescent="0.2">
      <c r="B97" s="10" t="s">
        <v>64</v>
      </c>
      <c r="D97" s="371">
        <f>'3FS'!K94</f>
        <v>2244</v>
      </c>
      <c r="E97" s="371">
        <f>'3FS'!L94</f>
        <v>2247</v>
      </c>
      <c r="F97" s="371">
        <f>'3FS'!M94</f>
        <v>2241</v>
      </c>
      <c r="G97" s="902">
        <f>'3FS'!N94</f>
        <v>2236</v>
      </c>
      <c r="H97" s="371">
        <f>'3FS'!O94</f>
        <v>2230</v>
      </c>
      <c r="I97" s="162">
        <f>'3FS'!P94</f>
        <v>3130</v>
      </c>
      <c r="J97" s="162">
        <f>'3FS'!Q94</f>
        <v>3079</v>
      </c>
      <c r="K97" s="863">
        <f>'3FS'!R94</f>
        <v>3028</v>
      </c>
      <c r="L97" s="162">
        <f>'3FS'!S94</f>
        <v>2974</v>
      </c>
      <c r="M97" s="162">
        <f>'3FS'!T94</f>
        <v>2919</v>
      </c>
      <c r="N97" s="162">
        <f>'3FS'!U94</f>
        <v>2862</v>
      </c>
      <c r="O97" s="863">
        <f>'3FS'!V94</f>
        <v>2806</v>
      </c>
      <c r="P97" s="162">
        <f>'3FS'!W94</f>
        <v>4037</v>
      </c>
      <c r="Q97" s="162">
        <f>'3FS'!X94</f>
        <v>4006</v>
      </c>
      <c r="R97" s="162">
        <f>'3FS'!Y94</f>
        <v>3970</v>
      </c>
      <c r="S97" s="863">
        <f>'3FS'!Z94</f>
        <v>3934</v>
      </c>
      <c r="T97" s="162">
        <f>'3FS'!AA94</f>
        <v>3897</v>
      </c>
      <c r="U97" s="162">
        <f>'3FS'!AB94</f>
        <v>3860</v>
      </c>
      <c r="V97" s="162">
        <f>'3FS'!AC94</f>
        <v>3819</v>
      </c>
      <c r="W97" s="863">
        <f>'3FS'!AD94</f>
        <v>3777</v>
      </c>
      <c r="X97" s="162">
        <f>'3FS'!AE94</f>
        <v>3751</v>
      </c>
      <c r="Y97" s="162">
        <f>'3FS'!AF94</f>
        <v>3725</v>
      </c>
      <c r="Z97" s="162">
        <f>'3FS'!AG94</f>
        <v>3695</v>
      </c>
      <c r="AA97" s="863">
        <f>'3FS'!AH94</f>
        <v>3664</v>
      </c>
      <c r="AB97" s="162">
        <f>'3FS'!AI94</f>
        <v>3634</v>
      </c>
      <c r="AC97" s="162">
        <f>'3FS'!AJ94</f>
        <v>3603</v>
      </c>
      <c r="AD97" s="162">
        <f>'3FS'!AK94</f>
        <v>3568</v>
      </c>
      <c r="AE97" s="902">
        <f>+'BS Drivers'!AE110</f>
        <v>3568</v>
      </c>
      <c r="AF97" s="371">
        <f>+'BS Drivers'!AF110</f>
        <v>3568</v>
      </c>
      <c r="AG97" s="371">
        <f>+'BS Drivers'!AG110</f>
        <v>3568</v>
      </c>
      <c r="AH97" s="371">
        <f>+'BS Drivers'!AH110</f>
        <v>3568</v>
      </c>
      <c r="AI97" s="902">
        <f>+'BS Drivers'!AI110</f>
        <v>3568</v>
      </c>
      <c r="AJ97" s="5"/>
      <c r="AK97" s="162">
        <f>'3FS'!D94</f>
        <v>2236</v>
      </c>
      <c r="AL97" s="162">
        <f>'3FS'!E94</f>
        <v>3028</v>
      </c>
      <c r="AM97" s="162">
        <f>'3FS'!F94</f>
        <v>2806</v>
      </c>
      <c r="AN97" s="162">
        <f>'3FS'!G94</f>
        <v>3934</v>
      </c>
      <c r="AO97" s="162">
        <f>'3FS'!H94</f>
        <v>3777</v>
      </c>
      <c r="AP97" s="162">
        <f>'3FS'!I94</f>
        <v>3664</v>
      </c>
      <c r="AQ97" s="554">
        <f t="shared" si="356"/>
        <v>3568</v>
      </c>
      <c r="AR97" s="554">
        <f t="shared" si="356"/>
        <v>3568</v>
      </c>
      <c r="AS97" s="371">
        <f>+'BS Drivers'!AS110</f>
        <v>3568</v>
      </c>
    </row>
    <row r="98" spans="2:45" x14ac:dyDescent="0.2">
      <c r="B98" s="10" t="s">
        <v>65</v>
      </c>
      <c r="D98" s="371">
        <f>'3FS'!K95</f>
        <v>4925</v>
      </c>
      <c r="E98" s="371">
        <f>'3FS'!L95</f>
        <v>5090</v>
      </c>
      <c r="F98" s="371">
        <f>'3FS'!M95</f>
        <v>5296</v>
      </c>
      <c r="G98" s="902">
        <f>'3FS'!N95</f>
        <v>5607</v>
      </c>
      <c r="H98" s="371">
        <f>'3FS'!O95</f>
        <v>5618</v>
      </c>
      <c r="I98" s="162">
        <f>'3FS'!P95</f>
        <v>9996</v>
      </c>
      <c r="J98" s="162">
        <f>'3FS'!Q95</f>
        <v>10373</v>
      </c>
      <c r="K98" s="863">
        <f>'3FS'!R95</f>
        <v>9966</v>
      </c>
      <c r="L98" s="162">
        <f>'3FS'!S95</f>
        <v>10154</v>
      </c>
      <c r="M98" s="162">
        <f>'3FS'!T95</f>
        <v>10391</v>
      </c>
      <c r="N98" s="162">
        <f>'3FS'!U95</f>
        <v>10370</v>
      </c>
      <c r="O98" s="863">
        <f>'3FS'!V95</f>
        <v>10216</v>
      </c>
      <c r="P98" s="162">
        <f>'3FS'!W95</f>
        <v>10410</v>
      </c>
      <c r="Q98" s="162">
        <f>'3FS'!X95</f>
        <v>10433</v>
      </c>
      <c r="R98" s="162">
        <f>'3FS'!Y95</f>
        <v>10397</v>
      </c>
      <c r="S98" s="863">
        <f>'3FS'!Z95</f>
        <v>10884</v>
      </c>
      <c r="T98" s="162">
        <f>'3FS'!AA95</f>
        <v>11510</v>
      </c>
      <c r="U98" s="162">
        <f>'3FS'!AB95</f>
        <v>12226</v>
      </c>
      <c r="V98" s="162">
        <f>'3FS'!AC95</f>
        <v>12900</v>
      </c>
      <c r="W98" s="863">
        <f>'3FS'!AD95</f>
        <v>13458</v>
      </c>
      <c r="X98" s="162">
        <f>'3FS'!AE95</f>
        <v>14187</v>
      </c>
      <c r="Y98" s="162">
        <f>'3FS'!AF95</f>
        <v>15022</v>
      </c>
      <c r="Z98" s="162">
        <f>'3FS'!AG95</f>
        <v>15849</v>
      </c>
      <c r="AA98" s="863">
        <f>'3FS'!AH95</f>
        <v>16700</v>
      </c>
      <c r="AB98" s="162">
        <f>'3FS'!AI95</f>
        <v>17505</v>
      </c>
      <c r="AC98" s="162">
        <f>'3FS'!AJ95</f>
        <v>18468</v>
      </c>
      <c r="AD98" s="162">
        <f>'3FS'!AK95</f>
        <v>19222</v>
      </c>
      <c r="AE98" s="1208">
        <f t="shared" ref="AE98:AI98" si="357">+AD98+AE124</f>
        <v>20029.36</v>
      </c>
      <c r="AF98" s="332">
        <f t="shared" si="357"/>
        <v>21098.260000000002</v>
      </c>
      <c r="AG98" s="332">
        <f t="shared" si="357"/>
        <v>22316.560000000001</v>
      </c>
      <c r="AH98" s="332">
        <f t="shared" si="357"/>
        <v>23408.86</v>
      </c>
      <c r="AI98" s="1208">
        <f t="shared" si="357"/>
        <v>24510.484</v>
      </c>
      <c r="AJ98" s="5"/>
      <c r="AK98" s="162">
        <f>'3FS'!D95</f>
        <v>5607</v>
      </c>
      <c r="AL98" s="162">
        <f>'3FS'!E95</f>
        <v>9966</v>
      </c>
      <c r="AM98" s="162">
        <f>'3FS'!F95</f>
        <v>10216</v>
      </c>
      <c r="AN98" s="162">
        <f>'3FS'!G95</f>
        <v>10884</v>
      </c>
      <c r="AO98" s="162">
        <f>'3FS'!H95</f>
        <v>13458</v>
      </c>
      <c r="AP98" s="162">
        <f>'3FS'!I95</f>
        <v>16700</v>
      </c>
      <c r="AQ98" s="554">
        <f t="shared" si="356"/>
        <v>20029.36</v>
      </c>
      <c r="AR98" s="554">
        <f t="shared" si="356"/>
        <v>24510.484</v>
      </c>
      <c r="AS98" s="332">
        <f>+AR98+AS124</f>
        <v>26751.046000000002</v>
      </c>
    </row>
    <row r="99" spans="2:45" x14ac:dyDescent="0.2">
      <c r="B99" s="10" t="s">
        <v>66</v>
      </c>
      <c r="D99" s="371">
        <f>'3FS'!K96</f>
        <v>9339</v>
      </c>
      <c r="E99" s="371">
        <f>'3FS'!L96</f>
        <v>10145</v>
      </c>
      <c r="F99" s="371">
        <f>'3FS'!M96</f>
        <v>10614</v>
      </c>
      <c r="G99" s="902">
        <f>'3FS'!N96</f>
        <v>10539</v>
      </c>
      <c r="H99" s="371">
        <f>'3FS'!O96</f>
        <v>10464</v>
      </c>
      <c r="I99" s="162">
        <f>'3FS'!P96</f>
        <v>15487</v>
      </c>
      <c r="J99" s="162">
        <f>'3FS'!Q96</f>
        <v>26658</v>
      </c>
      <c r="K99" s="863">
        <f>'3FS'!R96</f>
        <v>26719</v>
      </c>
      <c r="L99" s="162">
        <f>'3FS'!S96</f>
        <v>26602</v>
      </c>
      <c r="M99" s="162">
        <f>'3FS'!T96</f>
        <v>26515</v>
      </c>
      <c r="N99" s="162">
        <f>'3FS'!U96</f>
        <v>26279</v>
      </c>
      <c r="O99" s="863">
        <f>'3FS'!V96</f>
        <v>25818</v>
      </c>
      <c r="P99" s="162">
        <f>'3FS'!W96</f>
        <v>31187</v>
      </c>
      <c r="Q99" s="162">
        <f>'3FS'!X96</f>
        <v>30916</v>
      </c>
      <c r="R99" s="162">
        <f>'3FS'!Y96</f>
        <v>30271</v>
      </c>
      <c r="S99" s="863">
        <f>'3FS'!Z96</f>
        <v>29855</v>
      </c>
      <c r="T99" s="162">
        <f>'3FS'!AA96</f>
        <v>29379</v>
      </c>
      <c r="U99" s="162">
        <f>'3FS'!AB96</f>
        <v>29053</v>
      </c>
      <c r="V99" s="162">
        <f>'3FS'!AC96</f>
        <v>28677</v>
      </c>
      <c r="W99" s="863">
        <f>'3FS'!AD96</f>
        <v>28240</v>
      </c>
      <c r="X99" s="162">
        <f>'3FS'!AE96</f>
        <v>27827</v>
      </c>
      <c r="Y99" s="162">
        <f>'3FS'!AF96</f>
        <v>27272</v>
      </c>
      <c r="Z99" s="162">
        <f>'3FS'!AG96</f>
        <v>26821</v>
      </c>
      <c r="AA99" s="863">
        <f>'3FS'!AH96</f>
        <v>26408</v>
      </c>
      <c r="AB99" s="162">
        <f>'3FS'!AI96</f>
        <v>25974</v>
      </c>
      <c r="AC99" s="162">
        <f>'3FS'!AJ96</f>
        <v>25646</v>
      </c>
      <c r="AD99" s="162">
        <f>'3FS'!AK96</f>
        <v>26780</v>
      </c>
      <c r="AE99" s="902">
        <f>+'BS Drivers'!AE114</f>
        <v>27836.502674795702</v>
      </c>
      <c r="AF99" s="371">
        <f>+'BS Drivers'!AF114</f>
        <v>26654.287658432775</v>
      </c>
      <c r="AG99" s="371">
        <f>+'BS Drivers'!AG114</f>
        <v>25445.276611563924</v>
      </c>
      <c r="AH99" s="371">
        <f>+'BS Drivers'!AH114</f>
        <v>26728.747960654735</v>
      </c>
      <c r="AI99" s="902">
        <f>+'BS Drivers'!AI114</f>
        <v>27864.263017747115</v>
      </c>
      <c r="AJ99" s="5"/>
      <c r="AK99" s="162">
        <f>'3FS'!D96</f>
        <v>10539</v>
      </c>
      <c r="AL99" s="162">
        <f>'3FS'!E96</f>
        <v>26719</v>
      </c>
      <c r="AM99" s="162">
        <f>'3FS'!F96</f>
        <v>25818</v>
      </c>
      <c r="AN99" s="162">
        <f>'3FS'!G96</f>
        <v>29855</v>
      </c>
      <c r="AO99" s="162">
        <f>'3FS'!H96</f>
        <v>28240</v>
      </c>
      <c r="AP99" s="162">
        <f>'3FS'!I96</f>
        <v>26408</v>
      </c>
      <c r="AQ99" s="554">
        <f t="shared" si="356"/>
        <v>27836.502674795702</v>
      </c>
      <c r="AR99" s="554">
        <f t="shared" si="356"/>
        <v>27864.263017747115</v>
      </c>
      <c r="AS99" s="371">
        <f>+'BS Drivers'!AS114</f>
        <v>27455.270881699089</v>
      </c>
    </row>
    <row r="100" spans="2:45" x14ac:dyDescent="0.2">
      <c r="B100" s="10" t="s">
        <v>67</v>
      </c>
      <c r="D100" s="371">
        <f>'3FS'!K97</f>
        <v>1224</v>
      </c>
      <c r="E100" s="371">
        <f>'3FS'!L97</f>
        <v>1314</v>
      </c>
      <c r="F100" s="371">
        <f>'3FS'!M97</f>
        <v>1440</v>
      </c>
      <c r="G100" s="902">
        <f>'3FS'!N97</f>
        <v>1346</v>
      </c>
      <c r="H100" s="371">
        <f>'3FS'!O97</f>
        <v>1276</v>
      </c>
      <c r="I100" s="162">
        <f>'3FS'!P97</f>
        <v>1416</v>
      </c>
      <c r="J100" s="162">
        <f>'3FS'!Q97</f>
        <v>1373</v>
      </c>
      <c r="K100" s="863">
        <f>'3FS'!R97</f>
        <v>1444</v>
      </c>
      <c r="L100" s="162">
        <f>'3FS'!S97</f>
        <v>1316</v>
      </c>
      <c r="M100" s="162">
        <f>'3FS'!T97</f>
        <v>1376</v>
      </c>
      <c r="N100" s="162">
        <f>'3FS'!U97</f>
        <v>1587</v>
      </c>
      <c r="O100" s="863">
        <f>'3FS'!V97</f>
        <v>1455</v>
      </c>
      <c r="P100" s="162">
        <f>'3FS'!W97</f>
        <v>1447</v>
      </c>
      <c r="Q100" s="162">
        <f>'3FS'!X97</f>
        <v>1597</v>
      </c>
      <c r="R100" s="162">
        <f>'3FS'!Y97</f>
        <v>1590</v>
      </c>
      <c r="S100" s="863">
        <f>'3FS'!Z97</f>
        <v>1370</v>
      </c>
      <c r="T100" s="162">
        <f>'3FS'!AA97</f>
        <v>1284</v>
      </c>
      <c r="U100" s="162">
        <f>'3FS'!AB97</f>
        <v>1254</v>
      </c>
      <c r="V100" s="162">
        <f>'3FS'!AC97</f>
        <v>1273</v>
      </c>
      <c r="W100" s="863">
        <f>'3FS'!AD97</f>
        <v>1236</v>
      </c>
      <c r="X100" s="162">
        <f>'3FS'!AE97</f>
        <v>1163</v>
      </c>
      <c r="Y100" s="162">
        <f>'3FS'!AF97</f>
        <v>1133</v>
      </c>
      <c r="Z100" s="162">
        <f>'3FS'!AG97</f>
        <v>1185</v>
      </c>
      <c r="AA100" s="863">
        <f>'3FS'!AH97</f>
        <v>1151</v>
      </c>
      <c r="AB100" s="162">
        <f>'3FS'!AI97</f>
        <v>1117</v>
      </c>
      <c r="AC100" s="162">
        <f>'3FS'!AJ97</f>
        <v>1188</v>
      </c>
      <c r="AD100" s="162">
        <f>'3FS'!AK97</f>
        <v>1186</v>
      </c>
      <c r="AE100" s="902">
        <f>+'BS Drivers'!AE90</f>
        <v>1188.852359391524</v>
      </c>
      <c r="AF100" s="371">
        <f>+'BS Drivers'!AF90</f>
        <v>1194.4189184452491</v>
      </c>
      <c r="AG100" s="371">
        <f>+'BS Drivers'!AG90</f>
        <v>1203.010929201984</v>
      </c>
      <c r="AH100" s="371">
        <f>+'BS Drivers'!AH90</f>
        <v>1213.2612868756441</v>
      </c>
      <c r="AI100" s="902">
        <f>+'BS Drivers'!AI90</f>
        <v>1224.6581278629083</v>
      </c>
      <c r="AJ100" s="5"/>
      <c r="AK100" s="162">
        <f>'3FS'!D97</f>
        <v>1346</v>
      </c>
      <c r="AL100" s="162">
        <f>'3FS'!E97</f>
        <v>1444</v>
      </c>
      <c r="AM100" s="162">
        <f>'3FS'!F97</f>
        <v>1455</v>
      </c>
      <c r="AN100" s="162">
        <f>'3FS'!G97</f>
        <v>1370</v>
      </c>
      <c r="AO100" s="162">
        <f>'3FS'!H97</f>
        <v>1236</v>
      </c>
      <c r="AP100" s="162">
        <f>'3FS'!I97</f>
        <v>1151</v>
      </c>
      <c r="AQ100" s="554">
        <f t="shared" si="356"/>
        <v>1188.852359391524</v>
      </c>
      <c r="AR100" s="554">
        <f t="shared" si="356"/>
        <v>1224.6581278629083</v>
      </c>
      <c r="AS100" s="371">
        <f>+'BS Drivers'!AS90</f>
        <v>1276.0206877775374</v>
      </c>
    </row>
    <row r="101" spans="2:45" x14ac:dyDescent="0.2">
      <c r="B101" s="10" t="s">
        <v>68</v>
      </c>
      <c r="D101" s="371">
        <f>'3FS'!K98</f>
        <v>896</v>
      </c>
      <c r="E101" s="371">
        <f>'3FS'!L98</f>
        <v>913</v>
      </c>
      <c r="F101" s="371">
        <f>'3FS'!M98</f>
        <v>936</v>
      </c>
      <c r="G101" s="902">
        <f>'3FS'!N98</f>
        <v>954</v>
      </c>
      <c r="H101" s="371">
        <f>'3FS'!O98</f>
        <v>959</v>
      </c>
      <c r="I101" s="162">
        <f>'3FS'!P98</f>
        <v>3494</v>
      </c>
      <c r="J101" s="162">
        <f>'3FS'!Q98</f>
        <v>3577</v>
      </c>
      <c r="K101" s="863">
        <f>'3FS'!R98</f>
        <v>5412</v>
      </c>
      <c r="L101" s="162">
        <f>'3FS'!S98</f>
        <v>5298</v>
      </c>
      <c r="M101" s="162">
        <f>'3FS'!T98</f>
        <v>5229</v>
      </c>
      <c r="N101" s="162">
        <f>'3FS'!U98</f>
        <v>5214</v>
      </c>
      <c r="O101" s="863">
        <f>'3FS'!V98</f>
        <v>5097</v>
      </c>
      <c r="P101" s="162">
        <f>'3FS'!W98</f>
        <v>3818</v>
      </c>
      <c r="Q101" s="162">
        <f>'3FS'!X98</f>
        <v>3808</v>
      </c>
      <c r="R101" s="162">
        <f>'3FS'!Y98</f>
        <v>4430</v>
      </c>
      <c r="S101" s="863">
        <f>'3FS'!Z98</f>
        <v>4101</v>
      </c>
      <c r="T101" s="162">
        <f>'3FS'!AA98</f>
        <v>3802</v>
      </c>
      <c r="U101" s="162">
        <f>'3FS'!AB98</f>
        <v>3749</v>
      </c>
      <c r="V101" s="162">
        <f>'3FS'!AC98</f>
        <v>3640</v>
      </c>
      <c r="W101" s="863">
        <f>'3FS'!AD98</f>
        <v>3929</v>
      </c>
      <c r="X101" s="162">
        <f>'3FS'!AE98</f>
        <v>3846</v>
      </c>
      <c r="Y101" s="162">
        <f>'3FS'!AF98</f>
        <v>4032</v>
      </c>
      <c r="Z101" s="162">
        <f>'3FS'!AG98</f>
        <v>3968</v>
      </c>
      <c r="AA101" s="863">
        <f>'3FS'!AH98</f>
        <v>4000</v>
      </c>
      <c r="AB101" s="162">
        <f>'3FS'!AI98</f>
        <v>4139</v>
      </c>
      <c r="AC101" s="162">
        <f>'3FS'!AJ98</f>
        <v>4014</v>
      </c>
      <c r="AD101" s="162">
        <f>'3FS'!AK98</f>
        <v>3783</v>
      </c>
      <c r="AE101" s="1208">
        <f t="shared" ref="AE101:AI101" si="358">+AD101</f>
        <v>3783</v>
      </c>
      <c r="AF101" s="332">
        <f t="shared" si="358"/>
        <v>3783</v>
      </c>
      <c r="AG101" s="332">
        <f t="shared" si="358"/>
        <v>3783</v>
      </c>
      <c r="AH101" s="332">
        <f t="shared" si="358"/>
        <v>3783</v>
      </c>
      <c r="AI101" s="1208">
        <f t="shared" si="358"/>
        <v>3783</v>
      </c>
      <c r="AJ101" s="5"/>
      <c r="AK101" s="162">
        <f>'3FS'!D98</f>
        <v>954</v>
      </c>
      <c r="AL101" s="162">
        <f>'3FS'!E98</f>
        <v>5412</v>
      </c>
      <c r="AM101" s="162">
        <f>'3FS'!F98</f>
        <v>5097</v>
      </c>
      <c r="AN101" s="162">
        <f>'3FS'!G98</f>
        <v>4101</v>
      </c>
      <c r="AO101" s="162">
        <f>'3FS'!H98</f>
        <v>3929</v>
      </c>
      <c r="AP101" s="162">
        <f>'3FS'!I98</f>
        <v>4000</v>
      </c>
      <c r="AQ101" s="554">
        <f t="shared" si="356"/>
        <v>3783</v>
      </c>
      <c r="AR101" s="554">
        <f t="shared" si="356"/>
        <v>3783</v>
      </c>
      <c r="AS101" s="332">
        <f t="shared" ref="AS101" si="359">+AR101</f>
        <v>3783</v>
      </c>
    </row>
    <row r="102" spans="2:45" x14ac:dyDescent="0.2">
      <c r="B102" s="185" t="s">
        <v>69</v>
      </c>
      <c r="C102" s="192"/>
      <c r="D102" s="372">
        <f t="shared" ref="D102:F102" si="360">+SUM(D95:D101)</f>
        <v>43565</v>
      </c>
      <c r="E102" s="372">
        <f t="shared" si="360"/>
        <v>44648</v>
      </c>
      <c r="F102" s="372">
        <f t="shared" si="360"/>
        <v>45469</v>
      </c>
      <c r="G102" s="914">
        <f t="shared" ref="G102" si="361">+SUM(G95:G101)</f>
        <v>45626</v>
      </c>
      <c r="H102" s="372">
        <f t="shared" ref="H102" si="362">+SUM(H95:H101)</f>
        <v>43493</v>
      </c>
      <c r="I102" s="211">
        <f t="shared" ref="I102" si="363">+SUM(I95:I101)</f>
        <v>101012</v>
      </c>
      <c r="J102" s="211">
        <f t="shared" ref="J102" si="364">+SUM(J95:J101)</f>
        <v>108116</v>
      </c>
      <c r="K102" s="926">
        <f t="shared" ref="K102" si="365">+SUM(K95:K101)</f>
        <v>113115</v>
      </c>
      <c r="L102" s="211">
        <f t="shared" ref="L102" si="366">+SUM(L95:L101)</f>
        <v>117460</v>
      </c>
      <c r="M102" s="211">
        <f t="shared" ref="M102" si="367">+SUM(M95:M101)</f>
        <v>114817</v>
      </c>
      <c r="N102" s="211">
        <f t="shared" ref="N102" si="368">+SUM(N95:N101)</f>
        <v>114451</v>
      </c>
      <c r="O102" s="926">
        <f t="shared" ref="O102" si="369">+SUM(O95:O101)</f>
        <v>113962</v>
      </c>
      <c r="P102" s="211">
        <f t="shared" ref="P102" si="370">+SUM(P95:P101)</f>
        <v>119254</v>
      </c>
      <c r="Q102" s="211">
        <f t="shared" ref="Q102" si="371">+SUM(Q95:Q101)</f>
        <v>118807</v>
      </c>
      <c r="R102" s="211">
        <f t="shared" ref="R102" si="372">+SUM(R95:R101)</f>
        <v>116987</v>
      </c>
      <c r="S102" s="926">
        <f t="shared" ref="S102" si="373">+SUM(S95:S101)</f>
        <v>116940</v>
      </c>
      <c r="T102" s="211">
        <f t="shared" ref="T102" si="374">+SUM(T95:T101)</f>
        <v>119402</v>
      </c>
      <c r="U102" s="211">
        <f t="shared" ref="U102" si="375">+SUM(U95:U101)</f>
        <v>120283</v>
      </c>
      <c r="V102" s="211">
        <f t="shared" ref="V102" si="376">+SUM(V95:V101)</f>
        <v>122170</v>
      </c>
      <c r="W102" s="926">
        <f t="shared" ref="W102" si="377">+SUM(W95:W101)</f>
        <v>122039</v>
      </c>
      <c r="X102" s="211">
        <f t="shared" ref="X102" si="378">+SUM(X95:X101)</f>
        <v>123631</v>
      </c>
      <c r="Y102" s="211">
        <f t="shared" ref="Y102" si="379">+SUM(Y95:Y101)</f>
        <v>122883</v>
      </c>
      <c r="Z102" s="211">
        <f t="shared" ref="Z102:AA102" si="380">+SUM(Z95:Z101)</f>
        <v>125537</v>
      </c>
      <c r="AA102" s="926">
        <f t="shared" si="380"/>
        <v>126120</v>
      </c>
      <c r="AB102" s="211">
        <f t="shared" ref="AB102:AC102" si="381">+SUM(AB95:AB101)</f>
        <v>129899</v>
      </c>
      <c r="AC102" s="211">
        <f t="shared" si="381"/>
        <v>129434</v>
      </c>
      <c r="AD102" s="211">
        <f t="shared" ref="AD102" si="382">+SUM(AD95:AD101)</f>
        <v>132402</v>
      </c>
      <c r="AE102" s="914">
        <f t="shared" ref="AE102" si="383">+SUM(AE95:AE101)</f>
        <v>134001.01449762576</v>
      </c>
      <c r="AF102" s="372">
        <f t="shared" ref="AF102" si="384">+SUM(AF95:AF101)</f>
        <v>135414.08996289474</v>
      </c>
      <c r="AG102" s="372">
        <f t="shared" ref="AG102" si="385">+SUM(AG95:AG101)</f>
        <v>136983.48293545662</v>
      </c>
      <c r="AH102" s="372">
        <f t="shared" ref="AH102" si="386">+SUM(AH95:AH101)</f>
        <v>140952.3239793728</v>
      </c>
      <c r="AI102" s="914">
        <f t="shared" ref="AI102" si="387">+SUM(AI95:AI101)</f>
        <v>144815.61828090338</v>
      </c>
      <c r="AJ102" s="5"/>
      <c r="AK102" s="211">
        <f t="shared" ref="AK102:AO102" si="388">+SUM(AK95:AK101)</f>
        <v>45626</v>
      </c>
      <c r="AL102" s="211">
        <f t="shared" si="388"/>
        <v>113115</v>
      </c>
      <c r="AM102" s="211">
        <f t="shared" si="388"/>
        <v>113962</v>
      </c>
      <c r="AN102" s="211">
        <f t="shared" si="388"/>
        <v>116940</v>
      </c>
      <c r="AO102" s="211">
        <f t="shared" si="388"/>
        <v>122039</v>
      </c>
      <c r="AP102" s="211">
        <f t="shared" ref="AP102" si="389">+SUM(AP95:AP101)</f>
        <v>126120</v>
      </c>
      <c r="AQ102" s="372">
        <f t="shared" ref="AQ102" si="390">+SUM(AQ95:AQ101)</f>
        <v>134001.01449762576</v>
      </c>
      <c r="AR102" s="372">
        <f t="shared" ref="AR102" si="391">+SUM(AR95:AR101)</f>
        <v>144815.61828090338</v>
      </c>
      <c r="AS102" s="372">
        <f t="shared" ref="AS102" si="392">+SUM(AS95:AS101)</f>
        <v>153475.09065069491</v>
      </c>
    </row>
    <row r="103" spans="2:45" x14ac:dyDescent="0.2">
      <c r="B103" s="10" t="s">
        <v>70</v>
      </c>
      <c r="D103" s="371">
        <f>'3FS'!K100</f>
        <v>0</v>
      </c>
      <c r="E103" s="371">
        <f>'3FS'!L100</f>
        <v>0</v>
      </c>
      <c r="F103" s="371">
        <f>'3FS'!M100</f>
        <v>0</v>
      </c>
      <c r="G103" s="902">
        <f>'3FS'!N100</f>
        <v>0</v>
      </c>
      <c r="H103" s="371">
        <f>'3FS'!O100</f>
        <v>0</v>
      </c>
      <c r="I103" s="162">
        <f>'3FS'!P100</f>
        <v>0</v>
      </c>
      <c r="J103" s="162">
        <f>'3FS'!Q100</f>
        <v>0</v>
      </c>
      <c r="K103" s="863">
        <f>'3FS'!R100</f>
        <v>0</v>
      </c>
      <c r="L103" s="162">
        <f>'3FS'!S100</f>
        <v>0</v>
      </c>
      <c r="M103" s="162">
        <f>'3FS'!T100</f>
        <v>0</v>
      </c>
      <c r="N103" s="162">
        <f>'3FS'!U100</f>
        <v>0</v>
      </c>
      <c r="O103" s="863">
        <f>'3FS'!V100</f>
        <v>0</v>
      </c>
      <c r="P103" s="162">
        <f>'3FS'!W100</f>
        <v>0</v>
      </c>
      <c r="Q103" s="162">
        <f>'3FS'!X100</f>
        <v>0</v>
      </c>
      <c r="R103" s="162">
        <f>'3FS'!Y100</f>
        <v>0</v>
      </c>
      <c r="S103" s="863">
        <f>'3FS'!Z100</f>
        <v>0</v>
      </c>
      <c r="T103" s="162">
        <f>'3FS'!AA100</f>
        <v>0</v>
      </c>
      <c r="U103" s="162">
        <f>'3FS'!AB100</f>
        <v>0</v>
      </c>
      <c r="V103" s="162">
        <f>'3FS'!AC100</f>
        <v>0</v>
      </c>
      <c r="W103" s="863">
        <f>'3FS'!AD100</f>
        <v>0</v>
      </c>
      <c r="X103" s="162">
        <f>'3FS'!AE100</f>
        <v>0</v>
      </c>
      <c r="Y103" s="162">
        <f>'3FS'!AF100</f>
        <v>0</v>
      </c>
      <c r="Z103" s="162">
        <f>'3FS'!AG100</f>
        <v>0</v>
      </c>
      <c r="AA103" s="863">
        <f>'3FS'!AH100</f>
        <v>0</v>
      </c>
      <c r="AB103" s="162">
        <f>'3FS'!AI100</f>
        <v>0</v>
      </c>
      <c r="AC103" s="162">
        <f>'3FS'!AJ100</f>
        <v>0</v>
      </c>
      <c r="AD103" s="162">
        <f>'3FS'!AK100</f>
        <v>0</v>
      </c>
      <c r="AE103" s="902"/>
      <c r="AF103" s="371"/>
      <c r="AG103" s="371"/>
      <c r="AH103" s="371"/>
      <c r="AI103" s="902"/>
      <c r="AJ103" s="5"/>
      <c r="AK103" s="162">
        <f>'3FS'!D100</f>
        <v>0</v>
      </c>
      <c r="AL103" s="162">
        <f>'3FS'!E100</f>
        <v>0</v>
      </c>
      <c r="AM103" s="162">
        <f>'3FS'!F100</f>
        <v>0</v>
      </c>
      <c r="AN103" s="162">
        <f>'3FS'!G100</f>
        <v>0</v>
      </c>
      <c r="AO103" s="162">
        <f>'3FS'!H100</f>
        <v>0</v>
      </c>
      <c r="AP103" s="162">
        <f>'3FS'!I100</f>
        <v>0</v>
      </c>
      <c r="AQ103" s="554">
        <f t="shared" ref="AQ103:AR103" si="393">SUMIFS($F103:$AI103,$F$3:$AI$3,AQ$3,$F$2:$AI$2,4)</f>
        <v>0</v>
      </c>
      <c r="AR103" s="554">
        <f t="shared" si="393"/>
        <v>0</v>
      </c>
      <c r="AS103" s="371"/>
    </row>
    <row r="104" spans="2:45" x14ac:dyDescent="0.2">
      <c r="B104" s="10" t="s">
        <v>71</v>
      </c>
      <c r="D104" s="370"/>
      <c r="E104" s="370"/>
      <c r="F104" s="370"/>
      <c r="G104" s="913"/>
      <c r="H104" s="370"/>
      <c r="K104" s="595"/>
      <c r="O104" s="595"/>
      <c r="S104" s="595"/>
      <c r="W104" s="595"/>
      <c r="AA104" s="595"/>
      <c r="AE104" s="913"/>
      <c r="AF104" s="370"/>
      <c r="AG104" s="370"/>
      <c r="AH104" s="370"/>
      <c r="AI104" s="913"/>
      <c r="AJ104" s="5"/>
      <c r="AQ104" s="370"/>
      <c r="AR104" s="370"/>
      <c r="AS104" s="370"/>
    </row>
    <row r="105" spans="2:45" x14ac:dyDescent="0.2">
      <c r="B105" s="29" t="s">
        <v>191</v>
      </c>
      <c r="D105" s="371">
        <f>'3FS'!K102</f>
        <v>0</v>
      </c>
      <c r="E105" s="371">
        <f>'3FS'!L102</f>
        <v>0</v>
      </c>
      <c r="F105" s="371">
        <f>'3FS'!M102</f>
        <v>0</v>
      </c>
      <c r="G105" s="902">
        <f>'3FS'!N102</f>
        <v>0</v>
      </c>
      <c r="H105" s="371">
        <f>'3FS'!O102</f>
        <v>0</v>
      </c>
      <c r="I105" s="162">
        <f>'3FS'!P102</f>
        <v>0</v>
      </c>
      <c r="J105" s="162">
        <f>'3FS'!Q102</f>
        <v>0</v>
      </c>
      <c r="K105" s="863">
        <f>'3FS'!R102</f>
        <v>0</v>
      </c>
      <c r="L105" s="162">
        <f>'3FS'!S102</f>
        <v>0</v>
      </c>
      <c r="M105" s="162">
        <f>'3FS'!T102</f>
        <v>0</v>
      </c>
      <c r="N105" s="162">
        <f>'3FS'!U102</f>
        <v>0</v>
      </c>
      <c r="O105" s="863">
        <f>'3FS'!V102</f>
        <v>0</v>
      </c>
      <c r="P105" s="162">
        <f>'3FS'!W102</f>
        <v>0</v>
      </c>
      <c r="Q105" s="162">
        <f>'3FS'!X102</f>
        <v>0</v>
      </c>
      <c r="R105" s="162">
        <f>'3FS'!Y102</f>
        <v>0</v>
      </c>
      <c r="S105" s="863">
        <f>'3FS'!Z102</f>
        <v>0</v>
      </c>
      <c r="T105" s="162">
        <f>'3FS'!AA102</f>
        <v>0</v>
      </c>
      <c r="U105" s="162">
        <f>'3FS'!AB102</f>
        <v>0</v>
      </c>
      <c r="V105" s="162">
        <f>'3FS'!AC102</f>
        <v>0</v>
      </c>
      <c r="W105" s="863">
        <f>'3FS'!AD102</f>
        <v>0</v>
      </c>
      <c r="X105" s="162">
        <f>'3FS'!AE102</f>
        <v>0</v>
      </c>
      <c r="Y105" s="162">
        <f>'3FS'!AF102</f>
        <v>0</v>
      </c>
      <c r="Z105" s="162">
        <f>'3FS'!AG102</f>
        <v>0</v>
      </c>
      <c r="AA105" s="863">
        <f>'3FS'!AH102</f>
        <v>0</v>
      </c>
      <c r="AB105" s="162">
        <f>'3FS'!AI102</f>
        <v>0</v>
      </c>
      <c r="AC105" s="162">
        <f>'3FS'!AJ102</f>
        <v>0</v>
      </c>
      <c r="AD105" s="162">
        <f>'3FS'!AK102</f>
        <v>0</v>
      </c>
      <c r="AE105" s="902"/>
      <c r="AF105" s="371"/>
      <c r="AG105" s="371"/>
      <c r="AH105" s="371"/>
      <c r="AI105" s="902"/>
      <c r="AJ105" s="5"/>
      <c r="AK105" s="162">
        <f>'3FS'!D102</f>
        <v>0</v>
      </c>
      <c r="AL105" s="162">
        <f>'3FS'!E102</f>
        <v>0</v>
      </c>
      <c r="AM105" s="162">
        <f>'3FS'!F102</f>
        <v>0</v>
      </c>
      <c r="AN105" s="162">
        <f>'3FS'!G102</f>
        <v>0</v>
      </c>
      <c r="AO105" s="162">
        <f>'3FS'!H102</f>
        <v>0</v>
      </c>
      <c r="AP105" s="162">
        <f>'3FS'!I102</f>
        <v>0</v>
      </c>
      <c r="AQ105" s="554">
        <f t="shared" ref="AQ105:AR109" si="394">SUMIFS($F105:$AI105,$F$3:$AI$3,AQ$3,$F$2:$AI$2,4)</f>
        <v>0</v>
      </c>
      <c r="AR105" s="554">
        <f t="shared" si="394"/>
        <v>0</v>
      </c>
      <c r="AS105" s="371"/>
    </row>
    <row r="106" spans="2:45" x14ac:dyDescent="0.2">
      <c r="B106" s="29" t="s">
        <v>72</v>
      </c>
      <c r="D106" s="371">
        <f>'3FS'!K103</f>
        <v>38100</v>
      </c>
      <c r="E106" s="371">
        <f>'3FS'!L103</f>
        <v>38242</v>
      </c>
      <c r="F106" s="371">
        <f>'3FS'!M103</f>
        <v>38433</v>
      </c>
      <c r="G106" s="902">
        <f>'3FS'!N103</f>
        <v>38498</v>
      </c>
      <c r="H106" s="371">
        <f>'3FS'!O103</f>
        <v>38597</v>
      </c>
      <c r="I106" s="162">
        <f>'3FS'!P103</f>
        <v>72505</v>
      </c>
      <c r="J106" s="162">
        <f>'3FS'!Q103</f>
        <v>72705</v>
      </c>
      <c r="K106" s="863">
        <f>'3FS'!R103</f>
        <v>72772</v>
      </c>
      <c r="L106" s="162">
        <f>'3FS'!S103</f>
        <v>72839</v>
      </c>
      <c r="M106" s="162">
        <f>'3FS'!T103</f>
        <v>72919</v>
      </c>
      <c r="N106" s="162">
        <f>'3FS'!U103</f>
        <v>73152</v>
      </c>
      <c r="O106" s="863">
        <f>'3FS'!V103</f>
        <v>73292</v>
      </c>
      <c r="P106" s="162">
        <f>'3FS'!W103</f>
        <v>73420</v>
      </c>
      <c r="Q106" s="162">
        <f>'3FS'!X103</f>
        <v>73552</v>
      </c>
      <c r="R106" s="162">
        <f>'3FS'!Y103</f>
        <v>73797</v>
      </c>
      <c r="S106" s="863">
        <f>'3FS'!Z103</f>
        <v>73941</v>
      </c>
      <c r="T106" s="162">
        <f>'3FS'!AA103</f>
        <v>74043</v>
      </c>
      <c r="U106" s="162">
        <f>'3FS'!AB103</f>
        <v>74161</v>
      </c>
      <c r="V106" s="162">
        <f>'3FS'!AC103</f>
        <v>74404</v>
      </c>
      <c r="W106" s="863">
        <f>'3FS'!AD103</f>
        <v>67705</v>
      </c>
      <c r="X106" s="162">
        <f>'3FS'!AE103</f>
        <v>67786</v>
      </c>
      <c r="Y106" s="162">
        <f>'3FS'!AF103</f>
        <v>68463</v>
      </c>
      <c r="Z106" s="162">
        <f>'3FS'!AG103</f>
        <v>68659</v>
      </c>
      <c r="AA106" s="863">
        <f>'3FS'!AH103</f>
        <v>68798</v>
      </c>
      <c r="AB106" s="162">
        <f>'3FS'!AI103</f>
        <v>68837</v>
      </c>
      <c r="AC106" s="162">
        <f>'3FS'!AJ103</f>
        <v>69008</v>
      </c>
      <c r="AD106" s="162">
        <f>'3FS'!AK103</f>
        <v>69267</v>
      </c>
      <c r="AE106" s="902">
        <f>+'BS Drivers'!AE129</f>
        <v>69505.523740185105</v>
      </c>
      <c r="AF106" s="371">
        <f>+'BS Drivers'!AF129</f>
        <v>69738.978607978948</v>
      </c>
      <c r="AG106" s="371">
        <f>+'BS Drivers'!AG129</f>
        <v>69967.512386471601</v>
      </c>
      <c r="AH106" s="371">
        <f>+'BS Drivers'!AH129</f>
        <v>70214.413747717917</v>
      </c>
      <c r="AI106" s="902">
        <f>+'BS Drivers'!AI129</f>
        <v>70453.135134963784</v>
      </c>
      <c r="AJ106" s="5"/>
      <c r="AK106" s="162">
        <f>'3FS'!D103</f>
        <v>38498</v>
      </c>
      <c r="AL106" s="162">
        <f>'3FS'!E103</f>
        <v>72772</v>
      </c>
      <c r="AM106" s="162">
        <f>'3FS'!F103</f>
        <v>73292</v>
      </c>
      <c r="AN106" s="162">
        <f>'3FS'!G103</f>
        <v>73941</v>
      </c>
      <c r="AO106" s="162">
        <f>'3FS'!H103</f>
        <v>67705</v>
      </c>
      <c r="AP106" s="162">
        <f>'3FS'!I103</f>
        <v>68798</v>
      </c>
      <c r="AQ106" s="554">
        <f t="shared" si="394"/>
        <v>69505.523740185105</v>
      </c>
      <c r="AR106" s="554">
        <f t="shared" si="394"/>
        <v>70453.135134963784</v>
      </c>
      <c r="AS106" s="371">
        <f>+'BS Drivers'!AS129</f>
        <v>71395.686135832235</v>
      </c>
    </row>
    <row r="107" spans="2:45" x14ac:dyDescent="0.2">
      <c r="B107" s="29" t="s">
        <v>73</v>
      </c>
      <c r="D107" s="371">
        <f>'3FS'!K104</f>
        <v>-5</v>
      </c>
      <c r="E107" s="371">
        <f>'3FS'!L104</f>
        <v>-8</v>
      </c>
      <c r="F107" s="371">
        <f>'3FS'!M104</f>
        <v>-8</v>
      </c>
      <c r="G107" s="902">
        <f>'3FS'!N104</f>
        <v>-8</v>
      </c>
      <c r="H107" s="371">
        <f>'3FS'!O104</f>
        <v>-11</v>
      </c>
      <c r="I107" s="162">
        <f>'3FS'!P104</f>
        <v>-12</v>
      </c>
      <c r="J107" s="162">
        <f>'3FS'!Q104</f>
        <v>-11</v>
      </c>
      <c r="K107" s="863">
        <f>'3FS'!R104</f>
        <v>-11</v>
      </c>
      <c r="L107" s="162">
        <f>'3FS'!S104</f>
        <v>-14</v>
      </c>
      <c r="M107" s="162">
        <f>'3FS'!T104</f>
        <v>-14</v>
      </c>
      <c r="N107" s="162">
        <f>'3FS'!U104</f>
        <v>-13</v>
      </c>
      <c r="O107" s="863">
        <f>'3FS'!V104</f>
        <v>-13</v>
      </c>
      <c r="P107" s="162">
        <f>'3FS'!W104</f>
        <v>-16</v>
      </c>
      <c r="Q107" s="162">
        <f>'3FS'!X104</f>
        <v>-16</v>
      </c>
      <c r="R107" s="162">
        <f>'3FS'!Y104</f>
        <v>-685</v>
      </c>
      <c r="S107" s="863">
        <f>'3FS'!Z104</f>
        <v>-3016</v>
      </c>
      <c r="T107" s="162">
        <f>'3FS'!AA104</f>
        <v>-7831</v>
      </c>
      <c r="U107" s="162">
        <f>'3FS'!AB104</f>
        <v>-11392</v>
      </c>
      <c r="V107" s="162">
        <f>'3FS'!AC104</f>
        <v>-14092</v>
      </c>
      <c r="W107" s="863">
        <f>'3FS'!AD104</f>
        <v>-9373</v>
      </c>
      <c r="X107" s="162">
        <f>'3FS'!AE104</f>
        <v>-12982</v>
      </c>
      <c r="Y107" s="162">
        <f>'3FS'!AF104</f>
        <v>-15270</v>
      </c>
      <c r="Z107" s="162">
        <f>'3FS'!AG104</f>
        <v>-15921</v>
      </c>
      <c r="AA107" s="863">
        <f>'3FS'!AH104</f>
        <v>-20584</v>
      </c>
      <c r="AB107" s="162">
        <f>'3FS'!AI104</f>
        <v>-23085</v>
      </c>
      <c r="AC107" s="162">
        <f>'3FS'!AJ104</f>
        <v>-25569</v>
      </c>
      <c r="AD107" s="162">
        <f>'3FS'!AK104</f>
        <v>-28064</v>
      </c>
      <c r="AE107" s="902">
        <f>+'BS Drivers'!AE134</f>
        <v>-30534</v>
      </c>
      <c r="AF107" s="371">
        <f>+'BS Drivers'!AF134</f>
        <v>-33251</v>
      </c>
      <c r="AG107" s="371">
        <f>+'BS Drivers'!AG134</f>
        <v>-35968</v>
      </c>
      <c r="AH107" s="371">
        <f>+'BS Drivers'!AH134</f>
        <v>-38685</v>
      </c>
      <c r="AI107" s="902">
        <f>+'BS Drivers'!AI134</f>
        <v>-41402</v>
      </c>
      <c r="AJ107" s="5"/>
      <c r="AK107" s="162">
        <f>'3FS'!D104</f>
        <v>-8</v>
      </c>
      <c r="AL107" s="162">
        <f>'3FS'!E104</f>
        <v>-11</v>
      </c>
      <c r="AM107" s="162">
        <f>'3FS'!F104</f>
        <v>-13</v>
      </c>
      <c r="AN107" s="162">
        <f>'3FS'!G104</f>
        <v>-3016</v>
      </c>
      <c r="AO107" s="162">
        <f>'3FS'!H104</f>
        <v>-9373</v>
      </c>
      <c r="AP107" s="162">
        <f>'3FS'!I104</f>
        <v>-20584</v>
      </c>
      <c r="AQ107" s="554">
        <f t="shared" si="394"/>
        <v>-30534</v>
      </c>
      <c r="AR107" s="554">
        <f t="shared" si="394"/>
        <v>-41402</v>
      </c>
      <c r="AS107" s="371">
        <f>+'BS Drivers'!AS134</f>
        <v>-54443.6</v>
      </c>
    </row>
    <row r="108" spans="2:45" x14ac:dyDescent="0.2">
      <c r="B108" s="29" t="s">
        <v>74</v>
      </c>
      <c r="D108" s="371">
        <f>'3FS'!K105</f>
        <v>-521</v>
      </c>
      <c r="E108" s="371">
        <f>'3FS'!L105</f>
        <v>-813</v>
      </c>
      <c r="F108" s="371">
        <f>'3FS'!M105</f>
        <v>-1070</v>
      </c>
      <c r="G108" s="902">
        <f>'3FS'!N105</f>
        <v>-868</v>
      </c>
      <c r="H108" s="371">
        <f>'3FS'!O105</f>
        <v>-1660</v>
      </c>
      <c r="I108" s="162">
        <f>'3FS'!P105</f>
        <v>-1658</v>
      </c>
      <c r="J108" s="162">
        <f>'3FS'!Q105</f>
        <v>-1621</v>
      </c>
      <c r="K108" s="863">
        <f>'3FS'!R105</f>
        <v>-1581</v>
      </c>
      <c r="L108" s="162">
        <f>'3FS'!S105</f>
        <v>-1545</v>
      </c>
      <c r="M108" s="162">
        <f>'3FS'!T105</f>
        <v>-1510</v>
      </c>
      <c r="N108" s="162">
        <f>'3FS'!U105</f>
        <v>-1478</v>
      </c>
      <c r="O108" s="863">
        <f>'3FS'!V105</f>
        <v>-1365</v>
      </c>
      <c r="P108" s="162">
        <f>'3FS'!W105</f>
        <v>-1329</v>
      </c>
      <c r="Q108" s="162">
        <f>'3FS'!X105</f>
        <v>-1295</v>
      </c>
      <c r="R108" s="162">
        <f>'3FS'!Y105</f>
        <v>-1263</v>
      </c>
      <c r="S108" s="863">
        <f>'3FS'!Z105</f>
        <v>-1046</v>
      </c>
      <c r="T108" s="162">
        <f>'3FS'!AA105</f>
        <v>-1004</v>
      </c>
      <c r="U108" s="162">
        <f>'3FS'!AB105</f>
        <v>-957</v>
      </c>
      <c r="V108" s="162">
        <f>'3FS'!AC105</f>
        <v>-949</v>
      </c>
      <c r="W108" s="863">
        <f>'3FS'!AD105</f>
        <v>-964</v>
      </c>
      <c r="X108" s="162">
        <f>'3FS'!AE105</f>
        <v>-926</v>
      </c>
      <c r="Y108" s="162">
        <f>'3FS'!AF105</f>
        <v>-917</v>
      </c>
      <c r="Z108" s="162">
        <f>'3FS'!AG105</f>
        <v>-889</v>
      </c>
      <c r="AA108" s="863">
        <f>'3FS'!AH105</f>
        <v>-857</v>
      </c>
      <c r="AB108" s="162">
        <f>'3FS'!AI105</f>
        <v>-989</v>
      </c>
      <c r="AC108" s="162">
        <f>'3FS'!AJ105</f>
        <v>-908</v>
      </c>
      <c r="AD108" s="162">
        <f>'3FS'!AK105</f>
        <v>-881</v>
      </c>
      <c r="AE108" s="1208">
        <f t="shared" ref="AE108:AI108" si="395">+AD108</f>
        <v>-881</v>
      </c>
      <c r="AF108" s="332">
        <f t="shared" si="395"/>
        <v>-881</v>
      </c>
      <c r="AG108" s="332">
        <f t="shared" si="395"/>
        <v>-881</v>
      </c>
      <c r="AH108" s="332">
        <f t="shared" si="395"/>
        <v>-881</v>
      </c>
      <c r="AI108" s="1208">
        <f t="shared" si="395"/>
        <v>-881</v>
      </c>
      <c r="AJ108" s="5"/>
      <c r="AK108" s="162">
        <f>'3FS'!D105</f>
        <v>-868</v>
      </c>
      <c r="AL108" s="162">
        <f>'3FS'!E105</f>
        <v>-1581</v>
      </c>
      <c r="AM108" s="162">
        <f>'3FS'!F105</f>
        <v>-1365</v>
      </c>
      <c r="AN108" s="162">
        <f>'3FS'!G105</f>
        <v>-1046</v>
      </c>
      <c r="AO108" s="162">
        <f>'3FS'!H105</f>
        <v>-964</v>
      </c>
      <c r="AP108" s="162">
        <f>'3FS'!I105</f>
        <v>-857</v>
      </c>
      <c r="AQ108" s="554">
        <f t="shared" si="394"/>
        <v>-881</v>
      </c>
      <c r="AR108" s="554">
        <f t="shared" si="394"/>
        <v>-881</v>
      </c>
      <c r="AS108" s="332">
        <f t="shared" ref="AS108" si="396">+AR108</f>
        <v>-881</v>
      </c>
    </row>
    <row r="109" spans="2:45" x14ac:dyDescent="0.2">
      <c r="B109" s="29" t="s">
        <v>75</v>
      </c>
      <c r="D109" s="371">
        <f>'3FS'!K106</f>
        <v>-11393</v>
      </c>
      <c r="E109" s="371">
        <f>'3FS'!L106</f>
        <v>-10454</v>
      </c>
      <c r="F109" s="371">
        <f>'3FS'!M106</f>
        <v>-9584</v>
      </c>
      <c r="G109" s="902">
        <f>'3FS'!N106</f>
        <v>-8833</v>
      </c>
      <c r="H109" s="371">
        <f>'3FS'!O106</f>
        <v>-7949</v>
      </c>
      <c r="I109" s="162">
        <f>'3FS'!P106</f>
        <v>-7839</v>
      </c>
      <c r="J109" s="162">
        <f>'3FS'!Q106</f>
        <v>-6586</v>
      </c>
      <c r="K109" s="863">
        <f>'3FS'!R106</f>
        <v>-5836</v>
      </c>
      <c r="L109" s="162">
        <f>'3FS'!S106</f>
        <v>-4903</v>
      </c>
      <c r="M109" s="162">
        <f>'3FS'!T106</f>
        <v>-3925</v>
      </c>
      <c r="N109" s="162">
        <f>'3FS'!U106</f>
        <v>-3234</v>
      </c>
      <c r="O109" s="863">
        <f>'3FS'!V106</f>
        <v>-2812</v>
      </c>
      <c r="P109" s="162">
        <f>'3FS'!W106</f>
        <v>-2099</v>
      </c>
      <c r="Q109" s="162">
        <f>'3FS'!X106</f>
        <v>-2207</v>
      </c>
      <c r="R109" s="162">
        <f>'3FS'!Y106</f>
        <v>-1699</v>
      </c>
      <c r="S109" s="863">
        <f>'3FS'!Z106</f>
        <v>-223</v>
      </c>
      <c r="T109" s="162">
        <f>'3FS'!AA106</f>
        <v>1717</v>
      </c>
      <c r="U109" s="162">
        <f>'3FS'!AB106</f>
        <v>3938</v>
      </c>
      <c r="V109" s="162">
        <f>'3FS'!AC106</f>
        <v>5335</v>
      </c>
      <c r="W109" s="863">
        <f>'3FS'!AD106</f>
        <v>7347</v>
      </c>
      <c r="X109" s="162">
        <f>'3FS'!AE106</f>
        <v>8196</v>
      </c>
      <c r="Y109" s="162">
        <f>'3FS'!AF106</f>
        <v>10360</v>
      </c>
      <c r="Z109" s="162">
        <f>'3FS'!AG106</f>
        <v>12401</v>
      </c>
      <c r="AA109" s="863">
        <f>'3FS'!AH106</f>
        <v>14384</v>
      </c>
      <c r="AB109" s="162">
        <f>'3FS'!AI106</f>
        <v>16342</v>
      </c>
      <c r="AC109" s="162">
        <f>'3FS'!AJ106</f>
        <v>18576</v>
      </c>
      <c r="AD109" s="162">
        <f>'3FS'!AK106</f>
        <v>20155</v>
      </c>
      <c r="AE109" s="902">
        <f>+'BS Drivers'!AE143</f>
        <v>21306.561453385493</v>
      </c>
      <c r="AF109" s="371">
        <f>+'BS Drivers'!AF143</f>
        <v>23236.031125912461</v>
      </c>
      <c r="AG109" s="371">
        <f>+'BS Drivers'!AG143</f>
        <v>25514.9396699715</v>
      </c>
      <c r="AH109" s="371">
        <f>+'BS Drivers'!AH143</f>
        <v>27602.217024543246</v>
      </c>
      <c r="AI109" s="902">
        <f>+'BS Drivers'!AI143</f>
        <v>29474.336471041483</v>
      </c>
      <c r="AJ109" s="5"/>
      <c r="AK109" s="162">
        <f>'3FS'!D106</f>
        <v>-8833</v>
      </c>
      <c r="AL109" s="162">
        <f>'3FS'!E106</f>
        <v>-5836</v>
      </c>
      <c r="AM109" s="162">
        <f>'3FS'!F106</f>
        <v>-2812</v>
      </c>
      <c r="AN109" s="162">
        <f>'3FS'!G106</f>
        <v>-223</v>
      </c>
      <c r="AO109" s="162">
        <f>'3FS'!H106</f>
        <v>7347</v>
      </c>
      <c r="AP109" s="162">
        <f>'3FS'!I106</f>
        <v>14384</v>
      </c>
      <c r="AQ109" s="554">
        <f t="shared" si="394"/>
        <v>21306.561453385493</v>
      </c>
      <c r="AR109" s="554">
        <f t="shared" si="394"/>
        <v>29474.336471041483</v>
      </c>
      <c r="AS109" s="371">
        <f>+'BS Drivers'!AS143</f>
        <v>39371.68769346569</v>
      </c>
    </row>
    <row r="110" spans="2:45" ht="12.75" thickBot="1" x14ac:dyDescent="0.25">
      <c r="B110" s="209" t="s">
        <v>76</v>
      </c>
      <c r="C110" s="187"/>
      <c r="D110" s="374">
        <f t="shared" ref="D110:F110" si="397">+SUM(D105:D109)</f>
        <v>26181</v>
      </c>
      <c r="E110" s="374">
        <f t="shared" si="397"/>
        <v>26967</v>
      </c>
      <c r="F110" s="374">
        <f t="shared" si="397"/>
        <v>27771</v>
      </c>
      <c r="G110" s="916">
        <f t="shared" ref="G110" si="398">+SUM(G105:G109)</f>
        <v>28789</v>
      </c>
      <c r="H110" s="374">
        <f t="shared" ref="H110" si="399">+SUM(H105:H109)</f>
        <v>28977</v>
      </c>
      <c r="I110" s="210">
        <f t="shared" ref="I110" si="400">+SUM(I105:I109)</f>
        <v>62996</v>
      </c>
      <c r="J110" s="210">
        <f t="shared" ref="J110" si="401">+SUM(J105:J109)</f>
        <v>64487</v>
      </c>
      <c r="K110" s="928">
        <f t="shared" ref="K110" si="402">+SUM(K105:K109)</f>
        <v>65344</v>
      </c>
      <c r="L110" s="210">
        <f t="shared" ref="L110" si="403">+SUM(L105:L109)</f>
        <v>66377</v>
      </c>
      <c r="M110" s="210">
        <f t="shared" ref="M110" si="404">+SUM(M105:M109)</f>
        <v>67470</v>
      </c>
      <c r="N110" s="210">
        <f t="shared" ref="N110" si="405">+SUM(N105:N109)</f>
        <v>68427</v>
      </c>
      <c r="O110" s="928">
        <f t="shared" ref="O110" si="406">+SUM(O105:O109)</f>
        <v>69102</v>
      </c>
      <c r="P110" s="210">
        <f t="shared" ref="P110" si="407">+SUM(P105:P109)</f>
        <v>69976</v>
      </c>
      <c r="Q110" s="210">
        <f t="shared" ref="Q110" si="408">+SUM(Q105:Q109)</f>
        <v>70034</v>
      </c>
      <c r="R110" s="210">
        <f t="shared" ref="R110" si="409">+SUM(R105:R109)</f>
        <v>70150</v>
      </c>
      <c r="S110" s="928">
        <f t="shared" ref="S110" si="410">+SUM(S105:S109)</f>
        <v>69656</v>
      </c>
      <c r="T110" s="210">
        <f t="shared" ref="T110" si="411">+SUM(T105:T109)</f>
        <v>66925</v>
      </c>
      <c r="U110" s="210">
        <f t="shared" ref="U110" si="412">+SUM(U105:U109)</f>
        <v>65750</v>
      </c>
      <c r="V110" s="210">
        <f t="shared" ref="V110" si="413">+SUM(V105:V109)</f>
        <v>64698</v>
      </c>
      <c r="W110" s="928">
        <f t="shared" ref="W110" si="414">+SUM(W105:W109)</f>
        <v>64715</v>
      </c>
      <c r="X110" s="210">
        <f t="shared" ref="X110" si="415">+SUM(X105:X109)</f>
        <v>62074</v>
      </c>
      <c r="Y110" s="210">
        <f t="shared" ref="Y110" si="416">+SUM(Y105:Y109)</f>
        <v>62636</v>
      </c>
      <c r="Z110" s="210">
        <f t="shared" ref="Z110:AA110" si="417">+SUM(Z105:Z109)</f>
        <v>64250</v>
      </c>
      <c r="AA110" s="928">
        <f t="shared" si="417"/>
        <v>61741</v>
      </c>
      <c r="AB110" s="210">
        <f t="shared" ref="AB110:AC110" si="418">+SUM(AB105:AB109)</f>
        <v>61105</v>
      </c>
      <c r="AC110" s="210">
        <f t="shared" si="418"/>
        <v>61107</v>
      </c>
      <c r="AD110" s="210">
        <f t="shared" ref="AD110" si="419">+SUM(AD105:AD109)</f>
        <v>60477</v>
      </c>
      <c r="AE110" s="916">
        <f t="shared" ref="AE110" si="420">+SUM(AE105:AE109)</f>
        <v>59397.085193570601</v>
      </c>
      <c r="AF110" s="374">
        <f t="shared" ref="AF110" si="421">+SUM(AF105:AF109)</f>
        <v>58843.009733891406</v>
      </c>
      <c r="AG110" s="374">
        <f t="shared" ref="AG110" si="422">+SUM(AG105:AG109)</f>
        <v>58633.4520564431</v>
      </c>
      <c r="AH110" s="374">
        <f t="shared" ref="AH110" si="423">+SUM(AH105:AH109)</f>
        <v>58250.630772261167</v>
      </c>
      <c r="AI110" s="916">
        <f t="shared" ref="AI110" si="424">+SUM(AI105:AI109)</f>
        <v>57644.471606005267</v>
      </c>
      <c r="AJ110" s="5"/>
      <c r="AK110" s="210">
        <f t="shared" ref="AK110:AO110" si="425">+SUM(AK105:AK109)</f>
        <v>28789</v>
      </c>
      <c r="AL110" s="210">
        <f t="shared" si="425"/>
        <v>65344</v>
      </c>
      <c r="AM110" s="210">
        <f t="shared" si="425"/>
        <v>69102</v>
      </c>
      <c r="AN110" s="210">
        <f t="shared" si="425"/>
        <v>69656</v>
      </c>
      <c r="AO110" s="210">
        <f t="shared" si="425"/>
        <v>64715</v>
      </c>
      <c r="AP110" s="210">
        <f t="shared" ref="AP110" si="426">+SUM(AP105:AP109)</f>
        <v>61741</v>
      </c>
      <c r="AQ110" s="374">
        <f t="shared" ref="AQ110" si="427">+SUM(AQ105:AQ109)</f>
        <v>59397.085193570601</v>
      </c>
      <c r="AR110" s="374">
        <f t="shared" ref="AR110" si="428">+SUM(AR105:AR109)</f>
        <v>57644.471606005267</v>
      </c>
      <c r="AS110" s="374">
        <f t="shared" ref="AS110" si="429">+SUM(AS105:AS109)</f>
        <v>55442.773829297927</v>
      </c>
    </row>
    <row r="111" spans="2:45" s="3" customFormat="1" x14ac:dyDescent="0.2">
      <c r="B111" s="215" t="s">
        <v>77</v>
      </c>
      <c r="C111" s="207"/>
      <c r="D111" s="375">
        <f t="shared" ref="D111:F111" si="430">+D110+D103+D102+D94</f>
        <v>83073</v>
      </c>
      <c r="E111" s="375">
        <f t="shared" si="430"/>
        <v>84788</v>
      </c>
      <c r="F111" s="375">
        <f t="shared" si="430"/>
        <v>86109</v>
      </c>
      <c r="G111" s="917">
        <f t="shared" ref="G111" si="431">+G110+G103+G102+G94</f>
        <v>86921</v>
      </c>
      <c r="H111" s="375">
        <f t="shared" ref="H111" si="432">+H110+H103+H102+H94</f>
        <v>87226</v>
      </c>
      <c r="I111" s="208">
        <f t="shared" ref="I111" si="433">+I110+I103+I102+I94</f>
        <v>187199</v>
      </c>
      <c r="J111" s="208">
        <f t="shared" ref="J111" si="434">+J110+J103+J102+J94</f>
        <v>192443</v>
      </c>
      <c r="K111" s="929">
        <f t="shared" ref="K111" si="435">+K110+K103+K102+K94</f>
        <v>200162</v>
      </c>
      <c r="L111" s="208">
        <f t="shared" ref="L111" si="436">+L110+L103+L102+L94</f>
        <v>203332</v>
      </c>
      <c r="M111" s="208">
        <f t="shared" ref="M111" si="437">+M110+M103+M102+M94</f>
        <v>204124</v>
      </c>
      <c r="N111" s="208">
        <f t="shared" ref="N111" si="438">+N110+N103+N102+N94</f>
        <v>202125</v>
      </c>
      <c r="O111" s="929">
        <f t="shared" ref="O111" si="439">+O110+O103+O102+O94</f>
        <v>206563</v>
      </c>
      <c r="P111" s="208">
        <f t="shared" ref="P111" si="440">+P110+P103+P102+P94</f>
        <v>210653</v>
      </c>
      <c r="Q111" s="208">
        <f t="shared" ref="Q111" si="441">+Q110+Q103+Q102+Q94</f>
        <v>209463</v>
      </c>
      <c r="R111" s="208">
        <f t="shared" ref="R111" si="442">+R110+R103+R102+R94</f>
        <v>213499</v>
      </c>
      <c r="S111" s="929">
        <f t="shared" ref="S111" si="443">+S110+S103+S102+S94</f>
        <v>211338</v>
      </c>
      <c r="T111" s="208">
        <f t="shared" ref="T111" si="444">+T110+T103+T102+T94</f>
        <v>210173</v>
      </c>
      <c r="U111" s="208">
        <f t="shared" ref="U111" si="445">+U110+U103+U102+U94</f>
        <v>210602</v>
      </c>
      <c r="V111" s="208">
        <f t="shared" ref="V111" si="446">+V110+V103+V102+V94</f>
        <v>208579</v>
      </c>
      <c r="W111" s="929">
        <f t="shared" ref="W111" si="447">+W110+W103+W102+W94</f>
        <v>207682</v>
      </c>
      <c r="X111" s="208">
        <f t="shared" ref="X111" si="448">+X110+X103+X102+X94</f>
        <v>206268</v>
      </c>
      <c r="Y111" s="208">
        <f t="shared" ref="Y111" si="449">+Y110+Y103+Y102+Y94</f>
        <v>208557</v>
      </c>
      <c r="Z111" s="208">
        <f t="shared" ref="Z111:AA111" si="450">+Z110+Z103+Z102+Z94</f>
        <v>210742</v>
      </c>
      <c r="AA111" s="929">
        <f t="shared" si="450"/>
        <v>208035</v>
      </c>
      <c r="AB111" s="208">
        <f t="shared" ref="AB111:AC111" si="451">+AB110+AB103+AB102+AB94</f>
        <v>214633</v>
      </c>
      <c r="AC111" s="208">
        <f t="shared" si="451"/>
        <v>212643</v>
      </c>
      <c r="AD111" s="208">
        <f t="shared" ref="AD111" si="452">+AD110+AD103+AD102+AD94</f>
        <v>217180</v>
      </c>
      <c r="AE111" s="917">
        <f t="shared" ref="AE111" si="453">+AE110+AE103+AE102+AE94</f>
        <v>217094.8849720826</v>
      </c>
      <c r="AF111" s="375">
        <f t="shared" ref="AF111" si="454">+AF110+AF103+AF102+AF94</f>
        <v>216990.70595864786</v>
      </c>
      <c r="AG111" s="375">
        <f t="shared" ref="AG111" si="455">+AG110+AG103+AG102+AG94</f>
        <v>218407.95322764164</v>
      </c>
      <c r="AH111" s="375">
        <f t="shared" ref="AH111" si="456">+AH110+AH103+AH102+AH94</f>
        <v>223655.7638484686</v>
      </c>
      <c r="AI111" s="917">
        <f t="shared" ref="AI111" si="457">+AI110+AI103+AI102+AI94</f>
        <v>226938.33831272629</v>
      </c>
      <c r="AJ111" s="5"/>
      <c r="AK111" s="208">
        <f t="shared" ref="AK111:AO111" si="458">+AK110+AK103+AK102+AK94</f>
        <v>86921</v>
      </c>
      <c r="AL111" s="208">
        <f t="shared" si="458"/>
        <v>200162</v>
      </c>
      <c r="AM111" s="208">
        <f t="shared" si="458"/>
        <v>206563</v>
      </c>
      <c r="AN111" s="208">
        <f t="shared" si="458"/>
        <v>211338</v>
      </c>
      <c r="AO111" s="208">
        <f t="shared" si="458"/>
        <v>207682</v>
      </c>
      <c r="AP111" s="208">
        <f t="shared" ref="AP111" si="459">+AP110+AP103+AP102+AP94</f>
        <v>208035</v>
      </c>
      <c r="AQ111" s="375">
        <f t="shared" ref="AQ111" si="460">+AQ110+AQ103+AQ102+AQ94</f>
        <v>217094.8849720826</v>
      </c>
      <c r="AR111" s="375">
        <f t="shared" ref="AR111" si="461">+AR110+AR103+AR102+AR94</f>
        <v>226938.33831272629</v>
      </c>
      <c r="AS111" s="375">
        <f t="shared" ref="AS111" si="462">+AS110+AS103+AS102+AS94</f>
        <v>233938.63771008037</v>
      </c>
    </row>
    <row r="112" spans="2:45" x14ac:dyDescent="0.2">
      <c r="B112" s="216" t="s">
        <v>232</v>
      </c>
      <c r="D112" s="376">
        <f t="shared" ref="D112:E112" si="463">+D84-D111</f>
        <v>0</v>
      </c>
      <c r="E112" s="376">
        <f t="shared" si="463"/>
        <v>0</v>
      </c>
      <c r="F112" s="376">
        <f t="shared" ref="F112:O112" si="464">+F84-F111</f>
        <v>0</v>
      </c>
      <c r="G112" s="918">
        <f t="shared" si="464"/>
        <v>0</v>
      </c>
      <c r="H112" s="376">
        <f t="shared" si="464"/>
        <v>0</v>
      </c>
      <c r="I112" s="205">
        <f t="shared" si="464"/>
        <v>0</v>
      </c>
      <c r="J112" s="205">
        <f t="shared" si="464"/>
        <v>0</v>
      </c>
      <c r="K112" s="930">
        <f t="shared" si="464"/>
        <v>0</v>
      </c>
      <c r="L112" s="205">
        <f t="shared" si="464"/>
        <v>0</v>
      </c>
      <c r="M112" s="205">
        <f t="shared" si="464"/>
        <v>0</v>
      </c>
      <c r="N112" s="205">
        <f t="shared" si="464"/>
        <v>0</v>
      </c>
      <c r="O112" s="930">
        <f t="shared" si="464"/>
        <v>0</v>
      </c>
      <c r="P112" s="205">
        <f>+P84-P111</f>
        <v>0</v>
      </c>
      <c r="Q112" s="205">
        <f t="shared" ref="Q112:Y112" si="465">+Q84-Q111</f>
        <v>0</v>
      </c>
      <c r="R112" s="205">
        <f t="shared" si="465"/>
        <v>0</v>
      </c>
      <c r="S112" s="930">
        <f t="shared" si="465"/>
        <v>0</v>
      </c>
      <c r="T112" s="205">
        <f t="shared" si="465"/>
        <v>0</v>
      </c>
      <c r="U112" s="205">
        <f t="shared" si="465"/>
        <v>0</v>
      </c>
      <c r="V112" s="205">
        <f t="shared" si="465"/>
        <v>0</v>
      </c>
      <c r="W112" s="930">
        <f t="shared" si="465"/>
        <v>0</v>
      </c>
      <c r="X112" s="205">
        <f t="shared" si="465"/>
        <v>0</v>
      </c>
      <c r="Y112" s="205">
        <f t="shared" si="465"/>
        <v>0</v>
      </c>
      <c r="Z112" s="205">
        <f t="shared" ref="Z112:AA112" si="466">+Z84-Z111</f>
        <v>0</v>
      </c>
      <c r="AA112" s="930">
        <f t="shared" si="466"/>
        <v>0</v>
      </c>
      <c r="AB112" s="205">
        <f t="shared" ref="AB112:AC112" si="467">+AB84-AB111</f>
        <v>0</v>
      </c>
      <c r="AC112" s="205">
        <f t="shared" si="467"/>
        <v>0</v>
      </c>
      <c r="AD112" s="205">
        <f t="shared" ref="AD112" si="468">+AD84-AD111</f>
        <v>0</v>
      </c>
      <c r="AE112" s="918">
        <f t="shared" ref="AE112" si="469">+AE84-AE111</f>
        <v>0</v>
      </c>
      <c r="AF112" s="376">
        <f t="shared" ref="AF112" si="470">+AF84-AF111</f>
        <v>0</v>
      </c>
      <c r="AG112" s="376">
        <f t="shared" ref="AG112" si="471">+AG84-AG111</f>
        <v>0</v>
      </c>
      <c r="AH112" s="376">
        <f t="shared" ref="AH112" si="472">+AH84-AH111</f>
        <v>0</v>
      </c>
      <c r="AI112" s="918">
        <f t="shared" ref="AI112:AS112" si="473">+AI84-AI111</f>
        <v>0</v>
      </c>
      <c r="AK112" s="205">
        <f t="shared" si="473"/>
        <v>0</v>
      </c>
      <c r="AL112" s="205">
        <f t="shared" si="473"/>
        <v>0</v>
      </c>
      <c r="AM112" s="205">
        <f t="shared" si="473"/>
        <v>0</v>
      </c>
      <c r="AN112" s="205">
        <f t="shared" si="473"/>
        <v>0</v>
      </c>
      <c r="AO112" s="205">
        <f t="shared" si="473"/>
        <v>0</v>
      </c>
      <c r="AP112" s="205">
        <f t="shared" ref="AP112" si="474">+AP84-AP111</f>
        <v>0</v>
      </c>
      <c r="AQ112" s="376">
        <f t="shared" si="473"/>
        <v>0</v>
      </c>
      <c r="AR112" s="376">
        <f t="shared" si="473"/>
        <v>0</v>
      </c>
      <c r="AS112" s="376">
        <f t="shared" si="473"/>
        <v>0</v>
      </c>
    </row>
    <row r="113" spans="1:45" x14ac:dyDescent="0.2">
      <c r="B113" s="14" t="s">
        <v>78</v>
      </c>
      <c r="G113" s="595"/>
      <c r="K113" s="595"/>
      <c r="O113" s="595"/>
      <c r="S113" s="595"/>
      <c r="W113" s="595"/>
      <c r="AA113" s="595"/>
      <c r="AE113" s="921"/>
      <c r="AF113" s="379"/>
      <c r="AG113" s="379"/>
      <c r="AH113" s="379"/>
      <c r="AI113" s="921"/>
      <c r="AQ113" s="370"/>
      <c r="AR113" s="370"/>
      <c r="AS113" s="370"/>
    </row>
    <row r="114" spans="1:45" x14ac:dyDescent="0.2">
      <c r="B114" s="29" t="s">
        <v>79</v>
      </c>
      <c r="D114" s="162">
        <f>'3FS'!K111</f>
        <v>0</v>
      </c>
      <c r="E114" s="162">
        <f>'3FS'!L111</f>
        <v>0</v>
      </c>
      <c r="F114" s="162">
        <f>'3FS'!M111</f>
        <v>0</v>
      </c>
      <c r="G114" s="863">
        <f>'3FS'!N111</f>
        <v>0</v>
      </c>
      <c r="H114" s="162">
        <f>'3FS'!O111</f>
        <v>0</v>
      </c>
      <c r="I114" s="162">
        <f>'3FS'!P111</f>
        <v>0</v>
      </c>
      <c r="J114" s="162">
        <f>'3FS'!Q111</f>
        <v>0</v>
      </c>
      <c r="K114" s="863">
        <f>'3FS'!R111</f>
        <v>0</v>
      </c>
      <c r="L114" s="162">
        <f>'3FS'!S111</f>
        <v>0</v>
      </c>
      <c r="M114" s="162">
        <f>'3FS'!T111</f>
        <v>0</v>
      </c>
      <c r="N114" s="162">
        <f>'3FS'!U111</f>
        <v>0</v>
      </c>
      <c r="O114" s="863">
        <f>'3FS'!V111</f>
        <v>0</v>
      </c>
      <c r="P114" s="162">
        <f>'3FS'!W111</f>
        <v>1254.9178830000001</v>
      </c>
      <c r="Q114" s="162">
        <f>'3FS'!X111</f>
        <v>1255.5746200000001</v>
      </c>
      <c r="R114" s="162">
        <f>'3FS'!Y111</f>
        <v>1256.555323</v>
      </c>
      <c r="S114" s="863">
        <f>'3FS'!Z111</f>
        <v>1256.8765269999999</v>
      </c>
      <c r="T114" s="162">
        <f>'3FS'!AA111</f>
        <v>1260.6069890000001</v>
      </c>
      <c r="U114" s="162">
        <f>'3FS'!AB111</f>
        <v>1261.4892870000001</v>
      </c>
      <c r="V114" s="162">
        <f>'3FS'!AC111</f>
        <v>1262.375765</v>
      </c>
      <c r="W114" s="863">
        <f>'3FS'!AD111</f>
        <v>1262.9041540000001</v>
      </c>
      <c r="X114" s="162">
        <f>'3FS'!AE111</f>
        <v>1266.294032</v>
      </c>
      <c r="Y114" s="162">
        <f>'3FS'!AF111</f>
        <v>1269.805042</v>
      </c>
      <c r="Z114" s="162">
        <f>'3FS'!AG111</f>
        <v>0</v>
      </c>
      <c r="AA114" s="863">
        <f>'3FS'!AH111</f>
        <v>0</v>
      </c>
      <c r="AB114" s="162">
        <f>'3FS'!AI111</f>
        <v>0</v>
      </c>
      <c r="AC114" s="162">
        <f>'3FS'!AJ111</f>
        <v>1274.1763960000001</v>
      </c>
      <c r="AD114" s="162">
        <f>'3FS'!AK111</f>
        <v>1275.435436</v>
      </c>
      <c r="AE114" s="902"/>
      <c r="AF114" s="371"/>
      <c r="AG114" s="371"/>
      <c r="AH114" s="371"/>
      <c r="AI114" s="902"/>
      <c r="AK114" s="162">
        <f>'3FS'!D111</f>
        <v>0</v>
      </c>
      <c r="AL114" s="162">
        <f>'3FS'!E111</f>
        <v>0</v>
      </c>
      <c r="AM114" s="162">
        <f>'3FS'!F111</f>
        <v>0</v>
      </c>
      <c r="AN114" s="162">
        <f>'3FS'!G111</f>
        <v>1256.8765269999999</v>
      </c>
      <c r="AO114" s="162">
        <f>'3FS'!H111</f>
        <v>1262.9041540000001</v>
      </c>
      <c r="AP114" s="162">
        <f>'3FS'!I111</f>
        <v>0</v>
      </c>
      <c r="AQ114" s="554">
        <f t="shared" ref="AQ114:AR116" si="475">SUMIFS($F114:$AI114,$F$3:$AI$3,AQ$3,$F$2:$AI$2,4)</f>
        <v>0</v>
      </c>
      <c r="AR114" s="554">
        <f t="shared" si="475"/>
        <v>0</v>
      </c>
      <c r="AS114" s="371"/>
    </row>
    <row r="115" spans="1:45" x14ac:dyDescent="0.2">
      <c r="B115" s="29" t="s">
        <v>80</v>
      </c>
      <c r="D115" s="162">
        <f>'3FS'!K112</f>
        <v>0</v>
      </c>
      <c r="E115" s="162">
        <f>'3FS'!L112</f>
        <v>0</v>
      </c>
      <c r="F115" s="162">
        <f>'3FS'!M112</f>
        <v>0</v>
      </c>
      <c r="G115" s="863">
        <f>'3FS'!N112</f>
        <v>0</v>
      </c>
      <c r="H115" s="162">
        <f>'3FS'!O112</f>
        <v>0</v>
      </c>
      <c r="I115" s="162">
        <f>'3FS'!P112</f>
        <v>0</v>
      </c>
      <c r="J115" s="162">
        <f>'3FS'!Q112</f>
        <v>0</v>
      </c>
      <c r="K115" s="863">
        <f>'3FS'!R112</f>
        <v>0</v>
      </c>
      <c r="L115" s="162">
        <f>'3FS'!S112</f>
        <v>0</v>
      </c>
      <c r="M115" s="162">
        <f>'3FS'!T112</f>
        <v>0</v>
      </c>
      <c r="N115" s="162">
        <f>'3FS'!U112</f>
        <v>0</v>
      </c>
      <c r="O115" s="863">
        <f>'3FS'!V112</f>
        <v>0</v>
      </c>
      <c r="P115" s="162">
        <f>'3FS'!W112</f>
        <v>1253.3526999999999</v>
      </c>
      <c r="Q115" s="162">
        <f>'3FS'!X112</f>
        <v>1254.010072</v>
      </c>
      <c r="R115" s="162">
        <f>'3FS'!Y112</f>
        <v>1250.1044260000001</v>
      </c>
      <c r="S115" s="863">
        <f>'3FS'!Z112</f>
        <v>1233.9600780000001</v>
      </c>
      <c r="T115" s="162">
        <f>'3FS'!AA112</f>
        <v>1204.6963249999999</v>
      </c>
      <c r="U115" s="162">
        <f>'3FS'!AB112</f>
        <v>1180.3987480000001</v>
      </c>
      <c r="V115" s="162">
        <f>'3FS'!AC112</f>
        <v>1161.9797080000001</v>
      </c>
      <c r="W115" s="863">
        <f>'3FS'!AD112</f>
        <v>1195.807331</v>
      </c>
      <c r="X115" s="162">
        <f>'3FS'!AE112</f>
        <v>1177.24011</v>
      </c>
      <c r="Y115" s="162">
        <f>'3FS'!AF112</f>
        <v>1166.7728910000001</v>
      </c>
      <c r="Z115" s="162">
        <f>'3FS'!AG112</f>
        <v>0</v>
      </c>
      <c r="AA115" s="863">
        <f>'3FS'!AH112</f>
        <v>0</v>
      </c>
      <c r="AB115" s="162">
        <f>'3FS'!AI112</f>
        <v>0</v>
      </c>
      <c r="AC115" s="162">
        <f>'3FS'!AJ112</f>
        <v>1127.4506180000001</v>
      </c>
      <c r="AD115" s="162">
        <f>'3FS'!AK112</f>
        <v>1118.5062399999999</v>
      </c>
      <c r="AE115" s="902"/>
      <c r="AF115" s="371"/>
      <c r="AG115" s="371"/>
      <c r="AH115" s="371"/>
      <c r="AI115" s="902"/>
      <c r="AK115" s="162">
        <f>'3FS'!D112</f>
        <v>0</v>
      </c>
      <c r="AL115" s="162">
        <f>'3FS'!E112</f>
        <v>0</v>
      </c>
      <c r="AM115" s="162">
        <f>'3FS'!F112</f>
        <v>0</v>
      </c>
      <c r="AN115" s="162">
        <f>'3FS'!G112</f>
        <v>1233.9600780000001</v>
      </c>
      <c r="AO115" s="162">
        <f>'3FS'!H112</f>
        <v>1195.807331</v>
      </c>
      <c r="AP115" s="162">
        <f>'3FS'!I112</f>
        <v>0</v>
      </c>
      <c r="AQ115" s="554">
        <f t="shared" si="475"/>
        <v>0</v>
      </c>
      <c r="AR115" s="554">
        <f t="shared" si="475"/>
        <v>0</v>
      </c>
      <c r="AS115" s="371"/>
    </row>
    <row r="116" spans="1:45" x14ac:dyDescent="0.2">
      <c r="B116" s="29" t="s">
        <v>81</v>
      </c>
      <c r="D116" s="162">
        <f>'3FS'!K113</f>
        <v>0</v>
      </c>
      <c r="E116" s="162">
        <f>'3FS'!L113</f>
        <v>0</v>
      </c>
      <c r="F116" s="162">
        <f>'3FS'!M113</f>
        <v>0</v>
      </c>
      <c r="G116" s="863">
        <f>'3FS'!N113</f>
        <v>0</v>
      </c>
      <c r="H116" s="162">
        <f>'3FS'!O113</f>
        <v>0</v>
      </c>
      <c r="I116" s="162">
        <f>'3FS'!P113</f>
        <v>0</v>
      </c>
      <c r="J116" s="162">
        <f>'3FS'!Q113</f>
        <v>0</v>
      </c>
      <c r="K116" s="863">
        <f>'3FS'!R113</f>
        <v>0</v>
      </c>
      <c r="L116" s="162">
        <f>'3FS'!S113</f>
        <v>0</v>
      </c>
      <c r="M116" s="162">
        <f>'3FS'!T113</f>
        <v>0</v>
      </c>
      <c r="N116" s="162">
        <f>'3FS'!U113</f>
        <v>0</v>
      </c>
      <c r="O116" s="863">
        <f>'3FS'!V113</f>
        <v>0</v>
      </c>
      <c r="P116" s="162">
        <f>'3FS'!W113</f>
        <v>1.565183</v>
      </c>
      <c r="Q116" s="162">
        <f>'3FS'!X113</f>
        <v>1.564549</v>
      </c>
      <c r="R116" s="162">
        <f>'3FS'!Y113</f>
        <v>6.4508960000000002</v>
      </c>
      <c r="S116" s="863">
        <f>'3FS'!Z113</f>
        <v>22.916449</v>
      </c>
      <c r="T116" s="162">
        <f>'3FS'!AA113</f>
        <v>55.910663999999997</v>
      </c>
      <c r="U116" s="162">
        <f>'3FS'!AB113</f>
        <v>81.090539000000007</v>
      </c>
      <c r="V116" s="162">
        <f>'3FS'!AC113</f>
        <v>100.396057</v>
      </c>
      <c r="W116" s="863">
        <f>'3FS'!AD113</f>
        <v>67.096823000000001</v>
      </c>
      <c r="X116" s="162">
        <f>'3FS'!AE113</f>
        <v>89.053922</v>
      </c>
      <c r="Y116" s="162">
        <f>'3FS'!AF113</f>
        <v>103.032151</v>
      </c>
      <c r="Z116" s="162">
        <f>'3FS'!AG113</f>
        <v>0</v>
      </c>
      <c r="AA116" s="863">
        <f>'3FS'!AH113</f>
        <v>0</v>
      </c>
      <c r="AB116" s="162">
        <f>'3FS'!AI113</f>
        <v>0</v>
      </c>
      <c r="AC116" s="162">
        <f>'3FS'!AJ113</f>
        <v>146.72577799999999</v>
      </c>
      <c r="AD116" s="162">
        <f>'3FS'!AK113</f>
        <v>156.92919599999999</v>
      </c>
      <c r="AE116" s="902"/>
      <c r="AF116" s="371"/>
      <c r="AG116" s="371"/>
      <c r="AH116" s="371"/>
      <c r="AI116" s="902"/>
      <c r="AK116" s="162">
        <f>'3FS'!D113</f>
        <v>0</v>
      </c>
      <c r="AL116" s="162">
        <f>'3FS'!E113</f>
        <v>0</v>
      </c>
      <c r="AM116" s="162">
        <f>'3FS'!F113</f>
        <v>0</v>
      </c>
      <c r="AN116" s="162">
        <f>'3FS'!G113</f>
        <v>22.916449</v>
      </c>
      <c r="AO116" s="162">
        <f>'3FS'!H113</f>
        <v>67.096823000000001</v>
      </c>
      <c r="AP116" s="162">
        <f>'3FS'!I113</f>
        <v>0</v>
      </c>
      <c r="AQ116" s="554">
        <f t="shared" si="475"/>
        <v>0</v>
      </c>
      <c r="AR116" s="554">
        <f t="shared" si="475"/>
        <v>0</v>
      </c>
      <c r="AS116" s="371"/>
    </row>
    <row r="117" spans="1:45" x14ac:dyDescent="0.2">
      <c r="G117" s="595"/>
      <c r="K117" s="595"/>
      <c r="O117" s="595"/>
      <c r="S117" s="595"/>
      <c r="W117" s="595"/>
      <c r="AA117" s="595"/>
      <c r="AE117" s="913"/>
      <c r="AF117" s="370"/>
      <c r="AG117" s="370"/>
      <c r="AH117" s="370"/>
      <c r="AI117" s="913"/>
      <c r="AQ117" s="370"/>
      <c r="AR117" s="370"/>
      <c r="AS117" s="370"/>
    </row>
    <row r="118" spans="1:45" x14ac:dyDescent="0.2">
      <c r="A118" s="2" t="s">
        <v>238</v>
      </c>
      <c r="B118" s="8" t="s">
        <v>82</v>
      </c>
      <c r="C118" s="172"/>
      <c r="D118" s="172"/>
      <c r="E118" s="172"/>
      <c r="F118" s="172"/>
      <c r="G118" s="864"/>
      <c r="H118" s="172"/>
      <c r="I118" s="172"/>
      <c r="J118" s="172"/>
      <c r="K118" s="864"/>
      <c r="L118" s="172"/>
      <c r="M118" s="172"/>
      <c r="N118" s="172"/>
      <c r="O118" s="864"/>
      <c r="P118" s="172"/>
      <c r="Q118" s="172"/>
      <c r="R118" s="172"/>
      <c r="S118" s="864"/>
      <c r="T118" s="172"/>
      <c r="U118" s="172"/>
      <c r="V118" s="172"/>
      <c r="W118" s="864"/>
      <c r="X118" s="172"/>
      <c r="Y118" s="172"/>
      <c r="Z118" s="172"/>
      <c r="AA118" s="864"/>
      <c r="AB118" s="172"/>
      <c r="AC118" s="172"/>
      <c r="AD118" s="172"/>
      <c r="AE118" s="864"/>
      <c r="AF118" s="172"/>
      <c r="AG118" s="172"/>
      <c r="AH118" s="172"/>
      <c r="AI118" s="864"/>
      <c r="AK118" s="172"/>
      <c r="AL118" s="172"/>
      <c r="AM118" s="172"/>
      <c r="AN118" s="172"/>
      <c r="AO118" s="172"/>
      <c r="AP118" s="1291"/>
      <c r="AQ118" s="1291"/>
      <c r="AR118" s="1291"/>
      <c r="AS118" s="1291"/>
    </row>
    <row r="119" spans="1:45" x14ac:dyDescent="0.2">
      <c r="B119" s="20" t="s">
        <v>83</v>
      </c>
      <c r="D119" s="369" t="s">
        <v>381</v>
      </c>
      <c r="E119" s="346"/>
      <c r="F119" s="346"/>
      <c r="G119" s="912"/>
      <c r="H119" s="346"/>
      <c r="K119" s="595"/>
      <c r="O119" s="595"/>
      <c r="S119" s="595"/>
      <c r="W119" s="595"/>
      <c r="AA119" s="595"/>
      <c r="AE119" s="913"/>
      <c r="AF119" s="370"/>
      <c r="AG119" s="370"/>
      <c r="AH119" s="370"/>
      <c r="AI119" s="913"/>
      <c r="AQ119" s="370"/>
      <c r="AR119" s="370"/>
      <c r="AS119" s="370"/>
    </row>
    <row r="120" spans="1:45" x14ac:dyDescent="0.2">
      <c r="B120" s="10" t="s">
        <v>31</v>
      </c>
      <c r="D120" s="371">
        <f>+'3FS'!K117</f>
        <v>908</v>
      </c>
      <c r="E120" s="371">
        <f>+'3FS'!L117</f>
        <v>939</v>
      </c>
      <c r="F120" s="371">
        <f>+'3FS'!M117</f>
        <v>870</v>
      </c>
      <c r="G120" s="902">
        <f>+'3FS'!N117</f>
        <v>751</v>
      </c>
      <c r="H120" s="371">
        <f>+'3FS'!O117</f>
        <v>951</v>
      </c>
      <c r="I120" s="5">
        <f t="shared" ref="I120:AI120" si="476">+I32</f>
        <v>110</v>
      </c>
      <c r="J120" s="5">
        <f t="shared" si="476"/>
        <v>1253</v>
      </c>
      <c r="K120" s="871">
        <f t="shared" si="476"/>
        <v>750</v>
      </c>
      <c r="L120" s="5">
        <f t="shared" si="476"/>
        <v>933</v>
      </c>
      <c r="M120" s="5">
        <f t="shared" si="476"/>
        <v>978</v>
      </c>
      <c r="N120" s="5">
        <f t="shared" si="476"/>
        <v>691</v>
      </c>
      <c r="O120" s="871">
        <f t="shared" si="476"/>
        <v>422</v>
      </c>
      <c r="P120" s="5">
        <f t="shared" si="476"/>
        <v>713</v>
      </c>
      <c r="Q120" s="5">
        <f t="shared" si="476"/>
        <v>-108</v>
      </c>
      <c r="R120" s="5">
        <f t="shared" si="476"/>
        <v>508</v>
      </c>
      <c r="S120" s="871">
        <f t="shared" si="476"/>
        <v>1477</v>
      </c>
      <c r="T120" s="5">
        <f t="shared" si="476"/>
        <v>1940</v>
      </c>
      <c r="U120" s="5">
        <f t="shared" si="476"/>
        <v>2221</v>
      </c>
      <c r="V120" s="5">
        <f t="shared" si="476"/>
        <v>2142</v>
      </c>
      <c r="W120" s="871">
        <f t="shared" si="476"/>
        <v>2014</v>
      </c>
      <c r="X120" s="5">
        <f t="shared" si="476"/>
        <v>2374</v>
      </c>
      <c r="Y120" s="5">
        <f t="shared" si="476"/>
        <v>2925</v>
      </c>
      <c r="Z120" s="5">
        <f t="shared" si="476"/>
        <v>3059</v>
      </c>
      <c r="AA120" s="871">
        <f t="shared" si="476"/>
        <v>2981</v>
      </c>
      <c r="AB120" s="5">
        <f t="shared" si="476"/>
        <v>2953</v>
      </c>
      <c r="AC120" s="5">
        <f t="shared" si="476"/>
        <v>3222</v>
      </c>
      <c r="AD120" s="5">
        <f t="shared" si="476"/>
        <v>2714</v>
      </c>
      <c r="AE120" s="921">
        <f t="shared" si="476"/>
        <v>2264.5278533854939</v>
      </c>
      <c r="AF120" s="379">
        <f t="shared" si="476"/>
        <v>3030.3624725269683</v>
      </c>
      <c r="AG120" s="379">
        <f t="shared" si="476"/>
        <v>3372.1181440590394</v>
      </c>
      <c r="AH120" s="379">
        <f t="shared" si="476"/>
        <v>3170.6085545717483</v>
      </c>
      <c r="AI120" s="921">
        <f t="shared" si="476"/>
        <v>3093.7113671382367</v>
      </c>
      <c r="AK120" s="5">
        <f t="shared" ref="AK120:AS120" si="477">+AK32</f>
        <v>3468</v>
      </c>
      <c r="AL120" s="5">
        <f t="shared" si="477"/>
        <v>3064</v>
      </c>
      <c r="AM120" s="5">
        <f t="shared" si="477"/>
        <v>3024</v>
      </c>
      <c r="AN120" s="5">
        <f t="shared" si="477"/>
        <v>2590</v>
      </c>
      <c r="AO120" s="5">
        <f t="shared" si="477"/>
        <v>8317</v>
      </c>
      <c r="AP120" s="5">
        <f t="shared" si="477"/>
        <v>11339</v>
      </c>
      <c r="AQ120" s="379">
        <f t="shared" si="477"/>
        <v>11153.527853385487</v>
      </c>
      <c r="AR120" s="379">
        <f t="shared" si="477"/>
        <v>12666.800538295989</v>
      </c>
      <c r="AS120" s="379">
        <f t="shared" si="477"/>
        <v>14834.135675367859</v>
      </c>
    </row>
    <row r="121" spans="1:45" x14ac:dyDescent="0.2">
      <c r="B121" s="137" t="s">
        <v>192</v>
      </c>
      <c r="D121" s="370"/>
      <c r="E121" s="370"/>
      <c r="F121" s="370"/>
      <c r="G121" s="913"/>
      <c r="H121" s="370"/>
      <c r="K121" s="595"/>
      <c r="O121" s="595"/>
      <c r="S121" s="595"/>
      <c r="W121" s="595"/>
      <c r="Z121" s="5"/>
      <c r="AA121" s="595"/>
      <c r="AE121" s="913"/>
      <c r="AF121" s="370"/>
      <c r="AG121" s="370"/>
      <c r="AH121" s="370"/>
      <c r="AI121" s="913"/>
      <c r="AQ121" s="370"/>
      <c r="AR121" s="370"/>
      <c r="AS121" s="370"/>
    </row>
    <row r="122" spans="1:45" x14ac:dyDescent="0.2">
      <c r="B122" s="29" t="s">
        <v>22</v>
      </c>
      <c r="D122" s="371">
        <f>+'3FS'!K119</f>
        <v>1600</v>
      </c>
      <c r="E122" s="371">
        <f>+'3FS'!L119</f>
        <v>1585</v>
      </c>
      <c r="F122" s="371">
        <f>+'3FS'!M119</f>
        <v>1655</v>
      </c>
      <c r="G122" s="902">
        <f>+'3FS'!N119</f>
        <v>1776</v>
      </c>
      <c r="H122" s="371">
        <f>+'3FS'!O119</f>
        <v>1718</v>
      </c>
      <c r="I122" s="162">
        <f>+'3FS'!P119</f>
        <v>4064</v>
      </c>
      <c r="J122" s="162">
        <f>+'3FS'!Q119</f>
        <v>4150</v>
      </c>
      <c r="K122" s="863">
        <f>+'3FS'!R119</f>
        <v>4219</v>
      </c>
      <c r="L122" s="162">
        <f>+'3FS'!S119</f>
        <v>4289</v>
      </c>
      <c r="M122" s="162">
        <f>+'3FS'!T119</f>
        <v>4077</v>
      </c>
      <c r="N122" s="162">
        <f>+'3FS'!U119</f>
        <v>4145</v>
      </c>
      <c r="O122" s="863">
        <f>+'3FS'!V119</f>
        <v>3872</v>
      </c>
      <c r="P122" s="162">
        <f>+'3FS'!W119</f>
        <v>3585</v>
      </c>
      <c r="Q122" s="162">
        <f>+'3FS'!X119</f>
        <v>3491</v>
      </c>
      <c r="R122" s="162">
        <f>+'3FS'!Y119</f>
        <v>3313</v>
      </c>
      <c r="S122" s="863">
        <f>+'3FS'!Z119</f>
        <v>3262</v>
      </c>
      <c r="T122" s="162">
        <f>+'3FS'!AA119</f>
        <v>3203</v>
      </c>
      <c r="U122" s="162">
        <f>+'3FS'!AB119</f>
        <v>3110</v>
      </c>
      <c r="V122" s="162">
        <f>+'3FS'!AC119</f>
        <v>3187</v>
      </c>
      <c r="W122" s="863">
        <f>+'3FS'!AD119</f>
        <v>3318</v>
      </c>
      <c r="X122" s="162">
        <f>+'3FS'!AE119</f>
        <v>3371</v>
      </c>
      <c r="Y122" s="162">
        <f>+'3FS'!AF119</f>
        <v>3248</v>
      </c>
      <c r="Z122" s="162">
        <f>+'3FS'!AG119</f>
        <v>3151</v>
      </c>
      <c r="AA122" s="863">
        <f>+'3FS'!AH119</f>
        <v>3149</v>
      </c>
      <c r="AB122" s="162">
        <f>+'3FS'!AI119</f>
        <v>3198</v>
      </c>
      <c r="AC122" s="162">
        <f>+'3FS'!AJ119</f>
        <v>3146</v>
      </c>
      <c r="AD122" s="162">
        <f>+'3FS'!AK119</f>
        <v>3408</v>
      </c>
      <c r="AE122" s="902">
        <f>+'BS Drivers'!AE39</f>
        <v>3670.0321228857165</v>
      </c>
      <c r="AF122" s="371">
        <f>+'BS Drivers'!AF39</f>
        <v>3720.8607563039691</v>
      </c>
      <c r="AG122" s="371">
        <f>+'BS Drivers'!AG39</f>
        <v>3615.6245061200548</v>
      </c>
      <c r="AH122" s="371">
        <f>+'BS Drivers'!AH39</f>
        <v>3525.2305523928471</v>
      </c>
      <c r="AI122" s="902">
        <f>+'BS Drivers'!AI39</f>
        <v>3446.8784815679955</v>
      </c>
      <c r="AK122" s="162">
        <f>+'3FS'!D119</f>
        <v>6616</v>
      </c>
      <c r="AL122" s="162">
        <f>+'3FS'!E119</f>
        <v>14151</v>
      </c>
      <c r="AM122" s="162">
        <f>+'3FS'!F119</f>
        <v>16383</v>
      </c>
      <c r="AN122" s="162">
        <f>+'3FS'!G119</f>
        <v>13651</v>
      </c>
      <c r="AO122" s="162">
        <f>+'3FS'!H119</f>
        <v>12818</v>
      </c>
      <c r="AP122" s="162">
        <f>+'3FS'!I119</f>
        <v>12919</v>
      </c>
      <c r="AQ122" s="554">
        <f t="shared" ref="AQ122:AR139" si="478">SUMIFS($F122:$AI122,$F$3:$AI$3,AQ$3)</f>
        <v>13422.032122885717</v>
      </c>
      <c r="AR122" s="554">
        <f t="shared" si="478"/>
        <v>14308.594296384867</v>
      </c>
      <c r="AS122" s="371">
        <f>+'BS Drivers'!AS39</f>
        <v>14771.98306379588</v>
      </c>
    </row>
    <row r="123" spans="1:45" x14ac:dyDescent="0.2">
      <c r="B123" s="29" t="s">
        <v>84</v>
      </c>
      <c r="D123" s="371">
        <f>+'3FS'!K120</f>
        <v>110</v>
      </c>
      <c r="E123" s="371">
        <f>+'3FS'!L120</f>
        <v>130</v>
      </c>
      <c r="F123" s="371">
        <f>+'3FS'!M120</f>
        <v>126</v>
      </c>
      <c r="G123" s="902">
        <f>+'3FS'!N120</f>
        <v>129</v>
      </c>
      <c r="H123" s="371">
        <f>+'3FS'!O120</f>
        <v>138</v>
      </c>
      <c r="I123" s="162">
        <f>+'3FS'!P120</f>
        <v>259</v>
      </c>
      <c r="J123" s="162">
        <f>+'3FS'!Q120</f>
        <v>161</v>
      </c>
      <c r="K123" s="863">
        <f>+'3FS'!R120</f>
        <v>136</v>
      </c>
      <c r="L123" s="162">
        <f>+'3FS'!S120</f>
        <v>138</v>
      </c>
      <c r="M123" s="162">
        <f>+'3FS'!T120</f>
        <v>134</v>
      </c>
      <c r="N123" s="162">
        <f>+'3FS'!U120</f>
        <v>131</v>
      </c>
      <c r="O123" s="863">
        <f>+'3FS'!V120</f>
        <v>137</v>
      </c>
      <c r="P123" s="162">
        <f>+'3FS'!W120</f>
        <v>141</v>
      </c>
      <c r="Q123" s="162">
        <f>+'3FS'!X120</f>
        <v>154</v>
      </c>
      <c r="R123" s="162">
        <f>+'3FS'!Y120</f>
        <v>150</v>
      </c>
      <c r="S123" s="863">
        <f>+'3FS'!Z120</f>
        <v>150</v>
      </c>
      <c r="T123" s="162">
        <f>+'3FS'!AA120</f>
        <v>177</v>
      </c>
      <c r="U123" s="162">
        <f>+'3FS'!AB120</f>
        <v>167</v>
      </c>
      <c r="V123" s="162">
        <f>+'3FS'!AC120</f>
        <v>156</v>
      </c>
      <c r="W123" s="863">
        <f>+'3FS'!AD120</f>
        <v>167</v>
      </c>
      <c r="X123" s="162">
        <f>+'3FS'!AE120</f>
        <v>140</v>
      </c>
      <c r="Y123" s="162">
        <f>+'3FS'!AF120</f>
        <v>164</v>
      </c>
      <c r="Z123" s="162">
        <f>+'3FS'!AG120</f>
        <v>170</v>
      </c>
      <c r="AA123" s="863">
        <f>+'3FS'!AH120</f>
        <v>175</v>
      </c>
      <c r="AB123" s="162">
        <f>+'3FS'!AI120</f>
        <v>186</v>
      </c>
      <c r="AC123" s="162">
        <f>+'3FS'!AJ120</f>
        <v>200</v>
      </c>
      <c r="AD123" s="162">
        <f>+'3FS'!AK120</f>
        <v>227</v>
      </c>
      <c r="AE123" s="902">
        <f>+'BS Drivers'!AE130</f>
        <v>238.52374018510511</v>
      </c>
      <c r="AF123" s="371">
        <f>+'BS Drivers'!AF130</f>
        <v>233.4548677938472</v>
      </c>
      <c r="AG123" s="371">
        <f>+'BS Drivers'!AG130</f>
        <v>228.53377849265203</v>
      </c>
      <c r="AH123" s="371">
        <f>+'BS Drivers'!AH130</f>
        <v>246.90136124631124</v>
      </c>
      <c r="AI123" s="902">
        <f>+'BS Drivers'!AI130</f>
        <v>238.72138724587006</v>
      </c>
      <c r="AK123" s="162">
        <f>+'3FS'!D120</f>
        <v>495</v>
      </c>
      <c r="AL123" s="162">
        <f>+'3FS'!E120</f>
        <v>694</v>
      </c>
      <c r="AM123" s="162">
        <f>+'3FS'!F120</f>
        <v>540</v>
      </c>
      <c r="AN123" s="162">
        <f>+'3FS'!G120</f>
        <v>595</v>
      </c>
      <c r="AO123" s="162">
        <f>+'3FS'!H120</f>
        <v>667</v>
      </c>
      <c r="AP123" s="162">
        <f>+'3FS'!I120</f>
        <v>649</v>
      </c>
      <c r="AQ123" s="554">
        <f t="shared" si="478"/>
        <v>851.52374018510511</v>
      </c>
      <c r="AR123" s="554">
        <f t="shared" si="478"/>
        <v>947.61139477868051</v>
      </c>
      <c r="AS123" s="371">
        <f>+'BS Drivers'!AS130</f>
        <v>942.55100086844379</v>
      </c>
    </row>
    <row r="124" spans="1:45" x14ac:dyDescent="0.2">
      <c r="B124" s="29" t="s">
        <v>85</v>
      </c>
      <c r="D124" s="371">
        <f>+'3FS'!K121</f>
        <v>288</v>
      </c>
      <c r="E124" s="371">
        <f>+'3FS'!L121</f>
        <v>267</v>
      </c>
      <c r="F124" s="371">
        <f>+'3FS'!M121</f>
        <v>294</v>
      </c>
      <c r="G124" s="902">
        <f>+'3FS'!N121</f>
        <v>242</v>
      </c>
      <c r="H124" s="371">
        <f>+'3FS'!O121</f>
        <v>310</v>
      </c>
      <c r="I124" s="162">
        <f>+'3FS'!P121</f>
        <v>98</v>
      </c>
      <c r="J124" s="162">
        <f>+'3FS'!Q121</f>
        <v>335</v>
      </c>
      <c r="K124" s="863">
        <f>+'3FS'!R121</f>
        <v>79</v>
      </c>
      <c r="L124" s="162">
        <f>+'3FS'!S121</f>
        <v>211</v>
      </c>
      <c r="M124" s="162">
        <f>+'3FS'!T121</f>
        <v>226</v>
      </c>
      <c r="N124" s="162">
        <f>+'3FS'!U121</f>
        <v>-27</v>
      </c>
      <c r="O124" s="863">
        <f>+'3FS'!V121</f>
        <v>-213</v>
      </c>
      <c r="P124" s="162">
        <f>+'3FS'!W121</f>
        <v>185</v>
      </c>
      <c r="Q124" s="162">
        <f>+'3FS'!X121</f>
        <v>-76</v>
      </c>
      <c r="R124" s="162">
        <f>+'3FS'!Y121</f>
        <v>-36</v>
      </c>
      <c r="S124" s="863">
        <f>+'3FS'!Z121</f>
        <v>419</v>
      </c>
      <c r="T124" s="162">
        <f>+'3FS'!AA121</f>
        <v>611</v>
      </c>
      <c r="U124" s="162">
        <f>+'3FS'!AB121</f>
        <v>703</v>
      </c>
      <c r="V124" s="162">
        <f>+'3FS'!AC121</f>
        <v>671</v>
      </c>
      <c r="W124" s="863">
        <f>+'3FS'!AD121</f>
        <v>615</v>
      </c>
      <c r="X124" s="162">
        <f>+'3FS'!AE121</f>
        <v>715</v>
      </c>
      <c r="Y124" s="162">
        <f>+'3FS'!AF121</f>
        <v>747</v>
      </c>
      <c r="Z124" s="162">
        <f>+'3FS'!AG121</f>
        <v>817</v>
      </c>
      <c r="AA124" s="863">
        <f>+'3FS'!AH121</f>
        <v>841</v>
      </c>
      <c r="AB124" s="162">
        <f>+'3FS'!AI121</f>
        <v>771</v>
      </c>
      <c r="AC124" s="162">
        <f>+'3FS'!AJ121</f>
        <v>937</v>
      </c>
      <c r="AD124" s="162">
        <f>+'3FS'!AK121</f>
        <v>797</v>
      </c>
      <c r="AE124" s="1208">
        <f>AA124 * 0.96</f>
        <v>807.36</v>
      </c>
      <c r="AF124" s="332">
        <f>AB124*0.9 +1500/4</f>
        <v>1068.9000000000001</v>
      </c>
      <c r="AG124" s="332">
        <f>AC124*0.9+1500/4</f>
        <v>1218.3000000000002</v>
      </c>
      <c r="AH124" s="332">
        <f>AD124*0.9+1500/4</f>
        <v>1092.3000000000002</v>
      </c>
      <c r="AI124" s="1208">
        <f>AE124*0.9+1500/4</f>
        <v>1101.624</v>
      </c>
      <c r="AK124" s="162">
        <f>+'3FS'!D121</f>
        <v>1091</v>
      </c>
      <c r="AL124" s="162">
        <f>+'3FS'!E121</f>
        <v>822</v>
      </c>
      <c r="AM124" s="162">
        <f>+'3FS'!F121</f>
        <v>197</v>
      </c>
      <c r="AN124" s="162">
        <f>+'3FS'!G121</f>
        <v>492</v>
      </c>
      <c r="AO124" s="162">
        <f>+'3FS'!H121</f>
        <v>2600</v>
      </c>
      <c r="AP124" s="162">
        <f>+'3FS'!I121</f>
        <v>3120</v>
      </c>
      <c r="AQ124" s="554">
        <f t="shared" si="478"/>
        <v>3312.36</v>
      </c>
      <c r="AR124" s="554">
        <f t="shared" si="478"/>
        <v>4481.1240000000007</v>
      </c>
      <c r="AS124" s="332">
        <f>+AR124*0.5</f>
        <v>2240.5620000000004</v>
      </c>
    </row>
    <row r="125" spans="1:45" x14ac:dyDescent="0.2">
      <c r="B125" s="29" t="s">
        <v>86</v>
      </c>
      <c r="D125" s="371">
        <f>+'3FS'!K122</f>
        <v>73</v>
      </c>
      <c r="E125" s="371">
        <f>+'3FS'!L122</f>
        <v>71</v>
      </c>
      <c r="F125" s="371">
        <f>+'3FS'!M122</f>
        <v>74</v>
      </c>
      <c r="G125" s="902">
        <f>+'3FS'!N122</f>
        <v>89</v>
      </c>
      <c r="H125" s="371">
        <f>+'3FS'!O122</f>
        <v>113</v>
      </c>
      <c r="I125" s="162">
        <f>+'3FS'!P122</f>
        <v>233</v>
      </c>
      <c r="J125" s="162">
        <f>+'3FS'!Q122</f>
        <v>143</v>
      </c>
      <c r="K125" s="863">
        <f>+'3FS'!R122</f>
        <v>113</v>
      </c>
      <c r="L125" s="162">
        <f>+'3FS'!S122</f>
        <v>82</v>
      </c>
      <c r="M125" s="162">
        <f>+'3FS'!T122</f>
        <v>72</v>
      </c>
      <c r="N125" s="162">
        <f>+'3FS'!U122</f>
        <v>105</v>
      </c>
      <c r="O125" s="863">
        <f>+'3FS'!V122</f>
        <v>193</v>
      </c>
      <c r="P125" s="162">
        <f>+'3FS'!W122</f>
        <v>210</v>
      </c>
      <c r="Q125" s="162">
        <f>+'3FS'!X122</f>
        <v>311</v>
      </c>
      <c r="R125" s="162">
        <f>+'3FS'!Y122</f>
        <v>239</v>
      </c>
      <c r="S125" s="863">
        <f>+'3FS'!Z122</f>
        <v>266</v>
      </c>
      <c r="T125" s="162">
        <f>+'3FS'!AA122</f>
        <v>222</v>
      </c>
      <c r="U125" s="162">
        <f>+'3FS'!AB122</f>
        <v>213</v>
      </c>
      <c r="V125" s="162">
        <f>+'3FS'!AC122</f>
        <v>228</v>
      </c>
      <c r="W125" s="863">
        <f>+'3FS'!AD122</f>
        <v>235</v>
      </c>
      <c r="X125" s="162">
        <f>+'3FS'!AE122</f>
        <v>282</v>
      </c>
      <c r="Y125" s="162">
        <f>+'3FS'!AF122</f>
        <v>255</v>
      </c>
      <c r="Z125" s="162">
        <f>+'3FS'!AG122</f>
        <v>299</v>
      </c>
      <c r="AA125" s="863">
        <f>+'3FS'!AH122</f>
        <v>356</v>
      </c>
      <c r="AB125" s="162">
        <f>+'3FS'!AI122</f>
        <v>323</v>
      </c>
      <c r="AC125" s="162">
        <f>+'3FS'!AJ122</f>
        <v>265</v>
      </c>
      <c r="AD125" s="162">
        <f>+'3FS'!AK122</f>
        <v>337</v>
      </c>
      <c r="AE125" s="902">
        <f>'BS Drivers'!AE35</f>
        <v>366.3993673644456</v>
      </c>
      <c r="AF125" s="371">
        <f>'BS Drivers'!AF35</f>
        <v>346.10584034083035</v>
      </c>
      <c r="AG125" s="371">
        <f>'BS Drivers'!AG35</f>
        <v>355.47721158329205</v>
      </c>
      <c r="AH125" s="371">
        <f>'BS Drivers'!AH35</f>
        <v>360.25780473873766</v>
      </c>
      <c r="AI125" s="902">
        <f>'BS Drivers'!AI35</f>
        <v>387.29325248238382</v>
      </c>
      <c r="AK125" s="162">
        <f>+'3FS'!D122</f>
        <v>307</v>
      </c>
      <c r="AL125" s="162">
        <f>+'3FS'!E122</f>
        <v>602</v>
      </c>
      <c r="AM125" s="162">
        <f>+'3FS'!F122</f>
        <v>452</v>
      </c>
      <c r="AN125" s="162">
        <f>+'3FS'!G122</f>
        <v>1026</v>
      </c>
      <c r="AO125" s="162">
        <f>+'3FS'!H122</f>
        <v>898</v>
      </c>
      <c r="AP125" s="162">
        <f>+'3FS'!I122</f>
        <v>1192</v>
      </c>
      <c r="AQ125" s="554">
        <f t="shared" si="478"/>
        <v>1291.3993673644457</v>
      </c>
      <c r="AR125" s="554">
        <f t="shared" si="478"/>
        <v>1449.1341091452439</v>
      </c>
      <c r="AS125" s="371">
        <f>'BS Drivers'!AS35</f>
        <v>1523.3343439605942</v>
      </c>
    </row>
    <row r="126" spans="1:45" x14ac:dyDescent="0.2">
      <c r="B126" s="29" t="s">
        <v>87</v>
      </c>
      <c r="D126" s="371">
        <f>+'3FS'!K123</f>
        <v>35</v>
      </c>
      <c r="E126" s="371">
        <f>+'3FS'!L123</f>
        <v>28</v>
      </c>
      <c r="F126" s="371">
        <f>+'3FS'!M123</f>
        <v>28</v>
      </c>
      <c r="G126" s="902">
        <f>+'3FS'!N123</f>
        <v>39</v>
      </c>
      <c r="H126" s="371">
        <f>+'3FS'!O123</f>
        <v>25</v>
      </c>
      <c r="I126" s="162">
        <f>+'3FS'!P123</f>
        <v>30</v>
      </c>
      <c r="J126" s="162">
        <f>+'3FS'!Q123</f>
        <v>-18</v>
      </c>
      <c r="K126" s="863">
        <f>+'3FS'!R123</f>
        <v>-1</v>
      </c>
      <c r="L126" s="162">
        <f>+'3FS'!S123</f>
        <v>-18</v>
      </c>
      <c r="M126" s="162">
        <f>+'3FS'!T123</f>
        <v>-12</v>
      </c>
      <c r="N126" s="162">
        <f>+'3FS'!U123</f>
        <v>4</v>
      </c>
      <c r="O126" s="863">
        <f>+'3FS'!V123</f>
        <v>41</v>
      </c>
      <c r="P126" s="162">
        <f>+'3FS'!W123</f>
        <v>46</v>
      </c>
      <c r="Q126" s="162">
        <f>+'3FS'!X123</f>
        <v>62</v>
      </c>
      <c r="R126" s="162">
        <f>+'3FS'!Y123</f>
        <v>60</v>
      </c>
      <c r="S126" s="863">
        <f>+'3FS'!Z123</f>
        <v>46</v>
      </c>
      <c r="T126" s="162">
        <f>+'3FS'!AA123</f>
        <v>38</v>
      </c>
      <c r="U126" s="162">
        <f>+'3FS'!AB123</f>
        <v>51</v>
      </c>
      <c r="V126" s="162">
        <f>+'3FS'!AC123</f>
        <v>46</v>
      </c>
      <c r="W126" s="863">
        <f>+'3FS'!AD123</f>
        <v>30</v>
      </c>
      <c r="X126" s="162">
        <f>+'3FS'!AE123</f>
        <v>21</v>
      </c>
      <c r="Y126" s="162">
        <f>+'3FS'!AF123</f>
        <v>25</v>
      </c>
      <c r="Z126" s="162">
        <f>+'3FS'!AG123</f>
        <v>23</v>
      </c>
      <c r="AA126" s="863">
        <f>+'3FS'!AH123</f>
        <v>-7</v>
      </c>
      <c r="AB126" s="162">
        <f>+'3FS'!AI123</f>
        <v>22</v>
      </c>
      <c r="AC126" s="162">
        <f>+'3FS'!AJ123</f>
        <v>19</v>
      </c>
      <c r="AD126" s="162">
        <f>+'3FS'!AK123</f>
        <v>17</v>
      </c>
      <c r="AE126" s="1208"/>
      <c r="AF126" s="332"/>
      <c r="AG126" s="332"/>
      <c r="AH126" s="332"/>
      <c r="AI126" s="1208"/>
      <c r="AK126" s="162">
        <f>+'3FS'!D123</f>
        <v>130</v>
      </c>
      <c r="AL126" s="162">
        <f>+'3FS'!E123</f>
        <v>36</v>
      </c>
      <c r="AM126" s="162">
        <f>+'3FS'!F123</f>
        <v>15</v>
      </c>
      <c r="AN126" s="162">
        <f>+'3FS'!G123</f>
        <v>214</v>
      </c>
      <c r="AO126" s="162">
        <f>+'3FS'!H123</f>
        <v>165</v>
      </c>
      <c r="AP126" s="162">
        <f>+'3FS'!I123</f>
        <v>62</v>
      </c>
      <c r="AQ126" s="554">
        <f t="shared" si="478"/>
        <v>58</v>
      </c>
      <c r="AR126" s="554">
        <f t="shared" si="478"/>
        <v>0</v>
      </c>
      <c r="AS126" s="332"/>
    </row>
    <row r="127" spans="1:45" x14ac:dyDescent="0.2">
      <c r="B127" s="29" t="s">
        <v>377</v>
      </c>
      <c r="D127" s="371">
        <f>+'3FS'!K124</f>
        <v>0</v>
      </c>
      <c r="E127" s="371">
        <f>+'3FS'!L124</f>
        <v>19</v>
      </c>
      <c r="F127" s="371">
        <f>+'3FS'!M124</f>
        <v>0</v>
      </c>
      <c r="G127" s="902">
        <f>+'3FS'!N124</f>
        <v>0</v>
      </c>
      <c r="H127" s="371">
        <f>+'3FS'!O124</f>
        <v>0</v>
      </c>
      <c r="I127" s="162">
        <f>+'3FS'!P124</f>
        <v>163</v>
      </c>
      <c r="J127" s="162">
        <f>+'3FS'!Q124</f>
        <v>108</v>
      </c>
      <c r="K127" s="863">
        <f>+'3FS'!R124</f>
        <v>100</v>
      </c>
      <c r="L127" s="162">
        <f>+'3FS'!S124</f>
        <v>101</v>
      </c>
      <c r="M127" s="162">
        <f>+'3FS'!T124</f>
        <v>28</v>
      </c>
      <c r="N127" s="162">
        <f>+'3FS'!U124</f>
        <v>55</v>
      </c>
      <c r="O127" s="863">
        <f>+'3FS'!V124</f>
        <v>0</v>
      </c>
      <c r="P127" s="162">
        <f>+'3FS'!W124</f>
        <v>0</v>
      </c>
      <c r="Q127" s="162">
        <f>+'3FS'!X124</f>
        <v>0</v>
      </c>
      <c r="R127" s="162">
        <f>+'3FS'!Y124</f>
        <v>0</v>
      </c>
      <c r="S127" s="863">
        <f>+'3FS'!Z124</f>
        <v>0</v>
      </c>
      <c r="T127" s="162">
        <f>+'3FS'!AA124</f>
        <v>0</v>
      </c>
      <c r="U127" s="162">
        <f>+'3FS'!AB124</f>
        <v>0</v>
      </c>
      <c r="V127" s="162">
        <f>+'3FS'!AC124</f>
        <v>0</v>
      </c>
      <c r="W127" s="863">
        <f>+'3FS'!AD124</f>
        <v>0</v>
      </c>
      <c r="X127" s="162">
        <f>+'3FS'!AE124</f>
        <v>0</v>
      </c>
      <c r="Y127" s="162">
        <f>+'3FS'!AF124</f>
        <v>0</v>
      </c>
      <c r="Z127" s="162">
        <f>+'3FS'!AG124</f>
        <v>0</v>
      </c>
      <c r="AA127" s="863">
        <f>+'3FS'!AH124</f>
        <v>0</v>
      </c>
      <c r="AB127" s="162">
        <f>+'3FS'!AI124</f>
        <v>0</v>
      </c>
      <c r="AC127" s="162">
        <f>+'3FS'!AJ124</f>
        <v>0</v>
      </c>
      <c r="AD127" s="162">
        <f>+'3FS'!AK124</f>
        <v>0</v>
      </c>
      <c r="AE127" s="902"/>
      <c r="AF127" s="371"/>
      <c r="AG127" s="371"/>
      <c r="AH127" s="371"/>
      <c r="AI127" s="902"/>
      <c r="AK127" s="162">
        <f>+'3FS'!D124</f>
        <v>19</v>
      </c>
      <c r="AL127" s="162">
        <f>+'3FS'!E124</f>
        <v>371</v>
      </c>
      <c r="AM127" s="162">
        <f>+'3FS'!F124</f>
        <v>184</v>
      </c>
      <c r="AN127" s="162">
        <f>+'3FS'!G124</f>
        <v>0</v>
      </c>
      <c r="AO127" s="162">
        <f>+'3FS'!H124</f>
        <v>0</v>
      </c>
      <c r="AP127" s="162">
        <f>+'3FS'!I124</f>
        <v>0</v>
      </c>
      <c r="AQ127" s="554">
        <f t="shared" si="478"/>
        <v>0</v>
      </c>
      <c r="AR127" s="554">
        <f t="shared" si="478"/>
        <v>0</v>
      </c>
      <c r="AS127" s="371"/>
    </row>
    <row r="128" spans="1:45" x14ac:dyDescent="0.2">
      <c r="B128" s="29" t="s">
        <v>20</v>
      </c>
      <c r="D128" s="371">
        <f>+'3FS'!K125</f>
        <v>0</v>
      </c>
      <c r="E128" s="371">
        <f>+'3FS'!L125</f>
        <v>0</v>
      </c>
      <c r="F128" s="371">
        <f>+'3FS'!M125</f>
        <v>0</v>
      </c>
      <c r="G128" s="902">
        <f>+'3FS'!N125</f>
        <v>0</v>
      </c>
      <c r="H128" s="371">
        <f>+'3FS'!O125</f>
        <v>0</v>
      </c>
      <c r="I128" s="162">
        <f>+'3FS'!P125</f>
        <v>418</v>
      </c>
      <c r="J128" s="162">
        <f>+'3FS'!Q125</f>
        <v>0</v>
      </c>
      <c r="K128" s="863">
        <f>+'3FS'!R125</f>
        <v>0</v>
      </c>
      <c r="L128" s="162">
        <f>+'3FS'!S125</f>
        <v>0</v>
      </c>
      <c r="M128" s="162">
        <f>+'3FS'!T125</f>
        <v>0</v>
      </c>
      <c r="N128" s="162">
        <f>+'3FS'!U125</f>
        <v>0</v>
      </c>
      <c r="O128" s="863">
        <f>+'3FS'!V125</f>
        <v>0</v>
      </c>
      <c r="P128" s="162">
        <f>+'3FS'!W125</f>
        <v>0</v>
      </c>
      <c r="Q128" s="162">
        <f>+'3FS'!X125</f>
        <v>477</v>
      </c>
      <c r="R128" s="162">
        <f>+'3FS'!Y125</f>
        <v>0</v>
      </c>
      <c r="S128" s="863">
        <f>+'3FS'!Z125</f>
        <v>0</v>
      </c>
      <c r="T128" s="162">
        <f>+'3FS'!AA125</f>
        <v>0</v>
      </c>
      <c r="U128" s="162">
        <f>+'3FS'!AB125</f>
        <v>0</v>
      </c>
      <c r="V128" s="162">
        <f>+'3FS'!AC125</f>
        <v>0</v>
      </c>
      <c r="W128" s="863">
        <f>+'3FS'!AD125</f>
        <v>0</v>
      </c>
      <c r="X128" s="162">
        <f>+'3FS'!AE125</f>
        <v>0</v>
      </c>
      <c r="Y128" s="162">
        <f>+'3FS'!AF125</f>
        <v>0</v>
      </c>
      <c r="Z128" s="162">
        <f>+'3FS'!AG125</f>
        <v>0</v>
      </c>
      <c r="AA128" s="863">
        <f>+'3FS'!AH125</f>
        <v>0</v>
      </c>
      <c r="AB128" s="162">
        <f>+'3FS'!AI125</f>
        <v>0</v>
      </c>
      <c r="AC128" s="162">
        <f>+'3FS'!AJ125</f>
        <v>0</v>
      </c>
      <c r="AD128" s="162">
        <f>+'3FS'!AK125</f>
        <v>278</v>
      </c>
      <c r="AE128" s="902"/>
      <c r="AF128" s="371"/>
      <c r="AG128" s="371"/>
      <c r="AH128" s="371"/>
      <c r="AI128" s="902"/>
      <c r="AK128" s="162">
        <f>+'3FS'!D125</f>
        <v>0</v>
      </c>
      <c r="AL128" s="162">
        <f>+'3FS'!E125</f>
        <v>418</v>
      </c>
      <c r="AM128" s="162">
        <f>+'3FS'!F125</f>
        <v>0</v>
      </c>
      <c r="AN128" s="162">
        <f>+'3FS'!G125</f>
        <v>477</v>
      </c>
      <c r="AO128" s="162">
        <f>+'3FS'!H125</f>
        <v>0</v>
      </c>
      <c r="AP128" s="162">
        <f>+'3FS'!I125</f>
        <v>0</v>
      </c>
      <c r="AQ128" s="554">
        <f t="shared" si="478"/>
        <v>278</v>
      </c>
      <c r="AR128" s="554">
        <f t="shared" si="478"/>
        <v>0</v>
      </c>
      <c r="AS128" s="371"/>
    </row>
    <row r="129" spans="2:45" x14ac:dyDescent="0.2">
      <c r="B129" s="138" t="s">
        <v>88</v>
      </c>
      <c r="D129" s="371">
        <f>+'3FS'!K126</f>
        <v>0</v>
      </c>
      <c r="E129" s="371">
        <f>+'3FS'!L126</f>
        <v>0</v>
      </c>
      <c r="F129" s="371">
        <f>+'3FS'!M126</f>
        <v>0</v>
      </c>
      <c r="G129" s="902">
        <f>+'3FS'!N126</f>
        <v>0</v>
      </c>
      <c r="H129" s="371">
        <f>+'3FS'!O126</f>
        <v>0</v>
      </c>
      <c r="I129" s="162">
        <f>+'3FS'!P126</f>
        <v>0</v>
      </c>
      <c r="J129" s="162">
        <f>+'3FS'!Q126</f>
        <v>0</v>
      </c>
      <c r="K129" s="863">
        <f>+'3FS'!R126</f>
        <v>0</v>
      </c>
      <c r="L129" s="162">
        <f>+'3FS'!S126</f>
        <v>0</v>
      </c>
      <c r="M129" s="162">
        <f>+'3FS'!T126</f>
        <v>0</v>
      </c>
      <c r="N129" s="162">
        <f>+'3FS'!U126</f>
        <v>0</v>
      </c>
      <c r="O129" s="863">
        <f>+'3FS'!V126</f>
        <v>0</v>
      </c>
      <c r="P129" s="162">
        <f>+'3FS'!W126</f>
        <v>0</v>
      </c>
      <c r="Q129" s="162">
        <f>+'3FS'!X126</f>
        <v>0</v>
      </c>
      <c r="R129" s="162">
        <f>+'3FS'!Y126</f>
        <v>371</v>
      </c>
      <c r="S129" s="863">
        <f>+'3FS'!Z126</f>
        <v>6</v>
      </c>
      <c r="T129" s="162">
        <f>+'3FS'!AA126</f>
        <v>-13</v>
      </c>
      <c r="U129" s="162">
        <f>+'3FS'!AB126</f>
        <v>22</v>
      </c>
      <c r="V129" s="162">
        <f>+'3FS'!AC126</f>
        <v>0</v>
      </c>
      <c r="W129" s="863">
        <f>+'3FS'!AD126</f>
        <v>0</v>
      </c>
      <c r="X129" s="162">
        <f>+'3FS'!AE126</f>
        <v>0</v>
      </c>
      <c r="Y129" s="162">
        <f>+'3FS'!AF126</f>
        <v>0</v>
      </c>
      <c r="Z129" s="162">
        <f>+'3FS'!AG126</f>
        <v>0</v>
      </c>
      <c r="AA129" s="863">
        <f>+'3FS'!AH126</f>
        <v>0</v>
      </c>
      <c r="AB129" s="162">
        <f>+'3FS'!AI126</f>
        <v>0</v>
      </c>
      <c r="AC129" s="162">
        <f>+'3FS'!AJ126</f>
        <v>0</v>
      </c>
      <c r="AD129" s="162">
        <f>+'3FS'!AK126</f>
        <v>0</v>
      </c>
      <c r="AE129" s="902"/>
      <c r="AF129" s="371"/>
      <c r="AG129" s="371"/>
      <c r="AH129" s="371"/>
      <c r="AI129" s="902"/>
      <c r="AK129" s="162">
        <f>+'3FS'!D126</f>
        <v>0</v>
      </c>
      <c r="AL129" s="162">
        <f>+'3FS'!E126</f>
        <v>0</v>
      </c>
      <c r="AM129" s="162">
        <f>+'3FS'!F126</f>
        <v>0</v>
      </c>
      <c r="AN129" s="162">
        <f>+'3FS'!G126</f>
        <v>377</v>
      </c>
      <c r="AO129" s="162">
        <f>+'3FS'!H126</f>
        <v>9</v>
      </c>
      <c r="AP129" s="162">
        <f>+'3FS'!I126</f>
        <v>0</v>
      </c>
      <c r="AQ129" s="554">
        <f t="shared" si="478"/>
        <v>0</v>
      </c>
      <c r="AR129" s="554">
        <f t="shared" si="478"/>
        <v>0</v>
      </c>
      <c r="AS129" s="371"/>
    </row>
    <row r="130" spans="2:45" x14ac:dyDescent="0.2">
      <c r="B130" s="29" t="s">
        <v>89</v>
      </c>
      <c r="D130" s="370"/>
      <c r="E130" s="370"/>
      <c r="F130" s="370"/>
      <c r="G130" s="913"/>
      <c r="H130" s="370"/>
      <c r="K130" s="595"/>
      <c r="O130" s="595"/>
      <c r="S130" s="595"/>
      <c r="W130" s="595"/>
      <c r="AA130" s="595"/>
      <c r="AE130" s="913"/>
      <c r="AF130" s="370"/>
      <c r="AG130" s="370"/>
      <c r="AH130" s="370"/>
      <c r="AI130" s="913"/>
      <c r="AQ130" s="554"/>
      <c r="AR130" s="554"/>
      <c r="AS130" s="370"/>
    </row>
    <row r="131" spans="2:45" x14ac:dyDescent="0.2">
      <c r="B131" s="26" t="s">
        <v>90</v>
      </c>
      <c r="D131" s="371">
        <f>+'3FS'!K128</f>
        <v>-1143</v>
      </c>
      <c r="E131" s="371">
        <f>+'3FS'!L128</f>
        <v>-805</v>
      </c>
      <c r="F131" s="371">
        <f>+'3FS'!M128</f>
        <v>-745</v>
      </c>
      <c r="G131" s="902">
        <f>+'3FS'!N128</f>
        <v>-1016</v>
      </c>
      <c r="H131" s="371">
        <f>+'3FS'!O128</f>
        <v>-748</v>
      </c>
      <c r="I131" s="162">
        <f>+'3FS'!P128</f>
        <v>-498</v>
      </c>
      <c r="J131" s="162">
        <f>+'3FS'!Q128</f>
        <v>-1538</v>
      </c>
      <c r="K131" s="863">
        <f>+'3FS'!R128</f>
        <v>-489</v>
      </c>
      <c r="L131" s="162">
        <f>+'3FS'!S128</f>
        <v>96</v>
      </c>
      <c r="M131" s="162">
        <f>+'3FS'!T128</f>
        <v>-1839</v>
      </c>
      <c r="N131" s="162">
        <f>+'3FS'!U128</f>
        <v>-454</v>
      </c>
      <c r="O131" s="863">
        <f>+'3FS'!V128</f>
        <v>-1028</v>
      </c>
      <c r="P131" s="162">
        <f>+'3FS'!W128</f>
        <v>-984</v>
      </c>
      <c r="Q131" s="162">
        <f>+'3FS'!X128</f>
        <v>-1573</v>
      </c>
      <c r="R131" s="162">
        <f>+'3FS'!Y128</f>
        <v>-1224</v>
      </c>
      <c r="S131" s="863">
        <f>+'3FS'!Z128</f>
        <v>-1377</v>
      </c>
      <c r="T131" s="162">
        <f>+'3FS'!AA128</f>
        <v>-1268</v>
      </c>
      <c r="U131" s="162">
        <f>+'3FS'!AB128</f>
        <v>-1514</v>
      </c>
      <c r="V131" s="162">
        <f>+'3FS'!AC128</f>
        <v>-1046</v>
      </c>
      <c r="W131" s="863">
        <f>+'3FS'!AD128</f>
        <v>-1210</v>
      </c>
      <c r="X131" s="162">
        <f>+'3FS'!AE128</f>
        <v>-416</v>
      </c>
      <c r="Y131" s="162">
        <f>+'3FS'!AF128</f>
        <v>-1286</v>
      </c>
      <c r="Z131" s="162">
        <f>+'3FS'!AG128</f>
        <v>-734</v>
      </c>
      <c r="AA131" s="863">
        <f>+'3FS'!AH128</f>
        <v>-652</v>
      </c>
      <c r="AB131" s="162">
        <f>+'3FS'!AI128</f>
        <v>-93</v>
      </c>
      <c r="AC131" s="162">
        <f>+'3FS'!AJ128</f>
        <v>-338</v>
      </c>
      <c r="AD131" s="162">
        <f>+'3FS'!AK128</f>
        <v>-366</v>
      </c>
      <c r="AE131" s="901">
        <f t="shared" ref="AE131:AI131" si="479">+AD70-AE70-0.5*AE125</f>
        <v>-195.24734327567157</v>
      </c>
      <c r="AF131" s="554">
        <f t="shared" si="479"/>
        <v>-321.69807445416097</v>
      </c>
      <c r="AG131" s="554">
        <f t="shared" si="479"/>
        <v>-442.29921954889096</v>
      </c>
      <c r="AH131" s="554">
        <f t="shared" si="479"/>
        <v>-691.6998880802638</v>
      </c>
      <c r="AI131" s="901">
        <f t="shared" si="479"/>
        <v>-167.34181358194527</v>
      </c>
      <c r="AK131" s="162">
        <f>+'3FS'!D128</f>
        <v>-3709</v>
      </c>
      <c r="AL131" s="162">
        <f>+'3FS'!E128</f>
        <v>-3273</v>
      </c>
      <c r="AM131" s="162">
        <f>+'3FS'!F128</f>
        <v>-3225</v>
      </c>
      <c r="AN131" s="162">
        <f>+'3FS'!G128</f>
        <v>-5158</v>
      </c>
      <c r="AO131" s="162">
        <f>+'3FS'!H128</f>
        <v>-5038</v>
      </c>
      <c r="AP131" s="162">
        <f>+'3FS'!I128</f>
        <v>-3088</v>
      </c>
      <c r="AQ131" s="554">
        <f t="shared" si="478"/>
        <v>-992.2473432756716</v>
      </c>
      <c r="AR131" s="554">
        <f t="shared" si="478"/>
        <v>-1623.0389956652609</v>
      </c>
      <c r="AS131" s="554">
        <f>+AR70-AS70-0.5*AS125</f>
        <v>-1340.5281772667659</v>
      </c>
    </row>
    <row r="132" spans="2:45" x14ac:dyDescent="0.2">
      <c r="B132" s="26" t="s">
        <v>91</v>
      </c>
      <c r="D132" s="371">
        <f>+'3FS'!K129</f>
        <v>-250</v>
      </c>
      <c r="E132" s="371">
        <f>+'3FS'!L129</f>
        <v>-150</v>
      </c>
      <c r="F132" s="371">
        <f>+'3FS'!M129</f>
        <v>-78</v>
      </c>
      <c r="G132" s="902">
        <f>+'3FS'!N129</f>
        <v>-537</v>
      </c>
      <c r="H132" s="371">
        <f>+'3FS'!O129</f>
        <v>69</v>
      </c>
      <c r="I132" s="162">
        <f>+'3FS'!P129</f>
        <v>127</v>
      </c>
      <c r="J132" s="162">
        <f>+'3FS'!Q129</f>
        <v>-306</v>
      </c>
      <c r="K132" s="863">
        <f>+'3FS'!R129</f>
        <v>-1343</v>
      </c>
      <c r="L132" s="162">
        <f>+'3FS'!S129</f>
        <v>-727</v>
      </c>
      <c r="M132" s="162">
        <f>+'3FS'!T129</f>
        <v>-568</v>
      </c>
      <c r="N132" s="162">
        <f>+'3FS'!U129</f>
        <v>-530</v>
      </c>
      <c r="O132" s="863">
        <f>+'3FS'!V129</f>
        <v>-1316</v>
      </c>
      <c r="P132" s="162">
        <f>+'3FS'!W129</f>
        <v>-535</v>
      </c>
      <c r="Q132" s="162">
        <f>+'3FS'!X129</f>
        <v>-189</v>
      </c>
      <c r="R132" s="162">
        <f>+'3FS'!Y129</f>
        <v>-77</v>
      </c>
      <c r="S132" s="863">
        <f>+'3FS'!Z129</f>
        <v>-383</v>
      </c>
      <c r="T132" s="162">
        <f>+'3FS'!AA129</f>
        <v>152</v>
      </c>
      <c r="U132" s="162">
        <f>+'3FS'!AB129</f>
        <v>246</v>
      </c>
      <c r="V132" s="162">
        <f>+'3FS'!AC129</f>
        <v>165</v>
      </c>
      <c r="W132" s="863">
        <f>+'3FS'!AD129</f>
        <v>-393</v>
      </c>
      <c r="X132" s="162">
        <f>+'3FS'!AE129</f>
        <v>277</v>
      </c>
      <c r="Y132" s="162">
        <f>+'3FS'!AF129</f>
        <v>155</v>
      </c>
      <c r="Z132" s="162">
        <f>+'3FS'!AG129</f>
        <v>-72</v>
      </c>
      <c r="AA132" s="863">
        <f>+'3FS'!AH129</f>
        <v>-883</v>
      </c>
      <c r="AB132" s="162">
        <f>+'3FS'!AI129</f>
        <v>24</v>
      </c>
      <c r="AC132" s="162">
        <f>+'3FS'!AJ129</f>
        <v>65</v>
      </c>
      <c r="AD132" s="162">
        <f>+'3FS'!AK129</f>
        <v>44</v>
      </c>
      <c r="AE132" s="901">
        <f t="shared" ref="AE132:AI132" si="480">+AD71+AD82-AE71-AE82-0.5*AE125</f>
        <v>-345.67713374450807</v>
      </c>
      <c r="AF132" s="554">
        <f t="shared" si="480"/>
        <v>-195.54551609756652</v>
      </c>
      <c r="AG132" s="554">
        <f t="shared" si="480"/>
        <v>-333.85456540560563</v>
      </c>
      <c r="AH132" s="554">
        <f t="shared" si="480"/>
        <v>-285.07242328316249</v>
      </c>
      <c r="AI132" s="901">
        <f t="shared" si="480"/>
        <v>-314.28313939522843</v>
      </c>
      <c r="AK132" s="162">
        <f>+'3FS'!D129</f>
        <v>-1015</v>
      </c>
      <c r="AL132" s="162">
        <f>+'3FS'!E129</f>
        <v>-1453</v>
      </c>
      <c r="AM132" s="162">
        <f>+'3FS'!F129</f>
        <v>-3141</v>
      </c>
      <c r="AN132" s="162">
        <f>+'3FS'!G129</f>
        <v>-1184</v>
      </c>
      <c r="AO132" s="162">
        <f>+'3FS'!H129</f>
        <v>170</v>
      </c>
      <c r="AP132" s="162">
        <f>+'3FS'!I129</f>
        <v>-523</v>
      </c>
      <c r="AQ132" s="554">
        <f t="shared" si="478"/>
        <v>-212.67713374450807</v>
      </c>
      <c r="AR132" s="554">
        <f t="shared" si="478"/>
        <v>-1128.7556441815632</v>
      </c>
      <c r="AS132" s="554">
        <f t="shared" ref="AS132" si="481">+AR71+AR82-AS71-AS82-0.5*AS125</f>
        <v>-1006.1579797626155</v>
      </c>
    </row>
    <row r="133" spans="2:45" x14ac:dyDescent="0.2">
      <c r="B133" s="26" t="s">
        <v>40</v>
      </c>
      <c r="D133" s="371">
        <f>+'3FS'!K130</f>
        <v>-265</v>
      </c>
      <c r="E133" s="371">
        <f>+'3FS'!L130</f>
        <v>162</v>
      </c>
      <c r="F133" s="371">
        <f>+'3FS'!M130</f>
        <v>-36</v>
      </c>
      <c r="G133" s="902">
        <f>+'3FS'!N130</f>
        <v>-478</v>
      </c>
      <c r="H133" s="371">
        <f>+'3FS'!O130</f>
        <v>-511</v>
      </c>
      <c r="I133" s="162">
        <f>+'3FS'!P130</f>
        <v>-553</v>
      </c>
      <c r="J133" s="162">
        <f>+'3FS'!Q130</f>
        <v>-549</v>
      </c>
      <c r="K133" s="863">
        <f>+'3FS'!R130</f>
        <v>-609</v>
      </c>
      <c r="L133" s="162">
        <f>+'3FS'!S130</f>
        <v>279</v>
      </c>
      <c r="M133" s="162">
        <f>+'3FS'!T130</f>
        <v>584</v>
      </c>
      <c r="N133" s="162">
        <f>+'3FS'!U130</f>
        <v>41</v>
      </c>
      <c r="O133" s="863">
        <f>+'3FS'!V130</f>
        <v>-703</v>
      </c>
      <c r="P133" s="162">
        <f>+'3FS'!W130</f>
        <v>-93</v>
      </c>
      <c r="Q133" s="162">
        <f>+'3FS'!X130</f>
        <v>484</v>
      </c>
      <c r="R133" s="162">
        <f>+'3FS'!Y130</f>
        <v>-7</v>
      </c>
      <c r="S133" s="863">
        <f>+'3FS'!Z130</f>
        <v>360</v>
      </c>
      <c r="T133" s="162">
        <f>+'3FS'!AA130</f>
        <v>129</v>
      </c>
      <c r="U133" s="162">
        <f>+'3FS'!AB130</f>
        <v>362</v>
      </c>
      <c r="V133" s="162">
        <f>+'3FS'!AC130</f>
        <v>-309</v>
      </c>
      <c r="W133" s="863">
        <f>+'3FS'!AD130</f>
        <v>15</v>
      </c>
      <c r="X133" s="162">
        <f>+'3FS'!AE130</f>
        <v>170</v>
      </c>
      <c r="Y133" s="162">
        <f>+'3FS'!AF130</f>
        <v>221</v>
      </c>
      <c r="Z133" s="162">
        <f>+'3FS'!AG130</f>
        <v>-448</v>
      </c>
      <c r="AA133" s="863">
        <f>+'3FS'!AH130</f>
        <v>188</v>
      </c>
      <c r="AB133" s="162">
        <f>+'3FS'!AI130</f>
        <v>-318</v>
      </c>
      <c r="AC133" s="162">
        <f>+'3FS'!AJ130</f>
        <v>264</v>
      </c>
      <c r="AD133" s="162">
        <f>+'3FS'!AK130</f>
        <v>-537</v>
      </c>
      <c r="AE133" s="901">
        <f t="shared" ref="AE133:AI133" si="482">+AD72-AE72</f>
        <v>228.80463028509394</v>
      </c>
      <c r="AF133" s="554">
        <f t="shared" si="482"/>
        <v>-40.565284579849504</v>
      </c>
      <c r="AG133" s="554">
        <f t="shared" si="482"/>
        <v>-49.451685387115958</v>
      </c>
      <c r="AH133" s="554">
        <f t="shared" si="482"/>
        <v>-36.935053574022277</v>
      </c>
      <c r="AI133" s="901">
        <f t="shared" si="482"/>
        <v>-33.180980529739372</v>
      </c>
      <c r="AK133" s="162">
        <f>+'3FS'!D130</f>
        <v>-617</v>
      </c>
      <c r="AL133" s="162">
        <f>+'3FS'!E130</f>
        <v>-2222</v>
      </c>
      <c r="AM133" s="162">
        <f>+'3FS'!F130</f>
        <v>201</v>
      </c>
      <c r="AN133" s="162">
        <f>+'3FS'!G130</f>
        <v>744</v>
      </c>
      <c r="AO133" s="162">
        <f>+'3FS'!H130</f>
        <v>197</v>
      </c>
      <c r="AP133" s="162">
        <f>+'3FS'!I130</f>
        <v>131</v>
      </c>
      <c r="AQ133" s="554">
        <f t="shared" si="478"/>
        <v>-362.19536971490606</v>
      </c>
      <c r="AR133" s="554">
        <f t="shared" si="478"/>
        <v>-160.13300407072711</v>
      </c>
      <c r="AS133" s="554">
        <f t="shared" ref="AS133" si="483">+AR72-AS72</f>
        <v>-117.83526772607865</v>
      </c>
    </row>
    <row r="134" spans="2:45" x14ac:dyDescent="0.2">
      <c r="B134" s="26" t="s">
        <v>45</v>
      </c>
      <c r="D134" s="371">
        <f>+'3FS'!K131</f>
        <v>435</v>
      </c>
      <c r="E134" s="371">
        <f>+'3FS'!L131</f>
        <v>469</v>
      </c>
      <c r="F134" s="371">
        <f>+'3FS'!M131</f>
        <v>491</v>
      </c>
      <c r="G134" s="902">
        <f>+'3FS'!N131</f>
        <v>501</v>
      </c>
      <c r="H134" s="371">
        <f>+'3FS'!O131</f>
        <v>527</v>
      </c>
      <c r="I134" s="162">
        <f>+'3FS'!P131</f>
        <v>937</v>
      </c>
      <c r="J134" s="162">
        <f>+'3FS'!Q131</f>
        <v>1062</v>
      </c>
      <c r="K134" s="863">
        <f>+'3FS'!R131</f>
        <v>939</v>
      </c>
      <c r="L134" s="162">
        <f>+'3FS'!S131</f>
        <v>1124</v>
      </c>
      <c r="M134" s="162">
        <f>+'3FS'!T131</f>
        <v>1272</v>
      </c>
      <c r="N134" s="162">
        <f>+'3FS'!U131</f>
        <v>1334</v>
      </c>
      <c r="O134" s="863">
        <f>+'3FS'!V131</f>
        <v>1234</v>
      </c>
      <c r="P134" s="162">
        <f>+'3FS'!W131</f>
        <v>1469</v>
      </c>
      <c r="Q134" s="162">
        <f>+'3FS'!X131</f>
        <v>1693</v>
      </c>
      <c r="R134" s="162">
        <f>+'3FS'!Y131</f>
        <v>1113</v>
      </c>
      <c r="S134" s="863">
        <f>+'3FS'!Z131</f>
        <v>952</v>
      </c>
      <c r="T134" s="162">
        <f>+'3FS'!AA131</f>
        <v>1008</v>
      </c>
      <c r="U134" s="162">
        <f>+'3FS'!AB131</f>
        <v>929</v>
      </c>
      <c r="V134" s="162">
        <f>+'3FS'!AC131</f>
        <v>886</v>
      </c>
      <c r="W134" s="863">
        <f>+'3FS'!AD131</f>
        <v>898</v>
      </c>
      <c r="X134" s="162">
        <f>+'3FS'!AE131</f>
        <v>856</v>
      </c>
      <c r="Y134" s="162">
        <f>+'3FS'!AF131</f>
        <v>872</v>
      </c>
      <c r="Z134" s="162">
        <f>+'3FS'!AG131</f>
        <v>877</v>
      </c>
      <c r="AA134" s="863">
        <f>+'3FS'!AH131</f>
        <v>875</v>
      </c>
      <c r="AB134" s="162">
        <f>+'3FS'!AI131</f>
        <v>855</v>
      </c>
      <c r="AC134" s="162">
        <f>+'3FS'!AJ131</f>
        <v>883</v>
      </c>
      <c r="AD134" s="162">
        <f>+'3FS'!AK131</f>
        <v>929</v>
      </c>
      <c r="AE134" s="901">
        <f t="shared" ref="AE134:AI134" si="484">+AD77-AE77</f>
        <v>-899.96961777623801</v>
      </c>
      <c r="AF134" s="554">
        <f t="shared" si="484"/>
        <v>1168.3621084093356</v>
      </c>
      <c r="AG134" s="554">
        <f t="shared" si="484"/>
        <v>1212.2209448811846</v>
      </c>
      <c r="AH134" s="554">
        <f t="shared" si="484"/>
        <v>-1430.7202067715225</v>
      </c>
      <c r="AI134" s="901">
        <f t="shared" si="484"/>
        <v>-976.75902721832608</v>
      </c>
      <c r="AK134" s="162">
        <f>+'3FS'!D131</f>
        <v>1896</v>
      </c>
      <c r="AL134" s="162">
        <f>+'3FS'!E131</f>
        <v>3465</v>
      </c>
      <c r="AM134" s="162">
        <f>+'3FS'!F131</f>
        <v>4964</v>
      </c>
      <c r="AN134" s="162">
        <f>+'3FS'!G131</f>
        <v>5227</v>
      </c>
      <c r="AO134" s="162">
        <f>+'3FS'!H131</f>
        <v>3721</v>
      </c>
      <c r="AP134" s="162">
        <f>+'3FS'!I131</f>
        <v>3480</v>
      </c>
      <c r="AQ134" s="554">
        <f t="shared" si="478"/>
        <v>1767.030382223762</v>
      </c>
      <c r="AR134" s="554">
        <f t="shared" si="478"/>
        <v>-26.896180699328397</v>
      </c>
      <c r="AS134" s="554">
        <f t="shared" ref="AS134" si="485">+AR77-AS77</f>
        <v>707.20832340418929</v>
      </c>
    </row>
    <row r="135" spans="2:45" x14ac:dyDescent="0.2">
      <c r="B135" s="26" t="s">
        <v>92</v>
      </c>
      <c r="D135" s="371">
        <f>+'3FS'!K132</f>
        <v>-87</v>
      </c>
      <c r="E135" s="371">
        <f>+'3FS'!L132</f>
        <v>-83</v>
      </c>
      <c r="F135" s="371">
        <f>+'3FS'!M132</f>
        <v>-118</v>
      </c>
      <c r="G135" s="902">
        <f>+'3FS'!N132</f>
        <v>144</v>
      </c>
      <c r="H135" s="371">
        <f>+'3FS'!O132</f>
        <v>6</v>
      </c>
      <c r="I135" s="162">
        <f>+'3FS'!P132</f>
        <v>-104</v>
      </c>
      <c r="J135" s="162">
        <f>+'3FS'!Q132</f>
        <v>-8</v>
      </c>
      <c r="K135" s="863">
        <f>+'3FS'!R132</f>
        <v>-296</v>
      </c>
      <c r="L135" s="162">
        <f>+'3FS'!S132</f>
        <v>54</v>
      </c>
      <c r="M135" s="162">
        <f>+'3FS'!T132</f>
        <v>-154</v>
      </c>
      <c r="N135" s="162">
        <f>+'3FS'!U132</f>
        <v>-88</v>
      </c>
      <c r="O135" s="863">
        <f>+'3FS'!V132</f>
        <v>-385</v>
      </c>
      <c r="P135" s="162">
        <f>+'3FS'!W132</f>
        <v>-4</v>
      </c>
      <c r="Q135" s="162">
        <f>+'3FS'!X132</f>
        <v>-112</v>
      </c>
      <c r="R135" s="162">
        <f>+'3FS'!Y132</f>
        <v>-334</v>
      </c>
      <c r="S135" s="863">
        <f>+'3FS'!Z132</f>
        <v>-304</v>
      </c>
      <c r="T135" s="162">
        <f>+'3FS'!AA132</f>
        <v>-142</v>
      </c>
      <c r="U135" s="162">
        <f>+'3FS'!AB132</f>
        <v>354</v>
      </c>
      <c r="V135" s="162">
        <f>+'3FS'!AC132</f>
        <v>-135</v>
      </c>
      <c r="W135" s="863">
        <f>+'3FS'!AD132</f>
        <v>-435</v>
      </c>
      <c r="X135" s="162">
        <f>+'3FS'!AE132</f>
        <v>160</v>
      </c>
      <c r="Y135" s="162">
        <f>+'3FS'!AF132</f>
        <v>-416</v>
      </c>
      <c r="Z135" s="162">
        <f>+'3FS'!AG132</f>
        <v>-19</v>
      </c>
      <c r="AA135" s="863">
        <f>+'3FS'!AH132</f>
        <v>-136</v>
      </c>
      <c r="AB135" s="162">
        <f>+'3FS'!AI132</f>
        <v>10</v>
      </c>
      <c r="AC135" s="162">
        <f>+'3FS'!AJ132</f>
        <v>-671</v>
      </c>
      <c r="AD135" s="162">
        <f>+'3FS'!AK132</f>
        <v>-322</v>
      </c>
      <c r="AE135" s="901">
        <f t="shared" ref="AE135:AI135" si="486">SUM(AD73,AD74,AD83,AD78)-SUM(AE73,AE74,AE83,AE78)</f>
        <v>-33.392666901127086</v>
      </c>
      <c r="AF135" s="554">
        <f t="shared" si="486"/>
        <v>-35.737589267911972</v>
      </c>
      <c r="AG135" s="554">
        <f t="shared" si="486"/>
        <v>-48.066232171768206</v>
      </c>
      <c r="AH135" s="554">
        <f t="shared" si="486"/>
        <v>-45.450591162174533</v>
      </c>
      <c r="AI135" s="901">
        <f t="shared" si="486"/>
        <v>-46.28336902628871</v>
      </c>
      <c r="AK135" s="162">
        <f>+'3FS'!D132</f>
        <v>-144</v>
      </c>
      <c r="AL135" s="162">
        <f>+'3FS'!E132</f>
        <v>-402</v>
      </c>
      <c r="AM135" s="162">
        <f>+'3FS'!F132</f>
        <v>-573</v>
      </c>
      <c r="AN135" s="162">
        <f>+'3FS'!G132</f>
        <v>-754</v>
      </c>
      <c r="AO135" s="162">
        <f>+'3FS'!H132</f>
        <v>-358</v>
      </c>
      <c r="AP135" s="162">
        <f>+'3FS'!I132</f>
        <v>-411</v>
      </c>
      <c r="AQ135" s="554">
        <f>SUMIFS($F135:$AI135,$F$3:$AI$3,AQ$3)</f>
        <v>-1016.3926669011271</v>
      </c>
      <c r="AR135" s="554">
        <f>SUMIFS($F135:$AI135,$F$3:$AI$3,AR$3)</f>
        <v>-175.53778162814342</v>
      </c>
      <c r="AS135" s="554">
        <f>SUM(AR73,AR74,AR83,AR78)-SUM(AS73,AS74,AS83,AS78)</f>
        <v>-191.49652441517173</v>
      </c>
    </row>
    <row r="136" spans="2:45" x14ac:dyDescent="0.2">
      <c r="B136" s="26" t="s">
        <v>54</v>
      </c>
      <c r="D136" s="371">
        <f>+'3FS'!K133</f>
        <v>13</v>
      </c>
      <c r="E136" s="371">
        <f>+'3FS'!L133</f>
        <v>43</v>
      </c>
      <c r="F136" s="371">
        <f>+'3FS'!M133</f>
        <v>-395</v>
      </c>
      <c r="G136" s="902">
        <f>+'3FS'!N133</f>
        <v>356</v>
      </c>
      <c r="H136" s="371">
        <f>+'3FS'!O133</f>
        <v>-405</v>
      </c>
      <c r="I136" s="162">
        <f>+'3FS'!P133</f>
        <v>-1261</v>
      </c>
      <c r="J136" s="162">
        <f>+'3FS'!Q133</f>
        <v>-964</v>
      </c>
      <c r="K136" s="863">
        <f>+'3FS'!R133</f>
        <v>507</v>
      </c>
      <c r="L136" s="162">
        <f>+'3FS'!S133</f>
        <v>-1384</v>
      </c>
      <c r="M136" s="162">
        <f>+'3FS'!T133</f>
        <v>28</v>
      </c>
      <c r="N136" s="162">
        <f>+'3FS'!U133</f>
        <v>111</v>
      </c>
      <c r="O136" s="863">
        <f>+'3FS'!V133</f>
        <v>1794</v>
      </c>
      <c r="P136" s="162">
        <f>+'3FS'!W133</f>
        <v>-59</v>
      </c>
      <c r="Q136" s="162">
        <f>+'3FS'!X133</f>
        <v>36</v>
      </c>
      <c r="R136" s="162">
        <f>+'3FS'!Y133</f>
        <v>342</v>
      </c>
      <c r="S136" s="863">
        <f>+'3FS'!Z133</f>
        <v>239</v>
      </c>
      <c r="T136" s="162">
        <f>+'3FS'!AA133</f>
        <v>-882</v>
      </c>
      <c r="U136" s="162">
        <f>+'3FS'!AB133</f>
        <v>-864</v>
      </c>
      <c r="V136" s="162">
        <f>+'3FS'!AC133</f>
        <v>208</v>
      </c>
      <c r="W136" s="863">
        <f>+'3FS'!AD133</f>
        <v>412</v>
      </c>
      <c r="X136" s="162">
        <f>+'3FS'!AE133</f>
        <v>-1734</v>
      </c>
      <c r="Y136" s="162">
        <f>+'3FS'!AF133</f>
        <v>38</v>
      </c>
      <c r="Z136" s="162">
        <f>+'3FS'!AG133</f>
        <v>-165</v>
      </c>
      <c r="AA136" s="863">
        <f>+'3FS'!AH133</f>
        <v>-180</v>
      </c>
      <c r="AB136" s="162">
        <f>+'3FS'!AI133</f>
        <v>-268</v>
      </c>
      <c r="AC136" s="162">
        <f>+'3FS'!AJ133</f>
        <v>107</v>
      </c>
      <c r="AD136" s="162">
        <f>+'3FS'!AK133</f>
        <v>890</v>
      </c>
      <c r="AE136" s="901">
        <f t="shared" ref="AE136:AI136" si="487">AE87-AD87</f>
        <v>-781.70063835295514</v>
      </c>
      <c r="AF136" s="554">
        <f t="shared" si="487"/>
        <v>-840.72106536600313</v>
      </c>
      <c r="AG136" s="554">
        <f t="shared" si="487"/>
        <v>174.15541215442863</v>
      </c>
      <c r="AH136" s="554">
        <f t="shared" si="487"/>
        <v>1455.4040244913713</v>
      </c>
      <c r="AI136" s="901">
        <f t="shared" si="487"/>
        <v>-159.78478094905222</v>
      </c>
      <c r="AK136" s="162">
        <f>+'3FS'!D133</f>
        <v>17</v>
      </c>
      <c r="AL136" s="162">
        <f>+'3FS'!E133</f>
        <v>-2123</v>
      </c>
      <c r="AM136" s="162">
        <f>+'3FS'!F133</f>
        <v>549</v>
      </c>
      <c r="AN136" s="162">
        <f>+'3FS'!G133</f>
        <v>558</v>
      </c>
      <c r="AO136" s="162">
        <f>+'3FS'!H133</f>
        <v>-1126</v>
      </c>
      <c r="AP136" s="162">
        <f>+'3FS'!I133</f>
        <v>-2041</v>
      </c>
      <c r="AQ136" s="554">
        <f t="shared" si="478"/>
        <v>-52.700638352955139</v>
      </c>
      <c r="AR136" s="554">
        <f t="shared" si="478"/>
        <v>629.05359033074456</v>
      </c>
      <c r="AS136" s="554">
        <f t="shared" ref="AS136" si="488">AS87-AR87</f>
        <v>462.89457105254223</v>
      </c>
    </row>
    <row r="137" spans="2:45" x14ac:dyDescent="0.2">
      <c r="B137" s="168" t="s">
        <v>93</v>
      </c>
      <c r="D137" s="371">
        <f>+'3FS'!K134</f>
        <v>-522</v>
      </c>
      <c r="E137" s="371">
        <f>+'3FS'!L134</f>
        <v>-521</v>
      </c>
      <c r="F137" s="371">
        <f>+'3FS'!M134</f>
        <v>-549</v>
      </c>
      <c r="G137" s="902">
        <f>+'3FS'!N134</f>
        <v>-539</v>
      </c>
      <c r="H137" s="371">
        <f>+'3FS'!O134</f>
        <v>-725</v>
      </c>
      <c r="I137" s="162">
        <f>+'3FS'!P134</f>
        <v>-1077</v>
      </c>
      <c r="J137" s="162">
        <f>+'3FS'!Q134</f>
        <v>-1145</v>
      </c>
      <c r="K137" s="863">
        <f>+'3FS'!R134</f>
        <v>-752</v>
      </c>
      <c r="L137" s="162">
        <f>+'3FS'!S134</f>
        <v>-1369</v>
      </c>
      <c r="M137" s="162">
        <f>+'3FS'!T134</f>
        <v>-996</v>
      </c>
      <c r="N137" s="162">
        <f>+'3FS'!U134</f>
        <v>-2046</v>
      </c>
      <c r="O137" s="863">
        <f>+'3FS'!V134</f>
        <v>-947</v>
      </c>
      <c r="P137" s="162">
        <f>+'3FS'!W134</f>
        <v>-771</v>
      </c>
      <c r="Q137" s="162">
        <f>+'3FS'!X134</f>
        <v>-747</v>
      </c>
      <c r="R137" s="162">
        <f>+'3FS'!Y134</f>
        <v>-700</v>
      </c>
      <c r="S137" s="863">
        <f>+'3FS'!Z134</f>
        <v>-729</v>
      </c>
      <c r="T137" s="162">
        <f>+'3FS'!AA134</f>
        <v>-1009</v>
      </c>
      <c r="U137" s="162">
        <f>+'3FS'!AB134</f>
        <v>-1183</v>
      </c>
      <c r="V137" s="162">
        <f>+'3FS'!AC134</f>
        <v>-692</v>
      </c>
      <c r="W137" s="863">
        <f>+'3FS'!AD134</f>
        <v>-901</v>
      </c>
      <c r="X137" s="162">
        <f>+'3FS'!AE134</f>
        <v>-1017</v>
      </c>
      <c r="Y137" s="162">
        <f>+'3FS'!AF134</f>
        <v>-1148</v>
      </c>
      <c r="Z137" s="162">
        <f>+'3FS'!AG134</f>
        <v>-805</v>
      </c>
      <c r="AA137" s="863">
        <f>+'3FS'!AH134</f>
        <v>-909</v>
      </c>
      <c r="AB137" s="162">
        <f>+'3FS'!AI134</f>
        <v>-898</v>
      </c>
      <c r="AC137" s="162">
        <f>+'3FS'!AJ134</f>
        <v>-886</v>
      </c>
      <c r="AD137" s="162">
        <f>+'3FS'!AK134</f>
        <v>-936</v>
      </c>
      <c r="AE137" s="901">
        <f t="shared" ref="AE137:AI137" si="489">+AE91+AE99-AD91-AD99</f>
        <v>1196.5543736577165</v>
      </c>
      <c r="AF137" s="554">
        <f t="shared" si="489"/>
        <v>-1338.9313460152189</v>
      </c>
      <c r="AG137" s="554">
        <f t="shared" si="489"/>
        <v>-1369.2795015508673</v>
      </c>
      <c r="AH137" s="554">
        <f t="shared" si="489"/>
        <v>1453.6103815505703</v>
      </c>
      <c r="AI137" s="901">
        <f t="shared" si="489"/>
        <v>1286.0407648100045</v>
      </c>
      <c r="AK137" s="162">
        <f>+'3FS'!D134</f>
        <v>-2131</v>
      </c>
      <c r="AL137" s="162">
        <f>+'3FS'!E134</f>
        <v>-3699</v>
      </c>
      <c r="AM137" s="162">
        <f>+'3FS'!F134</f>
        <v>-5358</v>
      </c>
      <c r="AN137" s="162">
        <f>+'3FS'!G134</f>
        <v>-2947</v>
      </c>
      <c r="AO137" s="162">
        <f>+'3FS'!H134</f>
        <v>-3785</v>
      </c>
      <c r="AP137" s="162">
        <f>+'3FS'!I134</f>
        <v>-3879</v>
      </c>
      <c r="AQ137" s="554">
        <f t="shared" si="478"/>
        <v>-1523.4456263422835</v>
      </c>
      <c r="AR137" s="554">
        <f t="shared" si="478"/>
        <v>31.440298794488626</v>
      </c>
      <c r="AS137" s="554">
        <f t="shared" ref="AS137" si="490">+AS91+AS99-AR91-AR99</f>
        <v>-463.20879336581856</v>
      </c>
    </row>
    <row r="138" spans="2:45" x14ac:dyDescent="0.2">
      <c r="B138" s="26" t="s">
        <v>94</v>
      </c>
      <c r="D138" s="371">
        <f>+'3FS'!K135</f>
        <v>121</v>
      </c>
      <c r="E138" s="371">
        <f>+'3FS'!L135</f>
        <v>-27</v>
      </c>
      <c r="F138" s="371">
        <f>+'3FS'!M135</f>
        <v>42</v>
      </c>
      <c r="G138" s="902">
        <f>+'3FS'!N135</f>
        <v>8</v>
      </c>
      <c r="H138" s="371">
        <f>+'3FS'!O135</f>
        <v>79</v>
      </c>
      <c r="I138" s="162">
        <f>+'3FS'!P135</f>
        <v>-2190</v>
      </c>
      <c r="J138" s="162">
        <f>+'3FS'!Q135</f>
        <v>-51</v>
      </c>
      <c r="K138" s="863">
        <f>+'3FS'!R135</f>
        <v>-16</v>
      </c>
      <c r="L138" s="162">
        <f>+'3FS'!S135</f>
        <v>-217</v>
      </c>
      <c r="M138" s="162">
        <f>+'3FS'!T135</f>
        <v>-47</v>
      </c>
      <c r="N138" s="162">
        <f>+'3FS'!U135</f>
        <v>-87</v>
      </c>
      <c r="O138" s="863">
        <f>+'3FS'!V135</f>
        <v>-180</v>
      </c>
      <c r="P138" s="162">
        <f>+'3FS'!W135</f>
        <v>-163</v>
      </c>
      <c r="Q138" s="162">
        <f>+'3FS'!X135</f>
        <v>200</v>
      </c>
      <c r="R138" s="162">
        <f>+'3FS'!Y135</f>
        <v>550</v>
      </c>
      <c r="S138" s="863">
        <f>+'3FS'!Z135</f>
        <v>-128</v>
      </c>
      <c r="T138" s="162">
        <f>+'3FS'!AA135</f>
        <v>-183</v>
      </c>
      <c r="U138" s="162">
        <f>+'3FS'!AB135</f>
        <v>-466</v>
      </c>
      <c r="V138" s="162">
        <f>+'3FS'!AC135</f>
        <v>-260</v>
      </c>
      <c r="W138" s="863">
        <f>+'3FS'!AD135</f>
        <v>70</v>
      </c>
      <c r="X138" s="162">
        <f>+'3FS'!AE135</f>
        <v>-172</v>
      </c>
      <c r="Y138" s="162">
        <f>+'3FS'!AF135</f>
        <v>-360</v>
      </c>
      <c r="Z138" s="162">
        <f>+'3FS'!AG135</f>
        <v>-125</v>
      </c>
      <c r="AA138" s="863">
        <f>+'3FS'!AH135</f>
        <v>-21</v>
      </c>
      <c r="AB138" s="162">
        <f>+'3FS'!AI135</f>
        <v>-88</v>
      </c>
      <c r="AC138" s="162">
        <f>+'3FS'!AJ135</f>
        <v>-82</v>
      </c>
      <c r="AD138" s="162">
        <f>+'3FS'!AK135</f>
        <v>-239</v>
      </c>
      <c r="AE138" s="901">
        <f t="shared" ref="AE138:AI138" si="491">+SUM(AE90,AE93,AE101)-SUM(AD90,AD93,AD101)</f>
        <v>34.65160670433761</v>
      </c>
      <c r="AF138" s="554">
        <f t="shared" si="491"/>
        <v>28.827930104091138</v>
      </c>
      <c r="AG138" s="554">
        <f t="shared" si="491"/>
        <v>35.143096976508787</v>
      </c>
      <c r="AH138" s="554">
        <f t="shared" si="491"/>
        <v>26.248087591421609</v>
      </c>
      <c r="AI138" s="901">
        <f t="shared" si="491"/>
        <v>23.580236091125698</v>
      </c>
      <c r="AK138" s="162">
        <f>+'3FS'!D135</f>
        <v>144</v>
      </c>
      <c r="AL138" s="162">
        <f>+'3FS'!E135</f>
        <v>-2178</v>
      </c>
      <c r="AM138" s="162">
        <f>+'3FS'!F135</f>
        <v>-531</v>
      </c>
      <c r="AN138" s="162">
        <f>+'3FS'!G135</f>
        <v>459</v>
      </c>
      <c r="AO138" s="162">
        <f>+'3FS'!H135</f>
        <v>-839</v>
      </c>
      <c r="AP138" s="162">
        <f>+'3FS'!I135</f>
        <v>-678</v>
      </c>
      <c r="AQ138" s="554">
        <f t="shared" si="478"/>
        <v>-374.34839329566239</v>
      </c>
      <c r="AR138" s="554">
        <f t="shared" si="478"/>
        <v>113.79935076314723</v>
      </c>
      <c r="AS138" s="554">
        <f t="shared" ref="AS138" si="492">+SUM(AS90,AS93,AS101)-SUM(AR90,AR93,AR101)</f>
        <v>83.740244817406165</v>
      </c>
    </row>
    <row r="139" spans="2:45" x14ac:dyDescent="0.2">
      <c r="B139" s="29" t="s">
        <v>95</v>
      </c>
      <c r="D139" s="371">
        <f>+'3FS'!K136</f>
        <v>76</v>
      </c>
      <c r="E139" s="371">
        <f>+'3FS'!L136</f>
        <v>20</v>
      </c>
      <c r="F139" s="371">
        <f>+'3FS'!M136</f>
        <v>89</v>
      </c>
      <c r="G139" s="902">
        <f>+'3FS'!N136</f>
        <v>72</v>
      </c>
      <c r="H139" s="371">
        <f>+'3FS'!O136</f>
        <v>70</v>
      </c>
      <c r="I139" s="162">
        <f>+'3FS'!P136</f>
        <v>21</v>
      </c>
      <c r="J139" s="162">
        <f>+'3FS'!Q136</f>
        <v>139</v>
      </c>
      <c r="K139" s="863">
        <f>+'3FS'!R136</f>
        <v>137</v>
      </c>
      <c r="L139" s="162">
        <f>+'3FS'!S136</f>
        <v>69</v>
      </c>
      <c r="M139" s="162">
        <f>+'3FS'!T136</f>
        <v>-4</v>
      </c>
      <c r="N139" s="162">
        <f>+'3FS'!U136</f>
        <v>92</v>
      </c>
      <c r="O139" s="863">
        <f>+'3FS'!V136</f>
        <v>79</v>
      </c>
      <c r="P139" s="162">
        <f>+'3FS'!W136</f>
        <v>105</v>
      </c>
      <c r="Q139" s="162">
        <f>+'3FS'!X136</f>
        <v>106</v>
      </c>
      <c r="R139" s="162">
        <f>+'3FS'!Y136</f>
        <v>123</v>
      </c>
      <c r="S139" s="863">
        <f>+'3FS'!Z136</f>
        <v>80</v>
      </c>
      <c r="T139" s="162">
        <f>+'3FS'!AA136</f>
        <v>68</v>
      </c>
      <c r="U139" s="162">
        <f>+'3FS'!AB136</f>
        <v>4</v>
      </c>
      <c r="V139" s="162">
        <f>+'3FS'!AC136</f>
        <v>47</v>
      </c>
      <c r="W139" s="863">
        <f>+'3FS'!AD136</f>
        <v>24</v>
      </c>
      <c r="X139" s="162">
        <f>+'3FS'!AE136</f>
        <v>57</v>
      </c>
      <c r="Y139" s="162">
        <f>+'3FS'!AF136</f>
        <v>81</v>
      </c>
      <c r="Z139" s="162">
        <f>+'3FS'!AG136</f>
        <v>111</v>
      </c>
      <c r="AA139" s="863">
        <f>+'3FS'!AH136</f>
        <v>-228</v>
      </c>
      <c r="AB139" s="162">
        <f>+'3FS'!AI136</f>
        <v>170</v>
      </c>
      <c r="AC139" s="162">
        <f>+'3FS'!AJ136</f>
        <v>-139</v>
      </c>
      <c r="AD139" s="162">
        <f>+'3FS'!AK136</f>
        <v>216</v>
      </c>
      <c r="AE139" s="902"/>
      <c r="AF139" s="371"/>
      <c r="AG139" s="371"/>
      <c r="AH139" s="371"/>
      <c r="AI139" s="902"/>
      <c r="AK139" s="162">
        <f>+'3FS'!D136</f>
        <v>257</v>
      </c>
      <c r="AL139" s="162">
        <f>+'3FS'!E136</f>
        <v>367</v>
      </c>
      <c r="AM139" s="162">
        <f>+'3FS'!F136</f>
        <v>236</v>
      </c>
      <c r="AN139" s="162">
        <f>+'3FS'!G136</f>
        <v>414</v>
      </c>
      <c r="AO139" s="162">
        <f>+'3FS'!H136</f>
        <v>143</v>
      </c>
      <c r="AP139" s="162">
        <f>+'3FS'!I136</f>
        <v>21</v>
      </c>
      <c r="AQ139" s="554">
        <f t="shared" si="478"/>
        <v>247</v>
      </c>
      <c r="AR139" s="554">
        <f t="shared" si="478"/>
        <v>0</v>
      </c>
      <c r="AS139" s="371"/>
    </row>
    <row r="140" spans="2:45" s="3" customFormat="1" x14ac:dyDescent="0.2">
      <c r="B140" s="197" t="s">
        <v>96</v>
      </c>
      <c r="C140" s="196"/>
      <c r="D140" s="377">
        <f t="shared" ref="D140:F140" si="493">+SUM(D120:D139)</f>
        <v>1392</v>
      </c>
      <c r="E140" s="377">
        <f t="shared" si="493"/>
        <v>2147</v>
      </c>
      <c r="F140" s="377">
        <f t="shared" si="493"/>
        <v>1748</v>
      </c>
      <c r="G140" s="919">
        <f t="shared" ref="G140" si="494">+SUM(G120:G139)</f>
        <v>1537</v>
      </c>
      <c r="H140" s="377">
        <f t="shared" ref="H140" si="495">+SUM(H120:H139)</f>
        <v>1617</v>
      </c>
      <c r="I140" s="206">
        <f t="shared" ref="I140" si="496">+SUM(I120:I139)</f>
        <v>777</v>
      </c>
      <c r="J140" s="206">
        <f t="shared" ref="J140" si="497">+SUM(J120:J139)</f>
        <v>2772</v>
      </c>
      <c r="K140" s="931">
        <f t="shared" ref="K140" si="498">+SUM(K120:K139)</f>
        <v>3474</v>
      </c>
      <c r="L140" s="206">
        <f t="shared" ref="L140" si="499">+SUM(L120:L139)</f>
        <v>3661</v>
      </c>
      <c r="M140" s="206">
        <f t="shared" ref="M140" si="500">+SUM(M120:M139)</f>
        <v>3779</v>
      </c>
      <c r="N140" s="206">
        <f t="shared" ref="N140" si="501">+SUM(N120:N139)</f>
        <v>3477</v>
      </c>
      <c r="O140" s="931">
        <f t="shared" ref="O140" si="502">+SUM(O120:O139)</f>
        <v>3000</v>
      </c>
      <c r="P140" s="206">
        <f t="shared" ref="P140" si="503">+SUM(P120:P139)</f>
        <v>3845</v>
      </c>
      <c r="Q140" s="206">
        <f t="shared" ref="Q140" si="504">+SUM(Q120:Q139)</f>
        <v>4209</v>
      </c>
      <c r="R140" s="206">
        <f t="shared" ref="R140" si="505">+SUM(R120:R139)</f>
        <v>4391</v>
      </c>
      <c r="S140" s="931">
        <f t="shared" ref="S140" si="506">+SUM(S120:S139)</f>
        <v>4336</v>
      </c>
      <c r="T140" s="206">
        <f t="shared" ref="T140" si="507">+SUM(T120:T139)</f>
        <v>4051</v>
      </c>
      <c r="U140" s="206">
        <f t="shared" ref="U140" si="508">+SUM(U120:U139)</f>
        <v>4355</v>
      </c>
      <c r="V140" s="206">
        <f t="shared" ref="V140" si="509">+SUM(V120:V139)</f>
        <v>5294</v>
      </c>
      <c r="W140" s="931">
        <f t="shared" ref="W140" si="510">+SUM(W120:W139)</f>
        <v>4859</v>
      </c>
      <c r="X140" s="206">
        <f t="shared" ref="X140" si="511">+SUM(X120:X139)</f>
        <v>5084</v>
      </c>
      <c r="Y140" s="206">
        <f t="shared" ref="Y140" si="512">+SUM(Y120:Y139)</f>
        <v>5521</v>
      </c>
      <c r="Z140" s="206">
        <f t="shared" ref="Z140:AA140" si="513">+SUM(Z120:Z139)</f>
        <v>6139</v>
      </c>
      <c r="AA140" s="931">
        <f t="shared" si="513"/>
        <v>5549</v>
      </c>
      <c r="AB140" s="206">
        <f t="shared" ref="AB140:AC140" si="514">+SUM(AB120:AB139)</f>
        <v>6847</v>
      </c>
      <c r="AC140" s="206">
        <f t="shared" si="514"/>
        <v>6992</v>
      </c>
      <c r="AD140" s="206">
        <f t="shared" ref="AD140" si="515">+SUM(AD120:AD139)</f>
        <v>7457</v>
      </c>
      <c r="AE140" s="919">
        <f t="shared" ref="AE140" si="516">+SUM(AE120:AE139)</f>
        <v>6550.8662944174084</v>
      </c>
      <c r="AF140" s="377">
        <f t="shared" ref="AF140" si="517">+SUM(AF120:AF139)</f>
        <v>6823.675099698331</v>
      </c>
      <c r="AG140" s="377">
        <f t="shared" ref="AG140" si="518">+SUM(AG120:AG139)</f>
        <v>7968.6218902029132</v>
      </c>
      <c r="AH140" s="377">
        <f t="shared" ref="AH140" si="519">+SUM(AH120:AH139)</f>
        <v>8840.6826037118626</v>
      </c>
      <c r="AI140" s="919">
        <f t="shared" ref="AI140" si="520">+SUM(AI120:AI139)</f>
        <v>7880.2163786350357</v>
      </c>
      <c r="AK140" s="206">
        <f t="shared" ref="AK140:AO140" si="521">+SUM(AK120:AK139)</f>
        <v>6824</v>
      </c>
      <c r="AL140" s="206">
        <f t="shared" si="521"/>
        <v>8640</v>
      </c>
      <c r="AM140" s="206">
        <f t="shared" si="521"/>
        <v>13917</v>
      </c>
      <c r="AN140" s="206">
        <f t="shared" si="521"/>
        <v>16781</v>
      </c>
      <c r="AO140" s="206">
        <f t="shared" si="521"/>
        <v>18559</v>
      </c>
      <c r="AP140" s="206">
        <f t="shared" ref="AP140" si="522">+SUM(AP120:AP139)</f>
        <v>22293</v>
      </c>
      <c r="AQ140" s="377">
        <f>+SUM(AQ120:AQ139)</f>
        <v>27846.866294417403</v>
      </c>
      <c r="AR140" s="377">
        <f t="shared" ref="AR140" si="523">+SUM(AR120:AR139)</f>
        <v>31513.195972248137</v>
      </c>
      <c r="AS140" s="377">
        <f t="shared" ref="AS140" si="524">+SUM(AS120:AS139)</f>
        <v>32447.182480730469</v>
      </c>
    </row>
    <row r="141" spans="2:45" x14ac:dyDescent="0.2">
      <c r="B141" s="14" t="s">
        <v>97</v>
      </c>
      <c r="D141" s="370"/>
      <c r="E141" s="370"/>
      <c r="F141" s="370"/>
      <c r="G141" s="913"/>
      <c r="H141" s="370"/>
      <c r="K141" s="595"/>
      <c r="O141" s="595"/>
      <c r="S141" s="595"/>
      <c r="W141" s="595"/>
      <c r="AA141" s="595"/>
      <c r="AE141" s="913"/>
      <c r="AF141" s="370"/>
      <c r="AG141" s="370"/>
      <c r="AH141" s="370"/>
      <c r="AI141" s="913"/>
      <c r="AO141" s="173"/>
      <c r="AP141" s="173"/>
      <c r="AQ141" s="384"/>
      <c r="AR141" s="384"/>
      <c r="AS141" s="384"/>
    </row>
    <row r="142" spans="2:45" x14ac:dyDescent="0.2">
      <c r="B142" s="10" t="s">
        <v>193</v>
      </c>
      <c r="D142" s="371">
        <f>+'3FS'!K139</f>
        <v>-1931</v>
      </c>
      <c r="E142" s="371">
        <f>+'3FS'!L139</f>
        <v>-1789</v>
      </c>
      <c r="F142" s="371">
        <f>+'3FS'!M139</f>
        <v>-1514</v>
      </c>
      <c r="G142" s="902">
        <f>+'3FS'!N139</f>
        <v>-1157</v>
      </c>
      <c r="H142" s="371">
        <f>+'3FS'!O139</f>
        <v>-1753</v>
      </c>
      <c r="I142" s="162">
        <f>+'3FS'!P139</f>
        <v>-2257</v>
      </c>
      <c r="J142" s="162">
        <f>+'3FS'!Q139</f>
        <v>-3217</v>
      </c>
      <c r="K142" s="863">
        <f>+'3FS'!R139</f>
        <v>-3807</v>
      </c>
      <c r="L142" s="162">
        <f>+'3FS'!S139</f>
        <v>-3183</v>
      </c>
      <c r="M142" s="162">
        <f>+'3FS'!T139</f>
        <v>-3270</v>
      </c>
      <c r="N142" s="162">
        <f>+'3FS'!U139</f>
        <v>-2944</v>
      </c>
      <c r="O142" s="863">
        <f>+'3FS'!V139</f>
        <v>-2929</v>
      </c>
      <c r="P142" s="162">
        <f>+'3FS'!W139</f>
        <v>-3381</v>
      </c>
      <c r="Q142" s="162">
        <f>+'3FS'!X139</f>
        <v>-3572</v>
      </c>
      <c r="R142" s="162">
        <f>+'3FS'!Y139</f>
        <v>-3634</v>
      </c>
      <c r="S142" s="863">
        <f>+'3FS'!Z139</f>
        <v>-3383</v>
      </c>
      <c r="T142" s="162">
        <f>+'3FS'!AA139</f>
        <v>-3001</v>
      </c>
      <c r="U142" s="162">
        <f>+'3FS'!AB139</f>
        <v>-2789</v>
      </c>
      <c r="V142" s="162">
        <f>+'3FS'!AC139</f>
        <v>-2424</v>
      </c>
      <c r="W142" s="863">
        <f>+'3FS'!AD139</f>
        <v>-1587</v>
      </c>
      <c r="X142" s="162">
        <f>+'3FS'!AE139</f>
        <v>-2627</v>
      </c>
      <c r="Y142" s="162">
        <f>+'3FS'!AF139</f>
        <v>-2040</v>
      </c>
      <c r="Z142" s="162">
        <f>+'3FS'!AG139</f>
        <v>-1961</v>
      </c>
      <c r="AA142" s="863">
        <f>+'3FS'!AH139</f>
        <v>-2212</v>
      </c>
      <c r="AB142" s="162">
        <f>+'3FS'!AI139</f>
        <v>-2451</v>
      </c>
      <c r="AC142" s="162">
        <f>+'3FS'!AJ139</f>
        <v>-2396</v>
      </c>
      <c r="AD142" s="162">
        <f>+'3FS'!AK139</f>
        <v>-2639</v>
      </c>
      <c r="AE142" s="902">
        <f>-'BS Drivers'!AE42</f>
        <v>-2537.2670672479476</v>
      </c>
      <c r="AF142" s="371">
        <f>-'BS Drivers'!AF42</f>
        <v>-2575.0082854261846</v>
      </c>
      <c r="AG142" s="371">
        <f>-'BS Drivers'!AG42</f>
        <v>-2626.901066225942</v>
      </c>
      <c r="AH142" s="371">
        <f>-'BS Drivers'!AH42</f>
        <v>-2663.9016572141545</v>
      </c>
      <c r="AI142" s="902">
        <f>-'BS Drivers'!AI42</f>
        <v>-2696.4356817029525</v>
      </c>
      <c r="AK142" s="162">
        <f>+'3FS'!D139</f>
        <v>-6391</v>
      </c>
      <c r="AL142" s="162">
        <f>+'3FS'!E139</f>
        <v>-11034</v>
      </c>
      <c r="AM142" s="162">
        <f>+'3FS'!F139</f>
        <v>-12326</v>
      </c>
      <c r="AN142" s="162">
        <f>+'3FS'!G139</f>
        <v>-13970</v>
      </c>
      <c r="AO142" s="162">
        <f>+'3FS'!H139</f>
        <v>-9801</v>
      </c>
      <c r="AP142" s="162">
        <f>+'3FS'!I139</f>
        <v>-8840</v>
      </c>
      <c r="AQ142" s="554">
        <f t="shared" ref="AQ142:AR147" si="525">SUMIFS($F142:$AI142,$F$3:$AI$3,AQ$3)</f>
        <v>-10023.267067247947</v>
      </c>
      <c r="AR142" s="554">
        <f t="shared" si="525"/>
        <v>-10562.246690569233</v>
      </c>
      <c r="AS142" s="371">
        <f>-'BS Drivers'!AS42</f>
        <v>-10941.003531939117</v>
      </c>
    </row>
    <row r="143" spans="2:45" x14ac:dyDescent="0.2">
      <c r="B143" s="137" t="s">
        <v>98</v>
      </c>
      <c r="D143" s="371">
        <f>+'3FS'!K140</f>
        <v>-185</v>
      </c>
      <c r="E143" s="371">
        <f>+'3FS'!L140</f>
        <v>-665</v>
      </c>
      <c r="F143" s="371">
        <f>+'3FS'!M140</f>
        <v>-13</v>
      </c>
      <c r="G143" s="902">
        <f>+'3FS'!N140</f>
        <v>-104</v>
      </c>
      <c r="H143" s="371">
        <f>+'3FS'!O140</f>
        <v>-99</v>
      </c>
      <c r="I143" s="162">
        <f>+'3FS'!P140</f>
        <v>-745</v>
      </c>
      <c r="J143" s="162">
        <f>+'3FS'!Q140</f>
        <v>17</v>
      </c>
      <c r="K143" s="863">
        <f>+'3FS'!R140</f>
        <v>-506</v>
      </c>
      <c r="L143" s="162">
        <f>+'3FS'!S140</f>
        <v>-8922</v>
      </c>
      <c r="M143" s="162">
        <f>+'3FS'!T140</f>
        <v>-8</v>
      </c>
      <c r="N143" s="162">
        <f>+'3FS'!U140</f>
        <v>-407</v>
      </c>
      <c r="O143" s="863">
        <f>+'3FS'!V140</f>
        <v>-29</v>
      </c>
      <c r="P143" s="162">
        <f>+'3FS'!W140</f>
        <v>-2843</v>
      </c>
      <c r="Q143" s="162">
        <f>+'3FS'!X140</f>
        <v>-116</v>
      </c>
      <c r="R143" s="162">
        <f>+'3FS'!Y140</f>
        <v>-360</v>
      </c>
      <c r="S143" s="863">
        <f>+'3FS'!Z140</f>
        <v>-12</v>
      </c>
      <c r="T143" s="162">
        <f>+'3FS'!AA140</f>
        <v>-73</v>
      </c>
      <c r="U143" s="162">
        <f>+'3FS'!AB140</f>
        <v>-33</v>
      </c>
      <c r="V143" s="162">
        <f>+'3FS'!AC140</f>
        <v>-119</v>
      </c>
      <c r="W143" s="863">
        <f>+'3FS'!AD140</f>
        <v>-785</v>
      </c>
      <c r="X143" s="162">
        <f>+'3FS'!AE140</f>
        <v>-61</v>
      </c>
      <c r="Y143" s="162">
        <f>+'3FS'!AF140</f>
        <v>-156</v>
      </c>
      <c r="Z143" s="162">
        <f>+'3FS'!AG140</f>
        <v>-2419</v>
      </c>
      <c r="AA143" s="863">
        <f>+'3FS'!AH140</f>
        <v>-835</v>
      </c>
      <c r="AB143" s="162">
        <f>+'3FS'!AI140</f>
        <v>-73</v>
      </c>
      <c r="AC143" s="162">
        <f>+'3FS'!AJ140</f>
        <v>-842</v>
      </c>
      <c r="AD143" s="162">
        <f>+'3FS'!AK140</f>
        <v>-1590</v>
      </c>
      <c r="AE143" s="902">
        <f>-'BS Drivers'!AE53</f>
        <v>-1620.1829497122842</v>
      </c>
      <c r="AF143" s="371">
        <f>-'BS Drivers'!AF53</f>
        <v>-1645.9520266421566</v>
      </c>
      <c r="AG143" s="371">
        <f>-'BS Drivers'!AG53</f>
        <v>-1672.1309618080611</v>
      </c>
      <c r="AH143" s="371">
        <f>-'BS Drivers'!AH53</f>
        <v>-1698.7262740222188</v>
      </c>
      <c r="AI143" s="902">
        <f>-'BS Drivers'!AI53</f>
        <v>-1725.7445857788312</v>
      </c>
      <c r="AK143" s="162">
        <f>+'3FS'!D140</f>
        <v>-967</v>
      </c>
      <c r="AL143" s="162">
        <f>+'3FS'!E140</f>
        <v>-1333</v>
      </c>
      <c r="AM143" s="162">
        <f>+'3FS'!F140</f>
        <v>-9366</v>
      </c>
      <c r="AN143" s="162">
        <f>+'3FS'!G140</f>
        <v>-3331</v>
      </c>
      <c r="AO143" s="162">
        <f>+'3FS'!H140</f>
        <v>-1010</v>
      </c>
      <c r="AP143" s="162">
        <f>+'3FS'!I140</f>
        <v>-3471</v>
      </c>
      <c r="AQ143" s="554">
        <f t="shared" si="525"/>
        <v>-4125.1829497122844</v>
      </c>
      <c r="AR143" s="554">
        <f t="shared" si="525"/>
        <v>-6742.5538482512675</v>
      </c>
      <c r="AS143" s="371">
        <f>-'BS Drivers'!AS53</f>
        <v>-7181.8591844878911</v>
      </c>
    </row>
    <row r="144" spans="2:45" x14ac:dyDescent="0.2">
      <c r="B144" s="10" t="s">
        <v>99</v>
      </c>
      <c r="D144" s="371">
        <f>+'3FS'!K141</f>
        <v>0</v>
      </c>
      <c r="E144" s="371">
        <f>+'3FS'!L141</f>
        <v>0</v>
      </c>
      <c r="F144" s="371">
        <f>+'3FS'!M141</f>
        <v>0</v>
      </c>
      <c r="G144" s="902">
        <f>+'3FS'!N141</f>
        <v>38</v>
      </c>
      <c r="H144" s="371">
        <f>+'3FS'!O141</f>
        <v>0</v>
      </c>
      <c r="I144" s="162">
        <f>+'3FS'!P141</f>
        <v>0</v>
      </c>
      <c r="J144" s="162">
        <f>+'3FS'!Q141</f>
        <v>0</v>
      </c>
      <c r="K144" s="863">
        <f>+'3FS'!R141</f>
        <v>0</v>
      </c>
      <c r="L144" s="162">
        <f>+'3FS'!S141</f>
        <v>0</v>
      </c>
      <c r="M144" s="162">
        <f>+'3FS'!T141</f>
        <v>31</v>
      </c>
      <c r="N144" s="162">
        <f>+'3FS'!U141</f>
        <v>0</v>
      </c>
      <c r="O144" s="863">
        <f>+'3FS'!V141</f>
        <v>9</v>
      </c>
      <c r="P144" s="162">
        <f>+'3FS'!W141</f>
        <v>0</v>
      </c>
      <c r="Q144" s="162">
        <f>+'3FS'!X141</f>
        <v>0</v>
      </c>
      <c r="R144" s="162">
        <f>+'3FS'!Y141</f>
        <v>0</v>
      </c>
      <c r="S144" s="863">
        <f>+'3FS'!Z141</f>
        <v>9</v>
      </c>
      <c r="T144" s="162">
        <f>+'3FS'!AA141</f>
        <v>6</v>
      </c>
      <c r="U144" s="162">
        <f>+'3FS'!AB141</f>
        <v>2</v>
      </c>
      <c r="V144" s="162">
        <f>+'3FS'!AC141</f>
        <v>2</v>
      </c>
      <c r="W144" s="863">
        <f>+'3FS'!AD141</f>
        <v>2</v>
      </c>
      <c r="X144" s="162">
        <f>+'3FS'!AE141</f>
        <v>0</v>
      </c>
      <c r="Y144" s="162">
        <f>+'3FS'!AF141</f>
        <v>0</v>
      </c>
      <c r="Z144" s="162">
        <f>+'3FS'!AG141</f>
        <v>0</v>
      </c>
      <c r="AA144" s="863">
        <f>+'3FS'!AH141</f>
        <v>0</v>
      </c>
      <c r="AB144" s="162">
        <f>+'3FS'!AI141</f>
        <v>0</v>
      </c>
      <c r="AC144" s="162">
        <f>+'3FS'!AJ141</f>
        <v>0</v>
      </c>
      <c r="AD144" s="162">
        <f>+'3FS'!AK141</f>
        <v>0</v>
      </c>
      <c r="AE144" s="902">
        <f t="shared" ref="AE144:AI144" si="526">AD97-AE97</f>
        <v>0</v>
      </c>
      <c r="AF144" s="371">
        <f t="shared" si="526"/>
        <v>0</v>
      </c>
      <c r="AG144" s="371">
        <f t="shared" si="526"/>
        <v>0</v>
      </c>
      <c r="AH144" s="371">
        <f t="shared" si="526"/>
        <v>0</v>
      </c>
      <c r="AI144" s="902">
        <f t="shared" si="526"/>
        <v>0</v>
      </c>
      <c r="AK144" s="162">
        <f>+'3FS'!D141</f>
        <v>38</v>
      </c>
      <c r="AL144" s="162">
        <f>+'3FS'!E141</f>
        <v>0</v>
      </c>
      <c r="AM144" s="162">
        <f>+'3FS'!F141</f>
        <v>40</v>
      </c>
      <c r="AN144" s="162">
        <f>+'3FS'!G141</f>
        <v>9</v>
      </c>
      <c r="AO144" s="162">
        <f>+'3FS'!H141</f>
        <v>12</v>
      </c>
      <c r="AP144" s="162">
        <f>+'3FS'!I141</f>
        <v>0</v>
      </c>
      <c r="AQ144" s="554">
        <f t="shared" si="525"/>
        <v>0</v>
      </c>
      <c r="AR144" s="554">
        <f t="shared" si="525"/>
        <v>0</v>
      </c>
      <c r="AS144" s="371">
        <f t="shared" ref="AS144" si="527">AR97-AS97</f>
        <v>0</v>
      </c>
    </row>
    <row r="145" spans="2:45" x14ac:dyDescent="0.2">
      <c r="B145" s="137" t="s">
        <v>100</v>
      </c>
      <c r="D145" s="371">
        <f>+'3FS'!K142</f>
        <v>1157</v>
      </c>
      <c r="E145" s="371">
        <f>+'3FS'!L142</f>
        <v>839</v>
      </c>
      <c r="F145" s="371">
        <f>+'3FS'!M142</f>
        <v>900</v>
      </c>
      <c r="G145" s="902">
        <f>+'3FS'!N142</f>
        <v>980</v>
      </c>
      <c r="H145" s="371">
        <f>+'3FS'!O142</f>
        <v>868</v>
      </c>
      <c r="I145" s="162">
        <f>+'3FS'!P142</f>
        <v>602</v>
      </c>
      <c r="J145" s="162">
        <f>+'3FS'!Q142</f>
        <v>855</v>
      </c>
      <c r="K145" s="863">
        <f>+'3FS'!R142</f>
        <v>809</v>
      </c>
      <c r="L145" s="162">
        <f>+'3FS'!S142</f>
        <v>891</v>
      </c>
      <c r="M145" s="162">
        <f>+'3FS'!T142</f>
        <v>1137</v>
      </c>
      <c r="N145" s="162">
        <f>+'3FS'!U142</f>
        <v>1071</v>
      </c>
      <c r="O145" s="863">
        <f>+'3FS'!V142</f>
        <v>1032</v>
      </c>
      <c r="P145" s="162">
        <f>+'3FS'!W142</f>
        <v>1185</v>
      </c>
      <c r="Q145" s="162">
        <f>+'3FS'!X142</f>
        <v>1121</v>
      </c>
      <c r="R145" s="162">
        <f>+'3FS'!Y142</f>
        <v>1308</v>
      </c>
      <c r="S145" s="863">
        <f>+'3FS'!Z142</f>
        <v>1222</v>
      </c>
      <c r="T145" s="162">
        <f>+'3FS'!AA142</f>
        <v>1345</v>
      </c>
      <c r="U145" s="162">
        <f>+'3FS'!AB142</f>
        <v>1309</v>
      </c>
      <c r="V145" s="162">
        <f>+'3FS'!AC142</f>
        <v>1131</v>
      </c>
      <c r="W145" s="863">
        <f>+'3FS'!AD142</f>
        <v>1031</v>
      </c>
      <c r="X145" s="162">
        <f>+'3FS'!AE142</f>
        <v>890</v>
      </c>
      <c r="Y145" s="162">
        <f>+'3FS'!AF142</f>
        <v>958</v>
      </c>
      <c r="Z145" s="162">
        <f>+'3FS'!AG142</f>
        <v>984</v>
      </c>
      <c r="AA145" s="863">
        <f>+'3FS'!AH142</f>
        <v>747</v>
      </c>
      <c r="AB145" s="162">
        <f>+'3FS'!AI142</f>
        <v>0</v>
      </c>
      <c r="AC145" s="162">
        <f>+'3FS'!AJ142</f>
        <v>0</v>
      </c>
      <c r="AD145" s="162">
        <f>+'3FS'!AK142</f>
        <v>0</v>
      </c>
      <c r="AE145" s="902"/>
      <c r="AF145" s="371"/>
      <c r="AG145" s="371"/>
      <c r="AH145" s="371"/>
      <c r="AI145" s="902"/>
      <c r="AK145" s="162">
        <f>+'3FS'!D142</f>
        <v>3876</v>
      </c>
      <c r="AL145" s="162">
        <f>+'3FS'!E142</f>
        <v>3134</v>
      </c>
      <c r="AM145" s="162">
        <f>+'3FS'!F142</f>
        <v>4131</v>
      </c>
      <c r="AN145" s="162">
        <f>+'3FS'!G142</f>
        <v>4836</v>
      </c>
      <c r="AO145" s="162">
        <f>+'3FS'!H142</f>
        <v>4816</v>
      </c>
      <c r="AP145" s="162">
        <f>+'3FS'!I142</f>
        <v>3579</v>
      </c>
      <c r="AQ145" s="554">
        <f t="shared" si="525"/>
        <v>0</v>
      </c>
      <c r="AR145" s="554">
        <f t="shared" si="525"/>
        <v>0</v>
      </c>
      <c r="AS145" s="371"/>
    </row>
    <row r="146" spans="2:45" x14ac:dyDescent="0.2">
      <c r="B146" s="137" t="s">
        <v>101</v>
      </c>
      <c r="D146" s="371">
        <f>+'3FS'!K143</f>
        <v>0</v>
      </c>
      <c r="E146" s="371">
        <f>+'3FS'!L143</f>
        <v>0</v>
      </c>
      <c r="F146" s="371">
        <f>+'3FS'!M143</f>
        <v>-31</v>
      </c>
      <c r="G146" s="902">
        <f>+'3FS'!N143</f>
        <v>0</v>
      </c>
      <c r="H146" s="371">
        <f>+'3FS'!O143</f>
        <v>0</v>
      </c>
      <c r="I146" s="162">
        <f>+'3FS'!P143</f>
        <v>-5000</v>
      </c>
      <c r="J146" s="162">
        <f>+'3FS'!Q143</f>
        <v>0</v>
      </c>
      <c r="K146" s="863">
        <f>+'3FS'!R143</f>
        <v>0</v>
      </c>
      <c r="L146" s="162">
        <f>+'3FS'!S143</f>
        <v>-29</v>
      </c>
      <c r="M146" s="162">
        <f>+'3FS'!T143</f>
        <v>-1</v>
      </c>
      <c r="N146" s="162">
        <f>+'3FS'!U143</f>
        <v>-1886</v>
      </c>
      <c r="O146" s="863">
        <f>+'3FS'!V143</f>
        <v>0</v>
      </c>
      <c r="P146" s="162">
        <f>+'3FS'!W143</f>
        <v>-52</v>
      </c>
      <c r="Q146" s="162">
        <f>+'3FS'!X143</f>
        <v>0</v>
      </c>
      <c r="R146" s="162">
        <f>+'3FS'!Y143</f>
        <v>0</v>
      </c>
      <c r="S146" s="863">
        <f>+'3FS'!Z143</f>
        <v>0</v>
      </c>
      <c r="T146" s="162">
        <f>+'3FS'!AA143</f>
        <v>0</v>
      </c>
      <c r="U146" s="162">
        <f>+'3FS'!AB143</f>
        <v>0</v>
      </c>
      <c r="V146" s="162">
        <f>+'3FS'!AC143</f>
        <v>0</v>
      </c>
      <c r="W146" s="863">
        <f>+'3FS'!AD143</f>
        <v>0</v>
      </c>
      <c r="X146" s="162">
        <f>+'3FS'!AE143</f>
        <v>0</v>
      </c>
      <c r="Y146" s="162">
        <f>+'3FS'!AF143</f>
        <v>-390</v>
      </c>
      <c r="Z146" s="162">
        <f>+'3FS'!AG143</f>
        <v>0</v>
      </c>
      <c r="AA146" s="863">
        <f>+'3FS'!AH143</f>
        <v>17</v>
      </c>
      <c r="AB146" s="162">
        <f>+'3FS'!AI143</f>
        <v>-727</v>
      </c>
      <c r="AC146" s="162">
        <f>+'3FS'!AJ143</f>
        <v>1</v>
      </c>
      <c r="AD146" s="162">
        <f>+'3FS'!AK143</f>
        <v>-2797</v>
      </c>
      <c r="AE146" s="902"/>
      <c r="AF146" s="371"/>
      <c r="AG146" s="371"/>
      <c r="AH146" s="371"/>
      <c r="AI146" s="902"/>
      <c r="AK146" s="162">
        <f>+'3FS'!D143</f>
        <v>-31</v>
      </c>
      <c r="AL146" s="162">
        <f>+'3FS'!E143</f>
        <v>-5000</v>
      </c>
      <c r="AM146" s="162">
        <f>+'3FS'!F143</f>
        <v>-1916</v>
      </c>
      <c r="AN146" s="162">
        <f>+'3FS'!G143</f>
        <v>-52</v>
      </c>
      <c r="AO146" s="162">
        <f>+'3FS'!H143</f>
        <v>0</v>
      </c>
      <c r="AP146" s="162">
        <f>+'3FS'!I143</f>
        <v>-373</v>
      </c>
      <c r="AQ146" s="554">
        <f t="shared" si="525"/>
        <v>-3523</v>
      </c>
      <c r="AR146" s="554">
        <f t="shared" si="525"/>
        <v>0</v>
      </c>
      <c r="AS146" s="371"/>
    </row>
    <row r="147" spans="2:45" x14ac:dyDescent="0.2">
      <c r="B147" s="10" t="s">
        <v>95</v>
      </c>
      <c r="D147" s="371">
        <f>+'3FS'!K144</f>
        <v>-7</v>
      </c>
      <c r="E147" s="371">
        <f>+'3FS'!L144</f>
        <v>0</v>
      </c>
      <c r="F147" s="371">
        <f>+'3FS'!M144</f>
        <v>1</v>
      </c>
      <c r="G147" s="902">
        <f>+'3FS'!N144</f>
        <v>-644</v>
      </c>
      <c r="H147" s="371">
        <f>+'3FS'!O144</f>
        <v>-596</v>
      </c>
      <c r="I147" s="162">
        <f>+'3FS'!P144</f>
        <v>1044</v>
      </c>
      <c r="J147" s="162">
        <f>+'3FS'!Q144</f>
        <v>1213</v>
      </c>
      <c r="K147" s="863">
        <f>+'3FS'!R144</f>
        <v>-143</v>
      </c>
      <c r="L147" s="162">
        <f>+'3FS'!S144</f>
        <v>4</v>
      </c>
      <c r="M147" s="162">
        <f>+'3FS'!T144</f>
        <v>28</v>
      </c>
      <c r="N147" s="162">
        <f>+'3FS'!U144</f>
        <v>14</v>
      </c>
      <c r="O147" s="863">
        <f>+'3FS'!V144</f>
        <v>5</v>
      </c>
      <c r="P147" s="162">
        <f>+'3FS'!W144</f>
        <v>-1</v>
      </c>
      <c r="Q147" s="162">
        <f>+'3FS'!X144</f>
        <v>8</v>
      </c>
      <c r="R147" s="162">
        <f>+'3FS'!Y144</f>
        <v>131</v>
      </c>
      <c r="S147" s="863">
        <f>+'3FS'!Z144</f>
        <v>11</v>
      </c>
      <c r="T147" s="162">
        <f>+'3FS'!AA144</f>
        <v>-5</v>
      </c>
      <c r="U147" s="162">
        <f>+'3FS'!AB144</f>
        <v>24</v>
      </c>
      <c r="V147" s="162">
        <f>+'3FS'!AC144</f>
        <v>17</v>
      </c>
      <c r="W147" s="863">
        <f>+'3FS'!AD144</f>
        <v>118</v>
      </c>
      <c r="X147" s="162">
        <f>+'3FS'!AE144</f>
        <v>11</v>
      </c>
      <c r="Y147" s="162">
        <f>+'3FS'!AF144</f>
        <v>-50</v>
      </c>
      <c r="Z147" s="162">
        <f>+'3FS'!AG144</f>
        <v>89</v>
      </c>
      <c r="AA147" s="863">
        <f>+'3FS'!AH144</f>
        <v>-17</v>
      </c>
      <c r="AB147" s="162">
        <f>+'3FS'!AI144</f>
        <v>-158</v>
      </c>
      <c r="AC147" s="162">
        <f>+'3FS'!AJ144</f>
        <v>1678</v>
      </c>
      <c r="AD147" s="162">
        <f>+'3FS'!AK144</f>
        <v>-3113</v>
      </c>
      <c r="AE147" s="902"/>
      <c r="AF147" s="371"/>
      <c r="AG147" s="371"/>
      <c r="AH147" s="371"/>
      <c r="AI147" s="902"/>
      <c r="AK147" s="162">
        <f>+'3FS'!D144</f>
        <v>-650</v>
      </c>
      <c r="AL147" s="162">
        <f>+'3FS'!E144</f>
        <v>1518</v>
      </c>
      <c r="AM147" s="162">
        <f>+'3FS'!F144</f>
        <v>51</v>
      </c>
      <c r="AN147" s="162">
        <f>+'3FS'!G144</f>
        <v>149</v>
      </c>
      <c r="AO147" s="162">
        <f>+'3FS'!H144</f>
        <v>154</v>
      </c>
      <c r="AP147" s="162">
        <f>+'3FS'!I144</f>
        <v>33</v>
      </c>
      <c r="AQ147" s="554">
        <f t="shared" si="525"/>
        <v>-1593</v>
      </c>
      <c r="AR147" s="554">
        <f t="shared" si="525"/>
        <v>0</v>
      </c>
      <c r="AS147" s="371"/>
    </row>
    <row r="148" spans="2:45" s="3" customFormat="1" x14ac:dyDescent="0.2">
      <c r="B148" s="197" t="s">
        <v>102</v>
      </c>
      <c r="C148" s="196"/>
      <c r="D148" s="378">
        <f t="shared" ref="D148:F148" si="528">+SUM(D142:D147)</f>
        <v>-966</v>
      </c>
      <c r="E148" s="378">
        <f t="shared" si="528"/>
        <v>-1615</v>
      </c>
      <c r="F148" s="378">
        <f t="shared" si="528"/>
        <v>-657</v>
      </c>
      <c r="G148" s="920">
        <f t="shared" ref="G148" si="529">+SUM(G142:G147)</f>
        <v>-887</v>
      </c>
      <c r="H148" s="378">
        <f t="shared" ref="H148" si="530">+SUM(H142:H147)</f>
        <v>-1580</v>
      </c>
      <c r="I148" s="225">
        <f t="shared" ref="I148" si="531">+SUM(I142:I147)</f>
        <v>-6356</v>
      </c>
      <c r="J148" s="225">
        <f t="shared" ref="J148" si="532">+SUM(J142:J147)</f>
        <v>-1132</v>
      </c>
      <c r="K148" s="932">
        <f t="shared" ref="K148" si="533">+SUM(K142:K147)</f>
        <v>-3647</v>
      </c>
      <c r="L148" s="225">
        <f t="shared" ref="L148" si="534">+SUM(L142:L147)</f>
        <v>-11239</v>
      </c>
      <c r="M148" s="225">
        <f t="shared" ref="M148" si="535">+SUM(M142:M147)</f>
        <v>-2083</v>
      </c>
      <c r="N148" s="225">
        <f t="shared" ref="N148" si="536">+SUM(N142:N147)</f>
        <v>-4152</v>
      </c>
      <c r="O148" s="932">
        <f t="shared" ref="O148" si="537">+SUM(O142:O147)</f>
        <v>-1912</v>
      </c>
      <c r="P148" s="225">
        <f t="shared" ref="P148" si="538">+SUM(P142:P147)</f>
        <v>-5092</v>
      </c>
      <c r="Q148" s="225">
        <f t="shared" ref="Q148" si="539">+SUM(Q142:Q147)</f>
        <v>-2559</v>
      </c>
      <c r="R148" s="225">
        <f t="shared" ref="R148" si="540">+SUM(R142:R147)</f>
        <v>-2555</v>
      </c>
      <c r="S148" s="932">
        <f t="shared" ref="S148" si="541">+SUM(S142:S147)</f>
        <v>-2153</v>
      </c>
      <c r="T148" s="225">
        <f t="shared" ref="T148" si="542">+SUM(T142:T147)</f>
        <v>-1728</v>
      </c>
      <c r="U148" s="225">
        <f t="shared" ref="U148" si="543">+SUM(U142:U147)</f>
        <v>-1487</v>
      </c>
      <c r="V148" s="225">
        <f t="shared" ref="V148" si="544">+SUM(V142:V147)</f>
        <v>-1393</v>
      </c>
      <c r="W148" s="932">
        <f t="shared" ref="W148" si="545">+SUM(W142:W147)</f>
        <v>-1221</v>
      </c>
      <c r="X148" s="225">
        <f t="shared" ref="X148" si="546">+SUM(X142:X147)</f>
        <v>-1787</v>
      </c>
      <c r="Y148" s="225">
        <f t="shared" ref="Y148" si="547">+SUM(Y142:Y147)</f>
        <v>-1678</v>
      </c>
      <c r="Z148" s="225">
        <f t="shared" ref="Z148:AA148" si="548">+SUM(Z142:Z147)</f>
        <v>-3307</v>
      </c>
      <c r="AA148" s="932">
        <f t="shared" si="548"/>
        <v>-2300</v>
      </c>
      <c r="AB148" s="225">
        <f t="shared" ref="AB148:AC148" si="549">+SUM(AB142:AB147)</f>
        <v>-3409</v>
      </c>
      <c r="AC148" s="225">
        <f t="shared" si="549"/>
        <v>-1559</v>
      </c>
      <c r="AD148" s="225">
        <f t="shared" ref="AD148" si="550">+SUM(AD142:AD147)</f>
        <v>-10139</v>
      </c>
      <c r="AE148" s="920">
        <f t="shared" ref="AE148" si="551">+SUM(AE142:AE147)</f>
        <v>-4157.4500169602316</v>
      </c>
      <c r="AF148" s="378">
        <f t="shared" ref="AF148" si="552">+SUM(AF142:AF147)</f>
        <v>-4220.9603120683414</v>
      </c>
      <c r="AG148" s="378">
        <f t="shared" ref="AG148" si="553">+SUM(AG142:AG147)</f>
        <v>-4299.0320280340029</v>
      </c>
      <c r="AH148" s="378">
        <f t="shared" ref="AH148" si="554">+SUM(AH142:AH147)</f>
        <v>-4362.6279312363731</v>
      </c>
      <c r="AI148" s="920">
        <f t="shared" ref="AI148" si="555">+SUM(AI142:AI147)</f>
        <v>-4422.1802674817836</v>
      </c>
      <c r="AK148" s="225">
        <f t="shared" ref="AK148:AO148" si="556">+SUM(AK142:AK147)</f>
        <v>-4125</v>
      </c>
      <c r="AL148" s="225">
        <f t="shared" si="556"/>
        <v>-12715</v>
      </c>
      <c r="AM148" s="225">
        <f t="shared" si="556"/>
        <v>-19386</v>
      </c>
      <c r="AN148" s="225">
        <f t="shared" si="556"/>
        <v>-12359</v>
      </c>
      <c r="AO148" s="225">
        <f t="shared" si="556"/>
        <v>-5829</v>
      </c>
      <c r="AP148" s="225">
        <f t="shared" ref="AP148" si="557">+SUM(AP142:AP147)</f>
        <v>-9072</v>
      </c>
      <c r="AQ148" s="378">
        <f t="shared" ref="AQ148" si="558">+SUM(AQ142:AQ147)</f>
        <v>-19264.450016960232</v>
      </c>
      <c r="AR148" s="378">
        <f t="shared" ref="AR148" si="559">+SUM(AR142:AR147)</f>
        <v>-17304.800538820498</v>
      </c>
      <c r="AS148" s="378">
        <f t="shared" ref="AS148" si="560">+SUM(AS142:AS147)</f>
        <v>-18122.862716427007</v>
      </c>
    </row>
    <row r="149" spans="2:45" x14ac:dyDescent="0.2">
      <c r="B149" s="14" t="s">
        <v>103</v>
      </c>
      <c r="D149" s="370"/>
      <c r="E149" s="370"/>
      <c r="F149" s="370"/>
      <c r="G149" s="913"/>
      <c r="H149" s="370"/>
      <c r="K149" s="595"/>
      <c r="O149" s="595"/>
      <c r="S149" s="595"/>
      <c r="W149" s="595"/>
      <c r="AA149" s="595"/>
      <c r="AE149" s="913"/>
      <c r="AF149" s="370"/>
      <c r="AG149" s="370"/>
      <c r="AH149" s="370"/>
      <c r="AI149" s="913"/>
      <c r="AQ149" s="370"/>
      <c r="AR149" s="370"/>
      <c r="AS149" s="370"/>
    </row>
    <row r="150" spans="2:45" x14ac:dyDescent="0.2">
      <c r="B150" s="137" t="s">
        <v>104</v>
      </c>
      <c r="D150" s="371">
        <f>+'3FS'!K147</f>
        <v>0</v>
      </c>
      <c r="E150" s="371">
        <f>+'3FS'!L147</f>
        <v>0</v>
      </c>
      <c r="F150" s="371">
        <f>+'3FS'!M147</f>
        <v>0</v>
      </c>
      <c r="G150" s="902">
        <f>+'3FS'!N147</f>
        <v>0</v>
      </c>
      <c r="H150" s="371">
        <f>+'3FS'!O147</f>
        <v>0</v>
      </c>
      <c r="I150" s="162">
        <f>+'3FS'!P147</f>
        <v>26694</v>
      </c>
      <c r="J150" s="162">
        <f>+'3FS'!Q147</f>
        <v>0</v>
      </c>
      <c r="K150" s="863">
        <f>+'3FS'!R147</f>
        <v>8643</v>
      </c>
      <c r="L150" s="162">
        <f>+'3FS'!S147</f>
        <v>6763</v>
      </c>
      <c r="M150" s="162">
        <f>+'3FS'!T147</f>
        <v>3006</v>
      </c>
      <c r="N150" s="162">
        <f>+'3FS'!U147</f>
        <v>1989</v>
      </c>
      <c r="O150" s="863">
        <f>+'3FS'!V147</f>
        <v>2969</v>
      </c>
      <c r="P150" s="162">
        <f>+'3FS'!W147</f>
        <v>0</v>
      </c>
      <c r="Q150" s="162">
        <f>+'3FS'!X147</f>
        <v>0</v>
      </c>
      <c r="R150" s="162">
        <f>+'3FS'!Y147</f>
        <v>2972</v>
      </c>
      <c r="S150" s="863">
        <f>+'3FS'!Z147</f>
        <v>742</v>
      </c>
      <c r="T150" s="162">
        <f>+'3FS'!AA147</f>
        <v>3013</v>
      </c>
      <c r="U150" s="162">
        <f>+'3FS'!AB147</f>
        <v>3450</v>
      </c>
      <c r="V150" s="162">
        <f>+'3FS'!AC147</f>
        <v>1983</v>
      </c>
      <c r="W150" s="863">
        <f>+'3FS'!AD147</f>
        <v>0</v>
      </c>
      <c r="X150" s="162">
        <f>+'3FS'!AE147</f>
        <v>3473</v>
      </c>
      <c r="Y150" s="162">
        <f>+'3FS'!AF147</f>
        <v>2136</v>
      </c>
      <c r="Z150" s="162">
        <f>+'3FS'!AG147</f>
        <v>2480</v>
      </c>
      <c r="AA150" s="863">
        <f>+'3FS'!AH147</f>
        <v>498</v>
      </c>
      <c r="AB150" s="162">
        <f>+'3FS'!AI147</f>
        <v>7774</v>
      </c>
      <c r="AC150" s="162">
        <f>+'3FS'!AJ147</f>
        <v>-6</v>
      </c>
      <c r="AD150" s="162">
        <f>+'3FS'!AK147</f>
        <v>498</v>
      </c>
      <c r="AE150" s="902">
        <f>+'BS Drivers'!AE80</f>
        <v>497.02372083905118</v>
      </c>
      <c r="AF150" s="371">
        <f>+'BS Drivers'!AF80</f>
        <v>2282.918983903156</v>
      </c>
      <c r="AG150" s="371">
        <f>+'BS Drivers'!AG80</f>
        <v>2328.543701580501</v>
      </c>
      <c r="AH150" s="371">
        <f>+'BS Drivers'!AH80</f>
        <v>2375.0890618407211</v>
      </c>
      <c r="AI150" s="902">
        <f>+'BS Drivers'!AI80</f>
        <v>2422.5736419552727</v>
      </c>
      <c r="AK150" s="162">
        <f>+'3FS'!D147</f>
        <v>0</v>
      </c>
      <c r="AL150" s="162">
        <f>+'3FS'!E147</f>
        <v>35337</v>
      </c>
      <c r="AM150" s="162">
        <f>+'3FS'!F147</f>
        <v>14727</v>
      </c>
      <c r="AN150" s="162">
        <f>+'3FS'!G147</f>
        <v>3714</v>
      </c>
      <c r="AO150" s="162">
        <f>+'3FS'!H147</f>
        <v>8446</v>
      </c>
      <c r="AP150" s="162">
        <f>+'3FS'!I147</f>
        <v>8587</v>
      </c>
      <c r="AQ150" s="554">
        <f t="shared" ref="AQ150:AR160" si="561">SUMIFS($F150:$AI150,$F$3:$AI$3,AQ$3)</f>
        <v>8763.0237208390517</v>
      </c>
      <c r="AR150" s="554">
        <f t="shared" si="561"/>
        <v>9409.1253892796503</v>
      </c>
      <c r="AS150" s="371">
        <f>+'BS Drivers'!AS80</f>
        <v>10169.408606515484</v>
      </c>
    </row>
    <row r="151" spans="2:45" x14ac:dyDescent="0.2">
      <c r="B151" s="137" t="s">
        <v>105</v>
      </c>
      <c r="D151" s="371">
        <f>+'3FS'!K148</f>
        <v>-86</v>
      </c>
      <c r="E151" s="371">
        <f>+'3FS'!L148</f>
        <v>-229</v>
      </c>
      <c r="F151" s="371">
        <f>+'3FS'!M148</f>
        <v>-235</v>
      </c>
      <c r="G151" s="902">
        <f>+'3FS'!N148</f>
        <v>-248</v>
      </c>
      <c r="H151" s="371">
        <f>+'3FS'!O148</f>
        <v>-282</v>
      </c>
      <c r="I151" s="162">
        <f>+'3FS'!P148</f>
        <v>-236</v>
      </c>
      <c r="J151" s="162">
        <f>+'3FS'!Q148</f>
        <v>-246</v>
      </c>
      <c r="K151" s="863">
        <f>+'3FS'!R148</f>
        <v>-257</v>
      </c>
      <c r="L151" s="162">
        <f>+'3FS'!S148</f>
        <v>-287</v>
      </c>
      <c r="M151" s="162">
        <f>+'3FS'!T148</f>
        <v>-269</v>
      </c>
      <c r="N151" s="162">
        <f>+'3FS'!U148</f>
        <v>-266</v>
      </c>
      <c r="O151" s="863">
        <f>+'3FS'!V148</f>
        <v>-289</v>
      </c>
      <c r="P151" s="162">
        <f>+'3FS'!W148</f>
        <v>-302</v>
      </c>
      <c r="Q151" s="162">
        <f>+'3FS'!X148</f>
        <v>-288</v>
      </c>
      <c r="R151" s="162">
        <f>+'3FS'!Y148</f>
        <v>-311</v>
      </c>
      <c r="S151" s="863">
        <f>+'3FS'!Z148</f>
        <v>-338</v>
      </c>
      <c r="T151" s="162">
        <f>+'3FS'!AA148</f>
        <v>-306</v>
      </c>
      <c r="U151" s="162">
        <f>+'3FS'!AB148</f>
        <v>-304</v>
      </c>
      <c r="V151" s="162">
        <f>+'3FS'!AC148</f>
        <v>-304</v>
      </c>
      <c r="W151" s="863">
        <f>+'3FS'!AD148</f>
        <v>-313</v>
      </c>
      <c r="X151" s="162">
        <f>+'3FS'!AE148</f>
        <v>-327</v>
      </c>
      <c r="Y151" s="162">
        <f>+'3FS'!AF148</f>
        <v>-351</v>
      </c>
      <c r="Z151" s="162">
        <f>+'3FS'!AG148</f>
        <v>-347</v>
      </c>
      <c r="AA151" s="863">
        <f>+'3FS'!AH148</f>
        <v>-342</v>
      </c>
      <c r="AB151" s="162">
        <f>+'3FS'!AI148</f>
        <v>-315</v>
      </c>
      <c r="AC151" s="162">
        <f>+'3FS'!AJ148</f>
        <v>-331</v>
      </c>
      <c r="AD151" s="162">
        <f>+'3FS'!AK148</f>
        <v>-318</v>
      </c>
      <c r="AE151" s="901">
        <f t="shared" ref="AE151:AI151" si="562">+AE100+AE92-AD100-AD92</f>
        <v>5.634973064368296</v>
      </c>
      <c r="AF151" s="554">
        <f t="shared" si="562"/>
        <v>10.99700494340459</v>
      </c>
      <c r="AG151" s="554">
        <f t="shared" si="562"/>
        <v>16.973930188052236</v>
      </c>
      <c r="AH151" s="554">
        <f t="shared" si="562"/>
        <v>20.250074223765296</v>
      </c>
      <c r="AI151" s="901">
        <f t="shared" si="562"/>
        <v>22.515007110589977</v>
      </c>
      <c r="AK151" s="162">
        <f>+'3FS'!D148</f>
        <v>-798</v>
      </c>
      <c r="AL151" s="162">
        <f>+'3FS'!E148</f>
        <v>-1021</v>
      </c>
      <c r="AM151" s="162">
        <f>+'3FS'!F148</f>
        <v>-1111</v>
      </c>
      <c r="AN151" s="162">
        <f>+'3FS'!G148</f>
        <v>-1239</v>
      </c>
      <c r="AO151" s="162">
        <f>+'3FS'!H148</f>
        <v>-1227</v>
      </c>
      <c r="AP151" s="162">
        <f>+'3FS'!I148</f>
        <v>-1367</v>
      </c>
      <c r="AQ151" s="554">
        <f t="shared" si="561"/>
        <v>-958.3650269356317</v>
      </c>
      <c r="AR151" s="554">
        <f t="shared" si="561"/>
        <v>70.736016465812099</v>
      </c>
      <c r="AS151" s="554">
        <f t="shared" ref="AS151" si="563">+AS100+AS92-AR100-AR92</f>
        <v>101.4692056323579</v>
      </c>
    </row>
    <row r="152" spans="2:45" x14ac:dyDescent="0.2">
      <c r="B152" s="137" t="s">
        <v>106</v>
      </c>
      <c r="D152" s="371">
        <f>+'3FS'!K149</f>
        <v>0</v>
      </c>
      <c r="E152" s="371">
        <f>+'3FS'!L149</f>
        <v>0</v>
      </c>
      <c r="F152" s="371">
        <f>+'3FS'!M149</f>
        <v>-300</v>
      </c>
      <c r="G152" s="902">
        <f>+'3FS'!N149</f>
        <v>-475</v>
      </c>
      <c r="H152" s="371">
        <f>+'3FS'!O149</f>
        <v>-25</v>
      </c>
      <c r="I152" s="162">
        <f>+'3FS'!P149</f>
        <v>-151</v>
      </c>
      <c r="J152" s="162">
        <f>+'3FS'!Q149</f>
        <v>-231</v>
      </c>
      <c r="K152" s="863">
        <f>+'3FS'!R149</f>
        <v>-74</v>
      </c>
      <c r="L152" s="162">
        <f>+'3FS'!S149</f>
        <v>-55</v>
      </c>
      <c r="M152" s="162">
        <f>+'3FS'!T149</f>
        <v>-36</v>
      </c>
      <c r="N152" s="162">
        <f>+'3FS'!U149</f>
        <v>-76</v>
      </c>
      <c r="O152" s="863">
        <f>+'3FS'!V149</f>
        <v>-17</v>
      </c>
      <c r="P152" s="162">
        <f>+'3FS'!W149</f>
        <v>0</v>
      </c>
      <c r="Q152" s="162">
        <f>+'3FS'!X149</f>
        <v>0</v>
      </c>
      <c r="R152" s="162">
        <f>+'3FS'!Y149</f>
        <v>0</v>
      </c>
      <c r="S152" s="863">
        <f>+'3FS'!Z149</f>
        <v>0</v>
      </c>
      <c r="T152" s="162">
        <f>+'3FS'!AA149</f>
        <v>0</v>
      </c>
      <c r="U152" s="162">
        <f>+'3FS'!AB149</f>
        <v>0</v>
      </c>
      <c r="V152" s="162">
        <f>+'3FS'!AC149</f>
        <v>0</v>
      </c>
      <c r="W152" s="863">
        <f>+'3FS'!AD149</f>
        <v>0</v>
      </c>
      <c r="X152" s="162">
        <f>+'3FS'!AE149</f>
        <v>0</v>
      </c>
      <c r="Y152" s="162">
        <f>+'3FS'!AF149</f>
        <v>0</v>
      </c>
      <c r="Z152" s="162">
        <f>+'3FS'!AG149</f>
        <v>0</v>
      </c>
      <c r="AA152" s="863">
        <f>+'3FS'!AH149</f>
        <v>0</v>
      </c>
      <c r="AB152" s="162">
        <f>+'3FS'!AI149</f>
        <v>0</v>
      </c>
      <c r="AC152" s="162">
        <f>+'3FS'!AJ149</f>
        <v>0</v>
      </c>
      <c r="AD152" s="162">
        <f>+'3FS'!AK149</f>
        <v>0</v>
      </c>
      <c r="AE152" s="902">
        <f>+'BS Drivers'!AE86</f>
        <v>0</v>
      </c>
      <c r="AF152" s="371">
        <f>+'BS Drivers'!AF86</f>
        <v>0</v>
      </c>
      <c r="AG152" s="371">
        <f>+'BS Drivers'!AG86</f>
        <v>0</v>
      </c>
      <c r="AH152" s="371">
        <f>+'BS Drivers'!AH86</f>
        <v>0</v>
      </c>
      <c r="AI152" s="902">
        <f>+'BS Drivers'!AI86</f>
        <v>0</v>
      </c>
      <c r="AK152" s="162">
        <f>+'3FS'!D149</f>
        <v>-775</v>
      </c>
      <c r="AL152" s="162">
        <f>+'3FS'!E149</f>
        <v>-481</v>
      </c>
      <c r="AM152" s="162">
        <f>+'3FS'!F149</f>
        <v>-184</v>
      </c>
      <c r="AN152" s="162">
        <f>+'3FS'!G149</f>
        <v>0</v>
      </c>
      <c r="AO152" s="162">
        <f>+'3FS'!H149</f>
        <v>0</v>
      </c>
      <c r="AP152" s="162">
        <f>+'3FS'!I149</f>
        <v>0</v>
      </c>
      <c r="AQ152" s="554">
        <f t="shared" si="561"/>
        <v>0</v>
      </c>
      <c r="AR152" s="554">
        <f t="shared" si="561"/>
        <v>0</v>
      </c>
      <c r="AS152" s="371">
        <f>+'BS Drivers'!AS86</f>
        <v>0</v>
      </c>
    </row>
    <row r="153" spans="2:45" x14ac:dyDescent="0.2">
      <c r="B153" s="137" t="s">
        <v>107</v>
      </c>
      <c r="D153" s="371">
        <f>+'3FS'!K150</f>
        <v>0</v>
      </c>
      <c r="E153" s="371">
        <f>+'3FS'!L150</f>
        <v>-600</v>
      </c>
      <c r="F153" s="371">
        <f>+'3FS'!M150</f>
        <v>0</v>
      </c>
      <c r="G153" s="902">
        <f>+'3FS'!N150</f>
        <v>0</v>
      </c>
      <c r="H153" s="371">
        <f>+'3FS'!O150</f>
        <v>0</v>
      </c>
      <c r="I153" s="162">
        <f>+'3FS'!P150</f>
        <v>-10638</v>
      </c>
      <c r="J153" s="162">
        <f>+'3FS'!Q150</f>
        <v>-5678</v>
      </c>
      <c r="K153" s="863">
        <f>+'3FS'!R150</f>
        <v>-4209</v>
      </c>
      <c r="L153" s="162">
        <f>+'3FS'!S150</f>
        <v>-2219</v>
      </c>
      <c r="M153" s="162">
        <f>+'3FS'!T150</f>
        <v>-3150</v>
      </c>
      <c r="N153" s="162">
        <f>+'3FS'!U150</f>
        <v>-4600</v>
      </c>
      <c r="O153" s="863">
        <f>+'3FS'!V150</f>
        <v>-1131</v>
      </c>
      <c r="P153" s="162">
        <f>+'3FS'!W150</f>
        <v>-1632</v>
      </c>
      <c r="Q153" s="162">
        <f>+'3FS'!X150</f>
        <v>-1381</v>
      </c>
      <c r="R153" s="162">
        <f>+'3FS'!Y150</f>
        <v>-132</v>
      </c>
      <c r="S153" s="863">
        <f>+'3FS'!Z150</f>
        <v>-2411</v>
      </c>
      <c r="T153" s="162">
        <f>+'3FS'!AA150</f>
        <v>-131</v>
      </c>
      <c r="U153" s="162">
        <f>+'3FS'!AB150</f>
        <v>-223</v>
      </c>
      <c r="V153" s="162">
        <f>+'3FS'!AC150</f>
        <v>-4474</v>
      </c>
      <c r="W153" s="863">
        <f>+'3FS'!AD150</f>
        <v>-223</v>
      </c>
      <c r="X153" s="162">
        <f>+'3FS'!AE150</f>
        <v>-223</v>
      </c>
      <c r="Y153" s="162">
        <f>+'3FS'!AF150</f>
        <v>-2723</v>
      </c>
      <c r="Z153" s="162">
        <f>+'3FS'!AG150</f>
        <v>-223</v>
      </c>
      <c r="AA153" s="863">
        <f>+'3FS'!AH150</f>
        <v>-1904</v>
      </c>
      <c r="AB153" s="162">
        <f>+'3FS'!AI150</f>
        <v>-479</v>
      </c>
      <c r="AC153" s="162">
        <f>+'3FS'!AJ150</f>
        <v>-3257</v>
      </c>
      <c r="AD153" s="162">
        <f>+'3FS'!AK150</f>
        <v>-828</v>
      </c>
      <c r="AE153" s="902">
        <f>'BS Drivers'!AE82</f>
        <v>-764.72425740050971</v>
      </c>
      <c r="AF153" s="371">
        <f>'BS Drivers'!AF82</f>
        <v>-762.09506132499655</v>
      </c>
      <c r="AG153" s="371">
        <f>'BS Drivers'!AG82</f>
        <v>-777.03169290649885</v>
      </c>
      <c r="AH153" s="371">
        <f>'BS Drivers'!AH82</f>
        <v>-792.26972468900408</v>
      </c>
      <c r="AI153" s="902">
        <f>'BS Drivers'!AI82</f>
        <v>-807.81523850432734</v>
      </c>
      <c r="AK153" s="162">
        <f>+'3FS'!D150</f>
        <v>-600</v>
      </c>
      <c r="AL153" s="162">
        <f>+'3FS'!E150</f>
        <v>-20525</v>
      </c>
      <c r="AM153" s="162">
        <f>+'3FS'!F150</f>
        <v>-11100</v>
      </c>
      <c r="AN153" s="162">
        <f>+'3FS'!G150</f>
        <v>-5556</v>
      </c>
      <c r="AO153" s="162">
        <f>+'3FS'!H150</f>
        <v>-5051</v>
      </c>
      <c r="AP153" s="162">
        <f>+'3FS'!I150</f>
        <v>-5073</v>
      </c>
      <c r="AQ153" s="554">
        <f t="shared" si="561"/>
        <v>-5328.7242574005095</v>
      </c>
      <c r="AR153" s="554">
        <f t="shared" si="561"/>
        <v>-3139.2117174248265</v>
      </c>
      <c r="AS153" s="371">
        <f>'BS Drivers'!AS82</f>
        <v>-3392.8686605906032</v>
      </c>
    </row>
    <row r="154" spans="2:45" x14ac:dyDescent="0.2">
      <c r="B154" s="137" t="s">
        <v>378</v>
      </c>
      <c r="D154" s="371">
        <f>+'3FS'!K151</f>
        <v>0</v>
      </c>
      <c r="E154" s="371">
        <f>+'3FS'!L151</f>
        <v>0</v>
      </c>
      <c r="F154" s="371">
        <f>+'3FS'!M151</f>
        <v>0</v>
      </c>
      <c r="G154" s="902">
        <f>+'3FS'!N151</f>
        <v>0</v>
      </c>
      <c r="H154" s="371">
        <f>+'3FS'!O151</f>
        <v>0</v>
      </c>
      <c r="I154" s="162">
        <f>+'3FS'!P151</f>
        <v>17290</v>
      </c>
      <c r="J154" s="162">
        <f>+'3FS'!Q151</f>
        <v>2550</v>
      </c>
      <c r="K154" s="863">
        <f>+'3FS'!R151</f>
        <v>0</v>
      </c>
      <c r="L154" s="162">
        <f>+'3FS'!S151</f>
        <v>0</v>
      </c>
      <c r="M154" s="162">
        <f>+'3FS'!T151</f>
        <v>0</v>
      </c>
      <c r="N154" s="162">
        <f>+'3FS'!U151</f>
        <v>0</v>
      </c>
      <c r="O154" s="863">
        <f>+'3FS'!V151</f>
        <v>0</v>
      </c>
      <c r="P154" s="162">
        <f>+'3FS'!W151</f>
        <v>0</v>
      </c>
      <c r="Q154" s="162">
        <f>+'3FS'!X151</f>
        <v>0</v>
      </c>
      <c r="R154" s="162">
        <f>+'3FS'!Y151</f>
        <v>0</v>
      </c>
      <c r="S154" s="863">
        <f>+'3FS'!Z151</f>
        <v>0</v>
      </c>
      <c r="T154" s="162">
        <f>+'3FS'!AA151</f>
        <v>0</v>
      </c>
      <c r="U154" s="162">
        <f>+'3FS'!AB151</f>
        <v>0</v>
      </c>
      <c r="V154" s="162">
        <f>+'3FS'!AC151</f>
        <v>0</v>
      </c>
      <c r="W154" s="863">
        <f>+'3FS'!AD151</f>
        <v>0</v>
      </c>
      <c r="X154" s="162">
        <f>+'3FS'!AE151</f>
        <v>0</v>
      </c>
      <c r="Y154" s="162">
        <f>+'3FS'!AF151</f>
        <v>0</v>
      </c>
      <c r="Z154" s="162">
        <f>+'3FS'!AG151</f>
        <v>0</v>
      </c>
      <c r="AA154" s="863">
        <f>+'3FS'!AH151</f>
        <v>0</v>
      </c>
      <c r="AB154" s="162">
        <f>+'3FS'!AI151</f>
        <v>0</v>
      </c>
      <c r="AC154" s="162">
        <f>+'3FS'!AJ151</f>
        <v>0</v>
      </c>
      <c r="AD154" s="162">
        <f>+'3FS'!AK151</f>
        <v>0</v>
      </c>
      <c r="AE154" s="902"/>
      <c r="AF154" s="371"/>
      <c r="AG154" s="371"/>
      <c r="AH154" s="371"/>
      <c r="AI154" s="902"/>
      <c r="AK154" s="162">
        <f>+'3FS'!D151</f>
        <v>0</v>
      </c>
      <c r="AL154" s="162">
        <f>+'3FS'!E151</f>
        <v>19840</v>
      </c>
      <c r="AM154" s="162">
        <f>+'3FS'!F151</f>
        <v>0</v>
      </c>
      <c r="AN154" s="162">
        <f>+'3FS'!G151</f>
        <v>0</v>
      </c>
      <c r="AO154" s="162">
        <f>+'3FS'!H151</f>
        <v>0</v>
      </c>
      <c r="AP154" s="162">
        <f>+'3FS'!I151</f>
        <v>0</v>
      </c>
      <c r="AQ154" s="554">
        <f t="shared" si="561"/>
        <v>0</v>
      </c>
      <c r="AR154" s="554">
        <f t="shared" si="561"/>
        <v>0</v>
      </c>
      <c r="AS154" s="371"/>
    </row>
    <row r="155" spans="2:45" x14ac:dyDescent="0.2">
      <c r="B155" s="137" t="s">
        <v>108</v>
      </c>
      <c r="D155" s="371">
        <f>+'3FS'!K152</f>
        <v>0</v>
      </c>
      <c r="E155" s="371">
        <f>+'3FS'!L152</f>
        <v>0</v>
      </c>
      <c r="F155" s="371">
        <f>+'3FS'!M152</f>
        <v>0</v>
      </c>
      <c r="G155" s="902">
        <f>+'3FS'!N152</f>
        <v>0</v>
      </c>
      <c r="H155" s="371">
        <f>+'3FS'!O152</f>
        <v>0</v>
      </c>
      <c r="I155" s="162">
        <f>+'3FS'!P152</f>
        <v>-16990</v>
      </c>
      <c r="J155" s="162">
        <f>+'3FS'!Q152</f>
        <v>-2546</v>
      </c>
      <c r="K155" s="863">
        <f>+'3FS'!R152</f>
        <v>0</v>
      </c>
      <c r="L155" s="162">
        <f>+'3FS'!S152</f>
        <v>0</v>
      </c>
      <c r="M155" s="162">
        <f>+'3FS'!T152</f>
        <v>0</v>
      </c>
      <c r="N155" s="162">
        <f>+'3FS'!U152</f>
        <v>0</v>
      </c>
      <c r="O155" s="863">
        <f>+'3FS'!V152</f>
        <v>0</v>
      </c>
      <c r="P155" s="162">
        <f>+'3FS'!W152</f>
        <v>0</v>
      </c>
      <c r="Q155" s="162">
        <f>+'3FS'!X152</f>
        <v>0</v>
      </c>
      <c r="R155" s="162">
        <f>+'3FS'!Y152</f>
        <v>-557</v>
      </c>
      <c r="S155" s="863">
        <f>+'3FS'!Z152</f>
        <v>-2443</v>
      </c>
      <c r="T155" s="162">
        <f>+'3FS'!AA152</f>
        <v>-4619</v>
      </c>
      <c r="U155" s="162">
        <f>+'3FS'!AB152</f>
        <v>-3591</v>
      </c>
      <c r="V155" s="162">
        <f>+'3FS'!AC152</f>
        <v>-2681</v>
      </c>
      <c r="W155" s="863">
        <f>+'3FS'!AD152</f>
        <v>-2183</v>
      </c>
      <c r="X155" s="162">
        <f>+'3FS'!AE152</f>
        <v>-3594</v>
      </c>
      <c r="Y155" s="162">
        <f>+'3FS'!AF152</f>
        <v>-2387</v>
      </c>
      <c r="Z155" s="162">
        <f>+'3FS'!AG152</f>
        <v>-560</v>
      </c>
      <c r="AA155" s="863">
        <f>+'3FS'!AH152</f>
        <v>-4687</v>
      </c>
      <c r="AB155" s="162">
        <f>+'3FS'!AI152</f>
        <v>-2494</v>
      </c>
      <c r="AC155" s="162">
        <f>+'3FS'!AJ152</f>
        <v>-2555</v>
      </c>
      <c r="AD155" s="162">
        <f>+'3FS'!AK152</f>
        <v>-2479</v>
      </c>
      <c r="AE155" s="902">
        <f>+'BS Drivers'!AE135</f>
        <v>-2470</v>
      </c>
      <c r="AF155" s="371">
        <f>+'BS Drivers'!AF135</f>
        <v>-2717</v>
      </c>
      <c r="AG155" s="371">
        <f>+'BS Drivers'!AG135</f>
        <v>-2717</v>
      </c>
      <c r="AH155" s="371">
        <f>+'BS Drivers'!AH135</f>
        <v>-2717</v>
      </c>
      <c r="AI155" s="902">
        <f>+'BS Drivers'!AI135</f>
        <v>-2717</v>
      </c>
      <c r="AK155" s="162">
        <f>+'3FS'!D152</f>
        <v>0</v>
      </c>
      <c r="AL155" s="162">
        <f>+'3FS'!E152</f>
        <v>-19536</v>
      </c>
      <c r="AM155" s="162">
        <f>+'3FS'!F152</f>
        <v>0</v>
      </c>
      <c r="AN155" s="162">
        <f>+'3FS'!G152</f>
        <v>-3000</v>
      </c>
      <c r="AO155" s="162">
        <f>+'3FS'!H152</f>
        <v>-13074</v>
      </c>
      <c r="AP155" s="162">
        <f>+'3FS'!I152</f>
        <v>-11228</v>
      </c>
      <c r="AQ155" s="554">
        <f t="shared" si="561"/>
        <v>-9998</v>
      </c>
      <c r="AR155" s="554">
        <f t="shared" si="561"/>
        <v>-10868</v>
      </c>
      <c r="AS155" s="371">
        <f>+'BS Drivers'!AS135</f>
        <v>-13041.6</v>
      </c>
    </row>
    <row r="156" spans="2:45" x14ac:dyDescent="0.2">
      <c r="B156" s="137" t="s">
        <v>109</v>
      </c>
      <c r="D156" s="371">
        <f>+'3FS'!K153</f>
        <v>0</v>
      </c>
      <c r="E156" s="371">
        <f>+'3FS'!L153</f>
        <v>0</v>
      </c>
      <c r="F156" s="371">
        <f>+'3FS'!M153</f>
        <v>0</v>
      </c>
      <c r="G156" s="902">
        <f>+'3FS'!N153</f>
        <v>0</v>
      </c>
      <c r="H156" s="371">
        <f>+'3FS'!O153</f>
        <v>0</v>
      </c>
      <c r="I156" s="162">
        <f>+'3FS'!P153</f>
        <v>0</v>
      </c>
      <c r="J156" s="162">
        <f>+'3FS'!Q153</f>
        <v>0</v>
      </c>
      <c r="K156" s="863">
        <f>+'3FS'!R153</f>
        <v>0</v>
      </c>
      <c r="L156" s="162">
        <f>+'3FS'!S153</f>
        <v>0</v>
      </c>
      <c r="M156" s="162">
        <f>+'3FS'!T153</f>
        <v>0</v>
      </c>
      <c r="N156" s="162">
        <f>+'3FS'!U153</f>
        <v>0</v>
      </c>
      <c r="O156" s="863">
        <f>+'3FS'!V153</f>
        <v>0</v>
      </c>
      <c r="P156" s="162">
        <f>+'3FS'!W153</f>
        <v>0</v>
      </c>
      <c r="Q156" s="162">
        <f>+'3FS'!X153</f>
        <v>0</v>
      </c>
      <c r="R156" s="162">
        <f>+'3FS'!Y153</f>
        <v>0</v>
      </c>
      <c r="S156" s="863">
        <f>+'3FS'!Z153</f>
        <v>0</v>
      </c>
      <c r="T156" s="162">
        <f>+'3FS'!AA153</f>
        <v>0</v>
      </c>
      <c r="U156" s="162">
        <f>+'3FS'!AB153</f>
        <v>0</v>
      </c>
      <c r="V156" s="162">
        <f>+'3FS'!AC153</f>
        <v>0</v>
      </c>
      <c r="W156" s="863">
        <f>+'3FS'!AD153</f>
        <v>-747</v>
      </c>
      <c r="X156" s="162">
        <f>+'3FS'!AE153</f>
        <v>-769</v>
      </c>
      <c r="Y156" s="162">
        <f>+'3FS'!AF153</f>
        <v>-759</v>
      </c>
      <c r="Z156" s="162">
        <f>+'3FS'!AG153</f>
        <v>-758</v>
      </c>
      <c r="AA156" s="863">
        <f>+'3FS'!AH153</f>
        <v>-1014</v>
      </c>
      <c r="AB156" s="162">
        <f>+'3FS'!AI153</f>
        <v>-1003</v>
      </c>
      <c r="AC156" s="162">
        <f>+'3FS'!AJ153</f>
        <v>-996</v>
      </c>
      <c r="AD156" s="162">
        <f>+'3FS'!AK153</f>
        <v>-987</v>
      </c>
      <c r="AE156" s="902">
        <f>+'BS Drivers'!AE145</f>
        <v>-1112.9663999999998</v>
      </c>
      <c r="AF156" s="371">
        <f>+'BS Drivers'!AF145</f>
        <v>-1100.8928000000001</v>
      </c>
      <c r="AG156" s="371">
        <f>+'BS Drivers'!AG145</f>
        <v>-1093.2096000000001</v>
      </c>
      <c r="AH156" s="371">
        <f>+'BS Drivers'!AH145</f>
        <v>-1083.3311999999999</v>
      </c>
      <c r="AI156" s="902">
        <f>+'BS Drivers'!AI145</f>
        <v>-1221.5919206400001</v>
      </c>
      <c r="AK156" s="162">
        <f>+'3FS'!D153</f>
        <v>0</v>
      </c>
      <c r="AL156" s="162">
        <f>+'3FS'!E153</f>
        <v>0</v>
      </c>
      <c r="AM156" s="162">
        <f>+'3FS'!F153</f>
        <v>0</v>
      </c>
      <c r="AN156" s="162">
        <f>+'3FS'!G153</f>
        <v>0</v>
      </c>
      <c r="AO156" s="162">
        <f>+'3FS'!H153</f>
        <v>-747</v>
      </c>
      <c r="AP156" s="162">
        <f>+'3FS'!I153</f>
        <v>-3300</v>
      </c>
      <c r="AQ156" s="554">
        <f t="shared" si="561"/>
        <v>-4098.9663999999993</v>
      </c>
      <c r="AR156" s="554">
        <f t="shared" si="561"/>
        <v>-4499.0255206400007</v>
      </c>
      <c r="AS156" s="371">
        <f>+'BS Drivers'!AS145</f>
        <v>-4936.7844529436588</v>
      </c>
    </row>
    <row r="157" spans="2:45" x14ac:dyDescent="0.2">
      <c r="B157" s="137" t="s">
        <v>110</v>
      </c>
      <c r="D157" s="371">
        <f>+'3FS'!K154</f>
        <v>-100</v>
      </c>
      <c r="E157" s="371">
        <f>+'3FS'!L154</f>
        <v>-4</v>
      </c>
      <c r="F157" s="371">
        <f>+'3FS'!M154</f>
        <v>-4</v>
      </c>
      <c r="G157" s="902">
        <f>+'3FS'!N154</f>
        <v>-48</v>
      </c>
      <c r="H157" s="371">
        <f>+'3FS'!O154</f>
        <v>-141</v>
      </c>
      <c r="I157" s="162">
        <f>+'3FS'!P154</f>
        <v>-138</v>
      </c>
      <c r="J157" s="162">
        <f>+'3FS'!Q154</f>
        <v>-72</v>
      </c>
      <c r="K157" s="863">
        <f>+'3FS'!R154</f>
        <v>-88</v>
      </c>
      <c r="L157" s="162">
        <f>+'3FS'!S154</f>
        <v>-218</v>
      </c>
      <c r="M157" s="162">
        <f>+'3FS'!T154</f>
        <v>-76</v>
      </c>
      <c r="N157" s="162">
        <f>+'3FS'!U154</f>
        <v>-14</v>
      </c>
      <c r="O157" s="863">
        <f>+'3FS'!V154</f>
        <v>-8</v>
      </c>
      <c r="P157" s="162">
        <f>+'3FS'!W154</f>
        <v>-172</v>
      </c>
      <c r="Q157" s="162">
        <f>+'3FS'!X154</f>
        <v>-43</v>
      </c>
      <c r="R157" s="162">
        <f>+'3FS'!Y154</f>
        <v>-10</v>
      </c>
      <c r="S157" s="863">
        <f>+'3FS'!Z154</f>
        <v>-18</v>
      </c>
      <c r="T157" s="162">
        <f>+'3FS'!AA154</f>
        <v>-187</v>
      </c>
      <c r="U157" s="162">
        <f>+'3FS'!AB154</f>
        <v>-70</v>
      </c>
      <c r="V157" s="162">
        <f>+'3FS'!AC154</f>
        <v>-10</v>
      </c>
      <c r="W157" s="863">
        <f>+'3FS'!AD154</f>
        <v>-30</v>
      </c>
      <c r="X157" s="162">
        <f>+'3FS'!AE154</f>
        <v>-192</v>
      </c>
      <c r="Y157" s="162">
        <f>+'3FS'!AF154</f>
        <v>-16</v>
      </c>
      <c r="Z157" s="162">
        <f>+'3FS'!AG154</f>
        <v>-36</v>
      </c>
      <c r="AA157" s="863">
        <f>+'3FS'!AH154</f>
        <v>-25</v>
      </c>
      <c r="AB157" s="162">
        <f>+'3FS'!AI154</f>
        <v>-272</v>
      </c>
      <c r="AC157" s="162">
        <f>+'3FS'!AJ154</f>
        <v>-30</v>
      </c>
      <c r="AD157" s="162">
        <f>+'3FS'!AK154</f>
        <v>-92</v>
      </c>
      <c r="AE157" s="902"/>
      <c r="AF157" s="371"/>
      <c r="AG157" s="371"/>
      <c r="AH157" s="371"/>
      <c r="AI157" s="902"/>
      <c r="AK157" s="162">
        <f>+'3FS'!D154</f>
        <v>-156</v>
      </c>
      <c r="AL157" s="162">
        <f>+'3FS'!E154</f>
        <v>-439</v>
      </c>
      <c r="AM157" s="162">
        <f>+'3FS'!F154</f>
        <v>-316</v>
      </c>
      <c r="AN157" s="162">
        <f>+'3FS'!G154</f>
        <v>-243</v>
      </c>
      <c r="AO157" s="162">
        <f>+'3FS'!H154</f>
        <v>-297</v>
      </c>
      <c r="AP157" s="162">
        <f>+'3FS'!I154</f>
        <v>-269</v>
      </c>
      <c r="AQ157" s="554">
        <f t="shared" si="561"/>
        <v>-394</v>
      </c>
      <c r="AR157" s="554">
        <f t="shared" si="561"/>
        <v>0</v>
      </c>
      <c r="AS157" s="371"/>
    </row>
    <row r="158" spans="2:45" x14ac:dyDescent="0.2">
      <c r="B158" s="10" t="s">
        <v>379</v>
      </c>
      <c r="D158" s="371">
        <f>+'3FS'!K155</f>
        <v>0</v>
      </c>
      <c r="E158" s="371">
        <f>+'3FS'!L155</f>
        <v>0</v>
      </c>
      <c r="F158" s="371">
        <f>+'3FS'!M155</f>
        <v>0</v>
      </c>
      <c r="G158" s="902">
        <f>+'3FS'!N155</f>
        <v>0</v>
      </c>
      <c r="H158" s="371">
        <f>+'3FS'!O155</f>
        <v>0</v>
      </c>
      <c r="I158" s="162">
        <f>+'3FS'!P155</f>
        <v>18743</v>
      </c>
      <c r="J158" s="162">
        <f>+'3FS'!Q155</f>
        <v>0</v>
      </c>
      <c r="K158" s="863">
        <f>+'3FS'!R155</f>
        <v>0</v>
      </c>
      <c r="L158" s="162">
        <f>+'3FS'!S155</f>
        <v>0</v>
      </c>
      <c r="M158" s="162">
        <f>+'3FS'!T155</f>
        <v>0</v>
      </c>
      <c r="N158" s="162">
        <f>+'3FS'!U155</f>
        <v>0</v>
      </c>
      <c r="O158" s="863">
        <f>+'3FS'!V155</f>
        <v>0</v>
      </c>
      <c r="P158" s="162">
        <f>+'3FS'!W155</f>
        <v>0</v>
      </c>
      <c r="Q158" s="162">
        <f>+'3FS'!X155</f>
        <v>0</v>
      </c>
      <c r="R158" s="162">
        <f>+'3FS'!Y155</f>
        <v>0</v>
      </c>
      <c r="S158" s="863">
        <f>+'3FS'!Z155</f>
        <v>0</v>
      </c>
      <c r="T158" s="162">
        <f>+'3FS'!AA155</f>
        <v>0</v>
      </c>
      <c r="U158" s="162">
        <f>+'3FS'!AB155</f>
        <v>0</v>
      </c>
      <c r="V158" s="162">
        <f>+'3FS'!AC155</f>
        <v>0</v>
      </c>
      <c r="W158" s="863">
        <f>+'3FS'!AD155</f>
        <v>0</v>
      </c>
      <c r="X158" s="162">
        <f>+'3FS'!AE155</f>
        <v>0</v>
      </c>
      <c r="Y158" s="162">
        <f>+'3FS'!AF155</f>
        <v>0</v>
      </c>
      <c r="Z158" s="162">
        <f>+'3FS'!AG155</f>
        <v>0</v>
      </c>
      <c r="AA158" s="863">
        <f>+'3FS'!AH155</f>
        <v>0</v>
      </c>
      <c r="AB158" s="162">
        <f>+'3FS'!AI155</f>
        <v>0</v>
      </c>
      <c r="AC158" s="162">
        <f>+'3FS'!AJ155</f>
        <v>0</v>
      </c>
      <c r="AD158" s="162">
        <f>+'3FS'!AK155</f>
        <v>0</v>
      </c>
      <c r="AE158" s="902">
        <f>+'BS Drivers'!AE85</f>
        <v>0</v>
      </c>
      <c r="AF158" s="371">
        <f>+'BS Drivers'!AF85</f>
        <v>0</v>
      </c>
      <c r="AG158" s="371">
        <f>+'BS Drivers'!AG85</f>
        <v>0</v>
      </c>
      <c r="AH158" s="371">
        <f>+'BS Drivers'!AH85</f>
        <v>0</v>
      </c>
      <c r="AI158" s="902">
        <f>+'BS Drivers'!AI85</f>
        <v>0</v>
      </c>
      <c r="AK158" s="162">
        <f>+'3FS'!D155</f>
        <v>0</v>
      </c>
      <c r="AL158" s="162">
        <f>+'3FS'!E155</f>
        <v>18743</v>
      </c>
      <c r="AM158" s="162">
        <f>+'3FS'!F155</f>
        <v>0</v>
      </c>
      <c r="AN158" s="162">
        <f>+'3FS'!G155</f>
        <v>0</v>
      </c>
      <c r="AO158" s="162">
        <f>+'3FS'!H155</f>
        <v>0</v>
      </c>
      <c r="AP158" s="162">
        <f>+'3FS'!I155</f>
        <v>0</v>
      </c>
      <c r="AQ158" s="554"/>
      <c r="AR158" s="554"/>
      <c r="AS158" s="371">
        <f>+'BS Drivers'!AS85</f>
        <v>0</v>
      </c>
    </row>
    <row r="159" spans="2:45" x14ac:dyDescent="0.2">
      <c r="B159" s="10" t="s">
        <v>317</v>
      </c>
      <c r="D159" s="371">
        <f>+'3FS'!K156</f>
        <v>0</v>
      </c>
      <c r="E159" s="371">
        <f>+'3FS'!L156</f>
        <v>0</v>
      </c>
      <c r="F159" s="371">
        <f>+'3FS'!M156</f>
        <v>0</v>
      </c>
      <c r="G159" s="902">
        <f>+'3FS'!N156</f>
        <v>0</v>
      </c>
      <c r="H159" s="371">
        <f>+'3FS'!O156</f>
        <v>0</v>
      </c>
      <c r="I159" s="162">
        <f>+'3FS'!P156</f>
        <v>-18929</v>
      </c>
      <c r="J159" s="162">
        <f>+'3FS'!Q156</f>
        <v>0</v>
      </c>
      <c r="K159" s="863">
        <f>+'3FS'!R156</f>
        <v>0</v>
      </c>
      <c r="L159" s="162">
        <f>+'3FS'!S156</f>
        <v>0</v>
      </c>
      <c r="M159" s="162">
        <f>+'3FS'!T156</f>
        <v>0</v>
      </c>
      <c r="N159" s="162">
        <f>+'3FS'!U156</f>
        <v>0</v>
      </c>
      <c r="O159" s="863">
        <f>+'3FS'!V156</f>
        <v>0</v>
      </c>
      <c r="P159" s="162">
        <f>+'3FS'!W156</f>
        <v>0</v>
      </c>
      <c r="Q159" s="162">
        <f>+'3FS'!X156</f>
        <v>0</v>
      </c>
      <c r="R159" s="162">
        <f>+'3FS'!Y156</f>
        <v>0</v>
      </c>
      <c r="S159" s="863">
        <f>+'3FS'!Z156</f>
        <v>0</v>
      </c>
      <c r="T159" s="162">
        <f>+'3FS'!AA156</f>
        <v>0</v>
      </c>
      <c r="U159" s="162">
        <f>+'3FS'!AB156</f>
        <v>0</v>
      </c>
      <c r="V159" s="162">
        <f>+'3FS'!AC156</f>
        <v>0</v>
      </c>
      <c r="W159" s="863">
        <f>+'3FS'!AD156</f>
        <v>0</v>
      </c>
      <c r="X159" s="162">
        <f>+'3FS'!AE156</f>
        <v>0</v>
      </c>
      <c r="Y159" s="162">
        <f>+'3FS'!AF156</f>
        <v>0</v>
      </c>
      <c r="Z159" s="162">
        <f>+'3FS'!AG156</f>
        <v>0</v>
      </c>
      <c r="AA159" s="863">
        <f>+'3FS'!AH156</f>
        <v>0</v>
      </c>
      <c r="AB159" s="162">
        <f>+'3FS'!AI156</f>
        <v>0</v>
      </c>
      <c r="AC159" s="162">
        <f>+'3FS'!AJ156</f>
        <v>0</v>
      </c>
      <c r="AD159" s="162">
        <f>+'3FS'!AK156</f>
        <v>0</v>
      </c>
      <c r="AE159" s="902"/>
      <c r="AF159" s="371"/>
      <c r="AG159" s="371"/>
      <c r="AH159" s="371"/>
      <c r="AI159" s="902"/>
      <c r="AK159" s="162">
        <f>+'3FS'!D156</f>
        <v>0</v>
      </c>
      <c r="AL159" s="162">
        <f>+'3FS'!E156</f>
        <v>-18929</v>
      </c>
      <c r="AM159" s="162">
        <f>+'3FS'!F156</f>
        <v>0</v>
      </c>
      <c r="AN159" s="162">
        <f>+'3FS'!G156</f>
        <v>0</v>
      </c>
      <c r="AO159" s="162">
        <f>+'3FS'!H156</f>
        <v>0</v>
      </c>
      <c r="AP159" s="162">
        <f>+'3FS'!I156</f>
        <v>0</v>
      </c>
      <c r="AQ159" s="554"/>
      <c r="AR159" s="554"/>
      <c r="AS159" s="371"/>
    </row>
    <row r="160" spans="2:45" x14ac:dyDescent="0.2">
      <c r="B160" s="137" t="s">
        <v>95</v>
      </c>
      <c r="D160" s="371">
        <f>+'3FS'!K157</f>
        <v>-4</v>
      </c>
      <c r="E160" s="371">
        <f>+'3FS'!L157</f>
        <v>-33</v>
      </c>
      <c r="F160" s="371">
        <f>+'3FS'!M157</f>
        <v>-4</v>
      </c>
      <c r="G160" s="902">
        <f>+'3FS'!N157</f>
        <v>-4</v>
      </c>
      <c r="H160" s="371">
        <f>+'3FS'!O157</f>
        <v>-5</v>
      </c>
      <c r="I160" s="162">
        <f>+'3FS'!P157</f>
        <v>-17</v>
      </c>
      <c r="J160" s="162">
        <f>+'3FS'!Q157</f>
        <v>79</v>
      </c>
      <c r="K160" s="863">
        <f>+'3FS'!R157</f>
        <v>-36</v>
      </c>
      <c r="L160" s="162">
        <f>+'3FS'!S157</f>
        <v>-110</v>
      </c>
      <c r="M160" s="162">
        <f>+'3FS'!T157</f>
        <v>-52</v>
      </c>
      <c r="N160" s="162">
        <f>+'3FS'!U157</f>
        <v>-93</v>
      </c>
      <c r="O160" s="863">
        <f>+'3FS'!V157</f>
        <v>-52</v>
      </c>
      <c r="P160" s="162">
        <f>+'3FS'!W157</f>
        <v>-30</v>
      </c>
      <c r="Q160" s="162">
        <f>+'3FS'!X157</f>
        <v>-32</v>
      </c>
      <c r="R160" s="162">
        <f>+'3FS'!Y157</f>
        <v>-35</v>
      </c>
      <c r="S160" s="863">
        <f>+'3FS'!Z157</f>
        <v>-30</v>
      </c>
      <c r="T160" s="162">
        <f>+'3FS'!AA157</f>
        <v>-43</v>
      </c>
      <c r="U160" s="162">
        <f>+'3FS'!AB157</f>
        <v>-46</v>
      </c>
      <c r="V160" s="162">
        <f>+'3FS'!AC157</f>
        <v>-24</v>
      </c>
      <c r="W160" s="863">
        <f>+'3FS'!AD157</f>
        <v>-34</v>
      </c>
      <c r="X160" s="162">
        <f>+'3FS'!AE157</f>
        <v>-34</v>
      </c>
      <c r="Y160" s="162">
        <f>+'3FS'!AF157</f>
        <v>-34</v>
      </c>
      <c r="Z160" s="162">
        <f>+'3FS'!AG157</f>
        <v>-49</v>
      </c>
      <c r="AA160" s="863">
        <f>+'3FS'!AH157</f>
        <v>-48</v>
      </c>
      <c r="AB160" s="162">
        <f>+'3FS'!AI157</f>
        <v>-18</v>
      </c>
      <c r="AC160" s="162">
        <f>+'3FS'!AJ157</f>
        <v>-30</v>
      </c>
      <c r="AD160" s="162">
        <f>+'3FS'!AK157</f>
        <v>-32</v>
      </c>
      <c r="AE160" s="902"/>
      <c r="AF160" s="371"/>
      <c r="AG160" s="371"/>
      <c r="AH160" s="371"/>
      <c r="AI160" s="902"/>
      <c r="AK160" s="162">
        <f>+'3FS'!D157</f>
        <v>-45</v>
      </c>
      <c r="AL160" s="162">
        <f>+'3FS'!E157</f>
        <v>21</v>
      </c>
      <c r="AM160" s="162">
        <f>+'3FS'!F157</f>
        <v>-307</v>
      </c>
      <c r="AN160" s="162">
        <f>+'3FS'!G157</f>
        <v>-127</v>
      </c>
      <c r="AO160" s="162">
        <f>+'3FS'!H157</f>
        <v>-147</v>
      </c>
      <c r="AP160" s="162">
        <f>+'3FS'!I157</f>
        <v>-165</v>
      </c>
      <c r="AQ160" s="554">
        <f t="shared" si="561"/>
        <v>-80</v>
      </c>
      <c r="AR160" s="554">
        <f t="shared" si="561"/>
        <v>0</v>
      </c>
      <c r="AS160" s="371"/>
    </row>
    <row r="161" spans="2:45" s="3" customFormat="1" x14ac:dyDescent="0.2">
      <c r="B161" s="194" t="s">
        <v>111</v>
      </c>
      <c r="C161" s="196"/>
      <c r="D161" s="378">
        <f t="shared" ref="D161:F161" si="564">+SUM(D150:D160)</f>
        <v>-190</v>
      </c>
      <c r="E161" s="378">
        <f t="shared" si="564"/>
        <v>-866</v>
      </c>
      <c r="F161" s="378">
        <f t="shared" si="564"/>
        <v>-543</v>
      </c>
      <c r="G161" s="920">
        <f t="shared" ref="G161" si="565">+SUM(G150:G160)</f>
        <v>-775</v>
      </c>
      <c r="H161" s="378">
        <f t="shared" ref="H161" si="566">+SUM(H150:H160)</f>
        <v>-453</v>
      </c>
      <c r="I161" s="225">
        <f t="shared" ref="I161" si="567">+SUM(I150:I160)</f>
        <v>15628</v>
      </c>
      <c r="J161" s="225">
        <f t="shared" ref="J161" si="568">+SUM(J150:J160)</f>
        <v>-6144</v>
      </c>
      <c r="K161" s="932">
        <f t="shared" ref="K161" si="569">+SUM(K150:K160)</f>
        <v>3979</v>
      </c>
      <c r="L161" s="225">
        <f t="shared" ref="L161" si="570">+SUM(L150:L160)</f>
        <v>3874</v>
      </c>
      <c r="M161" s="225">
        <f t="shared" ref="M161" si="571">+SUM(M150:M160)</f>
        <v>-577</v>
      </c>
      <c r="N161" s="225">
        <f t="shared" ref="N161" si="572">+SUM(N150:N160)</f>
        <v>-3060</v>
      </c>
      <c r="O161" s="932">
        <f t="shared" ref="O161" si="573">+SUM(O150:O160)</f>
        <v>1472</v>
      </c>
      <c r="P161" s="225">
        <f t="shared" ref="P161" si="574">+SUM(P150:P160)</f>
        <v>-2136</v>
      </c>
      <c r="Q161" s="225">
        <f t="shared" ref="Q161" si="575">+SUM(Q150:Q160)</f>
        <v>-1744</v>
      </c>
      <c r="R161" s="225">
        <f t="shared" ref="R161" si="576">+SUM(R150:R160)</f>
        <v>1927</v>
      </c>
      <c r="S161" s="932">
        <f t="shared" ref="S161" si="577">+SUM(S150:S160)</f>
        <v>-4498</v>
      </c>
      <c r="T161" s="225">
        <f t="shared" ref="T161" si="578">+SUM(T150:T160)</f>
        <v>-2273</v>
      </c>
      <c r="U161" s="225">
        <f t="shared" ref="U161" si="579">+SUM(U150:U160)</f>
        <v>-784</v>
      </c>
      <c r="V161" s="225">
        <f t="shared" ref="V161" si="580">+SUM(V150:V160)</f>
        <v>-5510</v>
      </c>
      <c r="W161" s="932">
        <f t="shared" ref="W161" si="581">+SUM(W150:W160)</f>
        <v>-3530</v>
      </c>
      <c r="X161" s="225">
        <f t="shared" ref="X161" si="582">+SUM(X150:X160)</f>
        <v>-1666</v>
      </c>
      <c r="Y161" s="225">
        <f t="shared" ref="Y161" si="583">+SUM(Y150:Y160)</f>
        <v>-4134</v>
      </c>
      <c r="Z161" s="225">
        <f t="shared" ref="Z161:AA161" si="584">+SUM(Z150:Z160)</f>
        <v>507</v>
      </c>
      <c r="AA161" s="932">
        <f t="shared" si="584"/>
        <v>-7522</v>
      </c>
      <c r="AB161" s="225">
        <f t="shared" ref="AB161:AC161" si="585">+SUM(AB150:AB160)</f>
        <v>3193</v>
      </c>
      <c r="AC161" s="225">
        <f t="shared" si="585"/>
        <v>-7205</v>
      </c>
      <c r="AD161" s="225">
        <f t="shared" ref="AD161" si="586">+SUM(AD150:AD160)</f>
        <v>-4238</v>
      </c>
      <c r="AE161" s="920">
        <f t="shared" ref="AE161" si="587">+SUM(AE150:AE160)</f>
        <v>-3845.0319634970901</v>
      </c>
      <c r="AF161" s="378">
        <f t="shared" ref="AF161" si="588">+SUM(AF150:AF160)</f>
        <v>-2286.071872478436</v>
      </c>
      <c r="AG161" s="378">
        <f t="shared" ref="AG161" si="589">+SUM(AG150:AG160)</f>
        <v>-2241.7236611379458</v>
      </c>
      <c r="AH161" s="378">
        <f t="shared" ref="AH161" si="590">+SUM(AH150:AH160)</f>
        <v>-2197.2617886245175</v>
      </c>
      <c r="AI161" s="920">
        <f t="shared" ref="AI161" si="591">+SUM(AI150:AI160)</f>
        <v>-2301.3185100784649</v>
      </c>
      <c r="AK161" s="225">
        <f t="shared" ref="AK161:AO161" si="592">+SUM(AK150:AK160)</f>
        <v>-2374</v>
      </c>
      <c r="AL161" s="225">
        <f t="shared" si="592"/>
        <v>13010</v>
      </c>
      <c r="AM161" s="225">
        <f t="shared" si="592"/>
        <v>1709</v>
      </c>
      <c r="AN161" s="225">
        <f t="shared" si="592"/>
        <v>-6451</v>
      </c>
      <c r="AO161" s="225">
        <f t="shared" si="592"/>
        <v>-12097</v>
      </c>
      <c r="AP161" s="225">
        <f t="shared" ref="AP161" si="593">+SUM(AP150:AP160)</f>
        <v>-12815</v>
      </c>
      <c r="AQ161" s="378">
        <f t="shared" ref="AQ161" si="594">+SUM(AQ150:AQ160)</f>
        <v>-12095.031963497087</v>
      </c>
      <c r="AR161" s="378">
        <f t="shared" ref="AR161" si="595">+SUM(AR150:AR160)</f>
        <v>-9026.3758323193651</v>
      </c>
      <c r="AS161" s="378">
        <f t="shared" ref="AS161" si="596">+SUM(AS150:AS160)</f>
        <v>-11100.375301386419</v>
      </c>
    </row>
    <row r="162" spans="2:45" x14ac:dyDescent="0.2">
      <c r="B162" s="137" t="s">
        <v>112</v>
      </c>
      <c r="D162" s="379">
        <f t="shared" ref="D162:F162" si="597">+D161+D148+D140</f>
        <v>236</v>
      </c>
      <c r="E162" s="379">
        <f t="shared" si="597"/>
        <v>-334</v>
      </c>
      <c r="F162" s="379">
        <f t="shared" si="597"/>
        <v>548</v>
      </c>
      <c r="G162" s="921">
        <f t="shared" ref="G162" si="598">+G161+G148+G140</f>
        <v>-125</v>
      </c>
      <c r="H162" s="379">
        <f t="shared" ref="H162" si="599">+H161+H148+H140</f>
        <v>-416</v>
      </c>
      <c r="I162" s="5">
        <f t="shared" ref="I162" si="600">+I161+I148+I140</f>
        <v>10049</v>
      </c>
      <c r="J162" s="5">
        <f t="shared" ref="J162" si="601">+J161+J148+J140</f>
        <v>-4504</v>
      </c>
      <c r="K162" s="871">
        <f t="shared" ref="K162" si="602">+K161+K148+K140</f>
        <v>3806</v>
      </c>
      <c r="L162" s="5">
        <f t="shared" ref="L162" si="603">+L161+L148+L140</f>
        <v>-3704</v>
      </c>
      <c r="M162" s="5">
        <f t="shared" ref="M162" si="604">+M161+M148+M140</f>
        <v>1119</v>
      </c>
      <c r="N162" s="5">
        <f t="shared" ref="N162" si="605">+N161+N148+N140</f>
        <v>-3735</v>
      </c>
      <c r="O162" s="871">
        <f t="shared" ref="O162" si="606">+O161+O148+O140</f>
        <v>2560</v>
      </c>
      <c r="P162" s="5">
        <f t="shared" ref="P162" si="607">+P161+P148+P140</f>
        <v>-3383</v>
      </c>
      <c r="Q162" s="5">
        <f t="shared" ref="Q162" si="608">+Q161+Q148+Q140</f>
        <v>-94</v>
      </c>
      <c r="R162" s="5">
        <f t="shared" ref="R162" si="609">+R161+R148+R140</f>
        <v>3763</v>
      </c>
      <c r="S162" s="871">
        <f t="shared" ref="S162" si="610">+S161+S148+S140</f>
        <v>-2315</v>
      </c>
      <c r="T162" s="5">
        <f t="shared" ref="T162" si="611">+T161+T148+T140</f>
        <v>50</v>
      </c>
      <c r="U162" s="5">
        <f t="shared" ref="U162" si="612">+U161+U148+U140</f>
        <v>2084</v>
      </c>
      <c r="V162" s="5">
        <f t="shared" ref="V162" si="613">+V161+V148+V140</f>
        <v>-1609</v>
      </c>
      <c r="W162" s="871">
        <f t="shared" ref="W162" si="614">+W161+W148+W140</f>
        <v>108</v>
      </c>
      <c r="X162" s="5">
        <f t="shared" ref="X162" si="615">+X161+X148+X140</f>
        <v>1631</v>
      </c>
      <c r="Y162" s="5">
        <f t="shared" ref="Y162" si="616">+Y161+Y148+Y140</f>
        <v>-291</v>
      </c>
      <c r="Z162" s="5">
        <f t="shared" ref="Z162:AA162" si="617">+Z161+Z148+Z140</f>
        <v>3339</v>
      </c>
      <c r="AA162" s="871">
        <f t="shared" si="617"/>
        <v>-4273</v>
      </c>
      <c r="AB162" s="5">
        <f t="shared" ref="AB162:AC162" si="618">+AB161+AB148+AB140</f>
        <v>6631</v>
      </c>
      <c r="AC162" s="5">
        <f t="shared" si="618"/>
        <v>-1772</v>
      </c>
      <c r="AD162" s="5">
        <f t="shared" ref="AD162" si="619">+AD161+AD148+AD140</f>
        <v>-6920</v>
      </c>
      <c r="AE162" s="921">
        <f t="shared" ref="AE162" si="620">+AE161+AE148+AE140</f>
        <v>-1451.6156860399133</v>
      </c>
      <c r="AF162" s="379">
        <f t="shared" ref="AF162" si="621">+AF161+AF148+AF140</f>
        <v>316.64291515155401</v>
      </c>
      <c r="AG162" s="379">
        <f t="shared" ref="AG162" si="622">+AG161+AG148+AG140</f>
        <v>1427.8662010309645</v>
      </c>
      <c r="AH162" s="379">
        <f t="shared" ref="AH162" si="623">+AH161+AH148+AH140</f>
        <v>2280.7928838509724</v>
      </c>
      <c r="AI162" s="921">
        <f t="shared" ref="AI162" si="624">+AI161+AI148+AI140</f>
        <v>1156.7176010747871</v>
      </c>
      <c r="AK162" s="5">
        <f t="shared" ref="AK162:AO162" si="625">+AK161+AK148+AK140</f>
        <v>325</v>
      </c>
      <c r="AL162" s="5">
        <f t="shared" si="625"/>
        <v>8935</v>
      </c>
      <c r="AM162" s="5">
        <f t="shared" si="625"/>
        <v>-3760</v>
      </c>
      <c r="AN162" s="5">
        <f t="shared" si="625"/>
        <v>-2029</v>
      </c>
      <c r="AO162" s="5">
        <f t="shared" si="625"/>
        <v>633</v>
      </c>
      <c r="AP162" s="5">
        <f t="shared" ref="AP162" si="626">+AP161+AP148+AP140</f>
        <v>406</v>
      </c>
      <c r="AQ162" s="379">
        <f t="shared" ref="AQ162" si="627">+AQ161+AQ148+AQ140</f>
        <v>-3512.6156860399169</v>
      </c>
      <c r="AR162" s="379">
        <f t="shared" ref="AR162" si="628">+AR161+AR148+AR140</f>
        <v>5182.0196011082735</v>
      </c>
      <c r="AS162" s="379">
        <f t="shared" ref="AS162" si="629">+AS161+AS148+AS140</f>
        <v>3223.944462917043</v>
      </c>
    </row>
    <row r="163" spans="2:45" x14ac:dyDescent="0.2">
      <c r="B163" s="139" t="s">
        <v>113</v>
      </c>
      <c r="D163" s="370"/>
      <c r="E163" s="370"/>
      <c r="F163" s="370"/>
      <c r="G163" s="913"/>
      <c r="H163" s="370"/>
      <c r="K163" s="595"/>
      <c r="O163" s="595"/>
      <c r="S163" s="595"/>
      <c r="W163" s="595"/>
      <c r="AA163" s="595"/>
      <c r="AE163" s="913"/>
      <c r="AF163" s="370"/>
      <c r="AG163" s="370"/>
      <c r="AH163" s="370"/>
      <c r="AI163" s="913"/>
      <c r="AQ163" s="370"/>
      <c r="AR163" s="370"/>
      <c r="AS163" s="370"/>
    </row>
    <row r="164" spans="2:45" x14ac:dyDescent="0.2">
      <c r="B164" s="137" t="s">
        <v>114</v>
      </c>
      <c r="D164" s="380">
        <f>'3FS'!K162</f>
        <v>1203</v>
      </c>
      <c r="E164" s="379">
        <f t="shared" ref="E164" si="630">+D165</f>
        <v>1439</v>
      </c>
      <c r="F164" s="379">
        <f t="shared" ref="F164" si="631">+E165</f>
        <v>1105</v>
      </c>
      <c r="G164" s="921">
        <f t="shared" ref="G164" si="632">+F165</f>
        <v>1653</v>
      </c>
      <c r="H164" s="379">
        <f t="shared" ref="H164" si="633">+G165</f>
        <v>1528</v>
      </c>
      <c r="I164" s="5">
        <f t="shared" ref="I164" si="634">+H165</f>
        <v>1112</v>
      </c>
      <c r="J164" s="5">
        <f t="shared" ref="J164" si="635">+I165</f>
        <v>11161</v>
      </c>
      <c r="K164" s="871">
        <f t="shared" ref="K164" si="636">+J165</f>
        <v>6657</v>
      </c>
      <c r="L164" s="5">
        <f t="shared" ref="L164" si="637">+K165</f>
        <v>10463</v>
      </c>
      <c r="M164" s="5">
        <f t="shared" ref="M164" si="638">+L165</f>
        <v>6759</v>
      </c>
      <c r="N164" s="5">
        <f t="shared" ref="N164" si="639">+M165</f>
        <v>7878</v>
      </c>
      <c r="O164" s="871">
        <f t="shared" ref="O164" si="640">+N165</f>
        <v>4143</v>
      </c>
      <c r="P164" s="5">
        <f t="shared" ref="P164" si="641">+O165</f>
        <v>6703</v>
      </c>
      <c r="Q164" s="5">
        <f t="shared" ref="Q164:AI164" si="642">+P165</f>
        <v>3320</v>
      </c>
      <c r="R164" s="5">
        <f t="shared" si="642"/>
        <v>3226</v>
      </c>
      <c r="S164" s="871">
        <f t="shared" si="642"/>
        <v>6989</v>
      </c>
      <c r="T164" s="5">
        <f t="shared" si="642"/>
        <v>4674</v>
      </c>
      <c r="U164" s="5">
        <f t="shared" si="642"/>
        <v>4724</v>
      </c>
      <c r="V164" s="5">
        <f t="shared" si="642"/>
        <v>6808</v>
      </c>
      <c r="W164" s="871">
        <f t="shared" si="642"/>
        <v>5199</v>
      </c>
      <c r="X164" s="5">
        <f t="shared" si="642"/>
        <v>5307</v>
      </c>
      <c r="Y164" s="5">
        <f t="shared" si="642"/>
        <v>6938</v>
      </c>
      <c r="Z164" s="5">
        <f t="shared" si="642"/>
        <v>6647</v>
      </c>
      <c r="AA164" s="871">
        <f t="shared" si="642"/>
        <v>9986</v>
      </c>
      <c r="AB164" s="5">
        <f t="shared" si="642"/>
        <v>5713</v>
      </c>
      <c r="AC164" s="5">
        <f t="shared" si="642"/>
        <v>12344</v>
      </c>
      <c r="AD164" s="5">
        <f t="shared" si="642"/>
        <v>10572</v>
      </c>
      <c r="AE164" s="921">
        <f t="shared" si="642"/>
        <v>3652</v>
      </c>
      <c r="AF164" s="379">
        <f t="shared" si="642"/>
        <v>2200.3843139600867</v>
      </c>
      <c r="AG164" s="379">
        <f t="shared" si="642"/>
        <v>2517.0272291116407</v>
      </c>
      <c r="AH164" s="379">
        <f t="shared" si="642"/>
        <v>3944.8934301426052</v>
      </c>
      <c r="AI164" s="921">
        <f t="shared" si="642"/>
        <v>6225.6863139935776</v>
      </c>
      <c r="AK164" s="564">
        <f>'3FS'!D162</f>
        <v>1203</v>
      </c>
      <c r="AL164" s="5">
        <f>+AK165</f>
        <v>1528</v>
      </c>
      <c r="AM164" s="5">
        <f>+AL165</f>
        <v>10463</v>
      </c>
      <c r="AN164" s="5">
        <f>+AM165</f>
        <v>6703</v>
      </c>
      <c r="AO164" s="5">
        <f>+AN165</f>
        <v>4674</v>
      </c>
      <c r="AP164" s="5">
        <f>+AO165</f>
        <v>5307</v>
      </c>
      <c r="AQ164" s="379">
        <f t="shared" ref="AQ164:AS164" si="643">+AP165</f>
        <v>5713</v>
      </c>
      <c r="AR164" s="379">
        <f t="shared" si="643"/>
        <v>2200.3843139600831</v>
      </c>
      <c r="AS164" s="379">
        <f t="shared" si="643"/>
        <v>7382.4039150683566</v>
      </c>
    </row>
    <row r="165" spans="2:45" ht="12.75" thickBot="1" x14ac:dyDescent="0.25">
      <c r="B165" s="186" t="s">
        <v>115</v>
      </c>
      <c r="C165" s="187"/>
      <c r="D165" s="381">
        <f t="shared" ref="D165:E165" si="644">+D164+D162</f>
        <v>1439</v>
      </c>
      <c r="E165" s="381">
        <f t="shared" si="644"/>
        <v>1105</v>
      </c>
      <c r="F165" s="381">
        <f t="shared" ref="F165:P165" si="645">+F164+F162</f>
        <v>1653</v>
      </c>
      <c r="G165" s="922">
        <f t="shared" si="645"/>
        <v>1528</v>
      </c>
      <c r="H165" s="381">
        <f t="shared" si="645"/>
        <v>1112</v>
      </c>
      <c r="I165" s="221">
        <f t="shared" si="645"/>
        <v>11161</v>
      </c>
      <c r="J165" s="221">
        <f t="shared" si="645"/>
        <v>6657</v>
      </c>
      <c r="K165" s="933">
        <f t="shared" si="645"/>
        <v>10463</v>
      </c>
      <c r="L165" s="221">
        <f t="shared" si="645"/>
        <v>6759</v>
      </c>
      <c r="M165" s="221">
        <f t="shared" si="645"/>
        <v>7878</v>
      </c>
      <c r="N165" s="221">
        <f t="shared" si="645"/>
        <v>4143</v>
      </c>
      <c r="O165" s="933">
        <f t="shared" si="645"/>
        <v>6703</v>
      </c>
      <c r="P165" s="221">
        <f t="shared" si="645"/>
        <v>3320</v>
      </c>
      <c r="Q165" s="221">
        <f t="shared" ref="Q165" si="646">+Q164+Q162</f>
        <v>3226</v>
      </c>
      <c r="R165" s="221">
        <f t="shared" ref="R165" si="647">+R164+R162</f>
        <v>6989</v>
      </c>
      <c r="S165" s="933">
        <f t="shared" ref="S165" si="648">+S164+S162</f>
        <v>4674</v>
      </c>
      <c r="T165" s="221">
        <f t="shared" ref="T165" si="649">+T164+T162</f>
        <v>4724</v>
      </c>
      <c r="U165" s="221">
        <f t="shared" ref="U165" si="650">+U164+U162</f>
        <v>6808</v>
      </c>
      <c r="V165" s="221">
        <f t="shared" ref="V165" si="651">+V164+V162</f>
        <v>5199</v>
      </c>
      <c r="W165" s="933">
        <f t="shared" ref="W165" si="652">+W164+W162</f>
        <v>5307</v>
      </c>
      <c r="X165" s="221">
        <f t="shared" ref="X165" si="653">+X164+X162</f>
        <v>6938</v>
      </c>
      <c r="Y165" s="221">
        <f t="shared" ref="Y165" si="654">+Y164+Y162</f>
        <v>6647</v>
      </c>
      <c r="Z165" s="221">
        <f t="shared" ref="Z165:AA165" si="655">+Z164+Z162</f>
        <v>9986</v>
      </c>
      <c r="AA165" s="933">
        <f t="shared" si="655"/>
        <v>5713</v>
      </c>
      <c r="AB165" s="221">
        <f t="shared" ref="AB165:AC165" si="656">+AB164+AB162</f>
        <v>12344</v>
      </c>
      <c r="AC165" s="221">
        <f t="shared" si="656"/>
        <v>10572</v>
      </c>
      <c r="AD165" s="221">
        <f t="shared" ref="AD165" si="657">+AD164+AD162</f>
        <v>3652</v>
      </c>
      <c r="AE165" s="922">
        <f t="shared" ref="AE165" si="658">+AE164+AE162</f>
        <v>2200.3843139600867</v>
      </c>
      <c r="AF165" s="381">
        <f t="shared" ref="AF165" si="659">+AF164+AF162</f>
        <v>2517.0272291116407</v>
      </c>
      <c r="AG165" s="381">
        <f t="shared" ref="AG165" si="660">+AG164+AG162</f>
        <v>3944.8934301426052</v>
      </c>
      <c r="AH165" s="381">
        <f t="shared" ref="AH165" si="661">+AH164+AH162</f>
        <v>6225.6863139935776</v>
      </c>
      <c r="AI165" s="922">
        <f t="shared" ref="AI165" si="662">+AI164+AI162</f>
        <v>7382.4039150683648</v>
      </c>
      <c r="AK165" s="221">
        <f>+AK164+AK162</f>
        <v>1528</v>
      </c>
      <c r="AL165" s="221">
        <f t="shared" ref="AL165:AO165" si="663">+AL164+AL162</f>
        <v>10463</v>
      </c>
      <c r="AM165" s="221">
        <f t="shared" si="663"/>
        <v>6703</v>
      </c>
      <c r="AN165" s="221">
        <f t="shared" si="663"/>
        <v>4674</v>
      </c>
      <c r="AO165" s="221">
        <f t="shared" si="663"/>
        <v>5307</v>
      </c>
      <c r="AP165" s="221">
        <f t="shared" ref="AP165" si="664">+AP164+AP162</f>
        <v>5713</v>
      </c>
      <c r="AQ165" s="381">
        <f t="shared" ref="AQ165" si="665">+AQ164+AQ162</f>
        <v>2200.3843139600831</v>
      </c>
      <c r="AR165" s="381">
        <f t="shared" ref="AR165" si="666">+AR164+AR162</f>
        <v>7382.4039150683566</v>
      </c>
      <c r="AS165" s="381">
        <f t="shared" ref="AS165" si="667">+AS164+AS162</f>
        <v>10606.3483779854</v>
      </c>
    </row>
    <row r="166" spans="2:45" x14ac:dyDescent="0.2">
      <c r="B166" s="29" t="s">
        <v>237</v>
      </c>
      <c r="D166" s="379">
        <f t="shared" ref="D166:E166" si="668">D165-D69</f>
        <v>0</v>
      </c>
      <c r="E166" s="379">
        <f t="shared" si="668"/>
        <v>0</v>
      </c>
      <c r="F166" s="379">
        <f t="shared" ref="F166:P166" si="669">F165-F69</f>
        <v>0</v>
      </c>
      <c r="G166" s="921">
        <f t="shared" si="669"/>
        <v>0</v>
      </c>
      <c r="H166" s="379">
        <f t="shared" si="669"/>
        <v>0</v>
      </c>
      <c r="I166" s="5">
        <f t="shared" si="669"/>
        <v>85</v>
      </c>
      <c r="J166" s="5">
        <f t="shared" si="669"/>
        <v>86</v>
      </c>
      <c r="K166" s="871">
        <f t="shared" si="669"/>
        <v>78</v>
      </c>
      <c r="L166" s="5">
        <f t="shared" si="669"/>
        <v>82</v>
      </c>
      <c r="M166" s="5">
        <f t="shared" si="669"/>
        <v>85</v>
      </c>
      <c r="N166" s="5">
        <f t="shared" si="669"/>
        <v>88</v>
      </c>
      <c r="O166" s="871">
        <f t="shared" si="669"/>
        <v>72</v>
      </c>
      <c r="P166" s="5">
        <f t="shared" si="669"/>
        <v>75</v>
      </c>
      <c r="Q166" s="5">
        <f t="shared" ref="Q166" si="670">Q165-Q69</f>
        <v>75</v>
      </c>
      <c r="R166" s="5">
        <f t="shared" ref="R166" si="671">R165-R69</f>
        <v>101</v>
      </c>
      <c r="S166" s="871">
        <f t="shared" ref="S166" si="672">S165-S69</f>
        <v>167</v>
      </c>
      <c r="T166" s="5">
        <f t="shared" ref="T166" si="673">T165-T69</f>
        <v>184</v>
      </c>
      <c r="U166" s="5">
        <f t="shared" ref="U166" si="674">U165-U69</f>
        <v>161</v>
      </c>
      <c r="V166" s="5">
        <f t="shared" ref="V166" si="675">V165-V69</f>
        <v>169</v>
      </c>
      <c r="W166" s="871">
        <f t="shared" ref="W166" si="676">W165-W69</f>
        <v>172</v>
      </c>
      <c r="X166" s="5">
        <f t="shared" ref="X166" si="677">X165-X69</f>
        <v>230</v>
      </c>
      <c r="Y166" s="5">
        <f t="shared" ref="Y166" si="678">Y165-Y69</f>
        <v>230</v>
      </c>
      <c r="Z166" s="5">
        <f t="shared" ref="Z166:AA166" si="679">Z165-Z69</f>
        <v>232</v>
      </c>
      <c r="AA166" s="871">
        <f t="shared" si="679"/>
        <v>304</v>
      </c>
      <c r="AB166" s="5">
        <f t="shared" ref="AB166:AC166" si="680">AB165-AB69</f>
        <v>341</v>
      </c>
      <c r="AC166" s="5">
        <f t="shared" si="680"/>
        <v>313</v>
      </c>
      <c r="AD166" s="5">
        <f t="shared" ref="AD166" si="681">AD165-AD69</f>
        <v>342</v>
      </c>
      <c r="AE166" s="1167">
        <f t="shared" ref="AE166:AI166" si="682">+AD166</f>
        <v>342</v>
      </c>
      <c r="AF166" s="1168">
        <f t="shared" si="682"/>
        <v>342</v>
      </c>
      <c r="AG166" s="1168">
        <f t="shared" si="682"/>
        <v>342</v>
      </c>
      <c r="AH166" s="1168">
        <f t="shared" si="682"/>
        <v>342</v>
      </c>
      <c r="AI166" s="1167">
        <f t="shared" si="682"/>
        <v>342</v>
      </c>
      <c r="AK166" s="5">
        <f t="shared" ref="AK166:AO166" si="683">AK165-AK69</f>
        <v>0</v>
      </c>
      <c r="AL166" s="5">
        <f t="shared" si="683"/>
        <v>78</v>
      </c>
      <c r="AM166" s="5">
        <f t="shared" si="683"/>
        <v>72</v>
      </c>
      <c r="AN166" s="5">
        <f t="shared" si="683"/>
        <v>167</v>
      </c>
      <c r="AO166" s="5">
        <f t="shared" si="683"/>
        <v>172</v>
      </c>
      <c r="AP166" s="5">
        <f t="shared" ref="AP166" si="684">AP165-AP69</f>
        <v>304</v>
      </c>
      <c r="AQ166" s="379">
        <f t="shared" ref="AQ166" si="685">AQ165-AQ69</f>
        <v>341.99999999999636</v>
      </c>
      <c r="AR166" s="379">
        <f t="shared" ref="AR166" si="686">AR165-AR69</f>
        <v>341.99999999999181</v>
      </c>
      <c r="AS166" s="1168">
        <f>+AR166</f>
        <v>341.99999999999181</v>
      </c>
    </row>
    <row r="167" spans="2:45" x14ac:dyDescent="0.2">
      <c r="B167" s="6"/>
      <c r="D167" s="370"/>
      <c r="E167" s="370"/>
      <c r="F167" s="370"/>
      <c r="G167" s="913"/>
      <c r="H167" s="370"/>
      <c r="K167" s="595"/>
      <c r="O167" s="595"/>
      <c r="S167" s="595"/>
      <c r="W167" s="595"/>
      <c r="AA167" s="595"/>
      <c r="AE167" s="913"/>
      <c r="AF167" s="370"/>
      <c r="AG167" s="370"/>
      <c r="AH167" s="370"/>
      <c r="AI167" s="913"/>
      <c r="AQ167" s="370"/>
      <c r="AR167" s="370"/>
      <c r="AS167" s="370"/>
    </row>
    <row r="168" spans="2:45" x14ac:dyDescent="0.2">
      <c r="B168" s="30" t="s">
        <v>118</v>
      </c>
      <c r="D168" s="370"/>
      <c r="E168" s="370"/>
      <c r="F168" s="370"/>
      <c r="G168" s="913"/>
      <c r="H168" s="370"/>
      <c r="K168" s="595"/>
      <c r="O168" s="595"/>
      <c r="S168" s="595"/>
      <c r="W168" s="595"/>
      <c r="AA168" s="595"/>
      <c r="AE168" s="913"/>
      <c r="AF168" s="370"/>
      <c r="AG168" s="370"/>
      <c r="AH168" s="370"/>
      <c r="AI168" s="913"/>
      <c r="AQ168" s="370"/>
      <c r="AR168" s="370"/>
      <c r="AS168" s="370"/>
    </row>
    <row r="169" spans="2:45" x14ac:dyDescent="0.2">
      <c r="B169" s="169" t="s">
        <v>96</v>
      </c>
      <c r="D169" s="379">
        <f t="shared" ref="D169:E169" si="687">+D140</f>
        <v>1392</v>
      </c>
      <c r="E169" s="379">
        <f t="shared" si="687"/>
        <v>2147</v>
      </c>
      <c r="F169" s="379">
        <f t="shared" ref="F169:Y169" si="688">+F140</f>
        <v>1748</v>
      </c>
      <c r="G169" s="921">
        <f t="shared" si="688"/>
        <v>1537</v>
      </c>
      <c r="H169" s="379">
        <f t="shared" si="688"/>
        <v>1617</v>
      </c>
      <c r="I169" s="5">
        <f t="shared" si="688"/>
        <v>777</v>
      </c>
      <c r="J169" s="5">
        <f t="shared" si="688"/>
        <v>2772</v>
      </c>
      <c r="K169" s="871">
        <f t="shared" si="688"/>
        <v>3474</v>
      </c>
      <c r="L169" s="5">
        <f t="shared" si="688"/>
        <v>3661</v>
      </c>
      <c r="M169" s="5">
        <f t="shared" si="688"/>
        <v>3779</v>
      </c>
      <c r="N169" s="5">
        <f t="shared" si="688"/>
        <v>3477</v>
      </c>
      <c r="O169" s="871">
        <f t="shared" si="688"/>
        <v>3000</v>
      </c>
      <c r="P169" s="5">
        <f t="shared" si="688"/>
        <v>3845</v>
      </c>
      <c r="Q169" s="5">
        <f t="shared" si="688"/>
        <v>4209</v>
      </c>
      <c r="R169" s="5">
        <f t="shared" si="688"/>
        <v>4391</v>
      </c>
      <c r="S169" s="871">
        <f t="shared" si="688"/>
        <v>4336</v>
      </c>
      <c r="T169" s="5">
        <f t="shared" si="688"/>
        <v>4051</v>
      </c>
      <c r="U169" s="5">
        <f t="shared" si="688"/>
        <v>4355</v>
      </c>
      <c r="V169" s="5">
        <f t="shared" si="688"/>
        <v>5294</v>
      </c>
      <c r="W169" s="871">
        <f t="shared" si="688"/>
        <v>4859</v>
      </c>
      <c r="X169" s="5">
        <f t="shared" si="688"/>
        <v>5084</v>
      </c>
      <c r="Y169" s="5">
        <f t="shared" si="688"/>
        <v>5521</v>
      </c>
      <c r="Z169" s="5">
        <f t="shared" ref="Z169:AA169" si="689">+Z140</f>
        <v>6139</v>
      </c>
      <c r="AA169" s="871">
        <f t="shared" si="689"/>
        <v>5549</v>
      </c>
      <c r="AB169" s="5">
        <f t="shared" ref="AB169:AC169" si="690">+AB140</f>
        <v>6847</v>
      </c>
      <c r="AC169" s="5">
        <f t="shared" si="690"/>
        <v>6992</v>
      </c>
      <c r="AD169" s="5">
        <f t="shared" ref="AD169" si="691">+AD140</f>
        <v>7457</v>
      </c>
      <c r="AE169" s="921">
        <f t="shared" ref="AE169:AI169" si="692">+AE140</f>
        <v>6550.8662944174084</v>
      </c>
      <c r="AF169" s="379">
        <f t="shared" si="692"/>
        <v>6823.675099698331</v>
      </c>
      <c r="AG169" s="379">
        <f t="shared" si="692"/>
        <v>7968.6218902029132</v>
      </c>
      <c r="AH169" s="379">
        <f t="shared" si="692"/>
        <v>8840.6826037118626</v>
      </c>
      <c r="AI169" s="921">
        <f t="shared" si="692"/>
        <v>7880.2163786350357</v>
      </c>
      <c r="AK169" s="5">
        <f t="shared" ref="AK169:AO169" si="693">+AK140</f>
        <v>6824</v>
      </c>
      <c r="AL169" s="5">
        <f t="shared" si="693"/>
        <v>8640</v>
      </c>
      <c r="AM169" s="5">
        <f t="shared" si="693"/>
        <v>13917</v>
      </c>
      <c r="AN169" s="5">
        <f t="shared" si="693"/>
        <v>16781</v>
      </c>
      <c r="AO169" s="5">
        <f t="shared" si="693"/>
        <v>18559</v>
      </c>
      <c r="AP169" s="5">
        <f t="shared" ref="AP169" si="694">+AP140</f>
        <v>22293</v>
      </c>
      <c r="AQ169" s="379">
        <f t="shared" ref="AQ169:AS169" si="695">+AQ140</f>
        <v>27846.866294417403</v>
      </c>
      <c r="AR169" s="379">
        <f t="shared" si="695"/>
        <v>31513.195972248137</v>
      </c>
      <c r="AS169" s="379">
        <f t="shared" si="695"/>
        <v>32447.182480730469</v>
      </c>
    </row>
    <row r="170" spans="2:45" x14ac:dyDescent="0.2">
      <c r="B170" s="137" t="s">
        <v>116</v>
      </c>
      <c r="D170" s="379">
        <f t="shared" ref="D170:E170" si="696">+D142</f>
        <v>-1931</v>
      </c>
      <c r="E170" s="379">
        <f t="shared" si="696"/>
        <v>-1789</v>
      </c>
      <c r="F170" s="379">
        <f t="shared" ref="F170:Y170" si="697">+F142</f>
        <v>-1514</v>
      </c>
      <c r="G170" s="921">
        <f t="shared" si="697"/>
        <v>-1157</v>
      </c>
      <c r="H170" s="379">
        <f t="shared" si="697"/>
        <v>-1753</v>
      </c>
      <c r="I170" s="5">
        <f t="shared" si="697"/>
        <v>-2257</v>
      </c>
      <c r="J170" s="5">
        <f t="shared" si="697"/>
        <v>-3217</v>
      </c>
      <c r="K170" s="871">
        <f t="shared" si="697"/>
        <v>-3807</v>
      </c>
      <c r="L170" s="5">
        <f t="shared" si="697"/>
        <v>-3183</v>
      </c>
      <c r="M170" s="5">
        <f t="shared" si="697"/>
        <v>-3270</v>
      </c>
      <c r="N170" s="5">
        <f t="shared" si="697"/>
        <v>-2944</v>
      </c>
      <c r="O170" s="871">
        <f t="shared" si="697"/>
        <v>-2929</v>
      </c>
      <c r="P170" s="5">
        <f t="shared" si="697"/>
        <v>-3381</v>
      </c>
      <c r="Q170" s="5">
        <f t="shared" si="697"/>
        <v>-3572</v>
      </c>
      <c r="R170" s="5">
        <f t="shared" si="697"/>
        <v>-3634</v>
      </c>
      <c r="S170" s="871">
        <f t="shared" si="697"/>
        <v>-3383</v>
      </c>
      <c r="T170" s="5">
        <f t="shared" si="697"/>
        <v>-3001</v>
      </c>
      <c r="U170" s="5">
        <f t="shared" si="697"/>
        <v>-2789</v>
      </c>
      <c r="V170" s="5">
        <f t="shared" si="697"/>
        <v>-2424</v>
      </c>
      <c r="W170" s="871">
        <f t="shared" si="697"/>
        <v>-1587</v>
      </c>
      <c r="X170" s="5">
        <f t="shared" si="697"/>
        <v>-2627</v>
      </c>
      <c r="Y170" s="5">
        <f t="shared" si="697"/>
        <v>-2040</v>
      </c>
      <c r="Z170" s="5">
        <f t="shared" ref="Z170:AA170" si="698">+Z142</f>
        <v>-1961</v>
      </c>
      <c r="AA170" s="871">
        <f t="shared" si="698"/>
        <v>-2212</v>
      </c>
      <c r="AB170" s="5">
        <f t="shared" ref="AB170:AC170" si="699">+AB142</f>
        <v>-2451</v>
      </c>
      <c r="AC170" s="5">
        <f t="shared" si="699"/>
        <v>-2396</v>
      </c>
      <c r="AD170" s="5">
        <f t="shared" ref="AD170" si="700">+AD142</f>
        <v>-2639</v>
      </c>
      <c r="AE170" s="921">
        <f t="shared" ref="AE170:AI170" si="701">+AE142</f>
        <v>-2537.2670672479476</v>
      </c>
      <c r="AF170" s="379">
        <f t="shared" si="701"/>
        <v>-2575.0082854261846</v>
      </c>
      <c r="AG170" s="379">
        <f t="shared" si="701"/>
        <v>-2626.901066225942</v>
      </c>
      <c r="AH170" s="379">
        <f t="shared" si="701"/>
        <v>-2663.9016572141545</v>
      </c>
      <c r="AI170" s="921">
        <f t="shared" si="701"/>
        <v>-2696.4356817029525</v>
      </c>
      <c r="AK170" s="5">
        <f t="shared" ref="AK170:AO170" si="702">+AK142</f>
        <v>-6391</v>
      </c>
      <c r="AL170" s="5">
        <f t="shared" si="702"/>
        <v>-11034</v>
      </c>
      <c r="AM170" s="5">
        <f t="shared" si="702"/>
        <v>-12326</v>
      </c>
      <c r="AN170" s="5">
        <f t="shared" si="702"/>
        <v>-13970</v>
      </c>
      <c r="AO170" s="5">
        <f t="shared" si="702"/>
        <v>-9801</v>
      </c>
      <c r="AP170" s="5">
        <f t="shared" ref="AP170" si="703">+AP142</f>
        <v>-8840</v>
      </c>
      <c r="AQ170" s="379">
        <f t="shared" ref="AQ170:AS170" si="704">+AQ142</f>
        <v>-10023.267067247947</v>
      </c>
      <c r="AR170" s="379">
        <f t="shared" si="704"/>
        <v>-10562.246690569233</v>
      </c>
      <c r="AS170" s="379">
        <f t="shared" si="704"/>
        <v>-10941.003531939117</v>
      </c>
    </row>
    <row r="171" spans="2:45" x14ac:dyDescent="0.2">
      <c r="B171" s="137" t="s">
        <v>117</v>
      </c>
      <c r="D171" s="382">
        <f t="shared" ref="D171:E171" si="705">+D144</f>
        <v>0</v>
      </c>
      <c r="E171" s="382">
        <f t="shared" si="705"/>
        <v>0</v>
      </c>
      <c r="F171" s="382">
        <f t="shared" ref="F171:Y171" si="706">+F144</f>
        <v>0</v>
      </c>
      <c r="G171" s="923">
        <f t="shared" si="706"/>
        <v>38</v>
      </c>
      <c r="H171" s="382">
        <f t="shared" si="706"/>
        <v>0</v>
      </c>
      <c r="I171" s="170">
        <f t="shared" si="706"/>
        <v>0</v>
      </c>
      <c r="J171" s="170">
        <f t="shared" si="706"/>
        <v>0</v>
      </c>
      <c r="K171" s="872">
        <f t="shared" si="706"/>
        <v>0</v>
      </c>
      <c r="L171" s="170">
        <f t="shared" si="706"/>
        <v>0</v>
      </c>
      <c r="M171" s="170">
        <f t="shared" si="706"/>
        <v>31</v>
      </c>
      <c r="N171" s="170">
        <f t="shared" si="706"/>
        <v>0</v>
      </c>
      <c r="O171" s="872">
        <f t="shared" si="706"/>
        <v>9</v>
      </c>
      <c r="P171" s="170">
        <f t="shared" si="706"/>
        <v>0</v>
      </c>
      <c r="Q171" s="170">
        <f t="shared" si="706"/>
        <v>0</v>
      </c>
      <c r="R171" s="170">
        <f t="shared" si="706"/>
        <v>0</v>
      </c>
      <c r="S171" s="872">
        <f t="shared" si="706"/>
        <v>9</v>
      </c>
      <c r="T171" s="170">
        <f t="shared" si="706"/>
        <v>6</v>
      </c>
      <c r="U171" s="170">
        <f t="shared" si="706"/>
        <v>2</v>
      </c>
      <c r="V171" s="170">
        <f t="shared" si="706"/>
        <v>2</v>
      </c>
      <c r="W171" s="872">
        <f t="shared" si="706"/>
        <v>2</v>
      </c>
      <c r="X171" s="170">
        <f t="shared" si="706"/>
        <v>0</v>
      </c>
      <c r="Y171" s="170">
        <f t="shared" si="706"/>
        <v>0</v>
      </c>
      <c r="Z171" s="170">
        <f t="shared" ref="Z171:AA171" si="707">+Z144</f>
        <v>0</v>
      </c>
      <c r="AA171" s="872">
        <f t="shared" si="707"/>
        <v>0</v>
      </c>
      <c r="AB171" s="170">
        <f t="shared" ref="AB171:AC171" si="708">+AB144</f>
        <v>0</v>
      </c>
      <c r="AC171" s="170">
        <f t="shared" si="708"/>
        <v>0</v>
      </c>
      <c r="AD171" s="170">
        <f t="shared" ref="AD171" si="709">+AD144</f>
        <v>0</v>
      </c>
      <c r="AE171" s="923">
        <f t="shared" ref="AE171:AI171" si="710">+AE144</f>
        <v>0</v>
      </c>
      <c r="AF171" s="382">
        <f t="shared" si="710"/>
        <v>0</v>
      </c>
      <c r="AG171" s="382">
        <f t="shared" si="710"/>
        <v>0</v>
      </c>
      <c r="AH171" s="382">
        <f t="shared" si="710"/>
        <v>0</v>
      </c>
      <c r="AI171" s="923">
        <f t="shared" si="710"/>
        <v>0</v>
      </c>
      <c r="AK171" s="170">
        <f t="shared" ref="AK171:AO171" si="711">+AK144</f>
        <v>38</v>
      </c>
      <c r="AL171" s="170">
        <f t="shared" si="711"/>
        <v>0</v>
      </c>
      <c r="AM171" s="170">
        <f t="shared" si="711"/>
        <v>40</v>
      </c>
      <c r="AN171" s="170">
        <f t="shared" si="711"/>
        <v>9</v>
      </c>
      <c r="AO171" s="170">
        <f t="shared" si="711"/>
        <v>12</v>
      </c>
      <c r="AP171" s="170">
        <f t="shared" ref="AP171" si="712">+AP144</f>
        <v>0</v>
      </c>
      <c r="AQ171" s="382">
        <f t="shared" ref="AQ171:AS171" si="713">+AQ144</f>
        <v>0</v>
      </c>
      <c r="AR171" s="382">
        <f t="shared" si="713"/>
        <v>0</v>
      </c>
      <c r="AS171" s="382">
        <f t="shared" si="713"/>
        <v>0</v>
      </c>
    </row>
    <row r="172" spans="2:45" x14ac:dyDescent="0.2">
      <c r="B172" s="137" t="s">
        <v>100</v>
      </c>
      <c r="D172" s="382">
        <f t="shared" ref="D172:E172" si="714">+D145</f>
        <v>1157</v>
      </c>
      <c r="E172" s="382">
        <f t="shared" si="714"/>
        <v>839</v>
      </c>
      <c r="F172" s="382">
        <f t="shared" ref="F172:Y172" si="715">+F145</f>
        <v>900</v>
      </c>
      <c r="G172" s="923">
        <f t="shared" si="715"/>
        <v>980</v>
      </c>
      <c r="H172" s="382">
        <f t="shared" si="715"/>
        <v>868</v>
      </c>
      <c r="I172" s="170">
        <f t="shared" si="715"/>
        <v>602</v>
      </c>
      <c r="J172" s="170">
        <f t="shared" si="715"/>
        <v>855</v>
      </c>
      <c r="K172" s="872">
        <f t="shared" si="715"/>
        <v>809</v>
      </c>
      <c r="L172" s="170">
        <f t="shared" si="715"/>
        <v>891</v>
      </c>
      <c r="M172" s="170">
        <f t="shared" si="715"/>
        <v>1137</v>
      </c>
      <c r="N172" s="170">
        <f t="shared" si="715"/>
        <v>1071</v>
      </c>
      <c r="O172" s="872">
        <f t="shared" si="715"/>
        <v>1032</v>
      </c>
      <c r="P172" s="170">
        <f t="shared" si="715"/>
        <v>1185</v>
      </c>
      <c r="Q172" s="170">
        <f t="shared" si="715"/>
        <v>1121</v>
      </c>
      <c r="R172" s="170">
        <f t="shared" si="715"/>
        <v>1308</v>
      </c>
      <c r="S172" s="872">
        <f t="shared" si="715"/>
        <v>1222</v>
      </c>
      <c r="T172" s="170">
        <f t="shared" si="715"/>
        <v>1345</v>
      </c>
      <c r="U172" s="170">
        <f t="shared" si="715"/>
        <v>1309</v>
      </c>
      <c r="V172" s="170">
        <f t="shared" si="715"/>
        <v>1131</v>
      </c>
      <c r="W172" s="872">
        <f t="shared" si="715"/>
        <v>1031</v>
      </c>
      <c r="X172" s="170">
        <f t="shared" si="715"/>
        <v>890</v>
      </c>
      <c r="Y172" s="170">
        <f t="shared" si="715"/>
        <v>958</v>
      </c>
      <c r="Z172" s="170">
        <f t="shared" ref="Z172:AA172" si="716">+Z145</f>
        <v>984</v>
      </c>
      <c r="AA172" s="872">
        <f t="shared" si="716"/>
        <v>747</v>
      </c>
      <c r="AB172" s="170">
        <f t="shared" ref="AB172:AC172" si="717">+AB145</f>
        <v>0</v>
      </c>
      <c r="AC172" s="170">
        <f t="shared" si="717"/>
        <v>0</v>
      </c>
      <c r="AD172" s="170">
        <f t="shared" ref="AD172" si="718">+AD145</f>
        <v>0</v>
      </c>
      <c r="AE172" s="923">
        <f t="shared" ref="AE172:AI172" si="719">+AE145</f>
        <v>0</v>
      </c>
      <c r="AF172" s="382">
        <f t="shared" si="719"/>
        <v>0</v>
      </c>
      <c r="AG172" s="382">
        <f t="shared" si="719"/>
        <v>0</v>
      </c>
      <c r="AH172" s="382">
        <f t="shared" si="719"/>
        <v>0</v>
      </c>
      <c r="AI172" s="923">
        <f t="shared" si="719"/>
        <v>0</v>
      </c>
      <c r="AK172" s="170">
        <f t="shared" ref="AK172:AO172" si="720">+AK145</f>
        <v>3876</v>
      </c>
      <c r="AL172" s="170">
        <f t="shared" si="720"/>
        <v>3134</v>
      </c>
      <c r="AM172" s="170">
        <f t="shared" si="720"/>
        <v>4131</v>
      </c>
      <c r="AN172" s="170">
        <f t="shared" si="720"/>
        <v>4836</v>
      </c>
      <c r="AO172" s="170">
        <f t="shared" si="720"/>
        <v>4816</v>
      </c>
      <c r="AP172" s="170">
        <f t="shared" ref="AP172" si="721">+AP145</f>
        <v>3579</v>
      </c>
      <c r="AQ172" s="382">
        <f t="shared" ref="AQ172:AS172" si="722">+AQ145</f>
        <v>0</v>
      </c>
      <c r="AR172" s="382">
        <f t="shared" si="722"/>
        <v>0</v>
      </c>
      <c r="AS172" s="382">
        <f t="shared" si="722"/>
        <v>0</v>
      </c>
    </row>
    <row r="173" spans="2:45" s="3" customFormat="1" ht="12.75" thickBot="1" x14ac:dyDescent="0.25">
      <c r="B173" s="565" t="s">
        <v>233</v>
      </c>
      <c r="C173" s="182"/>
      <c r="D173" s="383">
        <f t="shared" ref="D173:F173" si="723">+SUM(D169:D172)</f>
        <v>618</v>
      </c>
      <c r="E173" s="383">
        <f t="shared" si="723"/>
        <v>1197</v>
      </c>
      <c r="F173" s="383">
        <f t="shared" si="723"/>
        <v>1134</v>
      </c>
      <c r="G173" s="924">
        <f t="shared" ref="G173" si="724">+SUM(G169:G172)</f>
        <v>1398</v>
      </c>
      <c r="H173" s="383">
        <f t="shared" ref="H173" si="725">+SUM(H169:H172)</f>
        <v>732</v>
      </c>
      <c r="I173" s="227">
        <f t="shared" ref="I173" si="726">+SUM(I169:I172)</f>
        <v>-878</v>
      </c>
      <c r="J173" s="227">
        <f t="shared" ref="J173" si="727">+SUM(J169:J172)</f>
        <v>410</v>
      </c>
      <c r="K173" s="934">
        <f t="shared" ref="K173" si="728">+SUM(K169:K172)</f>
        <v>476</v>
      </c>
      <c r="L173" s="227">
        <f t="shared" ref="L173" si="729">+SUM(L169:L172)</f>
        <v>1369</v>
      </c>
      <c r="M173" s="227">
        <f t="shared" ref="M173" si="730">+SUM(M169:M172)</f>
        <v>1677</v>
      </c>
      <c r="N173" s="227">
        <f t="shared" ref="N173" si="731">+SUM(N169:N172)</f>
        <v>1604</v>
      </c>
      <c r="O173" s="934">
        <f t="shared" ref="O173" si="732">+SUM(O169:O172)</f>
        <v>1112</v>
      </c>
      <c r="P173" s="227">
        <f t="shared" ref="P173" si="733">+SUM(P169:P172)</f>
        <v>1649</v>
      </c>
      <c r="Q173" s="227">
        <f t="shared" ref="Q173" si="734">+SUM(Q169:Q172)</f>
        <v>1758</v>
      </c>
      <c r="R173" s="227">
        <f t="shared" ref="R173" si="735">+SUM(R169:R172)</f>
        <v>2065</v>
      </c>
      <c r="S173" s="934">
        <f t="shared" ref="S173" si="736">+SUM(S169:S172)</f>
        <v>2184</v>
      </c>
      <c r="T173" s="227">
        <f t="shared" ref="T173" si="737">+SUM(T169:T172)</f>
        <v>2401</v>
      </c>
      <c r="U173" s="227">
        <f t="shared" ref="U173" si="738">+SUM(U169:U172)</f>
        <v>2877</v>
      </c>
      <c r="V173" s="227">
        <f t="shared" ref="V173" si="739">+SUM(V169:V172)</f>
        <v>4003</v>
      </c>
      <c r="W173" s="934">
        <f t="shared" ref="W173" si="740">+SUM(W169:W172)</f>
        <v>4305</v>
      </c>
      <c r="X173" s="227">
        <f t="shared" ref="X173" si="741">+SUM(X169:X172)</f>
        <v>3347</v>
      </c>
      <c r="Y173" s="227">
        <f t="shared" ref="Y173" si="742">+SUM(Y169:Y172)</f>
        <v>4439</v>
      </c>
      <c r="Z173" s="227">
        <f t="shared" ref="Z173:AA173" si="743">+SUM(Z169:Z172)</f>
        <v>5162</v>
      </c>
      <c r="AA173" s="934">
        <f t="shared" si="743"/>
        <v>4084</v>
      </c>
      <c r="AB173" s="227">
        <f t="shared" ref="AB173:AC173" si="744">+SUM(AB169:AB172)</f>
        <v>4396</v>
      </c>
      <c r="AC173" s="227">
        <f t="shared" si="744"/>
        <v>4596</v>
      </c>
      <c r="AD173" s="227">
        <f t="shared" ref="AD173" si="745">+SUM(AD169:AD172)</f>
        <v>4818</v>
      </c>
      <c r="AE173" s="924">
        <f t="shared" ref="AE173" si="746">+SUM(AE169:AE172)</f>
        <v>4013.5992271694608</v>
      </c>
      <c r="AF173" s="383">
        <f t="shared" ref="AF173" si="747">+SUM(AF169:AF172)</f>
        <v>4248.6668142721464</v>
      </c>
      <c r="AG173" s="383">
        <f t="shared" ref="AG173" si="748">+SUM(AG169:AG172)</f>
        <v>5341.7208239769716</v>
      </c>
      <c r="AH173" s="383">
        <f t="shared" ref="AH173" si="749">+SUM(AH169:AH172)</f>
        <v>6176.7809464977081</v>
      </c>
      <c r="AI173" s="924">
        <f t="shared" ref="AI173" si="750">+SUM(AI169:AI172)</f>
        <v>5183.7806969320827</v>
      </c>
      <c r="AK173" s="227">
        <f t="shared" ref="AK173:AO173" si="751">+SUM(AK169:AK172)</f>
        <v>4347</v>
      </c>
      <c r="AL173" s="227">
        <f t="shared" si="751"/>
        <v>740</v>
      </c>
      <c r="AM173" s="227">
        <f t="shared" si="751"/>
        <v>5762</v>
      </c>
      <c r="AN173" s="227">
        <f t="shared" si="751"/>
        <v>7656</v>
      </c>
      <c r="AO173" s="227">
        <f t="shared" si="751"/>
        <v>13586</v>
      </c>
      <c r="AP173" s="227">
        <f t="shared" ref="AP173" si="752">+SUM(AP169:AP172)</f>
        <v>17032</v>
      </c>
      <c r="AQ173" s="383">
        <f t="shared" ref="AQ173" si="753">+SUM(AQ169:AQ172)</f>
        <v>17823.599227169456</v>
      </c>
      <c r="AR173" s="383">
        <f t="shared" ref="AR173" si="754">+SUM(AR169:AR172)</f>
        <v>20950.949281678906</v>
      </c>
      <c r="AS173" s="383">
        <f t="shared" ref="AS173" si="755">+SUM(AS169:AS172)</f>
        <v>21506.178948791352</v>
      </c>
    </row>
    <row r="174" spans="2:45" x14ac:dyDescent="0.2">
      <c r="B174" s="137" t="s">
        <v>234</v>
      </c>
      <c r="D174" s="384">
        <f t="shared" ref="D174:AI174" si="756">+D169/D11</f>
        <v>0.10789861251065809</v>
      </c>
      <c r="E174" s="384">
        <f t="shared" si="756"/>
        <v>0.16505227552275523</v>
      </c>
      <c r="F174" s="384">
        <f t="shared" si="756"/>
        <v>0.13539891556932609</v>
      </c>
      <c r="G174" s="925">
        <f t="shared" si="756"/>
        <v>0.11636886735311933</v>
      </c>
      <c r="H174" s="384">
        <f t="shared" si="756"/>
        <v>0.12252784723800864</v>
      </c>
      <c r="I174" s="174">
        <f t="shared" si="756"/>
        <v>5.873015873015873E-2</v>
      </c>
      <c r="J174" s="174">
        <f t="shared" si="756"/>
        <v>0.196053469127944</v>
      </c>
      <c r="K174" s="911">
        <f t="shared" si="756"/>
        <v>0.24499294781382228</v>
      </c>
      <c r="L174" s="174">
        <f t="shared" si="756"/>
        <v>0.2579622322435175</v>
      </c>
      <c r="M174" s="174">
        <f t="shared" si="756"/>
        <v>0.26076455975710738</v>
      </c>
      <c r="N174" s="174">
        <f t="shared" si="756"/>
        <v>0.23617714984377122</v>
      </c>
      <c r="O174" s="911">
        <f t="shared" si="756"/>
        <v>0.20049455323130388</v>
      </c>
      <c r="P174" s="174">
        <f t="shared" si="756"/>
        <v>0.25416446324695929</v>
      </c>
      <c r="Q174" s="174">
        <f t="shared" si="756"/>
        <v>0.27481065552363543</v>
      </c>
      <c r="R174" s="174">
        <f t="shared" si="756"/>
        <v>0.2858537855608359</v>
      </c>
      <c r="S174" s="911">
        <f t="shared" si="756"/>
        <v>0.27941745070241009</v>
      </c>
      <c r="T174" s="174">
        <f t="shared" si="756"/>
        <v>0.26058150006432523</v>
      </c>
      <c r="U174" s="174">
        <f t="shared" si="756"/>
        <v>0.27671876985639854</v>
      </c>
      <c r="V174" s="174">
        <f t="shared" si="756"/>
        <v>0.3326630639688325</v>
      </c>
      <c r="W174" s="911">
        <f t="shared" si="756"/>
        <v>0.30287352739512557</v>
      </c>
      <c r="X174" s="174">
        <f t="shared" si="756"/>
        <v>0.31585487077534791</v>
      </c>
      <c r="Y174" s="174">
        <f t="shared" si="756"/>
        <v>0.33605210298861771</v>
      </c>
      <c r="Z174" s="174">
        <f t="shared" si="756"/>
        <v>0.36705530642750372</v>
      </c>
      <c r="AA174" s="911">
        <f t="shared" si="756"/>
        <v>0.32780009451795838</v>
      </c>
      <c r="AB174" s="174">
        <f t="shared" si="756"/>
        <v>0.40454948301329396</v>
      </c>
      <c r="AC174" s="174">
        <f t="shared" si="756"/>
        <v>0.40096341323546281</v>
      </c>
      <c r="AD174" s="174">
        <f t="shared" si="756"/>
        <v>0.4088043418672222</v>
      </c>
      <c r="AE174" s="925">
        <f t="shared" si="756"/>
        <v>0.3530021094244018</v>
      </c>
      <c r="AF174" s="384">
        <f t="shared" si="756"/>
        <v>0.36818822210179691</v>
      </c>
      <c r="AG174" s="384">
        <f t="shared" si="756"/>
        <v>0.41724559635910474</v>
      </c>
      <c r="AH174" s="384">
        <f t="shared" si="756"/>
        <v>0.45319276224190091</v>
      </c>
      <c r="AI174" s="925">
        <f t="shared" si="756"/>
        <v>0.40126737146762614</v>
      </c>
      <c r="AK174" s="174">
        <f t="shared" ref="AK174:AS174" si="757">+AK169/AK11</f>
        <v>0.19779710144927537</v>
      </c>
      <c r="AL174" s="174">
        <f t="shared" si="757"/>
        <v>0.17144557991864273</v>
      </c>
      <c r="AM174" s="174">
        <f t="shared" si="757"/>
        <v>0.23843135911185731</v>
      </c>
      <c r="AN174" s="174">
        <f t="shared" si="757"/>
        <v>0.27364936483864127</v>
      </c>
      <c r="AO174" s="174">
        <f t="shared" si="757"/>
        <v>0.2934646827216521</v>
      </c>
      <c r="AP174" s="174">
        <f t="shared" si="757"/>
        <v>0.33686421469370487</v>
      </c>
      <c r="AQ174" s="384">
        <f t="shared" si="757"/>
        <v>0.39131880901063015</v>
      </c>
      <c r="AR174" s="384">
        <f t="shared" si="757"/>
        <v>0.41045021251607566</v>
      </c>
      <c r="AS174" s="384">
        <f t="shared" si="757"/>
        <v>0.40032709936264299</v>
      </c>
    </row>
    <row r="175" spans="2:45" x14ac:dyDescent="0.2">
      <c r="B175" s="137" t="s">
        <v>235</v>
      </c>
      <c r="D175" s="384">
        <f t="shared" ref="D175:AI175" si="758">+D173/D11</f>
        <v>4.7903263312921482E-2</v>
      </c>
      <c r="E175" s="384">
        <f t="shared" si="758"/>
        <v>9.2020295202952032E-2</v>
      </c>
      <c r="F175" s="384">
        <f t="shared" si="758"/>
        <v>8.7838884585592567E-2</v>
      </c>
      <c r="G175" s="925">
        <f t="shared" si="758"/>
        <v>0.10584494245911569</v>
      </c>
      <c r="H175" s="384">
        <f t="shared" si="758"/>
        <v>5.5467151625369401E-2</v>
      </c>
      <c r="I175" s="174">
        <f t="shared" si="758"/>
        <v>-6.6364323507180648E-2</v>
      </c>
      <c r="J175" s="174">
        <f t="shared" si="758"/>
        <v>2.8997807482848859E-2</v>
      </c>
      <c r="K175" s="911">
        <f t="shared" si="758"/>
        <v>3.3568406205923836E-2</v>
      </c>
      <c r="L175" s="174">
        <f t="shared" si="758"/>
        <v>9.6462795941375426E-2</v>
      </c>
      <c r="M175" s="174">
        <f t="shared" si="758"/>
        <v>0.11571901738890422</v>
      </c>
      <c r="N175" s="174">
        <f t="shared" si="758"/>
        <v>0.1089525879635919</v>
      </c>
      <c r="O175" s="911">
        <f t="shared" si="758"/>
        <v>7.4316647731069968E-2</v>
      </c>
      <c r="P175" s="174">
        <f t="shared" si="758"/>
        <v>0.10900317292437864</v>
      </c>
      <c r="Q175" s="174">
        <f t="shared" si="758"/>
        <v>0.11478192739618699</v>
      </c>
      <c r="R175" s="174">
        <f t="shared" si="758"/>
        <v>0.13443135212551266</v>
      </c>
      <c r="S175" s="911">
        <f t="shared" si="758"/>
        <v>0.14073978605490398</v>
      </c>
      <c r="T175" s="174">
        <f t="shared" si="758"/>
        <v>0.15444487327930015</v>
      </c>
      <c r="U175" s="174">
        <f t="shared" si="758"/>
        <v>0.18280594738848646</v>
      </c>
      <c r="V175" s="174">
        <f t="shared" si="758"/>
        <v>0.25153952494658793</v>
      </c>
      <c r="W175" s="911">
        <f t="shared" si="758"/>
        <v>0.26834133266845356</v>
      </c>
      <c r="X175" s="174">
        <f t="shared" si="758"/>
        <v>0.20793986083499005</v>
      </c>
      <c r="Y175" s="174">
        <f t="shared" si="758"/>
        <v>0.27019295148822203</v>
      </c>
      <c r="Z175" s="174">
        <f t="shared" si="758"/>
        <v>0.30863976083707023</v>
      </c>
      <c r="AA175" s="911">
        <f t="shared" si="758"/>
        <v>0.24125708884688091</v>
      </c>
      <c r="AB175" s="174">
        <f t="shared" si="758"/>
        <v>0.25973412112259969</v>
      </c>
      <c r="AC175" s="174">
        <f t="shared" si="758"/>
        <v>0.26356233513017546</v>
      </c>
      <c r="AD175" s="174">
        <f t="shared" si="758"/>
        <v>0.26413025601666573</v>
      </c>
      <c r="AE175" s="925">
        <f t="shared" si="758"/>
        <v>0.21627811191664234</v>
      </c>
      <c r="AF175" s="384">
        <f t="shared" si="758"/>
        <v>0.22924729823653589</v>
      </c>
      <c r="AG175" s="384">
        <f t="shared" si="758"/>
        <v>0.27969823659525717</v>
      </c>
      <c r="AH175" s="384">
        <f t="shared" si="758"/>
        <v>0.31663532606985945</v>
      </c>
      <c r="AI175" s="925">
        <f t="shared" si="758"/>
        <v>0.2639625556681548</v>
      </c>
      <c r="AK175" s="174">
        <f t="shared" ref="AK175:AS175" si="759">+AK173/AK11</f>
        <v>0.126</v>
      </c>
      <c r="AL175" s="174">
        <f t="shared" si="759"/>
        <v>1.4683996428217085E-2</v>
      </c>
      <c r="AM175" s="174">
        <f t="shared" si="759"/>
        <v>9.8716784594562179E-2</v>
      </c>
      <c r="AN175" s="174">
        <f t="shared" si="759"/>
        <v>0.12484712098233941</v>
      </c>
      <c r="AO175" s="174">
        <f t="shared" si="759"/>
        <v>0.21482898752391644</v>
      </c>
      <c r="AP175" s="174">
        <f t="shared" si="759"/>
        <v>0.25736649641874942</v>
      </c>
      <c r="AQ175" s="384">
        <f t="shared" si="759"/>
        <v>0.25046658924264642</v>
      </c>
      <c r="AR175" s="384">
        <f t="shared" si="759"/>
        <v>0.27288002120291316</v>
      </c>
      <c r="AS175" s="384">
        <f t="shared" si="759"/>
        <v>0.26533910123187232</v>
      </c>
    </row>
    <row r="176" spans="2:45" x14ac:dyDescent="0.2">
      <c r="B176" s="137" t="s">
        <v>929</v>
      </c>
      <c r="D176" s="174">
        <f t="shared" ref="D176:AI176" si="760">D173/D14</f>
        <v>3.5075770475055335E-2</v>
      </c>
      <c r="E176" s="174">
        <f t="shared" si="760"/>
        <v>6.8556701030927841E-2</v>
      </c>
      <c r="F176" s="174">
        <f t="shared" si="760"/>
        <v>6.5765818013106769E-2</v>
      </c>
      <c r="G176" s="911">
        <f t="shared" si="760"/>
        <v>7.6456111566858082E-2</v>
      </c>
      <c r="H176" s="174">
        <f t="shared" si="760"/>
        <v>4.204963235294118E-2</v>
      </c>
      <c r="I176" s="174">
        <f t="shared" si="760"/>
        <v>-4.9685926093599682E-2</v>
      </c>
      <c r="J176" s="174">
        <f t="shared" si="760"/>
        <v>2.1274387712743877E-2</v>
      </c>
      <c r="K176" s="911">
        <f t="shared" si="760"/>
        <v>2.3401012732903986E-2</v>
      </c>
      <c r="L176" s="174">
        <f t="shared" si="760"/>
        <v>6.9284882838200321E-2</v>
      </c>
      <c r="M176" s="174">
        <f t="shared" si="760"/>
        <v>8.4060150375939849E-2</v>
      </c>
      <c r="N176" s="174">
        <f t="shared" si="760"/>
        <v>8.1736649001222988E-2</v>
      </c>
      <c r="O176" s="911">
        <f t="shared" si="760"/>
        <v>5.3500120279047388E-2</v>
      </c>
      <c r="P176" s="174">
        <f t="shared" si="760"/>
        <v>8.1958250497017895E-2</v>
      </c>
      <c r="Q176" s="174">
        <f t="shared" si="760"/>
        <v>8.9234049033044008E-2</v>
      </c>
      <c r="R176" s="174">
        <f t="shared" si="760"/>
        <v>0.10602248806284335</v>
      </c>
      <c r="S176" s="911">
        <f t="shared" si="760"/>
        <v>0.10772949242835299</v>
      </c>
      <c r="T176" s="174">
        <f t="shared" si="760"/>
        <v>0.12230032599837001</v>
      </c>
      <c r="U176" s="174">
        <f t="shared" si="760"/>
        <v>0.14987497395290686</v>
      </c>
      <c r="V176" s="174">
        <f t="shared" si="760"/>
        <v>0.2079264492000831</v>
      </c>
      <c r="W176" s="911">
        <f t="shared" si="760"/>
        <v>0.21022560796952827</v>
      </c>
      <c r="X176" s="174">
        <f t="shared" si="760"/>
        <v>0.1708175972236399</v>
      </c>
      <c r="Y176" s="174">
        <f t="shared" si="760"/>
        <v>0.22450940724256524</v>
      </c>
      <c r="Z176" s="174">
        <f t="shared" si="760"/>
        <v>0.25602618787818671</v>
      </c>
      <c r="AA176" s="911">
        <f t="shared" si="760"/>
        <v>0.18672275054864668</v>
      </c>
      <c r="AB176" s="174">
        <f t="shared" si="760"/>
        <v>0.210475916882122</v>
      </c>
      <c r="AC176" s="174">
        <f t="shared" si="760"/>
        <v>0.2174900624645088</v>
      </c>
      <c r="AD176" s="174">
        <f t="shared" si="760"/>
        <v>0.21942888372728514</v>
      </c>
      <c r="AE176" s="925">
        <f t="shared" si="760"/>
        <v>0.16812650626435649</v>
      </c>
      <c r="AF176" s="384">
        <f t="shared" si="760"/>
        <v>0.18840856667701225</v>
      </c>
      <c r="AG176" s="384">
        <f t="shared" si="760"/>
        <v>0.23063558760096681</v>
      </c>
      <c r="AH176" s="384">
        <f t="shared" si="760"/>
        <v>0.26315140947127785</v>
      </c>
      <c r="AI176" s="925">
        <f t="shared" si="760"/>
        <v>0.20542986865573959</v>
      </c>
      <c r="AK176" s="174">
        <f t="shared" ref="AK176:AS176" si="761">AK173/AK14</f>
        <v>9.6604293524156629E-2</v>
      </c>
      <c r="AL176" s="174">
        <f t="shared" si="761"/>
        <v>1.0819187976080823E-2</v>
      </c>
      <c r="AM176" s="174">
        <f t="shared" si="761"/>
        <v>7.1918919593599445E-2</v>
      </c>
      <c r="AN176" s="174">
        <f t="shared" si="761"/>
        <v>9.6215958075178146E-2</v>
      </c>
      <c r="AO176" s="174">
        <f t="shared" si="761"/>
        <v>0.1729422846813819</v>
      </c>
      <c r="AP176" s="174">
        <f t="shared" si="761"/>
        <v>0.20923832923832925</v>
      </c>
      <c r="AQ176" s="384">
        <f t="shared" si="761"/>
        <v>0.20289251469769468</v>
      </c>
      <c r="AR176" s="384">
        <f t="shared" si="761"/>
        <v>0.22189730399612909</v>
      </c>
      <c r="AS176" s="384">
        <f t="shared" si="761"/>
        <v>0.21668304034885813</v>
      </c>
    </row>
    <row r="177" spans="2:45" x14ac:dyDescent="0.2">
      <c r="B177" s="138"/>
      <c r="D177" s="174"/>
      <c r="E177" s="174"/>
      <c r="F177" s="174"/>
      <c r="G177" s="1279"/>
      <c r="H177" s="174"/>
      <c r="I177" s="174"/>
      <c r="J177" s="174"/>
      <c r="K177" s="1279"/>
      <c r="L177" s="174"/>
      <c r="M177" s="174"/>
      <c r="N177" s="174"/>
      <c r="O177" s="1279"/>
      <c r="P177" s="174"/>
      <c r="Q177" s="174"/>
      <c r="R177" s="174"/>
      <c r="S177" s="1279"/>
      <c r="T177" s="174"/>
      <c r="U177" s="174"/>
      <c r="V177" s="174"/>
      <c r="W177" s="1279"/>
      <c r="X177" s="174"/>
      <c r="Y177" s="174"/>
      <c r="Z177" s="174"/>
      <c r="AA177" s="1279"/>
      <c r="AB177" s="174"/>
      <c r="AC177" s="174"/>
      <c r="AD177" s="174"/>
      <c r="AE177" s="1280"/>
      <c r="AF177" s="384"/>
      <c r="AG177" s="384"/>
      <c r="AH177" s="384"/>
      <c r="AI177" s="1280"/>
      <c r="AK177" s="174"/>
      <c r="AL177" s="174"/>
      <c r="AM177" s="174"/>
      <c r="AN177" s="174"/>
      <c r="AO177" s="174"/>
      <c r="AP177" s="174"/>
      <c r="AQ177" s="384"/>
      <c r="AR177" s="384"/>
      <c r="AS177" s="384"/>
    </row>
    <row r="178" spans="2:45" x14ac:dyDescent="0.2">
      <c r="B178" s="2" t="s">
        <v>896</v>
      </c>
      <c r="D178" s="174">
        <f t="shared" ref="D178:AI178" si="762">D169/D14</f>
        <v>7.9005618934105223E-2</v>
      </c>
      <c r="E178" s="174">
        <f t="shared" si="762"/>
        <v>0.12296678121420389</v>
      </c>
      <c r="F178" s="174">
        <f t="shared" si="762"/>
        <v>0.10137447079974482</v>
      </c>
      <c r="G178" s="174">
        <f t="shared" si="762"/>
        <v>8.4057971014492749E-2</v>
      </c>
      <c r="H178" s="174">
        <f t="shared" si="762"/>
        <v>9.2888327205882359E-2</v>
      </c>
      <c r="I178" s="174">
        <f t="shared" si="762"/>
        <v>4.3970346896044364E-2</v>
      </c>
      <c r="J178" s="174">
        <f t="shared" si="762"/>
        <v>0.14383561643835616</v>
      </c>
      <c r="K178" s="174">
        <f t="shared" si="762"/>
        <v>0.17078806351703457</v>
      </c>
      <c r="L178" s="174">
        <f t="shared" si="762"/>
        <v>0.18528265600485855</v>
      </c>
      <c r="M178" s="174">
        <f t="shared" si="762"/>
        <v>0.18942355889724311</v>
      </c>
      <c r="N178" s="174">
        <f t="shared" si="762"/>
        <v>0.1771810028536486</v>
      </c>
      <c r="O178" s="174">
        <f t="shared" si="762"/>
        <v>0.1443348568679336</v>
      </c>
      <c r="P178" s="174">
        <f t="shared" si="762"/>
        <v>0.19110337972166999</v>
      </c>
      <c r="Q178" s="174">
        <f t="shared" si="762"/>
        <v>0.21364397746307295</v>
      </c>
      <c r="R178" s="174">
        <f t="shared" si="762"/>
        <v>0.22544539713508241</v>
      </c>
      <c r="S178" s="174">
        <f t="shared" si="762"/>
        <v>0.21388053075519164</v>
      </c>
      <c r="T178" s="174">
        <f t="shared" si="762"/>
        <v>0.20634678076609617</v>
      </c>
      <c r="U178" s="174">
        <f t="shared" si="762"/>
        <v>0.22687018128776829</v>
      </c>
      <c r="V178" s="174">
        <f t="shared" si="762"/>
        <v>0.27498441720340744</v>
      </c>
      <c r="W178" s="174">
        <f t="shared" si="762"/>
        <v>0.23727903115538626</v>
      </c>
      <c r="X178" s="174">
        <f t="shared" si="762"/>
        <v>0.25946718383178524</v>
      </c>
      <c r="Y178" s="174">
        <f t="shared" si="762"/>
        <v>0.2792332591543597</v>
      </c>
      <c r="Z178" s="174">
        <f t="shared" si="762"/>
        <v>0.30448368217438748</v>
      </c>
      <c r="AA178" s="174">
        <f t="shared" si="762"/>
        <v>0.25370336503291879</v>
      </c>
      <c r="AB178" s="174">
        <f t="shared" si="762"/>
        <v>0.32782725270516133</v>
      </c>
      <c r="AC178" s="174">
        <f t="shared" si="762"/>
        <v>0.33087261025932235</v>
      </c>
      <c r="AD178" s="174">
        <f t="shared" si="762"/>
        <v>0.33961834494694176</v>
      </c>
      <c r="AE178" s="384">
        <f t="shared" si="762"/>
        <v>0.27441062267247351</v>
      </c>
      <c r="AF178" s="384">
        <f t="shared" si="762"/>
        <v>0.30259817990082338</v>
      </c>
      <c r="AG178" s="384">
        <f t="shared" si="762"/>
        <v>0.34405538076184544</v>
      </c>
      <c r="AH178" s="384">
        <f t="shared" si="762"/>
        <v>0.3766424789880391</v>
      </c>
      <c r="AI178" s="384">
        <f t="shared" si="762"/>
        <v>0.31228786676872278</v>
      </c>
      <c r="AK178" s="174">
        <f t="shared" ref="AK178:AS178" si="763">AK169/AK14</f>
        <v>0.15165118449708875</v>
      </c>
      <c r="AL178" s="174">
        <f t="shared" si="763"/>
        <v>0.1263213298828896</v>
      </c>
      <c r="AM178" s="174">
        <f t="shared" si="763"/>
        <v>0.17370628323223244</v>
      </c>
      <c r="AN178" s="174">
        <f t="shared" si="763"/>
        <v>0.21089341594299429</v>
      </c>
      <c r="AO178" s="174">
        <f t="shared" si="763"/>
        <v>0.23624583110567987</v>
      </c>
      <c r="AP178" s="174">
        <f t="shared" si="763"/>
        <v>0.27386977886977887</v>
      </c>
      <c r="AQ178" s="384">
        <f t="shared" si="763"/>
        <v>0.31699101045272315</v>
      </c>
      <c r="AR178" s="384">
        <f t="shared" si="763"/>
        <v>0.33376498279524142</v>
      </c>
      <c r="AS178" s="384">
        <f t="shared" si="763"/>
        <v>0.32691786706601417</v>
      </c>
    </row>
  </sheetData>
  <conditionalFormatting sqref="D112:AI112">
    <cfRule type="cellIs" dxfId="5" priority="5" operator="lessThan">
      <formula>0</formula>
    </cfRule>
    <cfRule type="cellIs" dxfId="4" priority="6" operator="greaterThan">
      <formula>0</formula>
    </cfRule>
  </conditionalFormatting>
  <conditionalFormatting sqref="AK112:AS112">
    <cfRule type="cellIs" dxfId="3" priority="1" operator="lessThan">
      <formula>0</formula>
    </cfRule>
    <cfRule type="cellIs" dxfId="2" priority="2" operator="greaterThan">
      <formula>0</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FE81C-4BA4-4938-97F4-21011BAA401E}">
  <dimension ref="A1:AW218"/>
  <sheetViews>
    <sheetView showGridLines="0" zoomScale="115" zoomScaleNormal="115" workbookViewId="0">
      <pane xSplit="3" ySplit="4" topLeftCell="Z29" activePane="bottomRight" state="frozen"/>
      <selection pane="topRight" activeCell="D1" sqref="D1"/>
      <selection pane="bottomLeft" activeCell="A5" sqref="A5"/>
      <selection pane="bottomRight" activeCell="AH48" sqref="AH48"/>
    </sheetView>
  </sheetViews>
  <sheetFormatPr defaultColWidth="9" defaultRowHeight="12" outlineLevelRow="1" outlineLevelCol="1" x14ac:dyDescent="0.2"/>
  <cols>
    <col min="1" max="1" width="3" style="2" customWidth="1"/>
    <col min="2" max="2" width="35.25" style="2" customWidth="1"/>
    <col min="3" max="3" width="2.625" style="2" customWidth="1"/>
    <col min="4" max="10" width="9.125" style="2" customWidth="1" outlineLevel="1"/>
    <col min="11" max="11" width="9.625" style="2" customWidth="1" outlineLevel="1"/>
    <col min="12" max="15" width="9.125" style="2" customWidth="1" outlineLevel="1"/>
    <col min="16" max="16" width="9.125" style="2" bestFit="1" customWidth="1"/>
    <col min="17" max="24" width="9.25" style="2" bestFit="1" customWidth="1"/>
    <col min="25" max="26" width="9.875" style="2" bestFit="1" customWidth="1"/>
    <col min="27" max="29" width="9.25" style="2" bestFit="1" customWidth="1"/>
    <col min="30" max="30" width="10.125" style="2" bestFit="1" customWidth="1"/>
    <col min="31" max="35" width="9.25" style="2" bestFit="1" customWidth="1"/>
    <col min="36" max="44" width="9" style="2"/>
    <col min="45" max="45" width="10.125" style="2" bestFit="1" customWidth="1"/>
    <col min="46" max="16384" width="9" style="2"/>
  </cols>
  <sheetData>
    <row r="1" spans="2:49" s="6" customFormat="1" x14ac:dyDescent="0.2">
      <c r="C1" s="235"/>
      <c r="D1" s="103" t="s">
        <v>642</v>
      </c>
      <c r="E1" s="103"/>
      <c r="F1" s="103"/>
      <c r="G1" s="103"/>
      <c r="H1" s="103"/>
      <c r="N1" s="63"/>
      <c r="O1" s="63"/>
      <c r="P1" s="63"/>
      <c r="Q1" s="63"/>
      <c r="R1" s="63"/>
      <c r="S1" s="63"/>
      <c r="T1" s="63"/>
      <c r="U1" s="63"/>
      <c r="V1" s="63"/>
      <c r="W1" s="63"/>
      <c r="X1" s="63"/>
      <c r="Y1" s="63"/>
      <c r="Z1" s="63"/>
      <c r="AA1" s="63"/>
      <c r="AB1" s="63"/>
      <c r="AC1" s="62"/>
      <c r="AD1" s="62"/>
      <c r="AE1" s="62"/>
      <c r="AF1" s="62"/>
      <c r="AG1" s="62"/>
      <c r="AH1" s="62"/>
      <c r="AI1" s="62"/>
    </row>
    <row r="2" spans="2:49" s="6" customFormat="1" x14ac:dyDescent="0.2">
      <c r="D2" s="6">
        <v>1</v>
      </c>
      <c r="E2" s="6">
        <v>2</v>
      </c>
      <c r="F2" s="6">
        <v>3</v>
      </c>
      <c r="G2" s="6">
        <v>4</v>
      </c>
      <c r="H2" s="6">
        <v>1</v>
      </c>
      <c r="I2" s="6">
        <v>2</v>
      </c>
      <c r="J2" s="6">
        <v>3</v>
      </c>
      <c r="K2" s="6">
        <v>4</v>
      </c>
      <c r="L2" s="6">
        <v>1</v>
      </c>
      <c r="M2" s="6">
        <v>2</v>
      </c>
      <c r="N2" s="6">
        <v>3</v>
      </c>
      <c r="O2" s="6">
        <v>4</v>
      </c>
      <c r="P2" s="6">
        <v>1</v>
      </c>
      <c r="Q2" s="6">
        <v>2</v>
      </c>
      <c r="R2" s="6">
        <v>3</v>
      </c>
      <c r="S2" s="6">
        <v>4</v>
      </c>
      <c r="T2" s="6">
        <f>+P2</f>
        <v>1</v>
      </c>
      <c r="U2" s="6">
        <f t="shared" ref="U2:AB2" si="0">+Q2</f>
        <v>2</v>
      </c>
      <c r="V2" s="6">
        <f t="shared" si="0"/>
        <v>3</v>
      </c>
      <c r="W2" s="6">
        <f t="shared" si="0"/>
        <v>4</v>
      </c>
      <c r="X2" s="6">
        <f t="shared" si="0"/>
        <v>1</v>
      </c>
      <c r="Y2" s="6">
        <f t="shared" si="0"/>
        <v>2</v>
      </c>
      <c r="Z2" s="6">
        <f t="shared" si="0"/>
        <v>3</v>
      </c>
      <c r="AA2" s="6">
        <f t="shared" si="0"/>
        <v>4</v>
      </c>
      <c r="AB2" s="6">
        <f t="shared" si="0"/>
        <v>1</v>
      </c>
      <c r="AC2" s="6">
        <f t="shared" ref="AC2:AI2" si="1">+Y2</f>
        <v>2</v>
      </c>
      <c r="AD2" s="6">
        <f t="shared" si="1"/>
        <v>3</v>
      </c>
      <c r="AE2" s="6">
        <f t="shared" si="1"/>
        <v>4</v>
      </c>
      <c r="AF2" s="6">
        <f t="shared" si="1"/>
        <v>1</v>
      </c>
      <c r="AG2" s="6">
        <f t="shared" si="1"/>
        <v>2</v>
      </c>
      <c r="AH2" s="6">
        <f t="shared" si="1"/>
        <v>3</v>
      </c>
      <c r="AI2" s="6">
        <f t="shared" si="1"/>
        <v>4</v>
      </c>
      <c r="AK2" s="486" t="s">
        <v>635</v>
      </c>
    </row>
    <row r="3" spans="2:49" s="6" customFormat="1" x14ac:dyDescent="0.2">
      <c r="D3" s="6">
        <v>2019</v>
      </c>
      <c r="E3" s="6">
        <v>2019</v>
      </c>
      <c r="F3" s="6">
        <v>2019</v>
      </c>
      <c r="G3" s="6">
        <v>2019</v>
      </c>
      <c r="H3" s="6">
        <v>2020</v>
      </c>
      <c r="I3" s="6">
        <v>2020</v>
      </c>
      <c r="J3" s="6">
        <v>2020</v>
      </c>
      <c r="K3" s="6">
        <v>2020</v>
      </c>
      <c r="L3" s="6">
        <v>2021</v>
      </c>
      <c r="M3" s="6">
        <v>2021</v>
      </c>
      <c r="N3" s="6">
        <v>2021</v>
      </c>
      <c r="O3" s="6">
        <v>2021</v>
      </c>
      <c r="P3" s="6">
        <v>2022</v>
      </c>
      <c r="Q3" s="6">
        <v>2022</v>
      </c>
      <c r="R3" s="6">
        <v>2022</v>
      </c>
      <c r="S3" s="6">
        <v>2022</v>
      </c>
      <c r="T3" s="6">
        <f>+P3+1</f>
        <v>2023</v>
      </c>
      <c r="U3" s="6">
        <f t="shared" ref="U3:AB3" si="2">+Q3+1</f>
        <v>2023</v>
      </c>
      <c r="V3" s="6">
        <f t="shared" si="2"/>
        <v>2023</v>
      </c>
      <c r="W3" s="6">
        <f t="shared" si="2"/>
        <v>2023</v>
      </c>
      <c r="X3" s="6">
        <f t="shared" si="2"/>
        <v>2024</v>
      </c>
      <c r="Y3" s="6">
        <f t="shared" si="2"/>
        <v>2024</v>
      </c>
      <c r="Z3" s="6">
        <f t="shared" si="2"/>
        <v>2024</v>
      </c>
      <c r="AA3" s="6">
        <f t="shared" si="2"/>
        <v>2024</v>
      </c>
      <c r="AB3" s="6">
        <f t="shared" si="2"/>
        <v>2025</v>
      </c>
      <c r="AC3" s="6">
        <f t="shared" ref="AC3:AI3" si="3">+Y3+1</f>
        <v>2025</v>
      </c>
      <c r="AD3" s="6">
        <f t="shared" si="3"/>
        <v>2025</v>
      </c>
      <c r="AE3" s="6">
        <f t="shared" si="3"/>
        <v>2025</v>
      </c>
      <c r="AF3" s="6">
        <f t="shared" si="3"/>
        <v>2026</v>
      </c>
      <c r="AG3" s="6">
        <f t="shared" si="3"/>
        <v>2026</v>
      </c>
      <c r="AH3" s="6">
        <f t="shared" si="3"/>
        <v>2026</v>
      </c>
      <c r="AI3" s="6">
        <f t="shared" si="3"/>
        <v>2026</v>
      </c>
      <c r="AK3" s="492">
        <f t="shared" ref="AK3:AN3" si="4">+AK4</f>
        <v>2019</v>
      </c>
      <c r="AL3" s="6">
        <f t="shared" si="4"/>
        <v>2020</v>
      </c>
      <c r="AM3" s="6">
        <f t="shared" si="4"/>
        <v>2021</v>
      </c>
      <c r="AN3" s="6">
        <f t="shared" si="4"/>
        <v>2022</v>
      </c>
      <c r="AO3" s="6">
        <f>+AO4</f>
        <v>2023</v>
      </c>
      <c r="AP3" s="6">
        <f>+AP4</f>
        <v>2024</v>
      </c>
      <c r="AQ3" s="6">
        <f t="shared" ref="AQ3:AS3" si="5">+AP3+1</f>
        <v>2025</v>
      </c>
      <c r="AR3" s="6">
        <f t="shared" si="5"/>
        <v>2026</v>
      </c>
      <c r="AS3" s="6">
        <f t="shared" si="5"/>
        <v>2027</v>
      </c>
    </row>
    <row r="4" spans="2:49" s="6" customFormat="1" x14ac:dyDescent="0.2">
      <c r="B4" s="36" t="s">
        <v>244</v>
      </c>
      <c r="C4" s="7"/>
      <c r="D4" s="7" t="s">
        <v>239</v>
      </c>
      <c r="E4" s="7" t="s">
        <v>240</v>
      </c>
      <c r="F4" s="7" t="s">
        <v>202</v>
      </c>
      <c r="G4" s="885" t="s">
        <v>201</v>
      </c>
      <c r="H4" s="7" t="s">
        <v>200</v>
      </c>
      <c r="I4" s="7" t="s">
        <v>199</v>
      </c>
      <c r="J4" s="7" t="s">
        <v>198</v>
      </c>
      <c r="K4" s="885" t="s">
        <v>180</v>
      </c>
      <c r="L4" s="7" t="s">
        <v>174</v>
      </c>
      <c r="M4" s="7" t="s">
        <v>175</v>
      </c>
      <c r="N4" s="7" t="s">
        <v>176</v>
      </c>
      <c r="O4" s="885" t="s">
        <v>177</v>
      </c>
      <c r="P4" s="7" t="s">
        <v>1</v>
      </c>
      <c r="Q4" s="7" t="s">
        <v>2</v>
      </c>
      <c r="R4" s="7" t="s">
        <v>3</v>
      </c>
      <c r="S4" s="885" t="s">
        <v>4</v>
      </c>
      <c r="T4" s="7" t="s">
        <v>5</v>
      </c>
      <c r="U4" s="7" t="s">
        <v>6</v>
      </c>
      <c r="V4" s="7" t="s">
        <v>7</v>
      </c>
      <c r="W4" s="885" t="s">
        <v>8</v>
      </c>
      <c r="X4" s="7" t="s">
        <v>9</v>
      </c>
      <c r="Y4" s="7" t="s">
        <v>10</v>
      </c>
      <c r="Z4" s="7" t="s">
        <v>716</v>
      </c>
      <c r="AA4" s="885" t="s">
        <v>717</v>
      </c>
      <c r="AB4" s="7" t="s">
        <v>718</v>
      </c>
      <c r="AC4" s="7" t="str">
        <f t="shared" ref="AC4:AI4" si="6">+_xlfn.CONCAT(AC2,"Q",RIGHT(AC3,2),"E")</f>
        <v>2Q25E</v>
      </c>
      <c r="AD4" s="7" t="str">
        <f>+_xlfn.CONCAT(AD2,"Q",RIGHT(AD3,2))</f>
        <v>3Q25</v>
      </c>
      <c r="AE4" s="861" t="str">
        <f t="shared" si="6"/>
        <v>4Q25E</v>
      </c>
      <c r="AF4" s="228" t="str">
        <f t="shared" si="6"/>
        <v>1Q26E</v>
      </c>
      <c r="AG4" s="228" t="str">
        <f t="shared" si="6"/>
        <v>2Q26E</v>
      </c>
      <c r="AH4" s="228" t="str">
        <f t="shared" si="6"/>
        <v>3Q26E</v>
      </c>
      <c r="AI4" s="861" t="str">
        <f t="shared" si="6"/>
        <v>4Q26E</v>
      </c>
      <c r="AK4" s="7">
        <v>2019</v>
      </c>
      <c r="AL4" s="7">
        <f t="shared" ref="AL4:AP4" si="7">+AK4+1</f>
        <v>2020</v>
      </c>
      <c r="AM4" s="7">
        <f t="shared" si="7"/>
        <v>2021</v>
      </c>
      <c r="AN4" s="7">
        <f t="shared" si="7"/>
        <v>2022</v>
      </c>
      <c r="AO4" s="7">
        <f t="shared" si="7"/>
        <v>2023</v>
      </c>
      <c r="AP4" s="7">
        <f t="shared" si="7"/>
        <v>2024</v>
      </c>
      <c r="AQ4" s="228" t="str">
        <f t="shared" ref="AQ4:AS4" si="8">+_xlfn.CONCAT(AQ3,"E")</f>
        <v>2025E</v>
      </c>
      <c r="AR4" s="228" t="str">
        <f t="shared" si="8"/>
        <v>2026E</v>
      </c>
      <c r="AS4" s="228" t="str">
        <f t="shared" si="8"/>
        <v>2027E</v>
      </c>
    </row>
    <row r="5" spans="2:49" s="268" customFormat="1" x14ac:dyDescent="0.2">
      <c r="C5" s="271"/>
      <c r="D5" s="271"/>
      <c r="E5" s="271"/>
      <c r="F5" s="271"/>
      <c r="G5" s="873"/>
      <c r="H5" s="271"/>
      <c r="I5" s="271"/>
      <c r="J5" s="271"/>
      <c r="K5" s="873"/>
      <c r="L5" s="271"/>
      <c r="M5" s="271"/>
      <c r="N5" s="271"/>
      <c r="O5" s="873"/>
      <c r="P5" s="271"/>
      <c r="Q5" s="271"/>
      <c r="R5" s="271"/>
      <c r="S5" s="873"/>
      <c r="T5" s="271"/>
      <c r="U5" s="271"/>
      <c r="V5" s="271"/>
      <c r="W5" s="873"/>
      <c r="X5" s="271"/>
      <c r="Y5" s="271"/>
      <c r="Z5" s="271"/>
      <c r="AA5" s="873"/>
      <c r="AB5" s="271"/>
      <c r="AC5" s="271"/>
      <c r="AD5" s="271"/>
      <c r="AE5" s="1182"/>
      <c r="AF5" s="1089"/>
      <c r="AG5" s="1089"/>
      <c r="AH5" s="1089"/>
      <c r="AI5" s="1182"/>
      <c r="AK5" s="1089"/>
      <c r="AL5" s="271"/>
      <c r="AM5" s="271"/>
      <c r="AN5" s="271"/>
      <c r="AO5" s="271"/>
      <c r="AP5" s="271"/>
      <c r="AQ5" s="1089"/>
      <c r="AR5" s="1089"/>
      <c r="AS5" s="1089"/>
    </row>
    <row r="6" spans="2:49" s="268" customFormat="1" x14ac:dyDescent="0.2">
      <c r="B6" s="268" t="s">
        <v>159</v>
      </c>
      <c r="C6" s="271"/>
      <c r="D6" s="282">
        <f>+'3FS'!K11</f>
        <v>12901</v>
      </c>
      <c r="E6" s="282">
        <f>+'3FS'!L11</f>
        <v>13008</v>
      </c>
      <c r="F6" s="282">
        <f>+'3FS'!M11</f>
        <v>12910</v>
      </c>
      <c r="G6" s="886">
        <f>+'3FS'!N11</f>
        <v>13208</v>
      </c>
      <c r="H6" s="282">
        <f>+'3FS'!O11</f>
        <v>13197</v>
      </c>
      <c r="I6" s="287">
        <f t="shared" ref="I6:Y6" si="9">+I9+I11+I12</f>
        <v>13230</v>
      </c>
      <c r="J6" s="287">
        <f t="shared" si="9"/>
        <v>14139</v>
      </c>
      <c r="K6" s="874">
        <f t="shared" si="9"/>
        <v>14180</v>
      </c>
      <c r="L6" s="287">
        <f t="shared" si="9"/>
        <v>14192</v>
      </c>
      <c r="M6" s="287">
        <f t="shared" si="9"/>
        <v>14492</v>
      </c>
      <c r="N6" s="287">
        <f t="shared" si="9"/>
        <v>14722</v>
      </c>
      <c r="O6" s="874">
        <f t="shared" si="9"/>
        <v>14963</v>
      </c>
      <c r="P6" s="287">
        <f t="shared" si="9"/>
        <v>15128</v>
      </c>
      <c r="Q6" s="287">
        <f t="shared" si="9"/>
        <v>15316</v>
      </c>
      <c r="R6" s="287">
        <f t="shared" si="9"/>
        <v>15361</v>
      </c>
      <c r="S6" s="874">
        <f t="shared" si="9"/>
        <v>15518</v>
      </c>
      <c r="T6" s="287">
        <f t="shared" si="9"/>
        <v>15546</v>
      </c>
      <c r="U6" s="287">
        <f t="shared" si="9"/>
        <v>15738</v>
      </c>
      <c r="V6" s="287">
        <f t="shared" si="9"/>
        <v>15914</v>
      </c>
      <c r="W6" s="874">
        <f t="shared" si="9"/>
        <v>16043</v>
      </c>
      <c r="X6" s="287">
        <f t="shared" si="9"/>
        <v>16096</v>
      </c>
      <c r="Y6" s="287">
        <f t="shared" si="9"/>
        <v>16429</v>
      </c>
      <c r="Z6" s="287">
        <f t="shared" ref="Z6:AA6" si="10">+Z9+Z11+Z12</f>
        <v>16725</v>
      </c>
      <c r="AA6" s="874">
        <f t="shared" si="10"/>
        <v>16928</v>
      </c>
      <c r="AB6" s="287">
        <f t="shared" ref="AB6:AC6" si="11">+AB9+AB11+AB12</f>
        <v>16925</v>
      </c>
      <c r="AC6" s="287">
        <f t="shared" si="11"/>
        <v>17438</v>
      </c>
      <c r="AD6" s="287">
        <f t="shared" ref="AD6" si="12">+AD9+AD11+AD12</f>
        <v>18241</v>
      </c>
      <c r="AE6" s="1183">
        <f>+AE9+AE11+AE12</f>
        <v>18557.583990359493</v>
      </c>
      <c r="AF6" s="1081">
        <f t="shared" ref="AF6:AI6" si="13">+AF9+AF11+AF12</f>
        <v>18533.116189174885</v>
      </c>
      <c r="AG6" s="1081">
        <f t="shared" si="13"/>
        <v>19098.156960162796</v>
      </c>
      <c r="AH6" s="1081">
        <f t="shared" si="13"/>
        <v>19507.554710224977</v>
      </c>
      <c r="AI6" s="1183">
        <f t="shared" si="13"/>
        <v>19638.318335760334</v>
      </c>
      <c r="AK6" s="1081">
        <f t="shared" ref="AK6" si="14">+AK9+AK11+AK12</f>
        <v>34500</v>
      </c>
      <c r="AL6" s="287">
        <f t="shared" ref="AL6" si="15">+AL9+AL11+AL12</f>
        <v>50395</v>
      </c>
      <c r="AM6" s="287">
        <f t="shared" ref="AM6" si="16">+AM9+AM11+AM12</f>
        <v>58369</v>
      </c>
      <c r="AN6" s="287">
        <f t="shared" ref="AN6" si="17">+AN9+AN11+AN12</f>
        <v>61323</v>
      </c>
      <c r="AO6" s="287">
        <f t="shared" ref="AO6:AP6" si="18">+AO9+AO11+AO12</f>
        <v>63241</v>
      </c>
      <c r="AP6" s="287">
        <f t="shared" si="18"/>
        <v>66178</v>
      </c>
      <c r="AQ6" s="1081">
        <f>+AQ9+AQ11+AQ12</f>
        <v>71161.58399035949</v>
      </c>
      <c r="AR6" s="1081">
        <f t="shared" ref="AR6" si="19">+AR9+AR11+AR12</f>
        <v>76777.146195323003</v>
      </c>
      <c r="AS6" s="1081">
        <f t="shared" ref="AS6" si="20">+AS9+AS11+AS12</f>
        <v>81051.676322660453</v>
      </c>
      <c r="AW6" s="1337"/>
    </row>
    <row r="7" spans="2:49" s="244" customFormat="1" x14ac:dyDescent="0.2">
      <c r="B7" s="243" t="s">
        <v>266</v>
      </c>
      <c r="D7" s="1042"/>
      <c r="E7" s="1042"/>
      <c r="F7" s="1042"/>
      <c r="G7" s="1043"/>
      <c r="H7" s="1044"/>
      <c r="I7" s="246"/>
      <c r="J7" s="246"/>
      <c r="K7" s="878"/>
      <c r="L7" s="246"/>
      <c r="M7" s="246">
        <f t="shared" ref="M7" si="21">+M6/I6-1</f>
        <v>9.5389266817838214E-2</v>
      </c>
      <c r="N7" s="246">
        <f t="shared" ref="N7" si="22">+N6/J6-1</f>
        <v>4.1233467713416738E-2</v>
      </c>
      <c r="O7" s="878">
        <f t="shared" ref="O7" si="23">+O6/K6-1</f>
        <v>5.5218617771509271E-2</v>
      </c>
      <c r="P7" s="246">
        <f t="shared" ref="P7" si="24">+P6/L6-1</f>
        <v>6.5952649379932282E-2</v>
      </c>
      <c r="Q7" s="246">
        <f t="shared" ref="Q7" si="25">+Q6/M6-1</f>
        <v>5.6858956665746696E-2</v>
      </c>
      <c r="R7" s="246">
        <f t="shared" ref="R7" si="26">+R6/N6-1</f>
        <v>4.3404428746094181E-2</v>
      </c>
      <c r="S7" s="878">
        <f t="shared" ref="S7" si="27">+S6/O6-1</f>
        <v>3.7091492347791188E-2</v>
      </c>
      <c r="T7" s="246">
        <f t="shared" ref="T7" si="28">+T6/P6-1</f>
        <v>2.7630883130618678E-2</v>
      </c>
      <c r="U7" s="246">
        <f t="shared" ref="U7" si="29">+U6/Q6-1</f>
        <v>2.7552885870984589E-2</v>
      </c>
      <c r="V7" s="246">
        <f t="shared" ref="V7" si="30">+V6/R6-1</f>
        <v>3.6000260399713602E-2</v>
      </c>
      <c r="W7" s="878">
        <f t="shared" ref="W7" si="31">+W6/S6-1</f>
        <v>3.3831679340121212E-2</v>
      </c>
      <c r="X7" s="246">
        <f t="shared" ref="X7" si="32">+X6/T6-1</f>
        <v>3.5378875595008408E-2</v>
      </c>
      <c r="Y7" s="246">
        <f t="shared" ref="Y7:AD7" si="33">+Y6/U6-1</f>
        <v>4.3906468420383815E-2</v>
      </c>
      <c r="Z7" s="246">
        <f t="shared" si="33"/>
        <v>5.0961417619705962E-2</v>
      </c>
      <c r="AA7" s="878">
        <f t="shared" si="33"/>
        <v>5.5164246088636792E-2</v>
      </c>
      <c r="AB7" s="246">
        <f t="shared" si="33"/>
        <v>5.1503479125248441E-2</v>
      </c>
      <c r="AC7" s="246">
        <f t="shared" si="33"/>
        <v>6.1415789153326461E-2</v>
      </c>
      <c r="AD7" s="246">
        <f t="shared" si="33"/>
        <v>9.0642750373692182E-2</v>
      </c>
      <c r="AE7" s="1137">
        <f t="shared" ref="AE7" si="34">+AE6/AA6-1</f>
        <v>9.6265594893637285E-2</v>
      </c>
      <c r="AF7" s="552">
        <f t="shared" ref="AF7" si="35">+AF6/AB6-1</f>
        <v>9.5014250468235417E-2</v>
      </c>
      <c r="AG7" s="552">
        <f t="shared" ref="AG7" si="36">+AG6/AC6-1</f>
        <v>9.5203404069434283E-2</v>
      </c>
      <c r="AH7" s="552">
        <f t="shared" ref="AH7" si="37">+AH6/AD6-1</f>
        <v>6.9434499765636648E-2</v>
      </c>
      <c r="AI7" s="1137">
        <f t="shared" ref="AI7" si="38">+AI6/AE6-1</f>
        <v>5.8236802051510272E-2</v>
      </c>
      <c r="AK7" s="1082"/>
      <c r="AL7" s="304"/>
      <c r="AM7" s="304">
        <f t="shared" ref="AM7" si="39">+AM6/AL6-1</f>
        <v>0.15822998313324743</v>
      </c>
      <c r="AN7" s="246">
        <f t="shared" ref="AN7" si="40">+AN6/AM6-1</f>
        <v>5.0609056177080225E-2</v>
      </c>
      <c r="AO7" s="246">
        <f t="shared" ref="AO7:AP7" si="41">+AO6/AN6-1</f>
        <v>3.1277008626453329E-2</v>
      </c>
      <c r="AP7" s="246">
        <f t="shared" si="41"/>
        <v>4.644139086984711E-2</v>
      </c>
      <c r="AQ7" s="552">
        <f t="shared" ref="AQ7" si="42">+AQ6/AP6-1</f>
        <v>7.5305751010297906E-2</v>
      </c>
      <c r="AR7" s="552">
        <f t="shared" ref="AR7" si="43">+AR6/AQ6-1</f>
        <v>7.8912833161840057E-2</v>
      </c>
      <c r="AS7" s="552">
        <f t="shared" ref="AS7" si="44">+AS6/AR6-1</f>
        <v>5.5674511741592214E-2</v>
      </c>
    </row>
    <row r="8" spans="2:49" s="247" customFormat="1" x14ac:dyDescent="0.2">
      <c r="B8" s="1052" t="s">
        <v>206</v>
      </c>
      <c r="D8" s="1058">
        <f t="shared" ref="D8:AI8" si="45">+D6/D17</f>
        <v>0.73222089789431866</v>
      </c>
      <c r="E8" s="1053">
        <f t="shared" si="45"/>
        <v>0.74501718213058421</v>
      </c>
      <c r="F8" s="1053">
        <f t="shared" si="45"/>
        <v>0.74870962129559826</v>
      </c>
      <c r="G8" s="1054">
        <f t="shared" si="45"/>
        <v>0.7223407164342357</v>
      </c>
      <c r="H8" s="1055">
        <f t="shared" si="45"/>
        <v>0.75809972426470584</v>
      </c>
      <c r="I8" s="1056">
        <f t="shared" si="45"/>
        <v>0.74868428498670136</v>
      </c>
      <c r="J8" s="1056">
        <f t="shared" si="45"/>
        <v>0.73365504358655043</v>
      </c>
      <c r="K8" s="1057">
        <f t="shared" si="45"/>
        <v>0.69711420284155157</v>
      </c>
      <c r="L8" s="1056">
        <f t="shared" si="45"/>
        <v>0.71825497241763248</v>
      </c>
      <c r="M8" s="1056">
        <f t="shared" si="45"/>
        <v>0.72641604010025063</v>
      </c>
      <c r="N8" s="1056">
        <f t="shared" si="45"/>
        <v>0.75020383204239705</v>
      </c>
      <c r="O8" s="1057">
        <f t="shared" si="45"/>
        <v>0.71989415443829685</v>
      </c>
      <c r="P8" s="1056">
        <f t="shared" si="45"/>
        <v>0.75188866799204768</v>
      </c>
      <c r="Q8" s="1056">
        <f t="shared" si="45"/>
        <v>0.77742246586467689</v>
      </c>
      <c r="R8" s="1056">
        <f t="shared" si="45"/>
        <v>0.78867382040355294</v>
      </c>
      <c r="S8" s="1057">
        <f t="shared" si="45"/>
        <v>0.76545158585310513</v>
      </c>
      <c r="T8" s="1056">
        <f t="shared" si="45"/>
        <v>0.79187041564792171</v>
      </c>
      <c r="U8" s="1056">
        <f t="shared" si="45"/>
        <v>0.81985830381329439</v>
      </c>
      <c r="V8" s="1056">
        <f t="shared" si="45"/>
        <v>0.82661541658009563</v>
      </c>
      <c r="W8" s="1057">
        <f t="shared" si="45"/>
        <v>0.78342611583162414</v>
      </c>
      <c r="X8" s="1056">
        <f t="shared" si="45"/>
        <v>0.8214759620291926</v>
      </c>
      <c r="Y8" s="1056">
        <f t="shared" si="45"/>
        <v>0.83092251669026906</v>
      </c>
      <c r="Z8" s="1056">
        <f t="shared" si="45"/>
        <v>0.82953080051582184</v>
      </c>
      <c r="AA8" s="1057">
        <f t="shared" si="45"/>
        <v>0.77395757132406728</v>
      </c>
      <c r="AB8" s="1056">
        <f t="shared" si="45"/>
        <v>0.81035143158096334</v>
      </c>
      <c r="AC8" s="1056">
        <f t="shared" si="45"/>
        <v>0.82519401855006624</v>
      </c>
      <c r="AD8" s="1056">
        <f t="shared" si="45"/>
        <v>0.83076012205674732</v>
      </c>
      <c r="AE8" s="1184">
        <f t="shared" si="45"/>
        <v>0.77736255774766339</v>
      </c>
      <c r="AF8" s="1083">
        <f t="shared" si="45"/>
        <v>0.82185730486827147</v>
      </c>
      <c r="AG8" s="1083">
        <f t="shared" si="45"/>
        <v>0.82458720658547646</v>
      </c>
      <c r="AH8" s="1083">
        <f t="shared" si="45"/>
        <v>0.83108670386708083</v>
      </c>
      <c r="AI8" s="1184">
        <f t="shared" si="45"/>
        <v>0.77825382519026431</v>
      </c>
      <c r="AK8" s="1083">
        <f t="shared" ref="AK8:AS8" si="46">+AK6/AK17</f>
        <v>0.98128448717219408</v>
      </c>
      <c r="AL8" s="1056">
        <f t="shared" si="46"/>
        <v>0.7183277267803182</v>
      </c>
      <c r="AM8" s="1056">
        <f t="shared" si="46"/>
        <v>0.72853790658778306</v>
      </c>
      <c r="AN8" s="1056">
        <f t="shared" si="46"/>
        <v>0.77067021904965372</v>
      </c>
      <c r="AO8" s="1056">
        <f t="shared" si="46"/>
        <v>0.80502304030143335</v>
      </c>
      <c r="AP8" s="1056">
        <f t="shared" si="46"/>
        <v>0.81299754299754301</v>
      </c>
      <c r="AQ8" s="1083">
        <f t="shared" si="46"/>
        <v>0.81005820102072346</v>
      </c>
      <c r="AR8" s="1083">
        <f t="shared" si="46"/>
        <v>0.81316801068087929</v>
      </c>
      <c r="AS8" s="1083">
        <f t="shared" si="46"/>
        <v>0.81662687234138531</v>
      </c>
    </row>
    <row r="9" spans="2:49" s="268" customFormat="1" x14ac:dyDescent="0.2">
      <c r="B9" s="272" t="s">
        <v>11</v>
      </c>
      <c r="C9" s="271"/>
      <c r="D9" s="274">
        <f>+'3FS'!K6</f>
        <v>0</v>
      </c>
      <c r="E9" s="274">
        <f>+'3FS'!L6</f>
        <v>0</v>
      </c>
      <c r="F9" s="274">
        <f>+'3FS'!M6</f>
        <v>0</v>
      </c>
      <c r="G9" s="886">
        <f>+'3FS'!N6</f>
        <v>0</v>
      </c>
      <c r="H9" s="274">
        <f>+'3FS'!O6</f>
        <v>0</v>
      </c>
      <c r="I9" s="274">
        <f>+'3FS'!P6</f>
        <v>9959</v>
      </c>
      <c r="J9" s="274">
        <f>+'3FS'!Q6</f>
        <v>10209</v>
      </c>
      <c r="K9" s="886">
        <f>+'3FS'!R6</f>
        <v>10251</v>
      </c>
      <c r="L9" s="274">
        <f>+'3FS'!S6</f>
        <v>10303</v>
      </c>
      <c r="M9" s="274">
        <f>+'3FS'!T6</f>
        <v>10492</v>
      </c>
      <c r="N9" s="274">
        <f>+'3FS'!U6</f>
        <v>10804</v>
      </c>
      <c r="O9" s="886">
        <f>+'3FS'!V6</f>
        <v>10963</v>
      </c>
      <c r="P9" s="274">
        <f>+'3FS'!W6</f>
        <v>11201</v>
      </c>
      <c r="Q9" s="274">
        <f>+'3FS'!X6</f>
        <v>11445</v>
      </c>
      <c r="R9" s="274">
        <f>+'3FS'!Y6</f>
        <v>11548</v>
      </c>
      <c r="S9" s="886">
        <f>+'3FS'!Z6</f>
        <v>11725</v>
      </c>
      <c r="T9" s="274">
        <f>+'3FS'!AA6</f>
        <v>11862</v>
      </c>
      <c r="U9" s="274">
        <f>+'3FS'!AB6</f>
        <v>12070</v>
      </c>
      <c r="V9" s="274">
        <f>+'3FS'!AC6</f>
        <v>12288</v>
      </c>
      <c r="W9" s="886">
        <f>+'3FS'!AD6</f>
        <v>12472</v>
      </c>
      <c r="X9" s="274">
        <f>+'3FS'!AE6</f>
        <v>12631</v>
      </c>
      <c r="Y9" s="274">
        <f>+'3FS'!AF6</f>
        <v>12899</v>
      </c>
      <c r="Z9" s="274">
        <f>+'3FS'!AG6</f>
        <v>13308</v>
      </c>
      <c r="AA9" s="886">
        <f>+'3FS'!AH6</f>
        <v>13502</v>
      </c>
      <c r="AB9" s="274">
        <f>+'3FS'!AI6</f>
        <v>13594</v>
      </c>
      <c r="AC9" s="274">
        <f>+'3FS'!AJ6</f>
        <v>14078</v>
      </c>
      <c r="AD9" s="274">
        <f>+'3FS'!AK6</f>
        <v>14882</v>
      </c>
      <c r="AE9" s="1185">
        <f>+AE25</f>
        <v>15201.074586422234</v>
      </c>
      <c r="AF9" s="1186">
        <f>+AF25</f>
        <v>15280.935884285471</v>
      </c>
      <c r="AG9" s="1186">
        <f>+AG25</f>
        <v>15801.25455072703</v>
      </c>
      <c r="AH9" s="1186">
        <f>+AH25</f>
        <v>16201.781749218617</v>
      </c>
      <c r="AI9" s="1185">
        <f>+AI25</f>
        <v>16299.261628457032</v>
      </c>
      <c r="AK9" s="1084">
        <f>'3FS'!D6</f>
        <v>22673</v>
      </c>
      <c r="AL9" s="274">
        <f>'3FS'!E6</f>
        <v>36306</v>
      </c>
      <c r="AM9" s="274">
        <f>'3FS'!F6</f>
        <v>42562</v>
      </c>
      <c r="AN9" s="274">
        <f>'3FS'!G6</f>
        <v>45919</v>
      </c>
      <c r="AO9" s="274">
        <f>'3FS'!H6</f>
        <v>48692</v>
      </c>
      <c r="AP9" s="274">
        <f>'3FS'!I6</f>
        <v>52340</v>
      </c>
      <c r="AQ9" s="1186">
        <f t="shared" ref="AQ9:AS9" si="47">+AQ25</f>
        <v>57755.074586422234</v>
      </c>
      <c r="AR9" s="1186">
        <f t="shared" si="47"/>
        <v>63583.233812688151</v>
      </c>
      <c r="AS9" s="1186">
        <f t="shared" si="47"/>
        <v>68048.48580345769</v>
      </c>
    </row>
    <row r="10" spans="2:49" s="1059" customFormat="1" x14ac:dyDescent="0.2">
      <c r="B10" s="1052" t="s">
        <v>206</v>
      </c>
      <c r="C10" s="1060"/>
      <c r="D10" s="1061"/>
      <c r="E10" s="1061"/>
      <c r="F10" s="1061"/>
      <c r="G10" s="1062"/>
      <c r="H10" s="1061"/>
      <c r="I10" s="1064">
        <f t="shared" ref="I10:AI10" si="48">I9/I17</f>
        <v>0.56357874483617221</v>
      </c>
      <c r="J10" s="1064">
        <f t="shared" si="48"/>
        <v>0.52973225404732249</v>
      </c>
      <c r="K10" s="1063">
        <f t="shared" si="48"/>
        <v>0.50395752421218232</v>
      </c>
      <c r="L10" s="1064">
        <f t="shared" si="48"/>
        <v>0.52143327091451996</v>
      </c>
      <c r="M10" s="1064">
        <f t="shared" si="48"/>
        <v>0.52591478696741856</v>
      </c>
      <c r="N10" s="1064">
        <f t="shared" si="48"/>
        <v>0.5505503465144721</v>
      </c>
      <c r="O10" s="1063">
        <f t="shared" si="48"/>
        <v>0.52744767861438535</v>
      </c>
      <c r="P10" s="1064">
        <f t="shared" si="48"/>
        <v>0.55670974155069586</v>
      </c>
      <c r="Q10" s="1064">
        <f t="shared" si="48"/>
        <v>0.58093497791990256</v>
      </c>
      <c r="R10" s="1064">
        <f t="shared" si="48"/>
        <v>0.59290445140422032</v>
      </c>
      <c r="S10" s="1063">
        <f t="shared" si="48"/>
        <v>0.57835544813298478</v>
      </c>
      <c r="T10" s="1064">
        <f t="shared" si="48"/>
        <v>0.60421760391198043</v>
      </c>
      <c r="U10" s="1064">
        <f t="shared" si="48"/>
        <v>0.62877682850593875</v>
      </c>
      <c r="V10" s="1064">
        <f t="shared" si="48"/>
        <v>0.63827134843133182</v>
      </c>
      <c r="W10" s="1063">
        <f t="shared" si="48"/>
        <v>0.60904385193866584</v>
      </c>
      <c r="X10" s="1064">
        <f t="shared" si="48"/>
        <v>0.64463611309584568</v>
      </c>
      <c r="Y10" s="1064">
        <f t="shared" si="48"/>
        <v>0.6523872142423629</v>
      </c>
      <c r="Z10" s="1064">
        <f t="shared" si="48"/>
        <v>0.66005356611447275</v>
      </c>
      <c r="AA10" s="1063">
        <f t="shared" si="48"/>
        <v>0.61731894659839059</v>
      </c>
      <c r="AB10" s="1064">
        <f t="shared" si="48"/>
        <v>0.65086660921191231</v>
      </c>
      <c r="AC10" s="1064">
        <f t="shared" si="48"/>
        <v>0.66619345069089531</v>
      </c>
      <c r="AD10" s="1064">
        <f t="shared" si="48"/>
        <v>0.67777929589652508</v>
      </c>
      <c r="AE10" s="1187">
        <f t="shared" si="48"/>
        <v>0.63676102595859951</v>
      </c>
      <c r="AF10" s="1085">
        <f t="shared" si="48"/>
        <v>0.67763826943788474</v>
      </c>
      <c r="AG10" s="1085">
        <f t="shared" si="48"/>
        <v>0.68223925364675519</v>
      </c>
      <c r="AH10" s="1085">
        <f t="shared" si="48"/>
        <v>0.69024978223816735</v>
      </c>
      <c r="AI10" s="1187">
        <f t="shared" si="48"/>
        <v>0.64592917240907233</v>
      </c>
      <c r="AK10" s="1085">
        <f t="shared" ref="AK10:AS10" si="49">AK9/AK17</f>
        <v>0.64488878775812053</v>
      </c>
      <c r="AL10" s="1064">
        <f t="shared" si="49"/>
        <v>0.5175038485660528</v>
      </c>
      <c r="AM10" s="1064">
        <f t="shared" si="49"/>
        <v>0.53124141890711196</v>
      </c>
      <c r="AN10" s="1064">
        <f t="shared" si="49"/>
        <v>0.57708210277613703</v>
      </c>
      <c r="AO10" s="1064">
        <f t="shared" si="49"/>
        <v>0.61982229690165225</v>
      </c>
      <c r="AP10" s="1064">
        <f t="shared" si="49"/>
        <v>0.64299754299754297</v>
      </c>
      <c r="AQ10" s="1085">
        <f t="shared" si="49"/>
        <v>0.65744702683449296</v>
      </c>
      <c r="AR10" s="1085">
        <f t="shared" si="49"/>
        <v>0.67342763197507938</v>
      </c>
      <c r="AS10" s="1085">
        <f t="shared" si="49"/>
        <v>0.68561471706055854</v>
      </c>
    </row>
    <row r="11" spans="2:49" s="268" customFormat="1" x14ac:dyDescent="0.2">
      <c r="B11" s="272" t="s">
        <v>12</v>
      </c>
      <c r="C11" s="271"/>
      <c r="D11" s="274">
        <f>+'3FS'!K7</f>
        <v>0</v>
      </c>
      <c r="E11" s="274">
        <f>+'3FS'!L7</f>
        <v>0</v>
      </c>
      <c r="F11" s="274">
        <f>+'3FS'!M7</f>
        <v>0</v>
      </c>
      <c r="G11" s="886">
        <f>+'3FS'!N7</f>
        <v>0</v>
      </c>
      <c r="H11" s="274">
        <f>+'3FS'!O7</f>
        <v>0</v>
      </c>
      <c r="I11" s="274">
        <f>+'3FS'!P7</f>
        <v>2311</v>
      </c>
      <c r="J11" s="274">
        <f>+'3FS'!Q7</f>
        <v>2383</v>
      </c>
      <c r="K11" s="886">
        <f>+'3FS'!R7</f>
        <v>2354</v>
      </c>
      <c r="L11" s="274">
        <f>+'3FS'!S7</f>
        <v>2351</v>
      </c>
      <c r="M11" s="274">
        <f>+'3FS'!T7</f>
        <v>2427</v>
      </c>
      <c r="N11" s="274">
        <f>+'3FS'!U7</f>
        <v>2481</v>
      </c>
      <c r="O11" s="886">
        <f>+'3FS'!V7</f>
        <v>2474</v>
      </c>
      <c r="P11" s="274">
        <f>+'3FS'!W7</f>
        <v>2455</v>
      </c>
      <c r="Q11" s="274">
        <f>+'3FS'!X7</f>
        <v>2469</v>
      </c>
      <c r="R11" s="274">
        <f>+'3FS'!Y7</f>
        <v>2484</v>
      </c>
      <c r="S11" s="886">
        <f>+'3FS'!Z7</f>
        <v>2449</v>
      </c>
      <c r="T11" s="274">
        <f>+'3FS'!AA7</f>
        <v>2417</v>
      </c>
      <c r="U11" s="274">
        <f>+'3FS'!AB7</f>
        <v>2444</v>
      </c>
      <c r="V11" s="274">
        <f>+'3FS'!AC7</f>
        <v>2473</v>
      </c>
      <c r="W11" s="886">
        <f>+'3FS'!AD7</f>
        <v>2433</v>
      </c>
      <c r="X11" s="274">
        <f>+'3FS'!AE7</f>
        <v>2403</v>
      </c>
      <c r="Y11" s="274">
        <f>+'3FS'!AF7</f>
        <v>2592</v>
      </c>
      <c r="Z11" s="274">
        <f>+'3FS'!AG7</f>
        <v>2716</v>
      </c>
      <c r="AA11" s="886">
        <f>+'3FS'!AH7</f>
        <v>2688</v>
      </c>
      <c r="AB11" s="274">
        <f>+'3FS'!AI7</f>
        <v>2643</v>
      </c>
      <c r="AC11" s="274">
        <f>+'3FS'!AJ7</f>
        <v>2643</v>
      </c>
      <c r="AD11" s="274">
        <f>+'3FS'!AK7</f>
        <v>2625</v>
      </c>
      <c r="AE11" s="1185">
        <f>+AE141</f>
        <v>2603.7494039372605</v>
      </c>
      <c r="AF11" s="1186">
        <f>+AF141</f>
        <v>2557.3003048894129</v>
      </c>
      <c r="AG11" s="1186">
        <f>+AG141</f>
        <v>2565.5624094357663</v>
      </c>
      <c r="AH11" s="1186">
        <f>+AH141</f>
        <v>2549.7529610063602</v>
      </c>
      <c r="AI11" s="1185">
        <f>+AI141</f>
        <v>2556.1863073033028</v>
      </c>
      <c r="AK11" s="1084">
        <f>'3FS'!D7</f>
        <v>9543</v>
      </c>
      <c r="AL11" s="274">
        <f>'3FS'!E7</f>
        <v>9421</v>
      </c>
      <c r="AM11" s="274">
        <f>'3FS'!F7</f>
        <v>9733</v>
      </c>
      <c r="AN11" s="274">
        <f>'3FS'!G7</f>
        <v>9857</v>
      </c>
      <c r="AO11" s="274">
        <f>'3FS'!H7</f>
        <v>9767</v>
      </c>
      <c r="AP11" s="274">
        <f>'3FS'!I7</f>
        <v>10399</v>
      </c>
      <c r="AQ11" s="1186">
        <f t="shared" ref="AQ11:AS11" si="50">+AQ141</f>
        <v>10514.749403937261</v>
      </c>
      <c r="AR11" s="1186">
        <f t="shared" si="50"/>
        <v>10228.801982634843</v>
      </c>
      <c r="AS11" s="1186">
        <f t="shared" si="50"/>
        <v>9933.2180592852019</v>
      </c>
    </row>
    <row r="12" spans="2:49" s="268" customFormat="1" x14ac:dyDescent="0.2">
      <c r="B12" s="272" t="s">
        <v>13</v>
      </c>
      <c r="C12" s="271"/>
      <c r="D12" s="282">
        <f>+'3FS'!K8</f>
        <v>0</v>
      </c>
      <c r="E12" s="282">
        <f>+'3FS'!L8</f>
        <v>0</v>
      </c>
      <c r="F12" s="282">
        <f>+'3FS'!M8</f>
        <v>0</v>
      </c>
      <c r="G12" s="886">
        <f>+'3FS'!N8</f>
        <v>0</v>
      </c>
      <c r="H12" s="282">
        <f>+'3FS'!O8</f>
        <v>0</v>
      </c>
      <c r="I12" s="282">
        <f>+'3FS'!P8</f>
        <v>960</v>
      </c>
      <c r="J12" s="282">
        <f>+'3FS'!Q8</f>
        <v>1547</v>
      </c>
      <c r="K12" s="886">
        <f>+'3FS'!R8</f>
        <v>1575</v>
      </c>
      <c r="L12" s="282">
        <f>+'3FS'!S8</f>
        <v>1538</v>
      </c>
      <c r="M12" s="282">
        <f>+'3FS'!T8</f>
        <v>1573</v>
      </c>
      <c r="N12" s="282">
        <f>+'3FS'!U8</f>
        <v>1437</v>
      </c>
      <c r="O12" s="886">
        <f>+'3FS'!V8</f>
        <v>1526</v>
      </c>
      <c r="P12" s="282">
        <f>+'3FS'!W8</f>
        <v>1472</v>
      </c>
      <c r="Q12" s="282">
        <f>+'3FS'!X8</f>
        <v>1402</v>
      </c>
      <c r="R12" s="282">
        <f>+'3FS'!Y8</f>
        <v>1329</v>
      </c>
      <c r="S12" s="886">
        <f>+'3FS'!Z8</f>
        <v>1344</v>
      </c>
      <c r="T12" s="282">
        <f>+'3FS'!AA8</f>
        <v>1267</v>
      </c>
      <c r="U12" s="282">
        <f>+'3FS'!AB8</f>
        <v>1224</v>
      </c>
      <c r="V12" s="282">
        <f>+'3FS'!AC8</f>
        <v>1153</v>
      </c>
      <c r="W12" s="886">
        <f>+'3FS'!AD8</f>
        <v>1138</v>
      </c>
      <c r="X12" s="282">
        <f>+'3FS'!AE8</f>
        <v>1062</v>
      </c>
      <c r="Y12" s="282">
        <f>+'3FS'!AF8</f>
        <v>938</v>
      </c>
      <c r="Z12" s="282">
        <f>+'3FS'!AG8</f>
        <v>701</v>
      </c>
      <c r="AA12" s="886">
        <f>+'3FS'!AH8</f>
        <v>738</v>
      </c>
      <c r="AB12" s="282">
        <f>+'3FS'!AI8</f>
        <v>688</v>
      </c>
      <c r="AC12" s="282">
        <f>+'3FS'!AJ8</f>
        <v>717</v>
      </c>
      <c r="AD12" s="282">
        <f>+'3FS'!AK8</f>
        <v>734</v>
      </c>
      <c r="AE12" s="1185">
        <f>+AE184</f>
        <v>752.76</v>
      </c>
      <c r="AF12" s="1186">
        <f>+AF184</f>
        <v>694.88</v>
      </c>
      <c r="AG12" s="1186">
        <f>+AG184</f>
        <v>731.34</v>
      </c>
      <c r="AH12" s="1186">
        <f>+AH184</f>
        <v>756.02</v>
      </c>
      <c r="AI12" s="1185">
        <f>+AI184</f>
        <v>782.87040000000002</v>
      </c>
      <c r="AK12" s="1084">
        <f>'3FS'!D8</f>
        <v>2284</v>
      </c>
      <c r="AL12" s="274">
        <f>'3FS'!E8</f>
        <v>4668</v>
      </c>
      <c r="AM12" s="274">
        <f>'3FS'!F8</f>
        <v>6074</v>
      </c>
      <c r="AN12" s="274">
        <f>'3FS'!G8</f>
        <v>5547</v>
      </c>
      <c r="AO12" s="274">
        <f>'3FS'!H8</f>
        <v>4782</v>
      </c>
      <c r="AP12" s="274">
        <f>'3FS'!I8</f>
        <v>3439</v>
      </c>
      <c r="AQ12" s="1186">
        <f t="shared" ref="AQ12:AS12" si="51">+AQ184</f>
        <v>2891.76</v>
      </c>
      <c r="AR12" s="1186">
        <f t="shared" si="51"/>
        <v>2965.1103999999996</v>
      </c>
      <c r="AS12" s="1186">
        <f t="shared" si="51"/>
        <v>3069.9724599175579</v>
      </c>
    </row>
    <row r="13" spans="2:49" s="268" customFormat="1" x14ac:dyDescent="0.2">
      <c r="B13" s="283" t="s">
        <v>15</v>
      </c>
      <c r="C13" s="284"/>
      <c r="D13" s="285">
        <f>+'3FS'!K12</f>
        <v>4369</v>
      </c>
      <c r="E13" s="285">
        <f>+'3FS'!L12</f>
        <v>4099</v>
      </c>
      <c r="F13" s="285">
        <f>+'3FS'!M12</f>
        <v>3974</v>
      </c>
      <c r="G13" s="887">
        <f>+'3FS'!N12</f>
        <v>4704</v>
      </c>
      <c r="H13" s="285">
        <f>+'3FS'!O12</f>
        <v>3876</v>
      </c>
      <c r="I13" s="285">
        <f>+'3FS'!P12</f>
        <v>4269</v>
      </c>
      <c r="J13" s="285">
        <f>+'3FS'!Q12</f>
        <v>4953</v>
      </c>
      <c r="K13" s="887">
        <f>+'3FS'!R12</f>
        <v>5973</v>
      </c>
      <c r="L13" s="285">
        <f>+'3FS'!S12</f>
        <v>5346</v>
      </c>
      <c r="M13" s="285">
        <f>+'3FS'!T12</f>
        <v>5215</v>
      </c>
      <c r="N13" s="285">
        <f>+'3FS'!U12</f>
        <v>4660</v>
      </c>
      <c r="O13" s="887">
        <f>+'3FS'!V12</f>
        <v>5506</v>
      </c>
      <c r="P13" s="285">
        <f>+'3FS'!W12</f>
        <v>4694</v>
      </c>
      <c r="Q13" s="285">
        <f>+'3FS'!X12</f>
        <v>4130</v>
      </c>
      <c r="R13" s="285">
        <f>+'3FS'!Y12</f>
        <v>3855</v>
      </c>
      <c r="S13" s="887">
        <f>+'3FS'!Z12</f>
        <v>4451</v>
      </c>
      <c r="T13" s="285">
        <f>+'3FS'!AA12</f>
        <v>3719</v>
      </c>
      <c r="U13" s="285">
        <f>+'3FS'!AB12</f>
        <v>3169</v>
      </c>
      <c r="V13" s="285">
        <f>+'3FS'!AC12</f>
        <v>3076</v>
      </c>
      <c r="W13" s="887">
        <f>+'3FS'!AD12</f>
        <v>4174</v>
      </c>
      <c r="X13" s="285">
        <f>+'3FS'!AE12</f>
        <v>3251</v>
      </c>
      <c r="Y13" s="285">
        <f>+'3FS'!AF12</f>
        <v>3106</v>
      </c>
      <c r="Z13" s="285">
        <f>+'3FS'!AG12</f>
        <v>3207</v>
      </c>
      <c r="AA13" s="887">
        <f>+'3FS'!AH12</f>
        <v>4699</v>
      </c>
      <c r="AB13" s="285">
        <f>+'3FS'!AI12</f>
        <v>3704</v>
      </c>
      <c r="AC13" s="285">
        <f>+'3FS'!AJ12</f>
        <v>3439</v>
      </c>
      <c r="AD13" s="285">
        <f>+'3FS'!AK12</f>
        <v>3465</v>
      </c>
      <c r="AE13" s="1188">
        <f t="shared" ref="AE13:AI13" si="52">+AE14+AE15</f>
        <v>5051.1421293133808</v>
      </c>
      <c r="AF13" s="1086">
        <f t="shared" si="52"/>
        <v>3756.717907266308</v>
      </c>
      <c r="AG13" s="1086">
        <f t="shared" si="52"/>
        <v>3782.0806135501621</v>
      </c>
      <c r="AH13" s="1086">
        <f t="shared" si="52"/>
        <v>3696.9684334298386</v>
      </c>
      <c r="AI13" s="1188">
        <f t="shared" si="52"/>
        <v>5317.7985434217626</v>
      </c>
      <c r="AK13" s="1086">
        <f t="shared" ref="AK13" si="53">+AK14+AK15</f>
        <v>0</v>
      </c>
      <c r="AL13" s="286">
        <f t="shared" ref="AL13" si="54">+AL14+AL15</f>
        <v>19071</v>
      </c>
      <c r="AM13" s="286">
        <f t="shared" ref="AM13" si="55">+AM14+AM15</f>
        <v>20727</v>
      </c>
      <c r="AN13" s="286">
        <f t="shared" ref="AN13" si="56">+AN14+AN15</f>
        <v>17130</v>
      </c>
      <c r="AO13" s="286">
        <f t="shared" ref="AO13:AP13" si="57">+AO14+AO15</f>
        <v>14138</v>
      </c>
      <c r="AP13" s="286">
        <f t="shared" si="57"/>
        <v>14263</v>
      </c>
      <c r="AQ13" s="1086">
        <f t="shared" ref="AQ13" si="58">+AQ14+AQ15</f>
        <v>15659.142129313381</v>
      </c>
      <c r="AR13" s="1086">
        <f t="shared" ref="AR13" si="59">+AR14+AR15</f>
        <v>16553.565497668071</v>
      </c>
      <c r="AS13" s="1086">
        <f t="shared" ref="AS13" si="60">+AS14+AS15</f>
        <v>17077.990949143521</v>
      </c>
    </row>
    <row r="14" spans="2:49" s="268" customFormat="1" x14ac:dyDescent="0.2">
      <c r="B14" s="272" t="s">
        <v>132</v>
      </c>
      <c r="C14" s="271"/>
      <c r="D14" s="274"/>
      <c r="E14" s="274"/>
      <c r="F14" s="274"/>
      <c r="G14" s="886"/>
      <c r="H14" s="274"/>
      <c r="I14" s="274">
        <f>Metrics!Q74</f>
        <v>1421</v>
      </c>
      <c r="J14" s="274">
        <f>Metrics!R74</f>
        <v>1350</v>
      </c>
      <c r="K14" s="886">
        <f>Metrics!S74</f>
        <v>1245</v>
      </c>
      <c r="L14" s="274">
        <f>Metrics!T74</f>
        <v>1041</v>
      </c>
      <c r="M14" s="274">
        <f>Metrics!U74</f>
        <v>914</v>
      </c>
      <c r="N14" s="274">
        <f>Metrics!V74</f>
        <v>770</v>
      </c>
      <c r="O14" s="886">
        <f>Metrics!W74</f>
        <v>623</v>
      </c>
      <c r="P14" s="274">
        <f>Metrics!X74</f>
        <v>487</v>
      </c>
      <c r="Q14" s="274">
        <f>Metrics!Y74</f>
        <v>386</v>
      </c>
      <c r="R14" s="274">
        <f>Metrics!Z74</f>
        <v>311</v>
      </c>
      <c r="S14" s="886">
        <f>Metrics!AA74</f>
        <v>246</v>
      </c>
      <c r="T14" s="274">
        <f>Metrics!AB74</f>
        <v>147</v>
      </c>
      <c r="U14" s="274">
        <f>Metrics!AC74</f>
        <v>69</v>
      </c>
      <c r="V14" s="274">
        <f>Metrics!AD74</f>
        <v>53</v>
      </c>
      <c r="W14" s="886">
        <f>Metrics!AE74</f>
        <v>43</v>
      </c>
      <c r="X14" s="274">
        <f>Metrics!AF74</f>
        <v>35</v>
      </c>
      <c r="Y14" s="274">
        <f>Metrics!AG74</f>
        <v>26</v>
      </c>
      <c r="Z14" s="274">
        <f>Metrics!AH74</f>
        <v>21</v>
      </c>
      <c r="AA14" s="886">
        <f>Metrics!AI74</f>
        <v>11</v>
      </c>
      <c r="AB14" s="274">
        <f>Metrics!AJ74</f>
        <v>1</v>
      </c>
      <c r="AC14" s="274">
        <f>Metrics!AK74</f>
        <v>6</v>
      </c>
      <c r="AD14" s="274">
        <f>Metrics!AL74</f>
        <v>4</v>
      </c>
      <c r="AE14" s="1185">
        <f>+AE190</f>
        <v>4</v>
      </c>
      <c r="AF14" s="1186">
        <f>+AF190</f>
        <v>4</v>
      </c>
      <c r="AG14" s="1186">
        <f>+AG190</f>
        <v>4</v>
      </c>
      <c r="AH14" s="1186">
        <f>+AH190</f>
        <v>4</v>
      </c>
      <c r="AI14" s="1185">
        <f>+AI190</f>
        <v>4</v>
      </c>
      <c r="AK14" s="1084">
        <f>Metrics!E74</f>
        <v>0</v>
      </c>
      <c r="AL14" s="274">
        <f>Metrics!F74</f>
        <v>5418</v>
      </c>
      <c r="AM14" s="274">
        <f>Metrics!G74</f>
        <v>3348</v>
      </c>
      <c r="AN14" s="274">
        <f>Metrics!H74</f>
        <v>1430</v>
      </c>
      <c r="AO14" s="274">
        <f>Metrics!I74</f>
        <v>312</v>
      </c>
      <c r="AP14" s="274">
        <f>Metrics!J74</f>
        <v>93</v>
      </c>
      <c r="AQ14" s="1186">
        <f t="shared" ref="AQ14:AS14" si="61">+AQ190</f>
        <v>15</v>
      </c>
      <c r="AR14" s="1186">
        <f t="shared" si="61"/>
        <v>16</v>
      </c>
      <c r="AS14" s="1186">
        <f t="shared" si="61"/>
        <v>0</v>
      </c>
    </row>
    <row r="15" spans="2:49" s="268" customFormat="1" x14ac:dyDescent="0.2">
      <c r="B15" s="272" t="s">
        <v>160</v>
      </c>
      <c r="C15" s="271"/>
      <c r="D15" s="275"/>
      <c r="E15" s="275"/>
      <c r="F15" s="275"/>
      <c r="G15" s="875"/>
      <c r="H15" s="275"/>
      <c r="I15" s="275">
        <f t="shared" ref="I15:Y15" si="62">+I13-I14</f>
        <v>2848</v>
      </c>
      <c r="J15" s="275">
        <f t="shared" si="62"/>
        <v>3603</v>
      </c>
      <c r="K15" s="875">
        <f t="shared" si="62"/>
        <v>4728</v>
      </c>
      <c r="L15" s="275">
        <f t="shared" si="62"/>
        <v>4305</v>
      </c>
      <c r="M15" s="275">
        <f t="shared" si="62"/>
        <v>4301</v>
      </c>
      <c r="N15" s="275">
        <f t="shared" si="62"/>
        <v>3890</v>
      </c>
      <c r="O15" s="875">
        <f t="shared" si="62"/>
        <v>4883</v>
      </c>
      <c r="P15" s="275">
        <f t="shared" si="62"/>
        <v>4207</v>
      </c>
      <c r="Q15" s="275">
        <f t="shared" si="62"/>
        <v>3744</v>
      </c>
      <c r="R15" s="275">
        <f t="shared" si="62"/>
        <v>3544</v>
      </c>
      <c r="S15" s="875">
        <f t="shared" si="62"/>
        <v>4205</v>
      </c>
      <c r="T15" s="275">
        <f t="shared" si="62"/>
        <v>3572</v>
      </c>
      <c r="U15" s="275">
        <f t="shared" si="62"/>
        <v>3100</v>
      </c>
      <c r="V15" s="275">
        <f t="shared" si="62"/>
        <v>3023</v>
      </c>
      <c r="W15" s="875">
        <f t="shared" si="62"/>
        <v>4131</v>
      </c>
      <c r="X15" s="275">
        <f t="shared" si="62"/>
        <v>3216</v>
      </c>
      <c r="Y15" s="275">
        <f t="shared" si="62"/>
        <v>3080</v>
      </c>
      <c r="Z15" s="275">
        <f t="shared" ref="Z15:AA15" si="63">+Z13-Z14</f>
        <v>3186</v>
      </c>
      <c r="AA15" s="875">
        <f t="shared" si="63"/>
        <v>4688</v>
      </c>
      <c r="AB15" s="275">
        <f t="shared" ref="AB15:AC15" si="64">+AB13-AB14</f>
        <v>3703</v>
      </c>
      <c r="AC15" s="275">
        <f t="shared" si="64"/>
        <v>3433</v>
      </c>
      <c r="AD15" s="275">
        <f t="shared" ref="AD15" si="65">+AD13-AD14</f>
        <v>3461</v>
      </c>
      <c r="AE15" s="1185">
        <f>+AE192</f>
        <v>5047.1421293133808</v>
      </c>
      <c r="AF15" s="1186">
        <f>+AF192</f>
        <v>3752.717907266308</v>
      </c>
      <c r="AG15" s="1186">
        <f>+AG192</f>
        <v>3778.0806135501621</v>
      </c>
      <c r="AH15" s="1186">
        <f>+AH192</f>
        <v>3692.9684334298386</v>
      </c>
      <c r="AI15" s="1185">
        <f>+AI192</f>
        <v>5313.7985434217626</v>
      </c>
      <c r="AK15" s="1084">
        <f>+Metrics!E75</f>
        <v>0</v>
      </c>
      <c r="AL15" s="274">
        <f>+Metrics!F75</f>
        <v>13653</v>
      </c>
      <c r="AM15" s="274">
        <f>+Metrics!G75</f>
        <v>17379</v>
      </c>
      <c r="AN15" s="274">
        <f>+Metrics!H75</f>
        <v>15700</v>
      </c>
      <c r="AO15" s="274">
        <f>+Metrics!I75</f>
        <v>13826</v>
      </c>
      <c r="AP15" s="274">
        <f>+Metrics!J75</f>
        <v>14170</v>
      </c>
      <c r="AQ15" s="1186">
        <f t="shared" ref="AQ15:AS15" si="66">+AQ192</f>
        <v>15644.142129313381</v>
      </c>
      <c r="AR15" s="1186">
        <f t="shared" si="66"/>
        <v>16537.565497668071</v>
      </c>
      <c r="AS15" s="1186">
        <f t="shared" si="66"/>
        <v>17077.990949143521</v>
      </c>
    </row>
    <row r="16" spans="2:49" s="268" customFormat="1" x14ac:dyDescent="0.2">
      <c r="B16" s="280" t="s">
        <v>16</v>
      </c>
      <c r="C16" s="278"/>
      <c r="D16" s="279">
        <f>+'3FS'!K13</f>
        <v>349</v>
      </c>
      <c r="E16" s="279">
        <f>+'3FS'!L13</f>
        <v>353</v>
      </c>
      <c r="F16" s="279">
        <f>+'3FS'!M13</f>
        <v>359</v>
      </c>
      <c r="G16" s="888">
        <f>+'3FS'!N13</f>
        <v>373</v>
      </c>
      <c r="H16" s="279">
        <f>+'3FS'!O13</f>
        <v>335</v>
      </c>
      <c r="I16" s="279">
        <f>+'3FS'!P13</f>
        <v>172</v>
      </c>
      <c r="J16" s="279">
        <f>+'3FS'!Q13</f>
        <v>180</v>
      </c>
      <c r="K16" s="888">
        <f>+'3FS'!R13</f>
        <v>188</v>
      </c>
      <c r="L16" s="279">
        <f>+'3FS'!S13</f>
        <v>221</v>
      </c>
      <c r="M16" s="279">
        <f>+'3FS'!T13</f>
        <v>243</v>
      </c>
      <c r="N16" s="279">
        <f>+'3FS'!U13</f>
        <v>242</v>
      </c>
      <c r="O16" s="888">
        <f>+'3FS'!V13</f>
        <v>316</v>
      </c>
      <c r="P16" s="279">
        <f>+'3FS'!W13</f>
        <v>298</v>
      </c>
      <c r="Q16" s="279">
        <f>+'3FS'!X13</f>
        <v>255</v>
      </c>
      <c r="R16" s="279">
        <f>+'3FS'!Y13</f>
        <v>261</v>
      </c>
      <c r="S16" s="888">
        <f>+'3FS'!Z13</f>
        <v>304</v>
      </c>
      <c r="T16" s="279">
        <f>+'3FS'!AA13</f>
        <v>367</v>
      </c>
      <c r="U16" s="279">
        <f>+'3FS'!AB13</f>
        <v>289</v>
      </c>
      <c r="V16" s="279">
        <f>+'3FS'!AC13</f>
        <v>262</v>
      </c>
      <c r="W16" s="888">
        <f>+'3FS'!AD13</f>
        <v>261</v>
      </c>
      <c r="X16" s="279">
        <f>+'3FS'!AE13</f>
        <v>247</v>
      </c>
      <c r="Y16" s="279">
        <f>+'3FS'!AF13</f>
        <v>237</v>
      </c>
      <c r="Z16" s="279">
        <f>+'3FS'!AG13</f>
        <v>230</v>
      </c>
      <c r="AA16" s="888">
        <f>+'3FS'!AH13</f>
        <v>245</v>
      </c>
      <c r="AB16" s="279">
        <f>+'3FS'!AI13</f>
        <v>257</v>
      </c>
      <c r="AC16" s="279">
        <f>+'3FS'!AJ13</f>
        <v>255</v>
      </c>
      <c r="AD16" s="279">
        <f>+'3FS'!AK13</f>
        <v>251</v>
      </c>
      <c r="AE16" s="1189">
        <f>+AE196</f>
        <v>263.76915991505513</v>
      </c>
      <c r="AF16" s="1190">
        <f>+AF196</f>
        <v>260.45058119563629</v>
      </c>
      <c r="AG16" s="1190">
        <f>+AG196</f>
        <v>280.63226229399692</v>
      </c>
      <c r="AH16" s="1190">
        <f>+AH196</f>
        <v>267.82290574715097</v>
      </c>
      <c r="AI16" s="1189">
        <f>+AI196</f>
        <v>277.70491534520733</v>
      </c>
      <c r="AK16" s="1087">
        <f>+'3FS'!D13</f>
        <v>658</v>
      </c>
      <c r="AL16" s="279">
        <f>+'3FS'!E13</f>
        <v>690</v>
      </c>
      <c r="AM16" s="279">
        <f>+'3FS'!F13</f>
        <v>1022</v>
      </c>
      <c r="AN16" s="279">
        <f>+'3FS'!G13</f>
        <v>1118</v>
      </c>
      <c r="AO16" s="279">
        <f>+'3FS'!H13</f>
        <v>1179</v>
      </c>
      <c r="AP16" s="279">
        <f>+'3FS'!I13</f>
        <v>959</v>
      </c>
      <c r="AQ16" s="1190">
        <f t="shared" ref="AQ16:AS16" si="67">+AQ196</f>
        <v>1026.7691599150551</v>
      </c>
      <c r="AR16" s="1190">
        <f t="shared" si="67"/>
        <v>1086.6106645819916</v>
      </c>
      <c r="AS16" s="1190">
        <f t="shared" si="67"/>
        <v>1122.1196431597373</v>
      </c>
    </row>
    <row r="17" spans="1:45" s="269" customFormat="1" x14ac:dyDescent="0.2">
      <c r="B17" s="273" t="s">
        <v>290</v>
      </c>
      <c r="C17" s="270"/>
      <c r="D17" s="276">
        <f t="shared" ref="D17:AI17" si="68">+D6+D13+D16</f>
        <v>17619</v>
      </c>
      <c r="E17" s="276">
        <f t="shared" si="68"/>
        <v>17460</v>
      </c>
      <c r="F17" s="276">
        <f t="shared" si="68"/>
        <v>17243</v>
      </c>
      <c r="G17" s="876">
        <f t="shared" si="68"/>
        <v>18285</v>
      </c>
      <c r="H17" s="276">
        <f t="shared" si="68"/>
        <v>17408</v>
      </c>
      <c r="I17" s="276">
        <f t="shared" si="68"/>
        <v>17671</v>
      </c>
      <c r="J17" s="276">
        <f t="shared" si="68"/>
        <v>19272</v>
      </c>
      <c r="K17" s="876">
        <f t="shared" si="68"/>
        <v>20341</v>
      </c>
      <c r="L17" s="276">
        <f t="shared" si="68"/>
        <v>19759</v>
      </c>
      <c r="M17" s="276">
        <f t="shared" si="68"/>
        <v>19950</v>
      </c>
      <c r="N17" s="276">
        <f t="shared" si="68"/>
        <v>19624</v>
      </c>
      <c r="O17" s="876">
        <f t="shared" si="68"/>
        <v>20785</v>
      </c>
      <c r="P17" s="276">
        <f t="shared" si="68"/>
        <v>20120</v>
      </c>
      <c r="Q17" s="276">
        <f t="shared" si="68"/>
        <v>19701</v>
      </c>
      <c r="R17" s="276">
        <f t="shared" si="68"/>
        <v>19477</v>
      </c>
      <c r="S17" s="876">
        <f t="shared" si="68"/>
        <v>20273</v>
      </c>
      <c r="T17" s="276">
        <f t="shared" si="68"/>
        <v>19632</v>
      </c>
      <c r="U17" s="276">
        <f t="shared" si="68"/>
        <v>19196</v>
      </c>
      <c r="V17" s="276">
        <f t="shared" si="68"/>
        <v>19252</v>
      </c>
      <c r="W17" s="876">
        <f t="shared" si="68"/>
        <v>20478</v>
      </c>
      <c r="X17" s="276">
        <f t="shared" si="68"/>
        <v>19594</v>
      </c>
      <c r="Y17" s="276">
        <f t="shared" si="68"/>
        <v>19772</v>
      </c>
      <c r="Z17" s="276">
        <f t="shared" si="68"/>
        <v>20162</v>
      </c>
      <c r="AA17" s="876">
        <f t="shared" si="68"/>
        <v>21872</v>
      </c>
      <c r="AB17" s="276">
        <f t="shared" si="68"/>
        <v>20886</v>
      </c>
      <c r="AC17" s="276">
        <f t="shared" si="68"/>
        <v>21132</v>
      </c>
      <c r="AD17" s="276">
        <f t="shared" si="68"/>
        <v>21957</v>
      </c>
      <c r="AE17" s="1191">
        <f t="shared" si="68"/>
        <v>23872.495279587929</v>
      </c>
      <c r="AF17" s="1088">
        <f t="shared" si="68"/>
        <v>22550.284677636831</v>
      </c>
      <c r="AG17" s="1088">
        <f t="shared" si="68"/>
        <v>23160.869836006954</v>
      </c>
      <c r="AH17" s="1088">
        <f t="shared" si="68"/>
        <v>23472.346049401967</v>
      </c>
      <c r="AI17" s="1191">
        <f t="shared" si="68"/>
        <v>25233.821794527303</v>
      </c>
      <c r="AK17" s="1088">
        <f t="shared" ref="AK17:AS17" si="69">+AK6+AK13+AK16</f>
        <v>35158</v>
      </c>
      <c r="AL17" s="276">
        <f t="shared" si="69"/>
        <v>70156</v>
      </c>
      <c r="AM17" s="276">
        <f t="shared" si="69"/>
        <v>80118</v>
      </c>
      <c r="AN17" s="276">
        <f t="shared" si="69"/>
        <v>79571</v>
      </c>
      <c r="AO17" s="276">
        <f t="shared" si="69"/>
        <v>78558</v>
      </c>
      <c r="AP17" s="276">
        <f t="shared" si="69"/>
        <v>81400</v>
      </c>
      <c r="AQ17" s="1088">
        <f t="shared" si="69"/>
        <v>87847.495279587922</v>
      </c>
      <c r="AR17" s="1088">
        <f t="shared" si="69"/>
        <v>94417.322357573066</v>
      </c>
      <c r="AS17" s="1088">
        <f t="shared" si="69"/>
        <v>99251.786914963712</v>
      </c>
    </row>
    <row r="18" spans="1:45" s="244" customFormat="1" x14ac:dyDescent="0.2">
      <c r="B18" s="243" t="s">
        <v>266</v>
      </c>
      <c r="D18" s="1042"/>
      <c r="E18" s="1042"/>
      <c r="F18" s="1042"/>
      <c r="G18" s="1043"/>
      <c r="H18" s="1044"/>
      <c r="I18" s="246"/>
      <c r="J18" s="246"/>
      <c r="K18" s="878"/>
      <c r="L18" s="246"/>
      <c r="M18" s="246">
        <f t="shared" ref="M18" si="70">+M17/I17-1</f>
        <v>0.1289683662497878</v>
      </c>
      <c r="N18" s="246">
        <f t="shared" ref="N18" si="71">+N17/J17-1</f>
        <v>1.8264840182648401E-2</v>
      </c>
      <c r="O18" s="878">
        <f t="shared" ref="O18" si="72">+O17/K17-1</f>
        <v>2.182783540632216E-2</v>
      </c>
      <c r="P18" s="246">
        <f t="shared" ref="P18" si="73">+P17/L17-1</f>
        <v>1.827015537223553E-2</v>
      </c>
      <c r="Q18" s="246">
        <f t="shared" ref="Q18" si="74">+Q17/M17-1</f>
        <v>-1.248120300751876E-2</v>
      </c>
      <c r="R18" s="246">
        <f t="shared" ref="R18" si="75">+R17/N17-1</f>
        <v>-7.4908275580921613E-3</v>
      </c>
      <c r="S18" s="878">
        <f t="shared" ref="S18" si="76">+S17/O17-1</f>
        <v>-2.4633148905460645E-2</v>
      </c>
      <c r="T18" s="246">
        <f t="shared" ref="T18" si="77">+T17/P17-1</f>
        <v>-2.4254473161033796E-2</v>
      </c>
      <c r="U18" s="246">
        <f t="shared" ref="U18" si="78">+U17/Q17-1</f>
        <v>-2.5633216587990448E-2</v>
      </c>
      <c r="V18" s="246">
        <f t="shared" ref="V18" si="79">+V17/R17-1</f>
        <v>-1.1552087077065232E-2</v>
      </c>
      <c r="W18" s="878">
        <f t="shared" ref="W18" si="80">+W17/S17-1</f>
        <v>1.0111971587826174E-2</v>
      </c>
      <c r="X18" s="246">
        <f t="shared" ref="X18" si="81">+X17/T17-1</f>
        <v>-1.935615321923434E-3</v>
      </c>
      <c r="Y18" s="246">
        <f t="shared" ref="Y18:AD18" si="82">+Y17/U17-1</f>
        <v>3.0006251302354681E-2</v>
      </c>
      <c r="Z18" s="246">
        <f t="shared" si="82"/>
        <v>4.7267816330770929E-2</v>
      </c>
      <c r="AA18" s="878">
        <f t="shared" si="82"/>
        <v>6.8073054009180511E-2</v>
      </c>
      <c r="AB18" s="246">
        <f t="shared" si="82"/>
        <v>6.5938552618148405E-2</v>
      </c>
      <c r="AC18" s="246">
        <f t="shared" si="82"/>
        <v>6.8784139186728765E-2</v>
      </c>
      <c r="AD18" s="246">
        <f t="shared" si="82"/>
        <v>8.902886618391026E-2</v>
      </c>
      <c r="AE18" s="1137">
        <f t="shared" ref="AE18" si="83">+AE17/AA17-1</f>
        <v>9.1463756382037742E-2</v>
      </c>
      <c r="AF18" s="552">
        <f t="shared" ref="AF18" si="84">+AF17/AB17-1</f>
        <v>7.9684222811300831E-2</v>
      </c>
      <c r="AG18" s="552">
        <f t="shared" ref="AG18" si="85">+AG17/AC17-1</f>
        <v>9.6009361915907254E-2</v>
      </c>
      <c r="AH18" s="552">
        <f t="shared" ref="AH18" si="86">+AH17/AD17-1</f>
        <v>6.901425738497835E-2</v>
      </c>
      <c r="AI18" s="1137">
        <f t="shared" ref="AI18" si="87">+AI17/AE17-1</f>
        <v>5.7024894088192335E-2</v>
      </c>
      <c r="AK18" s="1082"/>
      <c r="AL18" s="304"/>
      <c r="AM18" s="246">
        <f t="shared" ref="AM18" si="88">+AM17/AL17-1</f>
        <v>0.14199783339985173</v>
      </c>
      <c r="AN18" s="246">
        <f t="shared" ref="AN18" si="89">+AN17/AM17-1</f>
        <v>-6.8274295414263442E-3</v>
      </c>
      <c r="AO18" s="246">
        <f t="shared" ref="AO18:AP18" si="90">+AO17/AN17-1</f>
        <v>-1.2730768747407972E-2</v>
      </c>
      <c r="AP18" s="246">
        <f t="shared" si="90"/>
        <v>3.6177092084828999E-2</v>
      </c>
      <c r="AQ18" s="552">
        <f t="shared" ref="AQ18" si="91">+AQ17/AP17-1</f>
        <v>7.9207558717296234E-2</v>
      </c>
      <c r="AR18" s="552">
        <f t="shared" ref="AR18" si="92">+AR17/AQ17-1</f>
        <v>7.478673190482743E-2</v>
      </c>
      <c r="AS18" s="552">
        <f t="shared" ref="AS18" si="93">+AS17/AR17-1</f>
        <v>5.1203152521968054E-2</v>
      </c>
    </row>
    <row r="19" spans="1:45" s="244" customFormat="1" x14ac:dyDescent="0.2">
      <c r="B19" s="243"/>
      <c r="D19" s="1042"/>
      <c r="E19" s="1042"/>
      <c r="F19" s="1042"/>
      <c r="G19" s="1043"/>
      <c r="H19" s="1044"/>
      <c r="I19" s="246"/>
      <c r="J19" s="246"/>
      <c r="K19" s="878"/>
      <c r="L19" s="246"/>
      <c r="M19" s="246"/>
      <c r="N19" s="246"/>
      <c r="O19" s="878"/>
      <c r="P19" s="246"/>
      <c r="Q19" s="246"/>
      <c r="R19" s="246"/>
      <c r="S19" s="878"/>
      <c r="T19" s="246"/>
      <c r="U19" s="246"/>
      <c r="V19" s="246"/>
      <c r="W19" s="878"/>
      <c r="X19" s="246"/>
      <c r="Y19" s="246"/>
      <c r="Z19" s="246"/>
      <c r="AA19" s="878"/>
      <c r="AB19" s="246"/>
      <c r="AC19" s="246"/>
      <c r="AD19" s="246"/>
      <c r="AE19" s="1137"/>
      <c r="AF19" s="552"/>
      <c r="AG19" s="552"/>
      <c r="AH19" s="552"/>
      <c r="AI19" s="1137"/>
      <c r="AK19" s="1082"/>
      <c r="AL19" s="304"/>
      <c r="AM19" s="246"/>
      <c r="AN19" s="246"/>
      <c r="AO19" s="246"/>
      <c r="AP19" s="246"/>
      <c r="AQ19" s="552"/>
      <c r="AR19" s="552"/>
      <c r="AS19" s="552"/>
    </row>
    <row r="20" spans="1:45" s="251" customFormat="1" x14ac:dyDescent="0.2">
      <c r="B20" s="256" t="s">
        <v>882</v>
      </c>
      <c r="D20" s="1116">
        <f t="shared" ref="D20:AI20" si="94">D38+D165</f>
        <v>0</v>
      </c>
      <c r="E20" s="1116">
        <f t="shared" si="94"/>
        <v>0</v>
      </c>
      <c r="F20" s="1116">
        <f t="shared" si="94"/>
        <v>0</v>
      </c>
      <c r="G20" s="1117">
        <f t="shared" si="94"/>
        <v>0</v>
      </c>
      <c r="H20" s="1116">
        <f t="shared" si="94"/>
        <v>0</v>
      </c>
      <c r="I20" s="163">
        <f t="shared" si="94"/>
        <v>0</v>
      </c>
      <c r="J20" s="163">
        <f t="shared" si="94"/>
        <v>0</v>
      </c>
      <c r="K20" s="865">
        <f t="shared" si="94"/>
        <v>100</v>
      </c>
      <c r="L20" s="163">
        <f t="shared" si="94"/>
        <v>193</v>
      </c>
      <c r="M20" s="163">
        <f t="shared" si="94"/>
        <v>288</v>
      </c>
      <c r="N20" s="163">
        <f t="shared" si="94"/>
        <v>422</v>
      </c>
      <c r="O20" s="865">
        <f t="shared" si="94"/>
        <v>646</v>
      </c>
      <c r="P20" s="163">
        <f t="shared" si="94"/>
        <v>984</v>
      </c>
      <c r="Q20" s="163">
        <f t="shared" si="94"/>
        <v>1544</v>
      </c>
      <c r="R20" s="163">
        <f t="shared" si="94"/>
        <v>2122</v>
      </c>
      <c r="S20" s="865">
        <f t="shared" si="94"/>
        <v>2646</v>
      </c>
      <c r="T20" s="163">
        <f t="shared" si="94"/>
        <v>3169</v>
      </c>
      <c r="U20" s="163">
        <f t="shared" si="94"/>
        <v>3678</v>
      </c>
      <c r="V20" s="163">
        <f t="shared" si="94"/>
        <v>4235</v>
      </c>
      <c r="W20" s="865">
        <f t="shared" si="94"/>
        <v>4776</v>
      </c>
      <c r="X20" s="163">
        <f t="shared" si="94"/>
        <v>5181</v>
      </c>
      <c r="Y20" s="163">
        <f t="shared" si="94"/>
        <v>5587</v>
      </c>
      <c r="Z20" s="163">
        <f t="shared" si="94"/>
        <v>6002</v>
      </c>
      <c r="AA20" s="865">
        <f t="shared" si="94"/>
        <v>6430</v>
      </c>
      <c r="AB20" s="163">
        <f t="shared" si="94"/>
        <v>6854</v>
      </c>
      <c r="AC20" s="163">
        <f t="shared" si="94"/>
        <v>7308</v>
      </c>
      <c r="AD20" s="163">
        <f t="shared" si="94"/>
        <v>7955</v>
      </c>
      <c r="AE20" s="901">
        <f t="shared" si="94"/>
        <v>8365.8536000000004</v>
      </c>
      <c r="AF20" s="554">
        <f t="shared" si="94"/>
        <v>8759.9302227348835</v>
      </c>
      <c r="AG20" s="554">
        <f t="shared" si="94"/>
        <v>9142.6268729618696</v>
      </c>
      <c r="AH20" s="554">
        <f t="shared" si="94"/>
        <v>9570.7614813241053</v>
      </c>
      <c r="AI20" s="901">
        <f t="shared" si="94"/>
        <v>9962.5709077578776</v>
      </c>
      <c r="AK20" s="1115"/>
      <c r="AL20" s="163">
        <f t="shared" ref="AL20:AS20" si="95">AL38+AL165</f>
        <v>100</v>
      </c>
      <c r="AM20" s="163">
        <f t="shared" si="95"/>
        <v>646</v>
      </c>
      <c r="AN20" s="163">
        <f t="shared" si="95"/>
        <v>2646</v>
      </c>
      <c r="AO20" s="163">
        <f t="shared" si="95"/>
        <v>4776</v>
      </c>
      <c r="AP20" s="163">
        <f t="shared" si="95"/>
        <v>6430</v>
      </c>
      <c r="AQ20" s="554">
        <f t="shared" si="95"/>
        <v>8365.8536000000004</v>
      </c>
      <c r="AR20" s="554">
        <f t="shared" si="95"/>
        <v>9962.5709077578776</v>
      </c>
      <c r="AS20" s="554">
        <f t="shared" si="95"/>
        <v>11490.170929313472</v>
      </c>
    </row>
    <row r="21" spans="1:45" s="1119" customFormat="1" x14ac:dyDescent="0.2">
      <c r="B21" s="1120" t="s">
        <v>884</v>
      </c>
      <c r="G21" s="1121"/>
      <c r="K21" s="1121"/>
      <c r="O21" s="1122">
        <f t="shared" ref="O21:AH21" si="96">O20/K20-1</f>
        <v>5.46</v>
      </c>
      <c r="P21" s="1123">
        <f t="shared" si="96"/>
        <v>4.0984455958549226</v>
      </c>
      <c r="Q21" s="1123">
        <f t="shared" si="96"/>
        <v>4.3611111111111107</v>
      </c>
      <c r="R21" s="1123">
        <f t="shared" si="96"/>
        <v>4.028436018957346</v>
      </c>
      <c r="S21" s="1122">
        <f t="shared" si="96"/>
        <v>3.0959752321981426</v>
      </c>
      <c r="T21" s="1123">
        <f t="shared" si="96"/>
        <v>2.220528455284553</v>
      </c>
      <c r="U21" s="1123">
        <f t="shared" si="96"/>
        <v>1.3821243523316062</v>
      </c>
      <c r="V21" s="1123">
        <f t="shared" si="96"/>
        <v>0.99575871819038642</v>
      </c>
      <c r="W21" s="1122">
        <f t="shared" si="96"/>
        <v>0.80498866213151921</v>
      </c>
      <c r="X21" s="1123">
        <f t="shared" si="96"/>
        <v>0.6349005995582202</v>
      </c>
      <c r="Y21" s="1123">
        <f t="shared" si="96"/>
        <v>0.51903208265361611</v>
      </c>
      <c r="Z21" s="1123">
        <f t="shared" si="96"/>
        <v>0.41723730814639914</v>
      </c>
      <c r="AA21" s="1122">
        <f t="shared" si="96"/>
        <v>0.34631490787269681</v>
      </c>
      <c r="AB21" s="1123">
        <f t="shared" si="96"/>
        <v>0.32291063501254591</v>
      </c>
      <c r="AC21" s="1123">
        <f t="shared" si="96"/>
        <v>0.30803651333452664</v>
      </c>
      <c r="AD21" s="1123">
        <f t="shared" si="96"/>
        <v>0.32539153615461514</v>
      </c>
      <c r="AE21" s="1192">
        <f t="shared" si="96"/>
        <v>0.30106587869362378</v>
      </c>
      <c r="AF21" s="1193">
        <f t="shared" si="96"/>
        <v>0.27807560880287174</v>
      </c>
      <c r="AG21" s="1193">
        <f t="shared" si="96"/>
        <v>0.25104363341021751</v>
      </c>
      <c r="AH21" s="1193">
        <f t="shared" si="96"/>
        <v>0.20311269406965504</v>
      </c>
      <c r="AI21" s="1192">
        <f>AI20/AE20-1</f>
        <v>0.19086125386629726</v>
      </c>
      <c r="AK21" s="1124"/>
      <c r="AM21" s="1123">
        <f t="shared" ref="AM21:AS21" si="97">AM20/AL20-1</f>
        <v>5.46</v>
      </c>
      <c r="AN21" s="1123">
        <f t="shared" si="97"/>
        <v>3.0959752321981426</v>
      </c>
      <c r="AO21" s="1123">
        <f t="shared" si="97"/>
        <v>0.80498866213151921</v>
      </c>
      <c r="AP21" s="1123">
        <f t="shared" si="97"/>
        <v>0.34631490787269681</v>
      </c>
      <c r="AQ21" s="1193">
        <f t="shared" si="97"/>
        <v>0.30106587869362378</v>
      </c>
      <c r="AR21" s="1193">
        <f t="shared" si="97"/>
        <v>0.19086125386629726</v>
      </c>
      <c r="AS21" s="1193">
        <f t="shared" si="97"/>
        <v>0.15333391708821353</v>
      </c>
    </row>
    <row r="22" spans="1:45" s="244" customFormat="1" x14ac:dyDescent="0.2">
      <c r="B22" s="254" t="s">
        <v>883</v>
      </c>
      <c r="D22" s="1042"/>
      <c r="E22" s="1042"/>
      <c r="F22" s="1042"/>
      <c r="G22" s="1043"/>
      <c r="H22" s="1044"/>
      <c r="I22" s="246"/>
      <c r="J22" s="246"/>
      <c r="K22" s="878"/>
      <c r="L22" s="163">
        <f t="shared" ref="L22" si="98">L20-K20</f>
        <v>93</v>
      </c>
      <c r="M22" s="163">
        <f t="shared" ref="M22" si="99">M20-L20</f>
        <v>95</v>
      </c>
      <c r="N22" s="163">
        <f t="shared" ref="N22" si="100">N20-M20</f>
        <v>134</v>
      </c>
      <c r="O22" s="865">
        <f t="shared" ref="O22" si="101">O20-N20</f>
        <v>224</v>
      </c>
      <c r="P22" s="163">
        <f t="shared" ref="P22" si="102">P20-O20</f>
        <v>338</v>
      </c>
      <c r="Q22" s="163">
        <f t="shared" ref="Q22" si="103">Q20-P20</f>
        <v>560</v>
      </c>
      <c r="R22" s="163">
        <f t="shared" ref="R22" si="104">R20-Q20</f>
        <v>578</v>
      </c>
      <c r="S22" s="865">
        <f t="shared" ref="S22" si="105">S20-R20</f>
        <v>524</v>
      </c>
      <c r="T22" s="163">
        <f t="shared" ref="T22" si="106">T20-S20</f>
        <v>523</v>
      </c>
      <c r="U22" s="163">
        <f t="shared" ref="U22" si="107">U20-T20</f>
        <v>509</v>
      </c>
      <c r="V22" s="163">
        <f t="shared" ref="V22" si="108">V20-U20</f>
        <v>557</v>
      </c>
      <c r="W22" s="865">
        <f t="shared" ref="W22" si="109">W20-V20</f>
        <v>541</v>
      </c>
      <c r="X22" s="163">
        <f t="shared" ref="X22" si="110">X20-W20</f>
        <v>405</v>
      </c>
      <c r="Y22" s="163">
        <f t="shared" ref="Y22" si="111">Y20-X20</f>
        <v>406</v>
      </c>
      <c r="Z22" s="163">
        <f t="shared" ref="Z22:AD22" si="112">Z20-Y20</f>
        <v>415</v>
      </c>
      <c r="AA22" s="865">
        <f t="shared" si="112"/>
        <v>428</v>
      </c>
      <c r="AB22" s="163">
        <f t="shared" si="112"/>
        <v>424</v>
      </c>
      <c r="AC22" s="163">
        <f t="shared" si="112"/>
        <v>454</v>
      </c>
      <c r="AD22" s="163">
        <f t="shared" si="112"/>
        <v>647</v>
      </c>
      <c r="AE22" s="901">
        <f t="shared" ref="AE22" si="113">AE20-AD20</f>
        <v>410.85360000000037</v>
      </c>
      <c r="AF22" s="554">
        <f t="shared" ref="AF22" si="114">AF20-AE20</f>
        <v>394.07662273488313</v>
      </c>
      <c r="AG22" s="554">
        <f t="shared" ref="AG22" si="115">AG20-AF20</f>
        <v>382.69665022698609</v>
      </c>
      <c r="AH22" s="554">
        <f t="shared" ref="AH22" si="116">AH20-AG20</f>
        <v>428.13460836223567</v>
      </c>
      <c r="AI22" s="901">
        <f t="shared" ref="AI22" si="117">AI20-AH20</f>
        <v>391.80942643377239</v>
      </c>
      <c r="AK22" s="1082"/>
      <c r="AL22" s="304"/>
      <c r="AM22" s="163">
        <f>AM20-AL20</f>
        <v>546</v>
      </c>
      <c r="AN22" s="163">
        <f t="shared" ref="AN22:AS22" si="118">AN20-AM20</f>
        <v>2000</v>
      </c>
      <c r="AO22" s="163">
        <f t="shared" si="118"/>
        <v>2130</v>
      </c>
      <c r="AP22" s="163">
        <f t="shared" si="118"/>
        <v>1654</v>
      </c>
      <c r="AQ22" s="554">
        <f t="shared" si="118"/>
        <v>1935.8536000000004</v>
      </c>
      <c r="AR22" s="554">
        <f t="shared" si="118"/>
        <v>1596.7173077578773</v>
      </c>
      <c r="AS22" s="554">
        <f t="shared" si="118"/>
        <v>1527.6000215555941</v>
      </c>
    </row>
    <row r="23" spans="1:45" s="251" customFormat="1" x14ac:dyDescent="0.2">
      <c r="G23" s="877"/>
      <c r="K23" s="877"/>
      <c r="O23" s="877"/>
      <c r="S23" s="877"/>
      <c r="W23" s="877"/>
      <c r="AA23" s="877"/>
      <c r="AB23" s="1299"/>
      <c r="AC23" s="1299"/>
      <c r="AD23" s="1299"/>
      <c r="AE23" s="1194"/>
      <c r="AF23" s="506"/>
      <c r="AG23" s="506"/>
      <c r="AH23" s="506"/>
      <c r="AI23" s="1194"/>
      <c r="AK23" s="382"/>
      <c r="AM23" s="1118"/>
      <c r="AN23" s="1118"/>
      <c r="AO23" s="1118"/>
      <c r="AP23" s="1118"/>
      <c r="AQ23" s="1115"/>
      <c r="AR23" s="1115"/>
      <c r="AS23" s="1115"/>
    </row>
    <row r="24" spans="1:45" x14ac:dyDescent="0.2">
      <c r="A24" s="2" t="s">
        <v>238</v>
      </c>
      <c r="B24" s="236" t="s">
        <v>268</v>
      </c>
      <c r="C24" s="172"/>
      <c r="D24" s="172"/>
      <c r="E24" s="172"/>
      <c r="F24" s="172"/>
      <c r="G24" s="864"/>
      <c r="H24" s="172"/>
      <c r="I24" s="172"/>
      <c r="J24" s="172"/>
      <c r="K24" s="864"/>
      <c r="L24" s="172"/>
      <c r="M24" s="172"/>
      <c r="N24" s="172"/>
      <c r="O24" s="864"/>
      <c r="P24" s="172"/>
      <c r="Q24" s="172"/>
      <c r="R24" s="172"/>
      <c r="S24" s="864"/>
      <c r="T24" s="172"/>
      <c r="U24" s="172"/>
      <c r="V24" s="172"/>
      <c r="W24" s="864"/>
      <c r="X24" s="172"/>
      <c r="Y24" s="172"/>
      <c r="Z24" s="172"/>
      <c r="AA24" s="864"/>
      <c r="AB24" s="172"/>
      <c r="AC24" s="172"/>
      <c r="AD24" s="172"/>
      <c r="AE24" s="864"/>
      <c r="AF24" s="172"/>
      <c r="AG24" s="172"/>
      <c r="AH24" s="172"/>
      <c r="AI24" s="864"/>
      <c r="AK24" s="172"/>
      <c r="AL24" s="172"/>
      <c r="AM24" s="172"/>
      <c r="AN24" s="172"/>
      <c r="AO24" s="172"/>
      <c r="AP24" s="172"/>
      <c r="AQ24" s="172"/>
      <c r="AR24" s="172"/>
      <c r="AS24" s="172"/>
    </row>
    <row r="25" spans="1:45" s="3" customFormat="1" x14ac:dyDescent="0.2">
      <c r="B25" s="3" t="s">
        <v>241</v>
      </c>
      <c r="D25" s="550">
        <f>+Metrics!L68</f>
        <v>5493</v>
      </c>
      <c r="E25" s="550">
        <f>+Metrics!M68</f>
        <v>5613</v>
      </c>
      <c r="F25" s="550">
        <f>+Metrics!N68</f>
        <v>5746</v>
      </c>
      <c r="G25" s="898">
        <f>+Metrics!O68</f>
        <v>5821</v>
      </c>
      <c r="H25" s="550">
        <f>+Metrics!P68</f>
        <v>5887</v>
      </c>
      <c r="I25" s="165">
        <f>+'3FS'!P6</f>
        <v>9959</v>
      </c>
      <c r="J25" s="165">
        <f>+'3FS'!Q6</f>
        <v>10209</v>
      </c>
      <c r="K25" s="862">
        <f>+'3FS'!R6</f>
        <v>10251</v>
      </c>
      <c r="L25" s="165">
        <f>+'3FS'!S6</f>
        <v>10303</v>
      </c>
      <c r="M25" s="165">
        <f>+'3FS'!T6</f>
        <v>10492</v>
      </c>
      <c r="N25" s="165">
        <f>+'3FS'!U6</f>
        <v>10804</v>
      </c>
      <c r="O25" s="862">
        <f>+'3FS'!V6</f>
        <v>10963</v>
      </c>
      <c r="P25" s="165">
        <f>+'3FS'!W6</f>
        <v>11201</v>
      </c>
      <c r="Q25" s="165">
        <f>+'3FS'!X6</f>
        <v>11445</v>
      </c>
      <c r="R25" s="165">
        <f>+'3FS'!Y6</f>
        <v>11548</v>
      </c>
      <c r="S25" s="862">
        <f>+'3FS'!Z6</f>
        <v>11725</v>
      </c>
      <c r="T25" s="165">
        <f>+'3FS'!AA6</f>
        <v>11862</v>
      </c>
      <c r="U25" s="165">
        <f>+'3FS'!AB6</f>
        <v>12070</v>
      </c>
      <c r="V25" s="165">
        <f>+'3FS'!AC6</f>
        <v>12288</v>
      </c>
      <c r="W25" s="862">
        <f>+'3FS'!AD6</f>
        <v>12472</v>
      </c>
      <c r="X25" s="165">
        <f>+'3FS'!AE6</f>
        <v>12631</v>
      </c>
      <c r="Y25" s="165">
        <f>+'3FS'!AF6</f>
        <v>12899</v>
      </c>
      <c r="Z25" s="165">
        <f>+'3FS'!AG6</f>
        <v>13308</v>
      </c>
      <c r="AA25" s="862">
        <f>+'3FS'!AH6</f>
        <v>13502</v>
      </c>
      <c r="AB25" s="165">
        <f>+'3FS'!AI6</f>
        <v>13594</v>
      </c>
      <c r="AC25" s="165">
        <f>+'3FS'!AJ6</f>
        <v>14078</v>
      </c>
      <c r="AD25" s="165">
        <f>+'3FS'!AK6</f>
        <v>14882</v>
      </c>
      <c r="AE25" s="1152">
        <f t="shared" ref="AE25:AI25" si="119">+AE28+AE31</f>
        <v>15201.074586422234</v>
      </c>
      <c r="AF25" s="525">
        <f t="shared" si="119"/>
        <v>15280.935884285471</v>
      </c>
      <c r="AG25" s="525">
        <f t="shared" si="119"/>
        <v>15801.25455072703</v>
      </c>
      <c r="AH25" s="525">
        <f t="shared" si="119"/>
        <v>16201.781749218617</v>
      </c>
      <c r="AI25" s="1152">
        <f t="shared" si="119"/>
        <v>16299.261628457032</v>
      </c>
      <c r="AK25" s="550">
        <f>+'3FS'!D6</f>
        <v>22673</v>
      </c>
      <c r="AL25" s="165">
        <f>+'3FS'!E6</f>
        <v>36306</v>
      </c>
      <c r="AM25" s="165">
        <f>+'3FS'!F6</f>
        <v>42562</v>
      </c>
      <c r="AN25" s="165">
        <f>+'3FS'!G6</f>
        <v>45919</v>
      </c>
      <c r="AO25" s="165">
        <f>+'3FS'!H6</f>
        <v>48692</v>
      </c>
      <c r="AP25" s="165">
        <f>+'3FS'!I6</f>
        <v>52340</v>
      </c>
      <c r="AQ25" s="525">
        <f t="shared" ref="AQ25:AS25" si="120">+AQ28+AQ31</f>
        <v>57755.074586422234</v>
      </c>
      <c r="AR25" s="525">
        <f t="shared" si="120"/>
        <v>63583.233812688151</v>
      </c>
      <c r="AS25" s="525">
        <f t="shared" si="120"/>
        <v>68048.48580345769</v>
      </c>
    </row>
    <row r="26" spans="1:45" s="244" customFormat="1" x14ac:dyDescent="0.2">
      <c r="B26" s="243" t="s">
        <v>266</v>
      </c>
      <c r="D26" s="551"/>
      <c r="E26" s="551"/>
      <c r="F26" s="551"/>
      <c r="G26" s="899"/>
      <c r="H26" s="552"/>
      <c r="I26" s="246"/>
      <c r="J26" s="246"/>
      <c r="K26" s="878"/>
      <c r="L26" s="246"/>
      <c r="M26" s="246">
        <f t="shared" ref="M26" si="121">+M25/I25-1</f>
        <v>5.3519429661612605E-2</v>
      </c>
      <c r="N26" s="246">
        <f t="shared" ref="N26" si="122">+N25/J25-1</f>
        <v>5.8281908120286108E-2</v>
      </c>
      <c r="O26" s="878">
        <f t="shared" ref="O26" si="123">+O25/K25-1</f>
        <v>6.9456638376743651E-2</v>
      </c>
      <c r="P26" s="246">
        <f t="shared" ref="P26" si="124">+P25/L25-1</f>
        <v>8.7159079879646661E-2</v>
      </c>
      <c r="Q26" s="246">
        <f t="shared" ref="Q26" si="125">+Q25/M25-1</f>
        <v>9.0831109416698474E-2</v>
      </c>
      <c r="R26" s="246">
        <f t="shared" ref="R26" si="126">+R25/N25-1</f>
        <v>6.8863383931877076E-2</v>
      </c>
      <c r="S26" s="878">
        <f t="shared" ref="S26" si="127">+S25/O25-1</f>
        <v>6.9506521937425791E-2</v>
      </c>
      <c r="T26" s="246">
        <f t="shared" ref="T26" si="128">+T25/P25-1</f>
        <v>5.9012588161771351E-2</v>
      </c>
      <c r="U26" s="246">
        <f t="shared" ref="U26" si="129">+U25/Q25-1</f>
        <v>5.4608999563128036E-2</v>
      </c>
      <c r="V26" s="246">
        <f t="shared" ref="V26" si="130">+V25/R25-1</f>
        <v>6.4080360235538647E-2</v>
      </c>
      <c r="W26" s="878">
        <f t="shared" ref="W26" si="131">+W25/S25-1</f>
        <v>6.3710021321961685E-2</v>
      </c>
      <c r="X26" s="246">
        <f t="shared" ref="X26" si="132">+X25/T25-1</f>
        <v>6.4828865284100479E-2</v>
      </c>
      <c r="Y26" s="246">
        <f t="shared" ref="Y26:AD26" si="133">+Y25/U25-1</f>
        <v>6.8682684341342171E-2</v>
      </c>
      <c r="Z26" s="246">
        <f t="shared" si="133"/>
        <v>8.30078125E-2</v>
      </c>
      <c r="AA26" s="878">
        <f t="shared" si="133"/>
        <v>8.2584990378447687E-2</v>
      </c>
      <c r="AB26" s="246">
        <f t="shared" si="133"/>
        <v>7.6240994378909077E-2</v>
      </c>
      <c r="AC26" s="246">
        <f t="shared" si="133"/>
        <v>9.1402434297232382E-2</v>
      </c>
      <c r="AD26" s="246">
        <f t="shared" si="133"/>
        <v>0.11827472197174638</v>
      </c>
      <c r="AE26" s="1137">
        <f t="shared" ref="AE26" si="134">+AE25/AA25-1</f>
        <v>0.1258387339966105</v>
      </c>
      <c r="AF26" s="552">
        <f t="shared" ref="AF26" si="135">+AF25/AB25-1</f>
        <v>0.12409415067570029</v>
      </c>
      <c r="AG26" s="552">
        <f t="shared" ref="AG26" si="136">+AG25/AC25-1</f>
        <v>0.12240762542456518</v>
      </c>
      <c r="AH26" s="552">
        <f t="shared" ref="AH26" si="137">+AH25/AD25-1</f>
        <v>8.868309025793697E-2</v>
      </c>
      <c r="AI26" s="1137">
        <f t="shared" ref="AI26" si="138">+AI25/AE25-1</f>
        <v>7.2244040103303764E-2</v>
      </c>
      <c r="AK26" s="1082"/>
      <c r="AL26" s="304">
        <f t="shared" ref="AL26:AP26" si="139">+AL25/AK25-1</f>
        <v>0.60128787544656648</v>
      </c>
      <c r="AM26" s="304">
        <f t="shared" si="139"/>
        <v>0.17231311628931856</v>
      </c>
      <c r="AN26" s="246">
        <f t="shared" si="139"/>
        <v>7.8873173253136697E-2</v>
      </c>
      <c r="AO26" s="246">
        <f t="shared" si="139"/>
        <v>6.0388945752303025E-2</v>
      </c>
      <c r="AP26" s="246">
        <f t="shared" si="139"/>
        <v>7.4919904707138718E-2</v>
      </c>
      <c r="AQ26" s="552">
        <f t="shared" ref="AQ26" si="140">+AQ25/AP25-1</f>
        <v>0.10345958323313398</v>
      </c>
      <c r="AR26" s="552">
        <f t="shared" ref="AR26" si="141">+AR25/AQ25-1</f>
        <v>0.1009116388127056</v>
      </c>
      <c r="AS26" s="552">
        <f t="shared" ref="AS26" si="142">+AS25/AR25-1</f>
        <v>7.0226877794921094E-2</v>
      </c>
    </row>
    <row r="27" spans="1:45" s="247" customFormat="1" x14ac:dyDescent="0.2">
      <c r="B27" s="243" t="s">
        <v>267</v>
      </c>
      <c r="D27" s="553"/>
      <c r="E27" s="553"/>
      <c r="F27" s="553"/>
      <c r="G27" s="900"/>
      <c r="H27" s="553"/>
      <c r="I27" s="248"/>
      <c r="J27" s="246">
        <f t="shared" ref="J27" si="143">+J25/I25-1</f>
        <v>2.5102921980118431E-2</v>
      </c>
      <c r="K27" s="878">
        <f t="shared" ref="K27" si="144">+K25/J25-1</f>
        <v>4.114017043785001E-3</v>
      </c>
      <c r="L27" s="246">
        <f t="shared" ref="L27:Q27" si="145">+L25/K25-1</f>
        <v>5.0726758365038371E-3</v>
      </c>
      <c r="M27" s="246">
        <f t="shared" si="145"/>
        <v>1.8344171600504611E-2</v>
      </c>
      <c r="N27" s="246">
        <f t="shared" si="145"/>
        <v>2.9736942432329494E-2</v>
      </c>
      <c r="O27" s="878">
        <f t="shared" si="145"/>
        <v>1.4716771566086528E-2</v>
      </c>
      <c r="P27" s="246">
        <f t="shared" si="145"/>
        <v>2.1709386116938845E-2</v>
      </c>
      <c r="Q27" s="246">
        <f t="shared" si="145"/>
        <v>2.1783769306311873E-2</v>
      </c>
      <c r="R27" s="246">
        <f t="shared" ref="R27:AD27" si="146">+R25/Q25-1</f>
        <v>8.9995631280035404E-3</v>
      </c>
      <c r="S27" s="878">
        <f t="shared" si="146"/>
        <v>1.532732940768966E-2</v>
      </c>
      <c r="T27" s="246">
        <f t="shared" si="146"/>
        <v>1.1684434968016966E-2</v>
      </c>
      <c r="U27" s="246">
        <f t="shared" si="146"/>
        <v>1.7534985668521408E-2</v>
      </c>
      <c r="V27" s="246">
        <f t="shared" si="146"/>
        <v>1.8061309030654504E-2</v>
      </c>
      <c r="W27" s="878">
        <f t="shared" si="146"/>
        <v>1.4973958333333259E-2</v>
      </c>
      <c r="X27" s="246">
        <f t="shared" si="146"/>
        <v>1.2748556767158359E-2</v>
      </c>
      <c r="Y27" s="246">
        <f t="shared" si="146"/>
        <v>2.1217639141793976E-2</v>
      </c>
      <c r="Z27" s="246">
        <f t="shared" si="146"/>
        <v>3.1707884332118796E-2</v>
      </c>
      <c r="AA27" s="878">
        <f t="shared" si="146"/>
        <v>1.4577697625488328E-2</v>
      </c>
      <c r="AB27" s="246">
        <f t="shared" si="146"/>
        <v>6.813805362168468E-3</v>
      </c>
      <c r="AC27" s="246">
        <f t="shared" si="146"/>
        <v>3.5603942915992448E-2</v>
      </c>
      <c r="AD27" s="246">
        <f t="shared" si="146"/>
        <v>5.7110384997868913E-2</v>
      </c>
      <c r="AE27" s="1137">
        <f t="shared" ref="AE27:AI27" si="147">+AE25/AD25-1</f>
        <v>2.1440302810256329E-2</v>
      </c>
      <c r="AF27" s="552">
        <f t="shared" si="147"/>
        <v>5.2536613388221021E-3</v>
      </c>
      <c r="AG27" s="552">
        <f t="shared" si="147"/>
        <v>3.405018320747244E-2</v>
      </c>
      <c r="AH27" s="552">
        <f t="shared" si="147"/>
        <v>2.534781002392994E-2</v>
      </c>
      <c r="AI27" s="1137">
        <f t="shared" si="147"/>
        <v>6.0166147617137788E-3</v>
      </c>
      <c r="AK27" s="1090"/>
      <c r="AQ27" s="1090"/>
      <c r="AR27" s="1090"/>
      <c r="AS27" s="1090"/>
    </row>
    <row r="28" spans="1:45" x14ac:dyDescent="0.2">
      <c r="B28" s="237" t="s">
        <v>263</v>
      </c>
      <c r="D28" s="554">
        <f t="shared" ref="D28:O28" si="148">+D25-D31</f>
        <v>5183</v>
      </c>
      <c r="E28" s="554">
        <f t="shared" si="148"/>
        <v>5287</v>
      </c>
      <c r="F28" s="554">
        <f t="shared" si="148"/>
        <v>5400</v>
      </c>
      <c r="G28" s="901">
        <f t="shared" si="148"/>
        <v>5459</v>
      </c>
      <c r="H28" s="554">
        <f t="shared" si="148"/>
        <v>5577</v>
      </c>
      <c r="I28" s="163">
        <f t="shared" si="148"/>
        <v>9341</v>
      </c>
      <c r="J28" s="163">
        <f t="shared" si="148"/>
        <v>9532</v>
      </c>
      <c r="K28" s="865">
        <f t="shared" si="148"/>
        <v>9489</v>
      </c>
      <c r="L28" s="163">
        <f t="shared" si="148"/>
        <v>9483</v>
      </c>
      <c r="M28" s="163">
        <f t="shared" si="148"/>
        <v>9667</v>
      </c>
      <c r="N28" s="163">
        <f t="shared" si="148"/>
        <v>9952</v>
      </c>
      <c r="O28" s="865">
        <f t="shared" si="148"/>
        <v>10052</v>
      </c>
      <c r="P28" s="163">
        <f t="shared" ref="P28:AA28" si="149">+P117*3*AVERAGE(O36:P36)/1000</f>
        <v>10232.760569999999</v>
      </c>
      <c r="Q28" s="163">
        <f t="shared" si="149"/>
        <v>10407.10896</v>
      </c>
      <c r="R28" s="163">
        <f t="shared" si="149"/>
        <v>10483.971600000001</v>
      </c>
      <c r="S28" s="865">
        <f t="shared" si="149"/>
        <v>10608.067889999998</v>
      </c>
      <c r="T28" s="163">
        <f t="shared" si="149"/>
        <v>10664.996670000002</v>
      </c>
      <c r="U28" s="163">
        <f t="shared" si="149"/>
        <v>10806.143040000001</v>
      </c>
      <c r="V28" s="163">
        <f t="shared" si="149"/>
        <v>10944.222029999999</v>
      </c>
      <c r="W28" s="865">
        <f t="shared" si="149"/>
        <v>11072.099069999998</v>
      </c>
      <c r="X28" s="163">
        <f t="shared" si="149"/>
        <v>11153.686740000001</v>
      </c>
      <c r="Y28" s="163">
        <f t="shared" si="149"/>
        <v>11314.045365</v>
      </c>
      <c r="Z28" s="163">
        <f t="shared" si="149"/>
        <v>11602.688175000001</v>
      </c>
      <c r="AA28" s="865">
        <f t="shared" si="149"/>
        <v>11720.590185000001</v>
      </c>
      <c r="AB28" s="162">
        <v>11733</v>
      </c>
      <c r="AC28" s="162">
        <v>12119</v>
      </c>
      <c r="AD28" s="162">
        <v>12645</v>
      </c>
      <c r="AE28" s="901">
        <f>AVERAGE(AD36:AE36)*AE117*3/1000</f>
        <v>12942.058476682034</v>
      </c>
      <c r="AF28" s="554">
        <f>AVERAGE(AE36:AF36)*AF117*3/1000</f>
        <v>12913.441664075195</v>
      </c>
      <c r="AG28" s="554">
        <f>AVERAGE(AF36:AG36)*AG117*3/1000</f>
        <v>13337.185830356659</v>
      </c>
      <c r="AH28" s="554">
        <f>AVERAGE(AG36:AH36)*AH117*3/1000</f>
        <v>13492.512522600493</v>
      </c>
      <c r="AI28" s="901">
        <f>AVERAGE(AH36:AI36)*AI117*3/1000</f>
        <v>13625.828185589064</v>
      </c>
      <c r="AK28" s="554">
        <f t="shared" ref="AK28:AR28" si="150">SUMIFS($D28:$AI28,$D$3:$AI$3, AK$3)</f>
        <v>21329</v>
      </c>
      <c r="AL28" s="163">
        <f t="shared" si="150"/>
        <v>33939</v>
      </c>
      <c r="AM28" s="163">
        <f t="shared" si="150"/>
        <v>39154</v>
      </c>
      <c r="AN28" s="163">
        <f t="shared" si="150"/>
        <v>41731.909019999992</v>
      </c>
      <c r="AO28" s="163">
        <f t="shared" si="150"/>
        <v>43487.460809999997</v>
      </c>
      <c r="AP28" s="163">
        <f t="shared" si="150"/>
        <v>45791.010465000007</v>
      </c>
      <c r="AQ28" s="554">
        <f t="shared" si="150"/>
        <v>49439.058476682032</v>
      </c>
      <c r="AR28" s="554">
        <f t="shared" si="150"/>
        <v>53368.968202621414</v>
      </c>
      <c r="AS28" s="554">
        <f>AVERAGE(AR36:AS36)*AS117*12/1000</f>
        <v>56201.208029452129</v>
      </c>
    </row>
    <row r="29" spans="1:45" s="244" customFormat="1" x14ac:dyDescent="0.2">
      <c r="B29" s="252" t="s">
        <v>266</v>
      </c>
      <c r="D29" s="551"/>
      <c r="E29" s="551"/>
      <c r="F29" s="551"/>
      <c r="G29" s="899"/>
      <c r="H29" s="551"/>
      <c r="I29" s="245"/>
      <c r="J29" s="245"/>
      <c r="K29" s="896"/>
      <c r="L29" s="245"/>
      <c r="M29" s="246">
        <f t="shared" ref="M29" si="151">+M28/I28-1</f>
        <v>3.4899903650572828E-2</v>
      </c>
      <c r="N29" s="246">
        <f t="shared" ref="N29" si="152">+N28/J28-1</f>
        <v>4.4062106588333982E-2</v>
      </c>
      <c r="O29" s="878">
        <f t="shared" ref="O29" si="153">+O28/K28-1</f>
        <v>5.9331857940773558E-2</v>
      </c>
      <c r="P29" s="246">
        <f t="shared" ref="P29" si="154">+P28/L28-1</f>
        <v>7.9063647579879603E-2</v>
      </c>
      <c r="Q29" s="246">
        <f t="shared" ref="Q29" si="155">+Q28/M28-1</f>
        <v>7.6560355849798256E-2</v>
      </c>
      <c r="R29" s="246">
        <f t="shared" ref="R29" si="156">+R28/N28-1</f>
        <v>5.345373794212227E-2</v>
      </c>
      <c r="S29" s="878">
        <f t="shared" ref="S29" si="157">+S28/O28-1</f>
        <v>5.5319129526462341E-2</v>
      </c>
      <c r="T29" s="246">
        <f t="shared" ref="T29" si="158">+T28/P28-1</f>
        <v>4.2240419586012434E-2</v>
      </c>
      <c r="U29" s="246">
        <f t="shared" ref="U29" si="159">+U28/Q28-1</f>
        <v>3.8342452407647443E-2</v>
      </c>
      <c r="V29" s="246">
        <f t="shared" ref="V29" si="160">+V28/R28-1</f>
        <v>4.3900388856451977E-2</v>
      </c>
      <c r="W29" s="878">
        <f t="shared" ref="W29" si="161">+W28/S28-1</f>
        <v>4.3743232491699313E-2</v>
      </c>
      <c r="X29" s="246">
        <f t="shared" ref="X29" si="162">+X28/T28-1</f>
        <v>4.5821868034394697E-2</v>
      </c>
      <c r="Y29" s="246">
        <f t="shared" ref="Y29:AD29" si="163">+Y28/U28-1</f>
        <v>4.7001258739584495E-2</v>
      </c>
      <c r="Z29" s="246">
        <f t="shared" si="163"/>
        <v>6.0165642034219813E-2</v>
      </c>
      <c r="AA29" s="878">
        <f t="shared" si="163"/>
        <v>5.856984397449061E-2</v>
      </c>
      <c r="AB29" s="246">
        <f t="shared" si="163"/>
        <v>5.1939172535878431E-2</v>
      </c>
      <c r="AC29" s="246">
        <f t="shared" si="163"/>
        <v>7.1146491730546435E-2</v>
      </c>
      <c r="AD29" s="246">
        <f t="shared" si="163"/>
        <v>8.9833649692132589E-2</v>
      </c>
      <c r="AE29" s="1137">
        <f t="shared" ref="AE29" si="164">+AE28/AA28-1</f>
        <v>0.10421559600686892</v>
      </c>
      <c r="AF29" s="552">
        <f t="shared" ref="AF29" si="165">+AF28/AB28-1</f>
        <v>0.1006086818439611</v>
      </c>
      <c r="AG29" s="552">
        <f t="shared" ref="AG29" si="166">+AG28/AC28-1</f>
        <v>0.10051867566273276</v>
      </c>
      <c r="AH29" s="552">
        <f t="shared" ref="AH29" si="167">+AH28/AD28-1</f>
        <v>6.702352887311136E-2</v>
      </c>
      <c r="AI29" s="1137">
        <f t="shared" ref="AI29" si="168">+AI28/AE28-1</f>
        <v>5.2833149389565071E-2</v>
      </c>
      <c r="AK29" s="1082"/>
      <c r="AL29" s="304">
        <f t="shared" ref="AL29" si="169">+AL28/AK28-1</f>
        <v>0.59121384031131319</v>
      </c>
      <c r="AM29" s="304">
        <f t="shared" ref="AM29" si="170">+AM28/AL28-1</f>
        <v>0.15365803353074625</v>
      </c>
      <c r="AN29" s="304">
        <f t="shared" ref="AN29" si="171">+AN28/AM28-1</f>
        <v>6.5840246718087414E-2</v>
      </c>
      <c r="AO29" s="304">
        <f t="shared" ref="AO29:AP29" si="172">+AO28/AN28-1</f>
        <v>4.2067373173814149E-2</v>
      </c>
      <c r="AP29" s="304">
        <f t="shared" si="172"/>
        <v>5.2970433593821253E-2</v>
      </c>
      <c r="AQ29" s="1082">
        <f t="shared" ref="AQ29" si="173">+AQ28/AP28-1</f>
        <v>7.9667340262569164E-2</v>
      </c>
      <c r="AR29" s="1082">
        <f t="shared" ref="AR29" si="174">+AR28/AQ28-1</f>
        <v>7.9489979118290144E-2</v>
      </c>
      <c r="AS29" s="1082">
        <f t="shared" ref="AS29" si="175">+AS28/AR28-1</f>
        <v>5.3069038473402497E-2</v>
      </c>
    </row>
    <row r="30" spans="1:45" s="247" customFormat="1" x14ac:dyDescent="0.2">
      <c r="B30" s="252" t="s">
        <v>267</v>
      </c>
      <c r="D30" s="553"/>
      <c r="E30" s="553"/>
      <c r="F30" s="553"/>
      <c r="G30" s="900"/>
      <c r="H30" s="553"/>
      <c r="I30" s="248"/>
      <c r="J30" s="246">
        <f t="shared" ref="J30" si="176">+J28/I28-1</f>
        <v>2.0447489562145371E-2</v>
      </c>
      <c r="K30" s="878">
        <f t="shared" ref="K30" si="177">+K28/J28-1</f>
        <v>-4.5111204364246538E-3</v>
      </c>
      <c r="L30" s="246">
        <f t="shared" ref="L30" si="178">+L28/K28-1</f>
        <v>-6.3231109705974564E-4</v>
      </c>
      <c r="M30" s="246">
        <f t="shared" ref="M30" si="179">+M28/L28-1</f>
        <v>1.9403142465464596E-2</v>
      </c>
      <c r="N30" s="246">
        <f t="shared" ref="N30" si="180">+N28/M28-1</f>
        <v>2.9481742008896195E-2</v>
      </c>
      <c r="O30" s="878">
        <f t="shared" ref="O30" si="181">+O28/N28-1</f>
        <v>1.0048231511254002E-2</v>
      </c>
      <c r="P30" s="246">
        <f t="shared" ref="P30" si="182">+P28/O28-1</f>
        <v>1.7982547751691058E-2</v>
      </c>
      <c r="Q30" s="246">
        <f t="shared" ref="Q30" si="183">+Q28/P28-1</f>
        <v>1.7038255591667939E-2</v>
      </c>
      <c r="R30" s="246">
        <f t="shared" ref="R30:AD30" si="184">+R28/Q28-1</f>
        <v>7.3855900130790353E-3</v>
      </c>
      <c r="S30" s="878">
        <f t="shared" si="184"/>
        <v>1.1836763273948447E-2</v>
      </c>
      <c r="T30" s="246">
        <f t="shared" si="184"/>
        <v>5.3665550211712265E-3</v>
      </c>
      <c r="U30" s="246">
        <f t="shared" si="184"/>
        <v>1.3234544216693012E-2</v>
      </c>
      <c r="V30" s="246">
        <f t="shared" si="184"/>
        <v>1.2777823640579777E-2</v>
      </c>
      <c r="W30" s="878">
        <f t="shared" si="184"/>
        <v>1.1684434000833077E-2</v>
      </c>
      <c r="X30" s="246">
        <f t="shared" si="184"/>
        <v>7.3687626424030483E-3</v>
      </c>
      <c r="Y30" s="246">
        <f t="shared" si="184"/>
        <v>1.4377185655117142E-2</v>
      </c>
      <c r="Z30" s="246">
        <f t="shared" si="184"/>
        <v>2.5511901418825644E-2</v>
      </c>
      <c r="AA30" s="878">
        <f t="shared" si="184"/>
        <v>1.0161611535337123E-2</v>
      </c>
      <c r="AB30" s="246">
        <f t="shared" si="184"/>
        <v>1.0588046168427123E-3</v>
      </c>
      <c r="AC30" s="246">
        <f t="shared" si="184"/>
        <v>3.289866189380386E-2</v>
      </c>
      <c r="AD30" s="246">
        <f t="shared" si="184"/>
        <v>4.3402921033088626E-2</v>
      </c>
      <c r="AE30" s="1137">
        <f t="shared" ref="AE30:AI30" si="185">+AE28/AD28-1</f>
        <v>2.3492168974458938E-2</v>
      </c>
      <c r="AF30" s="552">
        <f t="shared" si="185"/>
        <v>-2.2111484551239347E-3</v>
      </c>
      <c r="AG30" s="552">
        <f t="shared" si="185"/>
        <v>3.2814192939772724E-2</v>
      </c>
      <c r="AH30" s="552">
        <f t="shared" si="185"/>
        <v>1.1646136915202554E-2</v>
      </c>
      <c r="AI30" s="1137">
        <f t="shared" si="185"/>
        <v>9.8807144158852278E-3</v>
      </c>
      <c r="AK30" s="1090"/>
      <c r="AQ30" s="1090"/>
      <c r="AR30" s="1090"/>
      <c r="AS30" s="1090"/>
    </row>
    <row r="31" spans="1:45" s="3" customFormat="1" x14ac:dyDescent="0.2">
      <c r="B31" s="237" t="s">
        <v>264</v>
      </c>
      <c r="D31" s="371">
        <f>+Metrics!L70</f>
        <v>310</v>
      </c>
      <c r="E31" s="371">
        <f>+Metrics!M70</f>
        <v>326</v>
      </c>
      <c r="F31" s="371">
        <f>+Metrics!N70</f>
        <v>346</v>
      </c>
      <c r="G31" s="902">
        <f>+Metrics!O70</f>
        <v>362</v>
      </c>
      <c r="H31" s="371">
        <f>+Metrics!P70</f>
        <v>310</v>
      </c>
      <c r="I31" s="162">
        <f>+Metrics!Q70</f>
        <v>618</v>
      </c>
      <c r="J31" s="162">
        <f>+Metrics!R70</f>
        <v>677</v>
      </c>
      <c r="K31" s="863">
        <f>+Metrics!S70</f>
        <v>762</v>
      </c>
      <c r="L31" s="162">
        <f>+Metrics!T70</f>
        <v>820</v>
      </c>
      <c r="M31" s="162">
        <f>+Metrics!U70</f>
        <v>825</v>
      </c>
      <c r="N31" s="162">
        <f>+Metrics!V70</f>
        <v>852</v>
      </c>
      <c r="O31" s="863">
        <f>+Metrics!W70</f>
        <v>911</v>
      </c>
      <c r="P31" s="163">
        <f t="shared" ref="P31:Y31" si="186">+P25-P28</f>
        <v>968.23943000000145</v>
      </c>
      <c r="Q31" s="163">
        <f t="shared" si="186"/>
        <v>1037.8910400000004</v>
      </c>
      <c r="R31" s="163">
        <f t="shared" si="186"/>
        <v>1064.0283999999992</v>
      </c>
      <c r="S31" s="865">
        <f t="shared" si="186"/>
        <v>1116.9321100000016</v>
      </c>
      <c r="T31" s="163">
        <f t="shared" si="186"/>
        <v>1197.0033299999977</v>
      </c>
      <c r="U31" s="163">
        <f t="shared" si="186"/>
        <v>1263.8569599999992</v>
      </c>
      <c r="V31" s="163">
        <f t="shared" si="186"/>
        <v>1343.777970000001</v>
      </c>
      <c r="W31" s="865">
        <f t="shared" si="186"/>
        <v>1399.9009300000016</v>
      </c>
      <c r="X31" s="163">
        <f t="shared" si="186"/>
        <v>1477.313259999999</v>
      </c>
      <c r="Y31" s="163">
        <f t="shared" si="186"/>
        <v>1584.9546350000001</v>
      </c>
      <c r="Z31" s="163">
        <f t="shared" ref="Z31:AA31" si="187">+Z25-Z28</f>
        <v>1705.3118249999989</v>
      </c>
      <c r="AA31" s="865">
        <f t="shared" si="187"/>
        <v>1781.4098149999991</v>
      </c>
      <c r="AB31" s="162">
        <f t="shared" ref="AB31:AC31" si="188">+AB25-AB28</f>
        <v>1861</v>
      </c>
      <c r="AC31" s="162">
        <f t="shared" si="188"/>
        <v>1959</v>
      </c>
      <c r="AD31" s="162">
        <f t="shared" ref="AD31" si="189">+AD25-AD28</f>
        <v>2237</v>
      </c>
      <c r="AE31" s="901">
        <f>AVERAGE(AD37:AE37)*AE122*3/1000</f>
        <v>2259.0161097401997</v>
      </c>
      <c r="AF31" s="554">
        <f>AVERAGE(AE37:AF37)*AF122*3/1000</f>
        <v>2367.4942202102757</v>
      </c>
      <c r="AG31" s="554">
        <f>AVERAGE(AF37:AG37)*AG122*3/1000</f>
        <v>2464.0687203703706</v>
      </c>
      <c r="AH31" s="554">
        <f>AVERAGE(AG37:AH37)*AH122*3/1000</f>
        <v>2709.2692266181243</v>
      </c>
      <c r="AI31" s="901">
        <f>AVERAGE(AH37:AI37)*AI122*3/1000</f>
        <v>2673.433442867969</v>
      </c>
      <c r="AK31" s="554">
        <f t="shared" ref="AK31:AR31" si="190">SUMIFS($D31:$AI31,$D$3:$AI$3, AK$3)</f>
        <v>1344</v>
      </c>
      <c r="AL31" s="163">
        <f t="shared" si="190"/>
        <v>2367</v>
      </c>
      <c r="AM31" s="163">
        <f t="shared" si="190"/>
        <v>3408</v>
      </c>
      <c r="AN31" s="163">
        <f t="shared" si="190"/>
        <v>4187.0909800000027</v>
      </c>
      <c r="AO31" s="163">
        <f t="shared" si="190"/>
        <v>5204.5391899999995</v>
      </c>
      <c r="AP31" s="163">
        <f t="shared" si="190"/>
        <v>6548.989534999997</v>
      </c>
      <c r="AQ31" s="554">
        <f t="shared" si="190"/>
        <v>8316.0161097401997</v>
      </c>
      <c r="AR31" s="554">
        <f t="shared" si="190"/>
        <v>10214.265610066739</v>
      </c>
      <c r="AS31" s="554">
        <f>AVERAGE(AR37:AS37)*AS122*12/1000</f>
        <v>11847.277774005555</v>
      </c>
    </row>
    <row r="32" spans="1:45" s="244" customFormat="1" x14ac:dyDescent="0.2">
      <c r="B32" s="252" t="s">
        <v>266</v>
      </c>
      <c r="D32" s="245"/>
      <c r="E32" s="245"/>
      <c r="F32" s="245"/>
      <c r="G32" s="896"/>
      <c r="H32" s="245"/>
      <c r="I32" s="245"/>
      <c r="J32" s="245"/>
      <c r="K32" s="896"/>
      <c r="L32" s="245"/>
      <c r="M32" s="246">
        <f t="shared" ref="M32" si="191">+M31/I31-1</f>
        <v>0.33495145631067968</v>
      </c>
      <c r="N32" s="246">
        <f t="shared" ref="N32" si="192">+N31/J31-1</f>
        <v>0.25849335302806509</v>
      </c>
      <c r="O32" s="878">
        <f t="shared" ref="O32" si="193">+O31/K31-1</f>
        <v>0.1955380577427821</v>
      </c>
      <c r="P32" s="246">
        <f t="shared" ref="P32" si="194">+P31/L31-1</f>
        <v>0.18077979268292865</v>
      </c>
      <c r="Q32" s="246">
        <f t="shared" ref="Q32" si="195">+Q31/M31-1</f>
        <v>0.25804974545454606</v>
      </c>
      <c r="R32" s="246">
        <f t="shared" ref="R32" si="196">+R31/N31-1</f>
        <v>0.24885962441314469</v>
      </c>
      <c r="S32" s="878">
        <f t="shared" ref="S32" si="197">+S31/O31-1</f>
        <v>0.22605061470911259</v>
      </c>
      <c r="T32" s="246">
        <f t="shared" ref="T32" si="198">+T31/P31-1</f>
        <v>0.2362679032809023</v>
      </c>
      <c r="U32" s="246">
        <f t="shared" ref="U32" si="199">+U31/Q31-1</f>
        <v>0.217716418478763</v>
      </c>
      <c r="V32" s="246">
        <f t="shared" ref="V32" si="200">+V31/R31-1</f>
        <v>0.26291551052584872</v>
      </c>
      <c r="W32" s="878">
        <f t="shared" ref="W32" si="201">+W31/S31-1</f>
        <v>0.25334469075295862</v>
      </c>
      <c r="X32" s="246">
        <f t="shared" ref="X32" si="202">+X31/T31-1</f>
        <v>0.23417639949255764</v>
      </c>
      <c r="Y32" s="246">
        <f t="shared" ref="Y32:AD32" si="203">+Y31/U31-1</f>
        <v>0.25406172151000472</v>
      </c>
      <c r="Z32" s="246">
        <f t="shared" si="203"/>
        <v>0.26904285013691487</v>
      </c>
      <c r="AA32" s="878">
        <f t="shared" si="203"/>
        <v>0.27252563151022202</v>
      </c>
      <c r="AB32" s="246">
        <f t="shared" si="203"/>
        <v>0.25971928255758114</v>
      </c>
      <c r="AC32" s="246">
        <f t="shared" si="203"/>
        <v>0.23599752115302652</v>
      </c>
      <c r="AD32" s="246">
        <f t="shared" si="203"/>
        <v>0.31178355020202919</v>
      </c>
      <c r="AE32" s="1137">
        <f t="shared" ref="AE32" si="204">+AE31/AA31-1</f>
        <v>0.26810579503863408</v>
      </c>
      <c r="AF32" s="552">
        <f t="shared" ref="AF32" si="205">+AF31/AB31-1</f>
        <v>0.27216239667397946</v>
      </c>
      <c r="AG32" s="552">
        <f t="shared" ref="AG32" si="206">+AG31/AC31-1</f>
        <v>0.25781966328247607</v>
      </c>
      <c r="AH32" s="552">
        <f t="shared" ref="AH32" si="207">+AH31/AD31-1</f>
        <v>0.21111722244887088</v>
      </c>
      <c r="AI32" s="1137">
        <f t="shared" ref="AI32" si="208">+AI31/AE31-1</f>
        <v>0.18345036644091484</v>
      </c>
      <c r="AK32" s="1082"/>
      <c r="AL32" s="304">
        <f t="shared" ref="AL32" si="209">+AL31/AK31-1</f>
        <v>0.76116071428571419</v>
      </c>
      <c r="AM32" s="304">
        <f t="shared" ref="AM32" si="210">+AM31/AL31-1</f>
        <v>0.43979721166032948</v>
      </c>
      <c r="AN32" s="304">
        <f t="shared" ref="AN32" si="211">+AN31/AM31-1</f>
        <v>0.22860650821596318</v>
      </c>
      <c r="AO32" s="304">
        <f t="shared" ref="AO32:AP32" si="212">+AO31/AN31-1</f>
        <v>0.24299644188767933</v>
      </c>
      <c r="AP32" s="304">
        <f t="shared" si="212"/>
        <v>0.2583226479653038</v>
      </c>
      <c r="AQ32" s="1082">
        <f t="shared" ref="AQ32" si="213">+AQ31/AP31-1</f>
        <v>0.26981667405278631</v>
      </c>
      <c r="AR32" s="1082">
        <f t="shared" ref="AR32" si="214">+AR31/AQ31-1</f>
        <v>0.22826428848582903</v>
      </c>
      <c r="AS32" s="1082">
        <f t="shared" ref="AS32" si="215">+AS31/AR31-1</f>
        <v>0.15987563142370109</v>
      </c>
    </row>
    <row r="33" spans="2:45" s="247" customFormat="1" x14ac:dyDescent="0.2">
      <c r="B33" s="252" t="s">
        <v>267</v>
      </c>
      <c r="D33" s="248"/>
      <c r="E33" s="248"/>
      <c r="F33" s="248"/>
      <c r="G33" s="897"/>
      <c r="H33" s="248"/>
      <c r="I33" s="248"/>
      <c r="J33" s="246">
        <f t="shared" ref="J33" si="216">+J31/I31-1</f>
        <v>9.5469255663430452E-2</v>
      </c>
      <c r="K33" s="878">
        <f t="shared" ref="K33" si="217">+K31/J31-1</f>
        <v>0.12555391432791718</v>
      </c>
      <c r="L33" s="246">
        <f t="shared" ref="L33" si="218">+L31/K31-1</f>
        <v>7.6115485564304475E-2</v>
      </c>
      <c r="M33" s="246">
        <f t="shared" ref="M33" si="219">+M31/L31-1</f>
        <v>6.0975609756097615E-3</v>
      </c>
      <c r="N33" s="246">
        <f t="shared" ref="N33" si="220">+N31/M31-1</f>
        <v>3.2727272727272716E-2</v>
      </c>
      <c r="O33" s="878">
        <f t="shared" ref="O33" si="221">+O31/N31-1</f>
        <v>6.9248826291079757E-2</v>
      </c>
      <c r="P33" s="246">
        <f t="shared" ref="P33" si="222">+P31/O31-1</f>
        <v>6.2831427003294582E-2</v>
      </c>
      <c r="Q33" s="246">
        <f t="shared" ref="Q33" si="223">+Q31/P31-1</f>
        <v>7.1936349462651927E-2</v>
      </c>
      <c r="R33" s="246">
        <f t="shared" ref="R33:AD33" si="224">+R31/Q31-1</f>
        <v>2.5183144465722229E-2</v>
      </c>
      <c r="S33" s="878">
        <f t="shared" si="224"/>
        <v>4.9720204836640081E-2</v>
      </c>
      <c r="T33" s="246">
        <f t="shared" si="224"/>
        <v>7.1688529036913584E-2</v>
      </c>
      <c r="U33" s="246">
        <f t="shared" si="224"/>
        <v>5.5850830423338493E-2</v>
      </c>
      <c r="V33" s="246">
        <f t="shared" si="224"/>
        <v>6.323580320355382E-2</v>
      </c>
      <c r="W33" s="878">
        <f t="shared" si="224"/>
        <v>4.1765054386180056E-2</v>
      </c>
      <c r="X33" s="246">
        <f t="shared" si="224"/>
        <v>5.5298434582793821E-2</v>
      </c>
      <c r="Y33" s="246">
        <f t="shared" si="224"/>
        <v>7.2862931589743551E-2</v>
      </c>
      <c r="Z33" s="246">
        <f t="shared" si="224"/>
        <v>7.5937309082665827E-2</v>
      </c>
      <c r="AA33" s="878">
        <f t="shared" si="224"/>
        <v>4.4624090963539809E-2</v>
      </c>
      <c r="AB33" s="246">
        <f t="shared" si="224"/>
        <v>4.4678200563299963E-2</v>
      </c>
      <c r="AC33" s="246">
        <f t="shared" si="224"/>
        <v>5.2659860290166671E-2</v>
      </c>
      <c r="AD33" s="246">
        <f t="shared" si="224"/>
        <v>0.14190913731495658</v>
      </c>
      <c r="AE33" s="1137">
        <f t="shared" ref="AE33:AI33" si="225">+AE31/AD31-1</f>
        <v>9.8418014037549018E-3</v>
      </c>
      <c r="AF33" s="552">
        <f t="shared" si="225"/>
        <v>4.8020069446318203E-2</v>
      </c>
      <c r="AG33" s="552">
        <f t="shared" si="225"/>
        <v>4.0791863116572902E-2</v>
      </c>
      <c r="AH33" s="552">
        <f t="shared" si="225"/>
        <v>9.9510417148957586E-2</v>
      </c>
      <c r="AI33" s="1137">
        <f t="shared" si="225"/>
        <v>-1.3227103234361048E-2</v>
      </c>
      <c r="AK33" s="1090"/>
      <c r="AQ33" s="1090"/>
      <c r="AR33" s="1090"/>
      <c r="AS33" s="1090"/>
    </row>
    <row r="34" spans="2:45" x14ac:dyDescent="0.2">
      <c r="G34" s="595"/>
      <c r="K34" s="595"/>
      <c r="O34" s="595"/>
      <c r="S34" s="595"/>
      <c r="W34" s="595"/>
      <c r="AA34" s="595"/>
      <c r="AD34" s="5"/>
      <c r="AE34" s="913"/>
      <c r="AF34" s="370"/>
      <c r="AG34" s="370"/>
      <c r="AH34" s="370"/>
      <c r="AI34" s="913"/>
      <c r="AK34" s="370"/>
      <c r="AQ34" s="370"/>
      <c r="AR34" s="370"/>
      <c r="AS34" s="370"/>
    </row>
    <row r="35" spans="2:45" x14ac:dyDescent="0.2">
      <c r="B35" s="3" t="s">
        <v>245</v>
      </c>
      <c r="G35" s="595"/>
      <c r="K35" s="595"/>
      <c r="O35" s="595"/>
      <c r="S35" s="595"/>
      <c r="W35" s="595"/>
      <c r="AA35" s="595"/>
      <c r="AC35" s="5"/>
      <c r="AD35" s="5"/>
      <c r="AE35" s="913"/>
      <c r="AF35" s="370"/>
      <c r="AG35" s="370"/>
      <c r="AH35" s="370"/>
      <c r="AI35" s="913"/>
      <c r="AK35" s="370"/>
      <c r="AO35" s="173"/>
      <c r="AP35" s="173"/>
      <c r="AQ35" s="524"/>
      <c r="AR35" s="524"/>
      <c r="AS35" s="524"/>
    </row>
    <row r="36" spans="2:45" x14ac:dyDescent="0.2">
      <c r="B36" s="2" t="s">
        <v>242</v>
      </c>
      <c r="D36" s="162">
        <f>+Metrics!L7</f>
        <v>37880</v>
      </c>
      <c r="E36" s="162">
        <f>+Metrics!M7</f>
        <v>38590</v>
      </c>
      <c r="F36" s="162">
        <f>+Metrics!N7</f>
        <v>39344</v>
      </c>
      <c r="G36" s="863">
        <f>+Metrics!O7</f>
        <v>40345</v>
      </c>
      <c r="H36" s="162">
        <f>+Metrics!P7</f>
        <v>64852</v>
      </c>
      <c r="I36" s="162">
        <f>+Metrics!Q7</f>
        <v>65105</v>
      </c>
      <c r="J36" s="162">
        <f>+Metrics!R7</f>
        <v>65794</v>
      </c>
      <c r="K36" s="863">
        <f>+Metrics!S7</f>
        <v>66618</v>
      </c>
      <c r="L36" s="162">
        <f>+Metrics!T7</f>
        <v>67402</v>
      </c>
      <c r="M36" s="162">
        <f>+Metrics!U7</f>
        <v>68029</v>
      </c>
      <c r="N36" s="162">
        <f>+Metrics!V7</f>
        <v>69418</v>
      </c>
      <c r="O36" s="863">
        <f>+Metrics!W7</f>
        <v>70262</v>
      </c>
      <c r="P36" s="162">
        <f>+Metrics!X7</f>
        <v>70656</v>
      </c>
      <c r="Q36" s="162">
        <f>+Metrics!Y7</f>
        <v>71053</v>
      </c>
      <c r="R36" s="162">
        <f>+Metrics!Z7</f>
        <v>71907</v>
      </c>
      <c r="S36" s="863">
        <f>+Metrics!AA7</f>
        <v>72834</v>
      </c>
      <c r="T36" s="162">
        <f>+Metrics!AB7</f>
        <v>73372</v>
      </c>
      <c r="U36" s="162">
        <f>+Metrics!AC7</f>
        <v>74132</v>
      </c>
      <c r="V36" s="162">
        <f>+Metrics!AD7</f>
        <v>74982</v>
      </c>
      <c r="W36" s="863">
        <f>+Metrics!AE7</f>
        <v>75936</v>
      </c>
      <c r="X36" s="162">
        <f>+Metrics!AF7</f>
        <v>76468</v>
      </c>
      <c r="Y36" s="162">
        <f>+Metrics!AG7</f>
        <v>77245</v>
      </c>
      <c r="Z36" s="162">
        <f>+Metrics!AH7</f>
        <v>78110</v>
      </c>
      <c r="AA36" s="863">
        <f>+Metrics!AI7</f>
        <v>79013</v>
      </c>
      <c r="AB36" s="162">
        <f>+Metrics!AJ7</f>
        <v>79508</v>
      </c>
      <c r="AC36" s="162">
        <f>+Metrics!AK7</f>
        <v>80338</v>
      </c>
      <c r="AD36" s="162">
        <f>+Metrics!AL7</f>
        <v>84632</v>
      </c>
      <c r="AE36" s="970">
        <f>+AD36+AE62</f>
        <v>85630.676242774571</v>
      </c>
      <c r="AF36" s="524">
        <f>+AE36+AF62</f>
        <v>86133.906242774567</v>
      </c>
      <c r="AG36" s="524">
        <f>+AF36+AG62</f>
        <v>86921.33624277456</v>
      </c>
      <c r="AH36" s="524">
        <f>+AG36+AH62</f>
        <v>87838.616242774558</v>
      </c>
      <c r="AI36" s="970">
        <f>+AH36+AI62</f>
        <v>88770.437601734098</v>
      </c>
      <c r="AK36" s="554">
        <f t="shared" ref="AK36:AR38" si="226">SUMIFS($D36:$AI36,$D$3:$AI$3, AK$3,$D$2:$AI$2,4)</f>
        <v>40345</v>
      </c>
      <c r="AL36" s="163">
        <f t="shared" si="226"/>
        <v>66618</v>
      </c>
      <c r="AM36" s="163">
        <f t="shared" si="226"/>
        <v>70262</v>
      </c>
      <c r="AN36" s="163">
        <f t="shared" si="226"/>
        <v>72834</v>
      </c>
      <c r="AO36" s="163">
        <f t="shared" si="226"/>
        <v>75936</v>
      </c>
      <c r="AP36" s="163">
        <f t="shared" si="226"/>
        <v>79013</v>
      </c>
      <c r="AQ36" s="554">
        <f t="shared" si="226"/>
        <v>85630.676242774571</v>
      </c>
      <c r="AR36" s="554">
        <f t="shared" si="226"/>
        <v>88770.437601734098</v>
      </c>
      <c r="AS36" s="524">
        <f>+AR36+AS62</f>
        <v>91816.006119924845</v>
      </c>
    </row>
    <row r="37" spans="2:45" x14ac:dyDescent="0.2">
      <c r="B37" s="219" t="s">
        <v>243</v>
      </c>
      <c r="C37" s="219"/>
      <c r="D37" s="220">
        <f>+Metrics!L8</f>
        <v>5658</v>
      </c>
      <c r="E37" s="220">
        <f>+Metrics!M8</f>
        <v>6056</v>
      </c>
      <c r="F37" s="220">
        <f>+Metrics!N8</f>
        <v>6376</v>
      </c>
      <c r="G37" s="889">
        <f>+Metrics!O8</f>
        <v>6689</v>
      </c>
      <c r="H37" s="220">
        <f>+Metrics!P8</f>
        <v>11789</v>
      </c>
      <c r="I37" s="220">
        <f>+Metrics!Q8</f>
        <v>12648</v>
      </c>
      <c r="J37" s="220">
        <f>+Metrics!R8</f>
        <v>13938</v>
      </c>
      <c r="K37" s="889">
        <f>+Metrics!S8</f>
        <v>14732</v>
      </c>
      <c r="L37" s="220">
        <f>+Metrics!T8</f>
        <v>15170</v>
      </c>
      <c r="M37" s="220">
        <f>+Metrics!U8</f>
        <v>15819</v>
      </c>
      <c r="N37" s="220">
        <f>+Metrics!V8</f>
        <v>16495</v>
      </c>
      <c r="O37" s="889">
        <f>+Metrics!W8</f>
        <v>17401</v>
      </c>
      <c r="P37" s="220">
        <f>+Metrics!X8</f>
        <v>17767</v>
      </c>
      <c r="Q37" s="220">
        <f>+Metrics!Y8</f>
        <v>17734</v>
      </c>
      <c r="R37" s="220">
        <f>+Metrics!Z8</f>
        <v>18507</v>
      </c>
      <c r="S37" s="889">
        <f>+Metrics!AA8</f>
        <v>19398</v>
      </c>
      <c r="T37" s="220">
        <f>+Metrics!AB8</f>
        <v>20153</v>
      </c>
      <c r="U37" s="220">
        <f>+Metrics!AC8</f>
        <v>20954</v>
      </c>
      <c r="V37" s="220">
        <f>+Metrics!AD8</f>
        <v>21330</v>
      </c>
      <c r="W37" s="889">
        <f>+Metrics!AE8</f>
        <v>22116</v>
      </c>
      <c r="X37" s="220">
        <f>+Metrics!AF8</f>
        <v>22804</v>
      </c>
      <c r="Y37" s="220">
        <f>+Metrics!AG8</f>
        <v>23365</v>
      </c>
      <c r="Z37" s="220">
        <f>+Metrics!AH8</f>
        <v>24075</v>
      </c>
      <c r="AA37" s="889">
        <f>+Metrics!AI8</f>
        <v>25105</v>
      </c>
      <c r="AB37" s="220">
        <f>+Metrics!AJ8</f>
        <v>25947</v>
      </c>
      <c r="AC37" s="220">
        <f>+Metrics!AK8</f>
        <v>26946</v>
      </c>
      <c r="AD37" s="220">
        <f>+Metrics!AL8</f>
        <v>29431</v>
      </c>
      <c r="AE37" s="1153">
        <f>+AE38+AE40+AE39</f>
        <v>29964.66</v>
      </c>
      <c r="AF37" s="1154">
        <f t="shared" ref="AF37:AI37" si="227">+AF38+AF40+AF39</f>
        <v>30732.942499999997</v>
      </c>
      <c r="AG37" s="1154">
        <f t="shared" si="227"/>
        <v>31444.4925</v>
      </c>
      <c r="AH37" s="1154">
        <f t="shared" si="227"/>
        <v>32367.802499999998</v>
      </c>
      <c r="AI37" s="1153">
        <f t="shared" si="227"/>
        <v>33325.483100000005</v>
      </c>
      <c r="AK37" s="1091">
        <f t="shared" si="226"/>
        <v>6689</v>
      </c>
      <c r="AL37" s="305">
        <f t="shared" si="226"/>
        <v>14732</v>
      </c>
      <c r="AM37" s="305">
        <f t="shared" si="226"/>
        <v>17401</v>
      </c>
      <c r="AN37" s="305">
        <f t="shared" si="226"/>
        <v>19398</v>
      </c>
      <c r="AO37" s="305">
        <f t="shared" si="226"/>
        <v>22116</v>
      </c>
      <c r="AP37" s="305">
        <f t="shared" si="226"/>
        <v>25105</v>
      </c>
      <c r="AQ37" s="1091">
        <f t="shared" si="226"/>
        <v>29964.66</v>
      </c>
      <c r="AR37" s="1091">
        <f t="shared" si="226"/>
        <v>33325.483100000005</v>
      </c>
      <c r="AS37" s="1154">
        <f>+AS38+AS40+AS39</f>
        <v>36672.200025999999</v>
      </c>
    </row>
    <row r="38" spans="2:45" x14ac:dyDescent="0.2">
      <c r="B38" s="237" t="s">
        <v>252</v>
      </c>
      <c r="D38" s="162">
        <f>+Metrics!L39</f>
        <v>0</v>
      </c>
      <c r="E38" s="162">
        <f>+Metrics!M39</f>
        <v>0</v>
      </c>
      <c r="F38" s="162">
        <f>+Metrics!N39</f>
        <v>0</v>
      </c>
      <c r="G38" s="863">
        <f>+Metrics!O39</f>
        <v>0</v>
      </c>
      <c r="H38" s="162">
        <f>+Metrics!P39</f>
        <v>0</v>
      </c>
      <c r="I38" s="162">
        <f>+Metrics!Q39</f>
        <v>0</v>
      </c>
      <c r="J38" s="162">
        <f>+Metrics!R39</f>
        <v>0</v>
      </c>
      <c r="K38" s="863">
        <f>+Metrics!S39</f>
        <v>100</v>
      </c>
      <c r="L38" s="162">
        <f>+Metrics!T39</f>
        <v>193</v>
      </c>
      <c r="M38" s="162">
        <f>+Metrics!U39</f>
        <v>288</v>
      </c>
      <c r="N38" s="162">
        <f>+Metrics!V39</f>
        <v>422</v>
      </c>
      <c r="O38" s="863">
        <f>+Metrics!W39</f>
        <v>646</v>
      </c>
      <c r="P38" s="162">
        <f>+Metrics!X39</f>
        <v>975</v>
      </c>
      <c r="Q38" s="162">
        <f>+Metrics!Y39</f>
        <v>1472</v>
      </c>
      <c r="R38" s="162">
        <f>+Metrics!Z39</f>
        <v>1960</v>
      </c>
      <c r="S38" s="863">
        <f>+Metrics!AA39</f>
        <v>2410</v>
      </c>
      <c r="T38" s="162">
        <f>+Metrics!AB39</f>
        <v>2855</v>
      </c>
      <c r="U38" s="162">
        <f>+Metrics!AC39</f>
        <v>3302</v>
      </c>
      <c r="V38" s="162">
        <f>+Metrics!AD39</f>
        <v>3807</v>
      </c>
      <c r="W38" s="863">
        <f>+Metrics!AE39</f>
        <v>4288</v>
      </c>
      <c r="X38" s="162">
        <f>+Metrics!AF39</f>
        <v>4634</v>
      </c>
      <c r="Y38" s="162">
        <f>+Metrics!AG39</f>
        <v>4992</v>
      </c>
      <c r="Z38" s="162">
        <f>+Metrics!AH39</f>
        <v>5377</v>
      </c>
      <c r="AA38" s="863">
        <f>+Metrics!AI39</f>
        <v>5742</v>
      </c>
      <c r="AB38" s="162">
        <f>+Metrics!AJ39</f>
        <v>6129</v>
      </c>
      <c r="AC38" s="162">
        <f>+Metrics!AK39</f>
        <v>6556</v>
      </c>
      <c r="AD38" s="162">
        <f>+Metrics!AL39</f>
        <v>7163</v>
      </c>
      <c r="AE38" s="921">
        <f>+AD38+AE77</f>
        <v>7509.86</v>
      </c>
      <c r="AF38" s="379">
        <f>+AE38+AF77</f>
        <v>7869.03</v>
      </c>
      <c r="AG38" s="379">
        <f>+AF38+AG77</f>
        <v>8230.1299999999992</v>
      </c>
      <c r="AH38" s="379">
        <f>+AG38+AH77</f>
        <v>8621.59</v>
      </c>
      <c r="AI38" s="921">
        <f>+AH38+AI77</f>
        <v>8949.0455999999995</v>
      </c>
      <c r="AK38" s="554">
        <f t="shared" si="226"/>
        <v>0</v>
      </c>
      <c r="AL38" s="163">
        <f t="shared" si="226"/>
        <v>100</v>
      </c>
      <c r="AM38" s="163">
        <f t="shared" si="226"/>
        <v>646</v>
      </c>
      <c r="AN38" s="163">
        <f t="shared" si="226"/>
        <v>2410</v>
      </c>
      <c r="AO38" s="163">
        <f t="shared" si="226"/>
        <v>4288</v>
      </c>
      <c r="AP38" s="163">
        <f t="shared" si="226"/>
        <v>5742</v>
      </c>
      <c r="AQ38" s="554">
        <f t="shared" si="226"/>
        <v>7509.86</v>
      </c>
      <c r="AR38" s="554">
        <f t="shared" si="226"/>
        <v>8949.0455999999995</v>
      </c>
      <c r="AS38" s="379">
        <f>+AR38+AS77</f>
        <v>10330.663775999999</v>
      </c>
    </row>
    <row r="39" spans="2:45" x14ac:dyDescent="0.2">
      <c r="B39" s="237" t="s">
        <v>975</v>
      </c>
      <c r="D39" s="162"/>
      <c r="E39" s="162"/>
      <c r="F39" s="162"/>
      <c r="G39" s="863"/>
      <c r="H39" s="162"/>
      <c r="I39" s="162"/>
      <c r="J39" s="162"/>
      <c r="K39" s="863"/>
      <c r="L39" s="162"/>
      <c r="M39" s="162"/>
      <c r="N39" s="162"/>
      <c r="O39" s="863"/>
      <c r="P39" s="162"/>
      <c r="Q39" s="162"/>
      <c r="R39" s="162"/>
      <c r="S39" s="863"/>
      <c r="T39" s="162"/>
      <c r="U39" s="162"/>
      <c r="V39" s="162"/>
      <c r="W39" s="863">
        <f>Metrics!AE43</f>
        <v>1</v>
      </c>
      <c r="X39" s="1305">
        <f>Metrics!AF43</f>
        <v>1</v>
      </c>
      <c r="Y39" s="1305">
        <f>Metrics!AG43</f>
        <v>2</v>
      </c>
      <c r="Z39" s="1305">
        <f>Metrics!AH43</f>
        <v>5</v>
      </c>
      <c r="AA39" s="863">
        <f>Metrics!AI43</f>
        <v>9</v>
      </c>
      <c r="AB39" s="1305">
        <f>Metrics!AJ43</f>
        <v>12</v>
      </c>
      <c r="AC39" s="1305">
        <f>Metrics!AK43</f>
        <v>125</v>
      </c>
      <c r="AD39" s="1305">
        <f>Metrics!AL43</f>
        <v>934</v>
      </c>
      <c r="AE39" s="921">
        <f>AE82+AD39</f>
        <v>994</v>
      </c>
      <c r="AF39" s="379">
        <f>AF82+AE39</f>
        <v>1006.1125</v>
      </c>
      <c r="AG39" s="379">
        <f>AG82+AF39</f>
        <v>1026.0625</v>
      </c>
      <c r="AH39" s="379">
        <f>AH82+AG39</f>
        <v>1057.4124999999999</v>
      </c>
      <c r="AI39" s="921">
        <f>AI82+AH39</f>
        <v>1098.7375</v>
      </c>
      <c r="AK39" s="554"/>
      <c r="AL39" s="163"/>
      <c r="AM39" s="163"/>
      <c r="AN39" s="163"/>
      <c r="AO39" s="163"/>
      <c r="AP39" s="163"/>
      <c r="AQ39" s="554">
        <f>SUMIFS($D39:$AI39,$D$3:$AI$3, AQ$3,$D$2:$AI$2,4)</f>
        <v>994</v>
      </c>
      <c r="AR39" s="554">
        <f>SUMIFS($D39:$AI39,$D$3:$AI$3, AR$3,$D$2:$AI$2,4)</f>
        <v>1098.7375</v>
      </c>
      <c r="AS39" s="379">
        <f>AR39+AS84</f>
        <v>1337.78125</v>
      </c>
    </row>
    <row r="40" spans="2:45" x14ac:dyDescent="0.2">
      <c r="B40" s="237" t="s">
        <v>253</v>
      </c>
      <c r="D40" s="163">
        <f>+D37-D38</f>
        <v>5658</v>
      </c>
      <c r="E40" s="163">
        <f t="shared" ref="E40:V40" si="228">+E37-E38</f>
        <v>6056</v>
      </c>
      <c r="F40" s="163">
        <f t="shared" si="228"/>
        <v>6376</v>
      </c>
      <c r="G40" s="865">
        <f t="shared" si="228"/>
        <v>6689</v>
      </c>
      <c r="H40" s="163">
        <f t="shared" si="228"/>
        <v>11789</v>
      </c>
      <c r="I40" s="163">
        <f t="shared" si="228"/>
        <v>12648</v>
      </c>
      <c r="J40" s="163">
        <f t="shared" si="228"/>
        <v>13938</v>
      </c>
      <c r="K40" s="865">
        <f t="shared" si="228"/>
        <v>14632</v>
      </c>
      <c r="L40" s="163">
        <f t="shared" si="228"/>
        <v>14977</v>
      </c>
      <c r="M40" s="163">
        <f t="shared" si="228"/>
        <v>15531</v>
      </c>
      <c r="N40" s="163">
        <f t="shared" si="228"/>
        <v>16073</v>
      </c>
      <c r="O40" s="865">
        <f t="shared" si="228"/>
        <v>16755</v>
      </c>
      <c r="P40" s="163">
        <f t="shared" si="228"/>
        <v>16792</v>
      </c>
      <c r="Q40" s="163">
        <f t="shared" si="228"/>
        <v>16262</v>
      </c>
      <c r="R40" s="163">
        <f t="shared" si="228"/>
        <v>16547</v>
      </c>
      <c r="S40" s="865">
        <f t="shared" si="228"/>
        <v>16988</v>
      </c>
      <c r="T40" s="163">
        <f t="shared" si="228"/>
        <v>17298</v>
      </c>
      <c r="U40" s="163">
        <f t="shared" si="228"/>
        <v>17652</v>
      </c>
      <c r="V40" s="163">
        <f t="shared" si="228"/>
        <v>17523</v>
      </c>
      <c r="W40" s="1339">
        <f t="shared" ref="W40:AC40" si="229">+W37-W38-W39</f>
        <v>17827</v>
      </c>
      <c r="X40" s="1340">
        <f t="shared" si="229"/>
        <v>18169</v>
      </c>
      <c r="Y40" s="305">
        <f t="shared" si="229"/>
        <v>18371</v>
      </c>
      <c r="Z40" s="305">
        <f t="shared" si="229"/>
        <v>18693</v>
      </c>
      <c r="AA40" s="1339">
        <f t="shared" si="229"/>
        <v>19354</v>
      </c>
      <c r="AB40" s="305">
        <f t="shared" si="229"/>
        <v>19806</v>
      </c>
      <c r="AC40" s="305">
        <f t="shared" si="229"/>
        <v>20265</v>
      </c>
      <c r="AD40" s="305">
        <f>+AD37-AD38-AD39-390</f>
        <v>20944</v>
      </c>
      <c r="AE40" s="1153">
        <f>+AD40+AE87</f>
        <v>21460.799999999999</v>
      </c>
      <c r="AF40" s="1154">
        <f>+AE40+AF87</f>
        <v>21857.8</v>
      </c>
      <c r="AG40" s="1154">
        <f>+AF40+AG87</f>
        <v>22188.3</v>
      </c>
      <c r="AH40" s="1154">
        <f>+AG40+AH87</f>
        <v>22688.799999999999</v>
      </c>
      <c r="AI40" s="1153">
        <f>+AH40+AI87</f>
        <v>23277.7</v>
      </c>
      <c r="AK40" s="1091">
        <f t="shared" ref="AK40:AP40" si="230">SUMIFS($D40:$AI40,$D$3:$AI$3, AK$3,$D$2:$AI$2,4)</f>
        <v>6689</v>
      </c>
      <c r="AL40" s="305">
        <f t="shared" si="230"/>
        <v>14632</v>
      </c>
      <c r="AM40" s="305">
        <f t="shared" si="230"/>
        <v>16755</v>
      </c>
      <c r="AN40" s="305">
        <f t="shared" si="230"/>
        <v>16988</v>
      </c>
      <c r="AO40" s="305">
        <f t="shared" si="230"/>
        <v>17827</v>
      </c>
      <c r="AP40" s="305">
        <f t="shared" si="230"/>
        <v>19354</v>
      </c>
      <c r="AQ40" s="1091">
        <f>SUMIFS($D40:$AI40,$D$3:$AI$3, AQ$3,$D$2:$AI$2,4)</f>
        <v>21460.799999999999</v>
      </c>
      <c r="AR40" s="1091">
        <f>SUMIFS($D40:$AI40,$D$3:$AI$3, AR$3,$D$2:$AI$2,4)</f>
        <v>23277.7</v>
      </c>
      <c r="AS40" s="1154">
        <f>+AR40+AS87</f>
        <v>25003.755000000001</v>
      </c>
    </row>
    <row r="41" spans="2:45" s="3" customFormat="1" x14ac:dyDescent="0.2">
      <c r="B41" s="180" t="s">
        <v>135</v>
      </c>
      <c r="C41" s="180"/>
      <c r="D41" s="200">
        <f>+D37+D36</f>
        <v>43538</v>
      </c>
      <c r="E41" s="200">
        <f t="shared" ref="E41:Y41" si="231">+E37+E36</f>
        <v>44646</v>
      </c>
      <c r="F41" s="200">
        <f t="shared" si="231"/>
        <v>45720</v>
      </c>
      <c r="G41" s="879">
        <f t="shared" si="231"/>
        <v>47034</v>
      </c>
      <c r="H41" s="200">
        <f t="shared" si="231"/>
        <v>76641</v>
      </c>
      <c r="I41" s="200">
        <f t="shared" si="231"/>
        <v>77753</v>
      </c>
      <c r="J41" s="200">
        <f t="shared" si="231"/>
        <v>79732</v>
      </c>
      <c r="K41" s="879">
        <f t="shared" si="231"/>
        <v>81350</v>
      </c>
      <c r="L41" s="200">
        <f t="shared" si="231"/>
        <v>82572</v>
      </c>
      <c r="M41" s="200">
        <f t="shared" si="231"/>
        <v>83848</v>
      </c>
      <c r="N41" s="200">
        <f t="shared" si="231"/>
        <v>85913</v>
      </c>
      <c r="O41" s="879">
        <f t="shared" si="231"/>
        <v>87663</v>
      </c>
      <c r="P41" s="200">
        <f t="shared" si="231"/>
        <v>88423</v>
      </c>
      <c r="Q41" s="200">
        <f t="shared" si="231"/>
        <v>88787</v>
      </c>
      <c r="R41" s="200">
        <f t="shared" si="231"/>
        <v>90414</v>
      </c>
      <c r="S41" s="879">
        <f t="shared" si="231"/>
        <v>92232</v>
      </c>
      <c r="T41" s="200">
        <f t="shared" si="231"/>
        <v>93525</v>
      </c>
      <c r="U41" s="200">
        <f t="shared" si="231"/>
        <v>95086</v>
      </c>
      <c r="V41" s="200">
        <f t="shared" si="231"/>
        <v>96312</v>
      </c>
      <c r="W41" s="879">
        <f t="shared" si="231"/>
        <v>98052</v>
      </c>
      <c r="X41" s="229">
        <f t="shared" si="231"/>
        <v>99272</v>
      </c>
      <c r="Y41" s="229">
        <f t="shared" si="231"/>
        <v>100610</v>
      </c>
      <c r="Z41" s="229">
        <f t="shared" ref="Z41:AA41" si="232">+Z37+Z36</f>
        <v>102185</v>
      </c>
      <c r="AA41" s="870">
        <f t="shared" si="232"/>
        <v>104118</v>
      </c>
      <c r="AB41" s="229">
        <f t="shared" ref="AB41:AC41" si="233">+AB37+AB36</f>
        <v>105455</v>
      </c>
      <c r="AC41" s="229">
        <f t="shared" si="233"/>
        <v>107284</v>
      </c>
      <c r="AD41" s="229">
        <f t="shared" ref="AD41" si="234">+AD37+AD36</f>
        <v>114063</v>
      </c>
      <c r="AE41" s="1152">
        <f t="shared" ref="AE41:AR41" si="235">+AE37+AE36</f>
        <v>115595.33624277457</v>
      </c>
      <c r="AF41" s="1092">
        <f t="shared" si="235"/>
        <v>116866.84874277457</v>
      </c>
      <c r="AG41" s="1092">
        <f t="shared" si="235"/>
        <v>118365.82874277455</v>
      </c>
      <c r="AH41" s="1092">
        <f t="shared" si="235"/>
        <v>120206.41874277455</v>
      </c>
      <c r="AI41" s="1155">
        <f t="shared" si="235"/>
        <v>122095.92070173411</v>
      </c>
      <c r="AK41" s="1092">
        <f t="shared" si="235"/>
        <v>47034</v>
      </c>
      <c r="AL41" s="200">
        <f t="shared" si="235"/>
        <v>81350</v>
      </c>
      <c r="AM41" s="200">
        <f t="shared" si="235"/>
        <v>87663</v>
      </c>
      <c r="AN41" s="200">
        <f t="shared" si="235"/>
        <v>92232</v>
      </c>
      <c r="AO41" s="200">
        <f t="shared" si="235"/>
        <v>98052</v>
      </c>
      <c r="AP41" s="200">
        <f t="shared" ref="AP41" si="236">+AP37+AP36</f>
        <v>104118</v>
      </c>
      <c r="AQ41" s="1092">
        <f t="shared" si="235"/>
        <v>115595.33624277457</v>
      </c>
      <c r="AR41" s="1092">
        <f t="shared" si="235"/>
        <v>122095.92070173411</v>
      </c>
      <c r="AS41" s="1092">
        <f t="shared" ref="AS41" si="237">+AS37+AS36</f>
        <v>128488.20614592484</v>
      </c>
    </row>
    <row r="42" spans="2:45" s="3" customFormat="1" x14ac:dyDescent="0.2">
      <c r="D42" s="229"/>
      <c r="E42" s="229"/>
      <c r="F42" s="229"/>
      <c r="G42" s="870"/>
      <c r="H42" s="229"/>
      <c r="I42" s="229"/>
      <c r="J42" s="229"/>
      <c r="K42" s="870"/>
      <c r="L42" s="229"/>
      <c r="M42" s="229"/>
      <c r="N42" s="229"/>
      <c r="O42" s="870"/>
      <c r="P42" s="229"/>
      <c r="Q42" s="229"/>
      <c r="R42" s="229"/>
      <c r="S42" s="870"/>
      <c r="T42" s="229"/>
      <c r="U42" s="229"/>
      <c r="V42" s="229"/>
      <c r="W42" s="870"/>
      <c r="X42" s="229"/>
      <c r="Y42" s="229"/>
      <c r="Z42" s="229"/>
      <c r="AA42" s="870"/>
      <c r="AB42" s="229"/>
      <c r="AC42" s="229"/>
      <c r="AD42" s="229"/>
      <c r="AE42" s="1152"/>
      <c r="AF42" s="1330"/>
      <c r="AG42" s="1330"/>
      <c r="AH42" s="1330"/>
      <c r="AI42" s="1152"/>
      <c r="AK42" s="1330"/>
      <c r="AL42" s="229"/>
      <c r="AM42" s="229"/>
      <c r="AN42" s="229"/>
      <c r="AO42" s="229"/>
      <c r="AP42" s="229"/>
      <c r="AQ42" s="1330"/>
      <c r="AR42" s="1330"/>
      <c r="AS42" s="1330"/>
    </row>
    <row r="43" spans="2:45" s="3" customFormat="1" x14ac:dyDescent="0.2">
      <c r="D43" s="229"/>
      <c r="E43" s="229"/>
      <c r="F43" s="229"/>
      <c r="G43" s="870"/>
      <c r="H43" s="229"/>
      <c r="I43" s="229"/>
      <c r="J43" s="229"/>
      <c r="K43" s="870"/>
      <c r="L43" s="229"/>
      <c r="M43" s="229"/>
      <c r="N43" s="229"/>
      <c r="O43" s="870"/>
      <c r="P43" s="229"/>
      <c r="Q43" s="229"/>
      <c r="R43" s="229"/>
      <c r="S43" s="870"/>
      <c r="T43" s="229"/>
      <c r="U43" s="229"/>
      <c r="V43" s="229"/>
      <c r="W43" s="870"/>
      <c r="X43" s="229"/>
      <c r="Y43" s="229"/>
      <c r="Z43" s="229"/>
      <c r="AA43" s="870"/>
      <c r="AB43" s="229"/>
      <c r="AC43" s="229"/>
      <c r="AD43" s="229"/>
      <c r="AE43" s="1152"/>
      <c r="AF43" s="1330"/>
      <c r="AG43" s="1330"/>
      <c r="AH43" s="1330"/>
      <c r="AI43" s="1152"/>
      <c r="AK43" s="1330"/>
      <c r="AL43" s="229"/>
      <c r="AM43" s="229"/>
      <c r="AN43" s="229"/>
      <c r="AO43" s="229"/>
      <c r="AP43" s="229"/>
      <c r="AQ43" s="1330"/>
      <c r="AR43" s="1330"/>
      <c r="AS43" s="1330"/>
    </row>
    <row r="44" spans="2:45" s="3" customFormat="1" x14ac:dyDescent="0.2">
      <c r="B44" s="2"/>
      <c r="D44" s="229"/>
      <c r="E44" s="229"/>
      <c r="F44" s="229"/>
      <c r="G44" s="870"/>
      <c r="H44" s="229"/>
      <c r="I44" s="229"/>
      <c r="J44" s="229"/>
      <c r="K44" s="870"/>
      <c r="L44" s="229"/>
      <c r="M44" s="229"/>
      <c r="N44" s="229"/>
      <c r="O44" s="870"/>
      <c r="P44" s="229"/>
      <c r="Q44" s="229"/>
      <c r="R44" s="229"/>
      <c r="S44" s="870"/>
      <c r="T44" s="229"/>
      <c r="U44" s="229"/>
      <c r="V44" s="229"/>
      <c r="W44" s="870"/>
      <c r="X44" s="229"/>
      <c r="Y44" s="229"/>
      <c r="Z44" s="229"/>
      <c r="AA44" s="870"/>
      <c r="AB44" s="229"/>
      <c r="AC44" s="229"/>
      <c r="AD44" s="229"/>
      <c r="AE44" s="901"/>
      <c r="AF44" s="1331"/>
      <c r="AG44" s="1331"/>
      <c r="AH44" s="1331"/>
      <c r="AI44" s="901"/>
      <c r="AK44" s="1330"/>
      <c r="AL44" s="229"/>
      <c r="AM44" s="229"/>
      <c r="AN44" s="229"/>
      <c r="AO44" s="229"/>
      <c r="AP44" s="229"/>
      <c r="AQ44" s="554"/>
      <c r="AR44" s="554"/>
      <c r="AS44" s="1331"/>
    </row>
    <row r="45" spans="2:45" s="3" customFormat="1" x14ac:dyDescent="0.2">
      <c r="D45" s="229"/>
      <c r="E45" s="229"/>
      <c r="F45" s="229"/>
      <c r="G45" s="870"/>
      <c r="H45" s="229"/>
      <c r="I45" s="229"/>
      <c r="J45" s="229"/>
      <c r="K45" s="870"/>
      <c r="L45" s="229"/>
      <c r="M45" s="229"/>
      <c r="N45" s="229"/>
      <c r="O45" s="870"/>
      <c r="P45" s="229"/>
      <c r="Q45" s="229"/>
      <c r="R45" s="229"/>
      <c r="S45" s="870"/>
      <c r="T45" s="229"/>
      <c r="U45" s="229"/>
      <c r="V45" s="229"/>
      <c r="W45" s="870"/>
      <c r="X45" s="229"/>
      <c r="Y45" s="229"/>
      <c r="Z45" s="229"/>
      <c r="AA45" s="870"/>
      <c r="AB45" s="229"/>
      <c r="AC45" s="229"/>
      <c r="AD45" s="229"/>
      <c r="AE45" s="1152"/>
      <c r="AF45" s="1330"/>
      <c r="AG45" s="1330"/>
      <c r="AH45" s="1330"/>
      <c r="AI45" s="1152"/>
      <c r="AK45" s="1330"/>
      <c r="AL45" s="229"/>
      <c r="AM45" s="229"/>
      <c r="AN45" s="229"/>
      <c r="AO45" s="229"/>
      <c r="AP45" s="229"/>
      <c r="AQ45" s="1330"/>
      <c r="AR45" s="1330"/>
      <c r="AS45" s="1330"/>
    </row>
    <row r="46" spans="2:45" s="3" customFormat="1" x14ac:dyDescent="0.2">
      <c r="D46" s="229"/>
      <c r="E46" s="229"/>
      <c r="F46" s="229"/>
      <c r="G46" s="870"/>
      <c r="H46" s="229"/>
      <c r="I46" s="229"/>
      <c r="J46" s="229"/>
      <c r="K46" s="870"/>
      <c r="L46" s="229"/>
      <c r="M46" s="229"/>
      <c r="N46" s="229"/>
      <c r="O46" s="870"/>
      <c r="P46" s="229"/>
      <c r="Q46" s="229"/>
      <c r="R46" s="229"/>
      <c r="S46" s="870"/>
      <c r="T46" s="229"/>
      <c r="U46" s="229"/>
      <c r="V46" s="229"/>
      <c r="W46" s="870"/>
      <c r="X46" s="229"/>
      <c r="Y46" s="229"/>
      <c r="Z46" s="229"/>
      <c r="AA46" s="870"/>
      <c r="AB46" s="229"/>
      <c r="AC46" s="229"/>
      <c r="AD46" s="229"/>
      <c r="AE46" s="1156"/>
      <c r="AF46" s="1157"/>
      <c r="AG46" s="1157"/>
      <c r="AH46" s="1157"/>
      <c r="AI46" s="1156"/>
      <c r="AQ46" s="524"/>
      <c r="AR46" s="524"/>
      <c r="AS46" s="524"/>
    </row>
    <row r="47" spans="2:45" s="257" customFormat="1" x14ac:dyDescent="0.2">
      <c r="B47" s="257" t="s">
        <v>269</v>
      </c>
      <c r="D47" s="263"/>
      <c r="E47" s="263"/>
      <c r="F47" s="263"/>
      <c r="G47" s="882"/>
      <c r="H47" s="263"/>
      <c r="I47" s="263"/>
      <c r="J47" s="263"/>
      <c r="K47" s="882"/>
      <c r="L47" s="263"/>
      <c r="M47" s="263"/>
      <c r="N47" s="263"/>
      <c r="O47" s="882"/>
      <c r="P47" s="263"/>
      <c r="Q47" s="1045"/>
      <c r="R47" s="263"/>
      <c r="S47" s="882"/>
      <c r="T47" s="263"/>
      <c r="U47" s="263"/>
      <c r="V47" s="263"/>
      <c r="W47" s="882"/>
      <c r="X47" s="263"/>
      <c r="Y47" s="263"/>
      <c r="Z47" s="263"/>
      <c r="AA47" s="882"/>
      <c r="AB47" s="263"/>
      <c r="AC47" s="263"/>
      <c r="AD47" s="263"/>
      <c r="AE47" s="1158"/>
      <c r="AF47" s="1159"/>
      <c r="AG47" s="1159"/>
      <c r="AH47" s="1159"/>
      <c r="AI47" s="1158"/>
      <c r="AQ47" s="524"/>
      <c r="AR47" s="524"/>
      <c r="AS47" s="524"/>
    </row>
    <row r="48" spans="2:45" s="257" customFormat="1" x14ac:dyDescent="0.2">
      <c r="B48" s="244" t="s">
        <v>242</v>
      </c>
      <c r="D48" s="263"/>
      <c r="E48" s="263"/>
      <c r="F48" s="263"/>
      <c r="G48" s="882"/>
      <c r="H48" s="263"/>
      <c r="I48" s="263"/>
      <c r="J48" s="263"/>
      <c r="K48" s="882"/>
      <c r="L48" s="264">
        <f t="shared" ref="L48:U49" si="238">+L36/H36-1</f>
        <v>3.9320298525874264E-2</v>
      </c>
      <c r="M48" s="264">
        <f t="shared" si="238"/>
        <v>4.4912065125566336E-2</v>
      </c>
      <c r="N48" s="264">
        <f t="shared" si="238"/>
        <v>5.5081010426482724E-2</v>
      </c>
      <c r="O48" s="878">
        <f t="shared" si="238"/>
        <v>5.4699930949593245E-2</v>
      </c>
      <c r="P48" s="264">
        <f t="shared" si="238"/>
        <v>4.8277499184000483E-2</v>
      </c>
      <c r="Q48" s="264">
        <f t="shared" si="238"/>
        <v>4.44516309221068E-2</v>
      </c>
      <c r="R48" s="264">
        <f t="shared" si="238"/>
        <v>3.5855253680601606E-2</v>
      </c>
      <c r="S48" s="878">
        <f t="shared" si="238"/>
        <v>3.6605846688110288E-2</v>
      </c>
      <c r="T48" s="264">
        <f t="shared" si="238"/>
        <v>3.8439764492753659E-2</v>
      </c>
      <c r="U48" s="264">
        <f t="shared" si="238"/>
        <v>4.3333849380040146E-2</v>
      </c>
      <c r="V48" s="264">
        <f t="shared" ref="V48:AE49" si="239">+V36/R36-1</f>
        <v>4.2763569610747121E-2</v>
      </c>
      <c r="W48" s="878">
        <f t="shared" si="239"/>
        <v>4.258999917620887E-2</v>
      </c>
      <c r="X48" s="264">
        <f t="shared" si="239"/>
        <v>4.2195933053480905E-2</v>
      </c>
      <c r="Y48" s="264">
        <f t="shared" si="239"/>
        <v>4.1992661738520454E-2</v>
      </c>
      <c r="Z48" s="264">
        <f t="shared" si="239"/>
        <v>4.1716678669547314E-2</v>
      </c>
      <c r="AA48" s="878">
        <f t="shared" si="239"/>
        <v>4.052096502317748E-2</v>
      </c>
      <c r="AB48" s="264">
        <f t="shared" si="239"/>
        <v>3.9755191714181182E-2</v>
      </c>
      <c r="AC48" s="264">
        <f t="shared" si="239"/>
        <v>4.0041426629555232E-2</v>
      </c>
      <c r="AD48" s="264">
        <f t="shared" si="239"/>
        <v>8.349763154525669E-2</v>
      </c>
      <c r="AE48" s="1137">
        <f t="shared" si="239"/>
        <v>8.3754271357556087E-2</v>
      </c>
      <c r="AF48" s="1160">
        <f t="shared" ref="AF48:AI49" si="240">+AF36/AB36-1</f>
        <v>8.3336346566063479E-2</v>
      </c>
      <c r="AG48" s="1160">
        <f t="shared" si="240"/>
        <v>8.1945483367454441E-2</v>
      </c>
      <c r="AH48" s="1160">
        <f t="shared" si="240"/>
        <v>3.7888933769431921E-2</v>
      </c>
      <c r="AI48" s="1137">
        <f t="shared" si="240"/>
        <v>3.6666315118870196E-2</v>
      </c>
      <c r="AK48" s="258"/>
      <c r="AL48" s="246">
        <f t="shared" ref="AL48:AS48" si="241">+AL36/AK36-1</f>
        <v>0.65120832816953778</v>
      </c>
      <c r="AM48" s="246">
        <f t="shared" si="241"/>
        <v>5.4699930949593245E-2</v>
      </c>
      <c r="AN48" s="246">
        <f t="shared" si="241"/>
        <v>3.6605846688110288E-2</v>
      </c>
      <c r="AO48" s="246">
        <f t="shared" si="241"/>
        <v>4.258999917620887E-2</v>
      </c>
      <c r="AP48" s="246">
        <f t="shared" si="241"/>
        <v>4.052096502317748E-2</v>
      </c>
      <c r="AQ48" s="552">
        <f t="shared" si="241"/>
        <v>8.3754271357556087E-2</v>
      </c>
      <c r="AR48" s="552">
        <f t="shared" si="241"/>
        <v>3.6666315118870196E-2</v>
      </c>
      <c r="AS48" s="552">
        <f t="shared" si="241"/>
        <v>3.4308364366238742E-2</v>
      </c>
    </row>
    <row r="49" spans="2:45" s="257" customFormat="1" x14ac:dyDescent="0.2">
      <c r="B49" s="244" t="s">
        <v>243</v>
      </c>
      <c r="D49" s="263"/>
      <c r="E49" s="263"/>
      <c r="F49" s="263"/>
      <c r="G49" s="882"/>
      <c r="H49" s="263"/>
      <c r="I49" s="263"/>
      <c r="J49" s="263"/>
      <c r="K49" s="882"/>
      <c r="L49" s="264">
        <f t="shared" si="238"/>
        <v>0.28679277292391214</v>
      </c>
      <c r="M49" s="264">
        <f t="shared" si="238"/>
        <v>0.25071157495256169</v>
      </c>
      <c r="N49" s="264">
        <f t="shared" si="238"/>
        <v>0.18345530205194427</v>
      </c>
      <c r="O49" s="878">
        <f t="shared" si="238"/>
        <v>0.18117024165082807</v>
      </c>
      <c r="P49" s="264">
        <f t="shared" si="238"/>
        <v>0.17119314436387612</v>
      </c>
      <c r="Q49" s="264">
        <f t="shared" si="238"/>
        <v>0.12105695682407225</v>
      </c>
      <c r="R49" s="264">
        <f t="shared" si="238"/>
        <v>0.12197635647165805</v>
      </c>
      <c r="S49" s="878">
        <f t="shared" si="238"/>
        <v>0.11476351933796902</v>
      </c>
      <c r="T49" s="264">
        <f t="shared" si="238"/>
        <v>0.13429391568638493</v>
      </c>
      <c r="U49" s="264">
        <f t="shared" si="238"/>
        <v>0.1815721213488215</v>
      </c>
      <c r="V49" s="264">
        <f t="shared" si="239"/>
        <v>0.15253687793807758</v>
      </c>
      <c r="W49" s="878">
        <f t="shared" si="239"/>
        <v>0.14011753789050418</v>
      </c>
      <c r="X49" s="264">
        <f t="shared" si="239"/>
        <v>0.13154369076564287</v>
      </c>
      <c r="Y49" s="264">
        <f t="shared" si="239"/>
        <v>0.11506156342464435</v>
      </c>
      <c r="Z49" s="264">
        <f t="shared" si="239"/>
        <v>0.12869198312236296</v>
      </c>
      <c r="AA49" s="878">
        <f t="shared" si="239"/>
        <v>0.13515102188460837</v>
      </c>
      <c r="AB49" s="264">
        <f t="shared" si="239"/>
        <v>0.1378266970706894</v>
      </c>
      <c r="AC49" s="264">
        <f t="shared" si="239"/>
        <v>0.1532634282045795</v>
      </c>
      <c r="AD49" s="264">
        <f t="shared" si="239"/>
        <v>0.22247144340602287</v>
      </c>
      <c r="AE49" s="1137">
        <f t="shared" si="239"/>
        <v>0.19357339175463051</v>
      </c>
      <c r="AF49" s="1160">
        <f t="shared" si="240"/>
        <v>0.18445070721085277</v>
      </c>
      <c r="AG49" s="1160">
        <f t="shared" si="240"/>
        <v>0.16694472277889116</v>
      </c>
      <c r="AH49" s="1160">
        <f t="shared" si="240"/>
        <v>9.9786024939689355E-2</v>
      </c>
      <c r="AI49" s="1137">
        <f t="shared" si="240"/>
        <v>0.11215956062908794</v>
      </c>
      <c r="AK49" s="258"/>
      <c r="AL49" s="246">
        <f t="shared" ref="AL49:AS49" si="242">+AL37/AK37-1</f>
        <v>1.2024218866796232</v>
      </c>
      <c r="AM49" s="246">
        <f t="shared" si="242"/>
        <v>0.18117024165082807</v>
      </c>
      <c r="AN49" s="246">
        <f t="shared" si="242"/>
        <v>0.11476351933796902</v>
      </c>
      <c r="AO49" s="246">
        <f t="shared" si="242"/>
        <v>0.14011753789050418</v>
      </c>
      <c r="AP49" s="246">
        <f t="shared" si="242"/>
        <v>0.13515102188460837</v>
      </c>
      <c r="AQ49" s="552">
        <f t="shared" si="242"/>
        <v>0.19357339175463051</v>
      </c>
      <c r="AR49" s="552">
        <f t="shared" si="242"/>
        <v>0.11215956062908794</v>
      </c>
      <c r="AS49" s="552">
        <f t="shared" si="242"/>
        <v>0.10042515860782797</v>
      </c>
    </row>
    <row r="50" spans="2:45" s="257" customFormat="1" x14ac:dyDescent="0.2">
      <c r="B50" s="243" t="s">
        <v>252</v>
      </c>
      <c r="D50" s="263"/>
      <c r="E50" s="263"/>
      <c r="F50" s="263"/>
      <c r="G50" s="882"/>
      <c r="H50" s="263"/>
      <c r="I50" s="263"/>
      <c r="J50" s="263"/>
      <c r="K50" s="882"/>
      <c r="L50" s="264"/>
      <c r="M50" s="264"/>
      <c r="N50" s="264"/>
      <c r="O50" s="878"/>
      <c r="P50" s="264">
        <f t="shared" ref="P50:AI50" si="243">+P38/L38-1</f>
        <v>4.0518134715025909</v>
      </c>
      <c r="Q50" s="264">
        <f t="shared" si="243"/>
        <v>4.1111111111111107</v>
      </c>
      <c r="R50" s="264">
        <f t="shared" si="243"/>
        <v>3.6445497630331758</v>
      </c>
      <c r="S50" s="878">
        <f t="shared" si="243"/>
        <v>2.7306501547987616</v>
      </c>
      <c r="T50" s="264">
        <f t="shared" si="243"/>
        <v>1.928205128205128</v>
      </c>
      <c r="U50" s="264">
        <f t="shared" si="243"/>
        <v>1.2432065217391304</v>
      </c>
      <c r="V50" s="264">
        <f t="shared" si="243"/>
        <v>0.94234693877551012</v>
      </c>
      <c r="W50" s="878">
        <f t="shared" si="243"/>
        <v>0.77925311203319492</v>
      </c>
      <c r="X50" s="264">
        <f t="shared" si="243"/>
        <v>0.62311733800350266</v>
      </c>
      <c r="Y50" s="264">
        <f t="shared" si="243"/>
        <v>0.51181102362204722</v>
      </c>
      <c r="Z50" s="264">
        <f t="shared" si="243"/>
        <v>0.41239821381665354</v>
      </c>
      <c r="AA50" s="878">
        <f t="shared" si="243"/>
        <v>0.33908582089552231</v>
      </c>
      <c r="AB50" s="264">
        <f t="shared" si="243"/>
        <v>0.32261545101424249</v>
      </c>
      <c r="AC50" s="264">
        <f t="shared" si="243"/>
        <v>0.31330128205128216</v>
      </c>
      <c r="AD50" s="264">
        <f t="shared" si="243"/>
        <v>0.33215547703180204</v>
      </c>
      <c r="AE50" s="1137">
        <f t="shared" si="243"/>
        <v>0.30788227098571919</v>
      </c>
      <c r="AF50" s="1160">
        <f t="shared" si="243"/>
        <v>0.28390112579539895</v>
      </c>
      <c r="AG50" s="1160">
        <f t="shared" si="243"/>
        <v>0.25535845027455761</v>
      </c>
      <c r="AH50" s="1160">
        <f t="shared" si="243"/>
        <v>0.20362836800223372</v>
      </c>
      <c r="AI50" s="1137">
        <f t="shared" si="243"/>
        <v>0.19163947130838666</v>
      </c>
      <c r="AK50" s="258"/>
      <c r="AL50" s="246" t="e">
        <f t="shared" ref="AL50:AS50" si="244">+AL38/AK38-1</f>
        <v>#DIV/0!</v>
      </c>
      <c r="AM50" s="246">
        <f t="shared" si="244"/>
        <v>5.46</v>
      </c>
      <c r="AN50" s="246">
        <f t="shared" si="244"/>
        <v>2.7306501547987616</v>
      </c>
      <c r="AO50" s="246">
        <f t="shared" si="244"/>
        <v>0.77925311203319492</v>
      </c>
      <c r="AP50" s="246">
        <f t="shared" si="244"/>
        <v>0.33908582089552231</v>
      </c>
      <c r="AQ50" s="552">
        <f t="shared" si="244"/>
        <v>0.30788227098571919</v>
      </c>
      <c r="AR50" s="552">
        <f t="shared" si="244"/>
        <v>0.19163947130838666</v>
      </c>
      <c r="AS50" s="552">
        <f t="shared" si="244"/>
        <v>0.15438720929078742</v>
      </c>
    </row>
    <row r="51" spans="2:45" s="257" customFormat="1" x14ac:dyDescent="0.2">
      <c r="B51" s="243" t="s">
        <v>253</v>
      </c>
      <c r="D51" s="263"/>
      <c r="E51" s="263"/>
      <c r="F51" s="263"/>
      <c r="G51" s="882"/>
      <c r="H51" s="263"/>
      <c r="I51" s="263"/>
      <c r="J51" s="263"/>
      <c r="K51" s="882"/>
      <c r="L51" s="264">
        <f t="shared" ref="L51:U52" si="245">+L40/H40-1</f>
        <v>0.27042157943845968</v>
      </c>
      <c r="M51" s="264">
        <f t="shared" si="245"/>
        <v>0.22794117647058831</v>
      </c>
      <c r="N51" s="264">
        <f t="shared" si="245"/>
        <v>0.15317836131439222</v>
      </c>
      <c r="O51" s="878">
        <f t="shared" si="245"/>
        <v>0.14509294696555486</v>
      </c>
      <c r="P51" s="264">
        <f t="shared" si="245"/>
        <v>0.12118581825465724</v>
      </c>
      <c r="Q51" s="264">
        <f t="shared" si="245"/>
        <v>4.7067156010559552E-2</v>
      </c>
      <c r="R51" s="264">
        <f t="shared" si="245"/>
        <v>2.9490449822684006E-2</v>
      </c>
      <c r="S51" s="878">
        <f t="shared" si="245"/>
        <v>1.3906296627872239E-2</v>
      </c>
      <c r="T51" s="264">
        <f t="shared" si="245"/>
        <v>3.0133396855645644E-2</v>
      </c>
      <c r="U51" s="264">
        <f t="shared" si="245"/>
        <v>8.5475341286434636E-2</v>
      </c>
      <c r="V51" s="264">
        <f t="shared" ref="V51:AE52" si="246">+V40/R40-1</f>
        <v>5.8983501541064909E-2</v>
      </c>
      <c r="W51" s="878">
        <f t="shared" si="246"/>
        <v>4.9387803155168442E-2</v>
      </c>
      <c r="X51" s="264">
        <f t="shared" si="246"/>
        <v>5.0352641923921748E-2</v>
      </c>
      <c r="Y51" s="264">
        <f t="shared" si="246"/>
        <v>4.0731928393383132E-2</v>
      </c>
      <c r="Z51" s="264">
        <f t="shared" si="246"/>
        <v>6.67693888032872E-2</v>
      </c>
      <c r="AA51" s="878">
        <f t="shared" si="246"/>
        <v>8.5656588321086025E-2</v>
      </c>
      <c r="AB51" s="264">
        <f t="shared" si="246"/>
        <v>9.0098519456216719E-2</v>
      </c>
      <c r="AC51" s="264">
        <f t="shared" si="246"/>
        <v>0.10309727287572801</v>
      </c>
      <c r="AD51" s="264">
        <f t="shared" si="246"/>
        <v>0.1204194083346708</v>
      </c>
      <c r="AE51" s="1137">
        <f t="shared" si="246"/>
        <v>0.10885605042885182</v>
      </c>
      <c r="AF51" s="1160">
        <f t="shared" ref="AF51:AI52" si="247">+AF40/AB40-1</f>
        <v>0.10359487024134095</v>
      </c>
      <c r="AG51" s="1160">
        <f t="shared" si="247"/>
        <v>9.4907475943745379E-2</v>
      </c>
      <c r="AH51" s="1160">
        <f t="shared" si="247"/>
        <v>8.3307868601986135E-2</v>
      </c>
      <c r="AI51" s="1137">
        <f t="shared" si="247"/>
        <v>8.4661336017296751E-2</v>
      </c>
      <c r="AK51" s="258"/>
      <c r="AL51" s="246">
        <f t="shared" ref="AL51:AS51" si="248">+AL40/AK40-1</f>
        <v>1.1874719689041711</v>
      </c>
      <c r="AM51" s="246">
        <f t="shared" si="248"/>
        <v>0.14509294696555486</v>
      </c>
      <c r="AN51" s="246">
        <f t="shared" si="248"/>
        <v>1.3906296627872239E-2</v>
      </c>
      <c r="AO51" s="246">
        <f t="shared" si="248"/>
        <v>4.9387803155168442E-2</v>
      </c>
      <c r="AP51" s="246">
        <f t="shared" si="248"/>
        <v>8.5656588321086025E-2</v>
      </c>
      <c r="AQ51" s="552">
        <f t="shared" si="248"/>
        <v>0.10885605042885182</v>
      </c>
      <c r="AR51" s="552">
        <f t="shared" si="248"/>
        <v>8.4661336017296751E-2</v>
      </c>
      <c r="AS51" s="552">
        <f t="shared" si="248"/>
        <v>7.4150581887385769E-2</v>
      </c>
    </row>
    <row r="52" spans="2:45" s="257" customFormat="1" x14ac:dyDescent="0.2">
      <c r="B52" s="257" t="s">
        <v>135</v>
      </c>
      <c r="D52" s="263"/>
      <c r="E52" s="263"/>
      <c r="F52" s="263"/>
      <c r="G52" s="882"/>
      <c r="H52" s="263"/>
      <c r="I52" s="263"/>
      <c r="J52" s="263"/>
      <c r="K52" s="882"/>
      <c r="L52" s="265">
        <f t="shared" si="245"/>
        <v>7.738677731240462E-2</v>
      </c>
      <c r="M52" s="265">
        <f t="shared" si="245"/>
        <v>7.8389258292284492E-2</v>
      </c>
      <c r="N52" s="265">
        <f t="shared" si="245"/>
        <v>7.7522199367882516E-2</v>
      </c>
      <c r="O52" s="880">
        <f t="shared" si="245"/>
        <v>7.760295021511987E-2</v>
      </c>
      <c r="P52" s="265">
        <f t="shared" si="245"/>
        <v>7.0859371215424183E-2</v>
      </c>
      <c r="Q52" s="265">
        <f t="shared" si="245"/>
        <v>5.8904207613777348E-2</v>
      </c>
      <c r="R52" s="265">
        <f t="shared" si="245"/>
        <v>5.2390208699498286E-2</v>
      </c>
      <c r="S52" s="880">
        <f t="shared" si="245"/>
        <v>5.2120050648506222E-2</v>
      </c>
      <c r="T52" s="265">
        <f t="shared" si="245"/>
        <v>5.7699919704149449E-2</v>
      </c>
      <c r="U52" s="265">
        <f t="shared" si="245"/>
        <v>7.0945070787389986E-2</v>
      </c>
      <c r="V52" s="265">
        <f t="shared" si="246"/>
        <v>6.5233260335788801E-2</v>
      </c>
      <c r="W52" s="880">
        <f t="shared" si="246"/>
        <v>6.3101743429612389E-2</v>
      </c>
      <c r="X52" s="265">
        <f t="shared" si="246"/>
        <v>6.1448810478481608E-2</v>
      </c>
      <c r="Y52" s="265">
        <f t="shared" si="246"/>
        <v>5.8094777359443128E-2</v>
      </c>
      <c r="Z52" s="265">
        <f t="shared" si="246"/>
        <v>6.0978901902151383E-2</v>
      </c>
      <c r="AA52" s="880">
        <f t="shared" si="246"/>
        <v>6.1865132786684596E-2</v>
      </c>
      <c r="AB52" s="265">
        <f t="shared" si="246"/>
        <v>6.2283423321782605E-2</v>
      </c>
      <c r="AC52" s="265">
        <f t="shared" si="246"/>
        <v>6.6335354338534991E-2</v>
      </c>
      <c r="AD52" s="265">
        <f t="shared" si="246"/>
        <v>0.11624015266428533</v>
      </c>
      <c r="AE52" s="1161">
        <f t="shared" si="246"/>
        <v>0.11023392922236863</v>
      </c>
      <c r="AF52" s="1162">
        <f t="shared" si="247"/>
        <v>0.10821534059811833</v>
      </c>
      <c r="AG52" s="1162">
        <f t="shared" si="247"/>
        <v>0.10329432853710285</v>
      </c>
      <c r="AH52" s="1162">
        <f t="shared" si="247"/>
        <v>5.3859873427619442E-2</v>
      </c>
      <c r="AI52" s="1161">
        <f t="shared" si="247"/>
        <v>5.6235698344325513E-2</v>
      </c>
      <c r="AK52" s="258"/>
      <c r="AL52" s="258">
        <f t="shared" ref="AL52:AS52" si="249">+AL41/AK41-1</f>
        <v>0.72959986392822218</v>
      </c>
      <c r="AM52" s="258">
        <f t="shared" si="249"/>
        <v>7.760295021511987E-2</v>
      </c>
      <c r="AN52" s="258">
        <f t="shared" si="249"/>
        <v>5.2120050648506222E-2</v>
      </c>
      <c r="AO52" s="258">
        <f t="shared" si="249"/>
        <v>6.3101743429612389E-2</v>
      </c>
      <c r="AP52" s="258">
        <f t="shared" si="249"/>
        <v>6.1865132786684596E-2</v>
      </c>
      <c r="AQ52" s="1195">
        <f t="shared" si="249"/>
        <v>0.11023392922236863</v>
      </c>
      <c r="AR52" s="1195">
        <f t="shared" si="249"/>
        <v>5.6235698344325513E-2</v>
      </c>
      <c r="AS52" s="1195">
        <f t="shared" si="249"/>
        <v>5.2354619281723025E-2</v>
      </c>
    </row>
    <row r="53" spans="2:45" s="249" customFormat="1" x14ac:dyDescent="0.2">
      <c r="D53" s="250"/>
      <c r="E53" s="250"/>
      <c r="F53" s="250"/>
      <c r="G53" s="881"/>
      <c r="H53" s="250"/>
      <c r="I53" s="250"/>
      <c r="J53" s="250"/>
      <c r="K53" s="881"/>
      <c r="L53" s="250"/>
      <c r="M53" s="250"/>
      <c r="N53" s="250"/>
      <c r="O53" s="881"/>
      <c r="P53" s="250"/>
      <c r="Q53" s="250"/>
      <c r="R53" s="250"/>
      <c r="S53" s="881"/>
      <c r="T53" s="250"/>
      <c r="U53" s="250"/>
      <c r="V53" s="250"/>
      <c r="W53" s="881"/>
      <c r="X53" s="250"/>
      <c r="Y53" s="250"/>
      <c r="Z53" s="250"/>
      <c r="AA53" s="881"/>
      <c r="AB53" s="250"/>
      <c r="AC53" s="250"/>
      <c r="AD53" s="250"/>
      <c r="AE53" s="1163"/>
      <c r="AF53" s="1164"/>
      <c r="AG53" s="1164"/>
      <c r="AH53" s="1164"/>
      <c r="AI53" s="1163"/>
      <c r="AQ53" s="1196"/>
      <c r="AR53" s="1196"/>
      <c r="AS53" s="1196"/>
    </row>
    <row r="54" spans="2:45" s="257" customFormat="1" x14ac:dyDescent="0.2">
      <c r="B54" s="257" t="s">
        <v>270</v>
      </c>
      <c r="D54" s="263"/>
      <c r="E54" s="263"/>
      <c r="F54" s="263"/>
      <c r="G54" s="882"/>
      <c r="H54" s="263"/>
      <c r="I54" s="263"/>
      <c r="J54" s="263"/>
      <c r="K54" s="882"/>
      <c r="L54" s="263"/>
      <c r="M54" s="263"/>
      <c r="N54" s="263"/>
      <c r="O54" s="882"/>
      <c r="P54" s="263"/>
      <c r="Q54" s="263"/>
      <c r="R54" s="263"/>
      <c r="S54" s="882"/>
      <c r="T54" s="263"/>
      <c r="U54" s="263"/>
      <c r="V54" s="263"/>
      <c r="W54" s="882"/>
      <c r="X54" s="263"/>
      <c r="Y54" s="263"/>
      <c r="Z54" s="263"/>
      <c r="AA54" s="882"/>
      <c r="AB54" s="263"/>
      <c r="AC54" s="263"/>
      <c r="AD54" s="263"/>
      <c r="AE54" s="1165"/>
      <c r="AF54" s="1166"/>
      <c r="AG54" s="1166"/>
      <c r="AH54" s="1166"/>
      <c r="AI54" s="1165"/>
      <c r="AQ54" s="1159"/>
      <c r="AR54" s="1159"/>
      <c r="AS54" s="1159"/>
    </row>
    <row r="55" spans="2:45" s="257" customFormat="1" x14ac:dyDescent="0.2">
      <c r="B55" s="244" t="s">
        <v>242</v>
      </c>
      <c r="D55" s="263"/>
      <c r="E55" s="263"/>
      <c r="F55" s="263"/>
      <c r="G55" s="882"/>
      <c r="H55" s="263"/>
      <c r="I55" s="263"/>
      <c r="J55" s="264">
        <f t="shared" ref="J55:AI55" si="250">+J36/I36-1</f>
        <v>1.0582904538821936E-2</v>
      </c>
      <c r="K55" s="878">
        <f t="shared" si="250"/>
        <v>1.2523938353041331E-2</v>
      </c>
      <c r="L55" s="264">
        <f t="shared" si="250"/>
        <v>1.1768591071482204E-2</v>
      </c>
      <c r="M55" s="264">
        <f t="shared" si="250"/>
        <v>9.3023945876977709E-3</v>
      </c>
      <c r="N55" s="264">
        <f t="shared" si="250"/>
        <v>2.0417763012832824E-2</v>
      </c>
      <c r="O55" s="878">
        <f t="shared" si="250"/>
        <v>1.2158229853928448E-2</v>
      </c>
      <c r="P55" s="264">
        <f t="shared" si="250"/>
        <v>5.6075830463124809E-3</v>
      </c>
      <c r="Q55" s="264">
        <f t="shared" si="250"/>
        <v>5.6187726449274944E-3</v>
      </c>
      <c r="R55" s="264">
        <f t="shared" si="250"/>
        <v>1.2019196937497423E-2</v>
      </c>
      <c r="S55" s="878">
        <f t="shared" si="250"/>
        <v>1.2891651716800956E-2</v>
      </c>
      <c r="T55" s="264">
        <f t="shared" si="250"/>
        <v>7.3866600763379253E-3</v>
      </c>
      <c r="U55" s="264">
        <f t="shared" si="250"/>
        <v>1.0358174780570328E-2</v>
      </c>
      <c r="V55" s="264">
        <f t="shared" si="250"/>
        <v>1.1466033561754685E-2</v>
      </c>
      <c r="W55" s="878">
        <f t="shared" si="250"/>
        <v>1.2723053532847972E-2</v>
      </c>
      <c r="X55" s="264">
        <f t="shared" si="250"/>
        <v>7.0058997050146399E-3</v>
      </c>
      <c r="Y55" s="264">
        <f t="shared" si="250"/>
        <v>1.016111314536805E-2</v>
      </c>
      <c r="Z55" s="264">
        <f t="shared" si="250"/>
        <v>1.1198135801669951E-2</v>
      </c>
      <c r="AA55" s="878">
        <f t="shared" si="250"/>
        <v>1.1560619638970593E-2</v>
      </c>
      <c r="AB55" s="264">
        <f t="shared" si="250"/>
        <v>6.2647918696923099E-3</v>
      </c>
      <c r="AC55" s="264">
        <f t="shared" si="250"/>
        <v>1.043920108668317E-2</v>
      </c>
      <c r="AD55" s="264">
        <f t="shared" si="250"/>
        <v>5.3449177226219113E-2</v>
      </c>
      <c r="AE55" s="1137">
        <f t="shared" si="250"/>
        <v>1.1800220280444362E-2</v>
      </c>
      <c r="AF55" s="1160">
        <f t="shared" si="250"/>
        <v>5.8767491053470788E-3</v>
      </c>
      <c r="AG55" s="1160">
        <f t="shared" si="250"/>
        <v>9.1419283572320431E-3</v>
      </c>
      <c r="AH55" s="1160">
        <f t="shared" si="250"/>
        <v>1.0552990090235248E-2</v>
      </c>
      <c r="AI55" s="1137">
        <f t="shared" si="250"/>
        <v>1.0608333769558831E-2</v>
      </c>
      <c r="AQ55" s="1159"/>
      <c r="AR55" s="1159"/>
      <c r="AS55" s="1159"/>
    </row>
    <row r="56" spans="2:45" s="257" customFormat="1" x14ac:dyDescent="0.2">
      <c r="B56" s="244" t="s">
        <v>243</v>
      </c>
      <c r="D56" s="263"/>
      <c r="E56" s="263"/>
      <c r="F56" s="263"/>
      <c r="G56" s="882"/>
      <c r="H56" s="263"/>
      <c r="I56" s="263"/>
      <c r="J56" s="264">
        <f t="shared" ref="J56:AI56" si="251">+J37/I37-1</f>
        <v>0.10199240986717273</v>
      </c>
      <c r="K56" s="878">
        <f t="shared" si="251"/>
        <v>5.6966566221839487E-2</v>
      </c>
      <c r="L56" s="264">
        <f t="shared" si="251"/>
        <v>2.9731197393429332E-2</v>
      </c>
      <c r="M56" s="264">
        <f t="shared" si="251"/>
        <v>4.2781806196440453E-2</v>
      </c>
      <c r="N56" s="264">
        <f t="shared" si="251"/>
        <v>4.2733421834502794E-2</v>
      </c>
      <c r="O56" s="878">
        <f t="shared" si="251"/>
        <v>5.4925735071233772E-2</v>
      </c>
      <c r="P56" s="264">
        <f t="shared" si="251"/>
        <v>2.1033273949772946E-2</v>
      </c>
      <c r="Q56" s="264">
        <f t="shared" si="251"/>
        <v>-1.857376034220759E-3</v>
      </c>
      <c r="R56" s="264">
        <f t="shared" si="251"/>
        <v>4.3588586895229486E-2</v>
      </c>
      <c r="S56" s="878">
        <f t="shared" si="251"/>
        <v>4.8143945534122157E-2</v>
      </c>
      <c r="T56" s="264">
        <f t="shared" si="251"/>
        <v>3.892153830291778E-2</v>
      </c>
      <c r="U56" s="264">
        <f t="shared" si="251"/>
        <v>3.9745943531980243E-2</v>
      </c>
      <c r="V56" s="264">
        <f t="shared" si="251"/>
        <v>1.7944067958385101E-2</v>
      </c>
      <c r="W56" s="878">
        <f t="shared" si="251"/>
        <v>3.6849507735583709E-2</v>
      </c>
      <c r="X56" s="264">
        <f t="shared" si="251"/>
        <v>3.1108699584011523E-2</v>
      </c>
      <c r="Y56" s="264">
        <f t="shared" si="251"/>
        <v>2.460094720224526E-2</v>
      </c>
      <c r="Z56" s="264">
        <f t="shared" si="251"/>
        <v>3.0387331478707535E-2</v>
      </c>
      <c r="AA56" s="878">
        <f t="shared" si="251"/>
        <v>4.278296988577357E-2</v>
      </c>
      <c r="AB56" s="264">
        <f t="shared" si="251"/>
        <v>3.353913563035249E-2</v>
      </c>
      <c r="AC56" s="264">
        <f t="shared" si="251"/>
        <v>3.8501560874089513E-2</v>
      </c>
      <c r="AD56" s="264">
        <f t="shared" si="251"/>
        <v>9.2221479997031119E-2</v>
      </c>
      <c r="AE56" s="1137">
        <f t="shared" si="251"/>
        <v>1.8132581291835148E-2</v>
      </c>
      <c r="AF56" s="1160">
        <f t="shared" si="251"/>
        <v>2.5639620139190633E-2</v>
      </c>
      <c r="AG56" s="1160">
        <f t="shared" si="251"/>
        <v>2.3152680547916971E-2</v>
      </c>
      <c r="AH56" s="1160">
        <f t="shared" si="251"/>
        <v>2.9363170672892736E-2</v>
      </c>
      <c r="AI56" s="1137">
        <f t="shared" si="251"/>
        <v>2.9587445734075013E-2</v>
      </c>
      <c r="AQ56" s="1159"/>
      <c r="AR56" s="1159"/>
      <c r="AS56" s="1159"/>
    </row>
    <row r="57" spans="2:45" s="257" customFormat="1" x14ac:dyDescent="0.2">
      <c r="B57" s="243" t="s">
        <v>252</v>
      </c>
      <c r="D57" s="263"/>
      <c r="E57" s="263"/>
      <c r="F57" s="263"/>
      <c r="G57" s="882"/>
      <c r="H57" s="263"/>
      <c r="I57" s="263"/>
      <c r="J57" s="264"/>
      <c r="K57" s="878"/>
      <c r="L57" s="264"/>
      <c r="M57" s="264">
        <f t="shared" ref="M57:AI57" si="252">+M38/L38-1</f>
        <v>0.49222797927461137</v>
      </c>
      <c r="N57" s="264">
        <f t="shared" si="252"/>
        <v>0.46527777777777768</v>
      </c>
      <c r="O57" s="878">
        <f t="shared" si="252"/>
        <v>0.5308056872037914</v>
      </c>
      <c r="P57" s="264">
        <f t="shared" si="252"/>
        <v>0.50928792569659453</v>
      </c>
      <c r="Q57" s="264">
        <f t="shared" si="252"/>
        <v>0.5097435897435898</v>
      </c>
      <c r="R57" s="264">
        <f t="shared" si="252"/>
        <v>0.33152173913043481</v>
      </c>
      <c r="S57" s="878">
        <f t="shared" si="252"/>
        <v>0.22959183673469385</v>
      </c>
      <c r="T57" s="264">
        <f t="shared" si="252"/>
        <v>0.18464730290456433</v>
      </c>
      <c r="U57" s="264">
        <f t="shared" si="252"/>
        <v>0.15656742556917691</v>
      </c>
      <c r="V57" s="264">
        <f t="shared" si="252"/>
        <v>0.15293761356753488</v>
      </c>
      <c r="W57" s="878">
        <f t="shared" si="252"/>
        <v>0.12634620436038868</v>
      </c>
      <c r="X57" s="264">
        <f t="shared" si="252"/>
        <v>8.0690298507462677E-2</v>
      </c>
      <c r="Y57" s="264">
        <f t="shared" si="252"/>
        <v>7.7255071212775084E-2</v>
      </c>
      <c r="Z57" s="264">
        <f t="shared" si="252"/>
        <v>7.7123397435897356E-2</v>
      </c>
      <c r="AA57" s="878">
        <f t="shared" si="252"/>
        <v>6.7881718430351512E-2</v>
      </c>
      <c r="AB57" s="264">
        <f t="shared" si="252"/>
        <v>6.7398119122257016E-2</v>
      </c>
      <c r="AC57" s="264">
        <f t="shared" si="252"/>
        <v>6.9668787730461812E-2</v>
      </c>
      <c r="AD57" s="264">
        <f t="shared" si="252"/>
        <v>9.2586943258084142E-2</v>
      </c>
      <c r="AE57" s="1137">
        <f t="shared" si="252"/>
        <v>4.8423844757782941E-2</v>
      </c>
      <c r="AF57" s="1160">
        <f t="shared" si="252"/>
        <v>4.7826457483894469E-2</v>
      </c>
      <c r="AG57" s="1160">
        <f t="shared" si="252"/>
        <v>4.5888756301602607E-2</v>
      </c>
      <c r="AH57" s="1160">
        <f t="shared" si="252"/>
        <v>4.7564254756607749E-2</v>
      </c>
      <c r="AI57" s="1137">
        <f t="shared" si="252"/>
        <v>3.7980882876592181E-2</v>
      </c>
      <c r="AQ57" s="1159"/>
      <c r="AR57" s="1159"/>
      <c r="AS57" s="1159"/>
    </row>
    <row r="58" spans="2:45" s="257" customFormat="1" x14ac:dyDescent="0.2">
      <c r="B58" s="243" t="s">
        <v>253</v>
      </c>
      <c r="D58" s="263"/>
      <c r="E58" s="263"/>
      <c r="F58" s="263"/>
      <c r="G58" s="882"/>
      <c r="H58" s="263"/>
      <c r="I58" s="264">
        <f t="shared" ref="I58:AI58" si="253">+I40/H40-1</f>
        <v>7.2864534735770592E-2</v>
      </c>
      <c r="J58" s="264">
        <f t="shared" si="253"/>
        <v>0.10199240986717273</v>
      </c>
      <c r="K58" s="878">
        <f t="shared" si="253"/>
        <v>4.9791935715310709E-2</v>
      </c>
      <c r="L58" s="264">
        <f t="shared" si="253"/>
        <v>2.3578458173865391E-2</v>
      </c>
      <c r="M58" s="264">
        <f t="shared" si="253"/>
        <v>3.699005141216527E-2</v>
      </c>
      <c r="N58" s="264">
        <f t="shared" si="253"/>
        <v>3.4897946043397132E-2</v>
      </c>
      <c r="O58" s="878">
        <f t="shared" si="253"/>
        <v>4.2431406706899821E-2</v>
      </c>
      <c r="P58" s="264">
        <f t="shared" si="253"/>
        <v>2.2082960310354505E-3</v>
      </c>
      <c r="Q58" s="264">
        <f t="shared" si="253"/>
        <v>-3.1562648880419264E-2</v>
      </c>
      <c r="R58" s="264">
        <f t="shared" si="253"/>
        <v>1.7525519616283347E-2</v>
      </c>
      <c r="S58" s="878">
        <f t="shared" si="253"/>
        <v>2.6651356741403287E-2</v>
      </c>
      <c r="T58" s="264">
        <f t="shared" si="253"/>
        <v>1.8248175182481674E-2</v>
      </c>
      <c r="U58" s="264">
        <f t="shared" si="253"/>
        <v>2.0464793617759325E-2</v>
      </c>
      <c r="V58" s="264">
        <f t="shared" si="253"/>
        <v>-7.3079537729435762E-3</v>
      </c>
      <c r="W58" s="878">
        <f t="shared" si="253"/>
        <v>1.7348627518118942E-2</v>
      </c>
      <c r="X58" s="264">
        <f t="shared" si="253"/>
        <v>1.9184383238907365E-2</v>
      </c>
      <c r="Y58" s="264">
        <f t="shared" si="253"/>
        <v>1.1117838075843434E-2</v>
      </c>
      <c r="Z58" s="264">
        <f t="shared" si="253"/>
        <v>1.7527625061237728E-2</v>
      </c>
      <c r="AA58" s="878">
        <f t="shared" si="253"/>
        <v>3.5360830257315623E-2</v>
      </c>
      <c r="AB58" s="264">
        <f t="shared" si="253"/>
        <v>2.3354345354965389E-2</v>
      </c>
      <c r="AC58" s="264">
        <f t="shared" si="253"/>
        <v>2.3174795516510249E-2</v>
      </c>
      <c r="AD58" s="264">
        <f t="shared" si="253"/>
        <v>3.3506044905008636E-2</v>
      </c>
      <c r="AE58" s="1137">
        <f t="shared" si="253"/>
        <v>2.4675324675324628E-2</v>
      </c>
      <c r="AF58" s="1160">
        <f t="shared" si="253"/>
        <v>1.849884440468208E-2</v>
      </c>
      <c r="AG58" s="1160">
        <f t="shared" si="253"/>
        <v>1.5120460430601446E-2</v>
      </c>
      <c r="AH58" s="1160">
        <f t="shared" si="253"/>
        <v>2.2556933158466297E-2</v>
      </c>
      <c r="AI58" s="1137">
        <f t="shared" si="253"/>
        <v>2.5955537533937534E-2</v>
      </c>
      <c r="AQ58" s="1159"/>
      <c r="AR58" s="1159"/>
      <c r="AS58" s="1159"/>
    </row>
    <row r="59" spans="2:45" s="257" customFormat="1" x14ac:dyDescent="0.2">
      <c r="B59" s="257" t="s">
        <v>135</v>
      </c>
      <c r="D59" s="263"/>
      <c r="E59" s="263"/>
      <c r="F59" s="263"/>
      <c r="G59" s="882"/>
      <c r="H59" s="263"/>
      <c r="I59" s="263"/>
      <c r="J59" s="265">
        <f t="shared" ref="J59:AI59" si="254">+J41/I41-1</f>
        <v>2.5452394119841015E-2</v>
      </c>
      <c r="K59" s="880">
        <f t="shared" si="254"/>
        <v>2.029298148798464E-2</v>
      </c>
      <c r="L59" s="265">
        <f t="shared" si="254"/>
        <v>1.5021511985248814E-2</v>
      </c>
      <c r="M59" s="265">
        <f t="shared" si="254"/>
        <v>1.5453180254807908E-2</v>
      </c>
      <c r="N59" s="265">
        <f t="shared" si="254"/>
        <v>2.4627898101326151E-2</v>
      </c>
      <c r="O59" s="880">
        <f t="shared" si="254"/>
        <v>2.0369443506803364E-2</v>
      </c>
      <c r="P59" s="265">
        <f t="shared" si="254"/>
        <v>8.6695641262561907E-3</v>
      </c>
      <c r="Q59" s="265">
        <f t="shared" si="254"/>
        <v>4.1165760039809651E-3</v>
      </c>
      <c r="R59" s="265">
        <f t="shared" si="254"/>
        <v>1.8324754750132399E-2</v>
      </c>
      <c r="S59" s="880">
        <f t="shared" si="254"/>
        <v>2.0107505474815879E-2</v>
      </c>
      <c r="T59" s="265">
        <f t="shared" si="254"/>
        <v>1.4018995576372539E-2</v>
      </c>
      <c r="U59" s="265">
        <f t="shared" si="254"/>
        <v>1.6690724405239221E-2</v>
      </c>
      <c r="V59" s="265">
        <f t="shared" si="254"/>
        <v>1.2893591064930598E-2</v>
      </c>
      <c r="W59" s="880">
        <f t="shared" si="254"/>
        <v>1.8066284575130931E-2</v>
      </c>
      <c r="X59" s="265">
        <f t="shared" si="254"/>
        <v>1.2442377513972147E-2</v>
      </c>
      <c r="Y59" s="265">
        <f t="shared" si="254"/>
        <v>1.3478120718833031E-2</v>
      </c>
      <c r="Z59" s="265">
        <f t="shared" si="254"/>
        <v>1.5654507504224258E-2</v>
      </c>
      <c r="AA59" s="880">
        <f t="shared" si="254"/>
        <v>1.8916670744238306E-2</v>
      </c>
      <c r="AB59" s="265">
        <f t="shared" si="254"/>
        <v>1.284119940836348E-2</v>
      </c>
      <c r="AC59" s="265">
        <f t="shared" si="254"/>
        <v>1.7343890759091485E-2</v>
      </c>
      <c r="AD59" s="265">
        <f t="shared" si="254"/>
        <v>6.3187427761828507E-2</v>
      </c>
      <c r="AE59" s="1161">
        <f t="shared" si="254"/>
        <v>1.3434121869270177E-2</v>
      </c>
      <c r="AF59" s="1162">
        <f t="shared" si="254"/>
        <v>1.0999686850078128E-2</v>
      </c>
      <c r="AG59" s="1162">
        <f t="shared" si="254"/>
        <v>1.2826391882091892E-2</v>
      </c>
      <c r="AH59" s="1162">
        <f t="shared" si="254"/>
        <v>1.5550011515568896E-2</v>
      </c>
      <c r="AI59" s="1161">
        <f t="shared" si="254"/>
        <v>1.5718810848219578E-2</v>
      </c>
      <c r="AQ59" s="1159"/>
      <c r="AR59" s="1159"/>
      <c r="AS59" s="1159"/>
    </row>
    <row r="60" spans="2:45" x14ac:dyDescent="0.2">
      <c r="G60" s="595"/>
      <c r="K60" s="595"/>
      <c r="O60" s="595"/>
      <c r="S60" s="595"/>
      <c r="W60" s="595"/>
      <c r="AA60" s="595"/>
      <c r="AE60" s="913"/>
      <c r="AF60" s="370"/>
      <c r="AG60" s="370"/>
      <c r="AH60" s="370"/>
      <c r="AI60" s="913"/>
      <c r="AQ60" s="370"/>
      <c r="AR60" s="370"/>
      <c r="AS60" s="370"/>
    </row>
    <row r="61" spans="2:45" x14ac:dyDescent="0.2">
      <c r="B61" s="3" t="s">
        <v>246</v>
      </c>
      <c r="G61" s="595"/>
      <c r="K61" s="595"/>
      <c r="O61" s="595"/>
      <c r="S61" s="595"/>
      <c r="W61" s="595"/>
      <c r="AA61" s="595"/>
      <c r="AE61" s="913"/>
      <c r="AF61" s="370"/>
      <c r="AG61" s="370"/>
      <c r="AH61" s="370"/>
      <c r="AI61" s="913"/>
      <c r="AQ61" s="370"/>
      <c r="AR61" s="370"/>
      <c r="AS61" s="370"/>
    </row>
    <row r="62" spans="2:45" x14ac:dyDescent="0.2">
      <c r="B62" s="2" t="s">
        <v>255</v>
      </c>
      <c r="D62" s="162">
        <f>Metrics!L15</f>
        <v>656</v>
      </c>
      <c r="E62" s="162">
        <f>Metrics!M15</f>
        <v>710</v>
      </c>
      <c r="F62" s="162">
        <f>Metrics!N15</f>
        <v>754</v>
      </c>
      <c r="G62" s="863">
        <f>Metrics!O15</f>
        <v>1001</v>
      </c>
      <c r="H62" s="162">
        <f>Metrics!P15</f>
        <v>452</v>
      </c>
      <c r="I62" s="162">
        <f>Metrics!Q15</f>
        <v>253</v>
      </c>
      <c r="J62" s="162">
        <f>Metrics!R15</f>
        <v>689</v>
      </c>
      <c r="K62" s="863">
        <f>Metrics!S15</f>
        <v>824</v>
      </c>
      <c r="L62" s="162">
        <f>Metrics!T15</f>
        <v>773</v>
      </c>
      <c r="M62" s="162">
        <f>Metrics!U15</f>
        <v>627</v>
      </c>
      <c r="N62" s="162">
        <f>Metrics!V15</f>
        <v>673</v>
      </c>
      <c r="O62" s="863">
        <f>Metrics!W15</f>
        <v>844</v>
      </c>
      <c r="P62" s="162">
        <f>Metrics!X15</f>
        <v>589</v>
      </c>
      <c r="Q62" s="162">
        <f>Metrics!Y15</f>
        <v>723</v>
      </c>
      <c r="R62" s="162">
        <f>Metrics!Z15</f>
        <v>854</v>
      </c>
      <c r="S62" s="863">
        <f>Metrics!AA15</f>
        <v>927</v>
      </c>
      <c r="T62" s="162">
        <f>Metrics!AB15</f>
        <v>538</v>
      </c>
      <c r="U62" s="162">
        <f>Metrics!AC15</f>
        <v>760</v>
      </c>
      <c r="V62" s="162">
        <f>Metrics!AD15</f>
        <v>850</v>
      </c>
      <c r="W62" s="863">
        <f>Metrics!AE15</f>
        <v>934</v>
      </c>
      <c r="X62" s="162">
        <f>Metrics!AF15</f>
        <v>532</v>
      </c>
      <c r="Y62" s="162">
        <f>Metrics!AG15</f>
        <v>777</v>
      </c>
      <c r="Z62" s="162">
        <f>Metrics!AH15</f>
        <v>865</v>
      </c>
      <c r="AA62" s="863">
        <f>Metrics!AI15</f>
        <v>903</v>
      </c>
      <c r="AB62" s="162">
        <f>Metrics!AJ15</f>
        <v>495</v>
      </c>
      <c r="AC62" s="162">
        <f>Metrics!AK15</f>
        <v>830</v>
      </c>
      <c r="AD62" s="162">
        <f>Metrics!AL15</f>
        <v>1007</v>
      </c>
      <c r="AE62" s="1167">
        <f>AVERAGE(AA62/Z62)*AD62 * 0.95</f>
        <v>998.67624277456662</v>
      </c>
      <c r="AF62" s="1168">
        <f>+AVERAGE(AB62,X62)*0.98</f>
        <v>503.23</v>
      </c>
      <c r="AG62" s="1168">
        <f t="shared" ref="AG62:AI62" si="255">+AVERAGE(AC62,Y62)*0.98</f>
        <v>787.43</v>
      </c>
      <c r="AH62" s="1168">
        <f t="shared" si="255"/>
        <v>917.28</v>
      </c>
      <c r="AI62" s="1167">
        <f t="shared" si="255"/>
        <v>931.82135895953763</v>
      </c>
      <c r="AK62" s="163">
        <f t="shared" ref="AK62:AR62" si="256">SUMIFS($D62:$AI62,$D$3:$AI$3, AK$3)</f>
        <v>3121</v>
      </c>
      <c r="AL62" s="163">
        <f t="shared" si="256"/>
        <v>2218</v>
      </c>
      <c r="AM62" s="163">
        <f t="shared" si="256"/>
        <v>2917</v>
      </c>
      <c r="AN62" s="163">
        <f t="shared" si="256"/>
        <v>3093</v>
      </c>
      <c r="AO62" s="163">
        <f t="shared" si="256"/>
        <v>3082</v>
      </c>
      <c r="AP62" s="163">
        <f t="shared" si="256"/>
        <v>3077</v>
      </c>
      <c r="AQ62" s="554">
        <f t="shared" si="256"/>
        <v>3330.6762427745666</v>
      </c>
      <c r="AR62" s="554">
        <f t="shared" si="256"/>
        <v>3139.7613589595371</v>
      </c>
      <c r="AS62" s="382">
        <f>+(1+AS63)*AR62</f>
        <v>3045.5685181907511</v>
      </c>
    </row>
    <row r="63" spans="2:45" s="244" customFormat="1" x14ac:dyDescent="0.2">
      <c r="B63" s="243" t="s">
        <v>266</v>
      </c>
      <c r="D63" s="245"/>
      <c r="E63" s="245"/>
      <c r="F63" s="245"/>
      <c r="G63" s="896"/>
      <c r="H63" s="245"/>
      <c r="I63" s="245"/>
      <c r="J63" s="245"/>
      <c r="K63" s="896"/>
      <c r="L63" s="304"/>
      <c r="M63" s="304"/>
      <c r="N63" s="304">
        <f t="shared" ref="N63" si="257">+N62/J62-1</f>
        <v>-2.3222060957910018E-2</v>
      </c>
      <c r="O63" s="1038">
        <f t="shared" ref="O63" si="258">+O62/K62-1</f>
        <v>2.4271844660194164E-2</v>
      </c>
      <c r="P63" s="304">
        <f t="shared" ref="P63" si="259">+P62/L62-1</f>
        <v>-0.23803363518758081</v>
      </c>
      <c r="Q63" s="304">
        <f t="shared" ref="Q63" si="260">+Q62/M62-1</f>
        <v>0.15311004784688986</v>
      </c>
      <c r="R63" s="304">
        <f t="shared" ref="R63" si="261">+R62/N62-1</f>
        <v>0.26894502228826145</v>
      </c>
      <c r="S63" s="1038">
        <f t="shared" ref="S63" si="262">+S62/O62-1</f>
        <v>9.834123222748814E-2</v>
      </c>
      <c r="T63" s="304">
        <f t="shared" ref="T63" si="263">+T62/P62-1</f>
        <v>-8.6587436332767442E-2</v>
      </c>
      <c r="U63" s="304">
        <f t="shared" ref="U63" si="264">+U62/Q62-1</f>
        <v>5.1175656984785656E-2</v>
      </c>
      <c r="V63" s="246">
        <f t="shared" ref="V63" si="265">+V62/R62-1</f>
        <v>-4.6838407494145251E-3</v>
      </c>
      <c r="W63" s="878">
        <f t="shared" ref="W63" si="266">+W62/S62-1</f>
        <v>7.5512405609492461E-3</v>
      </c>
      <c r="X63" s="246">
        <f t="shared" ref="X63" si="267">+X62/T62-1</f>
        <v>-1.1152416356877359E-2</v>
      </c>
      <c r="Y63" s="246">
        <f t="shared" ref="Y63:AD63" si="268">+Y62/U62-1</f>
        <v>2.2368421052631593E-2</v>
      </c>
      <c r="Z63" s="246">
        <f t="shared" si="268"/>
        <v>1.7647058823529349E-2</v>
      </c>
      <c r="AA63" s="878">
        <f t="shared" si="268"/>
        <v>-3.3190578158458273E-2</v>
      </c>
      <c r="AB63" s="246">
        <f t="shared" si="268"/>
        <v>-6.9548872180451138E-2</v>
      </c>
      <c r="AC63" s="246">
        <f t="shared" si="268"/>
        <v>6.8211068211068149E-2</v>
      </c>
      <c r="AD63" s="246">
        <f t="shared" si="268"/>
        <v>0.16416184971098269</v>
      </c>
      <c r="AE63" s="1137">
        <f t="shared" ref="AE63" si="269">+AE62/AA62-1</f>
        <v>0.10595375722543365</v>
      </c>
      <c r="AF63" s="552">
        <f t="shared" ref="AF63" si="270">+AF62/AB62-1</f>
        <v>1.6626262626262767E-2</v>
      </c>
      <c r="AG63" s="552">
        <f t="shared" ref="AG63" si="271">+AG62/AC62-1</f>
        <v>-5.1289156626506127E-2</v>
      </c>
      <c r="AH63" s="552">
        <f t="shared" ref="AH63" si="272">+AH62/AD62-1</f>
        <v>-8.909632571996029E-2</v>
      </c>
      <c r="AI63" s="1137">
        <f t="shared" ref="AI63" si="273">+AI62/AE62-1</f>
        <v>-6.6943500757853047E-2</v>
      </c>
      <c r="AK63" s="246"/>
      <c r="AL63" s="246">
        <f t="shared" ref="AL63:AR63" si="274">+AL62/AK62-1</f>
        <v>-0.28933034283883374</v>
      </c>
      <c r="AM63" s="246">
        <f t="shared" si="274"/>
        <v>0.31514878268710556</v>
      </c>
      <c r="AN63" s="246">
        <f t="shared" si="274"/>
        <v>6.0335961604388144E-2</v>
      </c>
      <c r="AO63" s="246">
        <f t="shared" si="274"/>
        <v>-3.55641771742643E-3</v>
      </c>
      <c r="AP63" s="246">
        <f t="shared" si="274"/>
        <v>-1.6223231667747973E-3</v>
      </c>
      <c r="AQ63" s="552">
        <f t="shared" si="274"/>
        <v>8.2442717833788315E-2</v>
      </c>
      <c r="AR63" s="552">
        <f t="shared" si="274"/>
        <v>-5.7320156598586358E-2</v>
      </c>
      <c r="AS63" s="1172">
        <v>-0.03</v>
      </c>
    </row>
    <row r="64" spans="2:45" x14ac:dyDescent="0.2">
      <c r="B64" s="237" t="s">
        <v>247</v>
      </c>
      <c r="E64" s="5">
        <f t="shared" ref="E64:AD64" si="275">+E36-D36</f>
        <v>710</v>
      </c>
      <c r="F64" s="5">
        <f t="shared" si="275"/>
        <v>754</v>
      </c>
      <c r="G64" s="871">
        <f t="shared" si="275"/>
        <v>1001</v>
      </c>
      <c r="H64" s="5">
        <f t="shared" si="275"/>
        <v>24507</v>
      </c>
      <c r="I64" s="5">
        <f t="shared" si="275"/>
        <v>253</v>
      </c>
      <c r="J64" s="5">
        <f t="shared" si="275"/>
        <v>689</v>
      </c>
      <c r="K64" s="871">
        <f t="shared" si="275"/>
        <v>824</v>
      </c>
      <c r="L64" s="5">
        <f t="shared" si="275"/>
        <v>784</v>
      </c>
      <c r="M64" s="5">
        <f t="shared" si="275"/>
        <v>627</v>
      </c>
      <c r="N64" s="5">
        <f t="shared" si="275"/>
        <v>1389</v>
      </c>
      <c r="O64" s="871">
        <f t="shared" si="275"/>
        <v>844</v>
      </c>
      <c r="P64" s="5">
        <f t="shared" si="275"/>
        <v>394</v>
      </c>
      <c r="Q64" s="5">
        <f t="shared" si="275"/>
        <v>397</v>
      </c>
      <c r="R64" s="5">
        <f t="shared" si="275"/>
        <v>854</v>
      </c>
      <c r="S64" s="871">
        <f t="shared" si="275"/>
        <v>927</v>
      </c>
      <c r="T64" s="5">
        <f t="shared" si="275"/>
        <v>538</v>
      </c>
      <c r="U64" s="5">
        <f t="shared" si="275"/>
        <v>760</v>
      </c>
      <c r="V64" s="5">
        <f t="shared" si="275"/>
        <v>850</v>
      </c>
      <c r="W64" s="871">
        <f t="shared" si="275"/>
        <v>954</v>
      </c>
      <c r="X64" s="5">
        <f t="shared" si="275"/>
        <v>532</v>
      </c>
      <c r="Y64" s="5">
        <f t="shared" si="275"/>
        <v>777</v>
      </c>
      <c r="Z64" s="5">
        <f t="shared" si="275"/>
        <v>865</v>
      </c>
      <c r="AA64" s="871">
        <f t="shared" si="275"/>
        <v>903</v>
      </c>
      <c r="AB64" s="5">
        <f t="shared" si="275"/>
        <v>495</v>
      </c>
      <c r="AC64" s="5">
        <f t="shared" si="275"/>
        <v>830</v>
      </c>
      <c r="AD64" s="5">
        <f t="shared" si="275"/>
        <v>4294</v>
      </c>
      <c r="AE64" s="913"/>
      <c r="AF64" s="370"/>
      <c r="AG64" s="370"/>
      <c r="AH64" s="370"/>
      <c r="AI64" s="913"/>
      <c r="AQ64" s="370"/>
      <c r="AR64" s="370"/>
      <c r="AS64" s="370"/>
    </row>
    <row r="65" spans="2:45" x14ac:dyDescent="0.2">
      <c r="B65" s="237" t="s">
        <v>256</v>
      </c>
      <c r="D65" s="162"/>
      <c r="E65" s="162"/>
      <c r="F65" s="162"/>
      <c r="G65" s="863"/>
      <c r="H65" s="162"/>
      <c r="I65" s="162"/>
      <c r="J65" s="162"/>
      <c r="K65" s="863"/>
      <c r="L65" s="162"/>
      <c r="M65" s="162"/>
      <c r="N65" s="162"/>
      <c r="O65" s="863"/>
      <c r="P65" s="162"/>
      <c r="Q65" s="163">
        <f>+Q62-Q64</f>
        <v>326</v>
      </c>
      <c r="R65" s="163">
        <f t="shared" ref="R65:Y65" si="276">+R62-R64</f>
        <v>0</v>
      </c>
      <c r="S65" s="865">
        <f t="shared" si="276"/>
        <v>0</v>
      </c>
      <c r="T65" s="163">
        <f t="shared" si="276"/>
        <v>0</v>
      </c>
      <c r="U65" s="163">
        <f t="shared" si="276"/>
        <v>0</v>
      </c>
      <c r="V65" s="163">
        <f t="shared" si="276"/>
        <v>0</v>
      </c>
      <c r="W65" s="865">
        <f t="shared" si="276"/>
        <v>-20</v>
      </c>
      <c r="X65" s="163">
        <f t="shared" si="276"/>
        <v>0</v>
      </c>
      <c r="Y65" s="163">
        <f t="shared" si="276"/>
        <v>0</v>
      </c>
      <c r="Z65" s="163">
        <f t="shared" ref="Z65:AA65" si="277">+Z62-Z64</f>
        <v>0</v>
      </c>
      <c r="AA65" s="865">
        <f t="shared" si="277"/>
        <v>0</v>
      </c>
      <c r="AB65" s="163">
        <f t="shared" ref="AB65:AC65" si="278">+AB62-AB64</f>
        <v>0</v>
      </c>
      <c r="AC65" s="163">
        <f t="shared" si="278"/>
        <v>0</v>
      </c>
      <c r="AD65" s="163">
        <f t="shared" ref="AD65" si="279">+AD62-AD64</f>
        <v>-3287</v>
      </c>
      <c r="AE65" s="913"/>
      <c r="AF65" s="370"/>
      <c r="AG65" s="370"/>
      <c r="AH65" s="370"/>
      <c r="AI65" s="913"/>
      <c r="AQ65" s="370"/>
      <c r="AR65" s="370"/>
      <c r="AS65" s="370"/>
    </row>
    <row r="66" spans="2:45" s="257" customFormat="1" x14ac:dyDescent="0.2">
      <c r="B66" s="256" t="s">
        <v>144</v>
      </c>
      <c r="D66" s="260">
        <f>+Metrics!L24</f>
        <v>8.8000000000000005E-3</v>
      </c>
      <c r="E66" s="260">
        <f>+Metrics!M24</f>
        <v>7.7999999999999996E-3</v>
      </c>
      <c r="F66" s="260">
        <f>+Metrics!N24</f>
        <v>8.8999999999999999E-3</v>
      </c>
      <c r="G66" s="893">
        <f>+Metrics!O24</f>
        <v>1.01E-2</v>
      </c>
      <c r="H66" s="260">
        <f>+Metrics!P24</f>
        <v>8.6E-3</v>
      </c>
      <c r="I66" s="260">
        <f>+Metrics!Q24</f>
        <v>8.0000000000000002E-3</v>
      </c>
      <c r="J66" s="260">
        <f>+Metrics!R24</f>
        <v>8.9999999999999993E-3</v>
      </c>
      <c r="K66" s="893">
        <f>+Metrics!S24</f>
        <v>1.03E-2</v>
      </c>
      <c r="L66" s="260">
        <f>+Metrics!T24</f>
        <v>9.7999999999999997E-3</v>
      </c>
      <c r="M66" s="260">
        <f>+Metrics!U24</f>
        <v>8.6999999999999994E-3</v>
      </c>
      <c r="N66" s="260">
        <f>+Metrics!V24</f>
        <v>9.5999999999999992E-3</v>
      </c>
      <c r="O66" s="893">
        <f>+Metrics!W24</f>
        <v>1.0999999999999999E-2</v>
      </c>
      <c r="P66" s="260">
        <f>+Metrics!X24</f>
        <v>9.300000000000001E-3</v>
      </c>
      <c r="Q66" s="260">
        <f>+Metrics!Y24</f>
        <v>8.0000000000000002E-3</v>
      </c>
      <c r="R66" s="260">
        <f>+Metrics!Z24</f>
        <v>8.8000000000000005E-3</v>
      </c>
      <c r="S66" s="893">
        <f>+Metrics!AA24</f>
        <v>9.1999999999999998E-3</v>
      </c>
      <c r="T66" s="260">
        <f>+Metrics!AB24</f>
        <v>8.8999999999999999E-3</v>
      </c>
      <c r="U66" s="260">
        <f>+Metrics!AC24</f>
        <v>7.7000000000000002E-3</v>
      </c>
      <c r="V66" s="260">
        <f>+Metrics!AD24</f>
        <v>8.6999999999999994E-3</v>
      </c>
      <c r="W66" s="893">
        <f>+Metrics!AE24</f>
        <v>9.5999999999999992E-3</v>
      </c>
      <c r="X66" s="260">
        <f>+Metrics!AF24</f>
        <v>8.6E-3</v>
      </c>
      <c r="Y66" s="260">
        <f>+Metrics!AG24</f>
        <v>8.0000000000000002E-3</v>
      </c>
      <c r="Z66" s="260">
        <f>+Metrics!AH24</f>
        <v>8.6E-3</v>
      </c>
      <c r="AA66" s="893">
        <f>+Metrics!AI24</f>
        <v>9.1999999999999998E-3</v>
      </c>
      <c r="AB66" s="260">
        <f>+Metrics!AJ24</f>
        <v>9.1000000000000004E-3</v>
      </c>
      <c r="AC66" s="260">
        <f>+Metrics!AK24</f>
        <v>9.0000000000000011E-3</v>
      </c>
      <c r="AD66" s="260">
        <f>+Metrics!AL24</f>
        <v>8.8999999999999999E-3</v>
      </c>
      <c r="AE66" s="1158"/>
      <c r="AF66" s="1159"/>
      <c r="AG66" s="1159"/>
      <c r="AH66" s="1159"/>
      <c r="AI66" s="1158"/>
      <c r="AK66" s="260">
        <f>+Metrics!E24</f>
        <v>8.8999999999999999E-3</v>
      </c>
      <c r="AL66" s="260">
        <f>+Metrics!F24</f>
        <v>8.9999999999999993E-3</v>
      </c>
      <c r="AM66" s="260">
        <f>+Metrics!G24</f>
        <v>9.7999999999999997E-3</v>
      </c>
      <c r="AN66" s="260">
        <f>+Metrics!H24</f>
        <v>8.8000000000000005E-3</v>
      </c>
      <c r="AO66" s="260">
        <f>+Metrics!I24</f>
        <v>8.6999999999999994E-3</v>
      </c>
      <c r="AP66" s="260">
        <f>+Metrics!J24</f>
        <v>8.6E-3</v>
      </c>
      <c r="AQ66" s="1296"/>
      <c r="AR66" s="1159"/>
      <c r="AS66" s="1159"/>
    </row>
    <row r="67" spans="2:45" s="244" customFormat="1" x14ac:dyDescent="0.2">
      <c r="B67" s="255" t="s">
        <v>788</v>
      </c>
      <c r="D67" s="163">
        <f t="shared" ref="D67:AD67" si="280">D66*D120*3</f>
        <v>990.02387670935548</v>
      </c>
      <c r="E67" s="163">
        <f t="shared" si="280"/>
        <v>894.54663774403457</v>
      </c>
      <c r="F67" s="163">
        <f t="shared" si="280"/>
        <v>1039.8096062310688</v>
      </c>
      <c r="G67" s="865">
        <f t="shared" si="280"/>
        <v>1204.1035160515398</v>
      </c>
      <c r="H67" s="163">
        <f t="shared" si="280"/>
        <v>1047.2096069868996</v>
      </c>
      <c r="I67" s="163">
        <f t="shared" si="280"/>
        <v>1557.1577411960825</v>
      </c>
      <c r="J67" s="163">
        <f t="shared" si="280"/>
        <v>1767.0030895983525</v>
      </c>
      <c r="K67" s="865">
        <f t="shared" si="280"/>
        <v>2042.1374843292942</v>
      </c>
      <c r="L67" s="163">
        <f t="shared" si="280"/>
        <v>1964.7653276955602</v>
      </c>
      <c r="M67" s="163">
        <f t="shared" si="280"/>
        <v>1766.4965343415251</v>
      </c>
      <c r="N67" s="163">
        <f t="shared" si="280"/>
        <v>1987.9151061173532</v>
      </c>
      <c r="O67" s="865">
        <f t="shared" si="280"/>
        <v>2302.1444930251919</v>
      </c>
      <c r="P67" s="163">
        <f t="shared" si="280"/>
        <v>1965.8060999999998</v>
      </c>
      <c r="Q67" s="163">
        <f t="shared" si="280"/>
        <v>1700.5079999999998</v>
      </c>
      <c r="R67" s="163">
        <f t="shared" si="280"/>
        <v>1887.0720000000001</v>
      </c>
      <c r="S67" s="865">
        <f t="shared" si="280"/>
        <v>1997.4258</v>
      </c>
      <c r="T67" s="163">
        <f t="shared" si="280"/>
        <v>1951.8501000000006</v>
      </c>
      <c r="U67" s="163">
        <f t="shared" si="280"/>
        <v>1703.6712</v>
      </c>
      <c r="V67" s="163">
        <f t="shared" si="280"/>
        <v>1945.9376999999999</v>
      </c>
      <c r="W67" s="865">
        <f t="shared" si="280"/>
        <v>2173.2191999999995</v>
      </c>
      <c r="X67" s="163">
        <f t="shared" si="280"/>
        <v>1966.0116000000005</v>
      </c>
      <c r="Y67" s="163">
        <f t="shared" si="280"/>
        <v>1844.556</v>
      </c>
      <c r="Z67" s="163">
        <f t="shared" si="280"/>
        <v>2004.0795000000005</v>
      </c>
      <c r="AA67" s="865">
        <f t="shared" si="280"/>
        <v>2168.2974000000004</v>
      </c>
      <c r="AB67" s="163">
        <f t="shared" si="280"/>
        <v>2162.2174969623329</v>
      </c>
      <c r="AC67" s="163">
        <f t="shared" si="280"/>
        <v>2154.7016989332283</v>
      </c>
      <c r="AD67" s="163">
        <f t="shared" si="280"/>
        <v>2219.2959968448035</v>
      </c>
      <c r="AE67" s="1170"/>
      <c r="AF67" s="1169"/>
      <c r="AG67" s="1169"/>
      <c r="AH67" s="1169"/>
      <c r="AI67" s="1170"/>
      <c r="AK67" s="306"/>
      <c r="AL67" s="163">
        <f>+AL66*AL115*12</f>
        <v>2479.5416603429958</v>
      </c>
      <c r="AM67" s="163">
        <f>+AM66*AM115*12</f>
        <v>3112.0465567410279</v>
      </c>
      <c r="AN67" s="163">
        <f>+AN66*AN115*12</f>
        <v>2940.3128865604303</v>
      </c>
      <c r="AO67" s="163">
        <f>+AO66*AO115*12</f>
        <v>3041.7203992245277</v>
      </c>
      <c r="AP67" s="163">
        <f>+AP66*AP115*12</f>
        <v>3129.1206117483498</v>
      </c>
      <c r="AQ67" s="1169"/>
      <c r="AR67" s="1169"/>
      <c r="AS67" s="1169"/>
    </row>
    <row r="68" spans="2:45" s="244" customFormat="1" x14ac:dyDescent="0.2">
      <c r="B68" s="243" t="s">
        <v>266</v>
      </c>
      <c r="D68" s="245"/>
      <c r="E68" s="245"/>
      <c r="F68" s="245"/>
      <c r="G68" s="896"/>
      <c r="H68" s="245"/>
      <c r="I68" s="245"/>
      <c r="J68" s="245"/>
      <c r="K68" s="896"/>
      <c r="L68" s="245"/>
      <c r="M68" s="246">
        <f t="shared" ref="M68" si="281">+M67/I67-1</f>
        <v>0.13443647204595055</v>
      </c>
      <c r="N68" s="246">
        <f t="shared" ref="N68" si="282">+N67/J67-1</f>
        <v>0.12502073019533588</v>
      </c>
      <c r="O68" s="878">
        <f t="shared" ref="O68" si="283">+O67/K67-1</f>
        <v>0.1273210107992766</v>
      </c>
      <c r="P68" s="246">
        <f t="shared" ref="P68" si="284">+P67/L67-1</f>
        <v>5.2971837896809149E-4</v>
      </c>
      <c r="Q68" s="246">
        <f t="shared" ref="Q68" si="285">+Q67/M67-1</f>
        <v>-3.735559796392296E-2</v>
      </c>
      <c r="R68" s="246">
        <f t="shared" ref="R68" si="286">+R67/N67-1</f>
        <v>-5.0728074758842334E-2</v>
      </c>
      <c r="S68" s="878">
        <f t="shared" ref="S68" si="287">+S67/O67-1</f>
        <v>-0.13236297458669444</v>
      </c>
      <c r="T68" s="246">
        <f t="shared" ref="T68" si="288">+T67/P67-1</f>
        <v>-7.0993777056644891E-3</v>
      </c>
      <c r="U68" s="246">
        <f t="shared" ref="U68" si="289">+U67/Q67-1</f>
        <v>1.8601500257571235E-3</v>
      </c>
      <c r="V68" s="246">
        <f t="shared" ref="V68" si="290">+V67/R67-1</f>
        <v>3.1194199267436495E-2</v>
      </c>
      <c r="W68" s="878">
        <f t="shared" ref="W68" si="291">+W67/S67-1</f>
        <v>8.8009977642223181E-2</v>
      </c>
      <c r="X68" s="246">
        <f t="shared" ref="X68" si="292">+X67/T67-1</f>
        <v>7.2554239692894651E-3</v>
      </c>
      <c r="Y68" s="246">
        <f t="shared" ref="Y68:AD68" si="293">+Y67/U67-1</f>
        <v>8.2694829847449469E-2</v>
      </c>
      <c r="Z68" s="246">
        <f t="shared" si="293"/>
        <v>2.9878551610362791E-2</v>
      </c>
      <c r="AA68" s="878">
        <f t="shared" si="293"/>
        <v>-2.2647508359944224E-3</v>
      </c>
      <c r="AB68" s="246">
        <f t="shared" si="293"/>
        <v>9.9798951828327098E-2</v>
      </c>
      <c r="AC68" s="246">
        <f t="shared" si="293"/>
        <v>0.16814111305551482</v>
      </c>
      <c r="AD68" s="246">
        <f t="shared" si="293"/>
        <v>0.10738920129905183</v>
      </c>
      <c r="AE68" s="1137"/>
      <c r="AF68" s="552"/>
      <c r="AG68" s="552"/>
      <c r="AH68" s="552"/>
      <c r="AI68" s="1137"/>
      <c r="AK68" s="246"/>
      <c r="AL68" s="246"/>
      <c r="AM68" s="246">
        <f t="shared" ref="AM68" si="294">+AM67/AL67-1</f>
        <v>0.25508944113104248</v>
      </c>
      <c r="AN68" s="246">
        <f t="shared" ref="AN68" si="295">+AN67/AM67-1</f>
        <v>-5.5183515750625189E-2</v>
      </c>
      <c r="AO68" s="246">
        <f t="shared" ref="AO68:AP68" si="296">+AO67/AN67-1</f>
        <v>3.448868082291856E-2</v>
      </c>
      <c r="AP68" s="246">
        <f t="shared" si="296"/>
        <v>2.8733808849131792E-2</v>
      </c>
      <c r="AQ68" s="552"/>
      <c r="AR68" s="552"/>
      <c r="AS68" s="1172"/>
    </row>
    <row r="69" spans="2:45" s="244" customFormat="1" x14ac:dyDescent="0.2">
      <c r="B69" s="255" t="s">
        <v>790</v>
      </c>
      <c r="D69" s="163"/>
      <c r="E69" s="163"/>
      <c r="F69" s="163"/>
      <c r="G69" s="865"/>
      <c r="H69" s="163"/>
      <c r="I69" s="163">
        <f t="shared" ref="I69:Y69" si="297">+I62+I67</f>
        <v>1810.1577411960825</v>
      </c>
      <c r="J69" s="163">
        <f t="shared" si="297"/>
        <v>2456.0030895983527</v>
      </c>
      <c r="K69" s="865">
        <f t="shared" si="297"/>
        <v>2866.1374843292942</v>
      </c>
      <c r="L69" s="163">
        <f t="shared" si="297"/>
        <v>2737.7653276955602</v>
      </c>
      <c r="M69" s="163">
        <f t="shared" si="297"/>
        <v>2393.4965343415251</v>
      </c>
      <c r="N69" s="163">
        <f t="shared" si="297"/>
        <v>2660.9151061173534</v>
      </c>
      <c r="O69" s="865">
        <f t="shared" si="297"/>
        <v>3146.1444930251919</v>
      </c>
      <c r="P69" s="163">
        <f t="shared" si="297"/>
        <v>2554.8060999999998</v>
      </c>
      <c r="Q69" s="163">
        <f t="shared" si="297"/>
        <v>2423.5079999999998</v>
      </c>
      <c r="R69" s="163">
        <f t="shared" si="297"/>
        <v>2741.0720000000001</v>
      </c>
      <c r="S69" s="865">
        <f t="shared" si="297"/>
        <v>2924.4258</v>
      </c>
      <c r="T69" s="163">
        <f t="shared" si="297"/>
        <v>2489.8501000000006</v>
      </c>
      <c r="U69" s="163">
        <f t="shared" si="297"/>
        <v>2463.6711999999998</v>
      </c>
      <c r="V69" s="163">
        <f t="shared" si="297"/>
        <v>2795.9376999999999</v>
      </c>
      <c r="W69" s="865">
        <f t="shared" si="297"/>
        <v>3107.2191999999995</v>
      </c>
      <c r="X69" s="163">
        <f t="shared" si="297"/>
        <v>2498.0116000000007</v>
      </c>
      <c r="Y69" s="163">
        <f t="shared" si="297"/>
        <v>2621.556</v>
      </c>
      <c r="Z69" s="163">
        <f t="shared" ref="Z69:AA69" si="298">+Z62+Z67</f>
        <v>2869.0795000000007</v>
      </c>
      <c r="AA69" s="865">
        <f t="shared" si="298"/>
        <v>3071.2974000000004</v>
      </c>
      <c r="AB69" s="163">
        <f t="shared" ref="AB69:AC69" si="299">+AB62+AB67</f>
        <v>2657.2174969623329</v>
      </c>
      <c r="AC69" s="163">
        <f t="shared" si="299"/>
        <v>2984.7016989332283</v>
      </c>
      <c r="AD69" s="163">
        <f t="shared" ref="AD69" si="300">+AD62+AD67</f>
        <v>3226.2959968448035</v>
      </c>
      <c r="AE69" s="1170"/>
      <c r="AF69" s="1169"/>
      <c r="AG69" s="1169"/>
      <c r="AH69" s="1169"/>
      <c r="AI69" s="1170"/>
      <c r="AJ69" s="1302"/>
      <c r="AK69" s="306"/>
      <c r="AL69" s="163">
        <f>+AL67+AL62</f>
        <v>4697.5416603429958</v>
      </c>
      <c r="AM69" s="163">
        <f t="shared" ref="AM69:AO69" si="301">+AM67+AM62</f>
        <v>6029.0465567410283</v>
      </c>
      <c r="AN69" s="163">
        <f t="shared" si="301"/>
        <v>6033.3128865604303</v>
      </c>
      <c r="AO69" s="163">
        <f t="shared" si="301"/>
        <v>6123.7203992245277</v>
      </c>
      <c r="AP69" s="163">
        <f t="shared" ref="AP69" si="302">+AP67+AP62</f>
        <v>6206.1206117483498</v>
      </c>
      <c r="AQ69" s="1169"/>
      <c r="AR69" s="1169"/>
      <c r="AS69" s="1169"/>
    </row>
    <row r="70" spans="2:45" s="244" customFormat="1" x14ac:dyDescent="0.2">
      <c r="B70" s="243" t="s">
        <v>266</v>
      </c>
      <c r="D70" s="245"/>
      <c r="E70" s="245"/>
      <c r="F70" s="245"/>
      <c r="G70" s="896"/>
      <c r="H70" s="245"/>
      <c r="I70" s="245"/>
      <c r="J70" s="245"/>
      <c r="K70" s="896"/>
      <c r="L70" s="245"/>
      <c r="M70" s="246"/>
      <c r="N70" s="246">
        <f t="shared" ref="N70" si="303">+N69/J69-1</f>
        <v>8.3433126524491197E-2</v>
      </c>
      <c r="O70" s="878">
        <f t="shared" ref="O70" si="304">+O69/K69-1</f>
        <v>9.7694897829167626E-2</v>
      </c>
      <c r="P70" s="246">
        <f t="shared" ref="P70" si="305">+P69/L69-1</f>
        <v>-6.6827943887199925E-2</v>
      </c>
      <c r="Q70" s="246">
        <f t="shared" ref="Q70" si="306">+Q69/M69-1</f>
        <v>1.2538754590982082E-2</v>
      </c>
      <c r="R70" s="246">
        <f t="shared" ref="R70" si="307">+R69/N69-1</f>
        <v>3.0123807294103022E-2</v>
      </c>
      <c r="S70" s="878">
        <f t="shared" ref="S70" si="308">+S69/O69-1</f>
        <v>-7.0473143721379805E-2</v>
      </c>
      <c r="T70" s="246">
        <f t="shared" ref="T70" si="309">+T69/P69-1</f>
        <v>-2.5425021491846E-2</v>
      </c>
      <c r="U70" s="246">
        <f t="shared" ref="U70" si="310">+U69/Q69-1</f>
        <v>1.6572340590581991E-2</v>
      </c>
      <c r="V70" s="246">
        <f t="shared" ref="V70" si="311">+V69/R69-1</f>
        <v>2.0016146967317905E-2</v>
      </c>
      <c r="W70" s="878">
        <f t="shared" ref="W70" si="312">+W69/S69-1</f>
        <v>6.2505740443132396E-2</v>
      </c>
      <c r="X70" s="246">
        <f t="shared" ref="X70" si="313">+X69/T69-1</f>
        <v>3.2779081760785367E-3</v>
      </c>
      <c r="Y70" s="246">
        <f t="shared" ref="Y70:AD70" si="314">+Y69/U69-1</f>
        <v>6.4085175002248862E-2</v>
      </c>
      <c r="Z70" s="246">
        <f t="shared" si="314"/>
        <v>2.6160024953346017E-2</v>
      </c>
      <c r="AA70" s="878">
        <f t="shared" si="314"/>
        <v>-1.1560755031379544E-2</v>
      </c>
      <c r="AB70" s="246">
        <f t="shared" si="314"/>
        <v>6.3733049503185812E-2</v>
      </c>
      <c r="AC70" s="246">
        <f t="shared" si="314"/>
        <v>0.13852296076575454</v>
      </c>
      <c r="AD70" s="246">
        <f t="shared" si="314"/>
        <v>0.1245056112404006</v>
      </c>
      <c r="AE70" s="1137"/>
      <c r="AF70" s="552"/>
      <c r="AG70" s="552"/>
      <c r="AH70" s="552"/>
      <c r="AI70" s="1137"/>
      <c r="AK70" s="246"/>
      <c r="AL70" s="246"/>
      <c r="AM70" s="246">
        <f t="shared" ref="AM70" si="315">+AM69/AL69-1</f>
        <v>0.28344717145112264</v>
      </c>
      <c r="AN70" s="246">
        <f t="shared" ref="AN70" si="316">+AN69/AM69-1</f>
        <v>7.0762927093870331E-4</v>
      </c>
      <c r="AO70" s="246">
        <f t="shared" ref="AO70:AP70" si="317">+AO69/AN69-1</f>
        <v>1.4984721390048472E-2</v>
      </c>
      <c r="AP70" s="246">
        <f t="shared" si="317"/>
        <v>1.3455907055171412E-2</v>
      </c>
      <c r="AQ70" s="552"/>
      <c r="AR70" s="552"/>
      <c r="AS70" s="1172"/>
    </row>
    <row r="71" spans="2:45" s="244" customFormat="1" x14ac:dyDescent="0.2">
      <c r="B71" s="255"/>
      <c r="D71" s="163"/>
      <c r="E71" s="163"/>
      <c r="F71" s="163"/>
      <c r="G71" s="865"/>
      <c r="H71" s="163"/>
      <c r="I71" s="163"/>
      <c r="J71" s="163"/>
      <c r="K71" s="865"/>
      <c r="L71" s="163"/>
      <c r="M71" s="163"/>
      <c r="N71" s="163"/>
      <c r="O71" s="865"/>
      <c r="P71" s="163"/>
      <c r="Q71" s="163"/>
      <c r="R71" s="163"/>
      <c r="S71" s="865"/>
      <c r="T71" s="163"/>
      <c r="U71" s="163"/>
      <c r="V71" s="163"/>
      <c r="W71" s="865"/>
      <c r="X71" s="163"/>
      <c r="Y71" s="163"/>
      <c r="Z71" s="163"/>
      <c r="AA71" s="865"/>
      <c r="AB71" s="163"/>
      <c r="AC71" s="163"/>
      <c r="AD71" s="163"/>
      <c r="AE71" s="1170"/>
      <c r="AF71" s="1169"/>
      <c r="AG71" s="1169"/>
      <c r="AH71" s="1169"/>
      <c r="AI71" s="1170"/>
      <c r="AK71" s="306"/>
      <c r="AL71" s="306"/>
      <c r="AM71" s="162"/>
      <c r="AN71" s="162"/>
      <c r="AO71" s="162"/>
      <c r="AP71" s="162"/>
      <c r="AQ71" s="1297"/>
      <c r="AR71" s="1169"/>
      <c r="AS71" s="1169"/>
    </row>
    <row r="72" spans="2:45" x14ac:dyDescent="0.2">
      <c r="B72" s="2" t="s">
        <v>257</v>
      </c>
      <c r="D72" s="162">
        <f>+Metrics!L16</f>
        <v>363</v>
      </c>
      <c r="E72" s="162">
        <f>+Metrics!M16</f>
        <v>398</v>
      </c>
      <c r="F72" s="162">
        <f>+Metrics!N16</f>
        <v>320</v>
      </c>
      <c r="G72" s="863">
        <f>+Metrics!O16</f>
        <v>313</v>
      </c>
      <c r="H72" s="162">
        <f>+Metrics!P16</f>
        <v>325</v>
      </c>
      <c r="I72" s="162">
        <f>+Metrics!Q16</f>
        <v>859</v>
      </c>
      <c r="J72" s="162">
        <f>+Metrics!R16</f>
        <v>1290</v>
      </c>
      <c r="K72" s="863">
        <f>+Metrics!S16</f>
        <v>794</v>
      </c>
      <c r="L72" s="162">
        <f>+Metrics!T16</f>
        <v>437</v>
      </c>
      <c r="M72" s="162">
        <f>+Metrics!U16</f>
        <v>649</v>
      </c>
      <c r="N72" s="162">
        <f>+Metrics!V16</f>
        <v>586</v>
      </c>
      <c r="O72" s="863">
        <f>+Metrics!W16</f>
        <v>906</v>
      </c>
      <c r="P72" s="162">
        <f>+Metrics!X16</f>
        <v>729</v>
      </c>
      <c r="Q72" s="162">
        <f>+Metrics!Y16</f>
        <v>933</v>
      </c>
      <c r="R72" s="162">
        <f>+Metrics!Z16</f>
        <v>773</v>
      </c>
      <c r="S72" s="863">
        <f>+Metrics!AA16</f>
        <v>891</v>
      </c>
      <c r="T72" s="162">
        <f>+Metrics!AB16</f>
        <v>755</v>
      </c>
      <c r="U72" s="162">
        <f>+Metrics!AC16</f>
        <v>801</v>
      </c>
      <c r="V72" s="162">
        <f>+Metrics!AD16</f>
        <v>376</v>
      </c>
      <c r="W72" s="863">
        <f>+Metrics!AE16</f>
        <v>636</v>
      </c>
      <c r="X72" s="162">
        <f>+Metrics!AF16</f>
        <v>688</v>
      </c>
      <c r="Y72" s="162">
        <f>+Metrics!AG16</f>
        <v>561</v>
      </c>
      <c r="Z72" s="162">
        <f>+Metrics!AH16</f>
        <v>710</v>
      </c>
      <c r="AA72" s="863">
        <f>+Metrics!AI16</f>
        <v>1030</v>
      </c>
      <c r="AB72" s="162">
        <f>+Metrics!AJ16</f>
        <v>842</v>
      </c>
      <c r="AC72" s="162">
        <f>+Metrics!AK16</f>
        <v>902</v>
      </c>
      <c r="AD72" s="162">
        <f>+Metrics!AL16</f>
        <v>1340</v>
      </c>
      <c r="AE72" s="921">
        <f>+AE77+AE87</f>
        <v>863.65999999999985</v>
      </c>
      <c r="AF72" s="379">
        <f>+AF77+AF87</f>
        <v>756.17000000000007</v>
      </c>
      <c r="AG72" s="379">
        <f>+AG77+AG87</f>
        <v>691.6</v>
      </c>
      <c r="AH72" s="379">
        <f>+AH77+AH87</f>
        <v>891.96</v>
      </c>
      <c r="AI72" s="921">
        <f>+AI77+AI87</f>
        <v>916.35559999999987</v>
      </c>
      <c r="AJ72" s="5"/>
      <c r="AK72" s="5">
        <f t="shared" ref="AK72:AP72" si="318">+AK77+AK87</f>
        <v>1031</v>
      </c>
      <c r="AL72" s="5">
        <f t="shared" si="318"/>
        <v>2843</v>
      </c>
      <c r="AM72" s="5">
        <f t="shared" si="318"/>
        <v>2669</v>
      </c>
      <c r="AN72" s="5">
        <f t="shared" si="318"/>
        <v>1997</v>
      </c>
      <c r="AO72" s="5">
        <f t="shared" si="318"/>
        <v>2717</v>
      </c>
      <c r="AP72" s="5">
        <f t="shared" si="318"/>
        <v>2981</v>
      </c>
      <c r="AQ72" s="379">
        <f>+AQ77+AQ87+AQ84</f>
        <v>3866.66</v>
      </c>
      <c r="AR72" s="379">
        <f t="shared" ref="AR72:AS72" si="319">+AR77+AR87+AR84</f>
        <v>3360.8231000000005</v>
      </c>
      <c r="AS72" s="379">
        <f t="shared" si="319"/>
        <v>3346.7169260000001</v>
      </c>
    </row>
    <row r="73" spans="2:45" s="244" customFormat="1" x14ac:dyDescent="0.2">
      <c r="B73" s="243" t="s">
        <v>266</v>
      </c>
      <c r="D73" s="245"/>
      <c r="E73" s="245"/>
      <c r="F73" s="245"/>
      <c r="G73" s="896"/>
      <c r="H73" s="245"/>
      <c r="I73" s="245"/>
      <c r="J73" s="245"/>
      <c r="K73" s="896"/>
      <c r="L73" s="245"/>
      <c r="M73" s="245"/>
      <c r="N73" s="245"/>
      <c r="O73" s="896"/>
      <c r="P73" s="245"/>
      <c r="Q73" s="245"/>
      <c r="R73" s="245"/>
      <c r="S73" s="896"/>
      <c r="T73" s="246"/>
      <c r="U73" s="246">
        <f t="shared" ref="U73" si="320">+U72/Q72-1</f>
        <v>-0.14147909967845662</v>
      </c>
      <c r="V73" s="246">
        <f t="shared" ref="V73" si="321">+V72/R72-1</f>
        <v>-0.51358344113842169</v>
      </c>
      <c r="W73" s="878">
        <f t="shared" ref="W73" si="322">+W72/S72-1</f>
        <v>-0.28619528619528622</v>
      </c>
      <c r="X73" s="246">
        <f t="shared" ref="X73" si="323">+X72/T72-1</f>
        <v>-8.8741721854304623E-2</v>
      </c>
      <c r="Y73" s="246">
        <f t="shared" ref="Y73:AD73" si="324">+Y72/U72-1</f>
        <v>-0.29962546816479396</v>
      </c>
      <c r="Z73" s="246">
        <f t="shared" si="324"/>
        <v>0.88829787234042556</v>
      </c>
      <c r="AA73" s="878">
        <f t="shared" si="324"/>
        <v>0.61949685534591192</v>
      </c>
      <c r="AB73" s="246">
        <f t="shared" si="324"/>
        <v>0.22383720930232553</v>
      </c>
      <c r="AC73" s="246">
        <f t="shared" si="324"/>
        <v>0.60784313725490202</v>
      </c>
      <c r="AD73" s="246">
        <f t="shared" si="324"/>
        <v>0.88732394366197176</v>
      </c>
      <c r="AE73" s="1137">
        <f t="shared" ref="AE73" si="325">+AE72/AA72-1</f>
        <v>-0.16149514563106815</v>
      </c>
      <c r="AF73" s="552">
        <f t="shared" ref="AF73" si="326">+AF72/AB72-1</f>
        <v>-0.10193586698337287</v>
      </c>
      <c r="AG73" s="552">
        <f t="shared" ref="AG73" si="327">+AG72/AC72-1</f>
        <v>-0.23325942350332596</v>
      </c>
      <c r="AH73" s="552">
        <f t="shared" ref="AH73" si="328">+AH72/AD72-1</f>
        <v>-0.33435820895522383</v>
      </c>
      <c r="AI73" s="1137">
        <f t="shared" ref="AI73" si="329">+AI72/AE72-1</f>
        <v>6.1014288030011743E-2</v>
      </c>
      <c r="AK73" s="246"/>
      <c r="AL73" s="246">
        <f t="shared" ref="AL73" si="330">+AL72/AK72-1</f>
        <v>1.7575169738118332</v>
      </c>
      <c r="AM73" s="246">
        <f t="shared" ref="AM73" si="331">+AM72/AL72-1</f>
        <v>-6.1202954625395711E-2</v>
      </c>
      <c r="AN73" s="246">
        <f t="shared" ref="AN73" si="332">+AN72/AM72-1</f>
        <v>-0.25177969276882728</v>
      </c>
      <c r="AO73" s="246">
        <f t="shared" ref="AO73:AP73" si="333">+AO72/AN72-1</f>
        <v>0.36054081121682513</v>
      </c>
      <c r="AP73" s="246">
        <f t="shared" si="333"/>
        <v>9.7165991902834037E-2</v>
      </c>
      <c r="AQ73" s="552">
        <f t="shared" ref="AQ73" si="334">+AQ72/AP72-1</f>
        <v>0.29710164374371018</v>
      </c>
      <c r="AR73" s="552">
        <f t="shared" ref="AR73" si="335">+AR72/AQ72-1</f>
        <v>-0.13082011348295408</v>
      </c>
      <c r="AS73" s="552">
        <f t="shared" ref="AS73" si="336">+AS72/AR72-1</f>
        <v>-4.197237873067583E-3</v>
      </c>
    </row>
    <row r="74" spans="2:45" x14ac:dyDescent="0.2">
      <c r="B74" s="237" t="s">
        <v>248</v>
      </c>
      <c r="E74" s="5">
        <f t="shared" ref="E74:AD74" si="337">+E37-D37</f>
        <v>398</v>
      </c>
      <c r="F74" s="5">
        <f t="shared" si="337"/>
        <v>320</v>
      </c>
      <c r="G74" s="871">
        <f t="shared" si="337"/>
        <v>313</v>
      </c>
      <c r="H74" s="5">
        <f t="shared" si="337"/>
        <v>5100</v>
      </c>
      <c r="I74" s="5">
        <f t="shared" si="337"/>
        <v>859</v>
      </c>
      <c r="J74" s="5">
        <f t="shared" si="337"/>
        <v>1290</v>
      </c>
      <c r="K74" s="871">
        <f t="shared" si="337"/>
        <v>794</v>
      </c>
      <c r="L74" s="5">
        <f t="shared" si="337"/>
        <v>438</v>
      </c>
      <c r="M74" s="5">
        <f t="shared" si="337"/>
        <v>649</v>
      </c>
      <c r="N74" s="5">
        <f t="shared" si="337"/>
        <v>676</v>
      </c>
      <c r="O74" s="871">
        <f t="shared" si="337"/>
        <v>906</v>
      </c>
      <c r="P74" s="5">
        <f t="shared" si="337"/>
        <v>366</v>
      </c>
      <c r="Q74" s="5">
        <f t="shared" si="337"/>
        <v>-33</v>
      </c>
      <c r="R74" s="5">
        <f t="shared" si="337"/>
        <v>773</v>
      </c>
      <c r="S74" s="871">
        <f t="shared" si="337"/>
        <v>891</v>
      </c>
      <c r="T74" s="5">
        <f t="shared" si="337"/>
        <v>755</v>
      </c>
      <c r="U74" s="5">
        <f t="shared" si="337"/>
        <v>801</v>
      </c>
      <c r="V74" s="5">
        <f t="shared" si="337"/>
        <v>376</v>
      </c>
      <c r="W74" s="871">
        <f t="shared" si="337"/>
        <v>786</v>
      </c>
      <c r="X74" s="5">
        <f t="shared" si="337"/>
        <v>688</v>
      </c>
      <c r="Y74" s="5">
        <f t="shared" si="337"/>
        <v>561</v>
      </c>
      <c r="Z74" s="5">
        <f t="shared" si="337"/>
        <v>710</v>
      </c>
      <c r="AA74" s="871">
        <f t="shared" si="337"/>
        <v>1030</v>
      </c>
      <c r="AB74" s="5">
        <f t="shared" si="337"/>
        <v>842</v>
      </c>
      <c r="AC74" s="5">
        <f t="shared" si="337"/>
        <v>999</v>
      </c>
      <c r="AD74" s="5">
        <f t="shared" si="337"/>
        <v>2485</v>
      </c>
      <c r="AE74" s="913"/>
      <c r="AF74" s="370"/>
      <c r="AG74" s="370"/>
      <c r="AH74" s="370"/>
      <c r="AI74" s="913"/>
      <c r="AQ74" s="370"/>
      <c r="AR74" s="370"/>
      <c r="AS74" s="370"/>
    </row>
    <row r="75" spans="2:45" x14ac:dyDescent="0.2">
      <c r="B75" s="237" t="s">
        <v>256</v>
      </c>
      <c r="C75" s="163"/>
      <c r="D75" s="163"/>
      <c r="E75" s="163">
        <f t="shared" ref="E75:P75" si="338">+E72-E74</f>
        <v>0</v>
      </c>
      <c r="F75" s="163">
        <f t="shared" si="338"/>
        <v>0</v>
      </c>
      <c r="G75" s="865">
        <f t="shared" si="338"/>
        <v>0</v>
      </c>
      <c r="H75" s="163">
        <f t="shared" si="338"/>
        <v>-4775</v>
      </c>
      <c r="I75" s="163">
        <f t="shared" si="338"/>
        <v>0</v>
      </c>
      <c r="J75" s="163">
        <f t="shared" si="338"/>
        <v>0</v>
      </c>
      <c r="K75" s="865">
        <f t="shared" si="338"/>
        <v>0</v>
      </c>
      <c r="L75" s="163">
        <f t="shared" si="338"/>
        <v>-1</v>
      </c>
      <c r="M75" s="163">
        <f t="shared" si="338"/>
        <v>0</v>
      </c>
      <c r="N75" s="163">
        <f t="shared" si="338"/>
        <v>-90</v>
      </c>
      <c r="O75" s="865">
        <f t="shared" si="338"/>
        <v>0</v>
      </c>
      <c r="P75" s="163">
        <f t="shared" si="338"/>
        <v>363</v>
      </c>
      <c r="Q75" s="163">
        <f>+Q72-Q74</f>
        <v>966</v>
      </c>
      <c r="R75" s="163">
        <f t="shared" ref="R75" si="339">+R72-R74</f>
        <v>0</v>
      </c>
      <c r="S75" s="865">
        <f t="shared" ref="S75" si="340">+S72-S74</f>
        <v>0</v>
      </c>
      <c r="T75" s="163">
        <f t="shared" ref="T75" si="341">+T72-T74</f>
        <v>0</v>
      </c>
      <c r="U75" s="163">
        <f t="shared" ref="U75" si="342">+U72-U74</f>
        <v>0</v>
      </c>
      <c r="V75" s="163">
        <f t="shared" ref="V75" si="343">+V72-V74</f>
        <v>0</v>
      </c>
      <c r="W75" s="865">
        <f t="shared" ref="W75" si="344">+W72-W74</f>
        <v>-150</v>
      </c>
      <c r="X75" s="163">
        <f t="shared" ref="X75" si="345">+X72-X74</f>
        <v>0</v>
      </c>
      <c r="Y75" s="163">
        <f t="shared" ref="Y75:Z75" si="346">+Y72-Y74</f>
        <v>0</v>
      </c>
      <c r="Z75" s="163">
        <f t="shared" si="346"/>
        <v>0</v>
      </c>
      <c r="AA75" s="865">
        <f t="shared" ref="AA75:AB75" si="347">+AA72-AA74</f>
        <v>0</v>
      </c>
      <c r="AB75" s="163">
        <f t="shared" si="347"/>
        <v>0</v>
      </c>
      <c r="AC75" s="163">
        <f t="shared" ref="AC75:AD75" si="348">+AC72-AC74</f>
        <v>-97</v>
      </c>
      <c r="AD75" s="163">
        <f t="shared" si="348"/>
        <v>-1145</v>
      </c>
      <c r="AE75" s="913"/>
      <c r="AF75" s="370"/>
      <c r="AG75" s="370"/>
      <c r="AH75" s="370"/>
      <c r="AI75" s="913"/>
      <c r="AQ75" s="370"/>
      <c r="AR75" s="370"/>
      <c r="AS75" s="370"/>
    </row>
    <row r="76" spans="2:45" x14ac:dyDescent="0.2">
      <c r="B76" s="237"/>
      <c r="G76" s="595"/>
      <c r="K76" s="595"/>
      <c r="O76" s="595"/>
      <c r="Q76" s="163"/>
      <c r="R76" s="163"/>
      <c r="S76" s="865"/>
      <c r="T76" s="163"/>
      <c r="U76" s="163"/>
      <c r="V76" s="163"/>
      <c r="W76" s="865"/>
      <c r="X76" s="163"/>
      <c r="Y76" s="163"/>
      <c r="Z76" s="163"/>
      <c r="AA76" s="865"/>
      <c r="AB76" s="163"/>
      <c r="AC76" s="163"/>
      <c r="AD76" s="163"/>
      <c r="AE76" s="913"/>
      <c r="AF76" s="370"/>
      <c r="AG76" s="370"/>
      <c r="AH76" s="370"/>
      <c r="AI76" s="913"/>
      <c r="AQ76" s="370"/>
      <c r="AR76" s="370"/>
      <c r="AS76" s="370"/>
    </row>
    <row r="77" spans="2:45" x14ac:dyDescent="0.2">
      <c r="B77" s="237" t="s">
        <v>258</v>
      </c>
      <c r="D77" s="162"/>
      <c r="E77" s="162"/>
      <c r="F77" s="162"/>
      <c r="G77" s="863"/>
      <c r="H77" s="162"/>
      <c r="I77" s="162"/>
      <c r="J77" s="162"/>
      <c r="K77" s="863"/>
      <c r="L77" s="162">
        <f>+Metrics!T49</f>
        <v>93</v>
      </c>
      <c r="M77" s="162">
        <f>+Metrics!U49</f>
        <v>95</v>
      </c>
      <c r="N77" s="162">
        <f>+Metrics!V49</f>
        <v>134</v>
      </c>
      <c r="O77" s="863">
        <f>+Metrics!W49</f>
        <v>224</v>
      </c>
      <c r="P77" s="162">
        <f>+Metrics!X49</f>
        <v>329</v>
      </c>
      <c r="Q77" s="162">
        <f>+Metrics!Y49</f>
        <v>497</v>
      </c>
      <c r="R77" s="162">
        <f>+Metrics!Z49</f>
        <v>488</v>
      </c>
      <c r="S77" s="863">
        <f>+Metrics!AA49</f>
        <v>450</v>
      </c>
      <c r="T77" s="162">
        <f>+Metrics!AB49</f>
        <v>445</v>
      </c>
      <c r="U77" s="162">
        <f>+Metrics!AC49</f>
        <v>447</v>
      </c>
      <c r="V77" s="162">
        <f>+Metrics!AD49</f>
        <v>505</v>
      </c>
      <c r="W77" s="863">
        <f>+Metrics!AE49</f>
        <v>481</v>
      </c>
      <c r="X77" s="162">
        <f>+Metrics!AF49</f>
        <v>346</v>
      </c>
      <c r="Y77" s="162">
        <f>+Metrics!AG49</f>
        <v>358</v>
      </c>
      <c r="Z77" s="162">
        <f>+Metrics!AH49</f>
        <v>385</v>
      </c>
      <c r="AA77" s="863">
        <f>+Metrics!AI49</f>
        <v>365</v>
      </c>
      <c r="AB77" s="162">
        <f>+Metrics!AJ49</f>
        <v>387</v>
      </c>
      <c r="AC77" s="162">
        <f>+Metrics!AK49</f>
        <v>427</v>
      </c>
      <c r="AD77" s="162">
        <f>+Metrics!AL49</f>
        <v>466</v>
      </c>
      <c r="AE77" s="1167">
        <f>+AVERAGE(AA77,W77)*0.82</f>
        <v>346.85999999999996</v>
      </c>
      <c r="AF77" s="1168">
        <f>+AVERAGE(AB77,X77)*0.98</f>
        <v>359.17</v>
      </c>
      <c r="AG77" s="1168">
        <f>+AVERAGE(AC77,Y77)*0.92</f>
        <v>361.1</v>
      </c>
      <c r="AH77" s="1168">
        <f>+AVERAGE(AD77,Z77)*0.92</f>
        <v>391.46000000000004</v>
      </c>
      <c r="AI77" s="1167">
        <f t="shared" ref="AI77" si="349">+AVERAGE(AE77,AA77)*0.92</f>
        <v>327.45559999999995</v>
      </c>
      <c r="AK77" s="163">
        <f t="shared" ref="AK77:AR77" si="350">SUMIFS($D77:$AI77,$D$3:$AI$3, AK$3)</f>
        <v>0</v>
      </c>
      <c r="AL77" s="163">
        <f t="shared" si="350"/>
        <v>0</v>
      </c>
      <c r="AM77" s="163">
        <f t="shared" si="350"/>
        <v>546</v>
      </c>
      <c r="AN77" s="163">
        <f t="shared" si="350"/>
        <v>1764</v>
      </c>
      <c r="AO77" s="163">
        <f t="shared" si="350"/>
        <v>1878</v>
      </c>
      <c r="AP77" s="163">
        <f t="shared" si="350"/>
        <v>1454</v>
      </c>
      <c r="AQ77" s="554">
        <f t="shared" si="350"/>
        <v>1626.86</v>
      </c>
      <c r="AR77" s="554">
        <f t="shared" si="350"/>
        <v>1439.1856</v>
      </c>
      <c r="AS77" s="382">
        <f>+(1+AS78)*AR77</f>
        <v>1381.6181759999999</v>
      </c>
    </row>
    <row r="78" spans="2:45" s="244" customFormat="1" x14ac:dyDescent="0.2">
      <c r="B78" s="243" t="s">
        <v>266</v>
      </c>
      <c r="D78" s="245"/>
      <c r="E78" s="245"/>
      <c r="F78" s="245"/>
      <c r="G78" s="896"/>
      <c r="H78" s="245"/>
      <c r="I78" s="245"/>
      <c r="J78" s="245"/>
      <c r="K78" s="896"/>
      <c r="L78" s="245"/>
      <c r="M78" s="245"/>
      <c r="N78" s="245"/>
      <c r="O78" s="896"/>
      <c r="P78" s="245"/>
      <c r="Q78" s="245"/>
      <c r="R78" s="245"/>
      <c r="S78" s="896"/>
      <c r="T78" s="246"/>
      <c r="U78" s="246">
        <f t="shared" ref="U78" si="351">+U77/Q77-1</f>
        <v>-0.10060362173038229</v>
      </c>
      <c r="V78" s="246">
        <f t="shared" ref="V78" si="352">+V77/R77-1</f>
        <v>3.4836065573770503E-2</v>
      </c>
      <c r="W78" s="878">
        <f t="shared" ref="W78" si="353">+W77/S77-1</f>
        <v>6.8888888888888999E-2</v>
      </c>
      <c r="X78" s="246">
        <f t="shared" ref="X78" si="354">+X77/T77-1</f>
        <v>-0.22247191011235956</v>
      </c>
      <c r="Y78" s="246">
        <f t="shared" ref="Y78:AD78" si="355">+Y77/U77-1</f>
        <v>-0.19910514541387025</v>
      </c>
      <c r="Z78" s="246">
        <f t="shared" si="355"/>
        <v>-0.23762376237623761</v>
      </c>
      <c r="AA78" s="878">
        <f t="shared" si="355"/>
        <v>-0.24116424116424118</v>
      </c>
      <c r="AB78" s="246">
        <f t="shared" si="355"/>
        <v>0.11849710982658967</v>
      </c>
      <c r="AC78" s="246">
        <f t="shared" si="355"/>
        <v>0.1927374301675977</v>
      </c>
      <c r="AD78" s="246">
        <f t="shared" si="355"/>
        <v>0.21038961038961035</v>
      </c>
      <c r="AE78" s="1137">
        <f t="shared" ref="AE78" si="356">+AE77/AA77-1</f>
        <v>-4.9698630136986388E-2</v>
      </c>
      <c r="AF78" s="552">
        <f t="shared" ref="AF78" si="357">+AF77/AB77-1</f>
        <v>-7.1912144702842351E-2</v>
      </c>
      <c r="AG78" s="552">
        <f t="shared" ref="AG78" si="358">+AG77/AC77-1</f>
        <v>-0.15433255269320834</v>
      </c>
      <c r="AH78" s="552">
        <f t="shared" ref="AH78" si="359">+AH77/AD77-1</f>
        <v>-0.15995708154506427</v>
      </c>
      <c r="AI78" s="1137">
        <f t="shared" ref="AI78" si="360">+AI77/AE77-1</f>
        <v>-5.5943031770743223E-2</v>
      </c>
      <c r="AK78" s="246"/>
      <c r="AL78" s="246" t="e">
        <f t="shared" ref="AL78" si="361">+AL77/AK77-1</f>
        <v>#DIV/0!</v>
      </c>
      <c r="AM78" s="246" t="e">
        <f t="shared" ref="AM78" si="362">+AM77/AL77-1</f>
        <v>#DIV/0!</v>
      </c>
      <c r="AN78" s="246">
        <f t="shared" ref="AN78" si="363">+AN77/AM77-1</f>
        <v>2.2307692307692308</v>
      </c>
      <c r="AO78" s="246">
        <f t="shared" ref="AO78:AP78" si="364">+AO77/AN77-1</f>
        <v>6.4625850340136015E-2</v>
      </c>
      <c r="AP78" s="246">
        <f t="shared" si="364"/>
        <v>-0.22577209797657083</v>
      </c>
      <c r="AQ78" s="552">
        <f>+AQ77/AP77-1</f>
        <v>0.11888583218707005</v>
      </c>
      <c r="AR78" s="552">
        <f t="shared" ref="AR78" si="365">+AR77/AQ77-1</f>
        <v>-0.1153598957500952</v>
      </c>
      <c r="AS78" s="1172">
        <v>-0.04</v>
      </c>
    </row>
    <row r="79" spans="2:45" x14ac:dyDescent="0.2">
      <c r="B79" s="238" t="s">
        <v>259</v>
      </c>
      <c r="E79" s="5"/>
      <c r="F79" s="5"/>
      <c r="G79" s="871"/>
      <c r="H79" s="5"/>
      <c r="I79" s="5"/>
      <c r="J79" s="5"/>
      <c r="K79" s="871"/>
      <c r="L79" s="5">
        <f t="shared" ref="L79:AD79" si="366">+L38-K38</f>
        <v>93</v>
      </c>
      <c r="M79" s="5">
        <f t="shared" si="366"/>
        <v>95</v>
      </c>
      <c r="N79" s="5">
        <f t="shared" si="366"/>
        <v>134</v>
      </c>
      <c r="O79" s="871">
        <f t="shared" si="366"/>
        <v>224</v>
      </c>
      <c r="P79" s="5">
        <f t="shared" si="366"/>
        <v>329</v>
      </c>
      <c r="Q79" s="5">
        <f t="shared" si="366"/>
        <v>497</v>
      </c>
      <c r="R79" s="5">
        <f t="shared" si="366"/>
        <v>488</v>
      </c>
      <c r="S79" s="871">
        <f t="shared" si="366"/>
        <v>450</v>
      </c>
      <c r="T79" s="5">
        <f t="shared" si="366"/>
        <v>445</v>
      </c>
      <c r="U79" s="5">
        <f t="shared" si="366"/>
        <v>447</v>
      </c>
      <c r="V79" s="5">
        <f t="shared" si="366"/>
        <v>505</v>
      </c>
      <c r="W79" s="871">
        <f t="shared" si="366"/>
        <v>481</v>
      </c>
      <c r="X79" s="5">
        <f t="shared" si="366"/>
        <v>346</v>
      </c>
      <c r="Y79" s="5">
        <f t="shared" si="366"/>
        <v>358</v>
      </c>
      <c r="Z79" s="5">
        <f t="shared" si="366"/>
        <v>385</v>
      </c>
      <c r="AA79" s="871">
        <f t="shared" si="366"/>
        <v>365</v>
      </c>
      <c r="AB79" s="5">
        <f t="shared" si="366"/>
        <v>387</v>
      </c>
      <c r="AC79" s="5">
        <f t="shared" si="366"/>
        <v>427</v>
      </c>
      <c r="AD79" s="5">
        <f t="shared" si="366"/>
        <v>607</v>
      </c>
      <c r="AE79" s="913"/>
      <c r="AF79" s="370"/>
      <c r="AG79" s="370"/>
      <c r="AH79" s="370"/>
      <c r="AI79" s="913"/>
      <c r="AQ79" s="370"/>
      <c r="AR79" s="370"/>
      <c r="AS79" s="370"/>
    </row>
    <row r="80" spans="2:45" x14ac:dyDescent="0.2">
      <c r="B80" s="238" t="s">
        <v>256</v>
      </c>
      <c r="E80" s="5"/>
      <c r="F80" s="5"/>
      <c r="G80" s="871"/>
      <c r="H80" s="5"/>
      <c r="I80" s="5"/>
      <c r="J80" s="5"/>
      <c r="K80" s="871"/>
      <c r="L80" s="5">
        <f t="shared" ref="L80:Y80" si="367">+L77-L79</f>
        <v>0</v>
      </c>
      <c r="M80" s="5">
        <f t="shared" si="367"/>
        <v>0</v>
      </c>
      <c r="N80" s="5">
        <f t="shared" si="367"/>
        <v>0</v>
      </c>
      <c r="O80" s="871">
        <f t="shared" si="367"/>
        <v>0</v>
      </c>
      <c r="P80" s="5">
        <f t="shared" si="367"/>
        <v>0</v>
      </c>
      <c r="Q80" s="5">
        <f t="shared" si="367"/>
        <v>0</v>
      </c>
      <c r="R80" s="5">
        <f t="shared" si="367"/>
        <v>0</v>
      </c>
      <c r="S80" s="871">
        <f t="shared" si="367"/>
        <v>0</v>
      </c>
      <c r="T80" s="5">
        <f t="shared" si="367"/>
        <v>0</v>
      </c>
      <c r="U80" s="5">
        <f t="shared" si="367"/>
        <v>0</v>
      </c>
      <c r="V80" s="5">
        <f t="shared" si="367"/>
        <v>0</v>
      </c>
      <c r="W80" s="871">
        <f t="shared" si="367"/>
        <v>0</v>
      </c>
      <c r="X80" s="5">
        <f t="shared" si="367"/>
        <v>0</v>
      </c>
      <c r="Y80" s="5">
        <f t="shared" si="367"/>
        <v>0</v>
      </c>
      <c r="Z80" s="5">
        <f t="shared" ref="Z80:AA80" si="368">+Z77-Z79</f>
        <v>0</v>
      </c>
      <c r="AA80" s="871">
        <f t="shared" si="368"/>
        <v>0</v>
      </c>
      <c r="AB80" s="5">
        <f t="shared" ref="AB80:AC80" si="369">+AB77-AB79</f>
        <v>0</v>
      </c>
      <c r="AC80" s="5">
        <f t="shared" si="369"/>
        <v>0</v>
      </c>
      <c r="AD80" s="5">
        <f t="shared" ref="AD80" si="370">+AD77-AD79</f>
        <v>-141</v>
      </c>
      <c r="AE80" s="913"/>
      <c r="AF80" s="370"/>
      <c r="AG80" s="370"/>
      <c r="AH80" s="370"/>
      <c r="AI80" s="913"/>
      <c r="AQ80" s="370"/>
      <c r="AR80" s="370"/>
      <c r="AS80" s="370"/>
    </row>
    <row r="81" spans="2:45" x14ac:dyDescent="0.2">
      <c r="B81" s="243"/>
      <c r="E81" s="5"/>
      <c r="F81" s="5"/>
      <c r="G81" s="871"/>
      <c r="H81" s="5"/>
      <c r="I81" s="5"/>
      <c r="J81" s="5"/>
      <c r="K81" s="871"/>
      <c r="L81" s="5"/>
      <c r="M81" s="5"/>
      <c r="N81" s="5"/>
      <c r="O81" s="871"/>
      <c r="P81" s="5"/>
      <c r="Q81" s="5"/>
      <c r="R81" s="5"/>
      <c r="S81" s="871"/>
      <c r="T81" s="5"/>
      <c r="U81" s="5"/>
      <c r="V81" s="5"/>
      <c r="W81" s="595"/>
      <c r="X81" s="5"/>
      <c r="Y81" s="5"/>
      <c r="Z81" s="5"/>
      <c r="AA81" s="878"/>
      <c r="AB81" s="264"/>
      <c r="AC81" s="264" t="s">
        <v>947</v>
      </c>
      <c r="AD81" s="264"/>
      <c r="AE81" s="913"/>
      <c r="AF81" s="370"/>
      <c r="AG81" s="370"/>
      <c r="AH81" s="370"/>
      <c r="AI81" s="913"/>
      <c r="AQ81" s="370"/>
      <c r="AR81" s="370"/>
      <c r="AS81" s="370"/>
    </row>
    <row r="82" spans="2:45" x14ac:dyDescent="0.2">
      <c r="B82" s="238" t="s">
        <v>982</v>
      </c>
      <c r="E82" s="5"/>
      <c r="F82" s="5"/>
      <c r="G82" s="871"/>
      <c r="H82" s="5"/>
      <c r="I82" s="5"/>
      <c r="J82" s="5"/>
      <c r="K82" s="871"/>
      <c r="L82" s="5"/>
      <c r="M82" s="5"/>
      <c r="N82" s="5"/>
      <c r="O82" s="871"/>
      <c r="P82" s="5"/>
      <c r="Q82" s="5"/>
      <c r="R82" s="5"/>
      <c r="S82" s="871"/>
      <c r="T82" s="5"/>
      <c r="U82" s="5"/>
      <c r="V82" s="5"/>
      <c r="W82" s="871">
        <f>Metrics!AE44</f>
        <v>0</v>
      </c>
      <c r="X82" s="5">
        <f>Metrics!AF44</f>
        <v>0</v>
      </c>
      <c r="Y82" s="5">
        <f>Metrics!AG44</f>
        <v>1</v>
      </c>
      <c r="Z82" s="5">
        <f>Metrics!AH44</f>
        <v>3</v>
      </c>
      <c r="AA82" s="871">
        <f>Metrics!AI44</f>
        <v>4</v>
      </c>
      <c r="AB82" s="5">
        <f>Metrics!AJ44</f>
        <v>3</v>
      </c>
      <c r="AC82" s="5">
        <f>Metrics!AK44</f>
        <v>113</v>
      </c>
      <c r="AD82" s="5">
        <f>Metrics!AL44</f>
        <v>809</v>
      </c>
      <c r="AE82" s="1167">
        <v>60</v>
      </c>
      <c r="AF82" s="1168">
        <f>'Fiber Forecast'!E56</f>
        <v>12.112499999999997</v>
      </c>
      <c r="AG82" s="1168">
        <f>'Fiber Forecast'!F56</f>
        <v>19.95</v>
      </c>
      <c r="AH82" s="1168">
        <f>'Fiber Forecast'!G56</f>
        <v>31.35</v>
      </c>
      <c r="AI82" s="1167">
        <f>'Fiber Forecast'!H56</f>
        <v>41.324999999999989</v>
      </c>
      <c r="AQ82" s="379">
        <f>SUM(AB82:AE82)</f>
        <v>985</v>
      </c>
      <c r="AR82" s="1176">
        <f>SUM(AF82:AI82)</f>
        <v>104.73749999999998</v>
      </c>
      <c r="AS82" s="379">
        <f>SUM(AS83:AS84)</f>
        <v>239.04375000000002</v>
      </c>
    </row>
    <row r="83" spans="2:45" x14ac:dyDescent="0.2">
      <c r="B83" s="238" t="str">
        <f>Metrics!B45</f>
        <v>Adjustments</v>
      </c>
      <c r="E83" s="5"/>
      <c r="F83" s="5"/>
      <c r="G83" s="871"/>
      <c r="H83" s="5"/>
      <c r="I83" s="5"/>
      <c r="J83" s="5"/>
      <c r="K83" s="871"/>
      <c r="L83" s="5"/>
      <c r="M83" s="5"/>
      <c r="N83" s="5"/>
      <c r="O83" s="871"/>
      <c r="P83" s="5"/>
      <c r="Q83" s="5"/>
      <c r="R83" s="5"/>
      <c r="S83" s="871"/>
      <c r="T83" s="5"/>
      <c r="U83" s="5"/>
      <c r="V83" s="5"/>
      <c r="W83" s="871"/>
      <c r="X83" s="5"/>
      <c r="Y83" s="5"/>
      <c r="Z83" s="5"/>
      <c r="AA83" s="871"/>
      <c r="AB83" s="5"/>
      <c r="AC83" s="5">
        <f>Metrics!AK45</f>
        <v>-97</v>
      </c>
      <c r="AD83" s="5">
        <f>Metrics!AL45</f>
        <v>-755</v>
      </c>
      <c r="AE83" s="1167">
        <v>0</v>
      </c>
      <c r="AF83" s="1168">
        <v>0</v>
      </c>
      <c r="AG83" s="1168">
        <v>0</v>
      </c>
      <c r="AH83" s="1168">
        <v>0</v>
      </c>
      <c r="AI83" s="1167">
        <v>0</v>
      </c>
      <c r="AQ83" s="379">
        <f>SUM(AB83:AE83)</f>
        <v>-852</v>
      </c>
      <c r="AR83" s="379">
        <f>SUM(AF83:AI83)</f>
        <v>0</v>
      </c>
      <c r="AS83" s="379">
        <v>0</v>
      </c>
    </row>
    <row r="84" spans="2:45" x14ac:dyDescent="0.2">
      <c r="B84" s="238" t="s">
        <v>981</v>
      </c>
      <c r="E84" s="5"/>
      <c r="F84" s="5"/>
      <c r="G84" s="871"/>
      <c r="H84" s="5"/>
      <c r="I84" s="5"/>
      <c r="J84" s="5"/>
      <c r="K84" s="871"/>
      <c r="L84" s="5"/>
      <c r="M84" s="5"/>
      <c r="N84" s="5"/>
      <c r="O84" s="871"/>
      <c r="P84" s="5"/>
      <c r="Q84" s="5"/>
      <c r="R84" s="5"/>
      <c r="S84" s="871"/>
      <c r="T84" s="5"/>
      <c r="U84" s="5"/>
      <c r="V84" s="5"/>
      <c r="W84" s="871"/>
      <c r="X84" s="5"/>
      <c r="Y84" s="5"/>
      <c r="Z84" s="5"/>
      <c r="AA84" s="871"/>
      <c r="AB84" s="5">
        <f>SUM(AB82:AB83)</f>
        <v>3</v>
      </c>
      <c r="AC84" s="5">
        <f>SUM(AC82:AC83)</f>
        <v>16</v>
      </c>
      <c r="AD84" s="5">
        <f>SUM(AD82:AD83)</f>
        <v>54</v>
      </c>
      <c r="AE84" s="921">
        <f>SUM(AE82:AE83)</f>
        <v>60</v>
      </c>
      <c r="AF84" s="379">
        <f t="shared" ref="AF84:AI84" si="371">SUM(AF82:AF83)</f>
        <v>12.112499999999997</v>
      </c>
      <c r="AG84" s="379">
        <f t="shared" si="371"/>
        <v>19.95</v>
      </c>
      <c r="AH84" s="379">
        <f t="shared" si="371"/>
        <v>31.35</v>
      </c>
      <c r="AI84" s="921">
        <f t="shared" si="371"/>
        <v>41.324999999999989</v>
      </c>
      <c r="AQ84" s="379">
        <f>SUM(AB84:AE84)</f>
        <v>133</v>
      </c>
      <c r="AR84" s="1176">
        <f>SUM(AF84:AI84)</f>
        <v>104.73749999999998</v>
      </c>
      <c r="AS84" s="1176">
        <f>'Fiber Forecast'!J63</f>
        <v>239.04375000000002</v>
      </c>
    </row>
    <row r="85" spans="2:45" x14ac:dyDescent="0.2">
      <c r="B85" s="243" t="s">
        <v>266</v>
      </c>
      <c r="E85" s="5"/>
      <c r="F85" s="5"/>
      <c r="G85" s="871"/>
      <c r="H85" s="5"/>
      <c r="I85" s="5"/>
      <c r="J85" s="5"/>
      <c r="K85" s="871"/>
      <c r="L85" s="5"/>
      <c r="M85" s="5"/>
      <c r="N85" s="5"/>
      <c r="O85" s="871"/>
      <c r="P85" s="5"/>
      <c r="Q85" s="5"/>
      <c r="R85" s="5"/>
      <c r="S85" s="871"/>
      <c r="T85" s="5"/>
      <c r="U85" s="5"/>
      <c r="V85" s="5"/>
      <c r="W85" s="871"/>
      <c r="X85" s="5"/>
      <c r="Y85" s="5"/>
      <c r="Z85" s="5"/>
      <c r="AA85" s="871"/>
      <c r="AB85" s="5"/>
      <c r="AC85" s="576">
        <f t="shared" ref="AC85:AE85" si="372">AC82/Y82-1</f>
        <v>112</v>
      </c>
      <c r="AD85" s="576">
        <f t="shared" si="372"/>
        <v>268.66666666666669</v>
      </c>
      <c r="AE85" s="1341">
        <f t="shared" si="372"/>
        <v>14</v>
      </c>
      <c r="AF85" s="1342">
        <f>AF84/AB84-1</f>
        <v>3.0374999999999988</v>
      </c>
      <c r="AG85" s="1342">
        <f t="shared" ref="AG85:AI85" si="373">AG84/AC84-1</f>
        <v>0.24687499999999996</v>
      </c>
      <c r="AH85" s="1342">
        <f t="shared" si="373"/>
        <v>-0.4194444444444444</v>
      </c>
      <c r="AI85" s="1341">
        <f t="shared" si="373"/>
        <v>-0.31125000000000014</v>
      </c>
      <c r="AQ85" s="379"/>
      <c r="AR85" s="1176"/>
      <c r="AS85" s="1172"/>
    </row>
    <row r="86" spans="2:45" x14ac:dyDescent="0.2">
      <c r="B86" s="237"/>
      <c r="G86" s="595"/>
      <c r="K86" s="595"/>
      <c r="O86" s="595"/>
      <c r="S86" s="595"/>
      <c r="W86" s="595"/>
      <c r="AA86" s="595"/>
      <c r="AE86" s="913"/>
      <c r="AF86" s="370"/>
      <c r="AG86" s="370"/>
      <c r="AH86" s="370"/>
      <c r="AI86" s="913"/>
      <c r="AQ86" s="370"/>
      <c r="AR86" s="370"/>
      <c r="AS86" s="370"/>
    </row>
    <row r="87" spans="2:45" x14ac:dyDescent="0.2">
      <c r="B87" s="237" t="s">
        <v>253</v>
      </c>
      <c r="E87" s="2">
        <f>+E40-D40</f>
        <v>398</v>
      </c>
      <c r="F87" s="2">
        <f>+F40-E40</f>
        <v>320</v>
      </c>
      <c r="G87" s="595">
        <f>+G40-F40</f>
        <v>313</v>
      </c>
      <c r="I87" s="2">
        <f t="shared" ref="I87:AD87" si="374">+I40-H40</f>
        <v>859</v>
      </c>
      <c r="J87" s="2">
        <f t="shared" si="374"/>
        <v>1290</v>
      </c>
      <c r="K87" s="595">
        <f t="shared" si="374"/>
        <v>694</v>
      </c>
      <c r="L87" s="2">
        <f t="shared" si="374"/>
        <v>345</v>
      </c>
      <c r="M87" s="2">
        <f t="shared" si="374"/>
        <v>554</v>
      </c>
      <c r="N87" s="2">
        <f t="shared" si="374"/>
        <v>542</v>
      </c>
      <c r="O87" s="595">
        <f t="shared" si="374"/>
        <v>682</v>
      </c>
      <c r="P87" s="5">
        <f t="shared" si="374"/>
        <v>37</v>
      </c>
      <c r="Q87" s="5">
        <f t="shared" si="374"/>
        <v>-530</v>
      </c>
      <c r="R87" s="5">
        <f t="shared" si="374"/>
        <v>285</v>
      </c>
      <c r="S87" s="871">
        <f t="shared" si="374"/>
        <v>441</v>
      </c>
      <c r="T87" s="5">
        <f t="shared" si="374"/>
        <v>310</v>
      </c>
      <c r="U87" s="5">
        <f t="shared" si="374"/>
        <v>354</v>
      </c>
      <c r="V87" s="5">
        <f t="shared" si="374"/>
        <v>-129</v>
      </c>
      <c r="W87" s="871">
        <f t="shared" si="374"/>
        <v>304</v>
      </c>
      <c r="X87" s="5">
        <f t="shared" si="374"/>
        <v>342</v>
      </c>
      <c r="Y87" s="5">
        <f t="shared" si="374"/>
        <v>202</v>
      </c>
      <c r="Z87" s="5">
        <f t="shared" si="374"/>
        <v>322</v>
      </c>
      <c r="AA87" s="871">
        <f t="shared" si="374"/>
        <v>661</v>
      </c>
      <c r="AB87" s="5">
        <f t="shared" si="374"/>
        <v>452</v>
      </c>
      <c r="AC87" s="5">
        <f t="shared" si="374"/>
        <v>459</v>
      </c>
      <c r="AD87" s="5">
        <f t="shared" si="374"/>
        <v>679</v>
      </c>
      <c r="AE87" s="1167">
        <f>+W87*1.7</f>
        <v>516.79999999999995</v>
      </c>
      <c r="AF87" s="1168">
        <f t="shared" ref="AF87" si="375">+AVERAGE(AB87,X87)</f>
        <v>397</v>
      </c>
      <c r="AG87" s="1168">
        <f t="shared" ref="AG87" si="376">+AVERAGE(AC87,Y87)</f>
        <v>330.5</v>
      </c>
      <c r="AH87" s="1168">
        <f t="shared" ref="AH87" si="377">+AVERAGE(AD87,Z87)</f>
        <v>500.5</v>
      </c>
      <c r="AI87" s="1167">
        <f t="shared" ref="AI87" si="378">+AVERAGE(AE87,AA87)</f>
        <v>588.9</v>
      </c>
      <c r="AK87" s="163">
        <f t="shared" ref="AK87:AR87" si="379">SUMIFS($D87:$AI87,$D$3:$AI$3, AK$3)</f>
        <v>1031</v>
      </c>
      <c r="AL87" s="163">
        <f t="shared" si="379"/>
        <v>2843</v>
      </c>
      <c r="AM87" s="163">
        <f t="shared" si="379"/>
        <v>2123</v>
      </c>
      <c r="AN87" s="163">
        <f t="shared" si="379"/>
        <v>233</v>
      </c>
      <c r="AO87" s="163">
        <f t="shared" si="379"/>
        <v>839</v>
      </c>
      <c r="AP87" s="163">
        <f t="shared" si="379"/>
        <v>1527</v>
      </c>
      <c r="AQ87" s="554">
        <f t="shared" si="379"/>
        <v>2106.8000000000002</v>
      </c>
      <c r="AR87" s="554">
        <f t="shared" si="379"/>
        <v>1816.9</v>
      </c>
      <c r="AS87" s="382">
        <f>+(1+AS88)*AR87</f>
        <v>1726.0550000000001</v>
      </c>
    </row>
    <row r="88" spans="2:45" s="244" customFormat="1" x14ac:dyDescent="0.2">
      <c r="B88" s="243" t="s">
        <v>266</v>
      </c>
      <c r="D88" s="245"/>
      <c r="E88" s="245"/>
      <c r="F88" s="245"/>
      <c r="G88" s="896"/>
      <c r="H88" s="245"/>
      <c r="I88" s="245"/>
      <c r="J88" s="245"/>
      <c r="K88" s="896"/>
      <c r="L88" s="245"/>
      <c r="M88" s="245"/>
      <c r="N88" s="245"/>
      <c r="O88" s="896"/>
      <c r="P88" s="245"/>
      <c r="Q88" s="245"/>
      <c r="R88" s="245"/>
      <c r="S88" s="896"/>
      <c r="T88" s="246"/>
      <c r="U88" s="246">
        <f t="shared" ref="U88" si="380">+U87/Q87-1</f>
        <v>-1.6679245283018869</v>
      </c>
      <c r="V88" s="246">
        <f t="shared" ref="V88" si="381">+V87/R87-1</f>
        <v>-1.4526315789473685</v>
      </c>
      <c r="W88" s="878">
        <f t="shared" ref="W88" si="382">+W87/S87-1</f>
        <v>-0.31065759637188206</v>
      </c>
      <c r="X88" s="246">
        <f t="shared" ref="X88" si="383">+X87/T87-1</f>
        <v>0.10322580645161294</v>
      </c>
      <c r="Y88" s="246">
        <f t="shared" ref="Y88:AD88" si="384">+Y87/U87-1</f>
        <v>-0.42937853107344637</v>
      </c>
      <c r="Z88" s="246">
        <f t="shared" si="384"/>
        <v>-3.4961240310077519</v>
      </c>
      <c r="AA88" s="878">
        <f t="shared" si="384"/>
        <v>1.174342105263158</v>
      </c>
      <c r="AB88" s="246">
        <f t="shared" si="384"/>
        <v>0.32163742690058483</v>
      </c>
      <c r="AC88" s="246">
        <f t="shared" si="384"/>
        <v>1.2722772277227721</v>
      </c>
      <c r="AD88" s="246">
        <f t="shared" si="384"/>
        <v>1.1086956521739131</v>
      </c>
      <c r="AE88" s="1137">
        <f t="shared" ref="AE88" si="385">+AE87/AA87-1</f>
        <v>-0.21815431164901666</v>
      </c>
      <c r="AF88" s="552">
        <f t="shared" ref="AF88" si="386">+AF87/AB87-1</f>
        <v>-0.12168141592920356</v>
      </c>
      <c r="AG88" s="552">
        <f t="shared" ref="AG88" si="387">+AG87/AC87-1</f>
        <v>-0.27995642701525059</v>
      </c>
      <c r="AH88" s="552">
        <f t="shared" ref="AH88" si="388">+AH87/AD87-1</f>
        <v>-0.26288659793814428</v>
      </c>
      <c r="AI88" s="1137">
        <f t="shared" ref="AI88" si="389">+AI87/AE87-1</f>
        <v>0.1395123839009289</v>
      </c>
      <c r="AK88" s="246"/>
      <c r="AL88" s="246">
        <f t="shared" ref="AL88" si="390">+AL87/AK87-1</f>
        <v>1.7575169738118332</v>
      </c>
      <c r="AM88" s="246">
        <f t="shared" ref="AM88" si="391">+AM87/AL87-1</f>
        <v>-0.25325360534646502</v>
      </c>
      <c r="AN88" s="246">
        <f t="shared" ref="AN88" si="392">+AN87/AM87-1</f>
        <v>-0.89024964672633067</v>
      </c>
      <c r="AO88" s="246">
        <f t="shared" ref="AO88:AP88" si="393">+AO87/AN87-1</f>
        <v>2.6008583690987126</v>
      </c>
      <c r="AP88" s="246">
        <f t="shared" si="393"/>
        <v>0.82002383790226463</v>
      </c>
      <c r="AQ88" s="552">
        <f t="shared" ref="AQ88" si="394">+AQ87/AP87-1</f>
        <v>0.37969875573019007</v>
      </c>
      <c r="AR88" s="552">
        <f t="shared" ref="AR88" si="395">+AR87/AQ87-1</f>
        <v>-0.13760205050313279</v>
      </c>
      <c r="AS88" s="1172">
        <v>-0.05</v>
      </c>
    </row>
    <row r="89" spans="2:45" s="244" customFormat="1" x14ac:dyDescent="0.2">
      <c r="B89" s="243"/>
      <c r="D89" s="245"/>
      <c r="E89" s="245"/>
      <c r="F89" s="245"/>
      <c r="G89" s="896"/>
      <c r="H89" s="245"/>
      <c r="I89" s="245"/>
      <c r="J89" s="245"/>
      <c r="K89" s="896"/>
      <c r="L89" s="245"/>
      <c r="M89" s="245"/>
      <c r="N89" s="245"/>
      <c r="O89" s="896"/>
      <c r="P89" s="245"/>
      <c r="Q89" s="245"/>
      <c r="R89" s="245"/>
      <c r="S89" s="896"/>
      <c r="T89" s="246"/>
      <c r="U89" s="246"/>
      <c r="V89" s="246"/>
      <c r="W89" s="878"/>
      <c r="X89" s="246"/>
      <c r="Y89" s="246"/>
      <c r="Z89" s="246"/>
      <c r="AA89" s="878"/>
      <c r="AB89" s="246"/>
      <c r="AC89" s="246"/>
      <c r="AD89" s="246"/>
      <c r="AE89" s="1137"/>
      <c r="AF89" s="552"/>
      <c r="AG89" s="552"/>
      <c r="AH89" s="552"/>
      <c r="AI89" s="1137"/>
      <c r="AP89" s="246"/>
      <c r="AQ89" s="1169"/>
      <c r="AR89" s="1169"/>
      <c r="AS89" s="1169"/>
    </row>
    <row r="90" spans="2:45" s="257" customFormat="1" x14ac:dyDescent="0.2">
      <c r="B90" s="3" t="s">
        <v>275</v>
      </c>
      <c r="D90" s="164">
        <f t="shared" ref="D90:AI90" si="396">+D62+D72</f>
        <v>1019</v>
      </c>
      <c r="E90" s="164">
        <f t="shared" si="396"/>
        <v>1108</v>
      </c>
      <c r="F90" s="164">
        <f t="shared" si="396"/>
        <v>1074</v>
      </c>
      <c r="G90" s="870">
        <f t="shared" si="396"/>
        <v>1314</v>
      </c>
      <c r="H90" s="164">
        <f t="shared" si="396"/>
        <v>777</v>
      </c>
      <c r="I90" s="164">
        <f t="shared" si="396"/>
        <v>1112</v>
      </c>
      <c r="J90" s="164">
        <f t="shared" si="396"/>
        <v>1979</v>
      </c>
      <c r="K90" s="870">
        <f t="shared" si="396"/>
        <v>1618</v>
      </c>
      <c r="L90" s="164">
        <f t="shared" si="396"/>
        <v>1210</v>
      </c>
      <c r="M90" s="164">
        <f t="shared" si="396"/>
        <v>1276</v>
      </c>
      <c r="N90" s="164">
        <f t="shared" si="396"/>
        <v>1259</v>
      </c>
      <c r="O90" s="870">
        <f t="shared" si="396"/>
        <v>1750</v>
      </c>
      <c r="P90" s="164">
        <f t="shared" si="396"/>
        <v>1318</v>
      </c>
      <c r="Q90" s="164">
        <f t="shared" si="396"/>
        <v>1656</v>
      </c>
      <c r="R90" s="164">
        <f t="shared" si="396"/>
        <v>1627</v>
      </c>
      <c r="S90" s="870">
        <f t="shared" si="396"/>
        <v>1818</v>
      </c>
      <c r="T90" s="164">
        <f t="shared" si="396"/>
        <v>1293</v>
      </c>
      <c r="U90" s="164">
        <f t="shared" si="396"/>
        <v>1561</v>
      </c>
      <c r="V90" s="164">
        <f t="shared" si="396"/>
        <v>1226</v>
      </c>
      <c r="W90" s="870">
        <f t="shared" si="396"/>
        <v>1570</v>
      </c>
      <c r="X90" s="164">
        <f t="shared" si="396"/>
        <v>1220</v>
      </c>
      <c r="Y90" s="164">
        <f t="shared" si="396"/>
        <v>1338</v>
      </c>
      <c r="Z90" s="164">
        <f t="shared" si="396"/>
        <v>1575</v>
      </c>
      <c r="AA90" s="870">
        <f t="shared" si="396"/>
        <v>1933</v>
      </c>
      <c r="AB90" s="164">
        <f t="shared" si="396"/>
        <v>1337</v>
      </c>
      <c r="AC90" s="164">
        <f t="shared" si="396"/>
        <v>1732</v>
      </c>
      <c r="AD90" s="164">
        <f t="shared" si="396"/>
        <v>2347</v>
      </c>
      <c r="AE90" s="1152">
        <f t="shared" si="396"/>
        <v>1862.3362427745665</v>
      </c>
      <c r="AF90" s="525">
        <f t="shared" si="396"/>
        <v>1259.4000000000001</v>
      </c>
      <c r="AG90" s="525">
        <f t="shared" si="396"/>
        <v>1479.03</v>
      </c>
      <c r="AH90" s="525">
        <f t="shared" si="396"/>
        <v>1809.24</v>
      </c>
      <c r="AI90" s="1152">
        <f t="shared" si="396"/>
        <v>1848.1769589595374</v>
      </c>
      <c r="AK90" s="164">
        <f t="shared" ref="AK90:AS90" si="397">+AK62+AK72</f>
        <v>4152</v>
      </c>
      <c r="AL90" s="164">
        <f t="shared" si="397"/>
        <v>5061</v>
      </c>
      <c r="AM90" s="164">
        <f t="shared" si="397"/>
        <v>5586</v>
      </c>
      <c r="AN90" s="164">
        <f t="shared" si="397"/>
        <v>5090</v>
      </c>
      <c r="AO90" s="164">
        <f t="shared" si="397"/>
        <v>5799</v>
      </c>
      <c r="AP90" s="164">
        <f t="shared" si="397"/>
        <v>6058</v>
      </c>
      <c r="AQ90" s="525">
        <f t="shared" si="397"/>
        <v>7197.3362427745669</v>
      </c>
      <c r="AR90" s="525">
        <f t="shared" si="397"/>
        <v>6500.5844589595381</v>
      </c>
      <c r="AS90" s="525">
        <f t="shared" si="397"/>
        <v>6392.2854441907512</v>
      </c>
    </row>
    <row r="91" spans="2:45" s="244" customFormat="1" x14ac:dyDescent="0.2">
      <c r="B91" s="243" t="s">
        <v>266</v>
      </c>
      <c r="D91" s="245"/>
      <c r="E91" s="245"/>
      <c r="F91" s="245"/>
      <c r="G91" s="896"/>
      <c r="H91" s="245"/>
      <c r="I91" s="245"/>
      <c r="J91" s="245"/>
      <c r="K91" s="896"/>
      <c r="L91" s="245"/>
      <c r="M91" s="245"/>
      <c r="N91" s="245"/>
      <c r="O91" s="896"/>
      <c r="P91" s="245"/>
      <c r="Q91" s="245"/>
      <c r="R91" s="245"/>
      <c r="S91" s="896"/>
      <c r="T91" s="246"/>
      <c r="U91" s="246">
        <f t="shared" ref="U91" si="398">+U90/Q90-1</f>
        <v>-5.7367149758454139E-2</v>
      </c>
      <c r="V91" s="246">
        <f t="shared" ref="V91" si="399">+V90/R90-1</f>
        <v>-0.24646588813767667</v>
      </c>
      <c r="W91" s="878">
        <f t="shared" ref="W91" si="400">+W90/S90-1</f>
        <v>-0.13641364136413636</v>
      </c>
      <c r="X91" s="246">
        <f t="shared" ref="X91" si="401">+X90/T90-1</f>
        <v>-5.6457849961330187E-2</v>
      </c>
      <c r="Y91" s="246">
        <f t="shared" ref="Y91:AD91" si="402">+Y90/U90-1</f>
        <v>-0.1428571428571429</v>
      </c>
      <c r="Z91" s="246">
        <f t="shared" si="402"/>
        <v>0.28466557911908641</v>
      </c>
      <c r="AA91" s="878">
        <f t="shared" si="402"/>
        <v>0.23121019108280261</v>
      </c>
      <c r="AB91" s="246">
        <f t="shared" si="402"/>
        <v>9.5901639344262213E-2</v>
      </c>
      <c r="AC91" s="246">
        <f t="shared" si="402"/>
        <v>0.29446935724962642</v>
      </c>
      <c r="AD91" s="246">
        <f t="shared" si="402"/>
        <v>0.49015873015873024</v>
      </c>
      <c r="AE91" s="1137">
        <f t="shared" ref="AE91" si="403">+AE90/AA90-1</f>
        <v>-3.6556522103173061E-2</v>
      </c>
      <c r="AF91" s="552">
        <f t="shared" ref="AF91" si="404">+AF90/AB90-1</f>
        <v>-5.8040388930441167E-2</v>
      </c>
      <c r="AG91" s="552">
        <f t="shared" ref="AG91" si="405">+AG90/AC90-1</f>
        <v>-0.14605658198614324</v>
      </c>
      <c r="AH91" s="552">
        <f t="shared" ref="AH91" si="406">+AH90/AD90-1</f>
        <v>-0.22912654452492542</v>
      </c>
      <c r="AI91" s="1137">
        <f t="shared" ref="AI91" si="407">+AI90/AE90-1</f>
        <v>-7.6029685133196523E-3</v>
      </c>
      <c r="AK91" s="246"/>
      <c r="AL91" s="246">
        <f t="shared" ref="AL91:AS91" si="408">+AL90/AK90-1</f>
        <v>0.2189306358381502</v>
      </c>
      <c r="AM91" s="246">
        <f t="shared" si="408"/>
        <v>0.10373443983402497</v>
      </c>
      <c r="AN91" s="246">
        <f t="shared" si="408"/>
        <v>-8.8793412101682789E-2</v>
      </c>
      <c r="AO91" s="246">
        <f t="shared" si="408"/>
        <v>0.13929273084479377</v>
      </c>
      <c r="AP91" s="246">
        <f t="shared" si="408"/>
        <v>4.4662872909122298E-2</v>
      </c>
      <c r="AQ91" s="552">
        <f t="shared" si="408"/>
        <v>0.18807135073862113</v>
      </c>
      <c r="AR91" s="552">
        <f t="shared" si="408"/>
        <v>-9.6806896372876872E-2</v>
      </c>
      <c r="AS91" s="552">
        <f t="shared" si="408"/>
        <v>-1.6659888884225205E-2</v>
      </c>
    </row>
    <row r="92" spans="2:45" x14ac:dyDescent="0.2">
      <c r="B92" s="2" t="s">
        <v>249</v>
      </c>
      <c r="D92" s="162">
        <f>+Metrics!L20</f>
        <v>0</v>
      </c>
      <c r="E92" s="162">
        <f>+Metrics!M20</f>
        <v>0</v>
      </c>
      <c r="F92" s="162">
        <f>+Metrics!N20</f>
        <v>0</v>
      </c>
      <c r="G92" s="863">
        <f>+Metrics!O20</f>
        <v>0</v>
      </c>
      <c r="H92" s="162">
        <f>+Metrics!P20</f>
        <v>0</v>
      </c>
      <c r="I92" s="162">
        <f>+Metrics!Q20</f>
        <v>0</v>
      </c>
      <c r="J92" s="162">
        <f>+Metrics!R20</f>
        <v>0</v>
      </c>
      <c r="K92" s="863">
        <f>+Metrics!S20</f>
        <v>0</v>
      </c>
      <c r="L92" s="162">
        <f>+Metrics!T20</f>
        <v>0</v>
      </c>
      <c r="M92" s="162">
        <f>+Metrics!U20</f>
        <v>0</v>
      </c>
      <c r="N92" s="162">
        <f>+Metrics!V20</f>
        <v>0</v>
      </c>
      <c r="O92" s="863">
        <f>+Metrics!W20</f>
        <v>0</v>
      </c>
      <c r="P92" s="162">
        <f>+Metrics!X20</f>
        <v>165</v>
      </c>
      <c r="Q92" s="162">
        <f>+Metrics!Y20</f>
        <v>155</v>
      </c>
      <c r="R92" s="162">
        <f>+Metrics!Z20</f>
        <v>155</v>
      </c>
      <c r="S92" s="863">
        <f>+Metrics!AA20</f>
        <v>175</v>
      </c>
      <c r="T92" s="162">
        <f>+Metrics!AB20</f>
        <v>145</v>
      </c>
      <c r="U92" s="162">
        <f>+Metrics!AC20</f>
        <v>140</v>
      </c>
      <c r="V92" s="162">
        <f>+Metrics!AD20</f>
        <v>155</v>
      </c>
      <c r="W92" s="863">
        <f>+Metrics!AE20</f>
        <v>170</v>
      </c>
      <c r="X92" s="162">
        <f>+Metrics!AF20</f>
        <v>145</v>
      </c>
      <c r="Y92" s="162">
        <f>+Metrics!AG20</f>
        <v>140</v>
      </c>
      <c r="Z92" s="162">
        <f>+Metrics!AH20</f>
        <v>175</v>
      </c>
      <c r="AA92" s="863">
        <f>+Metrics!AI20</f>
        <v>160</v>
      </c>
      <c r="AB92" s="162">
        <f>+Metrics!AJ20</f>
        <v>115</v>
      </c>
      <c r="AC92" s="162">
        <f>+Metrics!AK20</f>
        <v>205</v>
      </c>
      <c r="AD92" s="162">
        <f>+Metrics!AL20</f>
        <v>215</v>
      </c>
      <c r="AE92" s="970">
        <f t="shared" ref="AE92:AI92" si="409">+(1+AE93)*AA92</f>
        <v>163.19999999999999</v>
      </c>
      <c r="AF92" s="524">
        <f t="shared" si="409"/>
        <v>116.15</v>
      </c>
      <c r="AG92" s="524">
        <f t="shared" si="409"/>
        <v>209.1</v>
      </c>
      <c r="AH92" s="524">
        <f t="shared" si="409"/>
        <v>221.45000000000002</v>
      </c>
      <c r="AI92" s="970">
        <f t="shared" si="409"/>
        <v>169.72799999999998</v>
      </c>
      <c r="AK92" s="163">
        <f t="shared" ref="AK92:AS92" si="410">SUMIFS($D92:$AI92,$D$3:$AI$3, AK$3)</f>
        <v>0</v>
      </c>
      <c r="AL92" s="163">
        <f t="shared" si="410"/>
        <v>0</v>
      </c>
      <c r="AM92" s="163">
        <f t="shared" si="410"/>
        <v>0</v>
      </c>
      <c r="AN92" s="163">
        <f t="shared" si="410"/>
        <v>650</v>
      </c>
      <c r="AO92" s="163">
        <f t="shared" si="410"/>
        <v>610</v>
      </c>
      <c r="AP92" s="163">
        <f t="shared" si="410"/>
        <v>620</v>
      </c>
      <c r="AQ92" s="554">
        <f t="shared" si="410"/>
        <v>698.2</v>
      </c>
      <c r="AR92" s="554">
        <f t="shared" si="410"/>
        <v>716.428</v>
      </c>
      <c r="AS92" s="554">
        <f t="shared" si="410"/>
        <v>0</v>
      </c>
    </row>
    <row r="93" spans="2:45" s="244" customFormat="1" x14ac:dyDescent="0.2">
      <c r="B93" s="243" t="s">
        <v>266</v>
      </c>
      <c r="D93" s="245"/>
      <c r="E93" s="245"/>
      <c r="F93" s="245"/>
      <c r="G93" s="896"/>
      <c r="H93" s="245"/>
      <c r="I93" s="245"/>
      <c r="J93" s="245"/>
      <c r="K93" s="896"/>
      <c r="L93" s="245"/>
      <c r="M93" s="245"/>
      <c r="N93" s="245"/>
      <c r="O93" s="896"/>
      <c r="P93" s="245"/>
      <c r="Q93" s="245"/>
      <c r="R93" s="245"/>
      <c r="S93" s="896"/>
      <c r="T93" s="246"/>
      <c r="U93" s="246">
        <f t="shared" ref="U93" si="411">+U92/Q92-1</f>
        <v>-9.6774193548387122E-2</v>
      </c>
      <c r="V93" s="246">
        <f t="shared" ref="V93" si="412">+V92/R92-1</f>
        <v>0</v>
      </c>
      <c r="W93" s="878">
        <f t="shared" ref="W93" si="413">+W92/S92-1</f>
        <v>-2.8571428571428581E-2</v>
      </c>
      <c r="X93" s="246">
        <f t="shared" ref="X93" si="414">+X92/T92-1</f>
        <v>0</v>
      </c>
      <c r="Y93" s="246">
        <f t="shared" ref="Y93:AD93" si="415">+Y92/U92-1</f>
        <v>0</v>
      </c>
      <c r="Z93" s="246">
        <f t="shared" si="415"/>
        <v>0.12903225806451624</v>
      </c>
      <c r="AA93" s="878">
        <f t="shared" si="415"/>
        <v>-5.8823529411764719E-2</v>
      </c>
      <c r="AB93" s="246">
        <f t="shared" si="415"/>
        <v>-0.2068965517241379</v>
      </c>
      <c r="AC93" s="246">
        <f t="shared" si="415"/>
        <v>0.46428571428571419</v>
      </c>
      <c r="AD93" s="246">
        <f t="shared" si="415"/>
        <v>0.22857142857142865</v>
      </c>
      <c r="AE93" s="1144">
        <v>0.02</v>
      </c>
      <c r="AF93" s="1145">
        <v>0.01</v>
      </c>
      <c r="AG93" s="1145">
        <v>0.02</v>
      </c>
      <c r="AH93" s="1145">
        <v>0.03</v>
      </c>
      <c r="AI93" s="1144">
        <v>0.04</v>
      </c>
      <c r="AK93" s="246"/>
      <c r="AL93" s="246" t="e">
        <f t="shared" ref="AL93:AP93" si="416">+AL92/AK92-1</f>
        <v>#DIV/0!</v>
      </c>
      <c r="AM93" s="246" t="e">
        <f t="shared" si="416"/>
        <v>#DIV/0!</v>
      </c>
      <c r="AN93" s="246" t="e">
        <f t="shared" si="416"/>
        <v>#DIV/0!</v>
      </c>
      <c r="AO93" s="246">
        <f t="shared" si="416"/>
        <v>-6.1538461538461542E-2</v>
      </c>
      <c r="AP93" s="246">
        <f t="shared" si="416"/>
        <v>1.6393442622950838E-2</v>
      </c>
      <c r="AQ93" s="552">
        <f t="shared" ref="AQ93" si="417">+AQ92/AP92-1</f>
        <v>0.1261290322580646</v>
      </c>
      <c r="AR93" s="552">
        <f t="shared" ref="AR93" si="418">+AR92/AQ92-1</f>
        <v>2.6107132626754348E-2</v>
      </c>
      <c r="AS93" s="1169"/>
    </row>
    <row r="94" spans="2:45" s="244" customFormat="1" x14ac:dyDescent="0.2">
      <c r="B94" s="2" t="s">
        <v>276</v>
      </c>
      <c r="D94" s="163">
        <f t="shared" ref="D94:X94" si="419">+D90-D92</f>
        <v>1019</v>
      </c>
      <c r="E94" s="163">
        <f t="shared" si="419"/>
        <v>1108</v>
      </c>
      <c r="F94" s="163">
        <f t="shared" si="419"/>
        <v>1074</v>
      </c>
      <c r="G94" s="865">
        <f t="shared" si="419"/>
        <v>1314</v>
      </c>
      <c r="H94" s="163">
        <f t="shared" si="419"/>
        <v>777</v>
      </c>
      <c r="I94" s="163">
        <f t="shared" si="419"/>
        <v>1112</v>
      </c>
      <c r="J94" s="163">
        <f t="shared" si="419"/>
        <v>1979</v>
      </c>
      <c r="K94" s="865">
        <f t="shared" si="419"/>
        <v>1618</v>
      </c>
      <c r="L94" s="163">
        <f t="shared" si="419"/>
        <v>1210</v>
      </c>
      <c r="M94" s="163">
        <f t="shared" si="419"/>
        <v>1276</v>
      </c>
      <c r="N94" s="163">
        <f t="shared" si="419"/>
        <v>1259</v>
      </c>
      <c r="O94" s="865">
        <f t="shared" si="419"/>
        <v>1750</v>
      </c>
      <c r="P94" s="163">
        <f t="shared" si="419"/>
        <v>1153</v>
      </c>
      <c r="Q94" s="163">
        <f t="shared" si="419"/>
        <v>1501</v>
      </c>
      <c r="R94" s="163">
        <f t="shared" si="419"/>
        <v>1472</v>
      </c>
      <c r="S94" s="865">
        <f t="shared" si="419"/>
        <v>1643</v>
      </c>
      <c r="T94" s="163">
        <f t="shared" si="419"/>
        <v>1148</v>
      </c>
      <c r="U94" s="163">
        <f t="shared" si="419"/>
        <v>1421</v>
      </c>
      <c r="V94" s="163">
        <f t="shared" si="419"/>
        <v>1071</v>
      </c>
      <c r="W94" s="865">
        <f t="shared" si="419"/>
        <v>1400</v>
      </c>
      <c r="X94" s="163">
        <f t="shared" si="419"/>
        <v>1075</v>
      </c>
      <c r="Y94" s="163">
        <f t="shared" ref="Y94:AD94" si="420">+Y90-Y92</f>
        <v>1198</v>
      </c>
      <c r="Z94" s="163">
        <f t="shared" si="420"/>
        <v>1400</v>
      </c>
      <c r="AA94" s="865">
        <f t="shared" si="420"/>
        <v>1773</v>
      </c>
      <c r="AB94" s="163">
        <f t="shared" si="420"/>
        <v>1222</v>
      </c>
      <c r="AC94" s="163">
        <f t="shared" si="420"/>
        <v>1527</v>
      </c>
      <c r="AD94" s="163">
        <f t="shared" si="420"/>
        <v>2132</v>
      </c>
      <c r="AE94" s="901">
        <f t="shared" ref="AE94:AI94" si="421">+AE90-AE92</f>
        <v>1699.1362427745664</v>
      </c>
      <c r="AF94" s="554">
        <f t="shared" si="421"/>
        <v>1143.25</v>
      </c>
      <c r="AG94" s="554">
        <f t="shared" si="421"/>
        <v>1269.93</v>
      </c>
      <c r="AH94" s="554">
        <f t="shared" si="421"/>
        <v>1587.79</v>
      </c>
      <c r="AI94" s="901">
        <f t="shared" si="421"/>
        <v>1678.4489589595373</v>
      </c>
      <c r="AK94" s="163">
        <f t="shared" ref="AK94:AS94" si="422">SUMIFS($D94:$AI94,$D$3:$AI$3, AK$3)</f>
        <v>4515</v>
      </c>
      <c r="AL94" s="163">
        <f t="shared" si="422"/>
        <v>5486</v>
      </c>
      <c r="AM94" s="163">
        <f t="shared" si="422"/>
        <v>5495</v>
      </c>
      <c r="AN94" s="163">
        <f t="shared" si="422"/>
        <v>5769</v>
      </c>
      <c r="AO94" s="163">
        <f t="shared" si="422"/>
        <v>5040</v>
      </c>
      <c r="AP94" s="163">
        <f t="shared" si="422"/>
        <v>5446</v>
      </c>
      <c r="AQ94" s="554">
        <f t="shared" si="422"/>
        <v>6580.1362427745662</v>
      </c>
      <c r="AR94" s="554">
        <f t="shared" si="422"/>
        <v>5679.4189589595371</v>
      </c>
      <c r="AS94" s="554">
        <f t="shared" si="422"/>
        <v>0</v>
      </c>
    </row>
    <row r="95" spans="2:45" s="244" customFormat="1" x14ac:dyDescent="0.2">
      <c r="B95" s="243" t="s">
        <v>266</v>
      </c>
      <c r="D95" s="245"/>
      <c r="E95" s="245"/>
      <c r="F95" s="245"/>
      <c r="G95" s="896"/>
      <c r="H95" s="245"/>
      <c r="I95" s="245"/>
      <c r="J95" s="245"/>
      <c r="K95" s="896"/>
      <c r="L95" s="304"/>
      <c r="M95" s="304">
        <f t="shared" ref="M95" si="423">+M94/I94-1</f>
        <v>0.14748201438848918</v>
      </c>
      <c r="N95" s="304">
        <f t="shared" ref="N95" si="424">+N94/J94-1</f>
        <v>-0.36382011116725621</v>
      </c>
      <c r="O95" s="1038">
        <f t="shared" ref="O95" si="425">+O94/K94-1</f>
        <v>8.158220024721885E-2</v>
      </c>
      <c r="P95" s="304">
        <f t="shared" ref="P95" si="426">+P94/L94-1</f>
        <v>-4.7107438016528946E-2</v>
      </c>
      <c r="Q95" s="304">
        <f t="shared" ref="Q95" si="427">+Q94/M94-1</f>
        <v>0.17633228840125392</v>
      </c>
      <c r="R95" s="304">
        <f t="shared" ref="R95" si="428">+R94/N94-1</f>
        <v>0.16918189038919773</v>
      </c>
      <c r="S95" s="1038">
        <f t="shared" ref="S95" si="429">+S94/O94-1</f>
        <v>-6.1142857142857165E-2</v>
      </c>
      <c r="T95" s="304">
        <f t="shared" ref="T95" si="430">+T94/P94-1</f>
        <v>-4.3365134431916363E-3</v>
      </c>
      <c r="U95" s="304">
        <f t="shared" ref="U95" si="431">+U94/Q94-1</f>
        <v>-5.329780146568952E-2</v>
      </c>
      <c r="V95" s="246">
        <f t="shared" ref="V95" si="432">+V94/R94-1</f>
        <v>-0.27241847826086951</v>
      </c>
      <c r="W95" s="878">
        <f t="shared" ref="W95" si="433">+W94/S94-1</f>
        <v>-0.14790018259281801</v>
      </c>
      <c r="X95" s="246">
        <f t="shared" ref="X95" si="434">+X94/T94-1</f>
        <v>-6.3588850174216005E-2</v>
      </c>
      <c r="Y95" s="246">
        <f t="shared" ref="Y95:AD95" si="435">+Y94/U94-1</f>
        <v>-0.15693173821252637</v>
      </c>
      <c r="Z95" s="246">
        <f t="shared" si="435"/>
        <v>0.30718954248366015</v>
      </c>
      <c r="AA95" s="878">
        <f t="shared" si="435"/>
        <v>0.26642857142857146</v>
      </c>
      <c r="AB95" s="246">
        <f t="shared" si="435"/>
        <v>0.13674418604651173</v>
      </c>
      <c r="AC95" s="246">
        <f t="shared" si="435"/>
        <v>0.27462437395659434</v>
      </c>
      <c r="AD95" s="246">
        <f t="shared" si="435"/>
        <v>0.52285714285714291</v>
      </c>
      <c r="AE95" s="1137">
        <f t="shared" ref="AE95" si="436">+AE94/AA94-1</f>
        <v>-4.1660325564260359E-2</v>
      </c>
      <c r="AF95" s="552">
        <f t="shared" ref="AF95" si="437">+AF94/AB94-1</f>
        <v>-6.4443535188215995E-2</v>
      </c>
      <c r="AG95" s="552">
        <f t="shared" ref="AG95" si="438">+AG94/AC94-1</f>
        <v>-0.16834970530451865</v>
      </c>
      <c r="AH95" s="552">
        <f t="shared" ref="AH95" si="439">+AH94/AD94-1</f>
        <v>-0.2552579737335835</v>
      </c>
      <c r="AI95" s="1137">
        <f t="shared" ref="AI95" si="440">+AI94/AE94-1</f>
        <v>-1.2175176595167092E-2</v>
      </c>
      <c r="AK95" s="246"/>
      <c r="AL95" s="246">
        <f t="shared" ref="AL95:AP95" si="441">+AL94/AK94-1</f>
        <v>0.21506090808416389</v>
      </c>
      <c r="AM95" s="246">
        <f t="shared" si="441"/>
        <v>1.6405395552314683E-3</v>
      </c>
      <c r="AN95" s="246">
        <f t="shared" si="441"/>
        <v>4.9863512283894407E-2</v>
      </c>
      <c r="AO95" s="246">
        <f t="shared" si="441"/>
        <v>-0.12636505460218406</v>
      </c>
      <c r="AP95" s="246">
        <f t="shared" si="441"/>
        <v>8.0555555555555491E-2</v>
      </c>
      <c r="AQ95" s="552">
        <f t="shared" ref="AQ95" si="442">+AQ94/AP94-1</f>
        <v>0.20825123811505075</v>
      </c>
      <c r="AR95" s="552">
        <f t="shared" ref="AR95" si="443">+AR94/AQ94-1</f>
        <v>-0.13688429093000576</v>
      </c>
      <c r="AS95" s="1169"/>
    </row>
    <row r="96" spans="2:45" s="247" customFormat="1" x14ac:dyDescent="0.2">
      <c r="B96" s="243" t="s">
        <v>267</v>
      </c>
      <c r="D96" s="248"/>
      <c r="E96" s="248"/>
      <c r="F96" s="248"/>
      <c r="G96" s="897"/>
      <c r="H96" s="248"/>
      <c r="I96" s="248"/>
      <c r="J96" s="304">
        <f t="shared" ref="J96" si="444">+J94/I94-1</f>
        <v>0.77967625899280568</v>
      </c>
      <c r="K96" s="1038">
        <f t="shared" ref="K96" si="445">+K94/J94-1</f>
        <v>-0.1824153612935826</v>
      </c>
      <c r="L96" s="304">
        <f t="shared" ref="L96" si="446">+L94/K94-1</f>
        <v>-0.25216316440049447</v>
      </c>
      <c r="M96" s="304">
        <f t="shared" ref="M96" si="447">+M94/L94-1</f>
        <v>5.4545454545454453E-2</v>
      </c>
      <c r="N96" s="304">
        <f t="shared" ref="N96" si="448">+N94/M94-1</f>
        <v>-1.3322884012539227E-2</v>
      </c>
      <c r="O96" s="1038">
        <f t="shared" ref="O96" si="449">+O94/N94-1</f>
        <v>0.3899920571882447</v>
      </c>
      <c r="P96" s="304">
        <f t="shared" ref="P96" si="450">+P94/O94-1</f>
        <v>-0.34114285714285719</v>
      </c>
      <c r="Q96" s="304">
        <f t="shared" ref="Q96" si="451">+Q94/P94-1</f>
        <v>0.30182133564614055</v>
      </c>
      <c r="R96" s="304">
        <f t="shared" ref="R96:AD96" si="452">+R94/Q94-1</f>
        <v>-1.9320453031312468E-2</v>
      </c>
      <c r="S96" s="878">
        <f t="shared" si="452"/>
        <v>0.11616847826086962</v>
      </c>
      <c r="T96" s="246">
        <f t="shared" si="452"/>
        <v>-0.30127814972611078</v>
      </c>
      <c r="U96" s="246">
        <f t="shared" si="452"/>
        <v>0.23780487804878048</v>
      </c>
      <c r="V96" s="246">
        <f t="shared" si="452"/>
        <v>-0.24630541871921185</v>
      </c>
      <c r="W96" s="878">
        <f t="shared" si="452"/>
        <v>0.30718954248366015</v>
      </c>
      <c r="X96" s="246">
        <f t="shared" si="452"/>
        <v>-0.2321428571428571</v>
      </c>
      <c r="Y96" s="246">
        <f t="shared" si="452"/>
        <v>0.11441860465116283</v>
      </c>
      <c r="Z96" s="246">
        <f t="shared" si="452"/>
        <v>0.1686143572621035</v>
      </c>
      <c r="AA96" s="878">
        <f t="shared" si="452"/>
        <v>0.26642857142857146</v>
      </c>
      <c r="AB96" s="246">
        <f t="shared" si="452"/>
        <v>-0.31077270163564574</v>
      </c>
      <c r="AC96" s="246">
        <f t="shared" si="452"/>
        <v>0.24959083469721777</v>
      </c>
      <c r="AD96" s="246">
        <f t="shared" si="452"/>
        <v>0.39620170268500332</v>
      </c>
      <c r="AE96" s="1137">
        <f t="shared" ref="AE96" si="453">+AE94/AD94-1</f>
        <v>-0.20303178106258613</v>
      </c>
      <c r="AF96" s="552">
        <f t="shared" ref="AF96" si="454">+AF94/AE94-1</f>
        <v>-0.32715813410397532</v>
      </c>
      <c r="AG96" s="552">
        <f t="shared" ref="AG96" si="455">+AG94/AF94-1</f>
        <v>0.11080691012464472</v>
      </c>
      <c r="AH96" s="552">
        <f t="shared" ref="AH96" si="456">+AH94/AG94-1</f>
        <v>0.25029726047892398</v>
      </c>
      <c r="AI96" s="1137">
        <f t="shared" ref="AI96" si="457">+AI94/AH94-1</f>
        <v>5.7097575220613095E-2</v>
      </c>
      <c r="AQ96" s="1090"/>
      <c r="AR96" s="1090"/>
      <c r="AS96" s="1090"/>
    </row>
    <row r="97" spans="2:45" s="249" customFormat="1" x14ac:dyDescent="0.2">
      <c r="B97" s="256" t="s">
        <v>808</v>
      </c>
      <c r="D97" s="1049"/>
      <c r="E97" s="164">
        <f t="shared" ref="E97:AI97" si="458">E90-E77</f>
        <v>1108</v>
      </c>
      <c r="F97" s="164">
        <f t="shared" si="458"/>
        <v>1074</v>
      </c>
      <c r="G97" s="870">
        <f t="shared" si="458"/>
        <v>1314</v>
      </c>
      <c r="H97" s="164">
        <f t="shared" si="458"/>
        <v>777</v>
      </c>
      <c r="I97" s="164">
        <f t="shared" si="458"/>
        <v>1112</v>
      </c>
      <c r="J97" s="164">
        <f t="shared" si="458"/>
        <v>1979</v>
      </c>
      <c r="K97" s="870">
        <f t="shared" si="458"/>
        <v>1618</v>
      </c>
      <c r="L97" s="164">
        <f t="shared" si="458"/>
        <v>1117</v>
      </c>
      <c r="M97" s="164">
        <f t="shared" si="458"/>
        <v>1181</v>
      </c>
      <c r="N97" s="164">
        <f t="shared" si="458"/>
        <v>1125</v>
      </c>
      <c r="O97" s="870">
        <f t="shared" si="458"/>
        <v>1526</v>
      </c>
      <c r="P97" s="164">
        <f t="shared" si="458"/>
        <v>989</v>
      </c>
      <c r="Q97" s="164">
        <f t="shared" si="458"/>
        <v>1159</v>
      </c>
      <c r="R97" s="164">
        <f t="shared" si="458"/>
        <v>1139</v>
      </c>
      <c r="S97" s="870">
        <f t="shared" si="458"/>
        <v>1368</v>
      </c>
      <c r="T97" s="164">
        <f t="shared" si="458"/>
        <v>848</v>
      </c>
      <c r="U97" s="164">
        <f t="shared" si="458"/>
        <v>1114</v>
      </c>
      <c r="V97" s="164">
        <f t="shared" si="458"/>
        <v>721</v>
      </c>
      <c r="W97" s="870">
        <f t="shared" si="458"/>
        <v>1089</v>
      </c>
      <c r="X97" s="164">
        <f t="shared" si="458"/>
        <v>874</v>
      </c>
      <c r="Y97" s="164">
        <f t="shared" si="458"/>
        <v>980</v>
      </c>
      <c r="Z97" s="164">
        <f t="shared" si="458"/>
        <v>1190</v>
      </c>
      <c r="AA97" s="870">
        <f t="shared" si="458"/>
        <v>1568</v>
      </c>
      <c r="AB97" s="164">
        <f t="shared" si="458"/>
        <v>950</v>
      </c>
      <c r="AC97" s="164">
        <f t="shared" si="458"/>
        <v>1305</v>
      </c>
      <c r="AD97" s="164">
        <f t="shared" si="458"/>
        <v>1881</v>
      </c>
      <c r="AE97" s="1152">
        <f t="shared" si="458"/>
        <v>1515.4762427745666</v>
      </c>
      <c r="AF97" s="525">
        <f t="shared" si="458"/>
        <v>900.23</v>
      </c>
      <c r="AG97" s="525">
        <f t="shared" si="458"/>
        <v>1117.9299999999998</v>
      </c>
      <c r="AH97" s="525">
        <f t="shared" si="458"/>
        <v>1417.78</v>
      </c>
      <c r="AI97" s="1152">
        <f t="shared" si="458"/>
        <v>1520.7213589595374</v>
      </c>
      <c r="AK97" s="164">
        <f t="shared" ref="AK97:AS97" si="459">AK90-AK77</f>
        <v>4152</v>
      </c>
      <c r="AL97" s="164">
        <f t="shared" si="459"/>
        <v>5061</v>
      </c>
      <c r="AM97" s="164">
        <f t="shared" si="459"/>
        <v>5040</v>
      </c>
      <c r="AN97" s="164">
        <f t="shared" si="459"/>
        <v>3326</v>
      </c>
      <c r="AO97" s="164">
        <f t="shared" si="459"/>
        <v>3921</v>
      </c>
      <c r="AP97" s="164">
        <f t="shared" si="459"/>
        <v>4604</v>
      </c>
      <c r="AQ97" s="525">
        <f t="shared" si="459"/>
        <v>5570.4762427745673</v>
      </c>
      <c r="AR97" s="525">
        <f t="shared" si="459"/>
        <v>5061.3988589595383</v>
      </c>
      <c r="AS97" s="525">
        <f t="shared" si="459"/>
        <v>5010.6672681907512</v>
      </c>
    </row>
    <row r="98" spans="2:45" s="244" customFormat="1" x14ac:dyDescent="0.2">
      <c r="B98" s="243" t="s">
        <v>266</v>
      </c>
      <c r="D98" s="245"/>
      <c r="E98" s="245"/>
      <c r="F98" s="245"/>
      <c r="G98" s="896"/>
      <c r="H98" s="245"/>
      <c r="I98" s="245"/>
      <c r="J98" s="245"/>
      <c r="K98" s="896"/>
      <c r="L98" s="304"/>
      <c r="M98" s="304">
        <f t="shared" ref="M98" si="460">+M97/I97-1</f>
        <v>6.2050359712230163E-2</v>
      </c>
      <c r="N98" s="304">
        <f t="shared" ref="N98" si="461">+N97/J97-1</f>
        <v>-0.43153107630116216</v>
      </c>
      <c r="O98" s="1038">
        <f t="shared" ref="O98" si="462">+O97/K97-1</f>
        <v>-5.6860321384425205E-2</v>
      </c>
      <c r="P98" s="304">
        <f t="shared" ref="P98" si="463">+P97/L97-1</f>
        <v>-0.11459265890778869</v>
      </c>
      <c r="Q98" s="304">
        <f t="shared" ref="Q98" si="464">+Q97/M97-1</f>
        <v>-1.8628281117696877E-2</v>
      </c>
      <c r="R98" s="304">
        <f t="shared" ref="R98" si="465">+R97/N97-1</f>
        <v>1.244444444444448E-2</v>
      </c>
      <c r="S98" s="1038">
        <f t="shared" ref="S98" si="466">+S97/O97-1</f>
        <v>-0.10353866317169069</v>
      </c>
      <c r="T98" s="304">
        <f t="shared" ref="T98" si="467">+T97/P97-1</f>
        <v>-0.14256825075834179</v>
      </c>
      <c r="U98" s="304">
        <f t="shared" ref="U98" si="468">+U97/Q97-1</f>
        <v>-3.8826574633304523E-2</v>
      </c>
      <c r="V98" s="246">
        <f t="shared" ref="V98" si="469">+V97/R97-1</f>
        <v>-0.36698858647936783</v>
      </c>
      <c r="W98" s="878">
        <f t="shared" ref="W98" si="470">+W97/S97-1</f>
        <v>-0.20394736842105265</v>
      </c>
      <c r="X98" s="246">
        <f t="shared" ref="X98" si="471">+X97/T97-1</f>
        <v>3.0660377358490587E-2</v>
      </c>
      <c r="Y98" s="304">
        <f t="shared" ref="Y98:AD98" si="472">+Y97/U97-1</f>
        <v>-0.1202872531418312</v>
      </c>
      <c r="Z98" s="304">
        <f t="shared" si="472"/>
        <v>0.65048543689320382</v>
      </c>
      <c r="AA98" s="878">
        <f t="shared" si="472"/>
        <v>0.43985307621671255</v>
      </c>
      <c r="AB98" s="246">
        <f t="shared" si="472"/>
        <v>8.6956521739130377E-2</v>
      </c>
      <c r="AC98" s="246">
        <f t="shared" si="472"/>
        <v>0.33163265306122458</v>
      </c>
      <c r="AD98" s="246">
        <f t="shared" si="472"/>
        <v>0.58067226890756296</v>
      </c>
      <c r="AE98" s="1173">
        <f t="shared" ref="AE98" si="473">+AE97/AA97-1</f>
        <v>-3.3497294148873369E-2</v>
      </c>
      <c r="AF98" s="1082">
        <f t="shared" ref="AF98" si="474">+AF97/AB97-1</f>
        <v>-5.2389473684210541E-2</v>
      </c>
      <c r="AG98" s="1082">
        <f t="shared" ref="AG98" si="475">+AG97/AC97-1</f>
        <v>-0.14334865900383154</v>
      </c>
      <c r="AH98" s="1082">
        <f t="shared" ref="AH98" si="476">+AH97/AD97-1</f>
        <v>-0.24626262626262629</v>
      </c>
      <c r="AI98" s="1173">
        <f t="shared" ref="AI98" si="477">+AI97/AE97-1</f>
        <v>3.4610349122781159E-3</v>
      </c>
      <c r="AJ98" s="1302"/>
      <c r="AK98" s="246"/>
      <c r="AL98" s="246">
        <f t="shared" ref="AL98" si="478">+AL97/AK97-1</f>
        <v>0.2189306358381502</v>
      </c>
      <c r="AM98" s="246">
        <f t="shared" ref="AM98" si="479">+AM97/AL97-1</f>
        <v>-4.1493775933609811E-3</v>
      </c>
      <c r="AN98" s="246">
        <f t="shared" ref="AN98" si="480">+AN97/AM97-1</f>
        <v>-0.34007936507936509</v>
      </c>
      <c r="AO98" s="246">
        <f t="shared" ref="AO98:AP98" si="481">+AO97/AN97-1</f>
        <v>0.17889356584485872</v>
      </c>
      <c r="AP98" s="246">
        <f t="shared" si="481"/>
        <v>0.17419025758735018</v>
      </c>
      <c r="AQ98" s="552">
        <f t="shared" ref="AQ98" si="482">+AQ97/AP97-1</f>
        <v>0.20992099104573581</v>
      </c>
      <c r="AR98" s="552">
        <f t="shared" ref="AR98" si="483">+AR97/AQ97-1</f>
        <v>-9.138848486704354E-2</v>
      </c>
      <c r="AS98" s="552">
        <f t="shared" ref="AS98" si="484">+AS97/AR97-1</f>
        <v>-1.0023235113941542E-2</v>
      </c>
    </row>
    <row r="99" spans="2:45" s="244" customFormat="1" x14ac:dyDescent="0.2">
      <c r="B99" s="243"/>
      <c r="D99" s="245"/>
      <c r="E99" s="245"/>
      <c r="F99" s="245"/>
      <c r="G99" s="896"/>
      <c r="H99" s="245"/>
      <c r="I99" s="245"/>
      <c r="J99" s="245"/>
      <c r="K99" s="896"/>
      <c r="L99" s="245"/>
      <c r="M99" s="245"/>
      <c r="N99" s="245"/>
      <c r="O99" s="896"/>
      <c r="P99" s="245"/>
      <c r="Q99" s="245"/>
      <c r="R99" s="245"/>
      <c r="S99" s="896"/>
      <c r="T99" s="246"/>
      <c r="U99" s="246"/>
      <c r="V99" s="246"/>
      <c r="W99" s="878"/>
      <c r="X99" s="246"/>
      <c r="Y99" s="246"/>
      <c r="Z99" s="246"/>
      <c r="AA99" s="878"/>
      <c r="AB99" s="246"/>
      <c r="AC99" s="246"/>
      <c r="AD99" s="246"/>
      <c r="AE99" s="1170"/>
      <c r="AF99" s="1169"/>
      <c r="AG99" s="1169"/>
      <c r="AH99" s="1169"/>
      <c r="AI99" s="1170"/>
      <c r="AQ99" s="1169"/>
      <c r="AR99" s="1169"/>
      <c r="AS99" s="1169"/>
    </row>
    <row r="100" spans="2:45" x14ac:dyDescent="0.2">
      <c r="B100" s="3" t="s">
        <v>250</v>
      </c>
      <c r="G100" s="595"/>
      <c r="K100" s="595"/>
      <c r="O100" s="595"/>
      <c r="S100" s="595"/>
      <c r="W100" s="595"/>
      <c r="AA100" s="595"/>
      <c r="AE100" s="913"/>
      <c r="AF100" s="370"/>
      <c r="AG100" s="370"/>
      <c r="AH100" s="370"/>
      <c r="AI100" s="913"/>
      <c r="AQ100" s="370"/>
      <c r="AR100" s="370"/>
      <c r="AS100" s="370"/>
    </row>
    <row r="101" spans="2:45" x14ac:dyDescent="0.2">
      <c r="B101" s="2" t="s">
        <v>801</v>
      </c>
      <c r="D101" s="162">
        <f>+Metrics!L34</f>
        <v>14234</v>
      </c>
      <c r="E101" s="162">
        <f>+Metrics!M34</f>
        <v>14480</v>
      </c>
      <c r="F101" s="162">
        <f>+Metrics!N34</f>
        <v>14734</v>
      </c>
      <c r="G101" s="863">
        <f>+Metrics!O34</f>
        <v>15047</v>
      </c>
      <c r="H101" s="162">
        <f>+Metrics!P34</f>
        <v>25385</v>
      </c>
      <c r="I101" s="162">
        <f>+Metrics!Q34</f>
        <v>25486</v>
      </c>
      <c r="J101" s="162">
        <f>+Metrics!R34</f>
        <v>25623</v>
      </c>
      <c r="K101" s="863">
        <f>+Metrics!S34</f>
        <v>25754</v>
      </c>
      <c r="L101" s="162">
        <f>+Metrics!T34</f>
        <v>26014</v>
      </c>
      <c r="M101" s="162">
        <f>+Metrics!U34</f>
        <v>26363</v>
      </c>
      <c r="N101" s="162">
        <f>+Metrics!V34</f>
        <v>26901</v>
      </c>
      <c r="O101" s="863">
        <f>+Metrics!W34</f>
        <v>27216</v>
      </c>
      <c r="P101" s="162">
        <f>+Metrics!X34</f>
        <v>27507</v>
      </c>
      <c r="Q101" s="162">
        <f>+Metrics!Y34</f>
        <v>27818</v>
      </c>
      <c r="R101" s="162">
        <f>+Metrics!Z34</f>
        <v>28212</v>
      </c>
      <c r="S101" s="863">
        <f>+Metrics!AA34</f>
        <v>28526</v>
      </c>
      <c r="T101" s="162">
        <f>+Metrics!AB34</f>
        <v>28813</v>
      </c>
      <c r="U101" s="162">
        <f>+Metrics!AC34</f>
        <v>29112</v>
      </c>
      <c r="V101" s="162">
        <f>+Metrics!AD34</f>
        <v>29498</v>
      </c>
      <c r="W101" s="863">
        <f>+Metrics!AE34</f>
        <v>29797</v>
      </c>
      <c r="X101" s="162">
        <f>+Metrics!AF34</f>
        <v>30015</v>
      </c>
      <c r="Y101" s="162">
        <f>+Metrics!AG34</f>
        <v>30316</v>
      </c>
      <c r="Z101" s="162">
        <f>+Metrics!AH34</f>
        <v>30631</v>
      </c>
      <c r="AA101" s="863">
        <f>+Metrics!AI34</f>
        <v>30894</v>
      </c>
      <c r="AB101" s="162">
        <f>+Metrics!AJ34</f>
        <v>31099</v>
      </c>
      <c r="AC101" s="162">
        <f>+Metrics!AK34</f>
        <v>31502</v>
      </c>
      <c r="AD101" s="162">
        <f>+Metrics!AL34</f>
        <v>33979</v>
      </c>
      <c r="AE101" s="970">
        <f>AE41/AE104</f>
        <v>34188.270634254528</v>
      </c>
      <c r="AF101" s="524">
        <f>AF41/AF104</f>
        <v>34421.176653995739</v>
      </c>
      <c r="AG101" s="524">
        <f>AG41/AG104</f>
        <v>34712.400113411124</v>
      </c>
      <c r="AH101" s="524">
        <f>AH41/AH104</f>
        <v>35764.20638116893</v>
      </c>
      <c r="AI101" s="970">
        <f>AI41/AI104</f>
        <v>36065.595287962286</v>
      </c>
      <c r="AK101" s="163">
        <f t="shared" ref="AK101:AR101" si="485">SUMIFS($D101:$AI101,$D$3:$AI$3, AK$3,$D$2:$AI$2,4)</f>
        <v>15047</v>
      </c>
      <c r="AL101" s="163">
        <f t="shared" si="485"/>
        <v>25754</v>
      </c>
      <c r="AM101" s="163">
        <f t="shared" si="485"/>
        <v>27216</v>
      </c>
      <c r="AN101" s="163">
        <f t="shared" si="485"/>
        <v>28526</v>
      </c>
      <c r="AO101" s="163">
        <f t="shared" si="485"/>
        <v>29797</v>
      </c>
      <c r="AP101" s="163">
        <f t="shared" si="485"/>
        <v>30894</v>
      </c>
      <c r="AQ101" s="554">
        <f t="shared" si="485"/>
        <v>34188.270634254528</v>
      </c>
      <c r="AR101" s="554">
        <f t="shared" si="485"/>
        <v>36065.595287962286</v>
      </c>
      <c r="AS101" s="524">
        <f>AS41/AS104</f>
        <v>38020.125844633149</v>
      </c>
    </row>
    <row r="102" spans="2:45" s="244" customFormat="1" x14ac:dyDescent="0.2">
      <c r="B102" s="243" t="s">
        <v>266</v>
      </c>
      <c r="D102" s="245"/>
      <c r="E102" s="245"/>
      <c r="F102" s="245"/>
      <c r="G102" s="896"/>
      <c r="H102" s="245"/>
      <c r="I102" s="245"/>
      <c r="J102" s="245"/>
      <c r="K102" s="896"/>
      <c r="L102" s="245"/>
      <c r="M102" s="245"/>
      <c r="N102" s="245"/>
      <c r="O102" s="896"/>
      <c r="P102" s="245"/>
      <c r="Q102" s="245"/>
      <c r="R102" s="245"/>
      <c r="S102" s="896"/>
      <c r="T102" s="246"/>
      <c r="U102" s="246">
        <f t="shared" ref="U102" si="486">+U101/Q101-1</f>
        <v>4.6516643899633392E-2</v>
      </c>
      <c r="V102" s="246">
        <f t="shared" ref="V102" si="487">+V101/R101-1</f>
        <v>4.5583439671061932E-2</v>
      </c>
      <c r="W102" s="878">
        <f t="shared" ref="W102" si="488">+W101/S101-1</f>
        <v>4.4555843791628691E-2</v>
      </c>
      <c r="X102" s="246">
        <f t="shared" ref="X102" si="489">+X101/T101-1</f>
        <v>4.1717280394266476E-2</v>
      </c>
      <c r="Y102" s="246">
        <f t="shared" ref="Y102:AD102" si="490">+Y101/U101-1</f>
        <v>4.1357515801044187E-2</v>
      </c>
      <c r="Z102" s="246">
        <f t="shared" si="490"/>
        <v>3.8409383687029619E-2</v>
      </c>
      <c r="AA102" s="878">
        <f t="shared" si="490"/>
        <v>3.6815786824176966E-2</v>
      </c>
      <c r="AB102" s="246">
        <f t="shared" si="490"/>
        <v>3.6115275695485671E-2</v>
      </c>
      <c r="AC102" s="246">
        <f t="shared" si="490"/>
        <v>3.9121256102388147E-2</v>
      </c>
      <c r="AD102" s="246">
        <f t="shared" si="490"/>
        <v>0.10930103489928511</v>
      </c>
      <c r="AE102" s="1137">
        <f t="shared" ref="AE102" si="491">+AE101/AA101-1</f>
        <v>0.10663140526492287</v>
      </c>
      <c r="AF102" s="552">
        <f t="shared" ref="AF102" si="492">+AF101/AB101-1</f>
        <v>0.10682583536434409</v>
      </c>
      <c r="AG102" s="552">
        <f t="shared" ref="AG102" si="493">+AG101/AC101-1</f>
        <v>0.10191099337855136</v>
      </c>
      <c r="AH102" s="552">
        <f t="shared" ref="AH102" si="494">+AH101/AD101-1</f>
        <v>5.2538520296916635E-2</v>
      </c>
      <c r="AI102" s="1137">
        <f t="shared" ref="AI102" si="495">+AI101/AE101-1</f>
        <v>5.4911366351089841E-2</v>
      </c>
      <c r="AK102" s="246"/>
      <c r="AL102" s="246">
        <f t="shared" ref="AL102:AS102" si="496">+AL101/AK101-1</f>
        <v>0.71157041270685184</v>
      </c>
      <c r="AM102" s="246">
        <f t="shared" si="496"/>
        <v>5.676788071755845E-2</v>
      </c>
      <c r="AN102" s="246">
        <f t="shared" si="496"/>
        <v>4.8133450911228781E-2</v>
      </c>
      <c r="AO102" s="246">
        <f t="shared" si="496"/>
        <v>4.4555843791628691E-2</v>
      </c>
      <c r="AP102" s="246">
        <f t="shared" si="496"/>
        <v>3.6815786824176966E-2</v>
      </c>
      <c r="AQ102" s="552">
        <f t="shared" si="496"/>
        <v>0.10663140526492287</v>
      </c>
      <c r="AR102" s="552">
        <f t="shared" si="496"/>
        <v>5.4911366351089841E-2</v>
      </c>
      <c r="AS102" s="552">
        <f t="shared" si="496"/>
        <v>5.4193769465472608E-2</v>
      </c>
    </row>
    <row r="103" spans="2:45" s="247" customFormat="1" x14ac:dyDescent="0.2">
      <c r="B103" s="243" t="s">
        <v>267</v>
      </c>
      <c r="D103" s="248"/>
      <c r="E103" s="248"/>
      <c r="F103" s="248"/>
      <c r="G103" s="897"/>
      <c r="H103" s="248"/>
      <c r="I103" s="248"/>
      <c r="J103" s="248"/>
      <c r="K103" s="897"/>
      <c r="L103" s="248"/>
      <c r="M103" s="248"/>
      <c r="N103" s="248"/>
      <c r="O103" s="897"/>
      <c r="P103" s="248"/>
      <c r="Q103" s="246"/>
      <c r="R103" s="246">
        <f t="shared" ref="R103:AD103" si="497">+R101/Q101-1</f>
        <v>1.4163491264648886E-2</v>
      </c>
      <c r="S103" s="878">
        <f t="shared" si="497"/>
        <v>1.1130015596200193E-2</v>
      </c>
      <c r="T103" s="246">
        <f t="shared" si="497"/>
        <v>1.0060996985206572E-2</v>
      </c>
      <c r="U103" s="246">
        <f t="shared" si="497"/>
        <v>1.0377260264464061E-2</v>
      </c>
      <c r="V103" s="246">
        <f t="shared" si="497"/>
        <v>1.3259137125583909E-2</v>
      </c>
      <c r="W103" s="878">
        <f t="shared" si="497"/>
        <v>1.0136280425791622E-2</v>
      </c>
      <c r="X103" s="246">
        <f t="shared" si="497"/>
        <v>7.3161727690707057E-3</v>
      </c>
      <c r="Y103" s="246">
        <f t="shared" si="497"/>
        <v>1.0028319173746469E-2</v>
      </c>
      <c r="Z103" s="246">
        <f t="shared" si="497"/>
        <v>1.0390552843382972E-2</v>
      </c>
      <c r="AA103" s="878">
        <f t="shared" si="497"/>
        <v>8.5860729326499019E-3</v>
      </c>
      <c r="AB103" s="246">
        <f t="shared" si="497"/>
        <v>6.6355926717160951E-3</v>
      </c>
      <c r="AC103" s="246">
        <f t="shared" si="497"/>
        <v>1.295861603266979E-2</v>
      </c>
      <c r="AD103" s="246">
        <f t="shared" si="497"/>
        <v>7.8629928258523218E-2</v>
      </c>
      <c r="AE103" s="1137">
        <f t="shared" ref="AE103:AI103" si="498">+AE101/AD101-1</f>
        <v>6.1588226332300877E-3</v>
      </c>
      <c r="AF103" s="552">
        <f t="shared" si="498"/>
        <v>6.8124539621450264E-3</v>
      </c>
      <c r="AG103" s="552">
        <f t="shared" si="498"/>
        <v>8.4605898962371029E-3</v>
      </c>
      <c r="AH103" s="552">
        <f t="shared" si="498"/>
        <v>3.0300591843876568E-2</v>
      </c>
      <c r="AI103" s="1137">
        <f t="shared" si="498"/>
        <v>8.4271101553661243E-3</v>
      </c>
      <c r="AQ103" s="1090"/>
      <c r="AR103" s="1090"/>
      <c r="AS103" s="1090"/>
    </row>
    <row r="104" spans="2:45" x14ac:dyDescent="0.2">
      <c r="B104" s="2" t="s">
        <v>802</v>
      </c>
      <c r="D104" s="162"/>
      <c r="E104" s="162"/>
      <c r="F104" s="162"/>
      <c r="G104" s="863"/>
      <c r="H104" s="162"/>
      <c r="I104" s="162"/>
      <c r="J104" s="162"/>
      <c r="K104" s="863"/>
      <c r="L104" s="162"/>
      <c r="M104" s="162"/>
      <c r="N104" s="162"/>
      <c r="O104" s="863"/>
      <c r="P104" s="242">
        <f t="shared" ref="P104:AD104" si="499">+P41/P101</f>
        <v>3.2145635656378375</v>
      </c>
      <c r="Q104" s="242">
        <f t="shared" si="499"/>
        <v>3.1917104033359696</v>
      </c>
      <c r="R104" s="242">
        <f t="shared" si="499"/>
        <v>3.2048064653339003</v>
      </c>
      <c r="S104" s="890">
        <f t="shared" si="499"/>
        <v>3.2332608848068429</v>
      </c>
      <c r="T104" s="242">
        <f t="shared" si="499"/>
        <v>3.2459306563009753</v>
      </c>
      <c r="U104" s="242">
        <f t="shared" si="499"/>
        <v>3.2662132453970871</v>
      </c>
      <c r="V104" s="242">
        <f t="shared" si="499"/>
        <v>3.2650349176215339</v>
      </c>
      <c r="W104" s="890">
        <f t="shared" si="499"/>
        <v>3.2906668456556027</v>
      </c>
      <c r="X104" s="242">
        <f t="shared" si="499"/>
        <v>3.3074129601865732</v>
      </c>
      <c r="Y104" s="242">
        <f t="shared" si="499"/>
        <v>3.318709592294498</v>
      </c>
      <c r="Z104" s="242">
        <f t="shared" si="499"/>
        <v>3.3359994776533579</v>
      </c>
      <c r="AA104" s="890">
        <f t="shared" si="499"/>
        <v>3.3701689648475432</v>
      </c>
      <c r="AB104" s="242">
        <f t="shared" si="499"/>
        <v>3.3909450464645166</v>
      </c>
      <c r="AC104" s="242">
        <f t="shared" si="499"/>
        <v>3.4056250396800203</v>
      </c>
      <c r="AD104" s="242">
        <f t="shared" si="499"/>
        <v>3.3568674769710705</v>
      </c>
      <c r="AE104" s="1174">
        <f t="shared" ref="AE104:AI104" si="500">+(1+AE105)*AA104</f>
        <v>3.3811402009598934</v>
      </c>
      <c r="AF104" s="1175">
        <f t="shared" si="500"/>
        <v>3.3952020268664529</v>
      </c>
      <c r="AG104" s="1175">
        <f t="shared" si="500"/>
        <v>3.4099004492934486</v>
      </c>
      <c r="AH104" s="1175">
        <f t="shared" si="500"/>
        <v>3.3610816765129541</v>
      </c>
      <c r="AI104" s="1174">
        <f t="shared" si="500"/>
        <v>3.3853848723935078</v>
      </c>
      <c r="AK104" s="242">
        <f t="shared" ref="AK104:AR104" si="501">+AK41/AK101</f>
        <v>3.1258058084668039</v>
      </c>
      <c r="AL104" s="242">
        <f t="shared" si="501"/>
        <v>3.1587326240583988</v>
      </c>
      <c r="AM104" s="242">
        <f t="shared" si="501"/>
        <v>3.2210097001763667</v>
      </c>
      <c r="AN104" s="242">
        <f t="shared" si="501"/>
        <v>3.2332608848068429</v>
      </c>
      <c r="AO104" s="242">
        <f t="shared" si="501"/>
        <v>3.2906668456556027</v>
      </c>
      <c r="AP104" s="242">
        <f t="shared" si="501"/>
        <v>3.3701689648475432</v>
      </c>
      <c r="AQ104" s="1175">
        <f t="shared" si="501"/>
        <v>3.3811402009598934</v>
      </c>
      <c r="AR104" s="1175">
        <f t="shared" si="501"/>
        <v>3.3853848723935083</v>
      </c>
      <c r="AS104" s="1175">
        <f>+(1+AS105)*AR104</f>
        <v>3.3794787179554269</v>
      </c>
    </row>
    <row r="105" spans="2:45" s="244" customFormat="1" x14ac:dyDescent="0.2">
      <c r="B105" s="243" t="s">
        <v>266</v>
      </c>
      <c r="D105" s="245"/>
      <c r="E105" s="245"/>
      <c r="F105" s="245"/>
      <c r="G105" s="896"/>
      <c r="H105" s="245"/>
      <c r="I105" s="245"/>
      <c r="J105" s="245"/>
      <c r="K105" s="896"/>
      <c r="L105" s="245"/>
      <c r="M105" s="245"/>
      <c r="N105" s="245"/>
      <c r="O105" s="896"/>
      <c r="P105" s="245"/>
      <c r="Q105" s="245"/>
      <c r="R105" s="245"/>
      <c r="S105" s="896"/>
      <c r="T105" s="246">
        <f t="shared" ref="T105:U105" si="502">+T104/P104-1</f>
        <v>9.7578069379113952E-3</v>
      </c>
      <c r="U105" s="246">
        <f t="shared" si="502"/>
        <v>2.3342607143570282E-2</v>
      </c>
      <c r="V105" s="246">
        <f t="shared" ref="V105" si="503">+V104/R104-1</f>
        <v>1.8793163624424514E-2</v>
      </c>
      <c r="W105" s="878">
        <f t="shared" ref="W105" si="504">+W104/S104-1</f>
        <v>1.7754818709035058E-2</v>
      </c>
      <c r="X105" s="246">
        <f t="shared" ref="X105" si="505">+X104/T104-1</f>
        <v>1.8941348536281488E-2</v>
      </c>
      <c r="Y105" s="246">
        <f t="shared" ref="Y105:AD105" si="506">+Y104/U104-1</f>
        <v>1.6072541182481359E-2</v>
      </c>
      <c r="Z105" s="246">
        <f t="shared" si="506"/>
        <v>2.1734701717530003E-2</v>
      </c>
      <c r="AA105" s="878">
        <f t="shared" si="506"/>
        <v>2.4159880936260869E-2</v>
      </c>
      <c r="AB105" s="246">
        <f t="shared" si="506"/>
        <v>2.5256019518418826E-2</v>
      </c>
      <c r="AC105" s="246">
        <f t="shared" si="506"/>
        <v>2.61895308909601E-2</v>
      </c>
      <c r="AD105" s="246">
        <f t="shared" si="506"/>
        <v>6.2553964583926813E-3</v>
      </c>
      <c r="AE105" s="1171">
        <f>AD105-0.3%</f>
        <v>3.2553964583926813E-3</v>
      </c>
      <c r="AF105" s="1172">
        <f>AE105-0.2%</f>
        <v>1.2553964583926812E-3</v>
      </c>
      <c r="AG105" s="1172">
        <f t="shared" ref="AG105:AI105" si="507">+AF105</f>
        <v>1.2553964583926812E-3</v>
      </c>
      <c r="AH105" s="1172">
        <f t="shared" si="507"/>
        <v>1.2553964583926812E-3</v>
      </c>
      <c r="AI105" s="1171">
        <f t="shared" si="507"/>
        <v>1.2553964583926812E-3</v>
      </c>
      <c r="AK105" s="246"/>
      <c r="AL105" s="246">
        <f t="shared" ref="AL105" si="508">+AL104/AK104-1</f>
        <v>1.0533864740543519E-2</v>
      </c>
      <c r="AM105" s="246">
        <f t="shared" ref="AM105" si="509">+AM104/AL104-1</f>
        <v>1.9715842880665635E-2</v>
      </c>
      <c r="AN105" s="246">
        <f t="shared" ref="AN105" si="510">+AN104/AM104-1</f>
        <v>3.8035230473865145E-3</v>
      </c>
      <c r="AO105" s="246">
        <f t="shared" ref="AO105:AP105" si="511">+AO104/AN104-1</f>
        <v>1.7754818709035058E-2</v>
      </c>
      <c r="AP105" s="246">
        <f t="shared" si="511"/>
        <v>2.4159880936260869E-2</v>
      </c>
      <c r="AQ105" s="552">
        <f t="shared" ref="AQ105" si="512">+AQ104/AP104-1</f>
        <v>3.2553964583927897E-3</v>
      </c>
      <c r="AR105" s="552">
        <f t="shared" ref="AR105" si="513">+AR104/AQ104-1</f>
        <v>1.2553964583927879E-3</v>
      </c>
      <c r="AS105" s="1172">
        <f>AR105-0.3%</f>
        <v>-1.7446035416072122E-3</v>
      </c>
    </row>
    <row r="106" spans="2:45" x14ac:dyDescent="0.2">
      <c r="D106" s="162"/>
      <c r="E106" s="162"/>
      <c r="F106" s="162"/>
      <c r="G106" s="863"/>
      <c r="H106" s="162"/>
      <c r="I106" s="162"/>
      <c r="J106" s="162"/>
      <c r="K106" s="863"/>
      <c r="L106" s="162"/>
      <c r="M106" s="162"/>
      <c r="N106" s="162"/>
      <c r="O106" s="863"/>
      <c r="P106" s="242"/>
      <c r="Q106" s="242"/>
      <c r="R106" s="242"/>
      <c r="S106" s="890"/>
      <c r="T106" s="242"/>
      <c r="U106" s="242"/>
      <c r="V106" s="242"/>
      <c r="W106" s="890"/>
      <c r="X106" s="242"/>
      <c r="Y106" s="242"/>
      <c r="Z106" s="242"/>
      <c r="AA106" s="890"/>
      <c r="AB106" s="242"/>
      <c r="AC106" s="242"/>
      <c r="AD106" s="242"/>
      <c r="AE106" s="913"/>
      <c r="AF106" s="370"/>
      <c r="AG106" s="370"/>
      <c r="AH106" s="370"/>
      <c r="AI106" s="913"/>
      <c r="AQ106" s="370"/>
      <c r="AR106" s="370"/>
      <c r="AS106" s="370"/>
    </row>
    <row r="107" spans="2:45" x14ac:dyDescent="0.2">
      <c r="B107" s="2" t="s">
        <v>260</v>
      </c>
      <c r="D107" s="162">
        <f>+Metrics!L35</f>
        <v>0</v>
      </c>
      <c r="E107" s="162">
        <f>+Metrics!M35</f>
        <v>0</v>
      </c>
      <c r="F107" s="162">
        <f>+Metrics!N35</f>
        <v>0</v>
      </c>
      <c r="G107" s="863">
        <f>+Metrics!O35</f>
        <v>0</v>
      </c>
      <c r="H107" s="162">
        <f>+Metrics!P35</f>
        <v>197</v>
      </c>
      <c r="I107" s="162">
        <f>+Metrics!Q35</f>
        <v>101</v>
      </c>
      <c r="J107" s="162">
        <f>+Metrics!R35</f>
        <v>137</v>
      </c>
      <c r="K107" s="863">
        <f>+Metrics!S35</f>
        <v>131</v>
      </c>
      <c r="L107" s="162">
        <f>+Metrics!T35</f>
        <v>257</v>
      </c>
      <c r="M107" s="162">
        <f>+Metrics!U35</f>
        <v>348</v>
      </c>
      <c r="N107" s="162">
        <f>+Metrics!V35</f>
        <v>268</v>
      </c>
      <c r="O107" s="863">
        <f>+Metrics!W35</f>
        <v>315</v>
      </c>
      <c r="P107" s="162">
        <f>+Metrics!X35</f>
        <v>348</v>
      </c>
      <c r="Q107" s="162">
        <f>+Metrics!Y35</f>
        <v>380</v>
      </c>
      <c r="R107" s="162">
        <f>+Metrics!Z35</f>
        <v>394</v>
      </c>
      <c r="S107" s="863">
        <f>+Metrics!AA35</f>
        <v>314</v>
      </c>
      <c r="T107" s="162">
        <f>+Metrics!AB35</f>
        <v>287</v>
      </c>
      <c r="U107" s="162">
        <f>+Metrics!AC35</f>
        <v>299</v>
      </c>
      <c r="V107" s="162">
        <f>+Metrics!AD35</f>
        <v>386</v>
      </c>
      <c r="W107" s="863">
        <f>+Metrics!AE35</f>
        <v>299</v>
      </c>
      <c r="X107" s="162">
        <f>+Metrics!AF35</f>
        <v>218</v>
      </c>
      <c r="Y107" s="162">
        <f>+Metrics!AG35</f>
        <v>301</v>
      </c>
      <c r="Z107" s="162">
        <f>+Metrics!AH35</f>
        <v>315</v>
      </c>
      <c r="AA107" s="863">
        <f>+Metrics!AI35</f>
        <v>263</v>
      </c>
      <c r="AB107" s="162">
        <f>+Metrics!AJ35</f>
        <v>205</v>
      </c>
      <c r="AC107" s="162">
        <f>+Metrics!AK35</f>
        <v>318</v>
      </c>
      <c r="AD107" s="162">
        <f>+Metrics!AL35</f>
        <v>396</v>
      </c>
      <c r="AE107" s="921">
        <f t="shared" ref="AE107:AI107" si="514">+AE101-AD101</f>
        <v>209.27063425452798</v>
      </c>
      <c r="AF107" s="379">
        <f t="shared" si="514"/>
        <v>232.90601974121091</v>
      </c>
      <c r="AG107" s="379">
        <f t="shared" si="514"/>
        <v>291.22345941538515</v>
      </c>
      <c r="AH107" s="379">
        <f t="shared" si="514"/>
        <v>1051.8062677578055</v>
      </c>
      <c r="AI107" s="921">
        <f t="shared" si="514"/>
        <v>301.388906793356</v>
      </c>
      <c r="AK107" s="162">
        <f>+Metrics!E35</f>
        <v>0</v>
      </c>
      <c r="AL107" s="162">
        <f>+Metrics!F35</f>
        <v>0</v>
      </c>
      <c r="AM107" s="162">
        <f>+Metrics!G35</f>
        <v>1188</v>
      </c>
      <c r="AN107" s="162">
        <f>+Metrics!H35</f>
        <v>1436</v>
      </c>
      <c r="AO107" s="162">
        <f>+Metrics!I35</f>
        <v>1271</v>
      </c>
      <c r="AP107" s="162">
        <f>+Metrics!J35</f>
        <v>1097</v>
      </c>
      <c r="AQ107" s="554">
        <f>SUMIFS($D107:$AI107,$D$3:$AI$3, AQ$3)</f>
        <v>1128.270634254528</v>
      </c>
      <c r="AR107" s="554">
        <f>SUMIFS($D107:$AI107,$D$3:$AI$3, AR$3)</f>
        <v>1877.3246537077575</v>
      </c>
      <c r="AS107" s="379">
        <f t="shared" ref="AS107" si="515">+AS101-AR101</f>
        <v>1954.530556670863</v>
      </c>
    </row>
    <row r="108" spans="2:45" x14ac:dyDescent="0.2">
      <c r="B108" s="237" t="s">
        <v>251</v>
      </c>
      <c r="D108" s="162"/>
      <c r="E108" s="162"/>
      <c r="F108" s="162"/>
      <c r="G108" s="863"/>
      <c r="H108" s="162"/>
      <c r="I108" s="162"/>
      <c r="J108" s="162"/>
      <c r="K108" s="863"/>
      <c r="L108" s="162"/>
      <c r="M108" s="162"/>
      <c r="N108" s="162"/>
      <c r="O108" s="863"/>
      <c r="P108" s="163">
        <f>+P101-O101</f>
        <v>291</v>
      </c>
      <c r="Q108" s="163">
        <f t="shared" ref="Q108:AD108" si="516">+Q101-P101</f>
        <v>311</v>
      </c>
      <c r="R108" s="163">
        <f t="shared" si="516"/>
        <v>394</v>
      </c>
      <c r="S108" s="865">
        <f t="shared" si="516"/>
        <v>314</v>
      </c>
      <c r="T108" s="163">
        <f t="shared" si="516"/>
        <v>287</v>
      </c>
      <c r="U108" s="163">
        <f t="shared" si="516"/>
        <v>299</v>
      </c>
      <c r="V108" s="163">
        <f t="shared" si="516"/>
        <v>386</v>
      </c>
      <c r="W108" s="865">
        <f t="shared" si="516"/>
        <v>299</v>
      </c>
      <c r="X108" s="163">
        <f t="shared" si="516"/>
        <v>218</v>
      </c>
      <c r="Y108" s="163">
        <f t="shared" si="516"/>
        <v>301</v>
      </c>
      <c r="Z108" s="163">
        <f t="shared" si="516"/>
        <v>315</v>
      </c>
      <c r="AA108" s="865">
        <f t="shared" si="516"/>
        <v>263</v>
      </c>
      <c r="AB108" s="163">
        <f t="shared" si="516"/>
        <v>205</v>
      </c>
      <c r="AC108" s="163">
        <f t="shared" si="516"/>
        <v>403</v>
      </c>
      <c r="AD108" s="163">
        <f t="shared" si="516"/>
        <v>2477</v>
      </c>
      <c r="AE108" s="913"/>
      <c r="AF108" s="370"/>
      <c r="AG108" s="370"/>
      <c r="AH108" s="370"/>
      <c r="AI108" s="913"/>
      <c r="AK108" s="163"/>
      <c r="AL108" s="163"/>
      <c r="AM108" s="163">
        <f t="shared" ref="AM108:AP108" si="517">+AM101-AL101</f>
        <v>1462</v>
      </c>
      <c r="AN108" s="163">
        <f t="shared" si="517"/>
        <v>1310</v>
      </c>
      <c r="AO108" s="163">
        <f t="shared" si="517"/>
        <v>1271</v>
      </c>
      <c r="AP108" s="163">
        <f t="shared" si="517"/>
        <v>1097</v>
      </c>
      <c r="AQ108" s="370"/>
      <c r="AR108" s="370"/>
      <c r="AS108" s="370"/>
    </row>
    <row r="109" spans="2:45" x14ac:dyDescent="0.2">
      <c r="B109" s="237" t="s">
        <v>256</v>
      </c>
      <c r="D109" s="162"/>
      <c r="E109" s="162"/>
      <c r="F109" s="162"/>
      <c r="G109" s="863"/>
      <c r="H109" s="162"/>
      <c r="I109" s="162"/>
      <c r="J109" s="162"/>
      <c r="K109" s="863"/>
      <c r="L109" s="162"/>
      <c r="M109" s="162"/>
      <c r="N109" s="162"/>
      <c r="O109" s="863"/>
      <c r="P109" s="163">
        <f>+P107-P108</f>
        <v>57</v>
      </c>
      <c r="Q109" s="163">
        <f t="shared" ref="Q109:Y109" si="518">+Q107-Q108</f>
        <v>69</v>
      </c>
      <c r="R109" s="163">
        <f t="shared" si="518"/>
        <v>0</v>
      </c>
      <c r="S109" s="865">
        <f t="shared" si="518"/>
        <v>0</v>
      </c>
      <c r="T109" s="163">
        <f t="shared" si="518"/>
        <v>0</v>
      </c>
      <c r="U109" s="163">
        <f t="shared" si="518"/>
        <v>0</v>
      </c>
      <c r="V109" s="163">
        <f t="shared" si="518"/>
        <v>0</v>
      </c>
      <c r="W109" s="865">
        <f t="shared" si="518"/>
        <v>0</v>
      </c>
      <c r="X109" s="163">
        <f t="shared" si="518"/>
        <v>0</v>
      </c>
      <c r="Y109" s="163">
        <f t="shared" si="518"/>
        <v>0</v>
      </c>
      <c r="Z109" s="163">
        <f t="shared" ref="Z109:AA109" si="519">+Z107-Z108</f>
        <v>0</v>
      </c>
      <c r="AA109" s="865">
        <f t="shared" si="519"/>
        <v>0</v>
      </c>
      <c r="AB109" s="163">
        <f t="shared" ref="AB109:AC109" si="520">+AB107-AB108</f>
        <v>0</v>
      </c>
      <c r="AC109" s="163">
        <f t="shared" si="520"/>
        <v>-85</v>
      </c>
      <c r="AD109" s="163">
        <f t="shared" ref="AD109" si="521">+AD107-AD108</f>
        <v>-2081</v>
      </c>
      <c r="AE109" s="913"/>
      <c r="AF109" s="370"/>
      <c r="AG109" s="370"/>
      <c r="AH109" s="370"/>
      <c r="AI109" s="913"/>
      <c r="AK109" s="163"/>
      <c r="AL109" s="163"/>
      <c r="AM109" s="163">
        <f t="shared" ref="AM109:AO109" si="522">+AM107-AM108</f>
        <v>-274</v>
      </c>
      <c r="AN109" s="163">
        <f t="shared" si="522"/>
        <v>126</v>
      </c>
      <c r="AO109" s="163">
        <f t="shared" si="522"/>
        <v>0</v>
      </c>
      <c r="AP109" s="163">
        <f t="shared" ref="AP109" si="523">+AP107-AP108</f>
        <v>0</v>
      </c>
      <c r="AQ109" s="370"/>
      <c r="AR109" s="370"/>
      <c r="AS109" s="370"/>
    </row>
    <row r="110" spans="2:45" x14ac:dyDescent="0.2">
      <c r="G110" s="595"/>
      <c r="K110" s="595"/>
      <c r="O110" s="595"/>
      <c r="S110" s="595"/>
      <c r="W110" s="595"/>
      <c r="AA110" s="595"/>
      <c r="AE110" s="913"/>
      <c r="AF110" s="370"/>
      <c r="AG110" s="370"/>
      <c r="AH110" s="370"/>
      <c r="AI110" s="913"/>
      <c r="AQ110" s="370"/>
      <c r="AR110" s="370"/>
      <c r="AS110" s="370"/>
    </row>
    <row r="111" spans="2:45" x14ac:dyDescent="0.2">
      <c r="B111" s="3" t="s">
        <v>254</v>
      </c>
      <c r="G111" s="595"/>
      <c r="K111" s="595"/>
      <c r="O111" s="595"/>
      <c r="S111" s="595"/>
      <c r="W111" s="595"/>
      <c r="AA111" s="595"/>
      <c r="AE111" s="913"/>
      <c r="AF111" s="370"/>
      <c r="AG111" s="370"/>
      <c r="AH111" s="370"/>
      <c r="AI111" s="913"/>
      <c r="AQ111" s="1197"/>
      <c r="AR111" s="1197"/>
      <c r="AS111" s="1197"/>
    </row>
    <row r="112" spans="2:45" x14ac:dyDescent="0.2">
      <c r="B112" s="2" t="s">
        <v>261</v>
      </c>
      <c r="D112" s="203">
        <f>+Metrics!L63</f>
        <v>129.77000000000001</v>
      </c>
      <c r="E112" s="203">
        <f>+Metrics!M63</f>
        <v>130.36000000000001</v>
      </c>
      <c r="F112" s="203">
        <f>+Metrics!N63</f>
        <v>131.15</v>
      </c>
      <c r="G112" s="891">
        <f>+Metrics!O63</f>
        <v>130.38999999999999</v>
      </c>
      <c r="H112" s="203">
        <f>+Metrics!P63</f>
        <v>129.47</v>
      </c>
      <c r="I112" s="203">
        <f>+Metrics!Q63</f>
        <v>130.57</v>
      </c>
      <c r="J112" s="203">
        <f>+Metrics!R63</f>
        <v>133.03</v>
      </c>
      <c r="K112" s="891">
        <f>+Metrics!S63</f>
        <v>133.08000000000001</v>
      </c>
      <c r="L112" s="203">
        <f>+Metrics!T63</f>
        <v>132.91</v>
      </c>
      <c r="M112" s="203">
        <f>+Metrics!U63</f>
        <v>133.55000000000001</v>
      </c>
      <c r="N112" s="203">
        <f>+Metrics!V63</f>
        <v>134.54</v>
      </c>
      <c r="O112" s="891">
        <f>+Metrics!W63</f>
        <v>135.04</v>
      </c>
      <c r="P112" s="203">
        <f>+Metrics!X63</f>
        <v>136.53</v>
      </c>
      <c r="Q112" s="203">
        <f>+Metrics!Y63</f>
        <v>137.91999999999999</v>
      </c>
      <c r="R112" s="203">
        <f>+Metrics!Z63</f>
        <v>137.49</v>
      </c>
      <c r="S112" s="891">
        <f>+Metrics!AA63</f>
        <v>137.78</v>
      </c>
      <c r="T112" s="203">
        <f>+Metrics!AB63</f>
        <v>138.04</v>
      </c>
      <c r="U112" s="203">
        <f>+Metrics!AC63</f>
        <v>138.94</v>
      </c>
      <c r="V112" s="203">
        <f>+Metrics!AD63</f>
        <v>139.83000000000001</v>
      </c>
      <c r="W112" s="891">
        <f>+Metrics!AE63</f>
        <v>140.22999999999999</v>
      </c>
      <c r="X112" s="203">
        <f>+Metrics!AF63</f>
        <v>140.88</v>
      </c>
      <c r="Y112" s="203">
        <f>+Metrics!AG63</f>
        <v>142.54</v>
      </c>
      <c r="Z112" s="203">
        <f>+Metrics!AH63</f>
        <v>145.6</v>
      </c>
      <c r="AA112" s="891">
        <f>+Metrics!AI63</f>
        <v>146.28</v>
      </c>
      <c r="AB112" s="203">
        <f>+Metrics!AJ63</f>
        <v>146.22</v>
      </c>
      <c r="AC112" s="203">
        <f>+Metrics!AK63</f>
        <v>149.87</v>
      </c>
      <c r="AD112" s="203">
        <f>+Metrics!AL63</f>
        <v>149.44</v>
      </c>
      <c r="AE112" s="973">
        <f>AE25*1000/AE115/3</f>
        <v>148.66444893554325</v>
      </c>
      <c r="AF112" s="1176">
        <f>AF25*1000/AF115/3</f>
        <v>148.4823299439154</v>
      </c>
      <c r="AG112" s="1176">
        <f>AG25*1000/AG115/3</f>
        <v>152.37414571975449</v>
      </c>
      <c r="AH112" s="1176">
        <f>AH25*1000/AH115/3</f>
        <v>153.25919294430088</v>
      </c>
      <c r="AI112" s="973">
        <f>AI25*1000/AI115/3</f>
        <v>151.27668692479605</v>
      </c>
      <c r="AK112" s="203"/>
      <c r="AL112" s="203">
        <f>+Metrics!F63</f>
        <v>131.78</v>
      </c>
      <c r="AM112" s="203">
        <f>+Metrics!G63</f>
        <v>134.03</v>
      </c>
      <c r="AN112" s="203">
        <f>+Metrics!H63</f>
        <v>137.43</v>
      </c>
      <c r="AO112" s="203">
        <f>+Metrics!I63</f>
        <v>139.27000000000001</v>
      </c>
      <c r="AP112" s="203">
        <f>+Metrics!J63</f>
        <v>143.85</v>
      </c>
      <c r="AQ112" s="1176">
        <f t="shared" ref="AQ112:AS112" si="524">AQ25*1000/AQ115/12</f>
        <v>147.90273404101802</v>
      </c>
      <c r="AR112" s="1176">
        <f t="shared" si="524"/>
        <v>150.84160133167566</v>
      </c>
      <c r="AS112" s="1176">
        <f t="shared" si="524"/>
        <v>153.08502268983662</v>
      </c>
    </row>
    <row r="113" spans="2:45" s="244" customFormat="1" x14ac:dyDescent="0.2">
      <c r="B113" s="243" t="s">
        <v>266</v>
      </c>
      <c r="D113" s="245"/>
      <c r="E113" s="245"/>
      <c r="F113" s="245"/>
      <c r="G113" s="896"/>
      <c r="H113" s="245"/>
      <c r="I113" s="245"/>
      <c r="J113" s="245"/>
      <c r="K113" s="896"/>
      <c r="L113" s="245"/>
      <c r="M113" s="246">
        <f t="shared" ref="M113:S113" si="525">+M112/I112-1</f>
        <v>2.2823006816267366E-2</v>
      </c>
      <c r="N113" s="246">
        <f t="shared" si="525"/>
        <v>1.1350823122603826E-2</v>
      </c>
      <c r="O113" s="878">
        <f t="shared" si="525"/>
        <v>1.4727983168019154E-2</v>
      </c>
      <c r="P113" s="246">
        <f t="shared" si="525"/>
        <v>2.7236475810699101E-2</v>
      </c>
      <c r="Q113" s="246">
        <f t="shared" si="525"/>
        <v>3.2721827031074291E-2</v>
      </c>
      <c r="R113" s="246">
        <f t="shared" si="525"/>
        <v>2.1926564590456499E-2</v>
      </c>
      <c r="S113" s="878">
        <f t="shared" si="525"/>
        <v>2.0290284360189537E-2</v>
      </c>
      <c r="T113" s="246">
        <f>+T112/P112-1</f>
        <v>1.1059840328133008E-2</v>
      </c>
      <c r="U113" s="246">
        <f t="shared" ref="U113:AD113" si="526">+U112/Q112-1</f>
        <v>7.3955916473318339E-3</v>
      </c>
      <c r="V113" s="246">
        <f t="shared" si="526"/>
        <v>1.701941959415243E-2</v>
      </c>
      <c r="W113" s="878">
        <f t="shared" si="526"/>
        <v>1.7781971258528095E-2</v>
      </c>
      <c r="X113" s="246">
        <f t="shared" si="526"/>
        <v>2.0573746740075283E-2</v>
      </c>
      <c r="Y113" s="246">
        <f t="shared" si="526"/>
        <v>2.5910464948898815E-2</v>
      </c>
      <c r="Z113" s="246">
        <f t="shared" si="526"/>
        <v>4.1264392476578537E-2</v>
      </c>
      <c r="AA113" s="878">
        <f t="shared" si="526"/>
        <v>4.3143407259502276E-2</v>
      </c>
      <c r="AB113" s="246">
        <f t="shared" si="526"/>
        <v>3.790459965928461E-2</v>
      </c>
      <c r="AC113" s="246">
        <f t="shared" si="526"/>
        <v>5.1424161638838228E-2</v>
      </c>
      <c r="AD113" s="246">
        <f t="shared" si="526"/>
        <v>2.6373626373626502E-2</v>
      </c>
      <c r="AE113" s="1137">
        <f t="shared" ref="AE113" si="527">+AE112/AA112-1</f>
        <v>1.630058063674622E-2</v>
      </c>
      <c r="AF113" s="552">
        <f t="shared" ref="AF113" si="528">+AF112/AB112-1</f>
        <v>1.5472096456814466E-2</v>
      </c>
      <c r="AG113" s="552">
        <f t="shared" ref="AG113" si="529">+AG112/AC112-1</f>
        <v>1.6708785746009758E-2</v>
      </c>
      <c r="AH113" s="552">
        <f t="shared" ref="AH113" si="530">+AH112/AD112-1</f>
        <v>2.5556697967752173E-2</v>
      </c>
      <c r="AI113" s="1137">
        <f t="shared" ref="AI113" si="531">+AI112/AE112-1</f>
        <v>1.7571369671476766E-2</v>
      </c>
      <c r="AK113" s="246"/>
      <c r="AL113" s="246"/>
      <c r="AM113" s="246">
        <f t="shared" ref="AM113:AR113" si="532">+AM112/AL112-1</f>
        <v>1.7073911063894442E-2</v>
      </c>
      <c r="AN113" s="246">
        <f t="shared" si="532"/>
        <v>2.5367455047377474E-2</v>
      </c>
      <c r="AO113" s="246">
        <f t="shared" si="532"/>
        <v>1.3388634213781669E-2</v>
      </c>
      <c r="AP113" s="246">
        <f t="shared" si="532"/>
        <v>3.2885761470524688E-2</v>
      </c>
      <c r="AQ113" s="552">
        <f t="shared" si="532"/>
        <v>2.8173333618477736E-2</v>
      </c>
      <c r="AR113" s="552">
        <f t="shared" si="532"/>
        <v>1.9870270213143026E-2</v>
      </c>
      <c r="AS113" s="552">
        <f t="shared" ref="AS113" si="533">+AS112/AR112-1</f>
        <v>1.4872696513132722E-2</v>
      </c>
    </row>
    <row r="114" spans="2:45" s="247" customFormat="1" x14ac:dyDescent="0.2">
      <c r="B114" s="243" t="s">
        <v>267</v>
      </c>
      <c r="D114" s="248"/>
      <c r="E114" s="248"/>
      <c r="F114" s="248"/>
      <c r="G114" s="897"/>
      <c r="H114" s="248"/>
      <c r="I114" s="248"/>
      <c r="J114" s="248"/>
      <c r="K114" s="897"/>
      <c r="L114" s="248"/>
      <c r="M114" s="248"/>
      <c r="N114" s="248"/>
      <c r="O114" s="897"/>
      <c r="P114" s="248"/>
      <c r="Q114" s="246">
        <f>+Q112/P112-1</f>
        <v>1.0180912619936811E-2</v>
      </c>
      <c r="R114" s="246">
        <f t="shared" ref="R114:AD114" si="534">+R112/Q112-1</f>
        <v>-3.1177494199534639E-3</v>
      </c>
      <c r="S114" s="878">
        <f t="shared" si="534"/>
        <v>2.109244308676983E-3</v>
      </c>
      <c r="T114" s="246">
        <f t="shared" si="534"/>
        <v>1.8870663376395758E-3</v>
      </c>
      <c r="U114" s="246">
        <f t="shared" si="534"/>
        <v>6.5198493190379292E-3</v>
      </c>
      <c r="V114" s="246">
        <f t="shared" si="534"/>
        <v>6.4056427234777669E-3</v>
      </c>
      <c r="W114" s="878">
        <f t="shared" si="534"/>
        <v>2.8606164628475206E-3</v>
      </c>
      <c r="X114" s="246">
        <f t="shared" si="534"/>
        <v>4.6352421022606283E-3</v>
      </c>
      <c r="Y114" s="246">
        <f t="shared" si="534"/>
        <v>1.1783077796706287E-2</v>
      </c>
      <c r="Z114" s="246">
        <f t="shared" si="534"/>
        <v>2.1467658201206774E-2</v>
      </c>
      <c r="AA114" s="878">
        <f t="shared" si="534"/>
        <v>4.6703296703296537E-3</v>
      </c>
      <c r="AB114" s="246">
        <f t="shared" si="534"/>
        <v>-4.1017227235440323E-4</v>
      </c>
      <c r="AC114" s="246">
        <f t="shared" si="534"/>
        <v>2.4962385446587465E-2</v>
      </c>
      <c r="AD114" s="246">
        <f t="shared" si="534"/>
        <v>-2.8691532661641039E-3</v>
      </c>
      <c r="AE114" s="1137">
        <f t="shared" ref="AE114:AI114" si="535">+AE112/AD112-1</f>
        <v>-5.1897153670821261E-3</v>
      </c>
      <c r="AF114" s="552">
        <f t="shared" si="535"/>
        <v>-1.2250339131637533E-3</v>
      </c>
      <c r="AG114" s="552">
        <f t="shared" si="535"/>
        <v>2.6210632452421168E-2</v>
      </c>
      <c r="AH114" s="552">
        <f t="shared" si="535"/>
        <v>5.8083818640346507E-3</v>
      </c>
      <c r="AI114" s="1137">
        <f t="shared" si="535"/>
        <v>-1.2935641780557505E-2</v>
      </c>
      <c r="AQ114" s="1090"/>
      <c r="AR114" s="1090"/>
      <c r="AS114" s="1090"/>
    </row>
    <row r="115" spans="2:45" x14ac:dyDescent="0.2">
      <c r="B115" s="2" t="s">
        <v>800</v>
      </c>
      <c r="D115" s="161">
        <f t="shared" ref="D115:AD115" si="536">+D25*1000/D112/3</f>
        <v>14109.578485011943</v>
      </c>
      <c r="E115" s="161">
        <f t="shared" si="536"/>
        <v>14352.562135624423</v>
      </c>
      <c r="F115" s="161">
        <f t="shared" si="536"/>
        <v>14604.142838988437</v>
      </c>
      <c r="G115" s="640">
        <f t="shared" si="536"/>
        <v>14880.998031546389</v>
      </c>
      <c r="H115" s="161">
        <f t="shared" si="536"/>
        <v>15156.664349527562</v>
      </c>
      <c r="I115" s="161">
        <f t="shared" si="536"/>
        <v>25424.421127875215</v>
      </c>
      <c r="J115" s="161">
        <f t="shared" si="536"/>
        <v>25580.696083590166</v>
      </c>
      <c r="K115" s="640">
        <f t="shared" si="536"/>
        <v>25676.284941388632</v>
      </c>
      <c r="L115" s="161">
        <f t="shared" si="536"/>
        <v>25839.540541218372</v>
      </c>
      <c r="M115" s="161">
        <f t="shared" si="536"/>
        <v>26187.445401223013</v>
      </c>
      <c r="N115" s="161">
        <f t="shared" si="536"/>
        <v>26767.751845795548</v>
      </c>
      <c r="O115" s="640">
        <f t="shared" si="536"/>
        <v>27061.117693522905</v>
      </c>
      <c r="P115" s="161">
        <f t="shared" si="536"/>
        <v>27346.859054176126</v>
      </c>
      <c r="Q115" s="161">
        <f t="shared" si="536"/>
        <v>27660.962877030164</v>
      </c>
      <c r="R115" s="161">
        <f t="shared" si="536"/>
        <v>27997.187674255096</v>
      </c>
      <c r="S115" s="640">
        <f t="shared" si="536"/>
        <v>28366.477960032902</v>
      </c>
      <c r="T115" s="161">
        <f t="shared" si="536"/>
        <v>28643.871341640104</v>
      </c>
      <c r="U115" s="161">
        <f t="shared" si="536"/>
        <v>28957.343697519314</v>
      </c>
      <c r="V115" s="161">
        <f t="shared" si="536"/>
        <v>29292.712579560892</v>
      </c>
      <c r="W115" s="640">
        <f t="shared" si="536"/>
        <v>29646.533076612235</v>
      </c>
      <c r="X115" s="161">
        <f t="shared" si="536"/>
        <v>29885.95494983911</v>
      </c>
      <c r="Y115" s="161">
        <f t="shared" si="536"/>
        <v>30164.632150039757</v>
      </c>
      <c r="Z115" s="161">
        <f t="shared" si="536"/>
        <v>30467.032967032967</v>
      </c>
      <c r="AA115" s="640">
        <f t="shared" si="536"/>
        <v>30767.47789627199</v>
      </c>
      <c r="AB115" s="161">
        <f t="shared" si="536"/>
        <v>30989.832672229062</v>
      </c>
      <c r="AC115" s="161">
        <f t="shared" si="536"/>
        <v>31311.581148106136</v>
      </c>
      <c r="AD115" s="161">
        <f t="shared" si="536"/>
        <v>33195.039257673088</v>
      </c>
      <c r="AE115" s="921">
        <f t="shared" ref="AE115:AI115" si="537">+AVERAGE(AD101:AE101)</f>
        <v>34083.635317127264</v>
      </c>
      <c r="AF115" s="379">
        <f t="shared" si="537"/>
        <v>34304.72364412513</v>
      </c>
      <c r="AG115" s="379">
        <f t="shared" si="537"/>
        <v>34566.788383703431</v>
      </c>
      <c r="AH115" s="379">
        <f t="shared" si="537"/>
        <v>35238.303247290023</v>
      </c>
      <c r="AI115" s="921">
        <f t="shared" si="537"/>
        <v>35914.900834565604</v>
      </c>
      <c r="AK115" s="160"/>
      <c r="AL115" s="161">
        <f>+AL25*1000/AL112/12</f>
        <v>22958.71907724996</v>
      </c>
      <c r="AM115" s="161">
        <f>+AM25*1000/AM112/12</f>
        <v>26462.980924668605</v>
      </c>
      <c r="AN115" s="161">
        <f>+AN25*1000/AN112/12</f>
        <v>27843.872031822259</v>
      </c>
      <c r="AO115" s="161">
        <f>+AO25*1000/AO112/12</f>
        <v>29135.252866135324</v>
      </c>
      <c r="AP115" s="161">
        <f>+AP25*1000/AP112/12</f>
        <v>30320.936160352223</v>
      </c>
      <c r="AQ115" s="524">
        <f t="shared" ref="AQ115:AS115" si="538">AVERAGE(AP101:AQ101)</f>
        <v>32541.135317127264</v>
      </c>
      <c r="AR115" s="524">
        <f t="shared" si="538"/>
        <v>35126.93296110841</v>
      </c>
      <c r="AS115" s="524">
        <f t="shared" si="538"/>
        <v>37042.860566297721</v>
      </c>
    </row>
    <row r="116" spans="2:45" x14ac:dyDescent="0.2">
      <c r="G116" s="595"/>
      <c r="K116" s="595"/>
      <c r="O116" s="595"/>
      <c r="Q116" s="167"/>
      <c r="R116" s="167"/>
      <c r="S116" s="883"/>
      <c r="T116" s="174"/>
      <c r="U116" s="174"/>
      <c r="V116" s="174"/>
      <c r="W116" s="911"/>
      <c r="X116" s="174"/>
      <c r="Y116" s="174"/>
      <c r="Z116" s="174"/>
      <c r="AA116" s="911"/>
      <c r="AB116" s="174"/>
      <c r="AC116" s="174"/>
      <c r="AD116" s="174"/>
      <c r="AE116" s="913"/>
      <c r="AF116" s="370"/>
      <c r="AG116" s="370"/>
      <c r="AH116" s="370"/>
      <c r="AI116" s="913"/>
      <c r="AQ116" s="1197"/>
      <c r="AR116" s="1197"/>
      <c r="AS116" s="1197"/>
    </row>
    <row r="117" spans="2:45" x14ac:dyDescent="0.2">
      <c r="B117" s="2" t="s">
        <v>262</v>
      </c>
      <c r="D117" s="203">
        <f>+Metrics!L64</f>
        <v>46.07</v>
      </c>
      <c r="E117" s="203">
        <f>+Metrics!M64</f>
        <v>46.1</v>
      </c>
      <c r="F117" s="203">
        <f>+Metrics!N64</f>
        <v>46.22</v>
      </c>
      <c r="G117" s="891">
        <f>+Metrics!O64</f>
        <v>45.79</v>
      </c>
      <c r="H117" s="203">
        <f>+Metrics!P64</f>
        <v>45.8</v>
      </c>
      <c r="I117" s="203">
        <f>+Metrics!Q64</f>
        <v>47.99</v>
      </c>
      <c r="J117" s="203">
        <f>+Metrics!R64</f>
        <v>48.55</v>
      </c>
      <c r="K117" s="891">
        <f>+Metrics!S64</f>
        <v>47.86</v>
      </c>
      <c r="L117" s="203">
        <f>+Metrics!T64</f>
        <v>47.3</v>
      </c>
      <c r="M117" s="203">
        <f>+Metrics!U64</f>
        <v>47.61</v>
      </c>
      <c r="N117" s="203">
        <f>+Metrics!V64</f>
        <v>48.06</v>
      </c>
      <c r="O117" s="891">
        <f>+Metrics!W64</f>
        <v>48.03</v>
      </c>
      <c r="P117" s="203">
        <f>+Metrics!X64</f>
        <v>48.41</v>
      </c>
      <c r="Q117" s="203">
        <f>+Metrics!Y64</f>
        <v>48.96</v>
      </c>
      <c r="R117" s="203">
        <f>+Metrics!Z64</f>
        <v>48.89</v>
      </c>
      <c r="S117" s="891">
        <f>+Metrics!AA64</f>
        <v>48.86</v>
      </c>
      <c r="T117" s="203">
        <f>+Metrics!AB64</f>
        <v>48.63</v>
      </c>
      <c r="U117" s="203">
        <f>+Metrics!AC64</f>
        <v>48.84</v>
      </c>
      <c r="V117" s="203">
        <f>+Metrics!AD64</f>
        <v>48.93</v>
      </c>
      <c r="W117" s="891">
        <f>+Metrics!AE64</f>
        <v>48.91</v>
      </c>
      <c r="X117" s="203">
        <f>+Metrics!AF64</f>
        <v>48.79</v>
      </c>
      <c r="Y117" s="203">
        <f>+Metrics!AG64</f>
        <v>49.07</v>
      </c>
      <c r="Z117" s="203">
        <f>+Metrics!AH64</f>
        <v>49.79</v>
      </c>
      <c r="AA117" s="891">
        <f>+Metrics!AI64</f>
        <v>49.73</v>
      </c>
      <c r="AB117" s="203">
        <f>+Metrics!AJ64</f>
        <v>49.38</v>
      </c>
      <c r="AC117" s="203">
        <f>+Metrics!AK64</f>
        <v>50.62</v>
      </c>
      <c r="AD117" s="203">
        <f>+Metrics!AL64</f>
        <v>50.71</v>
      </c>
      <c r="AE117" s="973">
        <f t="shared" ref="AE117:AI117" si="539">+(1+AE118)*AA117</f>
        <v>50.674869999999991</v>
      </c>
      <c r="AF117" s="1176">
        <f t="shared" si="539"/>
        <v>50.120699999999999</v>
      </c>
      <c r="AG117" s="1176">
        <f t="shared" si="539"/>
        <v>51.379299999999994</v>
      </c>
      <c r="AH117" s="1176">
        <f t="shared" si="539"/>
        <v>51.470649999999999</v>
      </c>
      <c r="AI117" s="973">
        <f t="shared" si="539"/>
        <v>51.434993049999989</v>
      </c>
      <c r="AK117" s="203">
        <f>+Metrics!E64</f>
        <v>46.04</v>
      </c>
      <c r="AL117" s="203">
        <f>+Metrics!F64</f>
        <v>47.74</v>
      </c>
      <c r="AM117" s="203">
        <f>+Metrics!G64</f>
        <v>47.75</v>
      </c>
      <c r="AN117" s="203">
        <f>+Metrics!H64</f>
        <v>48.78</v>
      </c>
      <c r="AO117" s="203">
        <f>+Metrics!I64</f>
        <v>48.83</v>
      </c>
      <c r="AP117" s="203">
        <f>+Metrics!J64</f>
        <v>49.35</v>
      </c>
      <c r="AQ117" s="1197">
        <f>AQ28*1000/AVERAGE(AP36:AQ36)/12</f>
        <v>50.04652026414292</v>
      </c>
      <c r="AR117" s="1197">
        <f>AR28*1000/AVERAGE(AQ36:AR36)/12</f>
        <v>51.002128585604254</v>
      </c>
      <c r="AS117" s="1197">
        <f>+AR117*(1+AS118)</f>
        <v>51.869164771559518</v>
      </c>
    </row>
    <row r="118" spans="2:45" s="244" customFormat="1" x14ac:dyDescent="0.2">
      <c r="B118" s="243" t="s">
        <v>266</v>
      </c>
      <c r="D118" s="245"/>
      <c r="E118" s="245"/>
      <c r="F118" s="245"/>
      <c r="G118" s="896"/>
      <c r="H118" s="245"/>
      <c r="I118" s="245"/>
      <c r="J118" s="245"/>
      <c r="K118" s="896"/>
      <c r="L118" s="245"/>
      <c r="M118" s="245"/>
      <c r="N118" s="245"/>
      <c r="O118" s="896"/>
      <c r="P118" s="246">
        <f t="shared" ref="P118:S118" si="540">+P117/L117-1</f>
        <v>2.3467230443974696E-2</v>
      </c>
      <c r="Q118" s="246">
        <f t="shared" si="540"/>
        <v>2.8355387523629538E-2</v>
      </c>
      <c r="R118" s="246">
        <f t="shared" si="540"/>
        <v>1.7270079067831734E-2</v>
      </c>
      <c r="S118" s="878">
        <f t="shared" si="540"/>
        <v>1.7280866125338301E-2</v>
      </c>
      <c r="T118" s="246">
        <f>+T117/P117-1</f>
        <v>4.5445155959513706E-3</v>
      </c>
      <c r="U118" s="246">
        <f t="shared" ref="U118" si="541">+U117/Q117-1</f>
        <v>-2.450980392156854E-3</v>
      </c>
      <c r="V118" s="246">
        <f t="shared" ref="V118" si="542">+V117/R117-1</f>
        <v>8.1816322356309534E-4</v>
      </c>
      <c r="W118" s="878">
        <f t="shared" ref="W118" si="543">+W117/S117-1</f>
        <v>1.0233319688905951E-3</v>
      </c>
      <c r="X118" s="246">
        <f t="shared" ref="X118" si="544">+X117/T117-1</f>
        <v>3.2901501130988553E-3</v>
      </c>
      <c r="Y118" s="246">
        <f t="shared" ref="Y118:AD118" si="545">+Y117/U117-1</f>
        <v>4.7092547092546511E-3</v>
      </c>
      <c r="Z118" s="246">
        <f t="shared" si="545"/>
        <v>1.7576129164111887E-2</v>
      </c>
      <c r="AA118" s="878">
        <f t="shared" si="545"/>
        <v>1.6765487630341358E-2</v>
      </c>
      <c r="AB118" s="246">
        <f t="shared" si="545"/>
        <v>1.2092641934822845E-2</v>
      </c>
      <c r="AC118" s="246">
        <f t="shared" si="545"/>
        <v>3.1587528021194133E-2</v>
      </c>
      <c r="AD118" s="246">
        <f t="shared" si="545"/>
        <v>1.8477605944968944E-2</v>
      </c>
      <c r="AE118" s="1144">
        <v>1.9E-2</v>
      </c>
      <c r="AF118" s="1145">
        <v>1.4999999999999999E-2</v>
      </c>
      <c r="AG118" s="1145">
        <f t="shared" ref="AG118:AI118" si="546">+AF118</f>
        <v>1.4999999999999999E-2</v>
      </c>
      <c r="AH118" s="1145">
        <f t="shared" si="546"/>
        <v>1.4999999999999999E-2</v>
      </c>
      <c r="AI118" s="1144">
        <f t="shared" si="546"/>
        <v>1.4999999999999999E-2</v>
      </c>
      <c r="AK118" s="246"/>
      <c r="AL118" s="246">
        <f t="shared" ref="AL118" si="547">+AL117/AK117-1</f>
        <v>3.6924413553431901E-2</v>
      </c>
      <c r="AM118" s="246">
        <f t="shared" ref="AM118" si="548">+AM117/AL117-1</f>
        <v>2.0946795140330821E-4</v>
      </c>
      <c r="AN118" s="246">
        <f t="shared" ref="AN118" si="549">+AN117/AM117-1</f>
        <v>2.1570680628272276E-2</v>
      </c>
      <c r="AO118" s="246">
        <f t="shared" ref="AO118:AP118" si="550">+AO117/AN117-1</f>
        <v>1.0250102501023761E-3</v>
      </c>
      <c r="AP118" s="246">
        <f t="shared" si="550"/>
        <v>1.064919107106288E-2</v>
      </c>
      <c r="AQ118" s="552">
        <f t="shared" ref="AQ118" si="551">+AQ117/AP117-1</f>
        <v>1.411388579823547E-2</v>
      </c>
      <c r="AR118" s="552">
        <f t="shared" ref="AR118" si="552">+AR117/AQ117-1</f>
        <v>1.909440089775849E-2</v>
      </c>
      <c r="AS118" s="1145">
        <v>1.7000000000000001E-2</v>
      </c>
    </row>
    <row r="119" spans="2:45" s="247" customFormat="1" x14ac:dyDescent="0.2">
      <c r="B119" s="243" t="s">
        <v>267</v>
      </c>
      <c r="D119" s="248"/>
      <c r="E119" s="248"/>
      <c r="F119" s="248"/>
      <c r="G119" s="897"/>
      <c r="H119" s="248"/>
      <c r="I119" s="248"/>
      <c r="J119" s="248"/>
      <c r="K119" s="897"/>
      <c r="L119" s="248"/>
      <c r="M119" s="248"/>
      <c r="N119" s="248"/>
      <c r="O119" s="897"/>
      <c r="P119" s="248"/>
      <c r="Q119" s="246">
        <f>+Q117/P117-1</f>
        <v>1.1361288989878204E-2</v>
      </c>
      <c r="R119" s="246">
        <f t="shared" ref="R119:AI119" si="553">+R117/Q117-1</f>
        <v>-1.4297385620914982E-3</v>
      </c>
      <c r="S119" s="878">
        <f t="shared" si="553"/>
        <v>-6.1362241767237702E-4</v>
      </c>
      <c r="T119" s="246">
        <f t="shared" si="553"/>
        <v>-4.7073270568972481E-3</v>
      </c>
      <c r="U119" s="246">
        <f t="shared" si="553"/>
        <v>4.3183220234424002E-3</v>
      </c>
      <c r="V119" s="246">
        <f t="shared" si="553"/>
        <v>1.8427518427517331E-3</v>
      </c>
      <c r="W119" s="878">
        <f t="shared" si="553"/>
        <v>-4.0874718986316783E-4</v>
      </c>
      <c r="X119" s="246">
        <f t="shared" si="553"/>
        <v>-2.4534859946840903E-3</v>
      </c>
      <c r="Y119" s="246">
        <f t="shared" si="553"/>
        <v>5.7388809182210565E-3</v>
      </c>
      <c r="Z119" s="246">
        <f t="shared" si="553"/>
        <v>1.4672916242103096E-2</v>
      </c>
      <c r="AA119" s="878">
        <f t="shared" si="553"/>
        <v>-1.205061257280593E-3</v>
      </c>
      <c r="AB119" s="246">
        <f t="shared" si="553"/>
        <v>-7.0380052282323913E-3</v>
      </c>
      <c r="AC119" s="246">
        <f t="shared" si="553"/>
        <v>2.5111381125961785E-2</v>
      </c>
      <c r="AD119" s="246">
        <f t="shared" si="553"/>
        <v>1.7779533781114853E-3</v>
      </c>
      <c r="AE119" s="1137">
        <f t="shared" si="553"/>
        <v>-6.9276276868490694E-4</v>
      </c>
      <c r="AF119" s="552">
        <f t="shared" si="553"/>
        <v>-1.0935795197895781E-2</v>
      </c>
      <c r="AG119" s="552">
        <f t="shared" si="553"/>
        <v>2.5111381125961785E-2</v>
      </c>
      <c r="AH119" s="552">
        <f t="shared" si="553"/>
        <v>1.7779533781114853E-3</v>
      </c>
      <c r="AI119" s="1137">
        <f t="shared" si="553"/>
        <v>-6.9276276868490694E-4</v>
      </c>
      <c r="AL119" s="1093"/>
      <c r="AQ119" s="1293"/>
      <c r="AR119" s="1090"/>
      <c r="AS119" s="1090"/>
    </row>
    <row r="120" spans="2:45" s="247" customFormat="1" x14ac:dyDescent="0.2">
      <c r="B120" s="2" t="s">
        <v>841</v>
      </c>
      <c r="D120" s="163">
        <f t="shared" ref="D120:AD120" si="554">D28/D117/3*1000</f>
        <v>37500.904420808918</v>
      </c>
      <c r="E120" s="163">
        <f t="shared" si="554"/>
        <v>38228.488792480115</v>
      </c>
      <c r="F120" s="163">
        <f t="shared" si="554"/>
        <v>38944.180008654264</v>
      </c>
      <c r="G120" s="865">
        <f t="shared" si="554"/>
        <v>39739.38996869768</v>
      </c>
      <c r="H120" s="163">
        <f t="shared" si="554"/>
        <v>40589.519650655027</v>
      </c>
      <c r="I120" s="163">
        <f t="shared" si="554"/>
        <v>64881.572549836776</v>
      </c>
      <c r="J120" s="163">
        <f t="shared" si="554"/>
        <v>65444.558874013055</v>
      </c>
      <c r="K120" s="865">
        <f t="shared" si="554"/>
        <v>66088.591725867125</v>
      </c>
      <c r="L120" s="163">
        <f t="shared" si="554"/>
        <v>66828.752642706138</v>
      </c>
      <c r="M120" s="163">
        <f t="shared" si="554"/>
        <v>67681.859553315138</v>
      </c>
      <c r="N120" s="163">
        <f t="shared" si="554"/>
        <v>69024.830073519217</v>
      </c>
      <c r="O120" s="865">
        <f t="shared" si="554"/>
        <v>69761.954334096736</v>
      </c>
      <c r="P120" s="163">
        <f t="shared" si="554"/>
        <v>70458.999999999985</v>
      </c>
      <c r="Q120" s="163">
        <f t="shared" si="554"/>
        <v>70854.499999999985</v>
      </c>
      <c r="R120" s="163">
        <f t="shared" si="554"/>
        <v>71480</v>
      </c>
      <c r="S120" s="865">
        <f t="shared" si="554"/>
        <v>72370.5</v>
      </c>
      <c r="T120" s="163">
        <f t="shared" si="554"/>
        <v>73103.000000000015</v>
      </c>
      <c r="U120" s="163">
        <f t="shared" si="554"/>
        <v>73752</v>
      </c>
      <c r="V120" s="163">
        <f t="shared" si="554"/>
        <v>74557</v>
      </c>
      <c r="W120" s="865">
        <f t="shared" si="554"/>
        <v>75458.999999999985</v>
      </c>
      <c r="X120" s="163">
        <f t="shared" si="554"/>
        <v>76202.000000000015</v>
      </c>
      <c r="Y120" s="163">
        <f t="shared" si="554"/>
        <v>76856.5</v>
      </c>
      <c r="Z120" s="163">
        <f t="shared" si="554"/>
        <v>77677.500000000015</v>
      </c>
      <c r="AA120" s="865">
        <f t="shared" si="554"/>
        <v>78561.500000000015</v>
      </c>
      <c r="AB120" s="163">
        <f t="shared" si="554"/>
        <v>79202.106115836374</v>
      </c>
      <c r="AC120" s="163">
        <f t="shared" si="554"/>
        <v>79803.766627156598</v>
      </c>
      <c r="AD120" s="163">
        <f t="shared" si="554"/>
        <v>83119.700256359691</v>
      </c>
      <c r="AE120" s="901">
        <f>AVERAGE(AD36:AE36)</f>
        <v>85131.338121387293</v>
      </c>
      <c r="AF120" s="554">
        <f>AVERAGE(AE36:AF36)</f>
        <v>85882.291242774576</v>
      </c>
      <c r="AG120" s="554">
        <f>AVERAGE(AF36:AG36)</f>
        <v>86527.621242774563</v>
      </c>
      <c r="AH120" s="554">
        <f>AVERAGE(AG36:AH36)</f>
        <v>87379.976242774559</v>
      </c>
      <c r="AI120" s="901">
        <f>AVERAGE(AH36:AI36)</f>
        <v>88304.526922254328</v>
      </c>
      <c r="AL120" s="1093"/>
      <c r="AQ120" s="1293"/>
      <c r="AR120" s="1090"/>
      <c r="AS120" s="1090"/>
    </row>
    <row r="121" spans="2:45" x14ac:dyDescent="0.2">
      <c r="B121" s="239"/>
      <c r="D121" s="203"/>
      <c r="E121" s="203"/>
      <c r="F121" s="203"/>
      <c r="G121" s="891"/>
      <c r="H121" s="203"/>
      <c r="I121" s="203"/>
      <c r="J121" s="203"/>
      <c r="K121" s="891"/>
      <c r="L121" s="203"/>
      <c r="M121" s="203"/>
      <c r="N121" s="203"/>
      <c r="O121" s="891"/>
      <c r="P121" s="203"/>
      <c r="Q121" s="240"/>
      <c r="R121" s="240"/>
      <c r="S121" s="892"/>
      <c r="T121" s="240"/>
      <c r="U121" s="240"/>
      <c r="V121" s="240"/>
      <c r="W121" s="892"/>
      <c r="X121" s="240"/>
      <c r="Y121" s="240"/>
      <c r="Z121" s="240"/>
      <c r="AA121" s="892"/>
      <c r="AB121" s="240"/>
      <c r="AC121" s="240"/>
      <c r="AD121" s="240"/>
      <c r="AE121" s="913"/>
      <c r="AF121" s="370"/>
      <c r="AG121" s="370"/>
      <c r="AH121" s="370"/>
      <c r="AI121" s="913"/>
      <c r="AQ121" s="370"/>
      <c r="AR121" s="370"/>
      <c r="AS121" s="370"/>
    </row>
    <row r="122" spans="2:45" x14ac:dyDescent="0.2">
      <c r="B122" s="2" t="s">
        <v>265</v>
      </c>
      <c r="G122" s="595"/>
      <c r="K122" s="595"/>
      <c r="O122" s="595"/>
      <c r="Q122" s="167">
        <f t="shared" ref="Q122:AD122" si="555">+Q31*1000/AVERAGE(P37:Q37)/3</f>
        <v>19.490362524999302</v>
      </c>
      <c r="R122" s="167">
        <f t="shared" si="555"/>
        <v>19.573197943397428</v>
      </c>
      <c r="S122" s="883">
        <f t="shared" si="555"/>
        <v>19.644411203447241</v>
      </c>
      <c r="T122" s="167">
        <f t="shared" si="555"/>
        <v>20.176537129276088</v>
      </c>
      <c r="U122" s="167">
        <f t="shared" si="555"/>
        <v>20.497027432472965</v>
      </c>
      <c r="V122" s="167">
        <f t="shared" si="555"/>
        <v>21.186547630309352</v>
      </c>
      <c r="W122" s="883">
        <f t="shared" si="555"/>
        <v>21.481086559560552</v>
      </c>
      <c r="X122" s="167">
        <f t="shared" si="555"/>
        <v>21.925100326506367</v>
      </c>
      <c r="Y122" s="167">
        <f t="shared" si="555"/>
        <v>22.886274845314677</v>
      </c>
      <c r="Z122" s="167">
        <f t="shared" si="555"/>
        <v>23.964471964586831</v>
      </c>
      <c r="AA122" s="883">
        <f t="shared" si="555"/>
        <v>24.148160702182448</v>
      </c>
      <c r="AB122" s="167">
        <f t="shared" si="555"/>
        <v>24.302018856590664</v>
      </c>
      <c r="AC122" s="167">
        <f t="shared" si="555"/>
        <v>24.691358024691358</v>
      </c>
      <c r="AD122" s="167">
        <f t="shared" si="555"/>
        <v>26.452867895300091</v>
      </c>
      <c r="AE122" s="973">
        <f>+(1+AE123)*AA122</f>
        <v>25.35556873729157</v>
      </c>
      <c r="AF122" s="1176">
        <f t="shared" ref="AF122" si="556">+(1+AF123)*AB122</f>
        <v>26.003160176552012</v>
      </c>
      <c r="AG122" s="1176">
        <f t="shared" ref="AG122" si="557">+(1+AG123)*AC122</f>
        <v>26.419753086419753</v>
      </c>
      <c r="AH122" s="1176">
        <f t="shared" ref="AH122" si="558">+(1+AH123)*AD122</f>
        <v>28.304568647971099</v>
      </c>
      <c r="AI122" s="973">
        <f>+(1+AI123)*AE122</f>
        <v>27.130458548901981</v>
      </c>
      <c r="AK122" s="160"/>
      <c r="AL122" s="160"/>
      <c r="AM122" s="160">
        <f t="shared" ref="AM122:AR122" si="559">+AM31*1000/AVERAGE(AL37:AM37)/12</f>
        <v>17.676531914231475</v>
      </c>
      <c r="AN122" s="160">
        <f t="shared" si="559"/>
        <v>18.963789686313952</v>
      </c>
      <c r="AO122" s="160">
        <f t="shared" si="559"/>
        <v>20.894714995744405</v>
      </c>
      <c r="AP122" s="160">
        <f t="shared" si="559"/>
        <v>23.114678974044025</v>
      </c>
      <c r="AQ122" s="1197">
        <f t="shared" si="559"/>
        <v>25.168172183316546</v>
      </c>
      <c r="AR122" s="1197">
        <f t="shared" si="559"/>
        <v>26.897989454503065</v>
      </c>
      <c r="AS122" s="1197">
        <f>+AR122*(1+AS123)</f>
        <v>28.208737882270924</v>
      </c>
    </row>
    <row r="123" spans="2:45" s="244" customFormat="1" x14ac:dyDescent="0.2">
      <c r="B123" s="243" t="s">
        <v>266</v>
      </c>
      <c r="D123" s="245"/>
      <c r="E123" s="245"/>
      <c r="F123" s="245"/>
      <c r="G123" s="896"/>
      <c r="H123" s="245"/>
      <c r="I123" s="245"/>
      <c r="J123" s="245"/>
      <c r="K123" s="896"/>
      <c r="L123" s="245"/>
      <c r="M123" s="245"/>
      <c r="N123" s="245"/>
      <c r="O123" s="896"/>
      <c r="P123" s="245"/>
      <c r="Q123" s="245"/>
      <c r="R123" s="245"/>
      <c r="S123" s="896"/>
      <c r="T123" s="246"/>
      <c r="U123" s="246">
        <f t="shared" ref="U123" si="560">+U122/Q122-1</f>
        <v>5.164936804959197E-2</v>
      </c>
      <c r="V123" s="246">
        <f t="shared" ref="V123" si="561">+V122/R122-1</f>
        <v>8.242647377181167E-2</v>
      </c>
      <c r="W123" s="878">
        <f t="shared" ref="W123" si="562">+W122/S122-1</f>
        <v>9.3496075656928079E-2</v>
      </c>
      <c r="X123" s="246">
        <f t="shared" ref="X123" si="563">+X122/T122-1</f>
        <v>8.6663196267367404E-2</v>
      </c>
      <c r="Y123" s="246">
        <f t="shared" ref="Y123:AD123" si="564">+Y122/U122-1</f>
        <v>0.11656555667464663</v>
      </c>
      <c r="Z123" s="246">
        <f t="shared" si="564"/>
        <v>0.13111736667768348</v>
      </c>
      <c r="AA123" s="878">
        <f t="shared" si="564"/>
        <v>0.1241591823219419</v>
      </c>
      <c r="AB123" s="246">
        <f t="shared" si="564"/>
        <v>0.10841083938898644</v>
      </c>
      <c r="AC123" s="246">
        <f t="shared" si="564"/>
        <v>7.8871864974837447E-2</v>
      </c>
      <c r="AD123" s="246">
        <f t="shared" si="564"/>
        <v>0.10383687712337042</v>
      </c>
      <c r="AE123" s="1144">
        <v>0.05</v>
      </c>
      <c r="AF123" s="1145">
        <v>7.0000000000000007E-2</v>
      </c>
      <c r="AG123" s="1145">
        <f t="shared" ref="AG123:AI123" si="565">+AF123</f>
        <v>7.0000000000000007E-2</v>
      </c>
      <c r="AH123" s="1145">
        <f t="shared" si="565"/>
        <v>7.0000000000000007E-2</v>
      </c>
      <c r="AI123" s="1144">
        <f t="shared" si="565"/>
        <v>7.0000000000000007E-2</v>
      </c>
      <c r="AK123" s="246"/>
      <c r="AL123" s="246"/>
      <c r="AM123" s="246"/>
      <c r="AN123" s="246">
        <f t="shared" ref="AN123" si="566">+AN122/AM122-1</f>
        <v>7.2822982377334977E-2</v>
      </c>
      <c r="AO123" s="246">
        <f t="shared" ref="AO123:AP123" si="567">+AO122/AN122-1</f>
        <v>0.10182170027038362</v>
      </c>
      <c r="AP123" s="246">
        <f t="shared" si="567"/>
        <v>0.10624523850896073</v>
      </c>
      <c r="AQ123" s="552">
        <f t="shared" ref="AQ123" si="568">+AQ122/AP122-1</f>
        <v>8.883935665204068E-2</v>
      </c>
      <c r="AR123" s="552">
        <f t="shared" ref="AR123" si="569">+AR122/AQ122-1</f>
        <v>6.873034952983903E-2</v>
      </c>
      <c r="AS123" s="1145">
        <f>+AR123-2%</f>
        <v>4.8730349529839026E-2</v>
      </c>
    </row>
    <row r="124" spans="2:45" s="247" customFormat="1" x14ac:dyDescent="0.2">
      <c r="B124" s="243" t="s">
        <v>267</v>
      </c>
      <c r="D124" s="248"/>
      <c r="E124" s="248"/>
      <c r="F124" s="248"/>
      <c r="G124" s="897"/>
      <c r="H124" s="248"/>
      <c r="I124" s="248"/>
      <c r="J124" s="248"/>
      <c r="K124" s="897"/>
      <c r="L124" s="248"/>
      <c r="M124" s="248"/>
      <c r="N124" s="248"/>
      <c r="O124" s="897"/>
      <c r="P124" s="248"/>
      <c r="Q124" s="246"/>
      <c r="R124" s="246">
        <f t="shared" ref="R124:AI124" si="570">+R122/Q122-1</f>
        <v>4.2500706845178815E-3</v>
      </c>
      <c r="S124" s="878">
        <f t="shared" si="570"/>
        <v>3.6383048010728558E-3</v>
      </c>
      <c r="T124" s="246">
        <f t="shared" si="570"/>
        <v>2.7087904051584344E-2</v>
      </c>
      <c r="U124" s="246">
        <f t="shared" si="570"/>
        <v>1.5884306664885939E-2</v>
      </c>
      <c r="V124" s="246">
        <f t="shared" si="570"/>
        <v>3.3640009513964841E-2</v>
      </c>
      <c r="W124" s="878">
        <f t="shared" si="570"/>
        <v>1.3902167280422484E-2</v>
      </c>
      <c r="X124" s="246">
        <f t="shared" si="570"/>
        <v>2.0669986395460027E-2</v>
      </c>
      <c r="Y124" s="246">
        <f t="shared" si="570"/>
        <v>4.3839002079561595E-2</v>
      </c>
      <c r="Z124" s="246">
        <f t="shared" si="570"/>
        <v>4.7111079743625606E-2</v>
      </c>
      <c r="AA124" s="878">
        <f t="shared" si="570"/>
        <v>7.6650442316050782E-3</v>
      </c>
      <c r="AB124" s="246">
        <f t="shared" si="570"/>
        <v>6.3714233272562648E-3</v>
      </c>
      <c r="AC124" s="246">
        <f t="shared" si="570"/>
        <v>1.6020856966585173E-2</v>
      </c>
      <c r="AD124" s="246">
        <f t="shared" si="570"/>
        <v>7.1341149759653666E-2</v>
      </c>
      <c r="AE124" s="1137">
        <f>+AE122/AD122-1</f>
        <v>-4.1481292778976164E-2</v>
      </c>
      <c r="AF124" s="552">
        <f>+AF122/AE122-1</f>
        <v>2.5540402819203889E-2</v>
      </c>
      <c r="AG124" s="552">
        <f t="shared" si="570"/>
        <v>1.6020856966585173E-2</v>
      </c>
      <c r="AH124" s="552">
        <f t="shared" si="570"/>
        <v>7.1341149759653666E-2</v>
      </c>
      <c r="AI124" s="1137">
        <f t="shared" si="570"/>
        <v>-4.1481292778976164E-2</v>
      </c>
      <c r="AQ124" s="1090"/>
      <c r="AR124" s="1090"/>
      <c r="AS124" s="1090"/>
    </row>
    <row r="125" spans="2:45" s="247" customFormat="1" x14ac:dyDescent="0.2">
      <c r="B125" s="243"/>
      <c r="D125" s="248"/>
      <c r="E125" s="248"/>
      <c r="F125" s="248"/>
      <c r="G125" s="897"/>
      <c r="H125" s="248"/>
      <c r="I125" s="248"/>
      <c r="J125" s="248"/>
      <c r="K125" s="897"/>
      <c r="L125" s="248"/>
      <c r="M125" s="248"/>
      <c r="N125" s="248"/>
      <c r="O125" s="897"/>
      <c r="P125" s="248"/>
      <c r="Q125" s="246"/>
      <c r="R125" s="246"/>
      <c r="S125" s="878"/>
      <c r="T125" s="246"/>
      <c r="U125" s="246"/>
      <c r="V125" s="246"/>
      <c r="W125" s="878"/>
      <c r="X125" s="246"/>
      <c r="Y125" s="246"/>
      <c r="Z125" s="246"/>
      <c r="AA125" s="878"/>
      <c r="AB125" s="246"/>
      <c r="AC125" s="246"/>
      <c r="AD125" s="246"/>
      <c r="AE125" s="1137"/>
      <c r="AF125" s="552"/>
      <c r="AG125" s="552"/>
      <c r="AH125" s="552"/>
      <c r="AI125" s="1137"/>
      <c r="AQ125" s="1090"/>
      <c r="AR125" s="1090"/>
      <c r="AS125" s="1090"/>
    </row>
    <row r="126" spans="2:45" s="247" customFormat="1" x14ac:dyDescent="0.2">
      <c r="B126" s="255" t="s">
        <v>931</v>
      </c>
      <c r="D126" s="248"/>
      <c r="E126" s="242">
        <f t="shared" ref="E126:AI126" si="571">E25*1000/AVERAGE(D41:E41)/3</f>
        <v>42.43400163294929</v>
      </c>
      <c r="F126" s="242">
        <f t="shared" si="571"/>
        <v>42.390574626149949</v>
      </c>
      <c r="G126" s="890">
        <f t="shared" si="571"/>
        <v>41.838267532038152</v>
      </c>
      <c r="H126" s="242">
        <f t="shared" si="571"/>
        <v>31.733710666397144</v>
      </c>
      <c r="I126" s="242">
        <f t="shared" si="571"/>
        <v>43.002534640810744</v>
      </c>
      <c r="J126" s="242">
        <f t="shared" si="571"/>
        <v>43.216814299774576</v>
      </c>
      <c r="K126" s="890">
        <f t="shared" si="571"/>
        <v>42.425596900957281</v>
      </c>
      <c r="L126" s="242">
        <f t="shared" si="571"/>
        <v>41.902042841514053</v>
      </c>
      <c r="M126" s="242">
        <f t="shared" si="571"/>
        <v>42.030204702960383</v>
      </c>
      <c r="N126" s="242">
        <f t="shared" si="571"/>
        <v>42.428276616341016</v>
      </c>
      <c r="O126" s="890">
        <f t="shared" si="571"/>
        <v>42.106435605536866</v>
      </c>
      <c r="P126" s="242">
        <f t="shared" si="571"/>
        <v>42.407308549988834</v>
      </c>
      <c r="Q126" s="242">
        <f t="shared" si="571"/>
        <v>43.056260933355901</v>
      </c>
      <c r="R126" s="242">
        <f t="shared" si="571"/>
        <v>42.961069785696878</v>
      </c>
      <c r="S126" s="890">
        <f t="shared" si="571"/>
        <v>42.796812778088032</v>
      </c>
      <c r="T126" s="242">
        <f t="shared" si="571"/>
        <v>42.571746959737723</v>
      </c>
      <c r="U126" s="242">
        <f t="shared" si="571"/>
        <v>42.66276445523679</v>
      </c>
      <c r="V126" s="242">
        <f t="shared" si="571"/>
        <v>42.800865212802641</v>
      </c>
      <c r="W126" s="890">
        <f t="shared" si="571"/>
        <v>42.778841074821806</v>
      </c>
      <c r="X126" s="242">
        <f t="shared" si="571"/>
        <v>42.674315677092835</v>
      </c>
      <c r="Y126" s="242">
        <f t="shared" si="571"/>
        <v>43.022049675975495</v>
      </c>
      <c r="Z126" s="242">
        <f t="shared" si="571"/>
        <v>43.748613131487467</v>
      </c>
      <c r="AA126" s="890">
        <f t="shared" si="571"/>
        <v>43.631616279614612</v>
      </c>
      <c r="AB126" s="242">
        <f t="shared" si="571"/>
        <v>43.243483972967255</v>
      </c>
      <c r="AC126" s="242">
        <f t="shared" si="571"/>
        <v>44.116656247013161</v>
      </c>
      <c r="AD126" s="242">
        <f t="shared" si="571"/>
        <v>44.822533548380299</v>
      </c>
      <c r="AE126" s="1174">
        <f t="shared" si="571"/>
        <v>44.126635636551264</v>
      </c>
      <c r="AF126" s="1175">
        <f t="shared" si="571"/>
        <v>43.823431282627467</v>
      </c>
      <c r="AG126" s="1175">
        <f t="shared" si="571"/>
        <v>44.781914711368387</v>
      </c>
      <c r="AH126" s="1175">
        <f t="shared" si="571"/>
        <v>45.274284610437206</v>
      </c>
      <c r="AI126" s="1174">
        <f t="shared" si="571"/>
        <v>44.845520038653575</v>
      </c>
      <c r="AM126" s="242">
        <f t="shared" ref="AM126:AS126" si="572">AM25*1000/AVERAGE(AL41:AM41)/12</f>
        <v>41.971130425864679</v>
      </c>
      <c r="AN126" s="242">
        <f t="shared" si="572"/>
        <v>42.542408997841335</v>
      </c>
      <c r="AO126" s="242">
        <f t="shared" si="572"/>
        <v>42.648532369160485</v>
      </c>
      <c r="AP126" s="242">
        <f t="shared" si="572"/>
        <v>43.148505383258311</v>
      </c>
      <c r="AQ126" s="1175">
        <f t="shared" si="572"/>
        <v>43.810930774668712</v>
      </c>
      <c r="AR126" s="1175">
        <f t="shared" si="572"/>
        <v>44.583910117998336</v>
      </c>
      <c r="AS126" s="1175">
        <f t="shared" si="572"/>
        <v>45.259907094878457</v>
      </c>
    </row>
    <row r="127" spans="2:45" s="247" customFormat="1" x14ac:dyDescent="0.2">
      <c r="B127" s="243" t="s">
        <v>266</v>
      </c>
      <c r="D127" s="248"/>
      <c r="E127" s="248"/>
      <c r="F127" s="248"/>
      <c r="G127" s="897"/>
      <c r="H127" s="248"/>
      <c r="I127" s="246">
        <f t="shared" ref="I127:AH127" si="573">I126/E126-1</f>
        <v>1.3398053117384956E-2</v>
      </c>
      <c r="J127" s="246">
        <f t="shared" si="573"/>
        <v>1.9491117563547711E-2</v>
      </c>
      <c r="K127" s="878">
        <f t="shared" si="573"/>
        <v>1.4038090092267197E-2</v>
      </c>
      <c r="L127" s="246">
        <f t="shared" si="573"/>
        <v>0.32042682565591574</v>
      </c>
      <c r="M127" s="246">
        <f t="shared" si="573"/>
        <v>-2.2610991328115615E-2</v>
      </c>
      <c r="N127" s="246">
        <f t="shared" si="573"/>
        <v>-1.8246085376951826E-2</v>
      </c>
      <c r="O127" s="878">
        <f t="shared" si="573"/>
        <v>-7.5228474961824832E-3</v>
      </c>
      <c r="P127" s="246">
        <f t="shared" si="573"/>
        <v>1.2058259555168815E-2</v>
      </c>
      <c r="Q127" s="246">
        <f t="shared" si="573"/>
        <v>2.4412353869008196E-2</v>
      </c>
      <c r="R127" s="246">
        <f t="shared" si="573"/>
        <v>1.2557502020967393E-2</v>
      </c>
      <c r="S127" s="878">
        <f t="shared" si="573"/>
        <v>1.6396001291080209E-2</v>
      </c>
      <c r="T127" s="246">
        <f t="shared" si="573"/>
        <v>3.8775959939794102E-3</v>
      </c>
      <c r="U127" s="246">
        <f t="shared" si="573"/>
        <v>-9.1391233142186223E-3</v>
      </c>
      <c r="V127" s="246">
        <f t="shared" si="573"/>
        <v>-3.7290638639444484E-3</v>
      </c>
      <c r="W127" s="878">
        <f t="shared" si="573"/>
        <v>-4.199308803535251E-4</v>
      </c>
      <c r="X127" s="246">
        <f t="shared" si="573"/>
        <v>2.4093142677963364E-3</v>
      </c>
      <c r="Y127" s="246">
        <f t="shared" si="573"/>
        <v>8.4215175768949102E-3</v>
      </c>
      <c r="Z127" s="246">
        <f t="shared" si="573"/>
        <v>2.2143195329643373E-2</v>
      </c>
      <c r="AA127" s="878">
        <f t="shared" si="573"/>
        <v>1.9934509289329938E-2</v>
      </c>
      <c r="AB127" s="246">
        <f t="shared" si="573"/>
        <v>1.3337490873460922E-2</v>
      </c>
      <c r="AC127" s="246">
        <f t="shared" si="573"/>
        <v>2.5442920067309638E-2</v>
      </c>
      <c r="AD127" s="246">
        <f t="shared" si="573"/>
        <v>2.4547530539200002E-2</v>
      </c>
      <c r="AE127" s="1137">
        <f>AE126/AA126-1</f>
        <v>1.1345427906321426E-2</v>
      </c>
      <c r="AF127" s="552">
        <f t="shared" si="573"/>
        <v>1.3411206877381954E-2</v>
      </c>
      <c r="AG127" s="552">
        <f t="shared" si="573"/>
        <v>1.5079530520862416E-2</v>
      </c>
      <c r="AH127" s="552">
        <f t="shared" si="573"/>
        <v>1.0078659689535252E-2</v>
      </c>
      <c r="AI127" s="1137">
        <f>AI126/AE126-1</f>
        <v>1.6291393887886585E-2</v>
      </c>
      <c r="AN127" s="246">
        <f t="shared" ref="AN127" si="574">+AN126/AM126-1</f>
        <v>1.3611226721322867E-2</v>
      </c>
      <c r="AO127" s="246">
        <f t="shared" ref="AO127:AP127" si="575">+AO126/AN126-1</f>
        <v>2.4945313116737644E-3</v>
      </c>
      <c r="AP127" s="246">
        <f t="shared" si="575"/>
        <v>1.1723100100376804E-2</v>
      </c>
      <c r="AQ127" s="552">
        <f t="shared" ref="AQ127" si="576">+AQ126/AP126-1</f>
        <v>1.5352221021945889E-2</v>
      </c>
      <c r="AR127" s="552">
        <f t="shared" ref="AR127" si="577">+AR126/AQ126-1</f>
        <v>1.7643527075589027E-2</v>
      </c>
      <c r="AS127" s="552">
        <f t="shared" ref="AS127" si="578">+AS126/AR126-1</f>
        <v>1.5162352855345951E-2</v>
      </c>
    </row>
    <row r="128" spans="2:45" s="247" customFormat="1" x14ac:dyDescent="0.2">
      <c r="B128" s="243" t="s">
        <v>267</v>
      </c>
      <c r="D128" s="248"/>
      <c r="E128" s="248"/>
      <c r="F128" s="246">
        <f t="shared" ref="F128:AH128" si="579">F126/E126-1</f>
        <v>-1.0234011671814702E-3</v>
      </c>
      <c r="G128" s="878">
        <f t="shared" si="579"/>
        <v>-1.3029007013532823E-2</v>
      </c>
      <c r="H128" s="246">
        <f t="shared" si="579"/>
        <v>-0.24151470559585964</v>
      </c>
      <c r="I128" s="246">
        <f t="shared" si="579"/>
        <v>0.35510577672046928</v>
      </c>
      <c r="J128" s="246">
        <f t="shared" si="579"/>
        <v>4.9829541619734741E-3</v>
      </c>
      <c r="K128" s="878">
        <f t="shared" si="579"/>
        <v>-1.8308091691557671E-2</v>
      </c>
      <c r="L128" s="246">
        <f t="shared" si="579"/>
        <v>-1.2340523120168867E-2</v>
      </c>
      <c r="M128" s="246">
        <f t="shared" si="579"/>
        <v>3.0586065202375945E-3</v>
      </c>
      <c r="N128" s="246">
        <f t="shared" si="579"/>
        <v>9.4710914732374363E-3</v>
      </c>
      <c r="O128" s="878">
        <f t="shared" si="579"/>
        <v>-7.5855310767016793E-3</v>
      </c>
      <c r="P128" s="246">
        <f t="shared" si="579"/>
        <v>7.1455334588426123E-3</v>
      </c>
      <c r="Q128" s="246">
        <f t="shared" si="579"/>
        <v>1.5302842966374408E-2</v>
      </c>
      <c r="R128" s="246">
        <f t="shared" si="579"/>
        <v>-2.2108549510688746E-3</v>
      </c>
      <c r="S128" s="878">
        <f t="shared" si="579"/>
        <v>-3.8233919320028731E-3</v>
      </c>
      <c r="T128" s="246">
        <f t="shared" si="579"/>
        <v>-5.2589387793275932E-3</v>
      </c>
      <c r="U128" s="246">
        <f t="shared" si="579"/>
        <v>2.1379788709434688E-3</v>
      </c>
      <c r="V128" s="246">
        <f t="shared" si="579"/>
        <v>3.237032558233599E-3</v>
      </c>
      <c r="W128" s="878">
        <f t="shared" si="579"/>
        <v>-5.1457226089546282E-4</v>
      </c>
      <c r="X128" s="246">
        <f t="shared" si="579"/>
        <v>-2.4433901223773757E-3</v>
      </c>
      <c r="Y128" s="246">
        <f t="shared" si="579"/>
        <v>8.1485547773956224E-3</v>
      </c>
      <c r="Z128" s="246">
        <f t="shared" si="579"/>
        <v>1.6888164580352472E-2</v>
      </c>
      <c r="AA128" s="878">
        <f t="shared" si="579"/>
        <v>-2.6742985319607726E-3</v>
      </c>
      <c r="AB128" s="246">
        <f t="shared" si="579"/>
        <v>-8.8956664855135426E-3</v>
      </c>
      <c r="AC128" s="246">
        <f t="shared" si="579"/>
        <v>2.019199643099423E-2</v>
      </c>
      <c r="AD128" s="246">
        <f t="shared" si="579"/>
        <v>1.6000244837570454E-2</v>
      </c>
      <c r="AE128" s="1137">
        <f>AE126/AD126-1</f>
        <v>-1.5525626436932671E-2</v>
      </c>
      <c r="AF128" s="552">
        <f>AF126/AE126-1</f>
        <v>-6.8712320699256813E-3</v>
      </c>
      <c r="AG128" s="552">
        <f t="shared" si="579"/>
        <v>2.1871482918793816E-2</v>
      </c>
      <c r="AH128" s="552">
        <f t="shared" si="579"/>
        <v>1.0994838033216769E-2</v>
      </c>
      <c r="AI128" s="1137">
        <f>AI126/AH126-1</f>
        <v>-9.4703776210477431E-3</v>
      </c>
      <c r="AQ128" s="1090"/>
      <c r="AR128" s="1090"/>
      <c r="AS128" s="1090"/>
    </row>
    <row r="129" spans="1:45" s="247" customFormat="1" x14ac:dyDescent="0.2">
      <c r="B129" s="243"/>
      <c r="D129" s="248"/>
      <c r="E129" s="248"/>
      <c r="F129" s="248"/>
      <c r="G129" s="897"/>
      <c r="H129" s="248"/>
      <c r="I129" s="248"/>
      <c r="J129" s="248"/>
      <c r="K129" s="897"/>
      <c r="L129" s="248"/>
      <c r="M129" s="248"/>
      <c r="N129" s="248"/>
      <c r="O129" s="897"/>
      <c r="P129" s="248"/>
      <c r="Q129" s="246"/>
      <c r="R129" s="246"/>
      <c r="S129" s="878"/>
      <c r="T129" s="246"/>
      <c r="U129" s="246"/>
      <c r="V129" s="246"/>
      <c r="W129" s="878"/>
      <c r="X129" s="246"/>
      <c r="Y129" s="246"/>
      <c r="Z129" s="246"/>
      <c r="AA129" s="878"/>
      <c r="AB129" s="246"/>
      <c r="AC129" s="246"/>
      <c r="AD129" s="246"/>
      <c r="AE129" s="1137"/>
      <c r="AF129" s="552"/>
      <c r="AG129" s="552"/>
      <c r="AH129" s="552"/>
      <c r="AI129" s="1137"/>
      <c r="AQ129" s="1090"/>
      <c r="AR129" s="1090"/>
      <c r="AS129" s="1090"/>
    </row>
    <row r="130" spans="1:45" s="247" customFormat="1" hidden="1" outlineLevel="1" x14ac:dyDescent="0.2">
      <c r="B130" s="2" t="s">
        <v>804</v>
      </c>
      <c r="D130" s="242">
        <f>D31*1000/AVERAGE(D40)/3</f>
        <v>18.263226110521973</v>
      </c>
      <c r="E130" s="242">
        <f>E31*1000/AVERAGE(D40:E40)/3</f>
        <v>18.553298047919867</v>
      </c>
      <c r="F130" s="242">
        <f>F31*1000/AVERAGE(E40:F40)/3</f>
        <v>18.554268554268553</v>
      </c>
      <c r="G130" s="890">
        <f>G31*1000/AVERAGE(F40:G40)/3</f>
        <v>18.471743844878173</v>
      </c>
      <c r="H130" s="242">
        <f>H31*1000/AVERAGE(G40,G40+G40-F40)/3</f>
        <v>15.095074623231808</v>
      </c>
      <c r="I130" s="242">
        <f>I31*1000/AVERAGE(H40:I40)/3</f>
        <v>16.859679993452552</v>
      </c>
      <c r="J130" s="242">
        <f>J31*1000/AVERAGE(I40:J40)/3</f>
        <v>16.976353469244465</v>
      </c>
      <c r="K130" s="868">
        <f>+J130</f>
        <v>16.976353469244465</v>
      </c>
      <c r="L130" s="253">
        <f t="shared" ref="L130" si="580">+K130</f>
        <v>16.976353469244465</v>
      </c>
      <c r="M130" s="242">
        <f>(1+M131)*I130</f>
        <v>17.028276793387079</v>
      </c>
      <c r="N130" s="242">
        <f t="shared" ref="N130:AD130" si="581">(1+N131)*J130</f>
        <v>17.146117003936912</v>
      </c>
      <c r="O130" s="890">
        <f t="shared" si="581"/>
        <v>17.146117003936912</v>
      </c>
      <c r="P130" s="242">
        <f t="shared" si="581"/>
        <v>17.146117003936912</v>
      </c>
      <c r="Q130" s="242">
        <f t="shared" si="581"/>
        <v>17.198559561320948</v>
      </c>
      <c r="R130" s="242">
        <f t="shared" si="581"/>
        <v>17.31757817397628</v>
      </c>
      <c r="S130" s="890">
        <f t="shared" si="581"/>
        <v>17.31757817397628</v>
      </c>
      <c r="T130" s="242">
        <f t="shared" si="581"/>
        <v>17.31757817397628</v>
      </c>
      <c r="U130" s="242">
        <f t="shared" si="581"/>
        <v>17.370545156934156</v>
      </c>
      <c r="V130" s="242">
        <f t="shared" si="581"/>
        <v>17.490753955716041</v>
      </c>
      <c r="W130" s="890">
        <f t="shared" si="581"/>
        <v>17.490753955716041</v>
      </c>
      <c r="X130" s="242">
        <f t="shared" si="581"/>
        <v>17.490753955716041</v>
      </c>
      <c r="Y130" s="242">
        <f t="shared" si="581"/>
        <v>17.544250608503496</v>
      </c>
      <c r="Z130" s="242">
        <f t="shared" si="581"/>
        <v>17.665661495273202</v>
      </c>
      <c r="AA130" s="890">
        <f t="shared" si="581"/>
        <v>17.665661495273202</v>
      </c>
      <c r="AB130" s="242">
        <f t="shared" si="581"/>
        <v>17.665661495273202</v>
      </c>
      <c r="AC130" s="242">
        <f t="shared" si="581"/>
        <v>17.71969311458853</v>
      </c>
      <c r="AD130" s="242">
        <f t="shared" si="581"/>
        <v>17.842318110225936</v>
      </c>
      <c r="AE130" s="1174">
        <f>(1+AE131)*AA130</f>
        <v>17.842318110225936</v>
      </c>
      <c r="AF130" s="1281">
        <f t="shared" ref="AF130" si="582">(1+AF131)*AB130</f>
        <v>17.842318110225936</v>
      </c>
      <c r="AG130" s="1175">
        <f t="shared" ref="AG130" si="583">(1+AG131)*AC130</f>
        <v>17.896890045734416</v>
      </c>
      <c r="AH130" s="1175">
        <f t="shared" ref="AH130" si="584">(1+AH131)*AD130</f>
        <v>18.020741291328196</v>
      </c>
      <c r="AI130" s="1174">
        <f>(1+AI131)*AE130</f>
        <v>18.020741291328196</v>
      </c>
      <c r="AK130" s="242"/>
      <c r="AL130" s="242"/>
      <c r="AM130" s="242"/>
      <c r="AN130" s="242"/>
      <c r="AO130" s="242"/>
      <c r="AP130" s="242"/>
      <c r="AQ130" s="1175"/>
      <c r="AR130" s="1175"/>
      <c r="AS130" s="1175"/>
    </row>
    <row r="131" spans="1:45" s="247" customFormat="1" hidden="1" outlineLevel="1" x14ac:dyDescent="0.2">
      <c r="B131" s="243" t="s">
        <v>266</v>
      </c>
      <c r="D131" s="248"/>
      <c r="E131" s="248"/>
      <c r="F131" s="248"/>
      <c r="G131" s="897"/>
      <c r="H131" s="248"/>
      <c r="I131" s="248"/>
      <c r="J131" s="248"/>
      <c r="K131" s="897"/>
      <c r="L131" s="1046"/>
      <c r="M131" s="1047">
        <v>0.01</v>
      </c>
      <c r="N131" s="1047">
        <f>+M131</f>
        <v>0.01</v>
      </c>
      <c r="O131" s="1048">
        <f t="shared" ref="O131:AD131" si="585">+N131</f>
        <v>0.01</v>
      </c>
      <c r="P131" s="1047">
        <f t="shared" si="585"/>
        <v>0.01</v>
      </c>
      <c r="Q131" s="1047">
        <f t="shared" si="585"/>
        <v>0.01</v>
      </c>
      <c r="R131" s="1047">
        <f t="shared" si="585"/>
        <v>0.01</v>
      </c>
      <c r="S131" s="1048">
        <f t="shared" si="585"/>
        <v>0.01</v>
      </c>
      <c r="T131" s="1047">
        <f t="shared" si="585"/>
        <v>0.01</v>
      </c>
      <c r="U131" s="1047">
        <f t="shared" si="585"/>
        <v>0.01</v>
      </c>
      <c r="V131" s="1047">
        <f t="shared" si="585"/>
        <v>0.01</v>
      </c>
      <c r="W131" s="1048">
        <f t="shared" si="585"/>
        <v>0.01</v>
      </c>
      <c r="X131" s="1047">
        <f t="shared" si="585"/>
        <v>0.01</v>
      </c>
      <c r="Y131" s="1047">
        <f t="shared" si="585"/>
        <v>0.01</v>
      </c>
      <c r="Z131" s="1295">
        <f t="shared" si="585"/>
        <v>0.01</v>
      </c>
      <c r="AA131" s="1048">
        <f t="shared" si="585"/>
        <v>0.01</v>
      </c>
      <c r="AB131" s="1047">
        <f t="shared" si="585"/>
        <v>0.01</v>
      </c>
      <c r="AC131" s="1047">
        <f t="shared" si="585"/>
        <v>0.01</v>
      </c>
      <c r="AD131" s="1047">
        <f t="shared" si="585"/>
        <v>0.01</v>
      </c>
      <c r="AE131" s="1178">
        <f>+AD131</f>
        <v>0.01</v>
      </c>
      <c r="AF131" s="1179">
        <f>+AE131</f>
        <v>0.01</v>
      </c>
      <c r="AG131" s="1178">
        <f t="shared" ref="AG131" si="586">+AF131</f>
        <v>0.01</v>
      </c>
      <c r="AH131" s="1178">
        <f t="shared" ref="AH131" si="587">+AG131</f>
        <v>0.01</v>
      </c>
      <c r="AI131" s="1178">
        <f t="shared" ref="AI131" si="588">+AH131</f>
        <v>0.01</v>
      </c>
      <c r="AJ131" s="1066"/>
      <c r="AQ131" s="1090"/>
      <c r="AR131" s="1090"/>
      <c r="AS131" s="1090"/>
    </row>
    <row r="132" spans="1:45" s="247" customFormat="1" hidden="1" outlineLevel="1" x14ac:dyDescent="0.2">
      <c r="B132" s="255" t="s">
        <v>805</v>
      </c>
      <c r="D132" s="163">
        <f t="shared" ref="D132:J132" si="589">D31</f>
        <v>310</v>
      </c>
      <c r="E132" s="163">
        <f t="shared" si="589"/>
        <v>326</v>
      </c>
      <c r="F132" s="163">
        <f t="shared" si="589"/>
        <v>346</v>
      </c>
      <c r="G132" s="865">
        <f t="shared" si="589"/>
        <v>362</v>
      </c>
      <c r="H132" s="163">
        <f t="shared" si="589"/>
        <v>310</v>
      </c>
      <c r="I132" s="163">
        <f t="shared" si="589"/>
        <v>618</v>
      </c>
      <c r="J132" s="163">
        <f t="shared" si="589"/>
        <v>677</v>
      </c>
      <c r="K132" s="865">
        <f t="shared" ref="K132:AI132" si="590">+K130*AVERAGE(J40:K40)*3/1000</f>
        <v>727.52162792447155</v>
      </c>
      <c r="L132" s="163">
        <f t="shared" si="590"/>
        <v>753.97927480628903</v>
      </c>
      <c r="M132" s="163">
        <f t="shared" si="590"/>
        <v>779.2480026189794</v>
      </c>
      <c r="N132" s="163">
        <f t="shared" si="590"/>
        <v>812.82882268863318</v>
      </c>
      <c r="O132" s="865">
        <f t="shared" si="590"/>
        <v>844.30909350786146</v>
      </c>
      <c r="P132" s="163">
        <f t="shared" si="590"/>
        <v>862.80118069660739</v>
      </c>
      <c r="Q132" s="163">
        <f t="shared" si="590"/>
        <v>852.72178160985391</v>
      </c>
      <c r="R132" s="163">
        <f t="shared" si="590"/>
        <v>852.25863346498159</v>
      </c>
      <c r="S132" s="865">
        <f t="shared" si="590"/>
        <v>871.11747609644169</v>
      </c>
      <c r="T132" s="163">
        <f t="shared" si="590"/>
        <v>890.62572790942613</v>
      </c>
      <c r="U132" s="163">
        <f t="shared" si="590"/>
        <v>910.6508298522732</v>
      </c>
      <c r="V132" s="163">
        <f t="shared" si="590"/>
        <v>922.85590558846764</v>
      </c>
      <c r="W132" s="865">
        <f t="shared" si="590"/>
        <v>927.44722850184303</v>
      </c>
      <c r="X132" s="163">
        <f t="shared" si="590"/>
        <v>944.395769084932</v>
      </c>
      <c r="Y132" s="163">
        <f t="shared" si="590"/>
        <v>961.60037585207658</v>
      </c>
      <c r="Z132" s="163">
        <f t="shared" si="590"/>
        <v>982.14011649120903</v>
      </c>
      <c r="AA132" s="865">
        <f t="shared" si="590"/>
        <v>1008.1881343659894</v>
      </c>
      <c r="AB132" s="163">
        <f t="shared" si="590"/>
        <v>1037.6809562323481</v>
      </c>
      <c r="AC132" s="163">
        <f t="shared" si="590"/>
        <v>1065.0687341920157</v>
      </c>
      <c r="AD132" s="163">
        <f t="shared" si="590"/>
        <v>1102.8961305064508</v>
      </c>
      <c r="AE132" s="554">
        <f t="shared" si="590"/>
        <v>1134.8998965007634</v>
      </c>
      <c r="AF132" s="1180">
        <f t="shared" si="590"/>
        <v>1159.3563619344498</v>
      </c>
      <c r="AG132" s="554">
        <f t="shared" si="590"/>
        <v>1182.4323129651341</v>
      </c>
      <c r="AH132" s="554">
        <f t="shared" si="590"/>
        <v>1213.0779135075968</v>
      </c>
      <c r="AI132" s="554">
        <f t="shared" si="590"/>
        <v>1242.525606851756</v>
      </c>
      <c r="AJ132" s="1066"/>
      <c r="AK132" s="163">
        <f t="shared" ref="AK132:AS132" si="591">SUMIF($D$3:$AI$3,AK$3,$D132:$AI132)</f>
        <v>1344</v>
      </c>
      <c r="AL132" s="163">
        <f t="shared" si="591"/>
        <v>2332.5216279244714</v>
      </c>
      <c r="AM132" s="163">
        <f t="shared" si="591"/>
        <v>3190.365193621763</v>
      </c>
      <c r="AN132" s="163">
        <f t="shared" si="591"/>
        <v>3438.8990718678847</v>
      </c>
      <c r="AO132" s="163">
        <f t="shared" si="591"/>
        <v>3651.57969185201</v>
      </c>
      <c r="AP132" s="163">
        <f t="shared" si="591"/>
        <v>3896.3243957942068</v>
      </c>
      <c r="AQ132" s="554">
        <f t="shared" si="591"/>
        <v>4340.5457174315779</v>
      </c>
      <c r="AR132" s="554">
        <f t="shared" si="591"/>
        <v>4797.3921952589371</v>
      </c>
      <c r="AS132" s="554">
        <f t="shared" si="591"/>
        <v>0</v>
      </c>
    </row>
    <row r="133" spans="1:45" s="247" customFormat="1" hidden="1" outlineLevel="1" x14ac:dyDescent="0.2">
      <c r="B133" s="255"/>
      <c r="D133" s="163"/>
      <c r="E133" s="163"/>
      <c r="F133" s="163"/>
      <c r="G133" s="865"/>
      <c r="H133" s="163"/>
      <c r="I133" s="163"/>
      <c r="J133" s="163"/>
      <c r="K133" s="865"/>
      <c r="L133" s="163"/>
      <c r="M133" s="163"/>
      <c r="N133" s="163"/>
      <c r="O133" s="865"/>
      <c r="P133" s="163"/>
      <c r="Q133" s="163"/>
      <c r="R133" s="163"/>
      <c r="S133" s="865"/>
      <c r="T133" s="163"/>
      <c r="U133" s="163"/>
      <c r="V133" s="163"/>
      <c r="W133" s="865"/>
      <c r="X133" s="163"/>
      <c r="Y133" s="163"/>
      <c r="Z133" s="163"/>
      <c r="AA133" s="865"/>
      <c r="AB133" s="163"/>
      <c r="AC133" s="163"/>
      <c r="AD133" s="163"/>
      <c r="AE133" s="554"/>
      <c r="AF133" s="1180"/>
      <c r="AG133" s="554"/>
      <c r="AH133" s="554"/>
      <c r="AI133" s="554"/>
      <c r="AJ133" s="1066"/>
      <c r="AQ133" s="1090"/>
      <c r="AR133" s="1090"/>
      <c r="AS133" s="1090"/>
    </row>
    <row r="134" spans="1:45" s="247" customFormat="1" hidden="1" outlineLevel="1" x14ac:dyDescent="0.2">
      <c r="B134" s="255" t="s">
        <v>806</v>
      </c>
      <c r="D134" s="163">
        <f t="shared" ref="D134:AI134" si="592">+D31-D132</f>
        <v>0</v>
      </c>
      <c r="E134" s="163">
        <f t="shared" si="592"/>
        <v>0</v>
      </c>
      <c r="F134" s="163">
        <f t="shared" si="592"/>
        <v>0</v>
      </c>
      <c r="G134" s="865">
        <f t="shared" si="592"/>
        <v>0</v>
      </c>
      <c r="H134" s="163">
        <f t="shared" si="592"/>
        <v>0</v>
      </c>
      <c r="I134" s="163">
        <f t="shared" si="592"/>
        <v>0</v>
      </c>
      <c r="J134" s="163">
        <f t="shared" si="592"/>
        <v>0</v>
      </c>
      <c r="K134" s="865">
        <f t="shared" si="592"/>
        <v>34.478372075528455</v>
      </c>
      <c r="L134" s="163">
        <f t="shared" si="592"/>
        <v>66.020725193710973</v>
      </c>
      <c r="M134" s="163">
        <f t="shared" si="592"/>
        <v>45.751997381020601</v>
      </c>
      <c r="N134" s="163">
        <f t="shared" si="592"/>
        <v>39.171177311366819</v>
      </c>
      <c r="O134" s="865">
        <f t="shared" si="592"/>
        <v>66.690906492138538</v>
      </c>
      <c r="P134" s="163">
        <f t="shared" si="592"/>
        <v>105.43824930339406</v>
      </c>
      <c r="Q134" s="163">
        <f t="shared" si="592"/>
        <v>185.16925839014652</v>
      </c>
      <c r="R134" s="163">
        <f t="shared" si="592"/>
        <v>211.76976653501765</v>
      </c>
      <c r="S134" s="865">
        <f t="shared" si="592"/>
        <v>245.81463390355987</v>
      </c>
      <c r="T134" s="163">
        <f t="shared" si="592"/>
        <v>306.3776020905716</v>
      </c>
      <c r="U134" s="163">
        <f t="shared" si="592"/>
        <v>353.20613014772596</v>
      </c>
      <c r="V134" s="163">
        <f t="shared" si="592"/>
        <v>420.92206441153337</v>
      </c>
      <c r="W134" s="865">
        <f t="shared" si="592"/>
        <v>472.45370149815858</v>
      </c>
      <c r="X134" s="163">
        <f t="shared" si="592"/>
        <v>532.91749091506699</v>
      </c>
      <c r="Y134" s="163">
        <f t="shared" si="592"/>
        <v>623.35425914792347</v>
      </c>
      <c r="Z134" s="163">
        <f t="shared" si="592"/>
        <v>723.17170850878983</v>
      </c>
      <c r="AA134" s="865">
        <f t="shared" si="592"/>
        <v>773.22168063400966</v>
      </c>
      <c r="AB134" s="163">
        <f t="shared" si="592"/>
        <v>823.31904376765192</v>
      </c>
      <c r="AC134" s="163">
        <f t="shared" si="592"/>
        <v>893.93126580798435</v>
      </c>
      <c r="AD134" s="163">
        <f t="shared" si="592"/>
        <v>1134.1038694935492</v>
      </c>
      <c r="AE134" s="554">
        <f t="shared" si="592"/>
        <v>1124.1162132394363</v>
      </c>
      <c r="AF134" s="1180">
        <f t="shared" si="592"/>
        <v>1208.1378582758259</v>
      </c>
      <c r="AG134" s="554">
        <f t="shared" si="592"/>
        <v>1281.6364074052365</v>
      </c>
      <c r="AH134" s="554">
        <f t="shared" si="592"/>
        <v>1496.1913131105275</v>
      </c>
      <c r="AI134" s="554">
        <f t="shared" si="592"/>
        <v>1430.907836016213</v>
      </c>
      <c r="AJ134" s="1066"/>
      <c r="AK134" s="163">
        <f t="shared" ref="AK134:AS134" si="593">SUMIF($D$3:$AI$3,AK$3,$D134:$AI134)</f>
        <v>0</v>
      </c>
      <c r="AL134" s="163">
        <f t="shared" si="593"/>
        <v>34.478372075528455</v>
      </c>
      <c r="AM134" s="163">
        <f t="shared" si="593"/>
        <v>217.63480637823693</v>
      </c>
      <c r="AN134" s="163">
        <f t="shared" si="593"/>
        <v>748.1919081321181</v>
      </c>
      <c r="AO134" s="163">
        <f t="shared" si="593"/>
        <v>1552.9594981479895</v>
      </c>
      <c r="AP134" s="163">
        <f t="shared" si="593"/>
        <v>2652.6651392057902</v>
      </c>
      <c r="AQ134" s="554">
        <f t="shared" si="593"/>
        <v>3975.4703923086217</v>
      </c>
      <c r="AR134" s="554">
        <f t="shared" si="593"/>
        <v>5416.8734148078029</v>
      </c>
      <c r="AS134" s="554">
        <f t="shared" si="593"/>
        <v>0</v>
      </c>
    </row>
    <row r="135" spans="1:45" s="247" customFormat="1" hidden="1" outlineLevel="1" x14ac:dyDescent="0.2">
      <c r="B135" s="2" t="s">
        <v>803</v>
      </c>
      <c r="D135" s="248"/>
      <c r="E135" s="248"/>
      <c r="F135" s="248"/>
      <c r="G135" s="897"/>
      <c r="H135" s="248"/>
      <c r="I135" s="248"/>
      <c r="J135" s="248"/>
      <c r="K135" s="890"/>
      <c r="L135" s="242"/>
      <c r="M135" s="242">
        <f t="shared" ref="M135:AI135" si="594">+M134*1000/AVERAGE(L38:M38)/3</f>
        <v>63.412331782426328</v>
      </c>
      <c r="N135" s="242">
        <f t="shared" si="594"/>
        <v>36.780448179687149</v>
      </c>
      <c r="O135" s="890">
        <f t="shared" si="594"/>
        <v>41.629779333419812</v>
      </c>
      <c r="P135" s="242">
        <f t="shared" si="594"/>
        <v>43.363458483814128</v>
      </c>
      <c r="Q135" s="242">
        <f t="shared" si="594"/>
        <v>50.447965778544209</v>
      </c>
      <c r="R135" s="242">
        <f t="shared" si="594"/>
        <v>41.13631828574546</v>
      </c>
      <c r="S135" s="890">
        <f t="shared" si="594"/>
        <v>37.500325538300515</v>
      </c>
      <c r="T135" s="242">
        <f t="shared" si="594"/>
        <v>38.794251610075541</v>
      </c>
      <c r="U135" s="242">
        <f t="shared" si="594"/>
        <v>38.244397179116014</v>
      </c>
      <c r="V135" s="242">
        <f t="shared" si="594"/>
        <v>39.473162133589661</v>
      </c>
      <c r="W135" s="890">
        <f t="shared" si="594"/>
        <v>38.909096273268155</v>
      </c>
      <c r="X135" s="242">
        <f t="shared" si="594"/>
        <v>39.820480528660767</v>
      </c>
      <c r="Y135" s="242">
        <f t="shared" si="594"/>
        <v>43.171567224040679</v>
      </c>
      <c r="Z135" s="242">
        <f t="shared" si="594"/>
        <v>46.495753914475188</v>
      </c>
      <c r="AA135" s="890">
        <f t="shared" si="594"/>
        <v>46.360384964715628</v>
      </c>
      <c r="AB135" s="242">
        <f t="shared" si="594"/>
        <v>46.236994567582173</v>
      </c>
      <c r="AC135" s="242">
        <f t="shared" si="594"/>
        <v>46.981015152173661</v>
      </c>
      <c r="AD135" s="242">
        <f t="shared" si="594"/>
        <v>55.111104769227552</v>
      </c>
      <c r="AE135" s="1175">
        <f t="shared" si="594"/>
        <v>51.074624090074515</v>
      </c>
      <c r="AF135" s="1177">
        <f t="shared" si="594"/>
        <v>52.372130813768138</v>
      </c>
      <c r="AG135" s="1175">
        <f t="shared" si="594"/>
        <v>53.072599539571691</v>
      </c>
      <c r="AH135" s="1175">
        <f t="shared" si="594"/>
        <v>59.190449129644826</v>
      </c>
      <c r="AI135" s="1175">
        <f t="shared" si="594"/>
        <v>54.291636287997569</v>
      </c>
      <c r="AJ135" s="1066"/>
      <c r="AK135" s="242" t="e">
        <f t="shared" ref="AK135:AS135" si="595">+AK134*1000/AVERAGE(AJ38:AK38)/12</f>
        <v>#DIV/0!</v>
      </c>
      <c r="AL135" s="242">
        <f t="shared" si="595"/>
        <v>57.463953459214089</v>
      </c>
      <c r="AM135" s="242">
        <f t="shared" si="595"/>
        <v>48.62261089772943</v>
      </c>
      <c r="AN135" s="242">
        <f t="shared" si="595"/>
        <v>40.804532511568389</v>
      </c>
      <c r="AO135" s="242">
        <f t="shared" si="595"/>
        <v>38.6423683225836</v>
      </c>
      <c r="AP135" s="242">
        <f t="shared" si="595"/>
        <v>44.078849106111505</v>
      </c>
      <c r="AQ135" s="1175">
        <f t="shared" si="595"/>
        <v>49.998898171132474</v>
      </c>
      <c r="AR135" s="1175">
        <f t="shared" si="595"/>
        <v>54.852507070780007</v>
      </c>
      <c r="AS135" s="1175">
        <f t="shared" si="595"/>
        <v>0</v>
      </c>
    </row>
    <row r="136" spans="1:45" s="247" customFormat="1" hidden="1" outlineLevel="1" x14ac:dyDescent="0.2">
      <c r="B136" s="243" t="s">
        <v>266</v>
      </c>
      <c r="D136" s="248"/>
      <c r="E136" s="248"/>
      <c r="F136" s="248"/>
      <c r="G136" s="897"/>
      <c r="H136" s="248"/>
      <c r="I136" s="248"/>
      <c r="J136" s="248"/>
      <c r="K136" s="897"/>
      <c r="L136" s="248"/>
      <c r="M136" s="248"/>
      <c r="N136" s="248"/>
      <c r="O136" s="897"/>
      <c r="P136" s="248"/>
      <c r="Q136" s="246">
        <f>+Q135/M135-1</f>
        <v>-0.20444550199421896</v>
      </c>
      <c r="R136" s="246">
        <f t="shared" ref="R136:AD136" si="596">+R135/N135-1</f>
        <v>0.11842895673206999</v>
      </c>
      <c r="S136" s="878">
        <f t="shared" si="596"/>
        <v>-9.9194707760658973E-2</v>
      </c>
      <c r="T136" s="246">
        <f t="shared" si="596"/>
        <v>-0.10536998278041154</v>
      </c>
      <c r="U136" s="246">
        <f t="shared" si="596"/>
        <v>-0.24190407702461691</v>
      </c>
      <c r="V136" s="246">
        <f t="shared" si="596"/>
        <v>-4.0430359873312116E-2</v>
      </c>
      <c r="W136" s="878">
        <f t="shared" si="596"/>
        <v>3.7566893480132757E-2</v>
      </c>
      <c r="X136" s="246">
        <f t="shared" si="596"/>
        <v>2.6453118077903515E-2</v>
      </c>
      <c r="Y136" s="246">
        <f t="shared" si="596"/>
        <v>0.12883377457483447</v>
      </c>
      <c r="Z136" s="246">
        <f t="shared" si="596"/>
        <v>0.17790801145139712</v>
      </c>
      <c r="AA136" s="878">
        <f t="shared" si="596"/>
        <v>0.19150505678968321</v>
      </c>
      <c r="AB136" s="246">
        <f t="shared" si="596"/>
        <v>0.16113602733405297</v>
      </c>
      <c r="AC136" s="246">
        <f t="shared" si="596"/>
        <v>8.8239741410444772E-2</v>
      </c>
      <c r="AD136" s="246">
        <f t="shared" si="596"/>
        <v>0.18529328227690511</v>
      </c>
      <c r="AE136" s="552">
        <f>+AE135/AA135-1</f>
        <v>0.10168679852306761</v>
      </c>
      <c r="AF136" s="1181">
        <f t="shared" ref="AF136" si="597">+AF135/AB135-1</f>
        <v>0.13268890643872977</v>
      </c>
      <c r="AG136" s="552">
        <f t="shared" ref="AG136" si="598">+AG135/AC135-1</f>
        <v>0.12966055262252429</v>
      </c>
      <c r="AH136" s="552">
        <f t="shared" ref="AH136" si="599">+AH135/AD135-1</f>
        <v>7.4020369896396376E-2</v>
      </c>
      <c r="AI136" s="552">
        <f>+AI135/AE135-1</f>
        <v>6.2986507590336416E-2</v>
      </c>
      <c r="AJ136" s="1066"/>
      <c r="AM136" s="246">
        <f t="shared" ref="AM136:AQ136" si="600">AM135/AL135-1</f>
        <v>-0.15385893293540853</v>
      </c>
      <c r="AN136" s="246">
        <f t="shared" si="600"/>
        <v>-0.16079100323520734</v>
      </c>
      <c r="AO136" s="246">
        <f t="shared" si="600"/>
        <v>-5.2988333792864828E-2</v>
      </c>
      <c r="AP136" s="246">
        <f t="shared" si="600"/>
        <v>0.14068704946199384</v>
      </c>
      <c r="AQ136" s="552">
        <f t="shared" si="600"/>
        <v>0.13430589012815575</v>
      </c>
      <c r="AR136" s="552">
        <f>AR135/AQ135-1</f>
        <v>9.7074317178649894E-2</v>
      </c>
      <c r="AS136" s="1090"/>
    </row>
    <row r="137" spans="1:45" hidden="1" outlineLevel="1" x14ac:dyDescent="0.2">
      <c r="G137" s="595"/>
      <c r="K137" s="595"/>
      <c r="O137" s="595"/>
      <c r="S137" s="595"/>
      <c r="W137" s="595"/>
      <c r="AA137" s="595"/>
      <c r="AE137" s="913"/>
      <c r="AF137" s="370"/>
      <c r="AG137" s="370"/>
      <c r="AH137" s="370"/>
      <c r="AI137" s="370"/>
      <c r="AJ137" s="594"/>
      <c r="AQ137" s="370"/>
      <c r="AR137" s="370"/>
      <c r="AS137" s="370"/>
    </row>
    <row r="138" spans="1:45" collapsed="1" x14ac:dyDescent="0.2">
      <c r="B138" s="2" t="s">
        <v>146</v>
      </c>
      <c r="D138" s="261">
        <f>+Metrics!L31</f>
        <v>0.05</v>
      </c>
      <c r="E138" s="261">
        <f>+Metrics!M31</f>
        <v>0.05</v>
      </c>
      <c r="F138" s="261">
        <f>+Metrics!N31</f>
        <v>0.05</v>
      </c>
      <c r="G138" s="894">
        <f>+Metrics!O31</f>
        <v>0.06</v>
      </c>
      <c r="H138" s="261">
        <f>+Metrics!P31</f>
        <v>3.7999999999999999E-2</v>
      </c>
      <c r="I138" s="261">
        <f>+Metrics!Q31</f>
        <v>4.4999999999999998E-2</v>
      </c>
      <c r="J138" s="261">
        <f>+Metrics!R31</f>
        <v>4.2999999999999997E-2</v>
      </c>
      <c r="K138" s="894">
        <f>+Metrics!S31</f>
        <v>5.7000000000000002E-2</v>
      </c>
      <c r="L138" s="261">
        <f>+Metrics!T31</f>
        <v>4.8000000000000001E-2</v>
      </c>
      <c r="M138" s="261">
        <f>+Metrics!U31</f>
        <v>4.7E-2</v>
      </c>
      <c r="N138" s="261">
        <f>+Metrics!V31</f>
        <v>4.2999999999999997E-2</v>
      </c>
      <c r="O138" s="894">
        <f>+Metrics!W31</f>
        <v>5.8000000000000003E-2</v>
      </c>
      <c r="P138" s="261">
        <f>+Metrics!X31</f>
        <v>4.8000000000000001E-2</v>
      </c>
      <c r="Q138" s="261">
        <f>+Metrics!Y31</f>
        <v>4.0999999999999995E-2</v>
      </c>
      <c r="R138" s="261">
        <f>+Metrics!Z31</f>
        <v>3.7999999999999999E-2</v>
      </c>
      <c r="S138" s="894">
        <f>+Metrics!AA31</f>
        <v>3.9E-2</v>
      </c>
      <c r="T138" s="261">
        <f>+Metrics!AB31</f>
        <v>3.2000000000000001E-2</v>
      </c>
      <c r="U138" s="261">
        <f>+Metrics!AC31</f>
        <v>2.6000000000000002E-2</v>
      </c>
      <c r="V138" s="261">
        <f>+Metrics!AD31</f>
        <v>2.7000000000000003E-2</v>
      </c>
      <c r="W138" s="894">
        <f>+Metrics!AE31</f>
        <v>3.2000000000000001E-2</v>
      </c>
      <c r="X138" s="261">
        <f>+Metrics!AF31</f>
        <v>2.4E-2</v>
      </c>
      <c r="Y138" s="261">
        <f>+Metrics!AG31</f>
        <v>2.3E-2</v>
      </c>
      <c r="Z138" s="261">
        <f>+Metrics!AH31</f>
        <v>2.5999999999999999E-2</v>
      </c>
      <c r="AA138" s="894">
        <f>+Metrics!AI31</f>
        <v>3.5999999999999997E-2</v>
      </c>
      <c r="AB138" s="261">
        <f>+Metrics!AJ31</f>
        <v>2.8000000000000001E-2</v>
      </c>
      <c r="AC138" s="261">
        <f>+Metrics!AK31</f>
        <v>2.5000000000000001E-2</v>
      </c>
      <c r="AD138" s="261">
        <f>+Metrics!AL31</f>
        <v>2.7000000000000003E-2</v>
      </c>
      <c r="AE138" s="913"/>
      <c r="AF138" s="370"/>
      <c r="AG138" s="370"/>
      <c r="AH138" s="370"/>
      <c r="AI138" s="913"/>
      <c r="AK138" s="306">
        <f>+Metrics!E31</f>
        <v>0.21</v>
      </c>
      <c r="AL138" s="306">
        <f>+Metrics!F31</f>
        <v>0.187</v>
      </c>
      <c r="AM138" s="306">
        <f>+Metrics!G31</f>
        <v>0.19600000000000001</v>
      </c>
      <c r="AN138" s="306">
        <f>+Metrics!H31</f>
        <v>0.16600000000000001</v>
      </c>
      <c r="AO138" s="306">
        <f>+Metrics!I31</f>
        <v>0.11700000000000001</v>
      </c>
      <c r="AP138" s="306">
        <f>+Metrics!J31</f>
        <v>0.111</v>
      </c>
      <c r="AQ138" s="370"/>
      <c r="AR138" s="370"/>
      <c r="AS138" s="370"/>
    </row>
    <row r="139" spans="1:45" x14ac:dyDescent="0.2">
      <c r="G139" s="595"/>
      <c r="K139" s="595"/>
      <c r="O139" s="595"/>
      <c r="S139" s="595"/>
      <c r="W139" s="595"/>
      <c r="AA139" s="595"/>
      <c r="AE139" s="913"/>
      <c r="AF139" s="370"/>
      <c r="AG139" s="370"/>
      <c r="AH139" s="370"/>
      <c r="AI139" s="913"/>
      <c r="AQ139" s="370"/>
      <c r="AR139" s="370"/>
      <c r="AS139" s="370"/>
    </row>
    <row r="140" spans="1:45" x14ac:dyDescent="0.2">
      <c r="A140" s="2" t="s">
        <v>238</v>
      </c>
      <c r="B140" s="236" t="s">
        <v>271</v>
      </c>
      <c r="C140" s="172"/>
      <c r="D140" s="172"/>
      <c r="E140" s="172"/>
      <c r="F140" s="172"/>
      <c r="G140" s="864"/>
      <c r="H140" s="172"/>
      <c r="I140" s="172"/>
      <c r="J140" s="172"/>
      <c r="K140" s="864"/>
      <c r="L140" s="172"/>
      <c r="M140" s="172"/>
      <c r="N140" s="172"/>
      <c r="O140" s="864"/>
      <c r="P140" s="172"/>
      <c r="Q140" s="172"/>
      <c r="R140" s="172"/>
      <c r="S140" s="864"/>
      <c r="T140" s="172"/>
      <c r="U140" s="172"/>
      <c r="V140" s="172"/>
      <c r="W140" s="864"/>
      <c r="X140" s="172"/>
      <c r="Y140" s="172"/>
      <c r="Z140" s="172"/>
      <c r="AA140" s="864"/>
      <c r="AB140" s="172"/>
      <c r="AC140" s="172"/>
      <c r="AD140" s="172"/>
      <c r="AE140" s="864"/>
      <c r="AF140" s="1291"/>
      <c r="AG140" s="1287"/>
      <c r="AH140" s="1287"/>
      <c r="AI140" s="1288"/>
      <c r="AK140" s="172"/>
      <c r="AL140" s="172"/>
      <c r="AM140" s="172"/>
      <c r="AN140" s="172"/>
      <c r="AO140" s="172"/>
      <c r="AP140" s="172"/>
      <c r="AQ140" s="1290"/>
      <c r="AR140" s="172"/>
      <c r="AS140" s="172"/>
    </row>
    <row r="141" spans="1:45" s="3" customFormat="1" x14ac:dyDescent="0.2">
      <c r="B141" s="3" t="s">
        <v>272</v>
      </c>
      <c r="D141" s="165">
        <f>+'3FS'!K7</f>
        <v>0</v>
      </c>
      <c r="E141" s="165">
        <f>+'3FS'!L7</f>
        <v>0</v>
      </c>
      <c r="F141" s="165">
        <f>+'3FS'!M7</f>
        <v>0</v>
      </c>
      <c r="G141" s="862">
        <f>+'3FS'!N7</f>
        <v>0</v>
      </c>
      <c r="H141" s="165">
        <f>+'3FS'!O7</f>
        <v>0</v>
      </c>
      <c r="I141" s="165">
        <f>+'3FS'!P7</f>
        <v>2311</v>
      </c>
      <c r="J141" s="165">
        <f>+'3FS'!Q7</f>
        <v>2383</v>
      </c>
      <c r="K141" s="862">
        <f>+'3FS'!R7</f>
        <v>2354</v>
      </c>
      <c r="L141" s="165">
        <f>+'3FS'!S7</f>
        <v>2351</v>
      </c>
      <c r="M141" s="165">
        <f>+'3FS'!T7</f>
        <v>2427</v>
      </c>
      <c r="N141" s="165">
        <f>+'3FS'!U7</f>
        <v>2481</v>
      </c>
      <c r="O141" s="862">
        <f>+'3FS'!V7</f>
        <v>2474</v>
      </c>
      <c r="P141" s="165">
        <f>+'3FS'!W7</f>
        <v>2455</v>
      </c>
      <c r="Q141" s="165">
        <f>+'3FS'!X7</f>
        <v>2469</v>
      </c>
      <c r="R141" s="165">
        <f>+'3FS'!Y7</f>
        <v>2484</v>
      </c>
      <c r="S141" s="862">
        <f>+'3FS'!Z7</f>
        <v>2449</v>
      </c>
      <c r="T141" s="165">
        <f>+'3FS'!AA7</f>
        <v>2417</v>
      </c>
      <c r="U141" s="165">
        <f>+'3FS'!AB7</f>
        <v>2444</v>
      </c>
      <c r="V141" s="165">
        <f>+'3FS'!AC7</f>
        <v>2473</v>
      </c>
      <c r="W141" s="862">
        <f>+'3FS'!AD7</f>
        <v>2433</v>
      </c>
      <c r="X141" s="165">
        <f>+'3FS'!AE7</f>
        <v>2403</v>
      </c>
      <c r="Y141" s="165">
        <f>+'3FS'!AF7</f>
        <v>2592</v>
      </c>
      <c r="Z141" s="165">
        <f>+'3FS'!AG7</f>
        <v>2716</v>
      </c>
      <c r="AA141" s="862">
        <f>+'3FS'!AH7</f>
        <v>2688</v>
      </c>
      <c r="AB141" s="165">
        <f>+'3FS'!AI7</f>
        <v>2643</v>
      </c>
      <c r="AC141" s="165">
        <f>+'3FS'!AJ7</f>
        <v>2643</v>
      </c>
      <c r="AD141" s="165">
        <f>+'3FS'!AK7</f>
        <v>2625</v>
      </c>
      <c r="AE141" s="972">
        <f>+AVERAGE(AD145:AE145)*AE178*3/1000</f>
        <v>2603.7494039372605</v>
      </c>
      <c r="AF141" s="1136">
        <f>+AVERAGE(AE145:AF145)*AF178*3/1000</f>
        <v>2557.3003048894129</v>
      </c>
      <c r="AG141" s="1136">
        <f>+AVERAGE(AF145:AG145)*AG178*3/1000</f>
        <v>2565.5624094357663</v>
      </c>
      <c r="AH141" s="1136">
        <f>+AVERAGE(AG145:AH145)*AH178*3/1000</f>
        <v>2549.7529610063602</v>
      </c>
      <c r="AI141" s="972">
        <f>+AVERAGE(AH145:AI145)*AI178*3/1000</f>
        <v>2556.1863073033028</v>
      </c>
      <c r="AK141" s="165">
        <f>+'3FS'!D7</f>
        <v>9543</v>
      </c>
      <c r="AL141" s="165">
        <f>+'3FS'!E7</f>
        <v>9421</v>
      </c>
      <c r="AM141" s="165">
        <f>+'3FS'!F7</f>
        <v>9733</v>
      </c>
      <c r="AN141" s="165">
        <f>+'3FS'!G7</f>
        <v>9857</v>
      </c>
      <c r="AO141" s="165">
        <f>+'3FS'!H7</f>
        <v>9767</v>
      </c>
      <c r="AP141" s="165">
        <f>+'3FS'!I7</f>
        <v>10399</v>
      </c>
      <c r="AQ141" s="525">
        <f>SUMIFS($D141:$AI141,$D$3:$AI$3, AQ$3)</f>
        <v>10514.749403937261</v>
      </c>
      <c r="AR141" s="525">
        <f>SUMIFS($D141:$AI141,$D$3:$AI$3, AR$3)</f>
        <v>10228.801982634843</v>
      </c>
      <c r="AS141" s="525">
        <f>+AVERAGE(AR145:AS145)*AS178*12/1000</f>
        <v>9933.2180592852019</v>
      </c>
    </row>
    <row r="142" spans="1:45" s="244" customFormat="1" x14ac:dyDescent="0.2">
      <c r="B142" s="243" t="s">
        <v>266</v>
      </c>
      <c r="D142" s="245"/>
      <c r="E142" s="245"/>
      <c r="F142" s="245"/>
      <c r="G142" s="896"/>
      <c r="H142" s="246" t="e">
        <f t="shared" ref="H142" si="601">+H141/D141-1</f>
        <v>#DIV/0!</v>
      </c>
      <c r="I142" s="246" t="e">
        <f t="shared" ref="I142" si="602">+I141/E141-1</f>
        <v>#DIV/0!</v>
      </c>
      <c r="J142" s="246" t="e">
        <f t="shared" ref="J142" si="603">+J141/F141-1</f>
        <v>#DIV/0!</v>
      </c>
      <c r="K142" s="878" t="e">
        <f t="shared" ref="K142" si="604">+K141/G141-1</f>
        <v>#DIV/0!</v>
      </c>
      <c r="L142" s="246" t="e">
        <f t="shared" ref="L142" si="605">+L141/H141-1</f>
        <v>#DIV/0!</v>
      </c>
      <c r="M142" s="246">
        <f t="shared" ref="M142" si="606">+M141/I141-1</f>
        <v>5.0194720900043288E-2</v>
      </c>
      <c r="N142" s="246">
        <f t="shared" ref="N142" si="607">+N141/J141-1</f>
        <v>4.1124632815778384E-2</v>
      </c>
      <c r="O142" s="878">
        <f t="shared" ref="O142" si="608">+O141/K141-1</f>
        <v>5.0977060322854761E-2</v>
      </c>
      <c r="P142" s="246">
        <f t="shared" ref="P142" si="609">+P141/L141-1</f>
        <v>4.4236495108464391E-2</v>
      </c>
      <c r="Q142" s="246">
        <f t="shared" ref="Q142" si="610">+Q141/M141-1</f>
        <v>1.7305315203955507E-2</v>
      </c>
      <c r="R142" s="246">
        <f t="shared" ref="R142" si="611">+R141/N141-1</f>
        <v>1.2091898428052694E-3</v>
      </c>
      <c r="S142" s="878">
        <f t="shared" ref="S142" si="612">+S141/O141-1</f>
        <v>-1.0105092966855245E-2</v>
      </c>
      <c r="T142" s="246">
        <f t="shared" ref="T142" si="613">+T141/P141-1</f>
        <v>-1.5478615071283119E-2</v>
      </c>
      <c r="U142" s="246">
        <f t="shared" ref="U142" si="614">+U141/Q141-1</f>
        <v>-1.0125556905629773E-2</v>
      </c>
      <c r="V142" s="246">
        <f t="shared" ref="V142" si="615">+V141/R141-1</f>
        <v>-4.4283413848631437E-3</v>
      </c>
      <c r="W142" s="878">
        <f t="shared" ref="W142" si="616">+W141/S141-1</f>
        <v>-6.5332788893426308E-3</v>
      </c>
      <c r="X142" s="246">
        <f t="shared" ref="X142" si="617">+X141/T141-1</f>
        <v>-5.7923045097227899E-3</v>
      </c>
      <c r="Y142" s="246">
        <f t="shared" ref="Y142:AD142" si="618">+Y141/U141-1</f>
        <v>6.0556464811784005E-2</v>
      </c>
      <c r="Z142" s="246">
        <f t="shared" si="618"/>
        <v>9.8261221188839398E-2</v>
      </c>
      <c r="AA142" s="878">
        <f t="shared" si="618"/>
        <v>0.10480887792848326</v>
      </c>
      <c r="AB142" s="246">
        <f t="shared" si="618"/>
        <v>9.9875156054931358E-2</v>
      </c>
      <c r="AC142" s="246">
        <f t="shared" si="618"/>
        <v>1.9675925925925819E-2</v>
      </c>
      <c r="AD142" s="246">
        <f t="shared" si="618"/>
        <v>-3.350515463917525E-2</v>
      </c>
      <c r="AE142" s="1137">
        <f>+AE141/AA141-1</f>
        <v>-3.1343227701912002E-2</v>
      </c>
      <c r="AF142" s="552">
        <f t="shared" ref="AF142" si="619">+AF141/AB141-1</f>
        <v>-3.2425158952170685E-2</v>
      </c>
      <c r="AG142" s="552">
        <f t="shared" ref="AG142" si="620">+AG141/AC141-1</f>
        <v>-2.9299126206671855E-2</v>
      </c>
      <c r="AH142" s="552">
        <f t="shared" ref="AH142" si="621">+AH141/AD141-1</f>
        <v>-2.8665538664243706E-2</v>
      </c>
      <c r="AI142" s="1137">
        <f>+AI141/AE141-1</f>
        <v>-1.8267156033539567E-2</v>
      </c>
      <c r="AK142" s="246"/>
      <c r="AL142" s="246">
        <f t="shared" ref="AL142" si="622">+AL141/AK141-1</f>
        <v>-1.2784239756889915E-2</v>
      </c>
      <c r="AM142" s="246">
        <f t="shared" ref="AM142" si="623">+AM141/AL141-1</f>
        <v>3.311750344973996E-2</v>
      </c>
      <c r="AN142" s="246">
        <f t="shared" ref="AN142" si="624">+AN141/AM141-1</f>
        <v>1.2740162334326621E-2</v>
      </c>
      <c r="AO142" s="246">
        <f t="shared" ref="AO142:AP142" si="625">+AO141/AN141-1</f>
        <v>-9.1305671096683083E-3</v>
      </c>
      <c r="AP142" s="246">
        <f t="shared" si="625"/>
        <v>6.4707689157366577E-2</v>
      </c>
      <c r="AQ142" s="552">
        <f t="shared" ref="AQ142" si="626">+AQ141/AP141-1</f>
        <v>1.1130820649799089E-2</v>
      </c>
      <c r="AR142" s="552">
        <f t="shared" ref="AR142" si="627">+AR141/AQ141-1</f>
        <v>-2.7194886945697938E-2</v>
      </c>
      <c r="AS142" s="552">
        <f t="shared" ref="AS142" si="628">+AS141/AR141-1</f>
        <v>-2.8897218252093015E-2</v>
      </c>
    </row>
    <row r="143" spans="1:45" s="247" customFormat="1" x14ac:dyDescent="0.2">
      <c r="B143" s="243" t="s">
        <v>267</v>
      </c>
      <c r="D143" s="248"/>
      <c r="E143" s="248"/>
      <c r="F143" s="248"/>
      <c r="G143" s="897"/>
      <c r="H143" s="248"/>
      <c r="I143" s="248"/>
      <c r="J143" s="248"/>
      <c r="K143" s="897"/>
      <c r="L143" s="246">
        <f t="shared" ref="L143:AI143" si="629">+L141/K141-1</f>
        <v>-1.2744265080714134E-3</v>
      </c>
      <c r="M143" s="246">
        <f t="shared" si="629"/>
        <v>3.2326669502339422E-2</v>
      </c>
      <c r="N143" s="246">
        <f t="shared" si="629"/>
        <v>2.2249690976514191E-2</v>
      </c>
      <c r="O143" s="878">
        <f t="shared" si="629"/>
        <v>-2.8214429665457397E-3</v>
      </c>
      <c r="P143" s="246">
        <f t="shared" si="629"/>
        <v>-7.6798706548100171E-3</v>
      </c>
      <c r="Q143" s="246">
        <f t="shared" si="629"/>
        <v>5.7026476578412311E-3</v>
      </c>
      <c r="R143" s="246">
        <f t="shared" si="629"/>
        <v>6.0753341433779084E-3</v>
      </c>
      <c r="S143" s="878">
        <f t="shared" si="629"/>
        <v>-1.4090177133655346E-2</v>
      </c>
      <c r="T143" s="246">
        <f t="shared" si="629"/>
        <v>-1.3066557778685151E-2</v>
      </c>
      <c r="U143" s="246">
        <f t="shared" si="629"/>
        <v>1.1170872983036872E-2</v>
      </c>
      <c r="V143" s="246">
        <f t="shared" si="629"/>
        <v>1.1865793780687417E-2</v>
      </c>
      <c r="W143" s="878">
        <f t="shared" si="629"/>
        <v>-1.6174686615446854E-2</v>
      </c>
      <c r="X143" s="246">
        <f t="shared" si="629"/>
        <v>-1.2330456226880449E-2</v>
      </c>
      <c r="Y143" s="246">
        <f t="shared" si="629"/>
        <v>7.8651685393258397E-2</v>
      </c>
      <c r="Z143" s="246">
        <f t="shared" si="629"/>
        <v>4.7839506172839608E-2</v>
      </c>
      <c r="AA143" s="878">
        <f t="shared" si="629"/>
        <v>-1.0309278350515427E-2</v>
      </c>
      <c r="AB143" s="246">
        <f t="shared" si="629"/>
        <v>-1.6741071428571397E-2</v>
      </c>
      <c r="AC143" s="246">
        <f t="shared" si="629"/>
        <v>0</v>
      </c>
      <c r="AD143" s="246">
        <f t="shared" si="629"/>
        <v>-6.8104426787741756E-3</v>
      </c>
      <c r="AE143" s="1137">
        <f>+AE141/AD141-1</f>
        <v>-8.0954651667579647E-3</v>
      </c>
      <c r="AF143" s="552">
        <f>+AF141/AE141-1</f>
        <v>-1.7839312407564867E-2</v>
      </c>
      <c r="AG143" s="552">
        <f t="shared" si="629"/>
        <v>3.2307916792395641E-3</v>
      </c>
      <c r="AH143" s="552">
        <f t="shared" si="629"/>
        <v>-6.1621765158630382E-3</v>
      </c>
      <c r="AI143" s="1137">
        <f t="shared" si="629"/>
        <v>2.5231253361908124E-3</v>
      </c>
      <c r="AQ143" s="1090"/>
      <c r="AR143" s="1090"/>
      <c r="AS143" s="1090"/>
    </row>
    <row r="144" spans="1:45" x14ac:dyDescent="0.2">
      <c r="G144" s="595"/>
      <c r="K144" s="595"/>
      <c r="O144" s="595"/>
      <c r="S144" s="595"/>
      <c r="W144" s="595"/>
      <c r="AA144" s="595"/>
      <c r="AE144" s="913"/>
      <c r="AF144" s="370"/>
      <c r="AG144" s="370"/>
      <c r="AH144" s="370"/>
      <c r="AI144" s="913"/>
      <c r="AQ144" s="370"/>
      <c r="AR144" s="370"/>
      <c r="AS144" s="370"/>
    </row>
    <row r="145" spans="2:45" s="3" customFormat="1" x14ac:dyDescent="0.2">
      <c r="B145" s="3" t="s">
        <v>281</v>
      </c>
      <c r="D145" s="165">
        <f>+Metrics!L10</f>
        <v>21206</v>
      </c>
      <c r="E145" s="165">
        <f>+Metrics!M10</f>
        <v>21337</v>
      </c>
      <c r="F145" s="165">
        <f>+Metrics!N10</f>
        <v>20783</v>
      </c>
      <c r="G145" s="862">
        <f>+Metrics!O10</f>
        <v>20860</v>
      </c>
      <c r="H145" s="165">
        <f>+Metrics!P10</f>
        <v>20442</v>
      </c>
      <c r="I145" s="165">
        <f>+Metrics!Q10</f>
        <v>20574</v>
      </c>
      <c r="J145" s="165">
        <f>+Metrics!R10</f>
        <v>20630</v>
      </c>
      <c r="K145" s="862">
        <f>+Metrics!S10</f>
        <v>20714</v>
      </c>
      <c r="L145" s="165">
        <f>+Metrics!T10</f>
        <v>20865</v>
      </c>
      <c r="M145" s="165">
        <f>+Metrics!U10</f>
        <v>20941</v>
      </c>
      <c r="N145" s="165">
        <f>+Metrics!V10</f>
        <v>21007</v>
      </c>
      <c r="O145" s="862">
        <f>+Metrics!W10</f>
        <v>21056</v>
      </c>
      <c r="P145" s="165">
        <f>+Metrics!X10</f>
        <v>21118</v>
      </c>
      <c r="Q145" s="165">
        <f>+Metrics!Y10</f>
        <v>21236</v>
      </c>
      <c r="R145" s="165">
        <f>+Metrics!Z10</f>
        <v>21341</v>
      </c>
      <c r="S145" s="862">
        <f>+Metrics!AA10</f>
        <v>21366</v>
      </c>
      <c r="T145" s="165">
        <f>+Metrics!AB10</f>
        <v>21392</v>
      </c>
      <c r="U145" s="165">
        <f>+Metrics!AC10</f>
        <v>21516</v>
      </c>
      <c r="V145" s="165">
        <f>+Metrics!AD10</f>
        <v>21595</v>
      </c>
      <c r="W145" s="862">
        <f>+Metrics!AE10</f>
        <v>21648</v>
      </c>
      <c r="X145" s="165">
        <f>+Metrics!AF10</f>
        <v>21600</v>
      </c>
      <c r="Y145" s="165">
        <f>+Metrics!AG10</f>
        <v>25283</v>
      </c>
      <c r="Z145" s="165">
        <f>+Metrics!AH10</f>
        <v>25307</v>
      </c>
      <c r="AA145" s="862">
        <f>+Metrics!AI10</f>
        <v>25410</v>
      </c>
      <c r="AB145" s="165">
        <f>+Metrics!AJ10</f>
        <v>25455</v>
      </c>
      <c r="AC145" s="165">
        <f>+Metrics!AK10</f>
        <v>25494</v>
      </c>
      <c r="AD145" s="165">
        <f>+Metrics!AL10</f>
        <v>25886</v>
      </c>
      <c r="AE145" s="972">
        <f>+AE165+AE171</f>
        <v>25965.567293055672</v>
      </c>
      <c r="AF145" s="1136">
        <f>+AF165+AF171</f>
        <v>25900.035621018331</v>
      </c>
      <c r="AG145" s="1136">
        <f>+AG165+AG171</f>
        <v>25933.767719073036</v>
      </c>
      <c r="AH145" s="1136">
        <f>+AH165+AH171</f>
        <v>26376.458005407141</v>
      </c>
      <c r="AI145" s="972">
        <f>+AI165+AI171</f>
        <v>26507.44694029852</v>
      </c>
      <c r="AK145" s="165">
        <f>+Metrics!E10</f>
        <v>20860</v>
      </c>
      <c r="AL145" s="165">
        <f>+Metrics!F10</f>
        <v>20714</v>
      </c>
      <c r="AM145" s="165">
        <f>+Metrics!G10</f>
        <v>21056</v>
      </c>
      <c r="AN145" s="165">
        <f>+Metrics!H10</f>
        <v>21366</v>
      </c>
      <c r="AO145" s="165">
        <f>+Metrics!I10</f>
        <v>21648</v>
      </c>
      <c r="AP145" s="165">
        <f>+Metrics!J10</f>
        <v>25410</v>
      </c>
      <c r="AQ145" s="1136">
        <f t="shared" ref="AQ145:AS145" si="630">+AQ165+AQ171</f>
        <v>25965.567293055672</v>
      </c>
      <c r="AR145" s="1136">
        <f t="shared" si="630"/>
        <v>26507.44694029852</v>
      </c>
      <c r="AS145" s="1136">
        <f t="shared" si="630"/>
        <v>26992.672030087273</v>
      </c>
    </row>
    <row r="146" spans="2:45" s="244" customFormat="1" x14ac:dyDescent="0.2">
      <c r="B146" s="243" t="s">
        <v>266</v>
      </c>
      <c r="D146" s="245"/>
      <c r="E146" s="245"/>
      <c r="F146" s="245"/>
      <c r="G146" s="896"/>
      <c r="H146" s="246">
        <f t="shared" ref="H146" si="631">+H145/D145-1</f>
        <v>-3.6027539375648399E-2</v>
      </c>
      <c r="I146" s="246">
        <f t="shared" ref="I146" si="632">+I145/E145-1</f>
        <v>-3.5759478839574421E-2</v>
      </c>
      <c r="J146" s="246">
        <f t="shared" ref="J146" si="633">+J145/F145-1</f>
        <v>-7.3617860751575837E-3</v>
      </c>
      <c r="K146" s="878">
        <f t="shared" ref="K146" si="634">+K145/G145-1</f>
        <v>-6.9990412272291636E-3</v>
      </c>
      <c r="L146" s="246">
        <f t="shared" ref="L146" si="635">+L145/H145-1</f>
        <v>2.0692691517464112E-2</v>
      </c>
      <c r="M146" s="246">
        <f t="shared" ref="M146" si="636">+M145/I145-1</f>
        <v>1.7838048021775021E-2</v>
      </c>
      <c r="N146" s="246">
        <f t="shared" ref="N146" si="637">+N145/J145-1</f>
        <v>1.8274357731459023E-2</v>
      </c>
      <c r="O146" s="878">
        <f t="shared" ref="O146" si="638">+O145/K145-1</f>
        <v>1.6510572559621517E-2</v>
      </c>
      <c r="P146" s="246">
        <f t="shared" ref="P146" si="639">+P145/L145-1</f>
        <v>1.2125569134914915E-2</v>
      </c>
      <c r="Q146" s="246">
        <f t="shared" ref="Q146" si="640">+Q145/M145-1</f>
        <v>1.4087197364022641E-2</v>
      </c>
      <c r="R146" s="246">
        <f t="shared" ref="R146" si="641">+R145/N145-1</f>
        <v>1.5899462084067117E-2</v>
      </c>
      <c r="S146" s="878">
        <f t="shared" ref="S146" si="642">+S145/O145-1</f>
        <v>1.4722644376899741E-2</v>
      </c>
      <c r="T146" s="246">
        <f t="shared" ref="T146" si="643">+T145/P145-1</f>
        <v>1.2974713514537273E-2</v>
      </c>
      <c r="U146" s="246">
        <f t="shared" ref="U146" si="644">+U145/Q145-1</f>
        <v>1.3185157280090509E-2</v>
      </c>
      <c r="V146" s="246">
        <f t="shared" ref="V146" si="645">+V145/R145-1</f>
        <v>1.1901972728550758E-2</v>
      </c>
      <c r="W146" s="878">
        <f t="shared" ref="W146" si="646">+W145/S145-1</f>
        <v>1.3198539736029247E-2</v>
      </c>
      <c r="X146" s="246">
        <f t="shared" ref="X146" si="647">+X145/T145-1</f>
        <v>9.7232610321615898E-3</v>
      </c>
      <c r="Y146" s="246">
        <f t="shared" ref="Y146:AD146" si="648">+Y145/U145-1</f>
        <v>0.17507901096858158</v>
      </c>
      <c r="Z146" s="246">
        <f t="shared" si="648"/>
        <v>0.17189164158369996</v>
      </c>
      <c r="AA146" s="878">
        <f t="shared" si="648"/>
        <v>0.17378048780487809</v>
      </c>
      <c r="AB146" s="246">
        <f t="shared" si="648"/>
        <v>0.17847222222222214</v>
      </c>
      <c r="AC146" s="246">
        <f t="shared" si="648"/>
        <v>8.345528616066078E-3</v>
      </c>
      <c r="AD146" s="246">
        <f t="shared" si="648"/>
        <v>2.2879045323428215E-2</v>
      </c>
      <c r="AE146" s="1137">
        <f>+AE145/AA145-1</f>
        <v>2.1864120151738442E-2</v>
      </c>
      <c r="AF146" s="552">
        <f t="shared" ref="AF146" si="649">+AF145/AB145-1</f>
        <v>1.748323005375485E-2</v>
      </c>
      <c r="AG146" s="552">
        <f t="shared" ref="AG146" si="650">+AG145/AC145-1</f>
        <v>1.7249851693458718E-2</v>
      </c>
      <c r="AH146" s="552">
        <f t="shared" ref="AH146" si="651">+AH145/AD145-1</f>
        <v>1.8946844062703416E-2</v>
      </c>
      <c r="AI146" s="1137">
        <f>+AI145/AE145-1</f>
        <v>2.0869162654026496E-2</v>
      </c>
      <c r="AK146" s="246"/>
      <c r="AL146" s="246">
        <f t="shared" ref="AL146" si="652">+AL145/AK145-1</f>
        <v>-6.9990412272291636E-3</v>
      </c>
      <c r="AM146" s="246">
        <f t="shared" ref="AM146" si="653">+AM145/AL145-1</f>
        <v>1.6510572559621517E-2</v>
      </c>
      <c r="AN146" s="246">
        <f t="shared" ref="AN146" si="654">+AN145/AM145-1</f>
        <v>1.4722644376899741E-2</v>
      </c>
      <c r="AO146" s="246">
        <f t="shared" ref="AO146:AP146" si="655">+AO145/AN145-1</f>
        <v>1.3198539736029247E-2</v>
      </c>
      <c r="AP146" s="246">
        <f t="shared" si="655"/>
        <v>0.17378048780487809</v>
      </c>
      <c r="AQ146" s="552">
        <f t="shared" ref="AQ146" si="656">+AQ145/AP145-1</f>
        <v>2.1864120151738442E-2</v>
      </c>
      <c r="AR146" s="552">
        <f t="shared" ref="AR146" si="657">+AR145/AQ145-1</f>
        <v>2.0869162654026496E-2</v>
      </c>
      <c r="AS146" s="552">
        <f t="shared" ref="AS146" si="658">+AS145/AR145-1</f>
        <v>1.8305236671098513E-2</v>
      </c>
    </row>
    <row r="147" spans="2:45" x14ac:dyDescent="0.2">
      <c r="B147" s="2" t="s">
        <v>273</v>
      </c>
      <c r="D147" s="162">
        <f>+Metrics!L18</f>
        <v>69</v>
      </c>
      <c r="E147" s="162">
        <f>+Metrics!M18</f>
        <v>131</v>
      </c>
      <c r="F147" s="162">
        <f>+Metrics!N18</f>
        <v>62</v>
      </c>
      <c r="G147" s="863">
        <f>+Metrics!O18</f>
        <v>77</v>
      </c>
      <c r="H147" s="162">
        <f>+Metrics!P18</f>
        <v>-128</v>
      </c>
      <c r="I147" s="162">
        <f>+Metrics!Q18</f>
        <v>133</v>
      </c>
      <c r="J147" s="162">
        <f>+Metrics!R18</f>
        <v>56</v>
      </c>
      <c r="K147" s="863">
        <f>+Metrics!S18</f>
        <v>84</v>
      </c>
      <c r="L147" s="162">
        <f>+Metrics!T18</f>
        <v>151</v>
      </c>
      <c r="M147" s="162">
        <f>+Metrics!U18</f>
        <v>76</v>
      </c>
      <c r="N147" s="162">
        <f>+Metrics!V18</f>
        <v>66</v>
      </c>
      <c r="O147" s="863">
        <f>+Metrics!W18</f>
        <v>49</v>
      </c>
      <c r="P147" s="162">
        <f>+Metrics!X18</f>
        <v>62</v>
      </c>
      <c r="Q147" s="162">
        <f>+Metrics!Y18</f>
        <v>146</v>
      </c>
      <c r="R147" s="162">
        <f>+Metrics!Z18</f>
        <v>105</v>
      </c>
      <c r="S147" s="863">
        <f>+Metrics!AA18</f>
        <v>25</v>
      </c>
      <c r="T147" s="162">
        <f>+Metrics!AB18</f>
        <v>26</v>
      </c>
      <c r="U147" s="162">
        <f>+Metrics!AC18</f>
        <v>124</v>
      </c>
      <c r="V147" s="162">
        <f>+Metrics!AD18</f>
        <v>79</v>
      </c>
      <c r="W147" s="863">
        <f>+Metrics!AE18</f>
        <v>53</v>
      </c>
      <c r="X147" s="162">
        <f>+Metrics!AF18</f>
        <v>-48</v>
      </c>
      <c r="Y147" s="162">
        <f>+Metrics!AG18</f>
        <v>179</v>
      </c>
      <c r="Z147" s="162">
        <f>+Metrics!AH18</f>
        <v>24</v>
      </c>
      <c r="AA147" s="863">
        <f>+Metrics!AI18</f>
        <v>103</v>
      </c>
      <c r="AB147" s="162">
        <f>+Metrics!AJ18</f>
        <v>45</v>
      </c>
      <c r="AC147" s="162">
        <f>+Metrics!AK18</f>
        <v>39</v>
      </c>
      <c r="AD147" s="162">
        <f>+Metrics!AL18</f>
        <v>43</v>
      </c>
      <c r="AE147" s="921">
        <f>+AE145-AD145</f>
        <v>79.567293055672053</v>
      </c>
      <c r="AF147" s="379">
        <f>+AF145-AE145</f>
        <v>-65.531672037341195</v>
      </c>
      <c r="AG147" s="379">
        <f t="shared" ref="AG147:AI147" si="659">+AG145-AF145</f>
        <v>33.732098054704693</v>
      </c>
      <c r="AH147" s="379">
        <f t="shared" si="659"/>
        <v>442.69028633410562</v>
      </c>
      <c r="AI147" s="921">
        <f t="shared" si="659"/>
        <v>130.98893489137845</v>
      </c>
      <c r="AK147" s="162">
        <f>+Metrics!E18</f>
        <v>339</v>
      </c>
      <c r="AL147" s="162">
        <f>+Metrics!F18</f>
        <v>145</v>
      </c>
      <c r="AM147" s="162">
        <f>+Metrics!G18</f>
        <v>342</v>
      </c>
      <c r="AN147" s="162">
        <f>+Metrics!H18</f>
        <v>338</v>
      </c>
      <c r="AO147" s="162">
        <f>+Metrics!I18</f>
        <v>282</v>
      </c>
      <c r="AP147" s="162">
        <f>+Metrics!J18</f>
        <v>103</v>
      </c>
      <c r="AQ147" s="554">
        <f>SUMIFS($D147:$AI147,$D$3:$AI$3, AQ$3)</f>
        <v>206.56729305567205</v>
      </c>
      <c r="AR147" s="554">
        <f>SUMIFS($D147:$AI147,$D$3:$AI$3, AR$3)</f>
        <v>541.87964724284757</v>
      </c>
      <c r="AS147" s="554">
        <f>+AS145-AR145</f>
        <v>485.22508978875339</v>
      </c>
    </row>
    <row r="148" spans="2:45" s="244" customFormat="1" x14ac:dyDescent="0.2">
      <c r="B148" s="243" t="s">
        <v>266</v>
      </c>
      <c r="D148" s="245"/>
      <c r="E148" s="245"/>
      <c r="F148" s="245"/>
      <c r="G148" s="896"/>
      <c r="H148" s="246">
        <f t="shared" ref="H148" si="660">+H147/D147-1</f>
        <v>-2.8550724637681162</v>
      </c>
      <c r="I148" s="246">
        <f t="shared" ref="I148" si="661">+I147/E147-1</f>
        <v>1.5267175572519109E-2</v>
      </c>
      <c r="J148" s="246">
        <f t="shared" ref="J148" si="662">+J147/F147-1</f>
        <v>-9.6774193548387122E-2</v>
      </c>
      <c r="K148" s="878">
        <f t="shared" ref="K148" si="663">+K147/G147-1</f>
        <v>9.0909090909090828E-2</v>
      </c>
      <c r="L148" s="246">
        <f t="shared" ref="L148" si="664">+L147/H147-1</f>
        <v>-2.1796875</v>
      </c>
      <c r="M148" s="246">
        <f t="shared" ref="M148" si="665">+M147/I147-1</f>
        <v>-0.4285714285714286</v>
      </c>
      <c r="N148" s="246">
        <f t="shared" ref="N148" si="666">+N147/J147-1</f>
        <v>0.1785714285714286</v>
      </c>
      <c r="O148" s="878">
        <f t="shared" ref="O148" si="667">+O147/K147-1</f>
        <v>-0.41666666666666663</v>
      </c>
      <c r="P148" s="246">
        <f t="shared" ref="P148" si="668">+P147/L147-1</f>
        <v>-0.58940397350993379</v>
      </c>
      <c r="Q148" s="246">
        <f t="shared" ref="Q148" si="669">+Q147/M147-1</f>
        <v>0.92105263157894735</v>
      </c>
      <c r="R148" s="246">
        <f t="shared" ref="R148" si="670">+R147/N147-1</f>
        <v>0.59090909090909083</v>
      </c>
      <c r="S148" s="878">
        <f t="shared" ref="S148" si="671">+S147/O147-1</f>
        <v>-0.48979591836734693</v>
      </c>
      <c r="T148" s="246">
        <f t="shared" ref="T148" si="672">+T147/P147-1</f>
        <v>-0.58064516129032251</v>
      </c>
      <c r="U148" s="246">
        <f t="shared" ref="U148" si="673">+U147/Q147-1</f>
        <v>-0.15068493150684936</v>
      </c>
      <c r="V148" s="246">
        <f t="shared" ref="V148" si="674">+V147/R147-1</f>
        <v>-0.24761904761904763</v>
      </c>
      <c r="W148" s="878">
        <f t="shared" ref="W148" si="675">+W147/S147-1</f>
        <v>1.1200000000000001</v>
      </c>
      <c r="X148" s="246">
        <f t="shared" ref="X148" si="676">+X147/T147-1</f>
        <v>-2.8461538461538463</v>
      </c>
      <c r="Y148" s="246">
        <f t="shared" ref="Y148:AD148" si="677">+Y147/U147-1</f>
        <v>0.44354838709677424</v>
      </c>
      <c r="Z148" s="246">
        <f t="shared" si="677"/>
        <v>-0.69620253164556956</v>
      </c>
      <c r="AA148" s="878">
        <f t="shared" si="677"/>
        <v>0.94339622641509435</v>
      </c>
      <c r="AB148" s="246">
        <f t="shared" si="677"/>
        <v>-1.9375</v>
      </c>
      <c r="AC148" s="246">
        <f t="shared" si="677"/>
        <v>-0.78212290502793302</v>
      </c>
      <c r="AD148" s="246">
        <f t="shared" si="677"/>
        <v>0.79166666666666674</v>
      </c>
      <c r="AE148" s="1137">
        <f>+AE147/AA147-1</f>
        <v>-0.22750200916823249</v>
      </c>
      <c r="AF148" s="552">
        <f t="shared" ref="AF148" si="678">+AF147/AB147-1</f>
        <v>-2.4562593786075819</v>
      </c>
      <c r="AG148" s="552">
        <f t="shared" ref="AG148" si="679">+AG147/AC147-1</f>
        <v>-0.13507440885372579</v>
      </c>
      <c r="AH148" s="552">
        <f t="shared" ref="AH148" si="680">+AH147/AD147-1</f>
        <v>9.2951229380024571</v>
      </c>
      <c r="AI148" s="1137">
        <f>+AI147/AE147-1</f>
        <v>0.6462660706545269</v>
      </c>
      <c r="AL148" s="246">
        <f>+AL147/AK147-1</f>
        <v>-0.57227138643067854</v>
      </c>
      <c r="AM148" s="246">
        <f t="shared" ref="AM148" si="681">+AM147/AL147-1</f>
        <v>1.3586206896551722</v>
      </c>
      <c r="AN148" s="246">
        <f t="shared" ref="AN148" si="682">+AN147/AM147-1</f>
        <v>-1.1695906432748537E-2</v>
      </c>
      <c r="AO148" s="246">
        <f t="shared" ref="AO148:AP148" si="683">+AO147/AN147-1</f>
        <v>-0.16568047337278102</v>
      </c>
      <c r="AP148" s="246">
        <f t="shared" si="683"/>
        <v>-0.63475177304964536</v>
      </c>
      <c r="AQ148" s="552">
        <f t="shared" ref="AQ148" si="684">+AQ147/AP147-1</f>
        <v>1.0055076995696317</v>
      </c>
      <c r="AR148" s="552">
        <f t="shared" ref="AR148" si="685">+AR147/AQ147-1</f>
        <v>1.6232596614257093</v>
      </c>
      <c r="AS148" s="552">
        <f t="shared" ref="AS148" si="686">+AS147/AR147-1</f>
        <v>-0.10455191986331236</v>
      </c>
    </row>
    <row r="149" spans="2:45" x14ac:dyDescent="0.2">
      <c r="B149" s="237" t="s">
        <v>274</v>
      </c>
      <c r="E149" s="5">
        <f>+E145-D145</f>
        <v>131</v>
      </c>
      <c r="F149" s="5">
        <f t="shared" ref="F149:AD149" si="687">+F145-E145</f>
        <v>-554</v>
      </c>
      <c r="G149" s="871">
        <f t="shared" si="687"/>
        <v>77</v>
      </c>
      <c r="H149" s="5">
        <f t="shared" si="687"/>
        <v>-418</v>
      </c>
      <c r="I149" s="5">
        <f t="shared" si="687"/>
        <v>132</v>
      </c>
      <c r="J149" s="5">
        <f t="shared" si="687"/>
        <v>56</v>
      </c>
      <c r="K149" s="871">
        <f t="shared" si="687"/>
        <v>84</v>
      </c>
      <c r="L149" s="5">
        <f t="shared" si="687"/>
        <v>151</v>
      </c>
      <c r="M149" s="5">
        <f t="shared" si="687"/>
        <v>76</v>
      </c>
      <c r="N149" s="5">
        <f t="shared" si="687"/>
        <v>66</v>
      </c>
      <c r="O149" s="871">
        <f t="shared" si="687"/>
        <v>49</v>
      </c>
      <c r="P149" s="5">
        <f t="shared" si="687"/>
        <v>62</v>
      </c>
      <c r="Q149" s="5">
        <f t="shared" si="687"/>
        <v>118</v>
      </c>
      <c r="R149" s="5">
        <f t="shared" si="687"/>
        <v>105</v>
      </c>
      <c r="S149" s="871">
        <f t="shared" si="687"/>
        <v>25</v>
      </c>
      <c r="T149" s="5">
        <f t="shared" si="687"/>
        <v>26</v>
      </c>
      <c r="U149" s="5">
        <f t="shared" si="687"/>
        <v>124</v>
      </c>
      <c r="V149" s="5">
        <f t="shared" si="687"/>
        <v>79</v>
      </c>
      <c r="W149" s="871">
        <f t="shared" si="687"/>
        <v>53</v>
      </c>
      <c r="X149" s="5">
        <f t="shared" si="687"/>
        <v>-48</v>
      </c>
      <c r="Y149" s="5">
        <f t="shared" si="687"/>
        <v>3683</v>
      </c>
      <c r="Z149" s="5">
        <f t="shared" si="687"/>
        <v>24</v>
      </c>
      <c r="AA149" s="871">
        <f t="shared" si="687"/>
        <v>103</v>
      </c>
      <c r="AB149" s="5">
        <f t="shared" si="687"/>
        <v>45</v>
      </c>
      <c r="AC149" s="5">
        <f t="shared" si="687"/>
        <v>39</v>
      </c>
      <c r="AD149" s="5">
        <f t="shared" si="687"/>
        <v>392</v>
      </c>
      <c r="AE149" s="913"/>
      <c r="AF149" s="370"/>
      <c r="AG149" s="370"/>
      <c r="AH149" s="370"/>
      <c r="AI149" s="913"/>
      <c r="AK149" s="5"/>
      <c r="AL149" s="5">
        <f t="shared" ref="AL149:AN149" si="688">+AL145-AK145</f>
        <v>-146</v>
      </c>
      <c r="AM149" s="5">
        <f t="shared" si="688"/>
        <v>342</v>
      </c>
      <c r="AN149" s="5">
        <f t="shared" si="688"/>
        <v>310</v>
      </c>
      <c r="AO149" s="5">
        <f>+AO145-AN145</f>
        <v>282</v>
      </c>
      <c r="AP149" s="5">
        <f>+AP145-AO145</f>
        <v>3762</v>
      </c>
      <c r="AQ149" s="370"/>
      <c r="AR149" s="370"/>
      <c r="AS149" s="370"/>
    </row>
    <row r="150" spans="2:45" x14ac:dyDescent="0.2">
      <c r="B150" s="237" t="s">
        <v>256</v>
      </c>
      <c r="E150" s="5"/>
      <c r="F150" s="5"/>
      <c r="G150" s="871"/>
      <c r="H150" s="5"/>
      <c r="I150" s="5"/>
      <c r="J150" s="5"/>
      <c r="K150" s="871"/>
      <c r="L150" s="5"/>
      <c r="M150" s="5"/>
      <c r="N150" s="5"/>
      <c r="O150" s="871"/>
      <c r="P150" s="5"/>
      <c r="Q150" s="5">
        <f t="shared" ref="Q150:X150" si="689">+Q147-Q149</f>
        <v>28</v>
      </c>
      <c r="R150" s="5">
        <f t="shared" si="689"/>
        <v>0</v>
      </c>
      <c r="S150" s="871">
        <f t="shared" si="689"/>
        <v>0</v>
      </c>
      <c r="T150" s="5">
        <f t="shared" si="689"/>
        <v>0</v>
      </c>
      <c r="U150" s="5">
        <f t="shared" si="689"/>
        <v>0</v>
      </c>
      <c r="V150" s="5">
        <f t="shared" si="689"/>
        <v>0</v>
      </c>
      <c r="W150" s="871">
        <f t="shared" si="689"/>
        <v>0</v>
      </c>
      <c r="X150" s="5">
        <f t="shared" si="689"/>
        <v>0</v>
      </c>
      <c r="Y150" s="5">
        <f t="shared" ref="Y150:AD150" si="690">+Y147-Y149</f>
        <v>-3504</v>
      </c>
      <c r="Z150" s="5">
        <f t="shared" si="690"/>
        <v>0</v>
      </c>
      <c r="AA150" s="871">
        <f t="shared" si="690"/>
        <v>0</v>
      </c>
      <c r="AB150" s="5">
        <f t="shared" si="690"/>
        <v>0</v>
      </c>
      <c r="AC150" s="5">
        <f t="shared" si="690"/>
        <v>0</v>
      </c>
      <c r="AD150" s="5">
        <f t="shared" si="690"/>
        <v>-349</v>
      </c>
      <c r="AE150" s="913"/>
      <c r="AF150" s="370"/>
      <c r="AG150" s="370"/>
      <c r="AH150" s="370"/>
      <c r="AI150" s="913"/>
      <c r="AK150" s="5"/>
      <c r="AL150" s="5">
        <f t="shared" ref="AL150:AN150" si="691">+AL147-AL149</f>
        <v>291</v>
      </c>
      <c r="AM150" s="5">
        <f t="shared" si="691"/>
        <v>0</v>
      </c>
      <c r="AN150" s="5">
        <f t="shared" si="691"/>
        <v>28</v>
      </c>
      <c r="AO150" s="5">
        <f>+AO147-AO149</f>
        <v>0</v>
      </c>
      <c r="AP150" s="5">
        <f>+AP147-AP149</f>
        <v>-3659</v>
      </c>
      <c r="AQ150" s="370"/>
      <c r="AR150" s="370"/>
      <c r="AS150" s="370"/>
    </row>
    <row r="151" spans="2:45" x14ac:dyDescent="0.2">
      <c r="B151" s="2" t="s">
        <v>249</v>
      </c>
      <c r="D151" s="162">
        <f>Metrics!L20</f>
        <v>0</v>
      </c>
      <c r="E151" s="162">
        <f>Metrics!M20</f>
        <v>0</v>
      </c>
      <c r="F151" s="162">
        <f>Metrics!N20</f>
        <v>0</v>
      </c>
      <c r="G151" s="863">
        <f>Metrics!O20</f>
        <v>0</v>
      </c>
      <c r="H151" s="162">
        <f>Metrics!P20</f>
        <v>0</v>
      </c>
      <c r="I151" s="162">
        <f>Metrics!Q20</f>
        <v>0</v>
      </c>
      <c r="J151" s="162">
        <f>Metrics!R20</f>
        <v>0</v>
      </c>
      <c r="K151" s="863">
        <f>Metrics!S20</f>
        <v>0</v>
      </c>
      <c r="L151" s="162">
        <f>Metrics!T20</f>
        <v>0</v>
      </c>
      <c r="M151" s="162">
        <f>Metrics!U20</f>
        <v>0</v>
      </c>
      <c r="N151" s="162">
        <f>Metrics!V20</f>
        <v>0</v>
      </c>
      <c r="O151" s="863">
        <f>Metrics!W20</f>
        <v>0</v>
      </c>
      <c r="P151" s="162">
        <f>Metrics!X20</f>
        <v>165</v>
      </c>
      <c r="Q151" s="162">
        <f>Metrics!Y20</f>
        <v>155</v>
      </c>
      <c r="R151" s="162">
        <f>Metrics!Z20</f>
        <v>155</v>
      </c>
      <c r="S151" s="863">
        <f>Metrics!AA20</f>
        <v>175</v>
      </c>
      <c r="T151" s="162">
        <f>Metrics!AB20</f>
        <v>145</v>
      </c>
      <c r="U151" s="162">
        <f>Metrics!AC20</f>
        <v>140</v>
      </c>
      <c r="V151" s="162">
        <f>Metrics!AD20</f>
        <v>155</v>
      </c>
      <c r="W151" s="863">
        <f>Metrics!AE20</f>
        <v>170</v>
      </c>
      <c r="X151" s="162">
        <f>Metrics!AF20</f>
        <v>145</v>
      </c>
      <c r="Y151" s="162">
        <f>Metrics!AG20</f>
        <v>140</v>
      </c>
      <c r="Z151" s="162">
        <f>Metrics!AH20</f>
        <v>175</v>
      </c>
      <c r="AA151" s="863">
        <f>Metrics!AI20</f>
        <v>160</v>
      </c>
      <c r="AB151" s="162">
        <f>Metrics!AJ20</f>
        <v>115</v>
      </c>
      <c r="AC151" s="162">
        <f>Metrics!AK20</f>
        <v>205</v>
      </c>
      <c r="AD151" s="162">
        <f>Metrics!AL20</f>
        <v>215</v>
      </c>
      <c r="AE151" s="1289"/>
      <c r="AF151" s="370"/>
      <c r="AG151" s="370"/>
      <c r="AH151" s="370"/>
      <c r="AI151" s="913"/>
      <c r="AK151" s="162"/>
      <c r="AL151" s="162"/>
      <c r="AM151" s="162"/>
      <c r="AN151" s="162">
        <f>+Metrics!H20</f>
        <v>650</v>
      </c>
      <c r="AO151" s="162">
        <f>+Metrics!I20</f>
        <v>610</v>
      </c>
      <c r="AP151" s="162">
        <f>+Metrics!J20</f>
        <v>620</v>
      </c>
      <c r="AQ151" s="554">
        <f t="shared" ref="AQ151:AS152" si="692">SUMIFS($D151:$AI151,$D$3:$AI$3, AQ$3)</f>
        <v>535</v>
      </c>
      <c r="AR151" s="554">
        <f t="shared" si="692"/>
        <v>0</v>
      </c>
      <c r="AS151" s="554">
        <f t="shared" si="692"/>
        <v>0</v>
      </c>
    </row>
    <row r="152" spans="2:45" x14ac:dyDescent="0.2">
      <c r="B152" s="2" t="s">
        <v>277</v>
      </c>
      <c r="G152" s="595"/>
      <c r="K152" s="595"/>
      <c r="O152" s="595"/>
      <c r="P152" s="5">
        <f t="shared" ref="P152:Y152" si="693">+P147+P151</f>
        <v>227</v>
      </c>
      <c r="Q152" s="5">
        <f t="shared" si="693"/>
        <v>301</v>
      </c>
      <c r="R152" s="5">
        <f t="shared" si="693"/>
        <v>260</v>
      </c>
      <c r="S152" s="871">
        <f t="shared" si="693"/>
        <v>200</v>
      </c>
      <c r="T152" s="5">
        <f t="shared" si="693"/>
        <v>171</v>
      </c>
      <c r="U152" s="5">
        <f t="shared" si="693"/>
        <v>264</v>
      </c>
      <c r="V152" s="5">
        <f t="shared" si="693"/>
        <v>234</v>
      </c>
      <c r="W152" s="871">
        <f t="shared" si="693"/>
        <v>223</v>
      </c>
      <c r="X152" s="5">
        <f t="shared" si="693"/>
        <v>97</v>
      </c>
      <c r="Y152" s="5">
        <f t="shared" si="693"/>
        <v>319</v>
      </c>
      <c r="Z152" s="5">
        <f t="shared" ref="Z152:AA152" si="694">+Z147+Z151</f>
        <v>199</v>
      </c>
      <c r="AA152" s="871">
        <f t="shared" si="694"/>
        <v>263</v>
      </c>
      <c r="AB152" s="5">
        <f t="shared" ref="AB152:AC152" si="695">+AB147+AB151</f>
        <v>160</v>
      </c>
      <c r="AC152" s="5">
        <f t="shared" si="695"/>
        <v>244</v>
      </c>
      <c r="AD152" s="5">
        <f t="shared" ref="AD152" si="696">+AD147+AD151</f>
        <v>258</v>
      </c>
      <c r="AE152" s="913"/>
      <c r="AF152" s="370"/>
      <c r="AG152" s="370"/>
      <c r="AH152" s="370"/>
      <c r="AI152" s="913"/>
      <c r="AK152" s="163"/>
      <c r="AL152" s="163"/>
      <c r="AM152" s="163"/>
      <c r="AN152" s="163">
        <f>SUMIFS($D152:$AI152,$D$3:$AI$3, AN$3)</f>
        <v>988</v>
      </c>
      <c r="AO152" s="163">
        <f>SUMIFS($D152:$AI152,$D$3:$AI$3, AO$3)</f>
        <v>892</v>
      </c>
      <c r="AP152" s="163">
        <f>SUMIFS($D152:$AI152,$D$3:$AI$3, AP$3)</f>
        <v>878</v>
      </c>
      <c r="AQ152" s="554">
        <f t="shared" si="692"/>
        <v>662</v>
      </c>
      <c r="AR152" s="554">
        <f t="shared" si="692"/>
        <v>0</v>
      </c>
      <c r="AS152" s="554">
        <f t="shared" si="692"/>
        <v>0</v>
      </c>
    </row>
    <row r="153" spans="2:45" s="244" customFormat="1" x14ac:dyDescent="0.2">
      <c r="B153" s="243" t="s">
        <v>266</v>
      </c>
      <c r="D153" s="245"/>
      <c r="E153" s="245"/>
      <c r="F153" s="245"/>
      <c r="G153" s="896"/>
      <c r="H153" s="246"/>
      <c r="I153" s="246"/>
      <c r="J153" s="246"/>
      <c r="K153" s="878"/>
      <c r="L153" s="246"/>
      <c r="M153" s="246"/>
      <c r="N153" s="246"/>
      <c r="O153" s="878"/>
      <c r="P153" s="246"/>
      <c r="Q153" s="246"/>
      <c r="R153" s="246"/>
      <c r="S153" s="878"/>
      <c r="T153" s="246">
        <f t="shared" ref="T153" si="697">+T152/P152-1</f>
        <v>-0.24669603524229078</v>
      </c>
      <c r="U153" s="246">
        <f t="shared" ref="U153" si="698">+U152/Q152-1</f>
        <v>-0.12292358803986714</v>
      </c>
      <c r="V153" s="246">
        <f t="shared" ref="V153" si="699">+V152/R152-1</f>
        <v>-9.9999999999999978E-2</v>
      </c>
      <c r="W153" s="878">
        <f t="shared" ref="W153" si="700">+W152/S152-1</f>
        <v>0.11499999999999999</v>
      </c>
      <c r="X153" s="246">
        <f t="shared" ref="X153" si="701">+X152/T152-1</f>
        <v>-0.43274853801169588</v>
      </c>
      <c r="Y153" s="246">
        <f t="shared" ref="Y153:AD153" si="702">+Y152/U152-1</f>
        <v>0.20833333333333326</v>
      </c>
      <c r="Z153" s="246">
        <f t="shared" si="702"/>
        <v>-0.1495726495726496</v>
      </c>
      <c r="AA153" s="878">
        <f t="shared" si="702"/>
        <v>0.17937219730941711</v>
      </c>
      <c r="AB153" s="246">
        <f t="shared" si="702"/>
        <v>0.64948453608247414</v>
      </c>
      <c r="AC153" s="246">
        <f t="shared" si="702"/>
        <v>-0.23510971786833856</v>
      </c>
      <c r="AD153" s="246">
        <f t="shared" si="702"/>
        <v>0.29648241206030157</v>
      </c>
      <c r="AE153" s="1137"/>
      <c r="AF153" s="552"/>
      <c r="AG153" s="552"/>
      <c r="AH153" s="552"/>
      <c r="AI153" s="1137"/>
      <c r="AK153" s="246"/>
      <c r="AL153" s="246"/>
      <c r="AM153" s="246"/>
      <c r="AN153" s="246" t="e">
        <f t="shared" ref="AN153" si="703">+AN152/AM152-1</f>
        <v>#DIV/0!</v>
      </c>
      <c r="AO153" s="246">
        <f t="shared" ref="AO153:AP153" si="704">+AO152/AN152-1</f>
        <v>-9.7165991902834037E-2</v>
      </c>
      <c r="AP153" s="246">
        <f t="shared" si="704"/>
        <v>-1.5695067264574036E-2</v>
      </c>
      <c r="AQ153" s="552"/>
      <c r="AR153" s="552"/>
      <c r="AS153" s="552"/>
    </row>
    <row r="154" spans="2:45" s="247" customFormat="1" x14ac:dyDescent="0.2">
      <c r="B154" s="243" t="s">
        <v>267</v>
      </c>
      <c r="D154" s="248"/>
      <c r="E154" s="248"/>
      <c r="F154" s="248"/>
      <c r="G154" s="897"/>
      <c r="H154" s="248"/>
      <c r="I154" s="248"/>
      <c r="J154" s="248"/>
      <c r="K154" s="897"/>
      <c r="L154" s="248"/>
      <c r="M154" s="248"/>
      <c r="N154" s="248"/>
      <c r="O154" s="897"/>
      <c r="P154" s="248"/>
      <c r="Q154" s="246">
        <f t="shared" ref="Q154:AD154" si="705">+Q152/P152-1</f>
        <v>0.32599118942731287</v>
      </c>
      <c r="R154" s="246">
        <f t="shared" si="705"/>
        <v>-0.13621262458471761</v>
      </c>
      <c r="S154" s="878">
        <f t="shared" si="705"/>
        <v>-0.23076923076923073</v>
      </c>
      <c r="T154" s="246">
        <f t="shared" si="705"/>
        <v>-0.14500000000000002</v>
      </c>
      <c r="U154" s="246">
        <f t="shared" si="705"/>
        <v>0.54385964912280693</v>
      </c>
      <c r="V154" s="246">
        <f t="shared" si="705"/>
        <v>-0.11363636363636365</v>
      </c>
      <c r="W154" s="878">
        <f t="shared" si="705"/>
        <v>-4.7008547008547064E-2</v>
      </c>
      <c r="X154" s="246">
        <f t="shared" si="705"/>
        <v>-0.56502242152466375</v>
      </c>
      <c r="Y154" s="246">
        <f t="shared" si="705"/>
        <v>2.2886597938144329</v>
      </c>
      <c r="Z154" s="246">
        <f t="shared" si="705"/>
        <v>-0.37617554858934166</v>
      </c>
      <c r="AA154" s="878">
        <f t="shared" si="705"/>
        <v>0.32160804020100509</v>
      </c>
      <c r="AB154" s="246">
        <f t="shared" si="705"/>
        <v>-0.39163498098859317</v>
      </c>
      <c r="AC154" s="246">
        <f t="shared" si="705"/>
        <v>0.52499999999999991</v>
      </c>
      <c r="AD154" s="246">
        <f t="shared" si="705"/>
        <v>5.7377049180327822E-2</v>
      </c>
      <c r="AE154" s="1137"/>
      <c r="AF154" s="552"/>
      <c r="AG154" s="552"/>
      <c r="AH154" s="552"/>
      <c r="AI154" s="1137"/>
      <c r="AQ154" s="1090"/>
      <c r="AR154" s="1090"/>
      <c r="AS154" s="1090"/>
    </row>
    <row r="155" spans="2:45" s="3" customFormat="1" x14ac:dyDescent="0.2">
      <c r="B155" s="3" t="s">
        <v>793</v>
      </c>
      <c r="D155" s="1039">
        <f>Metrics!L25</f>
        <v>3.85E-2</v>
      </c>
      <c r="E155" s="1040">
        <f>Metrics!M25</f>
        <v>3.49E-2</v>
      </c>
      <c r="F155" s="1040">
        <f>Metrics!N25</f>
        <v>3.9800000000000002E-2</v>
      </c>
      <c r="G155" s="1041">
        <f>Metrics!O25</f>
        <v>3.9699999999999999E-2</v>
      </c>
      <c r="H155" s="1040">
        <f>Metrics!P25</f>
        <v>3.5200000000000002E-2</v>
      </c>
      <c r="I155" s="1040">
        <f>Metrics!Q25</f>
        <v>2.81E-2</v>
      </c>
      <c r="J155" s="1040">
        <f>Metrics!R25</f>
        <v>2.86E-2</v>
      </c>
      <c r="K155" s="1041">
        <f>Metrics!S25</f>
        <v>2.92E-2</v>
      </c>
      <c r="L155" s="1040">
        <f>Metrics!T25</f>
        <v>2.7799999999999998E-2</v>
      </c>
      <c r="M155" s="1040">
        <f>Metrics!U25</f>
        <v>2.6200000000000001E-2</v>
      </c>
      <c r="N155" s="1040">
        <f>Metrics!V25</f>
        <v>2.9000000000000001E-2</v>
      </c>
      <c r="O155" s="1041">
        <f>Metrics!W25</f>
        <v>3.0099999999999998E-2</v>
      </c>
      <c r="P155" s="1040">
        <f>Metrics!X25</f>
        <v>2.6700000000000002E-2</v>
      </c>
      <c r="Q155" s="1040">
        <f>Metrics!Y25</f>
        <v>2.58E-2</v>
      </c>
      <c r="R155" s="1040">
        <f>Metrics!Z25</f>
        <v>2.8799999999999999E-2</v>
      </c>
      <c r="S155" s="1041">
        <f>Metrics!AA25</f>
        <v>2.9300000000000003E-2</v>
      </c>
      <c r="T155" s="1040">
        <f>Metrics!AB25</f>
        <v>2.76E-2</v>
      </c>
      <c r="U155" s="1040">
        <f>Metrics!AC25</f>
        <v>2.6200000000000001E-2</v>
      </c>
      <c r="V155" s="1040">
        <f>Metrics!AD25</f>
        <v>2.81E-2</v>
      </c>
      <c r="W155" s="1041">
        <f>Metrics!AE25</f>
        <v>2.86E-2</v>
      </c>
      <c r="X155" s="1040">
        <f>Metrics!AF25</f>
        <v>2.75E-2</v>
      </c>
      <c r="Y155" s="1040">
        <f>Metrics!AG25</f>
        <v>2.5399999999999999E-2</v>
      </c>
      <c r="Z155" s="1040">
        <f>Metrics!AH25</f>
        <v>2.7799999999999998E-2</v>
      </c>
      <c r="AA155" s="1041">
        <f>Metrics!AI25</f>
        <v>2.8500000000000001E-2</v>
      </c>
      <c r="AB155" s="1040">
        <f>Metrics!AJ25</f>
        <v>2.6800000000000001E-2</v>
      </c>
      <c r="AC155" s="1040">
        <f>Metrics!AK25</f>
        <v>2.6499999999999999E-2</v>
      </c>
      <c r="AD155" s="1040">
        <f>Metrics!AL25</f>
        <v>2.7700000000000002E-2</v>
      </c>
      <c r="AE155" s="972"/>
      <c r="AF155" s="1136"/>
      <c r="AG155" s="1136"/>
      <c r="AH155" s="1136"/>
      <c r="AI155" s="972"/>
      <c r="AK155" s="1040">
        <f>+Metrics!E25</f>
        <v>3.8199999999999998E-2</v>
      </c>
      <c r="AL155" s="1040">
        <f>+Metrics!F25</f>
        <v>3.0300000000000001E-2</v>
      </c>
      <c r="AM155" s="1040">
        <f>+Metrics!G25</f>
        <v>2.8299999999999999E-2</v>
      </c>
      <c r="AN155" s="1040">
        <f>+Metrics!H25</f>
        <v>2.7699999999999999E-2</v>
      </c>
      <c r="AO155" s="1040">
        <f>+Metrics!I25</f>
        <v>2.76E-2</v>
      </c>
      <c r="AP155" s="1040">
        <f>+Metrics!J25</f>
        <v>2.7300000000000001E-2</v>
      </c>
      <c r="AQ155" s="525"/>
      <c r="AR155" s="525"/>
      <c r="AS155" s="1136"/>
    </row>
    <row r="156" spans="2:45" x14ac:dyDescent="0.2">
      <c r="B156" s="2" t="s">
        <v>791</v>
      </c>
      <c r="G156" s="595"/>
      <c r="I156" s="161">
        <f t="shared" ref="I156:AD156" si="706">+I155*I181*3</f>
        <v>1717.9656084656087</v>
      </c>
      <c r="J156" s="161">
        <f t="shared" si="706"/>
        <v>1770.6884905170175</v>
      </c>
      <c r="K156" s="640">
        <f t="shared" si="706"/>
        <v>1805.0630252100841</v>
      </c>
      <c r="L156" s="161">
        <f t="shared" si="706"/>
        <v>1728.5850304152336</v>
      </c>
      <c r="M156" s="161">
        <f t="shared" si="706"/>
        <v>1650.3348040487933</v>
      </c>
      <c r="N156" s="161">
        <f t="shared" si="706"/>
        <v>1821.9549252975439</v>
      </c>
      <c r="O156" s="640">
        <f t="shared" si="706"/>
        <v>1893.880976602238</v>
      </c>
      <c r="P156" s="161">
        <f t="shared" si="706"/>
        <v>1672.5822914008677</v>
      </c>
      <c r="Q156" s="161">
        <f t="shared" si="706"/>
        <v>1645.574786876776</v>
      </c>
      <c r="R156" s="161">
        <f t="shared" si="706"/>
        <v>1840.9469891919712</v>
      </c>
      <c r="S156" s="640">
        <f t="shared" si="706"/>
        <v>1874.0062679550801</v>
      </c>
      <c r="T156" s="161">
        <f t="shared" si="706"/>
        <v>1756.4296998420223</v>
      </c>
      <c r="U156" s="161">
        <f t="shared" si="706"/>
        <v>1685.9610321221699</v>
      </c>
      <c r="V156" s="161">
        <f t="shared" si="706"/>
        <v>1820.0969093766373</v>
      </c>
      <c r="W156" s="640">
        <f t="shared" si="706"/>
        <v>1853.097203728362</v>
      </c>
      <c r="X156" s="161">
        <f t="shared" si="706"/>
        <v>1777.3668639053255</v>
      </c>
      <c r="Y156" s="161">
        <f t="shared" si="706"/>
        <v>1831.8530884808015</v>
      </c>
      <c r="Z156" s="161">
        <f t="shared" si="706"/>
        <v>2108.4836637810668</v>
      </c>
      <c r="AA156" s="640">
        <f t="shared" si="706"/>
        <v>2158.5798816568049</v>
      </c>
      <c r="AB156" s="161">
        <f t="shared" si="706"/>
        <v>2043.045860974906</v>
      </c>
      <c r="AC156" s="161">
        <f t="shared" si="706"/>
        <v>2022.5093849263644</v>
      </c>
      <c r="AD156" s="161">
        <f t="shared" si="706"/>
        <v>2143.0150309460655</v>
      </c>
      <c r="AE156" s="921"/>
      <c r="AF156" s="379"/>
      <c r="AG156" s="379"/>
      <c r="AH156" s="379"/>
      <c r="AI156" s="921"/>
      <c r="AK156" s="163">
        <f t="shared" ref="AK156:AP156" si="707">+AK155*AK181*12</f>
        <v>9605.8656126482201</v>
      </c>
      <c r="AL156" s="163">
        <f t="shared" si="707"/>
        <v>7488.3604407135372</v>
      </c>
      <c r="AM156" s="163">
        <f t="shared" si="707"/>
        <v>7100.8997164217581</v>
      </c>
      <c r="AN156" s="163">
        <f t="shared" si="707"/>
        <v>7044.3472652218788</v>
      </c>
      <c r="AO156" s="163">
        <f t="shared" si="707"/>
        <v>7108.8924050632904</v>
      </c>
      <c r="AP156" s="163">
        <f t="shared" si="707"/>
        <v>7872.7870216306146</v>
      </c>
      <c r="AQ156" s="554"/>
      <c r="AR156" s="554"/>
      <c r="AS156" s="379"/>
    </row>
    <row r="157" spans="2:45" x14ac:dyDescent="0.2">
      <c r="B157" s="237" t="s">
        <v>792</v>
      </c>
      <c r="G157" s="595"/>
      <c r="I157" s="161"/>
      <c r="J157" s="161"/>
      <c r="K157" s="640"/>
      <c r="L157" s="161"/>
      <c r="M157" s="161"/>
      <c r="N157" s="161"/>
      <c r="O157" s="640"/>
      <c r="P157" s="161">
        <f t="shared" ref="P157:Y157" si="708">+P156-P151</f>
        <v>1507.5822914008677</v>
      </c>
      <c r="Q157" s="161">
        <f t="shared" si="708"/>
        <v>1490.574786876776</v>
      </c>
      <c r="R157" s="161">
        <f t="shared" si="708"/>
        <v>1685.9469891919712</v>
      </c>
      <c r="S157" s="640">
        <f t="shared" si="708"/>
        <v>1699.0062679550801</v>
      </c>
      <c r="T157" s="161">
        <f t="shared" si="708"/>
        <v>1611.4296998420223</v>
      </c>
      <c r="U157" s="161">
        <f t="shared" si="708"/>
        <v>1545.9610321221699</v>
      </c>
      <c r="V157" s="161">
        <f t="shared" si="708"/>
        <v>1665.0969093766373</v>
      </c>
      <c r="W157" s="640">
        <f t="shared" si="708"/>
        <v>1683.097203728362</v>
      </c>
      <c r="X157" s="161">
        <f t="shared" si="708"/>
        <v>1632.3668639053255</v>
      </c>
      <c r="Y157" s="161">
        <f t="shared" si="708"/>
        <v>1691.8530884808015</v>
      </c>
      <c r="Z157" s="161">
        <f t="shared" ref="Z157:AA157" si="709">+Z156-Z151</f>
        <v>1933.4836637810668</v>
      </c>
      <c r="AA157" s="640">
        <f t="shared" si="709"/>
        <v>1998.5798816568049</v>
      </c>
      <c r="AB157" s="161">
        <f t="shared" ref="AB157:AC157" si="710">+AB156-AB151</f>
        <v>1928.045860974906</v>
      </c>
      <c r="AC157" s="161">
        <f t="shared" si="710"/>
        <v>1817.5093849263644</v>
      </c>
      <c r="AD157" s="161">
        <f t="shared" ref="AD157" si="711">+AD156-AD151</f>
        <v>1928.0150309460655</v>
      </c>
      <c r="AE157" s="921"/>
      <c r="AF157" s="379"/>
      <c r="AG157" s="379"/>
      <c r="AH157" s="379"/>
      <c r="AI157" s="921"/>
      <c r="AK157" s="163"/>
      <c r="AL157" s="163"/>
      <c r="AM157" s="163"/>
      <c r="AN157" s="163">
        <f>+AN156-AN151</f>
        <v>6394.3472652218788</v>
      </c>
      <c r="AO157" s="163">
        <f t="shared" ref="AO157:AP157" si="712">+AO156-AO151</f>
        <v>6498.8924050632904</v>
      </c>
      <c r="AP157" s="163">
        <f t="shared" si="712"/>
        <v>7252.7870216306146</v>
      </c>
      <c r="AQ157" s="554"/>
      <c r="AR157" s="554"/>
      <c r="AS157" s="379"/>
    </row>
    <row r="158" spans="2:45" s="244" customFormat="1" x14ac:dyDescent="0.2">
      <c r="B158" s="243" t="s">
        <v>266</v>
      </c>
      <c r="D158" s="245"/>
      <c r="E158" s="245"/>
      <c r="F158" s="245"/>
      <c r="G158" s="896"/>
      <c r="H158" s="246"/>
      <c r="I158" s="246"/>
      <c r="J158" s="246"/>
      <c r="K158" s="878"/>
      <c r="L158" s="246"/>
      <c r="M158" s="246"/>
      <c r="N158" s="246"/>
      <c r="O158" s="878"/>
      <c r="P158" s="246"/>
      <c r="Q158" s="246"/>
      <c r="R158" s="246"/>
      <c r="S158" s="878"/>
      <c r="T158" s="246">
        <f t="shared" ref="T158" si="713">+T157/P157-1</f>
        <v>6.8883409571399268E-2</v>
      </c>
      <c r="U158" s="246">
        <f t="shared" ref="U158" si="714">+U157/Q157-1</f>
        <v>3.7157642630897714E-2</v>
      </c>
      <c r="V158" s="246">
        <f t="shared" ref="V158" si="715">+V157/R157-1</f>
        <v>-1.2366984222515032E-2</v>
      </c>
      <c r="W158" s="878">
        <f t="shared" ref="W158" si="716">+W157/S157-1</f>
        <v>-9.3637466363595268E-3</v>
      </c>
      <c r="X158" s="246">
        <f t="shared" ref="X158" si="717">+X157/T157-1</f>
        <v>1.2992911862897749E-2</v>
      </c>
      <c r="Y158" s="246">
        <f t="shared" ref="Y158:AD158" si="718">+Y157/U157-1</f>
        <v>9.4369814844791344E-2</v>
      </c>
      <c r="Z158" s="246">
        <f t="shared" si="718"/>
        <v>0.16118386437033583</v>
      </c>
      <c r="AA158" s="878">
        <f t="shared" si="718"/>
        <v>0.18744174562799598</v>
      </c>
      <c r="AB158" s="246">
        <f t="shared" si="718"/>
        <v>0.18113513794453584</v>
      </c>
      <c r="AC158" s="246">
        <f t="shared" si="718"/>
        <v>7.4271399391064197E-2</v>
      </c>
      <c r="AD158" s="246">
        <f t="shared" si="718"/>
        <v>-2.8283832635580541E-3</v>
      </c>
      <c r="AE158" s="1137"/>
      <c r="AF158" s="552"/>
      <c r="AG158" s="552"/>
      <c r="AH158" s="552"/>
      <c r="AI158" s="1137"/>
      <c r="AK158" s="246"/>
      <c r="AL158" s="246"/>
      <c r="AM158" s="246"/>
      <c r="AN158" s="246"/>
      <c r="AO158" s="246">
        <f t="shared" ref="AO158:AP158" si="719">+AO157/AN157-1</f>
        <v>1.6349618734350146E-2</v>
      </c>
      <c r="AP158" s="246">
        <f t="shared" si="719"/>
        <v>0.11600355407945573</v>
      </c>
      <c r="AQ158" s="552"/>
      <c r="AR158" s="552"/>
      <c r="AS158" s="552"/>
    </row>
    <row r="159" spans="2:45" x14ac:dyDescent="0.2">
      <c r="B159" s="2" t="s">
        <v>789</v>
      </c>
      <c r="G159" s="595"/>
      <c r="I159" s="161">
        <f>+I156+I147</f>
        <v>1850.9656084656087</v>
      </c>
      <c r="J159" s="161">
        <f t="shared" ref="J159:Y159" si="720">+J156+J147</f>
        <v>1826.6884905170175</v>
      </c>
      <c r="K159" s="640">
        <f t="shared" si="720"/>
        <v>1889.0630252100841</v>
      </c>
      <c r="L159" s="161">
        <f t="shared" si="720"/>
        <v>1879.5850304152336</v>
      </c>
      <c r="M159" s="161">
        <f t="shared" si="720"/>
        <v>1726.3348040487933</v>
      </c>
      <c r="N159" s="161">
        <f t="shared" si="720"/>
        <v>1887.9549252975439</v>
      </c>
      <c r="O159" s="640">
        <f t="shared" si="720"/>
        <v>1942.880976602238</v>
      </c>
      <c r="P159" s="161">
        <f t="shared" si="720"/>
        <v>1734.5822914008677</v>
      </c>
      <c r="Q159" s="161">
        <f t="shared" si="720"/>
        <v>1791.574786876776</v>
      </c>
      <c r="R159" s="161">
        <f t="shared" si="720"/>
        <v>1945.9469891919712</v>
      </c>
      <c r="S159" s="640">
        <f t="shared" si="720"/>
        <v>1899.0062679550801</v>
      </c>
      <c r="T159" s="161">
        <f t="shared" si="720"/>
        <v>1782.4296998420223</v>
      </c>
      <c r="U159" s="161">
        <f t="shared" si="720"/>
        <v>1809.9610321221699</v>
      </c>
      <c r="V159" s="161">
        <f t="shared" si="720"/>
        <v>1899.0969093766373</v>
      </c>
      <c r="W159" s="640">
        <f t="shared" si="720"/>
        <v>1906.097203728362</v>
      </c>
      <c r="X159" s="161">
        <f t="shared" si="720"/>
        <v>1729.3668639053255</v>
      </c>
      <c r="Y159" s="161">
        <f t="shared" si="720"/>
        <v>2010.8530884808015</v>
      </c>
      <c r="Z159" s="161">
        <f t="shared" ref="Z159:AA159" si="721">+Z156+Z147</f>
        <v>2132.4836637810668</v>
      </c>
      <c r="AA159" s="640">
        <f t="shared" si="721"/>
        <v>2261.5798816568049</v>
      </c>
      <c r="AB159" s="161">
        <f t="shared" ref="AB159:AC159" si="722">+AB156+AB147</f>
        <v>2088.0458609749057</v>
      </c>
      <c r="AC159" s="161">
        <f t="shared" si="722"/>
        <v>2061.5093849263644</v>
      </c>
      <c r="AD159" s="161">
        <f t="shared" ref="AD159" si="723">+AD156+AD147</f>
        <v>2186.0150309460655</v>
      </c>
      <c r="AE159" s="921"/>
      <c r="AF159" s="379"/>
      <c r="AG159" s="379"/>
      <c r="AH159" s="379"/>
      <c r="AI159" s="921"/>
      <c r="AK159" s="163">
        <f>+AK156+AK147</f>
        <v>9944.8656126482201</v>
      </c>
      <c r="AL159" s="163">
        <f t="shared" ref="AL159:AO159" si="724">+AL156+AL147</f>
        <v>7633.3604407135372</v>
      </c>
      <c r="AM159" s="163">
        <f t="shared" si="724"/>
        <v>7442.8997164217581</v>
      </c>
      <c r="AN159" s="163">
        <f t="shared" si="724"/>
        <v>7382.3472652218788</v>
      </c>
      <c r="AO159" s="163">
        <f t="shared" si="724"/>
        <v>7390.8924050632904</v>
      </c>
      <c r="AP159" s="163">
        <f t="shared" ref="AP159" si="725">+AP156+AP147</f>
        <v>7975.7870216306146</v>
      </c>
      <c r="AQ159" s="554"/>
      <c r="AR159" s="554"/>
      <c r="AS159" s="379"/>
    </row>
    <row r="160" spans="2:45" s="244" customFormat="1" x14ac:dyDescent="0.2">
      <c r="B160" s="243" t="s">
        <v>266</v>
      </c>
      <c r="D160" s="245"/>
      <c r="E160" s="245"/>
      <c r="F160" s="245"/>
      <c r="G160" s="896"/>
      <c r="H160" s="246"/>
      <c r="I160" s="246"/>
      <c r="J160" s="246"/>
      <c r="K160" s="878"/>
      <c r="L160" s="246"/>
      <c r="M160" s="246">
        <f t="shared" ref="M160" si="726">+M159/I159-1</f>
        <v>-6.7332857967107418E-2</v>
      </c>
      <c r="N160" s="246">
        <f t="shared" ref="N160" si="727">+N159/J159-1</f>
        <v>3.3539618330427956E-2</v>
      </c>
      <c r="O160" s="878">
        <f t="shared" ref="O160" si="728">+O159/K159-1</f>
        <v>2.8489230202453752E-2</v>
      </c>
      <c r="P160" s="246">
        <f t="shared" ref="P160" si="729">+P159/L159-1</f>
        <v>-7.7146144850032239E-2</v>
      </c>
      <c r="Q160" s="246">
        <f t="shared" ref="Q160" si="730">+Q159/M159-1</f>
        <v>3.779103721652044E-2</v>
      </c>
      <c r="R160" s="246">
        <f t="shared" ref="R160" si="731">+R159/N159-1</f>
        <v>3.0716868881436765E-2</v>
      </c>
      <c r="S160" s="878">
        <f t="shared" ref="S160" si="732">+S159/O159-1</f>
        <v>-2.258229360188968E-2</v>
      </c>
      <c r="T160" s="246">
        <f t="shared" ref="T160" si="733">+T159/P159-1</f>
        <v>2.7584398087283857E-2</v>
      </c>
      <c r="U160" s="246">
        <f t="shared" ref="U160" si="734">+U159/Q159-1</f>
        <v>1.0262616654393986E-2</v>
      </c>
      <c r="V160" s="246">
        <f t="shared" ref="V160" si="735">+V159/R159-1</f>
        <v>-2.4075722553360879E-2</v>
      </c>
      <c r="W160" s="878">
        <f t="shared" ref="W160" si="736">+W159/S159-1</f>
        <v>3.7340244173693637E-3</v>
      </c>
      <c r="X160" s="246">
        <f t="shared" ref="X160" si="737">+X159/T159-1</f>
        <v>-2.9769946013242343E-2</v>
      </c>
      <c r="Y160" s="246">
        <f t="shared" ref="Y160:AD160" si="738">+Y159/U159-1</f>
        <v>0.11099247596678197</v>
      </c>
      <c r="Z160" s="246">
        <f t="shared" si="738"/>
        <v>0.12289354653367157</v>
      </c>
      <c r="AA160" s="878">
        <f t="shared" si="738"/>
        <v>0.18649766508922627</v>
      </c>
      <c r="AB160" s="246">
        <f t="shared" si="738"/>
        <v>0.20740480493514069</v>
      </c>
      <c r="AC160" s="246">
        <f t="shared" si="738"/>
        <v>2.5191445728058426E-2</v>
      </c>
      <c r="AD160" s="246">
        <f t="shared" si="738"/>
        <v>2.5102826377616072E-2</v>
      </c>
      <c r="AE160" s="1137"/>
      <c r="AF160" s="552"/>
      <c r="AG160" s="552"/>
      <c r="AH160" s="552"/>
      <c r="AI160" s="1137"/>
      <c r="AK160" s="246"/>
      <c r="AL160" s="246"/>
      <c r="AM160" s="246"/>
      <c r="AN160" s="246">
        <f t="shared" ref="AN160" si="739">+AN159/AM159-1</f>
        <v>-8.1355994984425584E-3</v>
      </c>
      <c r="AO160" s="246">
        <f t="shared" ref="AO160:AP160" si="740">+AO159/AN159-1</f>
        <v>1.1575098724585509E-3</v>
      </c>
      <c r="AP160" s="246">
        <f t="shared" si="740"/>
        <v>7.9137211653443895E-2</v>
      </c>
      <c r="AQ160" s="552"/>
      <c r="AR160" s="552"/>
      <c r="AS160" s="552"/>
    </row>
    <row r="161" spans="2:45" s="244" customFormat="1" x14ac:dyDescent="0.2">
      <c r="B161" s="3"/>
      <c r="D161" s="245"/>
      <c r="E161" s="245"/>
      <c r="F161" s="245"/>
      <c r="G161" s="896"/>
      <c r="H161" s="246"/>
      <c r="I161" s="246"/>
      <c r="J161" s="246"/>
      <c r="K161" s="878"/>
      <c r="L161" s="246"/>
      <c r="M161" s="246"/>
      <c r="N161" s="246"/>
      <c r="O161" s="878"/>
      <c r="P161" s="246"/>
      <c r="Q161" s="246"/>
      <c r="R161" s="246"/>
      <c r="S161" s="878"/>
      <c r="T161" s="246"/>
      <c r="U161" s="246"/>
      <c r="V161" s="246"/>
      <c r="W161" s="878"/>
      <c r="X161" s="246"/>
      <c r="Y161" s="246"/>
      <c r="Z161" s="246"/>
      <c r="AA161" s="878"/>
      <c r="AB161" s="246"/>
      <c r="AC161" s="246"/>
      <c r="AD161" s="246"/>
      <c r="AE161" s="972"/>
      <c r="AF161" s="1136"/>
      <c r="AG161" s="1136"/>
      <c r="AH161" s="1136"/>
      <c r="AI161" s="972"/>
      <c r="AK161" s="246"/>
      <c r="AL161" s="246"/>
      <c r="AM161" s="246"/>
      <c r="AN161" s="246"/>
      <c r="AO161" s="246"/>
      <c r="AP161" s="246"/>
      <c r="AQ161" s="525"/>
      <c r="AR161" s="525"/>
      <c r="AS161" s="525"/>
    </row>
    <row r="162" spans="2:45" s="244" customFormat="1" x14ac:dyDescent="0.2">
      <c r="B162" s="2"/>
      <c r="D162" s="245"/>
      <c r="E162" s="245"/>
      <c r="F162" s="245"/>
      <c r="G162" s="896"/>
      <c r="H162" s="246"/>
      <c r="I162" s="246"/>
      <c r="J162" s="246"/>
      <c r="K162" s="878"/>
      <c r="L162" s="246"/>
      <c r="M162" s="246"/>
      <c r="N162" s="246"/>
      <c r="O162" s="878"/>
      <c r="P162" s="246"/>
      <c r="Q162" s="246"/>
      <c r="R162" s="246"/>
      <c r="S162" s="878"/>
      <c r="T162" s="246"/>
      <c r="U162" s="246"/>
      <c r="V162" s="246"/>
      <c r="W162" s="878"/>
      <c r="X162" s="246"/>
      <c r="Y162" s="246"/>
      <c r="Z162" s="246"/>
      <c r="AA162" s="878"/>
      <c r="AB162" s="246"/>
      <c r="AC162" s="246"/>
      <c r="AD162" s="246"/>
      <c r="AE162" s="972"/>
      <c r="AF162" s="1136"/>
      <c r="AG162" s="1136"/>
      <c r="AH162" s="1136"/>
      <c r="AI162" s="972"/>
      <c r="AK162" s="246"/>
      <c r="AL162" s="246"/>
      <c r="AM162" s="246"/>
      <c r="AN162" s="246"/>
      <c r="AO162" s="246"/>
      <c r="AP162" s="246"/>
      <c r="AQ162" s="525"/>
      <c r="AR162" s="525"/>
      <c r="AS162" s="525"/>
    </row>
    <row r="163" spans="2:45" s="244" customFormat="1" x14ac:dyDescent="0.2">
      <c r="B163" s="3"/>
      <c r="D163" s="245"/>
      <c r="E163" s="245"/>
      <c r="F163" s="245"/>
      <c r="G163" s="896"/>
      <c r="H163" s="246"/>
      <c r="I163" s="246"/>
      <c r="J163" s="246"/>
      <c r="K163" s="878"/>
      <c r="L163" s="246"/>
      <c r="M163" s="246"/>
      <c r="N163" s="246"/>
      <c r="O163" s="878"/>
      <c r="P163" s="246"/>
      <c r="Q163" s="246"/>
      <c r="R163" s="246"/>
      <c r="S163" s="878"/>
      <c r="T163" s="246"/>
      <c r="U163" s="246"/>
      <c r="V163" s="246"/>
      <c r="W163" s="878"/>
      <c r="X163" s="246"/>
      <c r="Y163" s="246"/>
      <c r="Z163" s="246"/>
      <c r="AA163" s="878"/>
      <c r="AB163" s="246"/>
      <c r="AC163" s="246"/>
      <c r="AD163" s="246"/>
      <c r="AE163" s="972"/>
      <c r="AF163" s="1136"/>
      <c r="AG163" s="1136"/>
      <c r="AH163" s="1136"/>
      <c r="AI163" s="972"/>
      <c r="AK163" s="246"/>
      <c r="AL163" s="246"/>
      <c r="AM163" s="246"/>
      <c r="AN163" s="246"/>
      <c r="AO163" s="246"/>
      <c r="AP163" s="246"/>
      <c r="AQ163" s="525"/>
      <c r="AR163" s="525"/>
      <c r="AS163" s="525"/>
    </row>
    <row r="164" spans="2:45" x14ac:dyDescent="0.2">
      <c r="G164" s="595"/>
      <c r="K164" s="595"/>
      <c r="O164" s="595"/>
      <c r="S164" s="595"/>
      <c r="W164" s="595"/>
      <c r="AA164" s="595"/>
      <c r="AE164" s="913"/>
      <c r="AF164" s="370"/>
      <c r="AG164" s="370"/>
      <c r="AH164" s="370"/>
      <c r="AI164" s="913"/>
      <c r="AQ164" s="370"/>
      <c r="AR164" s="370"/>
      <c r="AS164" s="370"/>
    </row>
    <row r="165" spans="2:45" s="3" customFormat="1" x14ac:dyDescent="0.2">
      <c r="B165" s="3" t="s">
        <v>150</v>
      </c>
      <c r="D165" s="165">
        <f>+Metrics!L40</f>
        <v>0</v>
      </c>
      <c r="E165" s="165">
        <f>+Metrics!M40</f>
        <v>0</v>
      </c>
      <c r="F165" s="165">
        <f>+Metrics!N40</f>
        <v>0</v>
      </c>
      <c r="G165" s="862">
        <f>+Metrics!O40</f>
        <v>0</v>
      </c>
      <c r="H165" s="165">
        <f>+Metrics!P40</f>
        <v>0</v>
      </c>
      <c r="I165" s="165">
        <f>+Metrics!Q40</f>
        <v>0</v>
      </c>
      <c r="J165" s="165">
        <f>+Metrics!R40</f>
        <v>0</v>
      </c>
      <c r="K165" s="862">
        <f>+Metrics!S40</f>
        <v>0</v>
      </c>
      <c r="L165" s="165">
        <f>+Metrics!T40</f>
        <v>0</v>
      </c>
      <c r="M165" s="165">
        <f>+Metrics!U40</f>
        <v>0</v>
      </c>
      <c r="N165" s="165">
        <f>+Metrics!V40</f>
        <v>0</v>
      </c>
      <c r="O165" s="862">
        <f>+Metrics!W40</f>
        <v>0</v>
      </c>
      <c r="P165" s="165">
        <f>+Metrics!X40</f>
        <v>9</v>
      </c>
      <c r="Q165" s="165">
        <f>+Metrics!Y40</f>
        <v>72</v>
      </c>
      <c r="R165" s="165">
        <f>+Metrics!Z40</f>
        <v>162</v>
      </c>
      <c r="S165" s="862">
        <f>+Metrics!AA40</f>
        <v>236</v>
      </c>
      <c r="T165" s="165">
        <f>+Metrics!AB40</f>
        <v>314</v>
      </c>
      <c r="U165" s="165">
        <f>+Metrics!AC40</f>
        <v>376</v>
      </c>
      <c r="V165" s="165">
        <f>+Metrics!AD40</f>
        <v>428</v>
      </c>
      <c r="W165" s="862">
        <f>+Metrics!AE40</f>
        <v>488</v>
      </c>
      <c r="X165" s="165">
        <f>+Metrics!AF40</f>
        <v>547</v>
      </c>
      <c r="Y165" s="165">
        <f>+Metrics!AG40</f>
        <v>595</v>
      </c>
      <c r="Z165" s="165">
        <f>+Metrics!AH40</f>
        <v>625</v>
      </c>
      <c r="AA165" s="862">
        <f>+Metrics!AI40</f>
        <v>688</v>
      </c>
      <c r="AB165" s="165">
        <f>+Metrics!AJ40</f>
        <v>725</v>
      </c>
      <c r="AC165" s="165">
        <f>+Metrics!AK40</f>
        <v>752</v>
      </c>
      <c r="AD165" s="165">
        <f>+Metrics!AL40</f>
        <v>792</v>
      </c>
      <c r="AE165" s="972">
        <f>(1+AE167)*AD165</f>
        <v>855.99360000000001</v>
      </c>
      <c r="AF165" s="1136">
        <f>(1+AF167)*AE165</f>
        <v>890.90022273488376</v>
      </c>
      <c r="AG165" s="1136">
        <f t="shared" ref="AG165:AI165" si="741">(1+AG167)*AF165</f>
        <v>912.49687296187085</v>
      </c>
      <c r="AH165" s="1136">
        <f t="shared" si="741"/>
        <v>949.17148132410432</v>
      </c>
      <c r="AI165" s="972">
        <f t="shared" si="741"/>
        <v>1013.5253077578786</v>
      </c>
      <c r="AK165" s="165">
        <f>+Metrics!E40</f>
        <v>0</v>
      </c>
      <c r="AL165" s="165">
        <f>+Metrics!F40</f>
        <v>0</v>
      </c>
      <c r="AM165" s="165">
        <f>+Metrics!G40</f>
        <v>0</v>
      </c>
      <c r="AN165" s="165">
        <f>+Metrics!H40</f>
        <v>236</v>
      </c>
      <c r="AO165" s="165">
        <f>+Metrics!I40</f>
        <v>488</v>
      </c>
      <c r="AP165" s="165">
        <f>+Metrics!J40</f>
        <v>688</v>
      </c>
      <c r="AQ165" s="525">
        <f>SUMIFS($D165:$AI165,$D$3:$AI$3, AQ$3,$D$2:$AI$2,4)</f>
        <v>855.99360000000001</v>
      </c>
      <c r="AR165" s="525">
        <f>SUMIFS($D165:$AI165,$D$3:$AI$3, AR$3,$D$2:$AI$2,4)</f>
        <v>1013.5253077578786</v>
      </c>
      <c r="AS165" s="525">
        <f>(1+AS166)*AR165</f>
        <v>1159.5071533134728</v>
      </c>
    </row>
    <row r="166" spans="2:45" s="244" customFormat="1" x14ac:dyDescent="0.2">
      <c r="B166" s="243" t="s">
        <v>266</v>
      </c>
      <c r="D166" s="245"/>
      <c r="E166" s="245"/>
      <c r="F166" s="245"/>
      <c r="G166" s="896"/>
      <c r="H166" s="246" t="e">
        <f t="shared" ref="H166" si="742">+H165/D165-1</f>
        <v>#DIV/0!</v>
      </c>
      <c r="I166" s="246" t="e">
        <f t="shared" ref="I166" si="743">+I165/E165-1</f>
        <v>#DIV/0!</v>
      </c>
      <c r="J166" s="246" t="e">
        <f t="shared" ref="J166" si="744">+J165/F165-1</f>
        <v>#DIV/0!</v>
      </c>
      <c r="K166" s="878" t="e">
        <f t="shared" ref="K166" si="745">+K165/G165-1</f>
        <v>#DIV/0!</v>
      </c>
      <c r="L166" s="246" t="e">
        <f t="shared" ref="L166" si="746">+L165/H165-1</f>
        <v>#DIV/0!</v>
      </c>
      <c r="M166" s="246" t="e">
        <f t="shared" ref="M166" si="747">+M165/I165-1</f>
        <v>#DIV/0!</v>
      </c>
      <c r="N166" s="246" t="e">
        <f t="shared" ref="N166" si="748">+N165/J165-1</f>
        <v>#DIV/0!</v>
      </c>
      <c r="O166" s="878" t="e">
        <f t="shared" ref="O166" si="749">+O165/K165-1</f>
        <v>#DIV/0!</v>
      </c>
      <c r="P166" s="246" t="e">
        <f t="shared" ref="P166" si="750">+P165/L165-1</f>
        <v>#DIV/0!</v>
      </c>
      <c r="Q166" s="246" t="e">
        <f t="shared" ref="Q166" si="751">+Q165/M165-1</f>
        <v>#DIV/0!</v>
      </c>
      <c r="R166" s="246" t="e">
        <f t="shared" ref="R166" si="752">+R165/N165-1</f>
        <v>#DIV/0!</v>
      </c>
      <c r="S166" s="878" t="e">
        <f t="shared" ref="S166" si="753">+S165/O165-1</f>
        <v>#DIV/0!</v>
      </c>
      <c r="T166" s="246">
        <f t="shared" ref="T166" si="754">+T165/P165-1</f>
        <v>33.888888888888886</v>
      </c>
      <c r="U166" s="246">
        <f t="shared" ref="U166" si="755">+U165/Q165-1</f>
        <v>4.2222222222222223</v>
      </c>
      <c r="V166" s="246">
        <f t="shared" ref="V166" si="756">+V165/R165-1</f>
        <v>1.6419753086419755</v>
      </c>
      <c r="W166" s="878">
        <f t="shared" ref="W166" si="757">+W165/S165-1</f>
        <v>1.0677966101694913</v>
      </c>
      <c r="X166" s="246">
        <f t="shared" ref="X166" si="758">+X165/T165-1</f>
        <v>0.7420382165605095</v>
      </c>
      <c r="Y166" s="246">
        <f t="shared" ref="Y166:AD166" si="759">+Y165/U165-1</f>
        <v>0.58244680851063824</v>
      </c>
      <c r="Z166" s="246">
        <f t="shared" si="759"/>
        <v>0.46028037383177578</v>
      </c>
      <c r="AA166" s="878">
        <f t="shared" si="759"/>
        <v>0.4098360655737705</v>
      </c>
      <c r="AB166" s="246">
        <f t="shared" si="759"/>
        <v>0.32541133455210236</v>
      </c>
      <c r="AC166" s="246">
        <f t="shared" si="759"/>
        <v>0.26386554621848735</v>
      </c>
      <c r="AD166" s="246">
        <f t="shared" si="759"/>
        <v>0.2672000000000001</v>
      </c>
      <c r="AE166" s="1137">
        <f>+AE165/AA165-1</f>
        <v>0.24417674418604651</v>
      </c>
      <c r="AF166" s="552">
        <f t="shared" ref="AF166" si="760">+AF165/AB165-1</f>
        <v>0.22882789342742593</v>
      </c>
      <c r="AG166" s="552">
        <f t="shared" ref="AG166" si="761">+AG165/AC165-1</f>
        <v>0.21342669276844517</v>
      </c>
      <c r="AH166" s="552">
        <f t="shared" ref="AH166" si="762">+AH165/AD165-1</f>
        <v>0.19844884005568719</v>
      </c>
      <c r="AI166" s="1137">
        <f>+AI165/AE165-1</f>
        <v>0.18403374482925883</v>
      </c>
      <c r="AK166" s="246"/>
      <c r="AL166" s="246"/>
      <c r="AM166" s="246"/>
      <c r="AN166" s="246"/>
      <c r="AO166" s="246">
        <f t="shared" ref="AO166:AP166" si="763">+AO165/AN165-1</f>
        <v>1.0677966101694913</v>
      </c>
      <c r="AP166" s="246">
        <f t="shared" si="763"/>
        <v>0.4098360655737705</v>
      </c>
      <c r="AQ166" s="552">
        <f t="shared" ref="AQ166" si="764">+AQ165/AP165-1</f>
        <v>0.24417674418604651</v>
      </c>
      <c r="AR166" s="552">
        <f t="shared" ref="AR166" si="765">+AR165/AQ165-1</f>
        <v>0.18403374482925883</v>
      </c>
      <c r="AS166" s="1145">
        <f>+AR166-4%</f>
        <v>0.14403374482925882</v>
      </c>
    </row>
    <row r="167" spans="2:45" s="247" customFormat="1" x14ac:dyDescent="0.2">
      <c r="B167" s="243" t="s">
        <v>267</v>
      </c>
      <c r="D167" s="248"/>
      <c r="E167" s="248"/>
      <c r="F167" s="248"/>
      <c r="G167" s="897"/>
      <c r="H167" s="248"/>
      <c r="I167" s="248"/>
      <c r="J167" s="248"/>
      <c r="K167" s="897"/>
      <c r="L167" s="248"/>
      <c r="M167" s="248"/>
      <c r="N167" s="248"/>
      <c r="O167" s="897"/>
      <c r="P167" s="248"/>
      <c r="Q167" s="246">
        <f t="shared" ref="Q167:AD167" si="766">+Q165/P165-1</f>
        <v>7</v>
      </c>
      <c r="R167" s="246">
        <f t="shared" si="766"/>
        <v>1.25</v>
      </c>
      <c r="S167" s="878">
        <f t="shared" si="766"/>
        <v>0.45679012345679015</v>
      </c>
      <c r="T167" s="246">
        <f t="shared" si="766"/>
        <v>0.33050847457627119</v>
      </c>
      <c r="U167" s="246">
        <f t="shared" si="766"/>
        <v>0.19745222929936301</v>
      </c>
      <c r="V167" s="246">
        <f t="shared" si="766"/>
        <v>0.13829787234042556</v>
      </c>
      <c r="W167" s="878">
        <f t="shared" si="766"/>
        <v>0.14018691588785037</v>
      </c>
      <c r="X167" s="246">
        <f t="shared" si="766"/>
        <v>0.12090163934426235</v>
      </c>
      <c r="Y167" s="246">
        <f t="shared" si="766"/>
        <v>8.7751371115173615E-2</v>
      </c>
      <c r="Z167" s="246">
        <f t="shared" si="766"/>
        <v>5.0420168067226934E-2</v>
      </c>
      <c r="AA167" s="878">
        <f t="shared" si="766"/>
        <v>0.1008</v>
      </c>
      <c r="AB167" s="246">
        <f t="shared" si="766"/>
        <v>5.3779069767441845E-2</v>
      </c>
      <c r="AC167" s="246">
        <f t="shared" si="766"/>
        <v>3.7241379310344769E-2</v>
      </c>
      <c r="AD167" s="246">
        <f t="shared" si="766"/>
        <v>5.3191489361702038E-2</v>
      </c>
      <c r="AE167" s="1144">
        <f>+AA167-2%</f>
        <v>8.0799999999999997E-2</v>
      </c>
      <c r="AF167" s="1145">
        <f>+AB167-1.3%</f>
        <v>4.0779069767441847E-2</v>
      </c>
      <c r="AG167" s="1145">
        <f t="shared" ref="AG167:AH167" si="767">+AC167-1.3%</f>
        <v>2.4241379310344768E-2</v>
      </c>
      <c r="AH167" s="1145">
        <f t="shared" si="767"/>
        <v>4.019148936170204E-2</v>
      </c>
      <c r="AI167" s="1144">
        <f>+AE167-1.3%</f>
        <v>6.7799999999999999E-2</v>
      </c>
      <c r="AQ167" s="1090"/>
      <c r="AR167" s="1090"/>
      <c r="AS167" s="1090"/>
    </row>
    <row r="168" spans="2:45" s="251" customFormat="1" x14ac:dyDescent="0.2">
      <c r="B168" s="254" t="s">
        <v>283</v>
      </c>
      <c r="D168" s="242"/>
      <c r="E168" s="242"/>
      <c r="F168" s="242"/>
      <c r="G168" s="890"/>
      <c r="H168" s="262"/>
      <c r="I168" s="262"/>
      <c r="J168" s="262"/>
      <c r="K168" s="869"/>
      <c r="L168" s="262"/>
      <c r="M168" s="262"/>
      <c r="N168" s="262"/>
      <c r="O168" s="869"/>
      <c r="P168" s="262">
        <f t="shared" ref="P168:AI168" si="768">+P165/P145</f>
        <v>4.2617672128042428E-4</v>
      </c>
      <c r="Q168" s="262">
        <f t="shared" si="768"/>
        <v>3.3904690148803917E-3</v>
      </c>
      <c r="R168" s="262">
        <f t="shared" si="768"/>
        <v>7.5910219764772037E-3</v>
      </c>
      <c r="S168" s="869">
        <f t="shared" si="768"/>
        <v>1.1045586445754938E-2</v>
      </c>
      <c r="T168" s="262">
        <f t="shared" si="768"/>
        <v>1.4678384442782348E-2</v>
      </c>
      <c r="U168" s="262">
        <f t="shared" si="768"/>
        <v>1.7475367168618701E-2</v>
      </c>
      <c r="V168" s="262">
        <f t="shared" si="768"/>
        <v>1.9819402639499883E-2</v>
      </c>
      <c r="W168" s="869">
        <f t="shared" si="768"/>
        <v>2.2542498152254248E-2</v>
      </c>
      <c r="X168" s="262">
        <f t="shared" si="768"/>
        <v>2.5324074074074075E-2</v>
      </c>
      <c r="Y168" s="262">
        <f t="shared" si="768"/>
        <v>2.3533599651940039E-2</v>
      </c>
      <c r="Z168" s="262">
        <f t="shared" si="768"/>
        <v>2.4696724226498597E-2</v>
      </c>
      <c r="AA168" s="869">
        <f t="shared" si="768"/>
        <v>2.7075954348681621E-2</v>
      </c>
      <c r="AB168" s="262">
        <f t="shared" si="768"/>
        <v>2.8481634256531132E-2</v>
      </c>
      <c r="AC168" s="262">
        <f t="shared" si="768"/>
        <v>2.9497136581156349E-2</v>
      </c>
      <c r="AD168" s="262">
        <f t="shared" si="768"/>
        <v>3.0595688789306963E-2</v>
      </c>
      <c r="AE168" s="1146">
        <f t="shared" si="768"/>
        <v>3.2966489441150403E-2</v>
      </c>
      <c r="AF168" s="1147">
        <f t="shared" si="768"/>
        <v>3.4397644689411262E-2</v>
      </c>
      <c r="AG168" s="1147">
        <f t="shared" si="768"/>
        <v>3.5185665378300333E-2</v>
      </c>
      <c r="AH168" s="1147">
        <f t="shared" si="768"/>
        <v>3.5985555040389632E-2</v>
      </c>
      <c r="AI168" s="1146">
        <f t="shared" si="768"/>
        <v>3.8235493219720258E-2</v>
      </c>
      <c r="AK168" s="262">
        <f t="shared" ref="AK168:AS168" si="769">+AK165/AK145</f>
        <v>0</v>
      </c>
      <c r="AL168" s="262">
        <f t="shared" si="769"/>
        <v>0</v>
      </c>
      <c r="AM168" s="262">
        <f t="shared" si="769"/>
        <v>0</v>
      </c>
      <c r="AN168" s="262">
        <f t="shared" si="769"/>
        <v>1.1045586445754938E-2</v>
      </c>
      <c r="AO168" s="262">
        <f t="shared" si="769"/>
        <v>2.2542498152254248E-2</v>
      </c>
      <c r="AP168" s="262">
        <f t="shared" si="769"/>
        <v>2.7075954348681621E-2</v>
      </c>
      <c r="AQ168" s="1147">
        <f t="shared" si="769"/>
        <v>3.2966489441150403E-2</v>
      </c>
      <c r="AR168" s="1147">
        <f t="shared" si="769"/>
        <v>3.8235493219720258E-2</v>
      </c>
      <c r="AS168" s="1147">
        <f t="shared" si="769"/>
        <v>4.2956368010585722E-2</v>
      </c>
    </row>
    <row r="169" spans="2:45" x14ac:dyDescent="0.2">
      <c r="B169" s="2" t="s">
        <v>278</v>
      </c>
      <c r="D169" s="162">
        <f>+Metrics!L50</f>
        <v>0</v>
      </c>
      <c r="E169" s="162">
        <f>+Metrics!M50</f>
        <v>0</v>
      </c>
      <c r="F169" s="162">
        <f>+Metrics!N50</f>
        <v>0</v>
      </c>
      <c r="G169" s="863">
        <f>+Metrics!O50</f>
        <v>0</v>
      </c>
      <c r="H169" s="162">
        <f>+Metrics!P50</f>
        <v>0</v>
      </c>
      <c r="I169" s="162">
        <f>+Metrics!Q50</f>
        <v>0</v>
      </c>
      <c r="J169" s="162">
        <f>+Metrics!R50</f>
        <v>0</v>
      </c>
      <c r="K169" s="863">
        <f>+Metrics!S50</f>
        <v>0</v>
      </c>
      <c r="L169" s="162">
        <f>+Metrics!T50</f>
        <v>0</v>
      </c>
      <c r="M169" s="162">
        <f>+Metrics!U50</f>
        <v>0</v>
      </c>
      <c r="N169" s="162">
        <f>+Metrics!V50</f>
        <v>0</v>
      </c>
      <c r="O169" s="863">
        <f>+Metrics!W50</f>
        <v>0</v>
      </c>
      <c r="P169" s="162">
        <f>+Metrics!X50</f>
        <v>9</v>
      </c>
      <c r="Q169" s="162">
        <f>+Metrics!Y50</f>
        <v>63</v>
      </c>
      <c r="R169" s="162">
        <f>+Metrics!Z50</f>
        <v>90</v>
      </c>
      <c r="S169" s="863">
        <f>+Metrics!AA50</f>
        <v>74</v>
      </c>
      <c r="T169" s="162">
        <f>+Metrics!AB50</f>
        <v>78</v>
      </c>
      <c r="U169" s="162">
        <f>+Metrics!AC50</f>
        <v>62</v>
      </c>
      <c r="V169" s="162">
        <f>+Metrics!AD50</f>
        <v>52</v>
      </c>
      <c r="W169" s="863">
        <f>+Metrics!AE50</f>
        <v>60</v>
      </c>
      <c r="X169" s="162">
        <f>+Metrics!AF50</f>
        <v>59</v>
      </c>
      <c r="Y169" s="162">
        <f>+Metrics!AG50</f>
        <v>48</v>
      </c>
      <c r="Z169" s="162">
        <f>+Metrics!AH50</f>
        <v>30</v>
      </c>
      <c r="AA169" s="863">
        <f>+Metrics!AI50</f>
        <v>63</v>
      </c>
      <c r="AB169" s="162">
        <f>+Metrics!AJ50</f>
        <v>37</v>
      </c>
      <c r="AC169" s="162">
        <f>+Metrics!AK50</f>
        <v>27</v>
      </c>
      <c r="AD169" s="162">
        <f>+Metrics!AL50</f>
        <v>40</v>
      </c>
      <c r="AE169" s="921">
        <f>+AE165-AD165</f>
        <v>63.993600000000015</v>
      </c>
      <c r="AF169" s="379">
        <f>+AF165-AE165</f>
        <v>34.90662273488374</v>
      </c>
      <c r="AG169" s="379">
        <f t="shared" ref="AG169:AI169" si="770">+AG165-AF165</f>
        <v>21.596650226987094</v>
      </c>
      <c r="AH169" s="379">
        <f t="shared" si="770"/>
        <v>36.674608362233471</v>
      </c>
      <c r="AI169" s="921">
        <f t="shared" si="770"/>
        <v>64.353826433774316</v>
      </c>
      <c r="AK169" s="163">
        <f t="shared" ref="AK169:AR169" si="771">SUMIFS($D169:$AI169,$D$3:$AI$3, AK$3)</f>
        <v>0</v>
      </c>
      <c r="AL169" s="163">
        <f t="shared" si="771"/>
        <v>0</v>
      </c>
      <c r="AM169" s="163">
        <f t="shared" si="771"/>
        <v>0</v>
      </c>
      <c r="AN169" s="163">
        <f t="shared" si="771"/>
        <v>236</v>
      </c>
      <c r="AO169" s="163">
        <f t="shared" si="771"/>
        <v>252</v>
      </c>
      <c r="AP169" s="163">
        <f t="shared" si="771"/>
        <v>200</v>
      </c>
      <c r="AQ169" s="554">
        <f t="shared" si="771"/>
        <v>167.99360000000001</v>
      </c>
      <c r="AR169" s="554">
        <f t="shared" si="771"/>
        <v>157.53170775787862</v>
      </c>
      <c r="AS169" s="554">
        <f>+AS165-AR165</f>
        <v>145.98184555559419</v>
      </c>
    </row>
    <row r="170" spans="2:45" x14ac:dyDescent="0.2">
      <c r="G170" s="595"/>
      <c r="K170" s="595"/>
      <c r="O170" s="595"/>
      <c r="S170" s="595"/>
      <c r="W170" s="595"/>
      <c r="AA170" s="595"/>
      <c r="AE170" s="913"/>
      <c r="AF170" s="370"/>
      <c r="AG170" s="370"/>
      <c r="AH170" s="370"/>
      <c r="AI170" s="913"/>
      <c r="AP170" s="311"/>
      <c r="AQ170" s="384"/>
      <c r="AR170" s="370"/>
      <c r="AS170" s="370"/>
    </row>
    <row r="171" spans="2:45" s="3" customFormat="1" x14ac:dyDescent="0.2">
      <c r="B171" s="3" t="s">
        <v>811</v>
      </c>
      <c r="D171" s="217">
        <f t="shared" ref="D171:AD171" si="772">+D145-D165</f>
        <v>21206</v>
      </c>
      <c r="E171" s="217">
        <f t="shared" si="772"/>
        <v>21337</v>
      </c>
      <c r="F171" s="217">
        <f t="shared" si="772"/>
        <v>20783</v>
      </c>
      <c r="G171" s="884">
        <f t="shared" si="772"/>
        <v>20860</v>
      </c>
      <c r="H171" s="217">
        <f t="shared" si="772"/>
        <v>20442</v>
      </c>
      <c r="I171" s="217">
        <f t="shared" si="772"/>
        <v>20574</v>
      </c>
      <c r="J171" s="217">
        <f t="shared" si="772"/>
        <v>20630</v>
      </c>
      <c r="K171" s="884">
        <f t="shared" si="772"/>
        <v>20714</v>
      </c>
      <c r="L171" s="217">
        <f t="shared" si="772"/>
        <v>20865</v>
      </c>
      <c r="M171" s="217">
        <f t="shared" si="772"/>
        <v>20941</v>
      </c>
      <c r="N171" s="217">
        <f t="shared" si="772"/>
        <v>21007</v>
      </c>
      <c r="O171" s="884">
        <f t="shared" si="772"/>
        <v>21056</v>
      </c>
      <c r="P171" s="217">
        <f t="shared" si="772"/>
        <v>21109</v>
      </c>
      <c r="Q171" s="217">
        <f t="shared" si="772"/>
        <v>21164</v>
      </c>
      <c r="R171" s="217">
        <f t="shared" si="772"/>
        <v>21179</v>
      </c>
      <c r="S171" s="884">
        <f t="shared" si="772"/>
        <v>21130</v>
      </c>
      <c r="T171" s="217">
        <f t="shared" si="772"/>
        <v>21078</v>
      </c>
      <c r="U171" s="217">
        <f t="shared" si="772"/>
        <v>21140</v>
      </c>
      <c r="V171" s="217">
        <f t="shared" si="772"/>
        <v>21167</v>
      </c>
      <c r="W171" s="884">
        <f t="shared" si="772"/>
        <v>21160</v>
      </c>
      <c r="X171" s="217">
        <f t="shared" si="772"/>
        <v>21053</v>
      </c>
      <c r="Y171" s="217">
        <f t="shared" si="772"/>
        <v>24688</v>
      </c>
      <c r="Z171" s="217">
        <f t="shared" si="772"/>
        <v>24682</v>
      </c>
      <c r="AA171" s="884">
        <f t="shared" si="772"/>
        <v>24722</v>
      </c>
      <c r="AB171" s="217">
        <f t="shared" si="772"/>
        <v>24730</v>
      </c>
      <c r="AC171" s="217">
        <f t="shared" si="772"/>
        <v>24742</v>
      </c>
      <c r="AD171" s="217">
        <f t="shared" si="772"/>
        <v>25094</v>
      </c>
      <c r="AE171" s="1000">
        <f>AD171*(1+AE173)</f>
        <v>25109.57369305567</v>
      </c>
      <c r="AF171" s="523">
        <f>AE171*(1+AF173)</f>
        <v>25009.135398283448</v>
      </c>
      <c r="AG171" s="523">
        <f t="shared" ref="AG171:AI171" si="773">AF171*(1+AG173)</f>
        <v>25021.270846111165</v>
      </c>
      <c r="AH171" s="523">
        <f t="shared" si="773"/>
        <v>25427.286524083036</v>
      </c>
      <c r="AI171" s="1000">
        <f t="shared" si="773"/>
        <v>25493.921632540641</v>
      </c>
      <c r="AK171" s="217">
        <f t="shared" ref="AK171:AP171" si="774">+AK145-AK165</f>
        <v>20860</v>
      </c>
      <c r="AL171" s="217">
        <f t="shared" si="774"/>
        <v>20714</v>
      </c>
      <c r="AM171" s="217">
        <f t="shared" si="774"/>
        <v>21056</v>
      </c>
      <c r="AN171" s="217">
        <f t="shared" si="774"/>
        <v>21130</v>
      </c>
      <c r="AO171" s="217">
        <f t="shared" si="774"/>
        <v>21160</v>
      </c>
      <c r="AP171" s="217">
        <f t="shared" si="774"/>
        <v>24722</v>
      </c>
      <c r="AQ171" s="525">
        <f>SUMIFS($D171:$AI171,$D$3:$AI$3, AQ$3,$D$2:$AI$2,4)</f>
        <v>25109.57369305567</v>
      </c>
      <c r="AR171" s="525">
        <f>SUMIFS($D171:$AI171,$D$3:$AI$3, AR$3,$D$2:$AI$2,4)</f>
        <v>25493.921632540641</v>
      </c>
      <c r="AS171" s="525">
        <f>(1+AS172)*AR171</f>
        <v>25833.164876773801</v>
      </c>
    </row>
    <row r="172" spans="2:45" s="244" customFormat="1" x14ac:dyDescent="0.2">
      <c r="B172" s="243" t="s">
        <v>266</v>
      </c>
      <c r="D172" s="245"/>
      <c r="E172" s="245"/>
      <c r="F172" s="245"/>
      <c r="G172" s="896"/>
      <c r="H172" s="246">
        <f t="shared" ref="H172" si="775">+H171/D171-1</f>
        <v>-3.6027539375648399E-2</v>
      </c>
      <c r="I172" s="246">
        <f t="shared" ref="I172" si="776">+I171/E171-1</f>
        <v>-3.5759478839574421E-2</v>
      </c>
      <c r="J172" s="246">
        <f t="shared" ref="J172" si="777">+J171/F171-1</f>
        <v>-7.3617860751575837E-3</v>
      </c>
      <c r="K172" s="878">
        <f t="shared" ref="K172" si="778">+K171/G171-1</f>
        <v>-6.9990412272291636E-3</v>
      </c>
      <c r="L172" s="246">
        <f t="shared" ref="L172" si="779">+L171/H171-1</f>
        <v>2.0692691517464112E-2</v>
      </c>
      <c r="M172" s="246">
        <f t="shared" ref="M172" si="780">+M171/I171-1</f>
        <v>1.7838048021775021E-2</v>
      </c>
      <c r="N172" s="246">
        <f t="shared" ref="N172" si="781">+N171/J171-1</f>
        <v>1.8274357731459023E-2</v>
      </c>
      <c r="O172" s="878">
        <f t="shared" ref="O172" si="782">+O171/K171-1</f>
        <v>1.6510572559621517E-2</v>
      </c>
      <c r="P172" s="246">
        <f t="shared" ref="P172" si="783">+P171/L171-1</f>
        <v>1.1694224778336926E-2</v>
      </c>
      <c r="Q172" s="246">
        <f t="shared" ref="Q172" si="784">+Q171/M171-1</f>
        <v>1.0648966142973171E-2</v>
      </c>
      <c r="R172" s="246">
        <f t="shared" ref="R172" si="785">+R171/N171-1</f>
        <v>8.1877469414957105E-3</v>
      </c>
      <c r="S172" s="878">
        <f t="shared" ref="S172" si="786">+S171/O171-1</f>
        <v>3.5144376899696184E-3</v>
      </c>
      <c r="T172" s="246">
        <f t="shared" ref="T172" si="787">+T171/P171-1</f>
        <v>-1.4685679094225135E-3</v>
      </c>
      <c r="U172" s="246">
        <f t="shared" ref="U172" si="788">+U171/Q171-1</f>
        <v>-1.1340011340010836E-3</v>
      </c>
      <c r="V172" s="246">
        <f t="shared" ref="V172" si="789">+V171/R171-1</f>
        <v>-5.6659898956512578E-4</v>
      </c>
      <c r="W172" s="878">
        <f t="shared" ref="W172" si="790">+W171/S171-1</f>
        <v>1.4197823000472454E-3</v>
      </c>
      <c r="X172" s="246">
        <f t="shared" ref="X172" si="791">+X171/T171-1</f>
        <v>-1.1860707847044516E-3</v>
      </c>
      <c r="Y172" s="246">
        <f t="shared" ref="Y172:AD172" si="792">+Y171/U171-1</f>
        <v>0.16783349101229894</v>
      </c>
      <c r="Z172" s="246">
        <f t="shared" si="792"/>
        <v>0.16606037700193688</v>
      </c>
      <c r="AA172" s="878">
        <f t="shared" si="792"/>
        <v>0.168336483931947</v>
      </c>
      <c r="AB172" s="246">
        <f t="shared" si="792"/>
        <v>0.17465444354723791</v>
      </c>
      <c r="AC172" s="246">
        <f t="shared" si="792"/>
        <v>2.1872974724561622E-3</v>
      </c>
      <c r="AD172" s="246">
        <f t="shared" si="792"/>
        <v>1.6692326391702483E-2</v>
      </c>
      <c r="AE172" s="1137">
        <f>+AE171/AA171-1</f>
        <v>1.567727906543448E-2</v>
      </c>
      <c r="AF172" s="552">
        <f t="shared" ref="AF172" si="793">+AF171/AB171-1</f>
        <v>1.1287318976281657E-2</v>
      </c>
      <c r="AG172" s="552">
        <f t="shared" ref="AG172" si="794">+AG171/AC171-1</f>
        <v>1.1287318976281879E-2</v>
      </c>
      <c r="AH172" s="552">
        <f t="shared" ref="AH172" si="795">+AH171/AD171-1</f>
        <v>1.3281522438951088E-2</v>
      </c>
      <c r="AI172" s="1137">
        <f>+AI171/AE171-1</f>
        <v>1.5306828550070817E-2</v>
      </c>
      <c r="AK172" s="246"/>
      <c r="AL172" s="246">
        <f t="shared" ref="AL172" si="796">+AL171/AK171-1</f>
        <v>-6.9990412272291636E-3</v>
      </c>
      <c r="AM172" s="246">
        <f t="shared" ref="AM172" si="797">+AM171/AL171-1</f>
        <v>1.6510572559621517E-2</v>
      </c>
      <c r="AN172" s="246">
        <f t="shared" ref="AN172" si="798">+AN171/AM171-1</f>
        <v>3.5144376899696184E-3</v>
      </c>
      <c r="AO172" s="246">
        <f t="shared" ref="AO172:AP172" si="799">+AO171/AN171-1</f>
        <v>1.4197823000472454E-3</v>
      </c>
      <c r="AP172" s="246">
        <f t="shared" si="799"/>
        <v>0.168336483931947</v>
      </c>
      <c r="AQ172" s="552">
        <f t="shared" ref="AQ172" si="800">+AQ171/AP171-1</f>
        <v>1.567727906543448E-2</v>
      </c>
      <c r="AR172" s="552">
        <f t="shared" ref="AR172" si="801">+AR171/AQ171-1</f>
        <v>1.5306828550070817E-2</v>
      </c>
      <c r="AS172" s="1145">
        <f>+AR172-0.2%</f>
        <v>1.3306828550070817E-2</v>
      </c>
    </row>
    <row r="173" spans="2:45" s="247" customFormat="1" x14ac:dyDescent="0.2">
      <c r="B173" s="243" t="s">
        <v>267</v>
      </c>
      <c r="D173" s="248"/>
      <c r="E173" s="248"/>
      <c r="F173" s="248"/>
      <c r="G173" s="897"/>
      <c r="H173" s="248"/>
      <c r="I173" s="248"/>
      <c r="J173" s="248"/>
      <c r="K173" s="897"/>
      <c r="L173" s="248"/>
      <c r="M173" s="248"/>
      <c r="N173" s="248"/>
      <c r="O173" s="897"/>
      <c r="P173" s="248"/>
      <c r="Q173" s="246">
        <f t="shared" ref="Q173:AD173" si="802">+Q171/P171-1</f>
        <v>2.6055237102657891E-3</v>
      </c>
      <c r="R173" s="246">
        <f t="shared" si="802"/>
        <v>7.0875070875064949E-4</v>
      </c>
      <c r="S173" s="878">
        <f t="shared" si="802"/>
        <v>-2.3136125407242636E-3</v>
      </c>
      <c r="T173" s="246">
        <f t="shared" si="802"/>
        <v>-2.4609559867486697E-3</v>
      </c>
      <c r="U173" s="246">
        <f t="shared" si="802"/>
        <v>2.9414555460669511E-3</v>
      </c>
      <c r="V173" s="246">
        <f t="shared" si="802"/>
        <v>1.2771996215705794E-3</v>
      </c>
      <c r="W173" s="878">
        <f t="shared" si="802"/>
        <v>-3.3070345348895636E-4</v>
      </c>
      <c r="X173" s="246">
        <f t="shared" si="802"/>
        <v>-5.0567107750472129E-3</v>
      </c>
      <c r="Y173" s="246">
        <f t="shared" si="802"/>
        <v>0.17265947845912688</v>
      </c>
      <c r="Z173" s="246">
        <f t="shared" si="802"/>
        <v>-2.4303305249517848E-4</v>
      </c>
      <c r="AA173" s="878">
        <f t="shared" si="802"/>
        <v>1.6206142127865864E-3</v>
      </c>
      <c r="AB173" s="246">
        <f t="shared" si="802"/>
        <v>3.2359841436768733E-4</v>
      </c>
      <c r="AC173" s="246">
        <f t="shared" si="802"/>
        <v>4.8524059846344336E-4</v>
      </c>
      <c r="AD173" s="246">
        <f t="shared" si="802"/>
        <v>1.4226820790558481E-2</v>
      </c>
      <c r="AE173" s="1144">
        <f>+AA173-0.1%</f>
        <v>6.2061421278658633E-4</v>
      </c>
      <c r="AF173" s="1145">
        <v>-4.0000000000000001E-3</v>
      </c>
      <c r="AG173" s="1145">
        <f>+AC173</f>
        <v>4.8524059846344336E-4</v>
      </c>
      <c r="AH173" s="1145">
        <f t="shared" ref="AH173" si="803">+AD173+0.2%</f>
        <v>1.6226820790558483E-2</v>
      </c>
      <c r="AI173" s="1144">
        <f>+AE173+0.2%</f>
        <v>2.6206142127865864E-3</v>
      </c>
      <c r="AQ173" s="1090"/>
      <c r="AR173" s="1090"/>
      <c r="AS173" s="1090"/>
    </row>
    <row r="174" spans="2:45" s="251" customFormat="1" x14ac:dyDescent="0.2">
      <c r="B174" s="254" t="s">
        <v>283</v>
      </c>
      <c r="D174" s="242"/>
      <c r="E174" s="242"/>
      <c r="F174" s="242"/>
      <c r="G174" s="890"/>
      <c r="H174" s="262"/>
      <c r="I174" s="262"/>
      <c r="J174" s="262"/>
      <c r="K174" s="869"/>
      <c r="L174" s="262"/>
      <c r="M174" s="262"/>
      <c r="N174" s="262"/>
      <c r="O174" s="869"/>
      <c r="P174" s="262">
        <f t="shared" ref="P174:AI174" si="804">+P171/P145</f>
        <v>0.99957382327871958</v>
      </c>
      <c r="Q174" s="262">
        <f t="shared" si="804"/>
        <v>0.99660953098511962</v>
      </c>
      <c r="R174" s="262">
        <f t="shared" si="804"/>
        <v>0.99240897802352279</v>
      </c>
      <c r="S174" s="869">
        <f t="shared" si="804"/>
        <v>0.98895441355424507</v>
      </c>
      <c r="T174" s="262">
        <f t="shared" si="804"/>
        <v>0.98532161555721764</v>
      </c>
      <c r="U174" s="262">
        <f t="shared" si="804"/>
        <v>0.98252463283138125</v>
      </c>
      <c r="V174" s="262">
        <f t="shared" si="804"/>
        <v>0.98018059736050012</v>
      </c>
      <c r="W174" s="869">
        <f t="shared" si="804"/>
        <v>0.97745750184774571</v>
      </c>
      <c r="X174" s="262">
        <f t="shared" si="804"/>
        <v>0.97467592592592589</v>
      </c>
      <c r="Y174" s="262">
        <f t="shared" si="804"/>
        <v>0.97646640034805998</v>
      </c>
      <c r="Z174" s="262">
        <f t="shared" si="804"/>
        <v>0.9753032757735014</v>
      </c>
      <c r="AA174" s="869">
        <f t="shared" si="804"/>
        <v>0.9729240456513184</v>
      </c>
      <c r="AB174" s="262">
        <f t="shared" si="804"/>
        <v>0.97151836574346884</v>
      </c>
      <c r="AC174" s="262">
        <f t="shared" si="804"/>
        <v>0.97050286341884362</v>
      </c>
      <c r="AD174" s="262">
        <f t="shared" si="804"/>
        <v>0.96940431121069304</v>
      </c>
      <c r="AE174" s="1146">
        <f t="shared" si="804"/>
        <v>0.96703351055884956</v>
      </c>
      <c r="AF174" s="1147">
        <f t="shared" si="804"/>
        <v>0.9656023553105888</v>
      </c>
      <c r="AG174" s="1147">
        <f t="shared" si="804"/>
        <v>0.96481433462169963</v>
      </c>
      <c r="AH174" s="1147">
        <f t="shared" si="804"/>
        <v>0.96401444495961031</v>
      </c>
      <c r="AI174" s="1146">
        <f t="shared" si="804"/>
        <v>0.9617645067802798</v>
      </c>
      <c r="AK174" s="262">
        <f t="shared" ref="AK174:AS174" si="805">+AK171/AK145</f>
        <v>1</v>
      </c>
      <c r="AL174" s="262">
        <f t="shared" si="805"/>
        <v>1</v>
      </c>
      <c r="AM174" s="262">
        <f t="shared" si="805"/>
        <v>1</v>
      </c>
      <c r="AN174" s="262">
        <f t="shared" si="805"/>
        <v>0.98895441355424507</v>
      </c>
      <c r="AO174" s="262">
        <f t="shared" si="805"/>
        <v>0.97745750184774571</v>
      </c>
      <c r="AP174" s="262">
        <f t="shared" si="805"/>
        <v>0.9729240456513184</v>
      </c>
      <c r="AQ174" s="1147">
        <f t="shared" si="805"/>
        <v>0.96703351055884956</v>
      </c>
      <c r="AR174" s="1147">
        <f t="shared" si="805"/>
        <v>0.9617645067802798</v>
      </c>
      <c r="AS174" s="1147">
        <f t="shared" si="805"/>
        <v>0.95704363198941433</v>
      </c>
    </row>
    <row r="175" spans="2:45" s="244" customFormat="1" x14ac:dyDescent="0.2">
      <c r="B175" s="254" t="s">
        <v>279</v>
      </c>
      <c r="D175" s="245"/>
      <c r="E175" s="245"/>
      <c r="F175" s="245"/>
      <c r="G175" s="896"/>
      <c r="H175" s="246"/>
      <c r="I175" s="246"/>
      <c r="J175" s="246"/>
      <c r="K175" s="878"/>
      <c r="L175" s="246"/>
      <c r="M175" s="246"/>
      <c r="N175" s="246"/>
      <c r="O175" s="878"/>
      <c r="P175" s="246"/>
      <c r="Q175" s="163">
        <f t="shared" ref="Q175:AD175" si="806">+Q150</f>
        <v>28</v>
      </c>
      <c r="R175" s="163">
        <f t="shared" si="806"/>
        <v>0</v>
      </c>
      <c r="S175" s="865">
        <f t="shared" si="806"/>
        <v>0</v>
      </c>
      <c r="T175" s="163">
        <f t="shared" si="806"/>
        <v>0</v>
      </c>
      <c r="U175" s="163">
        <f t="shared" si="806"/>
        <v>0</v>
      </c>
      <c r="V175" s="163">
        <f t="shared" si="806"/>
        <v>0</v>
      </c>
      <c r="W175" s="865">
        <f t="shared" si="806"/>
        <v>0</v>
      </c>
      <c r="X175" s="163">
        <f t="shared" si="806"/>
        <v>0</v>
      </c>
      <c r="Y175" s="163">
        <f t="shared" si="806"/>
        <v>-3504</v>
      </c>
      <c r="Z175" s="163">
        <f t="shared" si="806"/>
        <v>0</v>
      </c>
      <c r="AA175" s="865">
        <f t="shared" si="806"/>
        <v>0</v>
      </c>
      <c r="AB175" s="163">
        <f t="shared" si="806"/>
        <v>0</v>
      </c>
      <c r="AC175" s="163">
        <f t="shared" si="806"/>
        <v>0</v>
      </c>
      <c r="AD175" s="163">
        <f t="shared" si="806"/>
        <v>-349</v>
      </c>
      <c r="AE175" s="1137"/>
      <c r="AF175" s="552"/>
      <c r="AG175" s="552"/>
      <c r="AH175" s="552"/>
      <c r="AI175" s="1137"/>
      <c r="AK175" s="163">
        <f t="shared" ref="AK175:AP176" si="807">SUMIFS($D175:$AI175,$D$3:$AI$3, AK$3)</f>
        <v>0</v>
      </c>
      <c r="AL175" s="163">
        <f t="shared" si="807"/>
        <v>0</v>
      </c>
      <c r="AM175" s="163">
        <f t="shared" si="807"/>
        <v>0</v>
      </c>
      <c r="AN175" s="163">
        <f t="shared" si="807"/>
        <v>28</v>
      </c>
      <c r="AO175" s="163">
        <f t="shared" si="807"/>
        <v>0</v>
      </c>
      <c r="AP175" s="163">
        <f t="shared" si="807"/>
        <v>-3504</v>
      </c>
      <c r="AQ175" s="1169"/>
      <c r="AR175" s="1169"/>
      <c r="AS175" s="1169"/>
    </row>
    <row r="176" spans="2:45" x14ac:dyDescent="0.2">
      <c r="B176" s="2" t="s">
        <v>280</v>
      </c>
      <c r="G176" s="595"/>
      <c r="K176" s="595"/>
      <c r="O176" s="595"/>
      <c r="Q176" s="5">
        <f t="shared" ref="Q176:X176" si="808">+Q171-P171+Q175</f>
        <v>83</v>
      </c>
      <c r="R176" s="5">
        <f t="shared" si="808"/>
        <v>15</v>
      </c>
      <c r="S176" s="871">
        <f t="shared" si="808"/>
        <v>-49</v>
      </c>
      <c r="T176" s="5">
        <f t="shared" si="808"/>
        <v>-52</v>
      </c>
      <c r="U176" s="5">
        <f t="shared" si="808"/>
        <v>62</v>
      </c>
      <c r="V176" s="5">
        <f t="shared" si="808"/>
        <v>27</v>
      </c>
      <c r="W176" s="871">
        <f t="shared" si="808"/>
        <v>-7</v>
      </c>
      <c r="X176" s="5">
        <f t="shared" si="808"/>
        <v>-107</v>
      </c>
      <c r="Y176" s="5">
        <f t="shared" ref="Y176:AD176" si="809">+Y171-X171+Y175</f>
        <v>131</v>
      </c>
      <c r="Z176" s="5">
        <f t="shared" si="809"/>
        <v>-6</v>
      </c>
      <c r="AA176" s="871">
        <f t="shared" si="809"/>
        <v>40</v>
      </c>
      <c r="AB176" s="5">
        <f t="shared" si="809"/>
        <v>8</v>
      </c>
      <c r="AC176" s="5">
        <f t="shared" si="809"/>
        <v>12</v>
      </c>
      <c r="AD176" s="5">
        <f t="shared" si="809"/>
        <v>3</v>
      </c>
      <c r="AE176" s="921">
        <f>+AE171-AD171+AE175</f>
        <v>15.573693055670446</v>
      </c>
      <c r="AF176" s="379">
        <f>+AF171-AE171+AF175</f>
        <v>-100.43829477222243</v>
      </c>
      <c r="AG176" s="379">
        <f t="shared" ref="AG176:AH176" si="810">+AG171-AF171+AG175</f>
        <v>12.135447827717144</v>
      </c>
      <c r="AH176" s="379">
        <f t="shared" si="810"/>
        <v>406.0156779718709</v>
      </c>
      <c r="AI176" s="921">
        <f>+AI171-AH171+AI175</f>
        <v>66.635108457605384</v>
      </c>
      <c r="AK176" s="163">
        <f t="shared" si="807"/>
        <v>0</v>
      </c>
      <c r="AL176" s="163">
        <f t="shared" si="807"/>
        <v>0</v>
      </c>
      <c r="AM176" s="163">
        <f t="shared" si="807"/>
        <v>0</v>
      </c>
      <c r="AN176" s="163">
        <f t="shared" si="807"/>
        <v>49</v>
      </c>
      <c r="AO176" s="163">
        <f t="shared" si="807"/>
        <v>30</v>
      </c>
      <c r="AP176" s="163">
        <f t="shared" si="807"/>
        <v>58</v>
      </c>
      <c r="AQ176" s="554">
        <f>SUMIFS($D176:$AI176,$D$3:$AI$3, AQ$3)</f>
        <v>38.573693055670446</v>
      </c>
      <c r="AR176" s="554">
        <f>SUMIFS($D176:$AI176,$D$3:$AI$3, AR$3)</f>
        <v>384.34793948497099</v>
      </c>
      <c r="AS176" s="379">
        <f>+AS171-AR171+AS175</f>
        <v>339.2432442331592</v>
      </c>
    </row>
    <row r="177" spans="1:45" x14ac:dyDescent="0.2">
      <c r="G177" s="595"/>
      <c r="K177" s="595"/>
      <c r="O177" s="595"/>
      <c r="S177" s="595"/>
      <c r="W177" s="595"/>
      <c r="AA177" s="595"/>
      <c r="AE177" s="913"/>
      <c r="AF177" s="370"/>
      <c r="AG177" s="370"/>
      <c r="AH177" s="370"/>
      <c r="AI177" s="913"/>
      <c r="AQ177" s="370"/>
      <c r="AR177" s="370"/>
      <c r="AS177" s="370"/>
    </row>
    <row r="178" spans="1:45" x14ac:dyDescent="0.2">
      <c r="B178" s="3" t="s">
        <v>282</v>
      </c>
      <c r="D178" s="203">
        <f>+Metrics!L65</f>
        <v>37.65</v>
      </c>
      <c r="E178" s="203">
        <f>+Metrics!M65</f>
        <v>37.46</v>
      </c>
      <c r="F178" s="203">
        <f>+Metrics!N65</f>
        <v>38.159999999999997</v>
      </c>
      <c r="G178" s="891">
        <f>+Metrics!O65</f>
        <v>38.54</v>
      </c>
      <c r="H178" s="203">
        <f>+Metrics!P65</f>
        <v>38.11</v>
      </c>
      <c r="I178" s="203">
        <f>+Metrics!Q65</f>
        <v>37.799999999999997</v>
      </c>
      <c r="J178" s="203">
        <f>+Metrics!R65</f>
        <v>38.49</v>
      </c>
      <c r="K178" s="891">
        <f>+Metrics!S65</f>
        <v>38.08</v>
      </c>
      <c r="L178" s="203">
        <f>+Metrics!T65</f>
        <v>37.81</v>
      </c>
      <c r="M178" s="203">
        <f>+Metrics!U65</f>
        <v>38.53</v>
      </c>
      <c r="N178" s="203">
        <f>+Metrics!V65</f>
        <v>39.49</v>
      </c>
      <c r="O178" s="891">
        <f>+Metrics!W65</f>
        <v>39.32</v>
      </c>
      <c r="P178" s="203">
        <f>+Metrics!X65</f>
        <v>39.19</v>
      </c>
      <c r="Q178" s="203">
        <f>+Metrics!Y65</f>
        <v>38.71</v>
      </c>
      <c r="R178" s="203">
        <f>+Metrics!Z65</f>
        <v>38.86</v>
      </c>
      <c r="S178" s="891">
        <f>+Metrics!AA65</f>
        <v>38.29</v>
      </c>
      <c r="T178" s="203">
        <f>+Metrics!AB65</f>
        <v>37.979999999999997</v>
      </c>
      <c r="U178" s="203">
        <f>+Metrics!AC65</f>
        <v>37.979999999999997</v>
      </c>
      <c r="V178" s="203">
        <f>+Metrics!AD65</f>
        <v>38.18</v>
      </c>
      <c r="W178" s="891">
        <f>+Metrics!AE65</f>
        <v>37.549999999999997</v>
      </c>
      <c r="X178" s="203">
        <f>+Metrics!AF65</f>
        <v>37.18</v>
      </c>
      <c r="Y178" s="203">
        <f>+Metrics!AG65</f>
        <v>35.94</v>
      </c>
      <c r="Z178" s="203">
        <f>+Metrics!AH65</f>
        <v>35.81</v>
      </c>
      <c r="AA178" s="891">
        <f>+Metrics!AI65</f>
        <v>35.49</v>
      </c>
      <c r="AB178" s="203">
        <f>+Metrics!AJ65</f>
        <v>34.67</v>
      </c>
      <c r="AC178" s="203">
        <f>+Metrics!AK65</f>
        <v>34.630000000000003</v>
      </c>
      <c r="AD178" s="203">
        <f>+Metrics!AL65</f>
        <v>33.93</v>
      </c>
      <c r="AE178" s="1148">
        <f>+AD178*(1+AE180)</f>
        <v>33.476961769497926</v>
      </c>
      <c r="AF178" s="1149">
        <f>+AE178*(1+AF180)</f>
        <v>32.870858028021708</v>
      </c>
      <c r="AG178" s="1149">
        <f t="shared" ref="AG178:AI178" si="811">+AF178*(1+AG180)</f>
        <v>32.99728805161665</v>
      </c>
      <c r="AH178" s="1149">
        <f t="shared" si="811"/>
        <v>32.49527762106527</v>
      </c>
      <c r="AI178" s="1148">
        <f t="shared" si="811"/>
        <v>32.223872397820138</v>
      </c>
      <c r="AK178" s="203">
        <f>+Metrics!E65</f>
        <v>37.950000000000003</v>
      </c>
      <c r="AL178" s="203">
        <f>+Metrics!F65</f>
        <v>38.119999999999997</v>
      </c>
      <c r="AM178" s="203">
        <f>+Metrics!G65</f>
        <v>38.79</v>
      </c>
      <c r="AN178" s="203">
        <f>+Metrics!H65</f>
        <v>38.76</v>
      </c>
      <c r="AO178" s="203">
        <f>+Metrics!I65</f>
        <v>37.92</v>
      </c>
      <c r="AP178" s="203">
        <f>+Metrics!J65</f>
        <v>36.06</v>
      </c>
      <c r="AQ178" s="1176">
        <f>AQ141*1000/AVERAGE(AP145:AQ145)/12</f>
        <v>34.110732519861038</v>
      </c>
      <c r="AR178" s="1176">
        <f>AR141*1000/AVERAGE(AQ145:AR145)/12</f>
        <v>32.489087111666116</v>
      </c>
      <c r="AS178" s="1176">
        <f>+(1+AS179)*AR178</f>
        <v>30.944535733286838</v>
      </c>
    </row>
    <row r="179" spans="1:45" s="244" customFormat="1" x14ac:dyDescent="0.2">
      <c r="B179" s="243" t="s">
        <v>266</v>
      </c>
      <c r="D179" s="245"/>
      <c r="E179" s="245"/>
      <c r="F179" s="245"/>
      <c r="G179" s="896"/>
      <c r="H179" s="246">
        <f t="shared" ref="H179" si="812">+H178/D178-1</f>
        <v>1.2217795484727789E-2</v>
      </c>
      <c r="I179" s="246">
        <f t="shared" ref="I179" si="813">+I178/E178-1</f>
        <v>9.0763481046447492E-3</v>
      </c>
      <c r="J179" s="246">
        <f t="shared" ref="J179" si="814">+J178/F178-1</f>
        <v>8.6477987421385016E-3</v>
      </c>
      <c r="K179" s="878">
        <f t="shared" ref="K179" si="815">+K178/G178-1</f>
        <v>-1.1935651271406389E-2</v>
      </c>
      <c r="L179" s="246">
        <f t="shared" ref="L179" si="816">+L178/H178-1</f>
        <v>-7.8719496195223115E-3</v>
      </c>
      <c r="M179" s="246">
        <f t="shared" ref="M179" si="817">+M178/I178-1</f>
        <v>1.9312169312169392E-2</v>
      </c>
      <c r="N179" s="246">
        <f t="shared" ref="N179" si="818">+N178/J178-1</f>
        <v>2.5980774227071901E-2</v>
      </c>
      <c r="O179" s="878">
        <f t="shared" ref="O179" si="819">+O178/K178-1</f>
        <v>3.256302521008414E-2</v>
      </c>
      <c r="P179" s="246">
        <f t="shared" ref="P179" si="820">+P178/L178-1</f>
        <v>3.6498280878074496E-2</v>
      </c>
      <c r="Q179" s="246">
        <f t="shared" ref="Q179" si="821">+Q178/M178-1</f>
        <v>4.6716844017649084E-3</v>
      </c>
      <c r="R179" s="246">
        <f t="shared" ref="R179" si="822">+R178/N178-1</f>
        <v>-1.5953405925550834E-2</v>
      </c>
      <c r="S179" s="878">
        <f t="shared" ref="S179" si="823">+S178/O178-1</f>
        <v>-2.6195320447609416E-2</v>
      </c>
      <c r="T179" s="246">
        <f t="shared" ref="T179" si="824">+T178/P178-1</f>
        <v>-3.0875223271242702E-2</v>
      </c>
      <c r="U179" s="246">
        <f t="shared" ref="U179" si="825">+U178/Q178-1</f>
        <v>-1.8858176181865249E-2</v>
      </c>
      <c r="V179" s="246">
        <f t="shared" ref="V179" si="826">+V178/R178-1</f>
        <v>-1.749871332990216E-2</v>
      </c>
      <c r="W179" s="878">
        <f t="shared" ref="W179" si="827">+W178/S178-1</f>
        <v>-1.932619482893716E-2</v>
      </c>
      <c r="X179" s="246">
        <f t="shared" ref="X179" si="828">+X178/T178-1</f>
        <v>-2.1063717746182098E-2</v>
      </c>
      <c r="Y179" s="246">
        <f t="shared" ref="Y179:AD179" si="829">+Y178/U178-1</f>
        <v>-5.3712480252764649E-2</v>
      </c>
      <c r="Z179" s="246">
        <f t="shared" si="829"/>
        <v>-6.2074384494499646E-2</v>
      </c>
      <c r="AA179" s="878">
        <f t="shared" si="829"/>
        <v>-5.486018641810908E-2</v>
      </c>
      <c r="AB179" s="246">
        <f t="shared" si="829"/>
        <v>-6.7509413663259799E-2</v>
      </c>
      <c r="AC179" s="246">
        <f t="shared" si="829"/>
        <v>-3.6449638286032093E-2</v>
      </c>
      <c r="AD179" s="246">
        <f t="shared" si="829"/>
        <v>-5.2499301870985837E-2</v>
      </c>
      <c r="AE179" s="1137">
        <f>+AE178/AA178-1</f>
        <v>-5.6721280093042448E-2</v>
      </c>
      <c r="AF179" s="552">
        <f t="shared" ref="AF179" si="830">+AF178/AB178-1</f>
        <v>-5.1893336370876675E-2</v>
      </c>
      <c r="AG179" s="552">
        <f t="shared" ref="AG179" si="831">+AG178/AC178-1</f>
        <v>-4.7147327415054896E-2</v>
      </c>
      <c r="AH179" s="552">
        <f t="shared" ref="AH179" si="832">+AH178/AD178-1</f>
        <v>-4.2284773914963991E-2</v>
      </c>
      <c r="AI179" s="1137">
        <f>+AI178/AE178-1</f>
        <v>-3.743139476950752E-2</v>
      </c>
      <c r="AK179" s="246"/>
      <c r="AL179" s="246">
        <f t="shared" ref="AL179" si="833">+AL178/AK178-1</f>
        <v>4.479578392621697E-3</v>
      </c>
      <c r="AM179" s="246">
        <f t="shared" ref="AM179" si="834">+AM178/AL178-1</f>
        <v>1.7576075550892023E-2</v>
      </c>
      <c r="AN179" s="246">
        <f t="shared" ref="AN179" si="835">+AN178/AM178-1</f>
        <v>-7.7339520494978942E-4</v>
      </c>
      <c r="AO179" s="246">
        <f t="shared" ref="AO179:AP179" si="836">+AO178/AN178-1</f>
        <v>-2.1671826625386914E-2</v>
      </c>
      <c r="AP179" s="246">
        <f t="shared" si="836"/>
        <v>-4.9050632911392333E-2</v>
      </c>
      <c r="AQ179" s="552">
        <f t="shared" ref="AQ179" si="837">+AQ178/AP178-1</f>
        <v>-5.4056225184108797E-2</v>
      </c>
      <c r="AR179" s="552">
        <f t="shared" ref="AR179" si="838">+AR178/AQ178-1</f>
        <v>-4.7540621042093334E-2</v>
      </c>
      <c r="AS179" s="1145">
        <f t="shared" ref="AS179" si="839">+AR179</f>
        <v>-4.7540621042093334E-2</v>
      </c>
    </row>
    <row r="180" spans="1:45" s="247" customFormat="1" x14ac:dyDescent="0.2">
      <c r="B180" s="243" t="s">
        <v>267</v>
      </c>
      <c r="D180" s="248"/>
      <c r="E180" s="248"/>
      <c r="F180" s="248"/>
      <c r="G180" s="897"/>
      <c r="H180" s="248"/>
      <c r="I180" s="248"/>
      <c r="J180" s="248"/>
      <c r="K180" s="897"/>
      <c r="L180" s="248"/>
      <c r="M180" s="248"/>
      <c r="N180" s="248"/>
      <c r="O180" s="897"/>
      <c r="P180" s="248"/>
      <c r="Q180" s="246">
        <f t="shared" ref="Q180:AD180" si="840">+Q178/P178-1</f>
        <v>-1.2248022454707796E-2</v>
      </c>
      <c r="R180" s="246">
        <f t="shared" si="840"/>
        <v>3.8749677086022949E-3</v>
      </c>
      <c r="S180" s="878">
        <f t="shared" si="840"/>
        <v>-1.4668039114770992E-2</v>
      </c>
      <c r="T180" s="246">
        <f t="shared" si="840"/>
        <v>-8.0961086445547892E-3</v>
      </c>
      <c r="U180" s="246">
        <f t="shared" si="840"/>
        <v>0</v>
      </c>
      <c r="V180" s="246">
        <f t="shared" si="840"/>
        <v>5.26592943654558E-3</v>
      </c>
      <c r="W180" s="878">
        <f t="shared" si="840"/>
        <v>-1.6500785751702551E-2</v>
      </c>
      <c r="X180" s="246">
        <f t="shared" si="840"/>
        <v>-9.8535286284953116E-3</v>
      </c>
      <c r="Y180" s="246">
        <f t="shared" si="840"/>
        <v>-3.3351264120494939E-2</v>
      </c>
      <c r="Z180" s="246">
        <f t="shared" si="840"/>
        <v>-3.6171396772397557E-3</v>
      </c>
      <c r="AA180" s="878">
        <f t="shared" si="840"/>
        <v>-8.9360513822954735E-3</v>
      </c>
      <c r="AB180" s="246">
        <f t="shared" si="840"/>
        <v>-2.3105100028177006E-2</v>
      </c>
      <c r="AC180" s="246">
        <f t="shared" si="840"/>
        <v>-1.1537352177675153E-3</v>
      </c>
      <c r="AD180" s="246">
        <f t="shared" si="840"/>
        <v>-2.0213687554143878E-2</v>
      </c>
      <c r="AE180" s="1151">
        <f>AVERAGE(AA180:AD180)</f>
        <v>-1.3352143545595968E-2</v>
      </c>
      <c r="AF180" s="1150">
        <f>+AB180+0.5%</f>
        <v>-1.8105100028177005E-2</v>
      </c>
      <c r="AG180" s="1150">
        <f t="shared" ref="AG180:AH180" si="841">+AC180+0.5%</f>
        <v>3.8462647822324848E-3</v>
      </c>
      <c r="AH180" s="1150">
        <f t="shared" si="841"/>
        <v>-1.5213687554143877E-2</v>
      </c>
      <c r="AI180" s="1151">
        <f>+AE180+0.5%</f>
        <v>-8.3521435455959671E-3</v>
      </c>
      <c r="AQ180" s="1090"/>
      <c r="AR180" s="1090"/>
      <c r="AS180" s="1090"/>
    </row>
    <row r="181" spans="1:45" x14ac:dyDescent="0.2">
      <c r="B181" s="2" t="s">
        <v>643</v>
      </c>
      <c r="G181" s="595"/>
      <c r="I181" s="161">
        <f t="shared" ref="I181:AD181" si="842">+I141*1000/I178/3</f>
        <v>20379.188712522049</v>
      </c>
      <c r="J181" s="161">
        <f t="shared" si="842"/>
        <v>20637.394994370832</v>
      </c>
      <c r="K181" s="640">
        <f t="shared" si="842"/>
        <v>20605.742296918768</v>
      </c>
      <c r="L181" s="161">
        <f t="shared" si="842"/>
        <v>20726.439213611917</v>
      </c>
      <c r="M181" s="161">
        <f t="shared" si="842"/>
        <v>20996.626005709837</v>
      </c>
      <c r="N181" s="161">
        <f t="shared" si="842"/>
        <v>20942.010635603951</v>
      </c>
      <c r="O181" s="640">
        <f t="shared" si="842"/>
        <v>20973.21125805358</v>
      </c>
      <c r="P181" s="161">
        <f t="shared" si="842"/>
        <v>20881.177171047038</v>
      </c>
      <c r="Q181" s="161">
        <f t="shared" si="842"/>
        <v>21260.656161198658</v>
      </c>
      <c r="R181" s="161">
        <f t="shared" si="842"/>
        <v>21307.256819351518</v>
      </c>
      <c r="S181" s="640">
        <f t="shared" si="842"/>
        <v>21319.752763994082</v>
      </c>
      <c r="T181" s="161">
        <f t="shared" si="842"/>
        <v>21212.91908021766</v>
      </c>
      <c r="U181" s="161">
        <f t="shared" si="842"/>
        <v>21449.885904862211</v>
      </c>
      <c r="V181" s="161">
        <f t="shared" si="842"/>
        <v>21590.710668762007</v>
      </c>
      <c r="W181" s="640">
        <f t="shared" si="842"/>
        <v>21597.869507323569</v>
      </c>
      <c r="X181" s="161">
        <f t="shared" si="842"/>
        <v>21543.840774610006</v>
      </c>
      <c r="Y181" s="161">
        <f t="shared" si="842"/>
        <v>24040.066777963275</v>
      </c>
      <c r="Z181" s="161">
        <f t="shared" si="842"/>
        <v>25281.578702410872</v>
      </c>
      <c r="AA181" s="640">
        <f t="shared" si="842"/>
        <v>25246.548323471401</v>
      </c>
      <c r="AB181" s="161">
        <f t="shared" si="842"/>
        <v>25411.018171329677</v>
      </c>
      <c r="AC181" s="161">
        <f t="shared" si="842"/>
        <v>25440.369621715276</v>
      </c>
      <c r="AD181" s="161">
        <f t="shared" si="842"/>
        <v>25788.387857353373</v>
      </c>
      <c r="AE181" s="921">
        <f>+AVERAGE(AD145:AE145)</f>
        <v>25925.783646527838</v>
      </c>
      <c r="AF181" s="379">
        <f>+AVERAGE(AE145:AF145)</f>
        <v>25932.801457037</v>
      </c>
      <c r="AG181" s="379">
        <f>+AVERAGE(AF145:AG145)</f>
        <v>25916.901670045685</v>
      </c>
      <c r="AH181" s="379">
        <f>+AVERAGE(AG145:AH145)</f>
        <v>26155.112862240087</v>
      </c>
      <c r="AI181" s="921">
        <f>+AVERAGE(AH145:AI145)</f>
        <v>26441.95247285283</v>
      </c>
      <c r="AK181" s="161">
        <f t="shared" ref="AK181:AR181" si="843">+AK141*1000/AK178/12</f>
        <v>20955.20421607378</v>
      </c>
      <c r="AL181" s="161">
        <f t="shared" si="843"/>
        <v>20595.05071703393</v>
      </c>
      <c r="AM181" s="161">
        <f t="shared" si="843"/>
        <v>20909.59869382143</v>
      </c>
      <c r="AN181" s="161">
        <f t="shared" si="843"/>
        <v>21192.380460956312</v>
      </c>
      <c r="AO181" s="161">
        <f t="shared" si="843"/>
        <v>21464.047116736987</v>
      </c>
      <c r="AP181" s="161">
        <f t="shared" si="843"/>
        <v>24031.706415233868</v>
      </c>
      <c r="AQ181" s="524">
        <f t="shared" si="843"/>
        <v>25687.783646527841</v>
      </c>
      <c r="AR181" s="524">
        <f t="shared" si="843"/>
        <v>26236.507116677098</v>
      </c>
      <c r="AS181" s="524">
        <f>+AVERAGE(AR145:AS145)</f>
        <v>26750.059485192898</v>
      </c>
    </row>
    <row r="182" spans="1:45" x14ac:dyDescent="0.2">
      <c r="G182" s="595"/>
      <c r="K182" s="595"/>
      <c r="O182" s="595"/>
      <c r="S182" s="595"/>
      <c r="W182" s="595"/>
      <c r="AA182" s="595"/>
      <c r="AE182" s="913"/>
      <c r="AF182" s="370"/>
      <c r="AG182" s="370"/>
      <c r="AH182" s="370"/>
      <c r="AI182" s="913"/>
      <c r="AQ182" s="370"/>
      <c r="AR182" s="370"/>
      <c r="AS182" s="370"/>
    </row>
    <row r="183" spans="1:45" x14ac:dyDescent="0.2">
      <c r="A183" s="2" t="s">
        <v>238</v>
      </c>
      <c r="B183" s="236" t="s">
        <v>291</v>
      </c>
      <c r="C183" s="172"/>
      <c r="D183" s="172"/>
      <c r="E183" s="172"/>
      <c r="F183" s="172"/>
      <c r="G183" s="864"/>
      <c r="H183" s="172"/>
      <c r="I183" s="172"/>
      <c r="J183" s="172"/>
      <c r="K183" s="864"/>
      <c r="L183" s="172"/>
      <c r="M183" s="172"/>
      <c r="N183" s="172"/>
      <c r="O183" s="864"/>
      <c r="P183" s="172"/>
      <c r="Q183" s="172"/>
      <c r="R183" s="172"/>
      <c r="S183" s="864"/>
      <c r="T183" s="172"/>
      <c r="U183" s="172"/>
      <c r="V183" s="172"/>
      <c r="W183" s="864"/>
      <c r="X183" s="172"/>
      <c r="Y183" s="172"/>
      <c r="Z183" s="172"/>
      <c r="AA183" s="864"/>
      <c r="AB183" s="172"/>
      <c r="AC183" s="172"/>
      <c r="AD183" s="172"/>
      <c r="AE183" s="864"/>
      <c r="AF183" s="172"/>
      <c r="AG183" s="172"/>
      <c r="AH183" s="172"/>
      <c r="AI183" s="864"/>
      <c r="AK183" s="172"/>
      <c r="AL183" s="172"/>
      <c r="AM183" s="172"/>
      <c r="AN183" s="172"/>
      <c r="AO183" s="172"/>
      <c r="AP183" s="172"/>
      <c r="AQ183" s="1290"/>
      <c r="AR183" s="1292"/>
      <c r="AS183" s="172"/>
    </row>
    <row r="184" spans="1:45" s="251" customFormat="1" x14ac:dyDescent="0.2">
      <c r="B184" s="255" t="s">
        <v>13</v>
      </c>
      <c r="D184" s="277">
        <f>+'3FS'!K8</f>
        <v>0</v>
      </c>
      <c r="E184" s="277">
        <f>+'3FS'!L8</f>
        <v>0</v>
      </c>
      <c r="F184" s="277">
        <f>+'3FS'!M8</f>
        <v>0</v>
      </c>
      <c r="G184" s="895">
        <f>+'3FS'!N8</f>
        <v>0</v>
      </c>
      <c r="H184" s="277">
        <f>+'3FS'!O8</f>
        <v>0</v>
      </c>
      <c r="I184" s="277">
        <f>+'3FS'!P8</f>
        <v>960</v>
      </c>
      <c r="J184" s="277">
        <f>+'3FS'!Q8</f>
        <v>1547</v>
      </c>
      <c r="K184" s="895">
        <f>+'3FS'!R8</f>
        <v>1575</v>
      </c>
      <c r="L184" s="277">
        <f>+'3FS'!S8</f>
        <v>1538</v>
      </c>
      <c r="M184" s="277">
        <f>+'3FS'!T8</f>
        <v>1573</v>
      </c>
      <c r="N184" s="277">
        <f>+'3FS'!U8</f>
        <v>1437</v>
      </c>
      <c r="O184" s="895">
        <f>+'3FS'!V8</f>
        <v>1526</v>
      </c>
      <c r="P184" s="277">
        <f>+'3FS'!W8</f>
        <v>1472</v>
      </c>
      <c r="Q184" s="277">
        <f>+'3FS'!X8</f>
        <v>1402</v>
      </c>
      <c r="R184" s="277">
        <f>+'3FS'!Y8</f>
        <v>1329</v>
      </c>
      <c r="S184" s="895">
        <f>+'3FS'!Z8</f>
        <v>1344</v>
      </c>
      <c r="T184" s="277">
        <f>+'3FS'!AA8</f>
        <v>1267</v>
      </c>
      <c r="U184" s="277">
        <f>+'3FS'!AB8</f>
        <v>1224</v>
      </c>
      <c r="V184" s="277">
        <f>+'3FS'!AC8</f>
        <v>1153</v>
      </c>
      <c r="W184" s="895">
        <f>+'3FS'!AD8</f>
        <v>1138</v>
      </c>
      <c r="X184" s="277">
        <f>+'3FS'!AE8</f>
        <v>1062</v>
      </c>
      <c r="Y184" s="277">
        <f>+'3FS'!AF8</f>
        <v>938</v>
      </c>
      <c r="Z184" s="277">
        <f>+'3FS'!AG8</f>
        <v>701</v>
      </c>
      <c r="AA184" s="895">
        <f>+'3FS'!AH8</f>
        <v>738</v>
      </c>
      <c r="AB184" s="277">
        <f>+'3FS'!AI8</f>
        <v>688</v>
      </c>
      <c r="AC184" s="277">
        <f>+'3FS'!AJ8</f>
        <v>717</v>
      </c>
      <c r="AD184" s="277">
        <f>+'3FS'!AK8</f>
        <v>734</v>
      </c>
      <c r="AE184" s="901">
        <f>+(1+AE185)*AA184</f>
        <v>752.76</v>
      </c>
      <c r="AF184" s="554">
        <f t="shared" ref="AF184:AH184" si="844">+(1+AF185)*AB184</f>
        <v>694.88</v>
      </c>
      <c r="AG184" s="554">
        <f t="shared" si="844"/>
        <v>731.34</v>
      </c>
      <c r="AH184" s="554">
        <f t="shared" si="844"/>
        <v>756.02</v>
      </c>
      <c r="AI184" s="901">
        <f>+(1+AI185)*AE184</f>
        <v>782.87040000000002</v>
      </c>
      <c r="AK184" s="163"/>
      <c r="AL184" s="163">
        <f t="shared" ref="AL184:AR184" si="845">SUMIFS($D184:$AI184,$D$3:$AI$3, AL$3)</f>
        <v>4082</v>
      </c>
      <c r="AM184" s="163">
        <f t="shared" si="845"/>
        <v>6074</v>
      </c>
      <c r="AN184" s="163">
        <f t="shared" si="845"/>
        <v>5547</v>
      </c>
      <c r="AO184" s="163">
        <f t="shared" si="845"/>
        <v>4782</v>
      </c>
      <c r="AP184" s="163">
        <f t="shared" si="845"/>
        <v>3439</v>
      </c>
      <c r="AQ184" s="554">
        <f t="shared" si="845"/>
        <v>2891.76</v>
      </c>
      <c r="AR184" s="554">
        <f t="shared" si="845"/>
        <v>2965.1103999999996</v>
      </c>
      <c r="AS184" s="554">
        <f>(1+AS185)*AR184</f>
        <v>3069.9724599175579</v>
      </c>
    </row>
    <row r="185" spans="1:45" s="244" customFormat="1" x14ac:dyDescent="0.2">
      <c r="B185" s="243" t="s">
        <v>266</v>
      </c>
      <c r="D185" s="245"/>
      <c r="E185" s="245"/>
      <c r="F185" s="245"/>
      <c r="G185" s="896"/>
      <c r="H185" s="246" t="e">
        <f t="shared" ref="H185" si="846">+H184/D184-1</f>
        <v>#DIV/0!</v>
      </c>
      <c r="I185" s="246" t="e">
        <f t="shared" ref="I185" si="847">+I184/E184-1</f>
        <v>#DIV/0!</v>
      </c>
      <c r="J185" s="246" t="e">
        <f t="shared" ref="J185" si="848">+J184/F184-1</f>
        <v>#DIV/0!</v>
      </c>
      <c r="K185" s="878" t="e">
        <f t="shared" ref="K185" si="849">+K184/G184-1</f>
        <v>#DIV/0!</v>
      </c>
      <c r="L185" s="246" t="e">
        <f t="shared" ref="L185" si="850">+L184/H184-1</f>
        <v>#DIV/0!</v>
      </c>
      <c r="M185" s="246">
        <f t="shared" ref="M185" si="851">+M184/I184-1</f>
        <v>0.63854166666666656</v>
      </c>
      <c r="N185" s="246">
        <f t="shared" ref="N185" si="852">+N184/J184-1</f>
        <v>-7.1105365223012251E-2</v>
      </c>
      <c r="O185" s="878">
        <f t="shared" ref="O185" si="853">+O184/K184-1</f>
        <v>-3.1111111111111089E-2</v>
      </c>
      <c r="P185" s="246">
        <f t="shared" ref="P185" si="854">+P184/L184-1</f>
        <v>-4.2912873862158696E-2</v>
      </c>
      <c r="Q185" s="246">
        <f t="shared" ref="Q185" si="855">+Q184/M184-1</f>
        <v>-0.10870947234583594</v>
      </c>
      <c r="R185" s="246">
        <f t="shared" ref="R185" si="856">+R184/N184-1</f>
        <v>-7.5156576200417491E-2</v>
      </c>
      <c r="S185" s="878">
        <f t="shared" ref="S185" si="857">+S184/O184-1</f>
        <v>-0.11926605504587151</v>
      </c>
      <c r="T185" s="246">
        <f t="shared" ref="T185" si="858">+T184/P184-1</f>
        <v>-0.13926630434782605</v>
      </c>
      <c r="U185" s="246">
        <f t="shared" ref="U185" si="859">+U184/Q184-1</f>
        <v>-0.12696148359486448</v>
      </c>
      <c r="V185" s="246">
        <f t="shared" ref="V185" si="860">+V184/R184-1</f>
        <v>-0.13243039879608731</v>
      </c>
      <c r="W185" s="878">
        <f t="shared" ref="W185" si="861">+W184/S184-1</f>
        <v>-0.15327380952380953</v>
      </c>
      <c r="X185" s="246">
        <f t="shared" ref="X185" si="862">+X184/T184-1</f>
        <v>-0.1617995264404104</v>
      </c>
      <c r="Y185" s="246">
        <f t="shared" ref="Y185:AD185" si="863">+Y184/U184-1</f>
        <v>-0.2336601307189542</v>
      </c>
      <c r="Z185" s="246">
        <f t="shared" si="863"/>
        <v>-0.39202081526452737</v>
      </c>
      <c r="AA185" s="878">
        <f t="shared" si="863"/>
        <v>-0.35149384885764501</v>
      </c>
      <c r="AB185" s="246">
        <f t="shared" si="863"/>
        <v>-0.35216572504708099</v>
      </c>
      <c r="AC185" s="246">
        <f t="shared" si="863"/>
        <v>-0.23560767590618337</v>
      </c>
      <c r="AD185" s="246">
        <f t="shared" si="863"/>
        <v>4.707560627674745E-2</v>
      </c>
      <c r="AE185" s="1144">
        <v>0.02</v>
      </c>
      <c r="AF185" s="1145">
        <v>0.01</v>
      </c>
      <c r="AG185" s="1145">
        <f>+AF185+1%</f>
        <v>0.02</v>
      </c>
      <c r="AH185" s="1145">
        <f t="shared" ref="AH185:AI185" si="864">+AG185+1%</f>
        <v>0.03</v>
      </c>
      <c r="AI185" s="1144">
        <f t="shared" si="864"/>
        <v>0.04</v>
      </c>
      <c r="AK185" s="246"/>
      <c r="AL185" s="246" t="e">
        <f t="shared" ref="AL185" si="865">+AL184/AK184-1</f>
        <v>#DIV/0!</v>
      </c>
      <c r="AM185" s="246">
        <f t="shared" ref="AM185" si="866">+AM184/AL184-1</f>
        <v>0.48799608035276831</v>
      </c>
      <c r="AN185" s="246">
        <f t="shared" ref="AN185" si="867">+AN184/AM184-1</f>
        <v>-8.6763253210405011E-2</v>
      </c>
      <c r="AO185" s="246">
        <f t="shared" ref="AO185:AP185" si="868">+AO184/AN184-1</f>
        <v>-0.1379123850730124</v>
      </c>
      <c r="AP185" s="246">
        <f t="shared" si="868"/>
        <v>-0.28084483479715605</v>
      </c>
      <c r="AQ185" s="552">
        <f t="shared" ref="AQ185" si="869">+AQ184/AP184-1</f>
        <v>-0.15912765338761259</v>
      </c>
      <c r="AR185" s="552">
        <f t="shared" ref="AR185" si="870">+AR184/AQ184-1</f>
        <v>2.5365313857304672E-2</v>
      </c>
      <c r="AS185" s="1145">
        <f>+AR185+1%</f>
        <v>3.5365313857304674E-2</v>
      </c>
    </row>
    <row r="186" spans="1:45" s="247" customFormat="1" x14ac:dyDescent="0.2">
      <c r="B186" s="243" t="s">
        <v>267</v>
      </c>
      <c r="D186" s="248"/>
      <c r="E186" s="248"/>
      <c r="F186" s="248"/>
      <c r="G186" s="897"/>
      <c r="H186" s="248"/>
      <c r="I186" s="248"/>
      <c r="J186" s="248"/>
      <c r="K186" s="897"/>
      <c r="L186" s="246">
        <f t="shared" ref="L186:AI186" si="871">+L184/K184-1</f>
        <v>-2.3492063492063453E-2</v>
      </c>
      <c r="M186" s="246">
        <f t="shared" si="871"/>
        <v>2.2756827048114436E-2</v>
      </c>
      <c r="N186" s="246">
        <f t="shared" si="871"/>
        <v>-8.645899554990466E-2</v>
      </c>
      <c r="O186" s="878">
        <f t="shared" si="871"/>
        <v>6.1934585942936771E-2</v>
      </c>
      <c r="P186" s="246">
        <f t="shared" si="871"/>
        <v>-3.5386631716906924E-2</v>
      </c>
      <c r="Q186" s="246">
        <f t="shared" si="871"/>
        <v>-4.7554347826086918E-2</v>
      </c>
      <c r="R186" s="246">
        <f t="shared" si="871"/>
        <v>-5.2068473609129806E-2</v>
      </c>
      <c r="S186" s="878">
        <f t="shared" si="871"/>
        <v>1.1286681715575675E-2</v>
      </c>
      <c r="T186" s="246">
        <f t="shared" si="871"/>
        <v>-5.729166666666663E-2</v>
      </c>
      <c r="U186" s="246">
        <f t="shared" si="871"/>
        <v>-3.3938437253354325E-2</v>
      </c>
      <c r="V186" s="246">
        <f t="shared" si="871"/>
        <v>-5.8006535947712434E-2</v>
      </c>
      <c r="W186" s="878">
        <f t="shared" si="871"/>
        <v>-1.300954032957502E-2</v>
      </c>
      <c r="X186" s="246">
        <f t="shared" si="871"/>
        <v>-6.678383128295251E-2</v>
      </c>
      <c r="Y186" s="246">
        <f t="shared" si="871"/>
        <v>-0.1167608286252354</v>
      </c>
      <c r="Z186" s="246">
        <f t="shared" si="871"/>
        <v>-0.25266524520255862</v>
      </c>
      <c r="AA186" s="878">
        <f t="shared" si="871"/>
        <v>5.2781740370898778E-2</v>
      </c>
      <c r="AB186" s="246">
        <f t="shared" si="871"/>
        <v>-6.7750677506775103E-2</v>
      </c>
      <c r="AC186" s="246">
        <f t="shared" si="871"/>
        <v>4.2151162790697638E-2</v>
      </c>
      <c r="AD186" s="246">
        <f t="shared" si="871"/>
        <v>2.3709902370990132E-2</v>
      </c>
      <c r="AE186" s="1137">
        <f>+AE184/AD184-1</f>
        <v>2.5558583106267019E-2</v>
      </c>
      <c r="AF186" s="552">
        <f>+AF184/AE184-1</f>
        <v>-7.6890376746904687E-2</v>
      </c>
      <c r="AG186" s="552">
        <f t="shared" si="871"/>
        <v>5.2469491135159974E-2</v>
      </c>
      <c r="AH186" s="552">
        <f t="shared" si="871"/>
        <v>3.3746273962862672E-2</v>
      </c>
      <c r="AI186" s="1137">
        <f t="shared" si="871"/>
        <v>3.5515462553900701E-2</v>
      </c>
      <c r="AQ186" s="1090"/>
      <c r="AR186" s="1090"/>
      <c r="AS186" s="1090"/>
    </row>
    <row r="187" spans="1:45" s="251" customFormat="1" x14ac:dyDescent="0.2">
      <c r="B187" s="254"/>
      <c r="D187" s="241"/>
      <c r="E187" s="241"/>
      <c r="F187" s="241"/>
      <c r="G187" s="867"/>
      <c r="H187" s="241"/>
      <c r="I187" s="241"/>
      <c r="J187" s="241"/>
      <c r="K187" s="867"/>
      <c r="L187" s="241"/>
      <c r="M187" s="241"/>
      <c r="N187" s="241"/>
      <c r="O187" s="867"/>
      <c r="P187" s="241"/>
      <c r="Q187" s="241"/>
      <c r="R187" s="241"/>
      <c r="S187" s="867"/>
      <c r="T187" s="241"/>
      <c r="U187" s="241"/>
      <c r="V187" s="241"/>
      <c r="W187" s="867"/>
      <c r="X187" s="241"/>
      <c r="Y187" s="241"/>
      <c r="Z187" s="241"/>
      <c r="AA187" s="867"/>
      <c r="AB187" s="241"/>
      <c r="AC187" s="241"/>
      <c r="AD187" s="241"/>
      <c r="AE187" s="1138"/>
      <c r="AF187" s="1139"/>
      <c r="AG187" s="1139"/>
      <c r="AH187" s="1139"/>
      <c r="AI187" s="1138"/>
      <c r="AQ187" s="506"/>
      <c r="AR187" s="506"/>
      <c r="AS187" s="506"/>
    </row>
    <row r="188" spans="1:45" s="3" customFormat="1" x14ac:dyDescent="0.2">
      <c r="B188" s="3" t="s">
        <v>284</v>
      </c>
      <c r="D188" s="165">
        <f>+Metrics!L73</f>
        <v>2803</v>
      </c>
      <c r="E188" s="165">
        <f>+Metrics!M73</f>
        <v>2553</v>
      </c>
      <c r="F188" s="165">
        <f>+Metrics!N73</f>
        <v>2478</v>
      </c>
      <c r="G188" s="862">
        <f>+Metrics!O73</f>
        <v>3170</v>
      </c>
      <c r="H188" s="165">
        <f>+Metrics!P73</f>
        <v>3876</v>
      </c>
      <c r="I188" s="165">
        <f>+Metrics!Q73</f>
        <v>4269</v>
      </c>
      <c r="J188" s="165">
        <f>+Metrics!R73</f>
        <v>4953</v>
      </c>
      <c r="K188" s="862">
        <f>+Metrics!S73</f>
        <v>5973</v>
      </c>
      <c r="L188" s="165">
        <f>+Metrics!T73</f>
        <v>5346</v>
      </c>
      <c r="M188" s="165">
        <f>+Metrics!U73</f>
        <v>5215</v>
      </c>
      <c r="N188" s="165">
        <f>+Metrics!V73</f>
        <v>4660</v>
      </c>
      <c r="O188" s="862">
        <f>+Metrics!W73</f>
        <v>5506</v>
      </c>
      <c r="P188" s="165">
        <f>+Metrics!X73</f>
        <v>4694</v>
      </c>
      <c r="Q188" s="165">
        <f>+Metrics!Y73</f>
        <v>4130</v>
      </c>
      <c r="R188" s="165">
        <f>+Metrics!Z73</f>
        <v>3855</v>
      </c>
      <c r="S188" s="862">
        <f>+Metrics!AA73</f>
        <v>4451</v>
      </c>
      <c r="T188" s="165">
        <f>+Metrics!AB73</f>
        <v>3719</v>
      </c>
      <c r="U188" s="165">
        <f>+Metrics!AC73</f>
        <v>3169</v>
      </c>
      <c r="V188" s="165">
        <f>+Metrics!AD73</f>
        <v>3076</v>
      </c>
      <c r="W188" s="862">
        <f>+Metrics!AE73</f>
        <v>4174</v>
      </c>
      <c r="X188" s="165">
        <f>+Metrics!AF73</f>
        <v>3251</v>
      </c>
      <c r="Y188" s="165">
        <f>+Metrics!AG73</f>
        <v>3106</v>
      </c>
      <c r="Z188" s="165">
        <f>+Metrics!AH73</f>
        <v>3207</v>
      </c>
      <c r="AA188" s="862">
        <f>+Metrics!AI73</f>
        <v>4699</v>
      </c>
      <c r="AB188" s="165">
        <f>+Metrics!AJ73</f>
        <v>3704</v>
      </c>
      <c r="AC188" s="165">
        <f>+Metrics!AK73</f>
        <v>3439</v>
      </c>
      <c r="AD188" s="165">
        <f>+Metrics!AL73</f>
        <v>3465</v>
      </c>
      <c r="AE188" s="972">
        <f t="shared" ref="AE188:AI188" si="872">+AE190+AE192</f>
        <v>5051.1421293133808</v>
      </c>
      <c r="AF188" s="1136">
        <f t="shared" si="872"/>
        <v>3756.717907266308</v>
      </c>
      <c r="AG188" s="1136">
        <f t="shared" si="872"/>
        <v>3782.0806135501621</v>
      </c>
      <c r="AH188" s="1136">
        <f t="shared" si="872"/>
        <v>3696.9684334298386</v>
      </c>
      <c r="AI188" s="972">
        <f t="shared" si="872"/>
        <v>5317.7985434217626</v>
      </c>
      <c r="AK188" s="217"/>
      <c r="AL188" s="217">
        <f t="shared" ref="AL188:AS188" si="873">+AL190+AL192</f>
        <v>19071</v>
      </c>
      <c r="AM188" s="217">
        <f t="shared" si="873"/>
        <v>20727</v>
      </c>
      <c r="AN188" s="217">
        <f t="shared" si="873"/>
        <v>17130</v>
      </c>
      <c r="AO188" s="217">
        <f t="shared" si="873"/>
        <v>14138</v>
      </c>
      <c r="AP188" s="217">
        <f t="shared" ref="AP188" si="874">+AP190+AP192</f>
        <v>14263</v>
      </c>
      <c r="AQ188" s="1136">
        <f t="shared" si="873"/>
        <v>15659.142129313381</v>
      </c>
      <c r="AR188" s="1136">
        <f t="shared" si="873"/>
        <v>16553.565497668071</v>
      </c>
      <c r="AS188" s="1136">
        <f t="shared" si="873"/>
        <v>17077.990949143521</v>
      </c>
    </row>
    <row r="189" spans="1:45" s="244" customFormat="1" x14ac:dyDescent="0.2">
      <c r="B189" s="243" t="s">
        <v>266</v>
      </c>
      <c r="D189" s="245"/>
      <c r="E189" s="245"/>
      <c r="F189" s="245"/>
      <c r="G189" s="896"/>
      <c r="H189" s="246">
        <f t="shared" ref="H189" si="875">+H188/D188-1</f>
        <v>0.382804138423118</v>
      </c>
      <c r="I189" s="246">
        <f t="shared" ref="I189" si="876">+I188/E188-1</f>
        <v>0.67215041128084607</v>
      </c>
      <c r="J189" s="246">
        <f t="shared" ref="J189" si="877">+J188/F188-1</f>
        <v>0.99878934624697346</v>
      </c>
      <c r="K189" s="878">
        <f t="shared" ref="K189" si="878">+K188/G188-1</f>
        <v>0.88422712933753944</v>
      </c>
      <c r="L189" s="246">
        <f t="shared" ref="L189" si="879">+L188/H188-1</f>
        <v>0.37925696594427238</v>
      </c>
      <c r="M189" s="246">
        <f t="shared" ref="M189" si="880">+M188/I188-1</f>
        <v>0.22159756383227913</v>
      </c>
      <c r="N189" s="246">
        <f t="shared" ref="N189" si="881">+N188/J188-1</f>
        <v>-5.9156067030082804E-2</v>
      </c>
      <c r="O189" s="878">
        <f t="shared" ref="O189" si="882">+O188/K188-1</f>
        <v>-7.81851665829566E-2</v>
      </c>
      <c r="P189" s="246">
        <f t="shared" ref="P189" si="883">+P188/L188-1</f>
        <v>-0.1219603441825664</v>
      </c>
      <c r="Q189" s="246">
        <f t="shared" ref="Q189" si="884">+Q188/M188-1</f>
        <v>-0.20805369127516782</v>
      </c>
      <c r="R189" s="246">
        <f t="shared" ref="R189" si="885">+R188/N188-1</f>
        <v>-0.17274678111587982</v>
      </c>
      <c r="S189" s="878">
        <f t="shared" ref="S189" si="886">+S188/O188-1</f>
        <v>-0.19160915365056297</v>
      </c>
      <c r="T189" s="246">
        <f t="shared" ref="T189" si="887">+T188/P188-1</f>
        <v>-0.20771197273114617</v>
      </c>
      <c r="U189" s="246">
        <f t="shared" ref="U189" si="888">+U188/Q188-1</f>
        <v>-0.23268765133171909</v>
      </c>
      <c r="V189" s="246">
        <f t="shared" ref="V189" si="889">+V188/R188-1</f>
        <v>-0.20207522697795066</v>
      </c>
      <c r="W189" s="878">
        <f t="shared" ref="W189" si="890">+W188/S188-1</f>
        <v>-6.2233206021118814E-2</v>
      </c>
      <c r="X189" s="246">
        <f t="shared" ref="X189" si="891">+X188/T188-1</f>
        <v>-0.12584027964506583</v>
      </c>
      <c r="Y189" s="246">
        <f t="shared" ref="Y189:AD189" si="892">+Y188/U188-1</f>
        <v>-1.9880088355948233E-2</v>
      </c>
      <c r="Z189" s="246">
        <f t="shared" si="892"/>
        <v>4.2587776332899896E-2</v>
      </c>
      <c r="AA189" s="878">
        <f t="shared" si="892"/>
        <v>0.12577862961188302</v>
      </c>
      <c r="AB189" s="246">
        <f t="shared" si="892"/>
        <v>0.13934174100276842</v>
      </c>
      <c r="AC189" s="246">
        <f t="shared" si="892"/>
        <v>0.10721184803605932</v>
      </c>
      <c r="AD189" s="246">
        <f t="shared" si="892"/>
        <v>8.0449017773620124E-2</v>
      </c>
      <c r="AE189" s="1137">
        <f>+AE188/AA188-1</f>
        <v>7.493980193942984E-2</v>
      </c>
      <c r="AF189" s="552">
        <f t="shared" ref="AF189" si="893">+AF188/AB188-1</f>
        <v>1.4232696346195395E-2</v>
      </c>
      <c r="AG189" s="552">
        <f t="shared" ref="AG189" si="894">+AG188/AC188-1</f>
        <v>9.9761737002082684E-2</v>
      </c>
      <c r="AH189" s="552">
        <f t="shared" ref="AH189" si="895">+AH188/AD188-1</f>
        <v>6.6946156834008175E-2</v>
      </c>
      <c r="AI189" s="1137">
        <f>+AI188/AE188-1</f>
        <v>5.2791310812833725E-2</v>
      </c>
      <c r="AK189" s="246"/>
      <c r="AL189" s="246" t="e">
        <f t="shared" ref="AL189" si="896">+AL188/AK188-1</f>
        <v>#DIV/0!</v>
      </c>
      <c r="AM189" s="246">
        <f t="shared" ref="AM189" si="897">+AM188/AL188-1</f>
        <v>8.683341198678618E-2</v>
      </c>
      <c r="AN189" s="246">
        <f t="shared" ref="AN189" si="898">+AN188/AM188-1</f>
        <v>-0.17354175712838327</v>
      </c>
      <c r="AO189" s="246">
        <f t="shared" ref="AO189:AP189" si="899">+AO188/AN188-1</f>
        <v>-0.17466433158201988</v>
      </c>
      <c r="AP189" s="246">
        <f t="shared" si="899"/>
        <v>8.8414202857547419E-3</v>
      </c>
      <c r="AQ189" s="552">
        <f t="shared" ref="AQ189" si="900">+AQ188/AP188-1</f>
        <v>9.7885587135482011E-2</v>
      </c>
      <c r="AR189" s="552">
        <f t="shared" ref="AR189" si="901">+AR188/AQ188-1</f>
        <v>5.7118286619313619E-2</v>
      </c>
      <c r="AS189" s="552">
        <f t="shared" ref="AS189" si="902">+AS188/AR188-1</f>
        <v>3.1680513273670607E-2</v>
      </c>
    </row>
    <row r="190" spans="1:45" x14ac:dyDescent="0.2">
      <c r="B190" s="237" t="s">
        <v>285</v>
      </c>
      <c r="D190" s="162">
        <f>+Metrics!L74</f>
        <v>0</v>
      </c>
      <c r="E190" s="162">
        <f>+Metrics!M74</f>
        <v>0</v>
      </c>
      <c r="F190" s="162">
        <f>+Metrics!N74</f>
        <v>0</v>
      </c>
      <c r="G190" s="863">
        <f>+Metrics!O74</f>
        <v>0</v>
      </c>
      <c r="H190" s="162">
        <f>+Metrics!P74</f>
        <v>1402</v>
      </c>
      <c r="I190" s="162">
        <f>+Metrics!Q74</f>
        <v>1421</v>
      </c>
      <c r="J190" s="162">
        <f>+Metrics!R74</f>
        <v>1350</v>
      </c>
      <c r="K190" s="863">
        <f>+Metrics!S74</f>
        <v>1245</v>
      </c>
      <c r="L190" s="162">
        <f>+Metrics!T74</f>
        <v>1041</v>
      </c>
      <c r="M190" s="162">
        <f>+Metrics!U74</f>
        <v>914</v>
      </c>
      <c r="N190" s="162">
        <f>+Metrics!V74</f>
        <v>770</v>
      </c>
      <c r="O190" s="863">
        <f>+Metrics!W74</f>
        <v>623</v>
      </c>
      <c r="P190" s="162">
        <f>+Metrics!X74</f>
        <v>487</v>
      </c>
      <c r="Q190" s="162">
        <f>+Metrics!Y74</f>
        <v>386</v>
      </c>
      <c r="R190" s="162">
        <f>+Metrics!Z74</f>
        <v>311</v>
      </c>
      <c r="S190" s="863">
        <f>+Metrics!AA74</f>
        <v>246</v>
      </c>
      <c r="T190" s="162">
        <f>+Metrics!AB74</f>
        <v>147</v>
      </c>
      <c r="U190" s="162">
        <f>+Metrics!AC74</f>
        <v>69</v>
      </c>
      <c r="V190" s="162">
        <f>+Metrics!AD74</f>
        <v>53</v>
      </c>
      <c r="W190" s="863">
        <f>+Metrics!AE74</f>
        <v>43</v>
      </c>
      <c r="X190" s="162">
        <f>+Metrics!AF74</f>
        <v>35</v>
      </c>
      <c r="Y190" s="162">
        <f>+Metrics!AG74</f>
        <v>26</v>
      </c>
      <c r="Z190" s="162">
        <f>+Metrics!AH74</f>
        <v>21</v>
      </c>
      <c r="AA190" s="863">
        <f>+Metrics!AI74</f>
        <v>11</v>
      </c>
      <c r="AB190" s="162">
        <f>+Metrics!AJ74</f>
        <v>1</v>
      </c>
      <c r="AC190" s="162">
        <f>+Metrics!AK74</f>
        <v>6</v>
      </c>
      <c r="AD190" s="162">
        <f>+Metrics!AL74</f>
        <v>4</v>
      </c>
      <c r="AE190" s="1167">
        <f>+AD190</f>
        <v>4</v>
      </c>
      <c r="AF190" s="1168">
        <f>+AE190</f>
        <v>4</v>
      </c>
      <c r="AG190" s="1168">
        <f t="shared" ref="AG190:AI190" si="903">+AF190</f>
        <v>4</v>
      </c>
      <c r="AH190" s="1168">
        <f t="shared" si="903"/>
        <v>4</v>
      </c>
      <c r="AI190" s="1167">
        <f t="shared" si="903"/>
        <v>4</v>
      </c>
      <c r="AK190" s="162"/>
      <c r="AL190" s="162">
        <f>+Metrics!F74</f>
        <v>5418</v>
      </c>
      <c r="AM190" s="162">
        <f>+Metrics!G74</f>
        <v>3348</v>
      </c>
      <c r="AN190" s="162">
        <f>+Metrics!H74</f>
        <v>1430</v>
      </c>
      <c r="AO190" s="162">
        <f>+Metrics!I74</f>
        <v>312</v>
      </c>
      <c r="AP190" s="162">
        <f>+Metrics!J74</f>
        <v>93</v>
      </c>
      <c r="AQ190" s="554">
        <f>SUMIFS($D190:$AI190,$D$3:$AI$3, AQ$3)</f>
        <v>15</v>
      </c>
      <c r="AR190" s="554">
        <f>SUMIFS($D190:$AI190,$D$3:$AI$3, AR$3)</f>
        <v>16</v>
      </c>
      <c r="AS190" s="554"/>
    </row>
    <row r="191" spans="1:45" s="244" customFormat="1" x14ac:dyDescent="0.2">
      <c r="B191" s="243" t="s">
        <v>266</v>
      </c>
      <c r="D191" s="245"/>
      <c r="E191" s="245"/>
      <c r="F191" s="245"/>
      <c r="G191" s="896"/>
      <c r="H191" s="246" t="e">
        <f t="shared" ref="H191" si="904">+H190/D190-1</f>
        <v>#DIV/0!</v>
      </c>
      <c r="I191" s="246" t="e">
        <f t="shared" ref="I191" si="905">+I190/E190-1</f>
        <v>#DIV/0!</v>
      </c>
      <c r="J191" s="246" t="e">
        <f t="shared" ref="J191" si="906">+J190/F190-1</f>
        <v>#DIV/0!</v>
      </c>
      <c r="K191" s="878" t="e">
        <f t="shared" ref="K191" si="907">+K190/G190-1</f>
        <v>#DIV/0!</v>
      </c>
      <c r="L191" s="246">
        <f t="shared" ref="L191" si="908">+L190/H190-1</f>
        <v>-0.25748930099857348</v>
      </c>
      <c r="M191" s="246">
        <f t="shared" ref="M191" si="909">+M190/I190-1</f>
        <v>-0.35679099225897259</v>
      </c>
      <c r="N191" s="246">
        <f t="shared" ref="N191" si="910">+N190/J190-1</f>
        <v>-0.42962962962962958</v>
      </c>
      <c r="O191" s="878">
        <f t="shared" ref="O191" si="911">+O190/K190-1</f>
        <v>-0.49959839357429714</v>
      </c>
      <c r="P191" s="246">
        <f t="shared" ref="P191" si="912">+P190/L190-1</f>
        <v>-0.53218059558117192</v>
      </c>
      <c r="Q191" s="246">
        <f t="shared" ref="Q191" si="913">+Q190/M190-1</f>
        <v>-0.57768052516411372</v>
      </c>
      <c r="R191" s="246">
        <f t="shared" ref="R191" si="914">+R190/N190-1</f>
        <v>-0.59610389610389602</v>
      </c>
      <c r="S191" s="878">
        <f t="shared" ref="S191" si="915">+S190/O190-1</f>
        <v>-0.60513643659711081</v>
      </c>
      <c r="T191" s="246">
        <f t="shared" ref="T191" si="916">+T190/P190-1</f>
        <v>-0.69815195071868585</v>
      </c>
      <c r="U191" s="246">
        <f t="shared" ref="U191" si="917">+U190/Q190-1</f>
        <v>-0.82124352331606221</v>
      </c>
      <c r="V191" s="246">
        <f t="shared" ref="V191" si="918">+V190/R190-1</f>
        <v>-0.82958199356913187</v>
      </c>
      <c r="W191" s="878">
        <f t="shared" ref="W191" si="919">+W190/S190-1</f>
        <v>-0.82520325203252032</v>
      </c>
      <c r="X191" s="246">
        <f t="shared" ref="X191" si="920">+X190/T190-1</f>
        <v>-0.76190476190476186</v>
      </c>
      <c r="Y191" s="246">
        <f t="shared" ref="Y191:AD191" si="921">+Y190/U190-1</f>
        <v>-0.62318840579710144</v>
      </c>
      <c r="Z191" s="246">
        <f t="shared" si="921"/>
        <v>-0.60377358490566035</v>
      </c>
      <c r="AA191" s="878">
        <f t="shared" si="921"/>
        <v>-0.7441860465116279</v>
      </c>
      <c r="AB191" s="246">
        <f t="shared" si="921"/>
        <v>-0.97142857142857142</v>
      </c>
      <c r="AC191" s="246">
        <f t="shared" si="921"/>
        <v>-0.76923076923076916</v>
      </c>
      <c r="AD191" s="246">
        <f t="shared" si="921"/>
        <v>-0.80952380952380953</v>
      </c>
      <c r="AE191" s="1144"/>
      <c r="AF191" s="1145"/>
      <c r="AG191" s="1145"/>
      <c r="AH191" s="1145"/>
      <c r="AI191" s="1144"/>
      <c r="AK191" s="246"/>
      <c r="AL191" s="246" t="e">
        <f t="shared" ref="AL191" si="922">+AL190/AK190-1</f>
        <v>#DIV/0!</v>
      </c>
      <c r="AM191" s="246">
        <f t="shared" ref="AM191" si="923">+AM190/AL190-1</f>
        <v>-0.38205980066445178</v>
      </c>
      <c r="AN191" s="246">
        <f t="shared" ref="AN191" si="924">+AN190/AM190-1</f>
        <v>-0.57287933094384713</v>
      </c>
      <c r="AO191" s="246">
        <f t="shared" ref="AO191:AP191" si="925">+AO190/AN190-1</f>
        <v>-0.78181818181818186</v>
      </c>
      <c r="AP191" s="246">
        <f t="shared" si="925"/>
        <v>-0.70192307692307687</v>
      </c>
      <c r="AQ191" s="552">
        <f t="shared" ref="AQ191" si="926">+AQ190/AP190-1</f>
        <v>-0.83870967741935487</v>
      </c>
      <c r="AR191" s="552">
        <f t="shared" ref="AR191" si="927">+AR190/AQ190-1</f>
        <v>6.6666666666666652E-2</v>
      </c>
      <c r="AS191" s="1145"/>
    </row>
    <row r="192" spans="1:45" x14ac:dyDescent="0.2">
      <c r="B192" s="237" t="s">
        <v>286</v>
      </c>
      <c r="D192" s="5">
        <f>+D188-D190</f>
        <v>2803</v>
      </c>
      <c r="E192" s="5">
        <f t="shared" ref="E192:Y192" si="928">+E188-E190</f>
        <v>2553</v>
      </c>
      <c r="F192" s="5">
        <f t="shared" si="928"/>
        <v>2478</v>
      </c>
      <c r="G192" s="871">
        <f t="shared" si="928"/>
        <v>3170</v>
      </c>
      <c r="H192" s="5">
        <f t="shared" si="928"/>
        <v>2474</v>
      </c>
      <c r="I192" s="5">
        <f t="shared" si="928"/>
        <v>2848</v>
      </c>
      <c r="J192" s="5">
        <f t="shared" si="928"/>
        <v>3603</v>
      </c>
      <c r="K192" s="871">
        <f t="shared" si="928"/>
        <v>4728</v>
      </c>
      <c r="L192" s="5">
        <f t="shared" si="928"/>
        <v>4305</v>
      </c>
      <c r="M192" s="5">
        <f t="shared" si="928"/>
        <v>4301</v>
      </c>
      <c r="N192" s="5">
        <f t="shared" si="928"/>
        <v>3890</v>
      </c>
      <c r="O192" s="871">
        <f t="shared" si="928"/>
        <v>4883</v>
      </c>
      <c r="P192" s="5">
        <f t="shared" si="928"/>
        <v>4207</v>
      </c>
      <c r="Q192" s="5">
        <f t="shared" si="928"/>
        <v>3744</v>
      </c>
      <c r="R192" s="5">
        <f t="shared" si="928"/>
        <v>3544</v>
      </c>
      <c r="S192" s="871">
        <f t="shared" si="928"/>
        <v>4205</v>
      </c>
      <c r="T192" s="5">
        <f t="shared" si="928"/>
        <v>3572</v>
      </c>
      <c r="U192" s="5">
        <f t="shared" si="928"/>
        <v>3100</v>
      </c>
      <c r="V192" s="5">
        <f t="shared" si="928"/>
        <v>3023</v>
      </c>
      <c r="W192" s="871">
        <f t="shared" si="928"/>
        <v>4131</v>
      </c>
      <c r="X192" s="5">
        <f t="shared" si="928"/>
        <v>3216</v>
      </c>
      <c r="Y192" s="5">
        <f t="shared" si="928"/>
        <v>3080</v>
      </c>
      <c r="Z192" s="5">
        <f t="shared" ref="Z192:AA192" si="929">+Z188-Z190</f>
        <v>3186</v>
      </c>
      <c r="AA192" s="871">
        <f t="shared" si="929"/>
        <v>4688</v>
      </c>
      <c r="AB192" s="5">
        <f t="shared" ref="AB192:AC192" si="930">+AB188-AB190</f>
        <v>3703</v>
      </c>
      <c r="AC192" s="5">
        <f t="shared" si="930"/>
        <v>3433</v>
      </c>
      <c r="AD192" s="5">
        <f t="shared" ref="AD192" si="931">+AD188-AD190</f>
        <v>3461</v>
      </c>
      <c r="AE192" s="921">
        <f>+AE194*AE28</f>
        <v>5047.1421293133808</v>
      </c>
      <c r="AF192" s="379">
        <f>+AF194*AF28</f>
        <v>3752.717907266308</v>
      </c>
      <c r="AG192" s="379">
        <f>+AG194*AG28</f>
        <v>3778.0806135501621</v>
      </c>
      <c r="AH192" s="379">
        <f>+AH194*AH28</f>
        <v>3692.9684334298386</v>
      </c>
      <c r="AI192" s="921">
        <f>+AI194*AI28</f>
        <v>5313.7985434217626</v>
      </c>
      <c r="AK192" s="162"/>
      <c r="AL192" s="162">
        <f>+Metrics!F75</f>
        <v>13653</v>
      </c>
      <c r="AM192" s="162">
        <f>+Metrics!G75</f>
        <v>17379</v>
      </c>
      <c r="AN192" s="162">
        <f>+Metrics!H75</f>
        <v>15700</v>
      </c>
      <c r="AO192" s="162">
        <f>+Metrics!I75</f>
        <v>13826</v>
      </c>
      <c r="AP192" s="162">
        <f>+Metrics!J75</f>
        <v>14170</v>
      </c>
      <c r="AQ192" s="554">
        <f>SUMIFS($D192:$AI192,$D$3:$AI$3, AQ$3)</f>
        <v>15644.142129313381</v>
      </c>
      <c r="AR192" s="554">
        <f>SUMIFS($D192:$AI192,$D$3:$AI$3, AR$3)</f>
        <v>16537.565497668071</v>
      </c>
      <c r="AS192" s="554">
        <f>+AS194*AS28</f>
        <v>17077.990949143521</v>
      </c>
    </row>
    <row r="193" spans="1:45" s="244" customFormat="1" x14ac:dyDescent="0.2">
      <c r="B193" s="243" t="s">
        <v>266</v>
      </c>
      <c r="D193" s="245"/>
      <c r="E193" s="245"/>
      <c r="F193" s="245"/>
      <c r="G193" s="896"/>
      <c r="H193" s="246">
        <f t="shared" ref="H193" si="932">+H192/D192-1</f>
        <v>-0.11737424188369605</v>
      </c>
      <c r="I193" s="246">
        <f t="shared" ref="I193" si="933">+I192/E192-1</f>
        <v>0.11555033294163719</v>
      </c>
      <c r="J193" s="246">
        <f t="shared" ref="J193" si="934">+J192/F192-1</f>
        <v>0.45399515738498786</v>
      </c>
      <c r="K193" s="878">
        <f t="shared" ref="K193" si="935">+K192/G192-1</f>
        <v>0.4914826498422713</v>
      </c>
      <c r="L193" s="246">
        <f t="shared" ref="L193" si="936">+L192/H192-1</f>
        <v>0.74009700889248187</v>
      </c>
      <c r="M193" s="246">
        <f t="shared" ref="M193" si="937">+M192/I192-1</f>
        <v>0.51018258426966301</v>
      </c>
      <c r="N193" s="246">
        <f t="shared" ref="N193" si="938">+N192/J192-1</f>
        <v>7.9655842353594242E-2</v>
      </c>
      <c r="O193" s="878">
        <f t="shared" ref="O193" si="939">+O192/K192-1</f>
        <v>3.2783417935702275E-2</v>
      </c>
      <c r="P193" s="246">
        <f t="shared" ref="P193" si="940">+P192/L192-1</f>
        <v>-2.2764227642276369E-2</v>
      </c>
      <c r="Q193" s="246">
        <f t="shared" ref="Q193" si="941">+Q192/M192-1</f>
        <v>-0.12950476633341079</v>
      </c>
      <c r="R193" s="246">
        <f t="shared" ref="R193" si="942">+R192/N192-1</f>
        <v>-8.8946015424164471E-2</v>
      </c>
      <c r="S193" s="878">
        <f t="shared" ref="S193" si="943">+S192/O192-1</f>
        <v>-0.13884906819578124</v>
      </c>
      <c r="T193" s="246">
        <f t="shared" ref="T193" si="944">+T192/P192-1</f>
        <v>-0.15093891133824577</v>
      </c>
      <c r="U193" s="246">
        <f t="shared" ref="U193" si="945">+U192/Q192-1</f>
        <v>-0.17200854700854706</v>
      </c>
      <c r="V193" s="246">
        <f t="shared" ref="V193" si="946">+V192/R192-1</f>
        <v>-0.14700902934537241</v>
      </c>
      <c r="W193" s="878">
        <f t="shared" ref="W193" si="947">+W192/S192-1</f>
        <v>-1.7598097502972698E-2</v>
      </c>
      <c r="X193" s="246">
        <f t="shared" ref="X193" si="948">+X192/T192-1</f>
        <v>-9.966405375139975E-2</v>
      </c>
      <c r="Y193" s="246">
        <f t="shared" ref="Y193:AD193" si="949">+Y192/U192-1</f>
        <v>-6.4516129032258229E-3</v>
      </c>
      <c r="Z193" s="246">
        <f t="shared" si="949"/>
        <v>5.3919947072444518E-2</v>
      </c>
      <c r="AA193" s="878">
        <f t="shared" si="949"/>
        <v>0.13483418058581464</v>
      </c>
      <c r="AB193" s="246">
        <f t="shared" si="949"/>
        <v>0.15143034825870649</v>
      </c>
      <c r="AC193" s="246">
        <f t="shared" si="949"/>
        <v>0.11461038961038961</v>
      </c>
      <c r="AD193" s="246">
        <f t="shared" si="949"/>
        <v>8.6315128688009946E-2</v>
      </c>
      <c r="AE193" s="1137">
        <f>+AE192/AA192-1</f>
        <v>7.6608815979816614E-2</v>
      </c>
      <c r="AF193" s="552">
        <f t="shared" ref="AF193" si="950">+AF192/AB192-1</f>
        <v>1.3426385975238375E-2</v>
      </c>
      <c r="AG193" s="552">
        <f t="shared" ref="AG193" si="951">+AG192/AC192-1</f>
        <v>0.10051867566273298</v>
      </c>
      <c r="AH193" s="552">
        <f t="shared" ref="AH193" si="952">+AH192/AD192-1</f>
        <v>6.702352887311136E-2</v>
      </c>
      <c r="AI193" s="1137">
        <f>+AI192/AE192-1</f>
        <v>5.2833149389565071E-2</v>
      </c>
      <c r="AK193" s="246"/>
      <c r="AL193" s="246" t="e">
        <f t="shared" ref="AL193" si="953">+AL192/AK192-1</f>
        <v>#DIV/0!</v>
      </c>
      <c r="AM193" s="246">
        <f t="shared" ref="AM193" si="954">+AM192/AL192-1</f>
        <v>0.27290705339485832</v>
      </c>
      <c r="AN193" s="246">
        <f t="shared" ref="AN193" si="955">+AN192/AM192-1</f>
        <v>-9.6610852177915874E-2</v>
      </c>
      <c r="AO193" s="246">
        <f t="shared" ref="AO193:AP193" si="956">+AO192/AN192-1</f>
        <v>-0.11936305732484076</v>
      </c>
      <c r="AP193" s="246">
        <f t="shared" si="956"/>
        <v>2.4880659626790091E-2</v>
      </c>
      <c r="AQ193" s="552">
        <f t="shared" ref="AQ193" si="957">+AQ192/AP192-1</f>
        <v>0.10403261321901058</v>
      </c>
      <c r="AR193" s="552">
        <f t="shared" ref="AR193" si="958">+AR192/AQ192-1</f>
        <v>5.7109131390504775E-2</v>
      </c>
      <c r="AS193" s="552">
        <f t="shared" ref="AS193" si="959">+AS192/AR192-1</f>
        <v>3.267865826754579E-2</v>
      </c>
    </row>
    <row r="194" spans="1:45" s="251" customFormat="1" x14ac:dyDescent="0.2">
      <c r="B194" s="254" t="s">
        <v>287</v>
      </c>
      <c r="D194" s="262">
        <f t="shared" ref="D194:AD194" si="960">+D192/D28</f>
        <v>0.54080648273200849</v>
      </c>
      <c r="E194" s="262">
        <f t="shared" si="960"/>
        <v>0.48288254208435788</v>
      </c>
      <c r="F194" s="262">
        <f t="shared" si="960"/>
        <v>0.4588888888888889</v>
      </c>
      <c r="G194" s="869">
        <f t="shared" si="960"/>
        <v>0.5806924345118154</v>
      </c>
      <c r="H194" s="262">
        <f t="shared" si="960"/>
        <v>0.44360767437690513</v>
      </c>
      <c r="I194" s="262">
        <f t="shared" si="960"/>
        <v>0.30489240980623061</v>
      </c>
      <c r="J194" s="262">
        <f t="shared" si="960"/>
        <v>0.37798992866135123</v>
      </c>
      <c r="K194" s="869">
        <f t="shared" si="960"/>
        <v>0.49826114448308567</v>
      </c>
      <c r="L194" s="262">
        <f t="shared" si="960"/>
        <v>0.45397026257513445</v>
      </c>
      <c r="M194" s="262">
        <f t="shared" si="960"/>
        <v>0.44491569256232544</v>
      </c>
      <c r="N194" s="262">
        <f t="shared" si="960"/>
        <v>0.39087620578778137</v>
      </c>
      <c r="O194" s="869">
        <f t="shared" si="960"/>
        <v>0.48577397532829286</v>
      </c>
      <c r="P194" s="262">
        <f t="shared" si="960"/>
        <v>0.41113050297823989</v>
      </c>
      <c r="Q194" s="262">
        <f t="shared" si="960"/>
        <v>0.35975408870899339</v>
      </c>
      <c r="R194" s="262">
        <f t="shared" si="960"/>
        <v>0.33803983215673722</v>
      </c>
      <c r="S194" s="869">
        <f t="shared" si="960"/>
        <v>0.39639640730089637</v>
      </c>
      <c r="T194" s="262">
        <f t="shared" si="960"/>
        <v>0.33492743697218608</v>
      </c>
      <c r="U194" s="262">
        <f t="shared" si="960"/>
        <v>0.28687386318365815</v>
      </c>
      <c r="V194" s="262">
        <f t="shared" si="960"/>
        <v>0.27621881132468218</v>
      </c>
      <c r="W194" s="869">
        <f t="shared" si="960"/>
        <v>0.37309998527677557</v>
      </c>
      <c r="X194" s="262">
        <f t="shared" si="960"/>
        <v>0.28833515544834099</v>
      </c>
      <c r="Y194" s="262">
        <f t="shared" si="960"/>
        <v>0.27222800515967349</v>
      </c>
      <c r="Z194" s="262">
        <f t="shared" si="960"/>
        <v>0.27459153878364051</v>
      </c>
      <c r="AA194" s="869">
        <f t="shared" si="960"/>
        <v>0.39997985818151865</v>
      </c>
      <c r="AB194" s="262">
        <f t="shared" si="960"/>
        <v>0.31560555697605047</v>
      </c>
      <c r="AC194" s="262">
        <f t="shared" si="960"/>
        <v>0.28327419754105126</v>
      </c>
      <c r="AD194" s="262">
        <f t="shared" si="960"/>
        <v>0.27370502174772637</v>
      </c>
      <c r="AE194" s="1138">
        <f>+AA194-1%</f>
        <v>0.38997985818151865</v>
      </c>
      <c r="AF194" s="1139">
        <f>+AB194-2.5%</f>
        <v>0.29060555697605045</v>
      </c>
      <c r="AG194" s="1139">
        <f t="shared" ref="AG194:AH194" si="961">+AC194</f>
        <v>0.28327419754105126</v>
      </c>
      <c r="AH194" s="1139">
        <f t="shared" si="961"/>
        <v>0.27370502174772637</v>
      </c>
      <c r="AI194" s="1138">
        <f>+AE194</f>
        <v>0.38997985818151865</v>
      </c>
      <c r="AK194" s="241"/>
      <c r="AL194" s="241">
        <f t="shared" ref="AL194:AR194" si="962">+AL192/AL28</f>
        <v>0.40228056218509678</v>
      </c>
      <c r="AM194" s="241">
        <f t="shared" si="962"/>
        <v>0.44386269602084077</v>
      </c>
      <c r="AN194" s="241">
        <f t="shared" si="962"/>
        <v>0.37621092273722212</v>
      </c>
      <c r="AO194" s="241">
        <f t="shared" si="962"/>
        <v>0.31793072629388131</v>
      </c>
      <c r="AP194" s="241">
        <f t="shared" si="962"/>
        <v>0.30944938441205017</v>
      </c>
      <c r="AQ194" s="1115">
        <f t="shared" si="962"/>
        <v>0.31643284907401609</v>
      </c>
      <c r="AR194" s="1115">
        <f t="shared" si="962"/>
        <v>0.30987231071961718</v>
      </c>
      <c r="AS194" s="1139">
        <f>AR194-0.6%</f>
        <v>0.30387231071961718</v>
      </c>
    </row>
    <row r="195" spans="1:45" s="251" customFormat="1" x14ac:dyDescent="0.2">
      <c r="B195" s="254"/>
      <c r="D195" s="241"/>
      <c r="E195" s="241"/>
      <c r="F195" s="241"/>
      <c r="G195" s="867"/>
      <c r="H195" s="241"/>
      <c r="I195" s="241"/>
      <c r="J195" s="241"/>
      <c r="K195" s="867"/>
      <c r="L195" s="241"/>
      <c r="M195" s="241"/>
      <c r="N195" s="241"/>
      <c r="O195" s="867"/>
      <c r="P195" s="241"/>
      <c r="Q195" s="241"/>
      <c r="R195" s="241"/>
      <c r="S195" s="867"/>
      <c r="T195" s="241"/>
      <c r="U195" s="241"/>
      <c r="V195" s="241"/>
      <c r="W195" s="867"/>
      <c r="X195" s="241"/>
      <c r="Y195" s="241"/>
      <c r="Z195" s="241"/>
      <c r="AA195" s="867"/>
      <c r="AB195" s="241"/>
      <c r="AC195" s="241"/>
      <c r="AD195" s="241"/>
      <c r="AE195" s="1138"/>
      <c r="AF195" s="1139"/>
      <c r="AG195" s="1139"/>
      <c r="AH195" s="1139"/>
      <c r="AI195" s="1138"/>
      <c r="AQ195" s="382"/>
      <c r="AR195" s="506"/>
      <c r="AS195" s="506"/>
    </row>
    <row r="196" spans="1:45" s="251" customFormat="1" x14ac:dyDescent="0.2">
      <c r="B196" s="255" t="s">
        <v>16</v>
      </c>
      <c r="D196" s="277">
        <f>+'3FS'!K13</f>
        <v>349</v>
      </c>
      <c r="E196" s="277">
        <f>+'3FS'!L13</f>
        <v>353</v>
      </c>
      <c r="F196" s="277">
        <f>+'3FS'!M13</f>
        <v>359</v>
      </c>
      <c r="G196" s="895">
        <f>+'3FS'!N13</f>
        <v>373</v>
      </c>
      <c r="H196" s="277">
        <f>+'3FS'!O13</f>
        <v>335</v>
      </c>
      <c r="I196" s="277">
        <f>+'3FS'!P13</f>
        <v>172</v>
      </c>
      <c r="J196" s="277">
        <f>+'3FS'!Q13</f>
        <v>180</v>
      </c>
      <c r="K196" s="895">
        <f>+'3FS'!R13</f>
        <v>188</v>
      </c>
      <c r="L196" s="277">
        <f>+'3FS'!S13</f>
        <v>221</v>
      </c>
      <c r="M196" s="277">
        <f>+'3FS'!T13</f>
        <v>243</v>
      </c>
      <c r="N196" s="277">
        <f>+'3FS'!U13</f>
        <v>242</v>
      </c>
      <c r="O196" s="895">
        <f>+'3FS'!V13</f>
        <v>316</v>
      </c>
      <c r="P196" s="277">
        <f>+'3FS'!W13</f>
        <v>298</v>
      </c>
      <c r="Q196" s="277">
        <f>+'3FS'!X13</f>
        <v>255</v>
      </c>
      <c r="R196" s="277">
        <f>+'3FS'!Y13</f>
        <v>261</v>
      </c>
      <c r="S196" s="895">
        <f>+'3FS'!Z13</f>
        <v>304</v>
      </c>
      <c r="T196" s="277">
        <f>+'3FS'!AA13</f>
        <v>367</v>
      </c>
      <c r="U196" s="277">
        <f>+'3FS'!AB13</f>
        <v>289</v>
      </c>
      <c r="V196" s="277">
        <f>+'3FS'!AC13</f>
        <v>262</v>
      </c>
      <c r="W196" s="895">
        <f>+'3FS'!AD13</f>
        <v>261</v>
      </c>
      <c r="X196" s="277">
        <f>+'3FS'!AE13</f>
        <v>247</v>
      </c>
      <c r="Y196" s="277">
        <f>+'3FS'!AF13</f>
        <v>237</v>
      </c>
      <c r="Z196" s="277">
        <f>+'3FS'!AG13</f>
        <v>230</v>
      </c>
      <c r="AA196" s="895">
        <f>+'3FS'!AH13</f>
        <v>245</v>
      </c>
      <c r="AB196" s="277">
        <f>+'3FS'!AI13</f>
        <v>257</v>
      </c>
      <c r="AC196" s="277">
        <f>+'3FS'!AJ13</f>
        <v>255</v>
      </c>
      <c r="AD196" s="277">
        <f>+'3FS'!AK13</f>
        <v>251</v>
      </c>
      <c r="AE196" s="901">
        <f t="shared" ref="AE196:AI196" si="963">+AE199*AE192</f>
        <v>263.76915991505513</v>
      </c>
      <c r="AF196" s="554">
        <f t="shared" si="963"/>
        <v>260.45058119563629</v>
      </c>
      <c r="AG196" s="554">
        <f t="shared" si="963"/>
        <v>280.63226229399692</v>
      </c>
      <c r="AH196" s="554">
        <f t="shared" si="963"/>
        <v>267.82290574715097</v>
      </c>
      <c r="AI196" s="901">
        <f t="shared" si="963"/>
        <v>277.70491534520733</v>
      </c>
      <c r="AK196" s="162">
        <f>+'3FS'!D13</f>
        <v>658</v>
      </c>
      <c r="AL196" s="162">
        <f>+'3FS'!E13</f>
        <v>690</v>
      </c>
      <c r="AM196" s="162">
        <f>+'3FS'!F13</f>
        <v>1022</v>
      </c>
      <c r="AN196" s="162">
        <f>+'3FS'!G13</f>
        <v>1118</v>
      </c>
      <c r="AO196" s="162">
        <f>+'3FS'!H13</f>
        <v>1179</v>
      </c>
      <c r="AP196" s="162">
        <f>+'3FS'!I13</f>
        <v>959</v>
      </c>
      <c r="AQ196" s="554">
        <f>SUMIFS($D196:$AI196,$D$3:$AI$3, AQ$3)</f>
        <v>1026.7691599150551</v>
      </c>
      <c r="AR196" s="554">
        <f>SUMIFS($D196:$AI196,$D$3:$AI$3, AR$3)</f>
        <v>1086.6106645819916</v>
      </c>
      <c r="AS196" s="554">
        <f>+AS199*AS192</f>
        <v>1122.1196431597373</v>
      </c>
    </row>
    <row r="197" spans="1:45" s="244" customFormat="1" x14ac:dyDescent="0.2">
      <c r="B197" s="243" t="s">
        <v>266</v>
      </c>
      <c r="D197" s="245"/>
      <c r="E197" s="245"/>
      <c r="F197" s="245"/>
      <c r="G197" s="896"/>
      <c r="H197" s="246">
        <f t="shared" ref="H197" si="964">+H196/D196-1</f>
        <v>-4.011461318051579E-2</v>
      </c>
      <c r="I197" s="246">
        <f t="shared" ref="I197" si="965">+I196/E196-1</f>
        <v>-0.51274787535410771</v>
      </c>
      <c r="J197" s="246">
        <f t="shared" ref="J197" si="966">+J196/F196-1</f>
        <v>-0.49860724233983289</v>
      </c>
      <c r="K197" s="878">
        <f t="shared" ref="K197" si="967">+K196/G196-1</f>
        <v>-0.49597855227882037</v>
      </c>
      <c r="L197" s="246">
        <f t="shared" ref="L197" si="968">+L196/H196-1</f>
        <v>-0.34029850746268653</v>
      </c>
      <c r="M197" s="246">
        <f t="shared" ref="M197" si="969">+M196/I196-1</f>
        <v>0.41279069767441867</v>
      </c>
      <c r="N197" s="246">
        <f t="shared" ref="N197" si="970">+N196/J196-1</f>
        <v>0.34444444444444455</v>
      </c>
      <c r="O197" s="878">
        <f t="shared" ref="O197" si="971">+O196/K196-1</f>
        <v>0.68085106382978733</v>
      </c>
      <c r="P197" s="246">
        <f t="shared" ref="P197" si="972">+P196/L196-1</f>
        <v>0.34841628959276028</v>
      </c>
      <c r="Q197" s="246">
        <f t="shared" ref="Q197" si="973">+Q196/M196-1</f>
        <v>4.9382716049382713E-2</v>
      </c>
      <c r="R197" s="246">
        <f t="shared" ref="R197" si="974">+R196/N196-1</f>
        <v>7.8512396694214948E-2</v>
      </c>
      <c r="S197" s="878">
        <f t="shared" ref="S197" si="975">+S196/O196-1</f>
        <v>-3.7974683544303778E-2</v>
      </c>
      <c r="T197" s="246">
        <f t="shared" ref="T197" si="976">+T196/P196-1</f>
        <v>0.23154362416107377</v>
      </c>
      <c r="U197" s="246">
        <f t="shared" ref="U197" si="977">+U196/Q196-1</f>
        <v>0.1333333333333333</v>
      </c>
      <c r="V197" s="246">
        <f t="shared" ref="V197" si="978">+V196/R196-1</f>
        <v>3.8314176245211051E-3</v>
      </c>
      <c r="W197" s="878">
        <f t="shared" ref="W197" si="979">+W196/S196-1</f>
        <v>-0.14144736842105265</v>
      </c>
      <c r="X197" s="246">
        <f t="shared" ref="X197" si="980">+X196/T196-1</f>
        <v>-0.32697547683923711</v>
      </c>
      <c r="Y197" s="246">
        <f t="shared" ref="Y197:AD197" si="981">+Y196/U196-1</f>
        <v>-0.17993079584775085</v>
      </c>
      <c r="Z197" s="246">
        <f t="shared" si="981"/>
        <v>-0.12213740458015265</v>
      </c>
      <c r="AA197" s="878">
        <f t="shared" si="981"/>
        <v>-6.1302681992337127E-2</v>
      </c>
      <c r="AB197" s="246">
        <f t="shared" si="981"/>
        <v>4.0485829959514108E-2</v>
      </c>
      <c r="AC197" s="246">
        <f t="shared" si="981"/>
        <v>7.5949367088607556E-2</v>
      </c>
      <c r="AD197" s="246">
        <f t="shared" si="981"/>
        <v>9.1304347826086873E-2</v>
      </c>
      <c r="AE197" s="1137">
        <f>+AE196/AA196-1</f>
        <v>7.6608815979816836E-2</v>
      </c>
      <c r="AF197" s="552">
        <f t="shared" ref="AF197" si="982">+AF196/AB196-1</f>
        <v>1.3426385975238375E-2</v>
      </c>
      <c r="AG197" s="552">
        <f t="shared" ref="AG197" si="983">+AG196/AC196-1</f>
        <v>0.10051867566273298</v>
      </c>
      <c r="AH197" s="552">
        <f t="shared" ref="AH197" si="984">+AH196/AD196-1</f>
        <v>6.702352887311136E-2</v>
      </c>
      <c r="AI197" s="1137">
        <f>+AI196/AE196-1</f>
        <v>5.2833149389565071E-2</v>
      </c>
      <c r="AK197" s="246"/>
      <c r="AL197" s="246">
        <f t="shared" ref="AL197" si="985">+AL196/AK196-1</f>
        <v>4.8632218844984809E-2</v>
      </c>
      <c r="AM197" s="246">
        <f t="shared" ref="AM197" si="986">+AM196/AL196-1</f>
        <v>0.48115942028985503</v>
      </c>
      <c r="AN197" s="246">
        <f t="shared" ref="AN197" si="987">+AN196/AM196-1</f>
        <v>9.393346379647749E-2</v>
      </c>
      <c r="AO197" s="246">
        <f t="shared" ref="AO197:AP197" si="988">+AO196/AN196-1</f>
        <v>5.4561717352415107E-2</v>
      </c>
      <c r="AP197" s="246">
        <f t="shared" si="988"/>
        <v>-0.18659881255301103</v>
      </c>
      <c r="AQ197" s="552">
        <f t="shared" ref="AQ197" si="989">+AQ196/AP196-1</f>
        <v>7.0666485834259829E-2</v>
      </c>
      <c r="AR197" s="552">
        <f t="shared" ref="AR197" si="990">+AR196/AQ196-1</f>
        <v>5.8281361578767399E-2</v>
      </c>
      <c r="AS197" s="552">
        <f t="shared" ref="AS197" si="991">+AS196/AR196-1</f>
        <v>3.267865826754579E-2</v>
      </c>
    </row>
    <row r="198" spans="1:45" s="247" customFormat="1" x14ac:dyDescent="0.2">
      <c r="B198" s="243" t="s">
        <v>267</v>
      </c>
      <c r="D198" s="248"/>
      <c r="E198" s="248"/>
      <c r="F198" s="248"/>
      <c r="G198" s="897"/>
      <c r="H198" s="248"/>
      <c r="I198" s="248"/>
      <c r="J198" s="248"/>
      <c r="K198" s="897"/>
      <c r="L198" s="246">
        <f t="shared" ref="L198:AI198" si="992">+L196/K196-1</f>
        <v>0.17553191489361697</v>
      </c>
      <c r="M198" s="246">
        <f t="shared" si="992"/>
        <v>9.9547511312217285E-2</v>
      </c>
      <c r="N198" s="246">
        <f t="shared" si="992"/>
        <v>-4.1152263374485409E-3</v>
      </c>
      <c r="O198" s="878">
        <f t="shared" si="992"/>
        <v>0.30578512396694224</v>
      </c>
      <c r="P198" s="246">
        <f t="shared" si="992"/>
        <v>-5.6962025316455667E-2</v>
      </c>
      <c r="Q198" s="246">
        <f t="shared" si="992"/>
        <v>-0.14429530201342278</v>
      </c>
      <c r="R198" s="246">
        <f t="shared" si="992"/>
        <v>2.3529411764705799E-2</v>
      </c>
      <c r="S198" s="878">
        <f t="shared" si="992"/>
        <v>0.16475095785440619</v>
      </c>
      <c r="T198" s="246">
        <f t="shared" si="992"/>
        <v>0.20723684210526305</v>
      </c>
      <c r="U198" s="246">
        <f t="shared" si="992"/>
        <v>-0.21253405994550412</v>
      </c>
      <c r="V198" s="246">
        <f t="shared" si="992"/>
        <v>-9.3425605536332168E-2</v>
      </c>
      <c r="W198" s="878">
        <f t="shared" si="992"/>
        <v>-3.8167938931297218E-3</v>
      </c>
      <c r="X198" s="246">
        <f t="shared" si="992"/>
        <v>-5.3639846743295028E-2</v>
      </c>
      <c r="Y198" s="246">
        <f t="shared" si="992"/>
        <v>-4.0485829959514219E-2</v>
      </c>
      <c r="Z198" s="246">
        <f t="shared" si="992"/>
        <v>-2.9535864978902926E-2</v>
      </c>
      <c r="AA198" s="878">
        <f t="shared" si="992"/>
        <v>6.5217391304347894E-2</v>
      </c>
      <c r="AB198" s="246">
        <f t="shared" si="992"/>
        <v>4.8979591836734615E-2</v>
      </c>
      <c r="AC198" s="246">
        <f t="shared" si="992"/>
        <v>-7.7821011673151474E-3</v>
      </c>
      <c r="AD198" s="246">
        <f t="shared" si="992"/>
        <v>-1.5686274509803977E-2</v>
      </c>
      <c r="AE198" s="1137">
        <f>+AE196/AD196-1</f>
        <v>5.0873147071932801E-2</v>
      </c>
      <c r="AF198" s="552">
        <f>+AF196/AE196-1</f>
        <v>-1.2581375019306895E-2</v>
      </c>
      <c r="AG198" s="552">
        <f t="shared" si="992"/>
        <v>7.7487564073436488E-2</v>
      </c>
      <c r="AH198" s="552">
        <f t="shared" si="992"/>
        <v>-4.564463273800845E-2</v>
      </c>
      <c r="AI198" s="1137">
        <f t="shared" si="992"/>
        <v>3.6897552024119484E-2</v>
      </c>
      <c r="AQ198" s="1090"/>
      <c r="AR198" s="1090"/>
      <c r="AS198" s="1090"/>
    </row>
    <row r="199" spans="1:45" s="251" customFormat="1" x14ac:dyDescent="0.2">
      <c r="B199" s="254" t="s">
        <v>292</v>
      </c>
      <c r="D199" s="241">
        <f t="shared" ref="D199:Y199" si="993">+D196/D192</f>
        <v>0.12450945415626115</v>
      </c>
      <c r="E199" s="241">
        <f t="shared" si="993"/>
        <v>0.1382687034860948</v>
      </c>
      <c r="F199" s="241">
        <f t="shared" si="993"/>
        <v>0.14487489911218726</v>
      </c>
      <c r="G199" s="867">
        <f t="shared" si="993"/>
        <v>0.11766561514195584</v>
      </c>
      <c r="H199" s="241">
        <f t="shared" si="993"/>
        <v>0.13540824575586097</v>
      </c>
      <c r="I199" s="241">
        <f t="shared" si="993"/>
        <v>6.0393258426966294E-2</v>
      </c>
      <c r="J199" s="241">
        <f t="shared" si="993"/>
        <v>4.995836802664446E-2</v>
      </c>
      <c r="K199" s="867">
        <f t="shared" si="993"/>
        <v>3.976311336717428E-2</v>
      </c>
      <c r="L199" s="241">
        <f t="shared" si="993"/>
        <v>5.1335656213704992E-2</v>
      </c>
      <c r="M199" s="241">
        <f t="shared" si="993"/>
        <v>5.6498488723552662E-2</v>
      </c>
      <c r="N199" s="241">
        <f t="shared" si="993"/>
        <v>6.2210796915167094E-2</v>
      </c>
      <c r="O199" s="867">
        <f t="shared" si="993"/>
        <v>6.4714314970305137E-2</v>
      </c>
      <c r="P199" s="241">
        <f t="shared" si="993"/>
        <v>7.0834323746137393E-2</v>
      </c>
      <c r="Q199" s="241">
        <f t="shared" si="993"/>
        <v>6.8108974358974353E-2</v>
      </c>
      <c r="R199" s="241">
        <f t="shared" si="993"/>
        <v>7.3645598194130926E-2</v>
      </c>
      <c r="S199" s="867">
        <f t="shared" si="993"/>
        <v>7.2294887039239003E-2</v>
      </c>
      <c r="T199" s="241">
        <f t="shared" si="993"/>
        <v>0.10274356103023516</v>
      </c>
      <c r="U199" s="241">
        <f t="shared" si="993"/>
        <v>9.3225806451612908E-2</v>
      </c>
      <c r="V199" s="241">
        <f t="shared" si="993"/>
        <v>8.6668871981475354E-2</v>
      </c>
      <c r="W199" s="867">
        <f t="shared" si="993"/>
        <v>6.3180827886710242E-2</v>
      </c>
      <c r="X199" s="241">
        <f t="shared" si="993"/>
        <v>7.6803482587064681E-2</v>
      </c>
      <c r="Y199" s="241">
        <f t="shared" si="993"/>
        <v>7.6948051948051946E-2</v>
      </c>
      <c r="Z199" s="241">
        <f t="shared" ref="Z199:AA199" si="994">+Z196/Z192</f>
        <v>7.2190834902699313E-2</v>
      </c>
      <c r="AA199" s="867">
        <f t="shared" si="994"/>
        <v>5.2261092150170649E-2</v>
      </c>
      <c r="AB199" s="262">
        <f t="shared" ref="AB199:AC199" si="995">+AB196/AB192</f>
        <v>6.9403186605455039E-2</v>
      </c>
      <c r="AC199" s="262">
        <f t="shared" si="995"/>
        <v>7.4279056219050399E-2</v>
      </c>
      <c r="AD199" s="262">
        <f t="shared" ref="AD199" si="996">+AD196/AD192</f>
        <v>7.2522392372146777E-2</v>
      </c>
      <c r="AE199" s="1138">
        <f>+AA199</f>
        <v>5.2261092150170649E-2</v>
      </c>
      <c r="AF199" s="1139">
        <f t="shared" ref="AF199:AH199" si="997">+AB199</f>
        <v>6.9403186605455039E-2</v>
      </c>
      <c r="AG199" s="1139">
        <f t="shared" si="997"/>
        <v>7.4279056219050399E-2</v>
      </c>
      <c r="AH199" s="1139">
        <f t="shared" si="997"/>
        <v>7.2522392372146777E-2</v>
      </c>
      <c r="AI199" s="1138">
        <f>+AE199</f>
        <v>5.2261092150170649E-2</v>
      </c>
      <c r="AK199" s="262"/>
      <c r="AL199" s="262">
        <f t="shared" ref="AL199:AR199" si="998">+AL196/AL192</f>
        <v>5.053834322127005E-2</v>
      </c>
      <c r="AM199" s="262">
        <f t="shared" si="998"/>
        <v>5.8806605673514013E-2</v>
      </c>
      <c r="AN199" s="262">
        <f t="shared" si="998"/>
        <v>7.1210191082802549E-2</v>
      </c>
      <c r="AO199" s="262">
        <f t="shared" si="998"/>
        <v>8.5274121220888177E-2</v>
      </c>
      <c r="AP199" s="262">
        <f t="shared" ref="AP199" si="999">+AP196/AP192</f>
        <v>6.7678193366266765E-2</v>
      </c>
      <c r="AQ199" s="1147">
        <f t="shared" si="998"/>
        <v>6.563281971154783E-2</v>
      </c>
      <c r="AR199" s="1147">
        <f t="shared" si="998"/>
        <v>6.5705600061581756E-2</v>
      </c>
      <c r="AS199" s="1139">
        <f t="shared" ref="AS199" si="1000">+AR199</f>
        <v>6.5705600061581756E-2</v>
      </c>
    </row>
    <row r="200" spans="1:45" s="251" customFormat="1" x14ac:dyDescent="0.2">
      <c r="B200" s="254"/>
      <c r="D200" s="241"/>
      <c r="E200" s="241"/>
      <c r="F200" s="241"/>
      <c r="G200" s="867"/>
      <c r="H200" s="241"/>
      <c r="I200" s="241"/>
      <c r="J200" s="241"/>
      <c r="K200" s="867"/>
      <c r="L200" s="241"/>
      <c r="M200" s="241"/>
      <c r="N200" s="241"/>
      <c r="O200" s="867"/>
      <c r="P200" s="241"/>
      <c r="Q200" s="241"/>
      <c r="R200" s="241"/>
      <c r="S200" s="867"/>
      <c r="T200" s="241"/>
      <c r="U200" s="241"/>
      <c r="V200" s="241"/>
      <c r="W200" s="867"/>
      <c r="X200" s="241"/>
      <c r="Y200" s="241"/>
      <c r="Z200" s="241"/>
      <c r="AA200" s="867"/>
      <c r="AB200" s="241"/>
      <c r="AC200" s="241"/>
      <c r="AD200" s="241"/>
      <c r="AE200" s="1138"/>
      <c r="AF200" s="1139"/>
      <c r="AG200" s="1139"/>
      <c r="AH200" s="1139"/>
      <c r="AI200" s="1138"/>
      <c r="AQ200" s="506"/>
      <c r="AR200" s="506"/>
      <c r="AS200" s="506"/>
    </row>
    <row r="201" spans="1:45" x14ac:dyDescent="0.2">
      <c r="A201" s="2" t="s">
        <v>238</v>
      </c>
      <c r="B201" s="236" t="s">
        <v>288</v>
      </c>
      <c r="C201" s="172"/>
      <c r="D201" s="172"/>
      <c r="E201" s="172"/>
      <c r="F201" s="172"/>
      <c r="G201" s="864"/>
      <c r="H201" s="172"/>
      <c r="I201" s="172"/>
      <c r="J201" s="172"/>
      <c r="K201" s="864"/>
      <c r="L201" s="172"/>
      <c r="M201" s="172"/>
      <c r="N201" s="172"/>
      <c r="O201" s="864"/>
      <c r="P201" s="172"/>
      <c r="Q201" s="172"/>
      <c r="R201" s="172"/>
      <c r="S201" s="864"/>
      <c r="T201" s="172"/>
      <c r="U201" s="172"/>
      <c r="V201" s="172"/>
      <c r="W201" s="864"/>
      <c r="X201" s="172"/>
      <c r="Y201" s="172"/>
      <c r="Z201" s="172"/>
      <c r="AA201" s="864"/>
      <c r="AB201" s="1291"/>
      <c r="AC201" s="1291"/>
      <c r="AD201" s="172"/>
      <c r="AE201" s="864"/>
      <c r="AF201" s="172"/>
      <c r="AG201" s="172"/>
      <c r="AH201" s="172"/>
      <c r="AI201" s="864"/>
      <c r="AK201" s="172"/>
      <c r="AL201" s="172"/>
      <c r="AM201" s="172"/>
      <c r="AN201" s="172"/>
      <c r="AO201" s="172"/>
      <c r="AP201" s="172"/>
      <c r="AQ201" s="172"/>
      <c r="AR201" s="172"/>
      <c r="AS201" s="172"/>
    </row>
    <row r="202" spans="1:45" s="3" customFormat="1" x14ac:dyDescent="0.2">
      <c r="B202" s="281" t="s">
        <v>293</v>
      </c>
      <c r="D202" s="165">
        <f>+'3FS'!K16</f>
        <v>3342</v>
      </c>
      <c r="E202" s="165">
        <f>+'3FS'!L16</f>
        <v>3219</v>
      </c>
      <c r="F202" s="165">
        <f>+'3FS'!M16</f>
        <v>3366</v>
      </c>
      <c r="G202" s="862">
        <f>+'3FS'!N16</f>
        <v>3297</v>
      </c>
      <c r="H202" s="165">
        <f>+'3FS'!O16</f>
        <v>3200</v>
      </c>
      <c r="I202" s="165">
        <f>+'3FS'!P16</f>
        <v>3098</v>
      </c>
      <c r="J202" s="165">
        <f>+'3FS'!Q16</f>
        <v>3314</v>
      </c>
      <c r="K202" s="862">
        <f>+'3FS'!R16</f>
        <v>3827</v>
      </c>
      <c r="L202" s="165">
        <f>+'3FS'!S16</f>
        <v>3384</v>
      </c>
      <c r="M202" s="165">
        <f>+'3FS'!T16</f>
        <v>3491</v>
      </c>
      <c r="N202" s="165">
        <f>+'3FS'!U16</f>
        <v>3538</v>
      </c>
      <c r="O202" s="862">
        <f>+'3FS'!V16</f>
        <v>3521</v>
      </c>
      <c r="P202" s="165">
        <f>+'3FS'!W16</f>
        <v>3727</v>
      </c>
      <c r="Q202" s="165">
        <f>+'3FS'!X16</f>
        <v>4060</v>
      </c>
      <c r="R202" s="165">
        <f>+'3FS'!Y16</f>
        <v>3712</v>
      </c>
      <c r="S202" s="862">
        <f>+'3FS'!Z16</f>
        <v>3167</v>
      </c>
      <c r="T202" s="165">
        <f>+'3FS'!AA16</f>
        <v>3061</v>
      </c>
      <c r="U202" s="165">
        <f>+'3FS'!AB16</f>
        <v>2916</v>
      </c>
      <c r="V202" s="165">
        <f>+'3FS'!AC16</f>
        <v>2886</v>
      </c>
      <c r="W202" s="862">
        <f>+'3FS'!AD16</f>
        <v>2792</v>
      </c>
      <c r="X202" s="165">
        <f>+'3FS'!AE16</f>
        <v>2688</v>
      </c>
      <c r="Y202" s="165">
        <f>+'3FS'!AF16</f>
        <v>2664</v>
      </c>
      <c r="Z202" s="165">
        <f>+'3FS'!AG16</f>
        <v>2722</v>
      </c>
      <c r="AA202" s="862">
        <f>+'3FS'!AH16</f>
        <v>2697</v>
      </c>
      <c r="AB202" s="165">
        <f>+'3FS'!AI16</f>
        <v>2602</v>
      </c>
      <c r="AC202" s="165">
        <f>+'3FS'!AJ16</f>
        <v>2717</v>
      </c>
      <c r="AD202" s="165">
        <f>+'3FS'!AK16</f>
        <v>2873</v>
      </c>
      <c r="AE202" s="972">
        <f>+AE204*AE6</f>
        <v>2938.0707254377803</v>
      </c>
      <c r="AF202" s="1136">
        <f>+AF204*AF6</f>
        <v>2830.6939635291737</v>
      </c>
      <c r="AG202" s="1136">
        <f>+AG204*AG6</f>
        <v>2956.5694918964905</v>
      </c>
      <c r="AH202" s="1136">
        <f>+AH204*AH6</f>
        <v>3052.9777631164488</v>
      </c>
      <c r="AI202" s="972">
        <f>+AI204*AI6</f>
        <v>3089.5362503526771</v>
      </c>
      <c r="AK202" s="165">
        <f>+'3FS'!D16</f>
        <v>6622</v>
      </c>
      <c r="AL202" s="165">
        <f>+'3FS'!E16</f>
        <v>11878</v>
      </c>
      <c r="AM202" s="165">
        <f>+'3FS'!F16</f>
        <v>13934</v>
      </c>
      <c r="AN202" s="165">
        <f>+'3FS'!G16</f>
        <v>14666</v>
      </c>
      <c r="AO202" s="165">
        <f>+'3FS'!H16</f>
        <v>11655</v>
      </c>
      <c r="AP202" s="165">
        <f>+'3FS'!I16</f>
        <v>10771</v>
      </c>
      <c r="AQ202" s="554">
        <f>SUMIFS($D202:$AI202,$D$3:$AI$3, AQ$3)</f>
        <v>11130.070725437781</v>
      </c>
      <c r="AR202" s="554">
        <f>SUMIFS($D202:$AI202,$D$3:$AI$3, AR$3)</f>
        <v>11929.77746889479</v>
      </c>
      <c r="AS202" s="554">
        <f>+AS204*AS6</f>
        <v>12593.962004661355</v>
      </c>
    </row>
    <row r="203" spans="1:45" s="244" customFormat="1" x14ac:dyDescent="0.2">
      <c r="B203" s="243" t="s">
        <v>266</v>
      </c>
      <c r="D203" s="245"/>
      <c r="E203" s="245"/>
      <c r="F203" s="245"/>
      <c r="G203" s="896"/>
      <c r="H203" s="246">
        <f t="shared" ref="H203" si="1001">+H202/D202-1</f>
        <v>-4.2489527229204072E-2</v>
      </c>
      <c r="I203" s="246">
        <f t="shared" ref="I203" si="1002">+I202/E202-1</f>
        <v>-3.7589313451382389E-2</v>
      </c>
      <c r="J203" s="246">
        <f t="shared" ref="J203" si="1003">+J202/F202-1</f>
        <v>-1.5448603683897777E-2</v>
      </c>
      <c r="K203" s="878">
        <f t="shared" ref="K203" si="1004">+K202/G202-1</f>
        <v>0.16075219896875947</v>
      </c>
      <c r="L203" s="246">
        <f t="shared" ref="L203" si="1005">+L202/H202-1</f>
        <v>5.7500000000000107E-2</v>
      </c>
      <c r="M203" s="246">
        <f t="shared" ref="M203" si="1006">+M202/I202-1</f>
        <v>0.1268560361523563</v>
      </c>
      <c r="N203" s="246">
        <f t="shared" ref="N203" si="1007">+N202/J202-1</f>
        <v>6.759203379601697E-2</v>
      </c>
      <c r="O203" s="878">
        <f t="shared" ref="O203" si="1008">+O202/K202-1</f>
        <v>-7.9958191795139744E-2</v>
      </c>
      <c r="P203" s="246">
        <f t="shared" ref="P203" si="1009">+P202/L202-1</f>
        <v>0.10135933806146569</v>
      </c>
      <c r="Q203" s="246">
        <f t="shared" ref="Q203" si="1010">+Q202/M202-1</f>
        <v>0.16299054712116878</v>
      </c>
      <c r="R203" s="246">
        <f t="shared" ref="R203" si="1011">+R202/N202-1</f>
        <v>4.9180327868852514E-2</v>
      </c>
      <c r="S203" s="878">
        <f t="shared" ref="S203" si="1012">+S202/O202-1</f>
        <v>-0.1005396194262993</v>
      </c>
      <c r="T203" s="246">
        <f t="shared" ref="T203" si="1013">+T202/P202-1</f>
        <v>-0.1786960021464985</v>
      </c>
      <c r="U203" s="246">
        <f t="shared" ref="U203" si="1014">+U202/Q202-1</f>
        <v>-0.28177339901477827</v>
      </c>
      <c r="V203" s="246">
        <f t="shared" ref="V203" si="1015">+V202/R202-1</f>
        <v>-0.2225215517241379</v>
      </c>
      <c r="W203" s="878">
        <f t="shared" ref="W203" si="1016">+W202/S202-1</f>
        <v>-0.11840858856962422</v>
      </c>
      <c r="X203" s="246">
        <f t="shared" ref="X203" si="1017">+X202/T202-1</f>
        <v>-0.12185560274420126</v>
      </c>
      <c r="Y203" s="246">
        <f t="shared" ref="Y203:AD203" si="1018">+Y202/U202-1</f>
        <v>-8.6419753086419804E-2</v>
      </c>
      <c r="Z203" s="246">
        <f t="shared" si="1018"/>
        <v>-5.6826056826056792E-2</v>
      </c>
      <c r="AA203" s="878">
        <f t="shared" si="1018"/>
        <v>-3.4025787965616061E-2</v>
      </c>
      <c r="AB203" s="246">
        <f t="shared" si="1018"/>
        <v>-3.1994047619047672E-2</v>
      </c>
      <c r="AC203" s="246">
        <f t="shared" si="1018"/>
        <v>1.9894894894894932E-2</v>
      </c>
      <c r="AD203" s="246">
        <f t="shared" si="1018"/>
        <v>5.5473916238060195E-2</v>
      </c>
      <c r="AE203" s="1137">
        <f>+AE202/AA202-1</f>
        <v>8.9384770277263659E-2</v>
      </c>
      <c r="AF203" s="552">
        <f t="shared" ref="AF203" si="1019">+AF202/AB202-1</f>
        <v>8.7891607812903061E-2</v>
      </c>
      <c r="AG203" s="552">
        <f t="shared" ref="AG203" si="1020">+AG202/AC202-1</f>
        <v>8.8174270112804765E-2</v>
      </c>
      <c r="AH203" s="552">
        <f t="shared" ref="AH203" si="1021">+AH202/AD202-1</f>
        <v>6.2644539894343598E-2</v>
      </c>
      <c r="AI203" s="1137">
        <f>+AI202/AE202-1</f>
        <v>5.1552715734005439E-2</v>
      </c>
      <c r="AK203" s="246"/>
      <c r="AL203" s="246">
        <f t="shared" ref="AL203" si="1022">+AL202/AK202-1</f>
        <v>0.79371790999697978</v>
      </c>
      <c r="AM203" s="246">
        <f t="shared" ref="AM203" si="1023">+AM202/AL202-1</f>
        <v>0.17309311331874055</v>
      </c>
      <c r="AN203" s="246">
        <f t="shared" ref="AN203" si="1024">+AN202/AM202-1</f>
        <v>5.2533371609013946E-2</v>
      </c>
      <c r="AO203" s="246">
        <f t="shared" ref="AO203:AP203" si="1025">+AO202/AN202-1</f>
        <v>-0.20530478658120821</v>
      </c>
      <c r="AP203" s="246">
        <f t="shared" si="1025"/>
        <v>-7.5847275847275797E-2</v>
      </c>
      <c r="AQ203" s="552">
        <f t="shared" ref="AQ203" si="1026">+AQ202/AP202-1</f>
        <v>3.3336804886991089E-2</v>
      </c>
      <c r="AR203" s="552">
        <f t="shared" ref="AR203" si="1027">+AR202/AQ202-1</f>
        <v>7.1851002853852375E-2</v>
      </c>
      <c r="AS203" s="552">
        <f t="shared" ref="AS203" si="1028">+AS202/AR202-1</f>
        <v>5.5674511741592214E-2</v>
      </c>
    </row>
    <row r="204" spans="1:45" x14ac:dyDescent="0.2">
      <c r="B204" s="47" t="s">
        <v>294</v>
      </c>
      <c r="D204" s="262">
        <f t="shared" ref="D204:AD204" si="1029">+D202/D6</f>
        <v>0.25904968607084722</v>
      </c>
      <c r="E204" s="262">
        <f t="shared" si="1029"/>
        <v>0.2474630996309963</v>
      </c>
      <c r="F204" s="262">
        <f t="shared" si="1029"/>
        <v>0.26072811773818744</v>
      </c>
      <c r="G204" s="869">
        <f t="shared" si="1029"/>
        <v>0.24962144155057542</v>
      </c>
      <c r="H204" s="262">
        <f t="shared" si="1029"/>
        <v>0.2424793513677351</v>
      </c>
      <c r="I204" s="262">
        <f t="shared" si="1029"/>
        <v>0.23416477702191987</v>
      </c>
      <c r="J204" s="262">
        <f t="shared" si="1029"/>
        <v>0.23438715609307589</v>
      </c>
      <c r="K204" s="869">
        <f t="shared" si="1029"/>
        <v>0.26988716502115656</v>
      </c>
      <c r="L204" s="262">
        <f t="shared" si="1029"/>
        <v>0.23844419391206315</v>
      </c>
      <c r="M204" s="262">
        <f t="shared" si="1029"/>
        <v>0.24089152635937069</v>
      </c>
      <c r="N204" s="262">
        <f t="shared" si="1029"/>
        <v>0.2403206086129602</v>
      </c>
      <c r="O204" s="869">
        <f t="shared" si="1029"/>
        <v>0.23531377397580699</v>
      </c>
      <c r="P204" s="262">
        <f t="shared" si="1029"/>
        <v>0.24636435748281332</v>
      </c>
      <c r="Q204" s="262">
        <f t="shared" si="1029"/>
        <v>0.26508226691042047</v>
      </c>
      <c r="R204" s="262">
        <f t="shared" si="1029"/>
        <v>0.2416509341839724</v>
      </c>
      <c r="S204" s="869">
        <f t="shared" si="1029"/>
        <v>0.20408557803840702</v>
      </c>
      <c r="T204" s="262">
        <f t="shared" si="1029"/>
        <v>0.19689952399331018</v>
      </c>
      <c r="U204" s="262">
        <f t="shared" si="1029"/>
        <v>0.18528402592451393</v>
      </c>
      <c r="V204" s="262">
        <f t="shared" si="1029"/>
        <v>0.18134975493276362</v>
      </c>
      <c r="W204" s="869">
        <f t="shared" si="1029"/>
        <v>0.17403228822539427</v>
      </c>
      <c r="X204" s="262">
        <f t="shared" si="1029"/>
        <v>0.16699801192842942</v>
      </c>
      <c r="Y204" s="262">
        <f t="shared" si="1029"/>
        <v>0.1621522916793475</v>
      </c>
      <c r="Z204" s="262">
        <f t="shared" si="1029"/>
        <v>0.16275037369207773</v>
      </c>
      <c r="AA204" s="869">
        <f t="shared" si="1029"/>
        <v>0.1593218336483932</v>
      </c>
      <c r="AB204" s="262">
        <f t="shared" si="1029"/>
        <v>0.15373707533234859</v>
      </c>
      <c r="AC204" s="262">
        <f t="shared" si="1029"/>
        <v>0.1558091524257369</v>
      </c>
      <c r="AD204" s="262">
        <f t="shared" si="1029"/>
        <v>0.15750232991612301</v>
      </c>
      <c r="AE204" s="1138">
        <f>+AA204-0.1%</f>
        <v>0.1583218336483932</v>
      </c>
      <c r="AF204" s="1139">
        <f>+AB204-0.1%</f>
        <v>0.15273707533234859</v>
      </c>
      <c r="AG204" s="1139">
        <f>+AC204-0.1%</f>
        <v>0.1548091524257369</v>
      </c>
      <c r="AH204" s="1139">
        <f>+AD204-0.1%</f>
        <v>0.15650232991612301</v>
      </c>
      <c r="AI204" s="1138">
        <f>+AE204-0.1%</f>
        <v>0.15732183364839319</v>
      </c>
      <c r="AK204" s="262">
        <f t="shared" ref="AK204:AR204" si="1030">+AK202/AK6</f>
        <v>0.19194202898550725</v>
      </c>
      <c r="AL204" s="262">
        <f t="shared" si="1030"/>
        <v>0.23569798591130073</v>
      </c>
      <c r="AM204" s="262">
        <f t="shared" si="1030"/>
        <v>0.2387226096044133</v>
      </c>
      <c r="AN204" s="262">
        <f t="shared" si="1030"/>
        <v>0.23915985845441351</v>
      </c>
      <c r="AO204" s="262">
        <f t="shared" si="1030"/>
        <v>0.18429499849780998</v>
      </c>
      <c r="AP204" s="262">
        <f t="shared" si="1030"/>
        <v>0.16275801625917979</v>
      </c>
      <c r="AQ204" s="1147">
        <f t="shared" si="1030"/>
        <v>0.15640560680810045</v>
      </c>
      <c r="AR204" s="1147">
        <f t="shared" si="1030"/>
        <v>0.15538188198015507</v>
      </c>
      <c r="AS204" s="1139">
        <f>AR204</f>
        <v>0.15538188198015507</v>
      </c>
    </row>
    <row r="205" spans="1:45" x14ac:dyDescent="0.2">
      <c r="B205" s="47" t="s">
        <v>766</v>
      </c>
      <c r="D205" s="262">
        <f>1-D204</f>
        <v>0.74095031392915278</v>
      </c>
      <c r="E205" s="262">
        <f t="shared" ref="E205:AI205" si="1031">1-E204</f>
        <v>0.75253690036900367</v>
      </c>
      <c r="F205" s="262">
        <f t="shared" si="1031"/>
        <v>0.73927188226181251</v>
      </c>
      <c r="G205" s="869">
        <f t="shared" si="1031"/>
        <v>0.75037855844942458</v>
      </c>
      <c r="H205" s="262">
        <f t="shared" si="1031"/>
        <v>0.75752064863226487</v>
      </c>
      <c r="I205" s="262">
        <f t="shared" si="1031"/>
        <v>0.76583522297808015</v>
      </c>
      <c r="J205" s="262">
        <f t="shared" si="1031"/>
        <v>0.76561284390692408</v>
      </c>
      <c r="K205" s="869">
        <f t="shared" si="1031"/>
        <v>0.73011283497884349</v>
      </c>
      <c r="L205" s="262">
        <f t="shared" si="1031"/>
        <v>0.76155580608793683</v>
      </c>
      <c r="M205" s="262">
        <f t="shared" si="1031"/>
        <v>0.75910847364062928</v>
      </c>
      <c r="N205" s="262">
        <f t="shared" si="1031"/>
        <v>0.75967939138703977</v>
      </c>
      <c r="O205" s="869">
        <f t="shared" si="1031"/>
        <v>0.76468622602419301</v>
      </c>
      <c r="P205" s="262">
        <f t="shared" si="1031"/>
        <v>0.75363564251718662</v>
      </c>
      <c r="Q205" s="262">
        <f t="shared" si="1031"/>
        <v>0.73491773308957953</v>
      </c>
      <c r="R205" s="262">
        <f t="shared" si="1031"/>
        <v>0.75834906581602757</v>
      </c>
      <c r="S205" s="869">
        <f t="shared" si="1031"/>
        <v>0.79591442196159301</v>
      </c>
      <c r="T205" s="262">
        <f t="shared" si="1031"/>
        <v>0.80310047600668977</v>
      </c>
      <c r="U205" s="262">
        <f t="shared" si="1031"/>
        <v>0.81471597407548613</v>
      </c>
      <c r="V205" s="262">
        <f t="shared" si="1031"/>
        <v>0.81865024506723638</v>
      </c>
      <c r="W205" s="869">
        <f t="shared" si="1031"/>
        <v>0.82596771177460571</v>
      </c>
      <c r="X205" s="262">
        <f t="shared" si="1031"/>
        <v>0.83300198807157055</v>
      </c>
      <c r="Y205" s="262">
        <f t="shared" si="1031"/>
        <v>0.83784770832065247</v>
      </c>
      <c r="Z205" s="262">
        <f t="shared" ref="Z205:AA205" si="1032">1-Z204</f>
        <v>0.83724962630792232</v>
      </c>
      <c r="AA205" s="869">
        <f t="shared" si="1032"/>
        <v>0.84067816635160675</v>
      </c>
      <c r="AB205" s="262">
        <f t="shared" ref="AB205:AC205" si="1033">1-AB204</f>
        <v>0.84626292466765141</v>
      </c>
      <c r="AC205" s="262">
        <f t="shared" si="1033"/>
        <v>0.8441908475742631</v>
      </c>
      <c r="AD205" s="262">
        <f t="shared" ref="AD205" si="1034">1-AD204</f>
        <v>0.84249767008387699</v>
      </c>
      <c r="AE205" s="1140">
        <f t="shared" si="1031"/>
        <v>0.84167816635160686</v>
      </c>
      <c r="AF205" s="1141">
        <f t="shared" si="1031"/>
        <v>0.84726292466765141</v>
      </c>
      <c r="AG205" s="1141">
        <f t="shared" si="1031"/>
        <v>0.8451908475742631</v>
      </c>
      <c r="AH205" s="1141">
        <f t="shared" si="1031"/>
        <v>0.84349767008387699</v>
      </c>
      <c r="AI205" s="1140">
        <f t="shared" si="1031"/>
        <v>0.84267816635160675</v>
      </c>
      <c r="AK205" s="241">
        <f t="shared" ref="AK205" si="1035">1-AK204</f>
        <v>0.80805797101449273</v>
      </c>
      <c r="AL205" s="262">
        <f t="shared" ref="AL205" si="1036">1-AL204</f>
        <v>0.76430201408869924</v>
      </c>
      <c r="AM205" s="262">
        <f t="shared" ref="AM205" si="1037">1-AM204</f>
        <v>0.76127739039558673</v>
      </c>
      <c r="AN205" s="262">
        <f t="shared" ref="AN205" si="1038">1-AN204</f>
        <v>0.76084014154558655</v>
      </c>
      <c r="AO205" s="262">
        <f t="shared" ref="AO205:AP205" si="1039">1-AO204</f>
        <v>0.81570500150219005</v>
      </c>
      <c r="AP205" s="262">
        <f t="shared" si="1039"/>
        <v>0.83724198374082026</v>
      </c>
      <c r="AQ205" s="1147">
        <f t="shared" ref="AQ205" si="1040">1-AQ204</f>
        <v>0.84359439319189955</v>
      </c>
      <c r="AR205" s="1147">
        <f t="shared" ref="AR205" si="1041">1-AR204</f>
        <v>0.84461811801984488</v>
      </c>
      <c r="AS205" s="1141">
        <f t="shared" ref="AS205" si="1042">1-AS204</f>
        <v>0.84461811801984488</v>
      </c>
    </row>
    <row r="206" spans="1:45" x14ac:dyDescent="0.2">
      <c r="B206" s="49"/>
      <c r="G206" s="595"/>
      <c r="K206" s="595"/>
      <c r="O206" s="595"/>
      <c r="S206" s="595"/>
      <c r="W206" s="595"/>
      <c r="AA206" s="595"/>
      <c r="AE206" s="913"/>
      <c r="AF206" s="370"/>
      <c r="AG206" s="370"/>
      <c r="AH206" s="370"/>
      <c r="AI206" s="913"/>
      <c r="AQ206" s="370"/>
      <c r="AR206" s="370"/>
      <c r="AS206" s="370"/>
    </row>
    <row r="207" spans="1:45" s="3" customFormat="1" x14ac:dyDescent="0.2">
      <c r="B207" s="266" t="s">
        <v>295</v>
      </c>
      <c r="D207" s="165">
        <f>+'3FS'!K17</f>
        <v>3624</v>
      </c>
      <c r="E207" s="165">
        <f>+'3FS'!L17</f>
        <v>3280</v>
      </c>
      <c r="F207" s="165">
        <f>+'3FS'!M17</f>
        <v>3330</v>
      </c>
      <c r="G207" s="862">
        <f>+'3FS'!N17</f>
        <v>4341</v>
      </c>
      <c r="H207" s="165">
        <f>+'3FS'!O17</f>
        <v>3268</v>
      </c>
      <c r="I207" s="165">
        <f>+'3FS'!P17</f>
        <v>3667</v>
      </c>
      <c r="J207" s="165">
        <f>+'3FS'!Q17</f>
        <v>4367</v>
      </c>
      <c r="K207" s="862">
        <f>+'3FS'!R17</f>
        <v>5825</v>
      </c>
      <c r="L207" s="165">
        <f>+'3FS'!S17</f>
        <v>5142</v>
      </c>
      <c r="M207" s="165">
        <f>+'3FS'!T17</f>
        <v>5453</v>
      </c>
      <c r="N207" s="165">
        <f>+'3FS'!U17</f>
        <v>5145</v>
      </c>
      <c r="O207" s="862">
        <f>+'3FS'!V17</f>
        <v>6931</v>
      </c>
      <c r="P207" s="165">
        <f>+'3FS'!W17</f>
        <v>5946</v>
      </c>
      <c r="Q207" s="165">
        <f>+'3FS'!X17</f>
        <v>5108</v>
      </c>
      <c r="R207" s="165">
        <f>+'3FS'!Y17</f>
        <v>4982</v>
      </c>
      <c r="S207" s="862">
        <f>+'3FS'!Z17</f>
        <v>5504</v>
      </c>
      <c r="T207" s="165">
        <f>+'3FS'!AA17</f>
        <v>4588</v>
      </c>
      <c r="U207" s="165">
        <f>+'3FS'!AB17</f>
        <v>4088</v>
      </c>
      <c r="V207" s="165">
        <f>+'3FS'!AC17</f>
        <v>4249</v>
      </c>
      <c r="W207" s="862">
        <f>+'3FS'!AD17</f>
        <v>5608</v>
      </c>
      <c r="X207" s="165">
        <f>+'3FS'!AE17</f>
        <v>4399</v>
      </c>
      <c r="Y207" s="165">
        <f>+'3FS'!AF17</f>
        <v>4088</v>
      </c>
      <c r="Z207" s="165">
        <f>+'3FS'!AG17</f>
        <v>4307</v>
      </c>
      <c r="AA207" s="862">
        <f>+'3FS'!AH17</f>
        <v>6088</v>
      </c>
      <c r="AB207" s="165">
        <f>+'3FS'!AI17</f>
        <v>4798</v>
      </c>
      <c r="AC207" s="165">
        <f>+'3FS'!AJ17</f>
        <v>4659</v>
      </c>
      <c r="AD207" s="165">
        <f>+'3FS'!AK17</f>
        <v>4853</v>
      </c>
      <c r="AE207" s="972">
        <f t="shared" ref="AE207:AI207" si="1043">+AE209*AE192</f>
        <v>6907.6944207370607</v>
      </c>
      <c r="AF207" s="1136">
        <f t="shared" si="1043"/>
        <v>4862.4197999091939</v>
      </c>
      <c r="AG207" s="1136">
        <f t="shared" si="1043"/>
        <v>5127.3165099126727</v>
      </c>
      <c r="AH207" s="1136">
        <f t="shared" si="1043"/>
        <v>5178.2651856212096</v>
      </c>
      <c r="AI207" s="972">
        <f t="shared" si="1043"/>
        <v>7272.6496720053274</v>
      </c>
      <c r="AK207" s="165">
        <f>+'3FS'!D17</f>
        <v>11899</v>
      </c>
      <c r="AL207" s="165">
        <f>+'3FS'!E17</f>
        <v>16388</v>
      </c>
      <c r="AM207" s="165">
        <f>+'3FS'!F17</f>
        <v>22671</v>
      </c>
      <c r="AN207" s="165">
        <f>+'3FS'!G17</f>
        <v>21540</v>
      </c>
      <c r="AO207" s="165">
        <f>+'3FS'!H17</f>
        <v>18533</v>
      </c>
      <c r="AP207" s="165">
        <f>+'3FS'!I17</f>
        <v>18882</v>
      </c>
      <c r="AQ207" s="554">
        <f>SUMIFS($D207:$AI207,$D$3:$AI$3, AQ$3)</f>
        <v>21217.694420737062</v>
      </c>
      <c r="AR207" s="554">
        <f>SUMIFS($D207:$AI207,$D$3:$AI$3, AR$3)</f>
        <v>22440.651167448406</v>
      </c>
      <c r="AS207" s="554">
        <f>+AS209*AS192</f>
        <v>23173.981538250653</v>
      </c>
    </row>
    <row r="208" spans="1:45" s="244" customFormat="1" x14ac:dyDescent="0.2">
      <c r="B208" s="243" t="s">
        <v>266</v>
      </c>
      <c r="D208" s="245"/>
      <c r="E208" s="245"/>
      <c r="F208" s="245"/>
      <c r="G208" s="896"/>
      <c r="H208" s="246">
        <f t="shared" ref="H208" si="1044">+H207/D207-1</f>
        <v>-9.8233995584988909E-2</v>
      </c>
      <c r="I208" s="246">
        <f t="shared" ref="I208" si="1045">+I207/E207-1</f>
        <v>0.11798780487804872</v>
      </c>
      <c r="J208" s="246">
        <f t="shared" ref="J208" si="1046">+J207/F207-1</f>
        <v>0.31141141141141149</v>
      </c>
      <c r="K208" s="878">
        <f t="shared" ref="K208" si="1047">+K207/G207-1</f>
        <v>0.34185671504261683</v>
      </c>
      <c r="L208" s="246">
        <f t="shared" ref="L208" si="1048">+L207/H207-1</f>
        <v>0.57343941248470021</v>
      </c>
      <c r="M208" s="246">
        <f t="shared" ref="M208" si="1049">+M207/I207-1</f>
        <v>0.48704663212435229</v>
      </c>
      <c r="N208" s="246">
        <f t="shared" ref="N208" si="1050">+N207/J207-1</f>
        <v>0.1781543393634073</v>
      </c>
      <c r="O208" s="878">
        <f t="shared" ref="O208" si="1051">+O207/K207-1</f>
        <v>0.18987124463519311</v>
      </c>
      <c r="P208" s="246">
        <f t="shared" ref="P208" si="1052">+P207/L207-1</f>
        <v>0.15635939323220538</v>
      </c>
      <c r="Q208" s="246">
        <f t="shared" ref="Q208" si="1053">+Q207/M207-1</f>
        <v>-6.3267925912341871E-2</v>
      </c>
      <c r="R208" s="246">
        <f t="shared" ref="R208" si="1054">+R207/N207-1</f>
        <v>-3.1681243926141911E-2</v>
      </c>
      <c r="S208" s="878">
        <f t="shared" ref="S208" si="1055">+S207/O207-1</f>
        <v>-0.2058865964507286</v>
      </c>
      <c r="T208" s="246">
        <f t="shared" ref="T208" si="1056">+T207/P207-1</f>
        <v>-0.22838883282879252</v>
      </c>
      <c r="U208" s="246">
        <f t="shared" ref="U208" si="1057">+U207/Q207-1</f>
        <v>-0.19968676585747847</v>
      </c>
      <c r="V208" s="246">
        <f t="shared" ref="V208" si="1058">+V207/R207-1</f>
        <v>-0.14712966680048178</v>
      </c>
      <c r="W208" s="878">
        <f t="shared" ref="W208" si="1059">+W207/S207-1</f>
        <v>1.8895348837209225E-2</v>
      </c>
      <c r="X208" s="246">
        <f t="shared" ref="X208" si="1060">+X207/T207-1</f>
        <v>-4.1194420226678297E-2</v>
      </c>
      <c r="Y208" s="246">
        <f t="shared" ref="Y208:AD208" si="1061">+Y207/U207-1</f>
        <v>0</v>
      </c>
      <c r="Z208" s="246">
        <f t="shared" si="1061"/>
        <v>1.365027065191815E-2</v>
      </c>
      <c r="AA208" s="878">
        <f t="shared" si="1061"/>
        <v>8.5592011412268132E-2</v>
      </c>
      <c r="AB208" s="246">
        <f t="shared" si="1061"/>
        <v>9.0702432370993513E-2</v>
      </c>
      <c r="AC208" s="246">
        <f t="shared" si="1061"/>
        <v>0.13967710371819964</v>
      </c>
      <c r="AD208" s="246">
        <f t="shared" si="1061"/>
        <v>0.12677037381007672</v>
      </c>
      <c r="AE208" s="1137">
        <f>+AE207/AA207-1</f>
        <v>0.13464100209215846</v>
      </c>
      <c r="AF208" s="552">
        <f t="shared" ref="AF208" si="1062">+AF207/AB207-1</f>
        <v>1.3426385975238375E-2</v>
      </c>
      <c r="AG208" s="552">
        <f t="shared" ref="AG208" si="1063">+AG207/AC207-1</f>
        <v>0.10051867566273298</v>
      </c>
      <c r="AH208" s="552">
        <f t="shared" ref="AH208" si="1064">+AH207/AD207-1</f>
        <v>6.702352887311136E-2</v>
      </c>
      <c r="AI208" s="1137">
        <f>+AI207/AE207-1</f>
        <v>5.2833149389565071E-2</v>
      </c>
      <c r="AK208" s="246"/>
      <c r="AL208" s="246">
        <f t="shared" ref="AL208" si="1065">+AL207/AK207-1</f>
        <v>0.37725859315908905</v>
      </c>
      <c r="AM208" s="246">
        <f t="shared" ref="AM208" si="1066">+AM207/AL207-1</f>
        <v>0.38339028557481081</v>
      </c>
      <c r="AN208" s="246">
        <f t="shared" ref="AN208" si="1067">+AN207/AM207-1</f>
        <v>-4.9887521503242049E-2</v>
      </c>
      <c r="AO208" s="246">
        <f t="shared" ref="AO208:AP208" si="1068">+AO207/AN207-1</f>
        <v>-0.13960074280408541</v>
      </c>
      <c r="AP208" s="246">
        <f t="shared" si="1068"/>
        <v>1.8831273943775928E-2</v>
      </c>
      <c r="AQ208" s="552">
        <f t="shared" ref="AQ208" si="1069">+AQ207/AP207-1</f>
        <v>0.12369952445382171</v>
      </c>
      <c r="AR208" s="552">
        <f t="shared" ref="AR208" si="1070">+AR207/AQ207-1</f>
        <v>5.7638531428565232E-2</v>
      </c>
      <c r="AS208" s="552">
        <f t="shared" ref="AS208" si="1071">+AS207/AR207-1</f>
        <v>3.267865826754579E-2</v>
      </c>
    </row>
    <row r="209" spans="2:45" x14ac:dyDescent="0.2">
      <c r="B209" s="47" t="s">
        <v>292</v>
      </c>
      <c r="D209" s="241">
        <f>+D207/D192</f>
        <v>1.2929004637887977</v>
      </c>
      <c r="E209" s="241">
        <f t="shared" ref="E209:Y209" si="1072">+E207/E192</f>
        <v>1.2847630238934586</v>
      </c>
      <c r="F209" s="241">
        <f t="shared" si="1072"/>
        <v>1.3438256658595642</v>
      </c>
      <c r="G209" s="867">
        <f t="shared" si="1072"/>
        <v>1.3694006309148266</v>
      </c>
      <c r="H209" s="241">
        <f t="shared" si="1072"/>
        <v>1.3209377526273243</v>
      </c>
      <c r="I209" s="241">
        <f t="shared" si="1072"/>
        <v>1.2875702247191012</v>
      </c>
      <c r="J209" s="241">
        <f t="shared" si="1072"/>
        <v>1.212045517624202</v>
      </c>
      <c r="K209" s="867">
        <f t="shared" si="1072"/>
        <v>1.2320219966159052</v>
      </c>
      <c r="L209" s="241">
        <f t="shared" si="1072"/>
        <v>1.194425087108014</v>
      </c>
      <c r="M209" s="241">
        <f t="shared" si="1072"/>
        <v>1.2678446872820275</v>
      </c>
      <c r="N209" s="241">
        <f t="shared" si="1072"/>
        <v>1.3226221079691516</v>
      </c>
      <c r="O209" s="867">
        <f t="shared" si="1072"/>
        <v>1.4194142944910915</v>
      </c>
      <c r="P209" s="241">
        <f t="shared" si="1072"/>
        <v>1.4133586879011173</v>
      </c>
      <c r="Q209" s="241">
        <f t="shared" si="1072"/>
        <v>1.3643162393162394</v>
      </c>
      <c r="R209" s="241">
        <f t="shared" si="1072"/>
        <v>1.4057562076749435</v>
      </c>
      <c r="S209" s="867">
        <f t="shared" si="1072"/>
        <v>1.3089179548156955</v>
      </c>
      <c r="T209" s="241">
        <f t="shared" si="1072"/>
        <v>1.284434490481523</v>
      </c>
      <c r="U209" s="241">
        <f t="shared" si="1072"/>
        <v>1.3187096774193547</v>
      </c>
      <c r="V209" s="241">
        <f t="shared" si="1072"/>
        <v>1.4055573933178962</v>
      </c>
      <c r="W209" s="867">
        <f t="shared" si="1072"/>
        <v>1.3575405470830308</v>
      </c>
      <c r="X209" s="241">
        <f t="shared" si="1072"/>
        <v>1.3678482587064678</v>
      </c>
      <c r="Y209" s="241">
        <f t="shared" si="1072"/>
        <v>1.3272727272727274</v>
      </c>
      <c r="Z209" s="241">
        <f t="shared" ref="Z209:AA209" si="1073">+Z207/Z192</f>
        <v>1.3518518518518519</v>
      </c>
      <c r="AA209" s="867">
        <f t="shared" si="1073"/>
        <v>1.2986348122866893</v>
      </c>
      <c r="AB209" s="241">
        <f t="shared" ref="AB209:AC209" si="1074">+AB207/AB192</f>
        <v>1.2957061841749933</v>
      </c>
      <c r="AC209" s="241">
        <f t="shared" si="1074"/>
        <v>1.3571220506845325</v>
      </c>
      <c r="AD209" s="241">
        <f t="shared" ref="AD209" si="1075">+AD207/AD192</f>
        <v>1.4021958971395549</v>
      </c>
      <c r="AE209" s="1142">
        <f>+AA209+7%</f>
        <v>1.3686348122866894</v>
      </c>
      <c r="AF209" s="1143">
        <f>+AB209</f>
        <v>1.2957061841749933</v>
      </c>
      <c r="AG209" s="1143">
        <f t="shared" ref="AG209:AH209" si="1076">+AC209</f>
        <v>1.3571220506845325</v>
      </c>
      <c r="AH209" s="1143">
        <f t="shared" si="1076"/>
        <v>1.4021958971395549</v>
      </c>
      <c r="AI209" s="1142">
        <f>+AE209</f>
        <v>1.3686348122866894</v>
      </c>
      <c r="AK209" s="241"/>
      <c r="AL209" s="262">
        <f t="shared" ref="AL209:AR209" si="1077">+AL207/AL192</f>
        <v>1.2003222734930052</v>
      </c>
      <c r="AM209" s="262">
        <f t="shared" si="1077"/>
        <v>1.3045054375970999</v>
      </c>
      <c r="AN209" s="262">
        <f t="shared" si="1077"/>
        <v>1.3719745222929935</v>
      </c>
      <c r="AO209" s="262">
        <f t="shared" si="1077"/>
        <v>1.3404455373933168</v>
      </c>
      <c r="AP209" s="262">
        <f t="shared" ref="AP209" si="1078">+AP207/AP192</f>
        <v>1.3325335215243472</v>
      </c>
      <c r="AQ209" s="1147">
        <f t="shared" si="1077"/>
        <v>1.3562708805221206</v>
      </c>
      <c r="AR209" s="1147">
        <f t="shared" si="1077"/>
        <v>1.356950100703318</v>
      </c>
      <c r="AS209" s="1139">
        <f>+AR209</f>
        <v>1.356950100703318</v>
      </c>
    </row>
    <row r="210" spans="2:45" x14ac:dyDescent="0.2">
      <c r="B210" s="47" t="s">
        <v>768</v>
      </c>
      <c r="D210" s="241">
        <f>1-D209</f>
        <v>-0.29290046378879775</v>
      </c>
      <c r="E210" s="241">
        <f t="shared" ref="E210" si="1079">1-E209</f>
        <v>-0.28476302389345864</v>
      </c>
      <c r="F210" s="241">
        <f t="shared" ref="F210" si="1080">1-F209</f>
        <v>-0.3438256658595642</v>
      </c>
      <c r="G210" s="867">
        <f t="shared" ref="G210" si="1081">1-G209</f>
        <v>-0.36940063091482656</v>
      </c>
      <c r="H210" s="241">
        <f t="shared" ref="H210" si="1082">1-H209</f>
        <v>-0.32093775262732427</v>
      </c>
      <c r="I210" s="241">
        <f t="shared" ref="I210" si="1083">1-I209</f>
        <v>-0.28757022471910121</v>
      </c>
      <c r="J210" s="241">
        <f t="shared" ref="J210" si="1084">1-J209</f>
        <v>-0.21204551762420198</v>
      </c>
      <c r="K210" s="867">
        <f t="shared" ref="K210" si="1085">1-K209</f>
        <v>-0.23202199661590517</v>
      </c>
      <c r="L210" s="241">
        <f t="shared" ref="L210" si="1086">1-L209</f>
        <v>-0.19442508710801398</v>
      </c>
      <c r="M210" s="241">
        <f t="shared" ref="M210" si="1087">1-M209</f>
        <v>-0.26784468728202748</v>
      </c>
      <c r="N210" s="241">
        <f t="shared" ref="N210" si="1088">1-N209</f>
        <v>-0.32262210796915158</v>
      </c>
      <c r="O210" s="867">
        <f t="shared" ref="O210" si="1089">1-O209</f>
        <v>-0.41941429449109147</v>
      </c>
      <c r="P210" s="241">
        <f t="shared" ref="P210" si="1090">1-P209</f>
        <v>-0.41335868790111729</v>
      </c>
      <c r="Q210" s="241">
        <f t="shared" ref="Q210" si="1091">1-Q209</f>
        <v>-0.36431623931623935</v>
      </c>
      <c r="R210" s="241">
        <f t="shared" ref="R210" si="1092">1-R209</f>
        <v>-0.40575620767494347</v>
      </c>
      <c r="S210" s="867">
        <f t="shared" ref="S210" si="1093">1-S209</f>
        <v>-0.30891795481569551</v>
      </c>
      <c r="T210" s="241">
        <f t="shared" ref="T210" si="1094">1-T209</f>
        <v>-0.28443449048152303</v>
      </c>
      <c r="U210" s="241">
        <f t="shared" ref="U210" si="1095">1-U209</f>
        <v>-0.31870967741935474</v>
      </c>
      <c r="V210" s="241">
        <f t="shared" ref="V210" si="1096">1-V209</f>
        <v>-0.4055573933178962</v>
      </c>
      <c r="W210" s="867">
        <f t="shared" ref="W210" si="1097">1-W209</f>
        <v>-0.35754054708303085</v>
      </c>
      <c r="X210" s="241">
        <f t="shared" ref="X210" si="1098">1-X209</f>
        <v>-0.36784825870646776</v>
      </c>
      <c r="Y210" s="241">
        <f t="shared" ref="Y210:Z210" si="1099">1-Y209</f>
        <v>-0.32727272727272738</v>
      </c>
      <c r="Z210" s="241">
        <f t="shared" si="1099"/>
        <v>-0.35185185185185186</v>
      </c>
      <c r="AA210" s="867">
        <f t="shared" ref="AA210:AB210" si="1100">1-AA209</f>
        <v>-0.29863481228668931</v>
      </c>
      <c r="AB210" s="241">
        <f t="shared" si="1100"/>
        <v>-0.29570618417499328</v>
      </c>
      <c r="AC210" s="241">
        <f t="shared" ref="AC210" si="1101">1-AC209</f>
        <v>-0.35712205068453251</v>
      </c>
      <c r="AD210" s="241">
        <f t="shared" ref="AD210" si="1102">1-AD209</f>
        <v>-0.40219589713955495</v>
      </c>
      <c r="AE210" s="1140">
        <f t="shared" ref="AE210" si="1103">1-AE209</f>
        <v>-0.36863481228668937</v>
      </c>
      <c r="AF210" s="1141">
        <f t="shared" ref="AF210" si="1104">1-AF209</f>
        <v>-0.29570618417499328</v>
      </c>
      <c r="AG210" s="1141">
        <f t="shared" ref="AG210" si="1105">1-AG209</f>
        <v>-0.35712205068453251</v>
      </c>
      <c r="AH210" s="1141">
        <f t="shared" ref="AH210" si="1106">1-AH209</f>
        <v>-0.40219589713955495</v>
      </c>
      <c r="AI210" s="1140">
        <f t="shared" ref="AI210" si="1107">1-AI209</f>
        <v>-0.36863481228668937</v>
      </c>
      <c r="AK210" s="241"/>
      <c r="AL210" s="241">
        <f t="shared" ref="AL210" si="1108">1-AL209</f>
        <v>-0.20032227349300524</v>
      </c>
      <c r="AM210" s="241">
        <f t="shared" ref="AM210" si="1109">1-AM209</f>
        <v>-0.30450543759709991</v>
      </c>
      <c r="AN210" s="241">
        <f t="shared" ref="AN210" si="1110">1-AN209</f>
        <v>-0.37197452229299355</v>
      </c>
      <c r="AO210" s="241">
        <f t="shared" ref="AO210:AP210" si="1111">1-AO209</f>
        <v>-0.34044553739331684</v>
      </c>
      <c r="AP210" s="262">
        <f t="shared" si="1111"/>
        <v>-0.33253352152434723</v>
      </c>
      <c r="AQ210" s="1147">
        <f t="shared" ref="AQ210" si="1112">1-AQ209</f>
        <v>-0.35627088052212064</v>
      </c>
      <c r="AR210" s="1147">
        <f t="shared" ref="AR210" si="1113">1-AR209</f>
        <v>-0.35695010070331801</v>
      </c>
      <c r="AS210" s="1141">
        <f t="shared" ref="AS210" si="1114">1-AS209</f>
        <v>-0.35695010070331801</v>
      </c>
    </row>
    <row r="211" spans="2:45" x14ac:dyDescent="0.2">
      <c r="B211" s="50"/>
      <c r="G211" s="866"/>
      <c r="K211" s="866"/>
      <c r="O211" s="866"/>
      <c r="R211" s="173"/>
      <c r="S211" s="866"/>
      <c r="T211" s="173"/>
      <c r="U211" s="173"/>
      <c r="V211" s="173"/>
      <c r="W211" s="866"/>
      <c r="X211" s="173"/>
      <c r="Y211" s="173"/>
      <c r="Z211" s="173"/>
      <c r="AA211" s="866"/>
      <c r="AB211" s="173"/>
      <c r="AC211" s="173"/>
      <c r="AD211" s="173"/>
      <c r="AE211" s="913"/>
      <c r="AF211" s="370"/>
      <c r="AG211" s="370"/>
      <c r="AH211" s="370"/>
      <c r="AI211" s="913"/>
      <c r="AQ211" s="370"/>
      <c r="AR211" s="370"/>
      <c r="AS211" s="370"/>
    </row>
    <row r="212" spans="2:45" s="3" customFormat="1" x14ac:dyDescent="0.2">
      <c r="B212" s="51" t="s">
        <v>296</v>
      </c>
      <c r="D212" s="165">
        <f>+'3FS'!K18</f>
        <v>5010</v>
      </c>
      <c r="E212" s="165">
        <f>+'3FS'!L18</f>
        <v>5177</v>
      </c>
      <c r="F212" s="165">
        <f>+'3FS'!M18</f>
        <v>4979</v>
      </c>
      <c r="G212" s="862">
        <f>+'3FS'!N18</f>
        <v>5028</v>
      </c>
      <c r="H212" s="165">
        <f>+'3FS'!O18</f>
        <v>5280</v>
      </c>
      <c r="I212" s="165">
        <f>+'3FS'!P18</f>
        <v>5604</v>
      </c>
      <c r="J212" s="165">
        <f>+'3FS'!Q18</f>
        <v>4876</v>
      </c>
      <c r="K212" s="862">
        <f>+'3FS'!R18</f>
        <v>4758</v>
      </c>
      <c r="L212" s="165">
        <f>+'3FS'!S18</f>
        <v>4805</v>
      </c>
      <c r="M212" s="165">
        <f>+'3FS'!T18</f>
        <v>4823</v>
      </c>
      <c r="N212" s="165">
        <f>+'3FS'!U18</f>
        <v>5212</v>
      </c>
      <c r="O212" s="862">
        <f>+'3FS'!V18</f>
        <v>5398</v>
      </c>
      <c r="P212" s="165">
        <f>+'3FS'!W18</f>
        <v>5056</v>
      </c>
      <c r="Q212" s="165">
        <f>+'3FS'!X18</f>
        <v>5856</v>
      </c>
      <c r="R212" s="165">
        <f>+'3FS'!Y18</f>
        <v>5118</v>
      </c>
      <c r="S212" s="862">
        <f>+'3FS'!Z18</f>
        <v>5577</v>
      </c>
      <c r="T212" s="165">
        <f>+'3FS'!AA18</f>
        <v>5425</v>
      </c>
      <c r="U212" s="165">
        <f>+'3FS'!AB18</f>
        <v>5272</v>
      </c>
      <c r="V212" s="165">
        <f>+'3FS'!AC18</f>
        <v>5334</v>
      </c>
      <c r="W212" s="862">
        <f>+'3FS'!AD18</f>
        <v>5280</v>
      </c>
      <c r="X212" s="165">
        <f>+'3FS'!AE18</f>
        <v>5138</v>
      </c>
      <c r="Y212" s="165">
        <f>+'3FS'!AF18</f>
        <v>5142</v>
      </c>
      <c r="Z212" s="165">
        <f>+'3FS'!AG18</f>
        <v>5186</v>
      </c>
      <c r="AA212" s="862">
        <f>+'3FS'!AH18</f>
        <v>5352</v>
      </c>
      <c r="AB212" s="165">
        <f>+'3FS'!AI18</f>
        <v>5488</v>
      </c>
      <c r="AC212" s="165">
        <f>+'3FS'!AJ18</f>
        <v>5397</v>
      </c>
      <c r="AD212" s="165">
        <f>+'3FS'!AK18</f>
        <v>6015</v>
      </c>
      <c r="AE212" s="972">
        <f>+AE214*AE17 -AE217+AE218</f>
        <v>6320.3537322176526</v>
      </c>
      <c r="AF212" s="1136">
        <f>+AF214*AF17 -AF217+AF218</f>
        <v>6186.0397787664797</v>
      </c>
      <c r="AG212" s="1136">
        <f>+AG214*AG17 -AG217+AG218</f>
        <v>6055.6417516885549</v>
      </c>
      <c r="AH212" s="1136">
        <f>+AH214*AH17 -AH217+AH218</f>
        <v>6542.3422374297888</v>
      </c>
      <c r="AI212" s="972">
        <f>+AI214*AI17 -AI217+AI218</f>
        <v>6325.5909439819752</v>
      </c>
      <c r="AK212" s="165">
        <f>+'3FS'!D18</f>
        <v>14139</v>
      </c>
      <c r="AL212" s="165">
        <f>+'3FS'!E18</f>
        <v>18926</v>
      </c>
      <c r="AM212" s="165">
        <f>+'3FS'!F18</f>
        <v>20238</v>
      </c>
      <c r="AN212" s="165">
        <f>+'3FS'!G18</f>
        <v>21607</v>
      </c>
      <c r="AO212" s="165">
        <f>+'3FS'!H18</f>
        <v>21311</v>
      </c>
      <c r="AP212" s="165">
        <f>+'3FS'!I18</f>
        <v>20818</v>
      </c>
      <c r="AQ212" s="554">
        <f>SUMIFS($D212:$AI212,$D$3:$AI$3, AQ$3) -AQ217</f>
        <v>23141.187065550985</v>
      </c>
      <c r="AR212" s="554">
        <f>SUMIFS($D212:$AI212,$D$3:$AI$3, AR$3)-AR217</f>
        <v>24634.614711866801</v>
      </c>
      <c r="AS212" s="554">
        <f>+AS214*AS17-AS217</f>
        <v>24975.525419487622</v>
      </c>
    </row>
    <row r="213" spans="2:45" s="244" customFormat="1" x14ac:dyDescent="0.2">
      <c r="B213" s="243" t="s">
        <v>266</v>
      </c>
      <c r="D213" s="245"/>
      <c r="E213" s="245"/>
      <c r="F213" s="245"/>
      <c r="G213" s="896"/>
      <c r="H213" s="246">
        <f t="shared" ref="H213" si="1115">+H212/D212-1</f>
        <v>5.3892215568862367E-2</v>
      </c>
      <c r="I213" s="246">
        <f t="shared" ref="I213" si="1116">+I212/E212-1</f>
        <v>8.2480200888545463E-2</v>
      </c>
      <c r="J213" s="246">
        <f t="shared" ref="J213" si="1117">+J212/F212-1</f>
        <v>-2.0686884916649939E-2</v>
      </c>
      <c r="K213" s="878">
        <f t="shared" ref="K213" si="1118">+K212/G212-1</f>
        <v>-5.3699284009546489E-2</v>
      </c>
      <c r="L213" s="246">
        <f t="shared" ref="L213" si="1119">+L212/H212-1</f>
        <v>-8.9962121212121215E-2</v>
      </c>
      <c r="M213" s="246">
        <f t="shared" ref="M213" si="1120">+M212/I212-1</f>
        <v>-0.13936473947180583</v>
      </c>
      <c r="N213" s="246">
        <f t="shared" ref="N213" si="1121">+N212/J212-1</f>
        <v>6.8908941755537301E-2</v>
      </c>
      <c r="O213" s="878">
        <f t="shared" ref="O213" si="1122">+O212/K212-1</f>
        <v>0.13451029844472462</v>
      </c>
      <c r="P213" s="246">
        <f t="shared" ref="P213" si="1123">+P212/L212-1</f>
        <v>5.2237252861602412E-2</v>
      </c>
      <c r="Q213" s="246">
        <f t="shared" ref="Q213" si="1124">+Q212/M212-1</f>
        <v>0.21418204437072363</v>
      </c>
      <c r="R213" s="246">
        <f t="shared" ref="R213" si="1125">+R212/N212-1</f>
        <v>-1.8035303146584858E-2</v>
      </c>
      <c r="S213" s="878">
        <f t="shared" ref="S213" si="1126">+S212/O212-1</f>
        <v>3.3160429788810619E-2</v>
      </c>
      <c r="T213" s="246">
        <f t="shared" ref="T213" si="1127">+T212/P212-1</f>
        <v>7.2982594936708889E-2</v>
      </c>
      <c r="U213" s="246">
        <f t="shared" ref="U213" si="1128">+U212/Q212-1</f>
        <v>-9.9726775956284208E-2</v>
      </c>
      <c r="V213" s="246">
        <f t="shared" ref="V213" si="1129">+V212/R212-1</f>
        <v>4.2203985932004695E-2</v>
      </c>
      <c r="W213" s="878">
        <f t="shared" ref="W213" si="1130">+W212/S212-1</f>
        <v>-5.3254437869822535E-2</v>
      </c>
      <c r="X213" s="246">
        <f t="shared" ref="X213" si="1131">+X212/T212-1</f>
        <v>-5.290322580645157E-2</v>
      </c>
      <c r="Y213" s="246">
        <f t="shared" ref="Y213:AD213" si="1132">+Y212/U212-1</f>
        <v>-2.4658573596358146E-2</v>
      </c>
      <c r="Z213" s="246">
        <f t="shared" si="1132"/>
        <v>-2.7746531683539577E-2</v>
      </c>
      <c r="AA213" s="878">
        <f t="shared" si="1132"/>
        <v>1.3636363636363669E-2</v>
      </c>
      <c r="AB213" s="246">
        <f t="shared" si="1132"/>
        <v>6.8119891008174394E-2</v>
      </c>
      <c r="AC213" s="246">
        <f t="shared" si="1132"/>
        <v>4.9591598599766584E-2</v>
      </c>
      <c r="AD213" s="246">
        <f t="shared" si="1132"/>
        <v>0.15985345160046283</v>
      </c>
      <c r="AE213" s="1137">
        <f>+AE212/AA212-1</f>
        <v>0.18093305908401591</v>
      </c>
      <c r="AF213" s="552">
        <f t="shared" ref="AF213" si="1133">+AF212/AB212-1</f>
        <v>0.12719383723878996</v>
      </c>
      <c r="AG213" s="552">
        <f t="shared" ref="AG213" si="1134">+AG212/AC212-1</f>
        <v>0.12203849392042887</v>
      </c>
      <c r="AH213" s="552">
        <f t="shared" ref="AH213" si="1135">+AH212/AD212-1</f>
        <v>8.7671194917670725E-2</v>
      </c>
      <c r="AI213" s="1137">
        <f>+AI212/AE212-1</f>
        <v>8.2862636906311238E-4</v>
      </c>
      <c r="AK213" s="246"/>
      <c r="AL213" s="246">
        <f t="shared" ref="AL213" si="1136">+AL212/AK212-1</f>
        <v>0.33856708395218904</v>
      </c>
      <c r="AM213" s="246">
        <f t="shared" ref="AM213" si="1137">+AM212/AL212-1</f>
        <v>6.9322624960372003E-2</v>
      </c>
      <c r="AN213" s="246">
        <f t="shared" ref="AN213" si="1138">+AN212/AM212-1</f>
        <v>6.7645024211878679E-2</v>
      </c>
      <c r="AO213" s="246">
        <f t="shared" ref="AO213:AP213" si="1139">+AO212/AN212-1</f>
        <v>-1.3699264127366106E-2</v>
      </c>
      <c r="AP213" s="246">
        <f t="shared" si="1139"/>
        <v>-2.3133592980151052E-2</v>
      </c>
      <c r="AQ213" s="552">
        <f t="shared" ref="AQ213" si="1140">+AQ212/AP212-1</f>
        <v>0.11159511314972548</v>
      </c>
      <c r="AR213" s="552">
        <f t="shared" ref="AR213" si="1141">+AR212/AQ212-1</f>
        <v>6.4535481351300383E-2</v>
      </c>
      <c r="AS213" s="552">
        <f t="shared" ref="AS213" si="1142">+AS212/AR212-1</f>
        <v>1.3838686401561606E-2</v>
      </c>
    </row>
    <row r="214" spans="2:45" x14ac:dyDescent="0.2">
      <c r="B214" s="47" t="s">
        <v>206</v>
      </c>
      <c r="D214" s="174">
        <f t="shared" ref="D214:AD214" si="1143">+D212/D17</f>
        <v>0.28435211987059422</v>
      </c>
      <c r="E214" s="174">
        <f t="shared" si="1143"/>
        <v>0.29650630011454754</v>
      </c>
      <c r="F214" s="174">
        <f t="shared" si="1143"/>
        <v>0.2887548570434379</v>
      </c>
      <c r="G214" s="911">
        <f t="shared" si="1143"/>
        <v>0.27497949138638228</v>
      </c>
      <c r="H214" s="174">
        <f t="shared" si="1143"/>
        <v>0.30330882352941174</v>
      </c>
      <c r="I214" s="174">
        <f t="shared" si="1143"/>
        <v>0.3171297606247524</v>
      </c>
      <c r="J214" s="174">
        <f t="shared" si="1143"/>
        <v>0.25300954753009547</v>
      </c>
      <c r="K214" s="911">
        <f t="shared" si="1143"/>
        <v>0.23391180374612852</v>
      </c>
      <c r="L214" s="174">
        <f t="shared" si="1143"/>
        <v>0.24318032289083455</v>
      </c>
      <c r="M214" s="174">
        <f t="shared" si="1143"/>
        <v>0.24175438596491228</v>
      </c>
      <c r="N214" s="174">
        <f t="shared" si="1143"/>
        <v>0.26559315124337546</v>
      </c>
      <c r="O214" s="911">
        <f t="shared" si="1143"/>
        <v>0.25970651912436854</v>
      </c>
      <c r="P214" s="174">
        <f t="shared" si="1143"/>
        <v>0.25129224652087473</v>
      </c>
      <c r="Q214" s="174">
        <f t="shared" si="1143"/>
        <v>0.29724379473123191</v>
      </c>
      <c r="R214" s="174">
        <f t="shared" si="1143"/>
        <v>0.26277147404631102</v>
      </c>
      <c r="S214" s="911">
        <f t="shared" si="1143"/>
        <v>0.27509495387954425</v>
      </c>
      <c r="T214" s="174">
        <f t="shared" si="1143"/>
        <v>0.27633455582722088</v>
      </c>
      <c r="U214" s="174">
        <f t="shared" si="1143"/>
        <v>0.2746405501146072</v>
      </c>
      <c r="V214" s="174">
        <f t="shared" si="1143"/>
        <v>0.27706212341574904</v>
      </c>
      <c r="W214" s="911">
        <f t="shared" si="1143"/>
        <v>0.25783767946088487</v>
      </c>
      <c r="X214" s="174">
        <f t="shared" si="1143"/>
        <v>0.26222312952944776</v>
      </c>
      <c r="Y214" s="174">
        <f t="shared" si="1143"/>
        <v>0.26006473801335223</v>
      </c>
      <c r="Z214" s="174">
        <f t="shared" si="1143"/>
        <v>0.25721654597758159</v>
      </c>
      <c r="AA214" s="911">
        <f t="shared" si="1143"/>
        <v>0.24469641550841259</v>
      </c>
      <c r="AB214" s="174">
        <f t="shared" si="1143"/>
        <v>0.26275974336876379</v>
      </c>
      <c r="AC214" s="174">
        <f t="shared" si="1143"/>
        <v>0.2553946621237933</v>
      </c>
      <c r="AD214" s="174">
        <f t="shared" si="1143"/>
        <v>0.27394452794097557</v>
      </c>
      <c r="AE214" s="1138">
        <f>AA214 +0.3%</f>
        <v>0.24769641550841259</v>
      </c>
      <c r="AF214" s="1139">
        <f>AB214-0.2%</f>
        <v>0.26075974336876379</v>
      </c>
      <c r="AG214" s="1139">
        <f>AC214-0.6%</f>
        <v>0.2493946621237933</v>
      </c>
      <c r="AH214" s="1139">
        <f t="shared" ref="AH214" si="1144">AD214-0.6%</f>
        <v>0.26794452794097556</v>
      </c>
      <c r="AI214" s="1138">
        <f>AE214-0.6%</f>
        <v>0.24169641550841259</v>
      </c>
      <c r="AK214" s="173">
        <f t="shared" ref="AK214:AR214" si="1145">+AK212/AK17</f>
        <v>0.40215598156891746</v>
      </c>
      <c r="AL214" s="174">
        <f t="shared" si="1145"/>
        <v>0.2697702263526997</v>
      </c>
      <c r="AM214" s="174">
        <f t="shared" si="1145"/>
        <v>0.2526024114431214</v>
      </c>
      <c r="AN214" s="174">
        <f t="shared" si="1145"/>
        <v>0.27154365283834564</v>
      </c>
      <c r="AO214" s="174">
        <f t="shared" si="1145"/>
        <v>0.27127727284299497</v>
      </c>
      <c r="AP214" s="174">
        <f t="shared" si="1145"/>
        <v>0.25574938574938577</v>
      </c>
      <c r="AQ214" s="384">
        <f t="shared" si="1145"/>
        <v>0.26342455174049828</v>
      </c>
      <c r="AR214" s="384">
        <f t="shared" si="1145"/>
        <v>0.26091202436955041</v>
      </c>
      <c r="AS214" s="1139">
        <f>AR214-0.05%</f>
        <v>0.26041202436955041</v>
      </c>
    </row>
    <row r="215" spans="2:45" x14ac:dyDescent="0.2">
      <c r="B215" s="47" t="s">
        <v>885</v>
      </c>
      <c r="D215" s="174">
        <f t="shared" ref="D215:AI215" si="1146">D212/(D6+D16)</f>
        <v>0.37811320754716982</v>
      </c>
      <c r="E215" s="174">
        <f t="shared" si="1146"/>
        <v>0.38747099767981441</v>
      </c>
      <c r="F215" s="174">
        <f t="shared" si="1146"/>
        <v>0.37523551134222627</v>
      </c>
      <c r="G215" s="911">
        <f t="shared" si="1146"/>
        <v>0.37022310580958695</v>
      </c>
      <c r="H215" s="174">
        <f t="shared" si="1146"/>
        <v>0.39018622524386637</v>
      </c>
      <c r="I215" s="174">
        <f t="shared" si="1146"/>
        <v>0.4181465452917475</v>
      </c>
      <c r="J215" s="174">
        <f t="shared" si="1146"/>
        <v>0.34052657308471262</v>
      </c>
      <c r="K215" s="911">
        <f t="shared" si="1146"/>
        <v>0.33115256124721604</v>
      </c>
      <c r="L215" s="174">
        <f t="shared" si="1146"/>
        <v>0.33337958787205996</v>
      </c>
      <c r="M215" s="174">
        <f t="shared" si="1146"/>
        <v>0.32731591448931119</v>
      </c>
      <c r="N215" s="174">
        <f t="shared" si="1146"/>
        <v>0.34830259288960169</v>
      </c>
      <c r="O215" s="911">
        <f t="shared" si="1146"/>
        <v>0.35329537273381767</v>
      </c>
      <c r="P215" s="174">
        <f t="shared" si="1146"/>
        <v>0.32775833009205235</v>
      </c>
      <c r="Q215" s="174">
        <f t="shared" si="1146"/>
        <v>0.37608374542418599</v>
      </c>
      <c r="R215" s="174">
        <f t="shared" si="1146"/>
        <v>0.32761490206119576</v>
      </c>
      <c r="S215" s="911">
        <f t="shared" si="1146"/>
        <v>0.35248388320060675</v>
      </c>
      <c r="T215" s="174">
        <f t="shared" si="1146"/>
        <v>0.34091623201156285</v>
      </c>
      <c r="U215" s="174">
        <f t="shared" si="1146"/>
        <v>0.32894490547201599</v>
      </c>
      <c r="V215" s="174">
        <f t="shared" si="1146"/>
        <v>0.32974777448071219</v>
      </c>
      <c r="W215" s="911">
        <f t="shared" si="1146"/>
        <v>0.32384690873405297</v>
      </c>
      <c r="X215" s="174">
        <f t="shared" si="1146"/>
        <v>0.31438536376430276</v>
      </c>
      <c r="Y215" s="174">
        <f t="shared" si="1146"/>
        <v>0.30853234129365176</v>
      </c>
      <c r="Z215" s="174">
        <f t="shared" si="1146"/>
        <v>0.30586847537599526</v>
      </c>
      <c r="AA215" s="911">
        <f t="shared" si="1146"/>
        <v>0.31165201187911257</v>
      </c>
      <c r="AB215" s="174">
        <f t="shared" si="1146"/>
        <v>0.31940402747060875</v>
      </c>
      <c r="AC215" s="174">
        <f t="shared" si="1146"/>
        <v>0.30503588989996044</v>
      </c>
      <c r="AD215" s="174">
        <f t="shared" si="1146"/>
        <v>0.32527579493835174</v>
      </c>
      <c r="AE215" s="925">
        <f t="shared" si="1146"/>
        <v>0.33580761604940484</v>
      </c>
      <c r="AF215" s="384">
        <f t="shared" si="1146"/>
        <v>0.32915730443032448</v>
      </c>
      <c r="AG215" s="384">
        <f t="shared" si="1146"/>
        <v>0.31248813752879223</v>
      </c>
      <c r="AH215" s="384">
        <f t="shared" si="1146"/>
        <v>0.33083273373984456</v>
      </c>
      <c r="AI215" s="925">
        <f t="shared" si="1146"/>
        <v>0.31761315319969013</v>
      </c>
      <c r="AK215" s="174">
        <f t="shared" ref="AK215:AS215" si="1147">AK212/(AK6+AK16)</f>
        <v>0.40215598156891746</v>
      </c>
      <c r="AL215" s="174">
        <f t="shared" si="1147"/>
        <v>0.370480571596359</v>
      </c>
      <c r="AM215" s="174">
        <f t="shared" si="1147"/>
        <v>0.34075870081325454</v>
      </c>
      <c r="AN215" s="174">
        <f t="shared" si="1147"/>
        <v>0.34603866049550774</v>
      </c>
      <c r="AO215" s="174">
        <f t="shared" si="1147"/>
        <v>0.33081341198385594</v>
      </c>
      <c r="AP215" s="174">
        <f t="shared" si="1147"/>
        <v>0.31008236888749868</v>
      </c>
      <c r="AQ215" s="384">
        <f t="shared" si="1147"/>
        <v>0.32056676812363288</v>
      </c>
      <c r="AR215" s="384">
        <f t="shared" si="1147"/>
        <v>0.31638101865788726</v>
      </c>
      <c r="AS215" s="384">
        <f t="shared" si="1147"/>
        <v>0.30393539845568379</v>
      </c>
    </row>
    <row r="216" spans="2:45" x14ac:dyDescent="0.2">
      <c r="B216" s="2" t="s">
        <v>915</v>
      </c>
      <c r="H216" s="173">
        <f t="shared" ref="H216:AI216" si="1148">(H212-D212)/(H6-D6+H16-D16)</f>
        <v>0.95744680851063835</v>
      </c>
      <c r="I216" s="173">
        <f t="shared" si="1148"/>
        <v>10.414634146341463</v>
      </c>
      <c r="J216" s="173">
        <f t="shared" si="1148"/>
        <v>-9.8095238095238096E-2</v>
      </c>
      <c r="K216" s="173">
        <f t="shared" si="1148"/>
        <v>-0.34307496823379924</v>
      </c>
      <c r="L216" s="173">
        <f t="shared" si="1148"/>
        <v>-0.53916004540295115</v>
      </c>
      <c r="M216" s="173">
        <f t="shared" si="1148"/>
        <v>-0.58589647411852963</v>
      </c>
      <c r="N216" s="173">
        <f t="shared" si="1148"/>
        <v>0.52093023255813953</v>
      </c>
      <c r="O216" s="173">
        <f t="shared" si="1148"/>
        <v>0.70252469813391882</v>
      </c>
      <c r="P216" s="173">
        <f t="shared" si="1148"/>
        <v>0.24777887462981243</v>
      </c>
      <c r="Q216" s="173">
        <f t="shared" si="1148"/>
        <v>1.2356459330143541</v>
      </c>
      <c r="R216" s="173">
        <f t="shared" si="1148"/>
        <v>-0.14285714285714285</v>
      </c>
      <c r="S216" s="173">
        <f t="shared" si="1148"/>
        <v>0.3296500920810313</v>
      </c>
      <c r="T216" s="173">
        <f t="shared" si="1148"/>
        <v>0.757700205338809</v>
      </c>
      <c r="U216" s="173">
        <f t="shared" si="1148"/>
        <v>-1.2807017543859649</v>
      </c>
      <c r="V216" s="173">
        <f t="shared" si="1148"/>
        <v>0.38989169675090252</v>
      </c>
      <c r="W216" s="173">
        <f t="shared" si="1148"/>
        <v>-0.61618257261410792</v>
      </c>
      <c r="X216" s="173">
        <f t="shared" si="1148"/>
        <v>-0.66744186046511633</v>
      </c>
      <c r="Y216" s="173">
        <f t="shared" si="1148"/>
        <v>-0.20344287949921752</v>
      </c>
      <c r="Z216" s="173">
        <f t="shared" si="1148"/>
        <v>-0.18998716302952504</v>
      </c>
      <c r="AA216" s="173">
        <f t="shared" si="1148"/>
        <v>8.2853855005753735E-2</v>
      </c>
      <c r="AB216" s="173">
        <f t="shared" si="1148"/>
        <v>0.41716328963051252</v>
      </c>
      <c r="AC216" s="173">
        <f t="shared" si="1148"/>
        <v>0.24829600778967867</v>
      </c>
      <c r="AD216" s="173">
        <f t="shared" si="1148"/>
        <v>0.53936239427456079</v>
      </c>
      <c r="AE216" s="1328">
        <f t="shared" si="1148"/>
        <v>0.5874673955980636</v>
      </c>
      <c r="AF216" s="1265">
        <f t="shared" si="1148"/>
        <v>0.4331435666211898</v>
      </c>
      <c r="AG216" s="1265">
        <f t="shared" si="1148"/>
        <v>0.39070231492444835</v>
      </c>
      <c r="AH216" s="1265">
        <f t="shared" si="1148"/>
        <v>0.41090185060640927</v>
      </c>
      <c r="AI216" s="1328">
        <f t="shared" si="1148"/>
        <v>4.7842831921205593E-3</v>
      </c>
      <c r="AL216" s="173"/>
      <c r="AM216" s="173">
        <f t="shared" ref="AM216:AS216" si="1149">(AM212-AL212)/(AM6+AM16-AL6-AL16)</f>
        <v>0.15795810257645077</v>
      </c>
      <c r="AN216" s="173">
        <f t="shared" si="1149"/>
        <v>0.44885245901639342</v>
      </c>
      <c r="AO216" s="173">
        <f t="shared" si="1149"/>
        <v>-0.14957049014653864</v>
      </c>
      <c r="AP216" s="173">
        <f t="shared" si="1149"/>
        <v>-0.18145012881854988</v>
      </c>
      <c r="AQ216" s="1265">
        <f t="shared" si="1149"/>
        <v>0.45991380852568525</v>
      </c>
      <c r="AR216" s="1265">
        <f t="shared" si="1149"/>
        <v>0.26314033727356795</v>
      </c>
      <c r="AS216" s="1265">
        <f t="shared" si="1149"/>
        <v>7.9096894307280605E-2</v>
      </c>
    </row>
    <row r="217" spans="2:45" x14ac:dyDescent="0.2">
      <c r="B217" s="3" t="s">
        <v>976</v>
      </c>
      <c r="AE217" s="972">
        <f>'Impacts from USC'!E28</f>
        <v>52.777777777777779</v>
      </c>
      <c r="AF217" s="1136">
        <f>'Impacts from USC'!F28</f>
        <v>79.166666666666671</v>
      </c>
      <c r="AG217" s="1136">
        <f>'Impacts from USC'!G28</f>
        <v>105.55555555555556</v>
      </c>
      <c r="AH217" s="1136">
        <f>'Impacts from USC'!H28</f>
        <v>131.94444444444446</v>
      </c>
      <c r="AI217" s="972">
        <f>'Impacts from USC'!I28</f>
        <v>158.33333333333334</v>
      </c>
      <c r="AQ217" s="554">
        <f>'Impacts from USC'!AA28</f>
        <v>79.166666666666671</v>
      </c>
      <c r="AR217" s="554">
        <f>'Impacts from USC'!AB28</f>
        <v>475</v>
      </c>
      <c r="AS217" s="554">
        <f>'Impacts from USC'!AC28</f>
        <v>870.83333333333337</v>
      </c>
    </row>
    <row r="218" spans="2:45" x14ac:dyDescent="0.2">
      <c r="B218" s="3" t="s">
        <v>1008</v>
      </c>
      <c r="AE218" s="972">
        <f>'Impacts from USC'!E7+160</f>
        <v>460</v>
      </c>
      <c r="AF218" s="1136">
        <f>'Impacts from USC'!F7</f>
        <v>385</v>
      </c>
      <c r="AG218" s="1136">
        <f>'Impacts from USC'!G7</f>
        <v>385</v>
      </c>
      <c r="AH218" s="1136">
        <f>'Impacts from USC'!H7</f>
        <v>385</v>
      </c>
      <c r="AI218" s="972">
        <f>'Impacts from USC'!I7</f>
        <v>385</v>
      </c>
      <c r="AQ218" s="554">
        <f>SUMIFS($D218:$AI218,$D$3:$AI$3, AQ$3) -AQ223</f>
        <v>460</v>
      </c>
      <c r="AR218" s="554">
        <f>SUMIFS($D218:$AI218,$D$3:$AI$3, AR$3) -AR223</f>
        <v>1540</v>
      </c>
      <c r="AS218" s="554">
        <f>'Impacts from USC'!AC7</f>
        <v>660</v>
      </c>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CE4F-F0AA-4EBC-BDDB-33D9F2DE5F7F}">
  <dimension ref="B1:AS164"/>
  <sheetViews>
    <sheetView showGridLines="0" zoomScaleNormal="100" workbookViewId="0">
      <pane xSplit="3" ySplit="4" topLeftCell="Z85" activePane="bottomRight" state="frozen"/>
      <selection pane="topRight" activeCell="D1" sqref="D1"/>
      <selection pane="bottomLeft" activeCell="A5" sqref="A5"/>
      <selection pane="bottomRight" activeCell="AK121" sqref="AK121"/>
    </sheetView>
  </sheetViews>
  <sheetFormatPr defaultColWidth="9" defaultRowHeight="12" x14ac:dyDescent="0.2"/>
  <cols>
    <col min="1" max="1" width="2.625" style="2" customWidth="1"/>
    <col min="2" max="2" width="32" style="2" customWidth="1"/>
    <col min="3" max="3" width="2.25" style="2" customWidth="1"/>
    <col min="4" max="16384" width="9" style="2"/>
  </cols>
  <sheetData>
    <row r="1" spans="2:45" s="6" customFormat="1" x14ac:dyDescent="0.2">
      <c r="C1" s="235"/>
      <c r="D1" s="235"/>
      <c r="E1" s="235"/>
      <c r="F1" s="235"/>
      <c r="G1" s="235"/>
      <c r="H1" s="235"/>
      <c r="N1" s="63"/>
      <c r="O1" s="63"/>
      <c r="P1" s="63"/>
      <c r="Q1" s="63"/>
      <c r="R1" s="63"/>
      <c r="S1" s="63"/>
      <c r="T1" s="63"/>
      <c r="U1" s="63"/>
      <c r="V1" s="63"/>
      <c r="W1" s="63"/>
      <c r="X1" s="63"/>
      <c r="Y1" s="63"/>
      <c r="Z1" s="63"/>
      <c r="AA1" s="63"/>
      <c r="AB1" s="63"/>
      <c r="AC1" s="62"/>
      <c r="AD1" s="62"/>
      <c r="AE1" s="62"/>
      <c r="AF1" s="62"/>
      <c r="AG1" s="62"/>
      <c r="AH1" s="62"/>
      <c r="AI1" s="62"/>
    </row>
    <row r="2" spans="2:45" s="6" customFormat="1" x14ac:dyDescent="0.2">
      <c r="D2" s="6">
        <v>1</v>
      </c>
      <c r="E2" s="6">
        <v>2</v>
      </c>
      <c r="F2" s="6">
        <v>3</v>
      </c>
      <c r="G2" s="6">
        <v>4</v>
      </c>
      <c r="H2" s="6">
        <v>1</v>
      </c>
      <c r="I2" s="6">
        <v>2</v>
      </c>
      <c r="J2" s="6">
        <v>3</v>
      </c>
      <c r="K2" s="6">
        <v>4</v>
      </c>
      <c r="L2" s="6">
        <v>1</v>
      </c>
      <c r="M2" s="6">
        <v>2</v>
      </c>
      <c r="N2" s="6">
        <v>3</v>
      </c>
      <c r="O2" s="6">
        <v>4</v>
      </c>
      <c r="P2" s="6">
        <v>1</v>
      </c>
      <c r="Q2" s="6">
        <v>2</v>
      </c>
      <c r="R2" s="6">
        <v>3</v>
      </c>
      <c r="S2" s="6">
        <v>4</v>
      </c>
      <c r="T2" s="6">
        <f>+P2</f>
        <v>1</v>
      </c>
      <c r="U2" s="6">
        <f t="shared" ref="U2:AB2" si="0">+Q2</f>
        <v>2</v>
      </c>
      <c r="V2" s="6">
        <f t="shared" si="0"/>
        <v>3</v>
      </c>
      <c r="W2" s="6">
        <f t="shared" si="0"/>
        <v>4</v>
      </c>
      <c r="X2" s="6">
        <f t="shared" si="0"/>
        <v>1</v>
      </c>
      <c r="Y2" s="6">
        <f t="shared" si="0"/>
        <v>2</v>
      </c>
      <c r="Z2" s="6">
        <f t="shared" si="0"/>
        <v>3</v>
      </c>
      <c r="AA2" s="6">
        <f t="shared" si="0"/>
        <v>4</v>
      </c>
      <c r="AB2" s="6">
        <f t="shared" si="0"/>
        <v>1</v>
      </c>
      <c r="AC2" s="6">
        <f t="shared" ref="AC2:AI2" si="1">+Y2</f>
        <v>2</v>
      </c>
      <c r="AD2" s="6">
        <f t="shared" si="1"/>
        <v>3</v>
      </c>
      <c r="AE2" s="6">
        <f t="shared" si="1"/>
        <v>4</v>
      </c>
      <c r="AF2" s="6">
        <f t="shared" si="1"/>
        <v>1</v>
      </c>
      <c r="AG2" s="6">
        <f t="shared" si="1"/>
        <v>2</v>
      </c>
      <c r="AH2" s="6">
        <f t="shared" si="1"/>
        <v>3</v>
      </c>
      <c r="AI2" s="6">
        <f t="shared" si="1"/>
        <v>4</v>
      </c>
    </row>
    <row r="3" spans="2:45" s="6" customFormat="1" x14ac:dyDescent="0.2">
      <c r="D3" s="6">
        <v>2019</v>
      </c>
      <c r="E3" s="6">
        <v>2019</v>
      </c>
      <c r="F3" s="6">
        <v>2019</v>
      </c>
      <c r="G3" s="6">
        <v>2019</v>
      </c>
      <c r="H3" s="6">
        <v>2020</v>
      </c>
      <c r="I3" s="6">
        <v>2020</v>
      </c>
      <c r="J3" s="6">
        <v>2020</v>
      </c>
      <c r="K3" s="6">
        <v>2020</v>
      </c>
      <c r="L3" s="6">
        <v>2021</v>
      </c>
      <c r="M3" s="6">
        <v>2021</v>
      </c>
      <c r="N3" s="6">
        <v>2021</v>
      </c>
      <c r="O3" s="6">
        <v>2021</v>
      </c>
      <c r="P3" s="6">
        <v>2022</v>
      </c>
      <c r="Q3" s="6">
        <v>2022</v>
      </c>
      <c r="R3" s="6">
        <v>2022</v>
      </c>
      <c r="S3" s="6">
        <v>2022</v>
      </c>
      <c r="T3" s="6">
        <f>+P3+1</f>
        <v>2023</v>
      </c>
      <c r="U3" s="6">
        <f t="shared" ref="U3:AB3" si="2">+Q3+1</f>
        <v>2023</v>
      </c>
      <c r="V3" s="6">
        <f t="shared" si="2"/>
        <v>2023</v>
      </c>
      <c r="W3" s="6">
        <f t="shared" si="2"/>
        <v>2023</v>
      </c>
      <c r="X3" s="6">
        <f t="shared" si="2"/>
        <v>2024</v>
      </c>
      <c r="Y3" s="6">
        <f t="shared" si="2"/>
        <v>2024</v>
      </c>
      <c r="Z3" s="6">
        <f t="shared" si="2"/>
        <v>2024</v>
      </c>
      <c r="AA3" s="6">
        <f t="shared" si="2"/>
        <v>2024</v>
      </c>
      <c r="AB3" s="6">
        <f t="shared" si="2"/>
        <v>2025</v>
      </c>
      <c r="AC3" s="6">
        <f t="shared" ref="AC3:AI3" si="3">+Y3+1</f>
        <v>2025</v>
      </c>
      <c r="AD3" s="6">
        <f t="shared" si="3"/>
        <v>2025</v>
      </c>
      <c r="AE3" s="6">
        <f t="shared" si="3"/>
        <v>2025</v>
      </c>
      <c r="AF3" s="6">
        <f t="shared" si="3"/>
        <v>2026</v>
      </c>
      <c r="AG3" s="6">
        <f t="shared" si="3"/>
        <v>2026</v>
      </c>
      <c r="AH3" s="6">
        <f t="shared" si="3"/>
        <v>2026</v>
      </c>
      <c r="AI3" s="6">
        <f t="shared" si="3"/>
        <v>2026</v>
      </c>
      <c r="AK3" s="6">
        <f t="shared" ref="AK3:AN3" si="4">+AK4</f>
        <v>2019</v>
      </c>
      <c r="AL3" s="6">
        <f t="shared" si="4"/>
        <v>2020</v>
      </c>
      <c r="AM3" s="6">
        <f t="shared" si="4"/>
        <v>2021</v>
      </c>
      <c r="AN3" s="6">
        <f t="shared" si="4"/>
        <v>2022</v>
      </c>
      <c r="AO3" s="6">
        <f>+AO4</f>
        <v>2023</v>
      </c>
      <c r="AP3" s="6">
        <f>+AP4</f>
        <v>2024</v>
      </c>
      <c r="AQ3" s="6">
        <f t="shared" ref="AQ3:AS3" si="5">+AP3+1</f>
        <v>2025</v>
      </c>
      <c r="AR3" s="6">
        <f t="shared" si="5"/>
        <v>2026</v>
      </c>
      <c r="AS3" s="6">
        <f t="shared" si="5"/>
        <v>2027</v>
      </c>
    </row>
    <row r="4" spans="2:45" s="6" customFormat="1" x14ac:dyDescent="0.2">
      <c r="B4" s="36" t="s">
        <v>244</v>
      </c>
      <c r="C4" s="7"/>
      <c r="D4" s="7" t="s">
        <v>239</v>
      </c>
      <c r="E4" s="7" t="s">
        <v>240</v>
      </c>
      <c r="F4" s="7" t="s">
        <v>202</v>
      </c>
      <c r="G4" s="7" t="s">
        <v>201</v>
      </c>
      <c r="H4" s="685" t="s">
        <v>200</v>
      </c>
      <c r="I4" s="7" t="s">
        <v>199</v>
      </c>
      <c r="J4" s="7" t="s">
        <v>198</v>
      </c>
      <c r="K4" s="7" t="s">
        <v>180</v>
      </c>
      <c r="L4" s="685" t="s">
        <v>174</v>
      </c>
      <c r="M4" s="7" t="s">
        <v>175</v>
      </c>
      <c r="N4" s="7" t="s">
        <v>176</v>
      </c>
      <c r="O4" s="7" t="s">
        <v>177</v>
      </c>
      <c r="P4" s="685" t="s">
        <v>1</v>
      </c>
      <c r="Q4" s="7" t="s">
        <v>2</v>
      </c>
      <c r="R4" s="7" t="s">
        <v>3</v>
      </c>
      <c r="S4" s="7" t="s">
        <v>4</v>
      </c>
      <c r="T4" s="685" t="s">
        <v>5</v>
      </c>
      <c r="U4" s="7" t="s">
        <v>6</v>
      </c>
      <c r="V4" s="7" t="s">
        <v>7</v>
      </c>
      <c r="W4" s="7" t="s">
        <v>8</v>
      </c>
      <c r="X4" s="685" t="s">
        <v>9</v>
      </c>
      <c r="Y4" s="7" t="s">
        <v>10</v>
      </c>
      <c r="Z4" s="7" t="s">
        <v>716</v>
      </c>
      <c r="AA4" s="7" t="s">
        <v>717</v>
      </c>
      <c r="AB4" s="7" t="s">
        <v>718</v>
      </c>
      <c r="AC4" s="7" t="s">
        <v>719</v>
      </c>
      <c r="AD4" s="7" t="s">
        <v>720</v>
      </c>
      <c r="AE4" s="228" t="str">
        <f t="shared" ref="AE4:AI4" si="6">+_xlfn.CONCAT(AE2,"Q",RIGHT(AE3,2),"E")</f>
        <v>4Q25E</v>
      </c>
      <c r="AF4" s="860" t="str">
        <f t="shared" si="6"/>
        <v>1Q26E</v>
      </c>
      <c r="AG4" s="228" t="str">
        <f t="shared" si="6"/>
        <v>2Q26E</v>
      </c>
      <c r="AH4" s="228" t="str">
        <f t="shared" si="6"/>
        <v>3Q26E</v>
      </c>
      <c r="AI4" s="861" t="str">
        <f t="shared" si="6"/>
        <v>4Q26E</v>
      </c>
      <c r="AK4" s="7">
        <v>2019</v>
      </c>
      <c r="AL4" s="7">
        <f t="shared" ref="AL4:AP4" si="7">+AK4+1</f>
        <v>2020</v>
      </c>
      <c r="AM4" s="7">
        <f t="shared" si="7"/>
        <v>2021</v>
      </c>
      <c r="AN4" s="7">
        <f t="shared" si="7"/>
        <v>2022</v>
      </c>
      <c r="AO4" s="7">
        <f t="shared" si="7"/>
        <v>2023</v>
      </c>
      <c r="AP4" s="7">
        <f t="shared" si="7"/>
        <v>2024</v>
      </c>
      <c r="AQ4" s="228" t="str">
        <f t="shared" ref="AQ4:AS4" si="8">+_xlfn.CONCAT(AQ3,"E")</f>
        <v>2025E</v>
      </c>
      <c r="AR4" s="228" t="str">
        <f t="shared" si="8"/>
        <v>2026E</v>
      </c>
      <c r="AS4" s="228" t="str">
        <f t="shared" si="8"/>
        <v>2027E</v>
      </c>
    </row>
    <row r="5" spans="2:45" s="3" customFormat="1" x14ac:dyDescent="0.2">
      <c r="B5" s="3" t="s">
        <v>289</v>
      </c>
      <c r="D5" s="165">
        <f>'FC - 3FS'!D14</f>
        <v>17619</v>
      </c>
      <c r="E5" s="165">
        <f>'FC - 3FS'!E14</f>
        <v>17460</v>
      </c>
      <c r="F5" s="165">
        <f>'FC - 3FS'!F14</f>
        <v>17243</v>
      </c>
      <c r="G5" s="165">
        <f>'FC - 3FS'!G14</f>
        <v>18285</v>
      </c>
      <c r="H5" s="844">
        <f>'FC - 3FS'!H14</f>
        <v>17408</v>
      </c>
      <c r="I5" s="165">
        <f>'FC - 3FS'!I14</f>
        <v>17671</v>
      </c>
      <c r="J5" s="165">
        <f>'FC - 3FS'!J14</f>
        <v>19272</v>
      </c>
      <c r="K5" s="165">
        <f>'FC - 3FS'!K14</f>
        <v>20341</v>
      </c>
      <c r="L5" s="844">
        <f>'FC - 3FS'!L14</f>
        <v>19759</v>
      </c>
      <c r="M5" s="165">
        <f>'FC - 3FS'!M14</f>
        <v>19950</v>
      </c>
      <c r="N5" s="165">
        <f>'FC - 3FS'!N14</f>
        <v>19624</v>
      </c>
      <c r="O5" s="165">
        <f>'FC - 3FS'!O14</f>
        <v>20785</v>
      </c>
      <c r="P5" s="844">
        <f>'FC - 3FS'!P14</f>
        <v>20120</v>
      </c>
      <c r="Q5" s="165">
        <f>'FC - 3FS'!Q14</f>
        <v>19701</v>
      </c>
      <c r="R5" s="165">
        <f>'FC - 3FS'!R14</f>
        <v>19477</v>
      </c>
      <c r="S5" s="165">
        <f>'FC - 3FS'!S14</f>
        <v>20273</v>
      </c>
      <c r="T5" s="844">
        <f>'FC - 3FS'!T14</f>
        <v>19632</v>
      </c>
      <c r="U5" s="165">
        <f>'FC - 3FS'!U14</f>
        <v>19196</v>
      </c>
      <c r="V5" s="165">
        <f>'FC - 3FS'!V14</f>
        <v>19252</v>
      </c>
      <c r="W5" s="165">
        <f>'FC - 3FS'!W14</f>
        <v>20478</v>
      </c>
      <c r="X5" s="844">
        <f>'FC - 3FS'!X14</f>
        <v>19594</v>
      </c>
      <c r="Y5" s="165">
        <f>'FC - 3FS'!Y14</f>
        <v>19772</v>
      </c>
      <c r="Z5" s="165">
        <f>'FC - 3FS'!Z14</f>
        <v>20162</v>
      </c>
      <c r="AA5" s="165">
        <f>'FC - 3FS'!AA14</f>
        <v>21872</v>
      </c>
      <c r="AB5" s="844">
        <f>'FC - 3FS'!AB14</f>
        <v>20886</v>
      </c>
      <c r="AC5" s="1304">
        <f>'FC - 3FS'!AC14</f>
        <v>21132</v>
      </c>
      <c r="AD5" s="1304">
        <f>'FC - 3FS'!AD14</f>
        <v>21957</v>
      </c>
      <c r="AE5" s="550">
        <f>'FC - 3FS'!AE14</f>
        <v>23872.495279587929</v>
      </c>
      <c r="AF5" s="1264">
        <f>'FC - 3FS'!AF14</f>
        <v>22550.284677636831</v>
      </c>
      <c r="AG5" s="550">
        <f>'FC - 3FS'!AG14</f>
        <v>23160.869836006954</v>
      </c>
      <c r="AH5" s="550">
        <f>'FC - 3FS'!AH14</f>
        <v>23472.346049401967</v>
      </c>
      <c r="AI5" s="898">
        <f>'FC - 3FS'!AI14</f>
        <v>25233.821794527303</v>
      </c>
      <c r="AK5" s="165">
        <f>'FC - 3FS'!AK14</f>
        <v>44998</v>
      </c>
      <c r="AL5" s="165">
        <f>'FC - 3FS'!AL14</f>
        <v>68397</v>
      </c>
      <c r="AM5" s="165">
        <f>'FC - 3FS'!AM14</f>
        <v>80118</v>
      </c>
      <c r="AN5" s="165">
        <f>'FC - 3FS'!AN14</f>
        <v>79571</v>
      </c>
      <c r="AO5" s="165">
        <f>'FC - 3FS'!AO14</f>
        <v>78558</v>
      </c>
      <c r="AP5" s="165">
        <f>'FC - 3FS'!AP14</f>
        <v>81400</v>
      </c>
      <c r="AQ5" s="550">
        <f>'FC - 3FS'!AQ14</f>
        <v>87847.495279587922</v>
      </c>
      <c r="AR5" s="550">
        <f>'FC - 3FS'!AR14</f>
        <v>94417.322357573066</v>
      </c>
      <c r="AS5" s="550">
        <f>'FC - 3FS'!AS14</f>
        <v>99251.786914963712</v>
      </c>
    </row>
    <row r="6" spans="2:45" x14ac:dyDescent="0.2">
      <c r="B6" s="2" t="s">
        <v>286</v>
      </c>
      <c r="D6" s="162">
        <f>+'IS Drivers'!D15</f>
        <v>0</v>
      </c>
      <c r="E6" s="162">
        <f>+'IS Drivers'!E15</f>
        <v>0</v>
      </c>
      <c r="F6" s="162">
        <f>+'IS Drivers'!F15</f>
        <v>0</v>
      </c>
      <c r="G6" s="162">
        <f>+'IS Drivers'!G15</f>
        <v>0</v>
      </c>
      <c r="H6" s="845">
        <f>+'IS Drivers'!H15</f>
        <v>0</v>
      </c>
      <c r="I6" s="162">
        <f>+'IS Drivers'!I15</f>
        <v>2848</v>
      </c>
      <c r="J6" s="162">
        <f>+'IS Drivers'!J15</f>
        <v>3603</v>
      </c>
      <c r="K6" s="162">
        <f>+'IS Drivers'!K15</f>
        <v>4728</v>
      </c>
      <c r="L6" s="845">
        <f>+'IS Drivers'!L15</f>
        <v>4305</v>
      </c>
      <c r="M6" s="162">
        <f>+'IS Drivers'!M15</f>
        <v>4301</v>
      </c>
      <c r="N6" s="162">
        <f>+'IS Drivers'!N15</f>
        <v>3890</v>
      </c>
      <c r="O6" s="162">
        <f>+'IS Drivers'!O15</f>
        <v>4883</v>
      </c>
      <c r="P6" s="845">
        <f>+'IS Drivers'!P15</f>
        <v>4207</v>
      </c>
      <c r="Q6" s="162">
        <f>+'IS Drivers'!Q15</f>
        <v>3744</v>
      </c>
      <c r="R6" s="162">
        <f>+'IS Drivers'!R15</f>
        <v>3544</v>
      </c>
      <c r="S6" s="162">
        <f>+'IS Drivers'!S15</f>
        <v>4205</v>
      </c>
      <c r="T6" s="845">
        <f>+'IS Drivers'!T15</f>
        <v>3572</v>
      </c>
      <c r="U6" s="162">
        <f>+'IS Drivers'!U15</f>
        <v>3100</v>
      </c>
      <c r="V6" s="162">
        <f>+'IS Drivers'!V15</f>
        <v>3023</v>
      </c>
      <c r="W6" s="162">
        <f>+'IS Drivers'!W15</f>
        <v>4131</v>
      </c>
      <c r="X6" s="845">
        <f>+'IS Drivers'!X15</f>
        <v>3216</v>
      </c>
      <c r="Y6" s="162">
        <f>+'IS Drivers'!Y15</f>
        <v>3080</v>
      </c>
      <c r="Z6" s="162">
        <f>+'IS Drivers'!Z15</f>
        <v>3186</v>
      </c>
      <c r="AA6" s="162">
        <f>+'IS Drivers'!AA15</f>
        <v>4688</v>
      </c>
      <c r="AB6" s="845">
        <f>+'IS Drivers'!AB15</f>
        <v>3703</v>
      </c>
      <c r="AC6" s="1305">
        <f>+'IS Drivers'!AC15</f>
        <v>3433</v>
      </c>
      <c r="AD6" s="1305">
        <f>+'IS Drivers'!AD15</f>
        <v>3461</v>
      </c>
      <c r="AE6" s="371">
        <f>+'IS Drivers'!AE15</f>
        <v>5047.1421293133808</v>
      </c>
      <c r="AF6" s="1238">
        <f>+'IS Drivers'!AF15</f>
        <v>3752.717907266308</v>
      </c>
      <c r="AG6" s="371">
        <f>+'IS Drivers'!AG15</f>
        <v>3778.0806135501621</v>
      </c>
      <c r="AH6" s="371">
        <f>+'IS Drivers'!AH15</f>
        <v>3692.9684334298386</v>
      </c>
      <c r="AI6" s="902">
        <f>+'IS Drivers'!AI15</f>
        <v>5313.7985434217626</v>
      </c>
      <c r="AK6" s="162">
        <f>+'IS Drivers'!AK15</f>
        <v>0</v>
      </c>
      <c r="AL6" s="162">
        <f>+'IS Drivers'!AL15</f>
        <v>13653</v>
      </c>
      <c r="AM6" s="162">
        <f>+'IS Drivers'!AM15</f>
        <v>17379</v>
      </c>
      <c r="AN6" s="162">
        <f>+'IS Drivers'!AN15</f>
        <v>15700</v>
      </c>
      <c r="AO6" s="162">
        <f>+'IS Drivers'!AO15</f>
        <v>13826</v>
      </c>
      <c r="AP6" s="162">
        <f>+'IS Drivers'!AP15</f>
        <v>14170</v>
      </c>
      <c r="AQ6" s="371">
        <f>+'IS Drivers'!AQ15</f>
        <v>15644.142129313381</v>
      </c>
      <c r="AR6" s="371">
        <f>+'IS Drivers'!AR15</f>
        <v>16537.565497668071</v>
      </c>
      <c r="AS6" s="371">
        <f>+'IS Drivers'!AS15</f>
        <v>17077.990949143521</v>
      </c>
    </row>
    <row r="7" spans="2:45" x14ac:dyDescent="0.2">
      <c r="H7" s="594"/>
      <c r="L7" s="594"/>
      <c r="P7" s="594"/>
      <c r="T7" s="594"/>
      <c r="X7" s="594"/>
      <c r="AB7" s="594"/>
      <c r="AE7" s="370"/>
      <c r="AF7" s="1229"/>
      <c r="AG7" s="370"/>
      <c r="AH7" s="370"/>
      <c r="AI7" s="913"/>
      <c r="AQ7" s="370"/>
      <c r="AR7" s="370"/>
      <c r="AS7" s="370"/>
    </row>
    <row r="8" spans="2:45" x14ac:dyDescent="0.2">
      <c r="B8" s="236" t="s">
        <v>297</v>
      </c>
      <c r="C8" s="172"/>
      <c r="D8" s="172"/>
      <c r="E8" s="172"/>
      <c r="F8" s="172"/>
      <c r="G8" s="172"/>
      <c r="H8" s="846"/>
      <c r="I8" s="172"/>
      <c r="J8" s="172"/>
      <c r="K8" s="172"/>
      <c r="L8" s="846"/>
      <c r="M8" s="172"/>
      <c r="N8" s="172"/>
      <c r="O8" s="172"/>
      <c r="P8" s="846"/>
      <c r="Q8" s="172"/>
      <c r="R8" s="172"/>
      <c r="S8" s="172"/>
      <c r="T8" s="1286"/>
      <c r="U8" s="1287"/>
      <c r="V8" s="1287"/>
      <c r="W8" s="1287"/>
      <c r="X8" s="1286"/>
      <c r="Y8" s="1287"/>
      <c r="Z8" s="1287"/>
      <c r="AA8" s="1287"/>
      <c r="AB8" s="1286"/>
      <c r="AC8" s="1306"/>
      <c r="AD8" s="1306"/>
      <c r="AE8" s="1287"/>
      <c r="AF8" s="1286"/>
      <c r="AG8" s="1287"/>
      <c r="AH8" s="1287"/>
      <c r="AI8" s="1288"/>
      <c r="AJ8" s="172"/>
      <c r="AK8" s="172"/>
      <c r="AL8" s="172"/>
      <c r="AM8" s="172"/>
      <c r="AN8" s="172"/>
      <c r="AO8" s="172"/>
      <c r="AP8" s="172"/>
      <c r="AQ8" s="1291"/>
      <c r="AR8" s="1291"/>
      <c r="AS8" s="1291"/>
    </row>
    <row r="9" spans="2:45" x14ac:dyDescent="0.2">
      <c r="B9" s="2" t="s">
        <v>298</v>
      </c>
      <c r="D9" s="162">
        <f>+'FC - 3FS'!D70</f>
        <v>1765</v>
      </c>
      <c r="E9" s="162">
        <f>+'FC - 3FS'!E70</f>
        <v>1835</v>
      </c>
      <c r="F9" s="162">
        <f>+'FC - 3FS'!F70</f>
        <v>1842</v>
      </c>
      <c r="G9" s="162">
        <f>+'FC - 3FS'!G70</f>
        <v>1908</v>
      </c>
      <c r="H9" s="845">
        <f>+'FC - 3FS'!H70</f>
        <v>1862</v>
      </c>
      <c r="I9" s="162">
        <f>+'FC - 3FS'!I70</f>
        <v>3379</v>
      </c>
      <c r="J9" s="162">
        <f>+'FC - 3FS'!J70</f>
        <v>4332</v>
      </c>
      <c r="K9" s="162">
        <f>+'FC - 3FS'!K70</f>
        <v>4276</v>
      </c>
      <c r="L9" s="845">
        <f>+'FC - 3FS'!L70</f>
        <v>3612</v>
      </c>
      <c r="M9" s="162">
        <f>+'FC - 3FS'!M70</f>
        <v>4546</v>
      </c>
      <c r="N9" s="162">
        <f>+'FC - 3FS'!N70</f>
        <v>4130</v>
      </c>
      <c r="O9" s="162">
        <f>+'FC - 3FS'!O70</f>
        <v>4194</v>
      </c>
      <c r="P9" s="845">
        <f>+'FC - 3FS'!P70</f>
        <v>4016</v>
      </c>
      <c r="Q9" s="162">
        <f>+'FC - 3FS'!Q70</f>
        <v>4466</v>
      </c>
      <c r="R9" s="162">
        <f>+'FC - 3FS'!R70</f>
        <v>4324</v>
      </c>
      <c r="S9" s="162">
        <f>+'FC - 3FS'!S70</f>
        <v>4445</v>
      </c>
      <c r="T9" s="845">
        <f>+'FC - 3FS'!T70</f>
        <v>4366</v>
      </c>
      <c r="U9" s="162">
        <f>+'FC - 3FS'!U70</f>
        <v>4592</v>
      </c>
      <c r="V9" s="162">
        <f>+'FC - 3FS'!V70</f>
        <v>4500</v>
      </c>
      <c r="W9" s="162">
        <f>+'FC - 3FS'!W70</f>
        <v>4692</v>
      </c>
      <c r="X9" s="845">
        <f>+'FC - 3FS'!X70</f>
        <v>4253</v>
      </c>
      <c r="Y9" s="162">
        <f>+'FC - 3FS'!Y70</f>
        <v>4563</v>
      </c>
      <c r="Z9" s="162">
        <f>+'FC - 3FS'!Z70</f>
        <v>4286</v>
      </c>
      <c r="AA9" s="162">
        <f>+'FC - 3FS'!AA70</f>
        <v>4276</v>
      </c>
      <c r="AB9" s="845">
        <f>+'FC - 3FS'!AB70</f>
        <v>4392</v>
      </c>
      <c r="AC9" s="1305">
        <f>+'FC - 3FS'!AC70</f>
        <v>4598</v>
      </c>
      <c r="AD9" s="1305">
        <f>+'FC - 3FS'!AD70</f>
        <v>5084</v>
      </c>
      <c r="AE9" s="554">
        <f t="shared" ref="AE9:AI9" si="9">+SUM(AB5:AE5)*AE11/365</f>
        <v>5096.0476595934488</v>
      </c>
      <c r="AF9" s="1180">
        <f t="shared" si="9"/>
        <v>5244.6928138771946</v>
      </c>
      <c r="AG9" s="554">
        <f t="shared" si="9"/>
        <v>5509.2534276344395</v>
      </c>
      <c r="AH9" s="554">
        <f t="shared" si="9"/>
        <v>6020.8244133453345</v>
      </c>
      <c r="AI9" s="901">
        <f t="shared" si="9"/>
        <v>5994.5196006860879</v>
      </c>
      <c r="AK9" s="162">
        <f>+'FC - 3FS'!AK70</f>
        <v>1908</v>
      </c>
      <c r="AL9" s="162">
        <f>+'FC - 3FS'!AL70</f>
        <v>4276</v>
      </c>
      <c r="AM9" s="162">
        <f>+'FC - 3FS'!AM70</f>
        <v>4194</v>
      </c>
      <c r="AN9" s="162">
        <f>+'FC - 3FS'!AN70</f>
        <v>4445</v>
      </c>
      <c r="AO9" s="162">
        <f>+'FC - 3FS'!AO70</f>
        <v>4692</v>
      </c>
      <c r="AP9" s="162">
        <f>+'FC - 3FS'!AP70</f>
        <v>4276</v>
      </c>
      <c r="AQ9" s="554">
        <f t="shared" ref="AQ9:AR9" si="10">SUMIFS($D9:$AI9,$D$3:$AI$3,AQ$3,$D$2:$AI$2,4)</f>
        <v>5096.0476595934488</v>
      </c>
      <c r="AR9" s="554">
        <f t="shared" si="10"/>
        <v>5994.5196006860879</v>
      </c>
      <c r="AS9" s="554">
        <f>+AS11*AS5/365</f>
        <v>6573.3806059725566</v>
      </c>
    </row>
    <row r="10" spans="2:45" x14ac:dyDescent="0.2">
      <c r="B10" s="237" t="s">
        <v>299</v>
      </c>
      <c r="G10" s="173">
        <f>+G9/SUM(D5:G5)</f>
        <v>2.7022816434631128E-2</v>
      </c>
      <c r="H10" s="847">
        <f t="shared" ref="H10:AI10" si="11">+H9/SUM(E5:H5)</f>
        <v>2.6450366498096484E-2</v>
      </c>
      <c r="I10" s="173">
        <f t="shared" si="11"/>
        <v>4.7856444828416445E-2</v>
      </c>
      <c r="J10" s="173">
        <f t="shared" si="11"/>
        <v>5.9639848009251609E-2</v>
      </c>
      <c r="K10" s="173">
        <f t="shared" si="11"/>
        <v>5.7248433567182566E-2</v>
      </c>
      <c r="L10" s="847">
        <f t="shared" si="11"/>
        <v>4.688290954402087E-2</v>
      </c>
      <c r="M10" s="173">
        <f t="shared" si="11"/>
        <v>5.7310708252439425E-2</v>
      </c>
      <c r="N10" s="173">
        <f t="shared" si="11"/>
        <v>5.1836232648040763E-2</v>
      </c>
      <c r="O10" s="173">
        <f t="shared" si="11"/>
        <v>5.2347787014154122E-2</v>
      </c>
      <c r="P10" s="847">
        <f t="shared" si="11"/>
        <v>4.9901216466407383E-2</v>
      </c>
      <c r="Q10" s="173">
        <f t="shared" si="11"/>
        <v>5.5664963230711705E-2</v>
      </c>
      <c r="R10" s="173">
        <f t="shared" si="11"/>
        <v>5.3993981244458873E-2</v>
      </c>
      <c r="S10" s="173">
        <f t="shared" si="11"/>
        <v>5.5862060298349898E-2</v>
      </c>
      <c r="T10" s="847">
        <f t="shared" si="11"/>
        <v>5.5207819632537965E-2</v>
      </c>
      <c r="U10" s="173">
        <f t="shared" si="11"/>
        <v>5.8438748759194685E-2</v>
      </c>
      <c r="V10" s="173">
        <f t="shared" si="11"/>
        <v>5.7432389315023036E-2</v>
      </c>
      <c r="W10" s="173">
        <f t="shared" si="11"/>
        <v>5.972657145039334E-2</v>
      </c>
      <c r="X10" s="847">
        <f t="shared" si="11"/>
        <v>5.4164544065206315E-2</v>
      </c>
      <c r="Y10" s="173">
        <f t="shared" si="11"/>
        <v>5.7689390108222917E-2</v>
      </c>
      <c r="Z10" s="173">
        <f t="shared" si="11"/>
        <v>5.3570982176336775E-2</v>
      </c>
      <c r="AA10" s="173">
        <f t="shared" si="11"/>
        <v>5.253071253071253E-2</v>
      </c>
      <c r="AB10" s="847">
        <f t="shared" si="11"/>
        <v>5.3112755768393555E-2</v>
      </c>
      <c r="AC10" s="1303">
        <f t="shared" si="11"/>
        <v>5.4704230714319707E-2</v>
      </c>
      <c r="AD10" s="1303">
        <f t="shared" si="11"/>
        <v>5.9221638496394752E-2</v>
      </c>
      <c r="AE10" s="1218">
        <f t="shared" si="11"/>
        <v>5.8010164585507049E-2</v>
      </c>
      <c r="AF10" s="1231">
        <f t="shared" si="11"/>
        <v>5.8592207823188081E-2</v>
      </c>
      <c r="AG10" s="1218">
        <f t="shared" si="11"/>
        <v>6.0183682769114226E-2</v>
      </c>
      <c r="AH10" s="1218">
        <f t="shared" si="11"/>
        <v>6.4701090551189278E-2</v>
      </c>
      <c r="AI10" s="1232">
        <f t="shared" si="11"/>
        <v>6.348961664030156E-2</v>
      </c>
      <c r="AK10" s="173">
        <f>+AK9/AK5</f>
        <v>4.2401884528201254E-2</v>
      </c>
      <c r="AL10" s="173">
        <f t="shared" ref="AL10:AS10" si="12">+AL9/AL5</f>
        <v>6.2517361872596752E-2</v>
      </c>
      <c r="AM10" s="173">
        <f t="shared" si="12"/>
        <v>5.2347787014154122E-2</v>
      </c>
      <c r="AN10" s="173">
        <f t="shared" si="12"/>
        <v>5.5862060298349898E-2</v>
      </c>
      <c r="AO10" s="173">
        <f t="shared" si="12"/>
        <v>5.972657145039334E-2</v>
      </c>
      <c r="AP10" s="173">
        <f t="shared" ref="AP10" si="13">+AP9/AP5</f>
        <v>5.253071253071253E-2</v>
      </c>
      <c r="AQ10" s="1218">
        <f t="shared" si="12"/>
        <v>5.8010164585507049E-2</v>
      </c>
      <c r="AR10" s="1218">
        <f t="shared" si="12"/>
        <v>6.348961664030156E-2</v>
      </c>
      <c r="AS10" s="1218">
        <f t="shared" si="12"/>
        <v>6.622934266769881E-2</v>
      </c>
    </row>
    <row r="11" spans="2:45" x14ac:dyDescent="0.2">
      <c r="B11" s="237" t="s">
        <v>300</v>
      </c>
      <c r="G11" s="161">
        <f>+G10*365</f>
        <v>9.8633279986403615</v>
      </c>
      <c r="H11" s="632">
        <f t="shared" ref="H11:Y11" si="14">+H10*365</f>
        <v>9.6543837718052163</v>
      </c>
      <c r="I11" s="161">
        <f t="shared" si="14"/>
        <v>17.467602362372002</v>
      </c>
      <c r="J11" s="161">
        <f t="shared" si="14"/>
        <v>21.768544523376836</v>
      </c>
      <c r="K11" s="161">
        <f t="shared" si="14"/>
        <v>20.895678252021636</v>
      </c>
      <c r="L11" s="632">
        <f t="shared" si="14"/>
        <v>17.112261983567617</v>
      </c>
      <c r="M11" s="161">
        <f t="shared" si="14"/>
        <v>20.918408512140392</v>
      </c>
      <c r="N11" s="161">
        <f t="shared" si="14"/>
        <v>18.920224916534877</v>
      </c>
      <c r="O11" s="161">
        <f t="shared" si="14"/>
        <v>19.106942260166253</v>
      </c>
      <c r="P11" s="632">
        <f t="shared" si="14"/>
        <v>18.213944010238695</v>
      </c>
      <c r="Q11" s="161">
        <f t="shared" si="14"/>
        <v>20.317711579209771</v>
      </c>
      <c r="R11" s="161">
        <f t="shared" si="14"/>
        <v>19.707803154227488</v>
      </c>
      <c r="S11" s="161">
        <f t="shared" si="14"/>
        <v>20.389652008897713</v>
      </c>
      <c r="T11" s="632">
        <f t="shared" si="14"/>
        <v>20.150854165876357</v>
      </c>
      <c r="U11" s="161">
        <f t="shared" si="14"/>
        <v>21.330143297106058</v>
      </c>
      <c r="V11" s="161">
        <f t="shared" si="14"/>
        <v>20.962822099983409</v>
      </c>
      <c r="W11" s="161">
        <f t="shared" si="14"/>
        <v>21.80019857939357</v>
      </c>
      <c r="X11" s="632">
        <f t="shared" si="14"/>
        <v>19.770058583800306</v>
      </c>
      <c r="Y11" s="161">
        <f t="shared" si="14"/>
        <v>21.056627389501365</v>
      </c>
      <c r="Z11" s="161">
        <f t="shared" ref="Z11:AA11" si="15">+Z10*365</f>
        <v>19.553408494362923</v>
      </c>
      <c r="AA11" s="161">
        <f t="shared" si="15"/>
        <v>19.173710073710073</v>
      </c>
      <c r="AB11" s="632">
        <f t="shared" ref="AB11" si="16">+AB10*365</f>
        <v>19.386155855463649</v>
      </c>
      <c r="AC11" s="612">
        <f t="shared" ref="AC11" si="17">+AC10*365</f>
        <v>19.967044210726694</v>
      </c>
      <c r="AD11" s="612">
        <f t="shared" ref="AD11" si="18">+AD10*365</f>
        <v>21.615898051184086</v>
      </c>
      <c r="AE11" s="332">
        <f t="shared" ref="AE11" si="19">AA11+2</f>
        <v>21.173710073710073</v>
      </c>
      <c r="AF11" s="1233">
        <f>+AB11+2</f>
        <v>21.386155855463649</v>
      </c>
      <c r="AG11" s="332">
        <f t="shared" ref="AG11:AI11" si="20">+AC11+2</f>
        <v>21.967044210726694</v>
      </c>
      <c r="AH11" s="332">
        <f t="shared" si="20"/>
        <v>23.615898051184086</v>
      </c>
      <c r="AI11" s="1208">
        <f t="shared" si="20"/>
        <v>23.173710073710073</v>
      </c>
      <c r="AK11" s="161">
        <f t="shared" ref="AK11:AR11" si="21">+AK10*365</f>
        <v>15.476687852793457</v>
      </c>
      <c r="AL11" s="161">
        <f t="shared" si="21"/>
        <v>22.818837083497815</v>
      </c>
      <c r="AM11" s="161">
        <f t="shared" si="21"/>
        <v>19.106942260166253</v>
      </c>
      <c r="AN11" s="161">
        <f t="shared" si="21"/>
        <v>20.389652008897713</v>
      </c>
      <c r="AO11" s="161">
        <f t="shared" si="21"/>
        <v>21.80019857939357</v>
      </c>
      <c r="AP11" s="161">
        <f t="shared" ref="AP11" si="22">+AP10*365</f>
        <v>19.173710073710073</v>
      </c>
      <c r="AQ11" s="524">
        <f t="shared" si="21"/>
        <v>21.173710073710073</v>
      </c>
      <c r="AR11" s="524">
        <f t="shared" si="21"/>
        <v>23.173710073710069</v>
      </c>
      <c r="AS11" s="332">
        <f>+AR11+1</f>
        <v>24.173710073710069</v>
      </c>
    </row>
    <row r="12" spans="2:45" x14ac:dyDescent="0.2">
      <c r="H12" s="594"/>
      <c r="L12" s="594"/>
      <c r="P12" s="594"/>
      <c r="T12" s="594"/>
      <c r="X12" s="594"/>
      <c r="AB12" s="594"/>
      <c r="AE12" s="370"/>
      <c r="AF12" s="1229"/>
      <c r="AG12" s="370"/>
      <c r="AH12" s="370"/>
      <c r="AI12" s="913"/>
      <c r="AQ12" s="379"/>
      <c r="AR12" s="379"/>
      <c r="AS12" s="379"/>
    </row>
    <row r="13" spans="2:45" x14ac:dyDescent="0.2">
      <c r="B13" s="155" t="s">
        <v>91</v>
      </c>
      <c r="D13" s="163">
        <f>+D15+D16</f>
        <v>4128</v>
      </c>
      <c r="E13" s="163">
        <f t="shared" ref="E13:Y13" si="23">+E15+E16</f>
        <v>4050</v>
      </c>
      <c r="F13" s="163">
        <f t="shared" si="23"/>
        <v>3894</v>
      </c>
      <c r="G13" s="163">
        <f t="shared" si="23"/>
        <v>4183</v>
      </c>
      <c r="H13" s="848">
        <f t="shared" si="23"/>
        <v>3773</v>
      </c>
      <c r="I13" s="163">
        <f t="shared" si="23"/>
        <v>4593</v>
      </c>
      <c r="J13" s="163">
        <f t="shared" si="23"/>
        <v>4481</v>
      </c>
      <c r="K13" s="163">
        <f t="shared" si="23"/>
        <v>5608</v>
      </c>
      <c r="L13" s="848">
        <f t="shared" si="23"/>
        <v>6062</v>
      </c>
      <c r="M13" s="163">
        <f t="shared" si="23"/>
        <v>6348</v>
      </c>
      <c r="N13" s="163">
        <f t="shared" si="23"/>
        <v>6586</v>
      </c>
      <c r="O13" s="163">
        <f t="shared" si="23"/>
        <v>7577</v>
      </c>
      <c r="P13" s="848">
        <f t="shared" si="23"/>
        <v>7898</v>
      </c>
      <c r="Q13" s="163">
        <f t="shared" si="23"/>
        <v>7734</v>
      </c>
      <c r="R13" s="163">
        <f t="shared" si="23"/>
        <v>7562</v>
      </c>
      <c r="S13" s="163">
        <f t="shared" si="23"/>
        <v>7669</v>
      </c>
      <c r="T13" s="848">
        <f t="shared" si="23"/>
        <v>7262</v>
      </c>
      <c r="U13" s="163">
        <f t="shared" si="23"/>
        <v>6745</v>
      </c>
      <c r="V13" s="163">
        <f t="shared" si="23"/>
        <v>6349</v>
      </c>
      <c r="W13" s="163">
        <f t="shared" si="23"/>
        <v>6498</v>
      </c>
      <c r="X13" s="848">
        <f t="shared" si="23"/>
        <v>5967</v>
      </c>
      <c r="Y13" s="163">
        <f t="shared" si="23"/>
        <v>5556</v>
      </c>
      <c r="Z13" s="163">
        <f t="shared" ref="Z13:AA13" si="24">+Z15+Z16</f>
        <v>5347</v>
      </c>
      <c r="AA13" s="163">
        <f t="shared" si="24"/>
        <v>6588</v>
      </c>
      <c r="AB13" s="848">
        <f t="shared" ref="AB13" si="25">+AB15+AB16</f>
        <v>6405</v>
      </c>
      <c r="AC13" s="1307">
        <f t="shared" ref="AC13" si="26">+AC15+AC16</f>
        <v>6201</v>
      </c>
      <c r="AD13" s="1307">
        <f t="shared" ref="AD13" si="27">+AD15+AD16</f>
        <v>6915</v>
      </c>
      <c r="AE13" s="554">
        <f t="shared" ref="AE13:AI13" si="28">+AE14*SUM(AB6:AE6)</f>
        <v>7077.4774500622852</v>
      </c>
      <c r="AF13" s="1180">
        <f t="shared" si="28"/>
        <v>7099.9700459894366</v>
      </c>
      <c r="AG13" s="554">
        <f t="shared" si="28"/>
        <v>7256.0860056033962</v>
      </c>
      <c r="AH13" s="554">
        <f t="shared" si="28"/>
        <v>7361.0295265171899</v>
      </c>
      <c r="AI13" s="901">
        <f t="shared" si="28"/>
        <v>7481.6660396712268</v>
      </c>
      <c r="AK13" s="163">
        <f t="shared" ref="AK13:AR13" si="29">+AK15+AK16</f>
        <v>4183</v>
      </c>
      <c r="AL13" s="163">
        <f t="shared" si="29"/>
        <v>5608</v>
      </c>
      <c r="AM13" s="163">
        <f t="shared" si="29"/>
        <v>7577</v>
      </c>
      <c r="AN13" s="163">
        <f t="shared" si="29"/>
        <v>7669</v>
      </c>
      <c r="AO13" s="163">
        <f t="shared" si="29"/>
        <v>6498</v>
      </c>
      <c r="AP13" s="163">
        <f t="shared" ref="AP13" si="30">+AP15+AP16</f>
        <v>6588</v>
      </c>
      <c r="AQ13" s="554">
        <f t="shared" si="29"/>
        <v>7077.4774500622852</v>
      </c>
      <c r="AR13" s="554">
        <f t="shared" si="29"/>
        <v>7481.6660396712268</v>
      </c>
      <c r="AS13" s="554">
        <f>+AS14*AS6</f>
        <v>7726.1568474535452</v>
      </c>
    </row>
    <row r="14" spans="2:45" x14ac:dyDescent="0.2">
      <c r="B14" s="237" t="s">
        <v>301</v>
      </c>
      <c r="G14" s="173"/>
      <c r="H14" s="847"/>
      <c r="I14" s="173">
        <f t="shared" ref="I14:AD14" si="31">+I13/SUM(F6:I6)</f>
        <v>1.6127106741573034</v>
      </c>
      <c r="J14" s="173">
        <f t="shared" si="31"/>
        <v>0.69462098899395441</v>
      </c>
      <c r="K14" s="173">
        <f t="shared" si="31"/>
        <v>0.50165488863046781</v>
      </c>
      <c r="L14" s="847">
        <f t="shared" si="31"/>
        <v>0.39150090415913202</v>
      </c>
      <c r="M14" s="173">
        <f t="shared" si="31"/>
        <v>0.37480073212493359</v>
      </c>
      <c r="N14" s="173">
        <f t="shared" si="31"/>
        <v>0.38237343241987926</v>
      </c>
      <c r="O14" s="173">
        <f t="shared" si="31"/>
        <v>0.43598596006674722</v>
      </c>
      <c r="P14" s="847">
        <f t="shared" si="31"/>
        <v>0.4570337364735837</v>
      </c>
      <c r="Q14" s="173">
        <f t="shared" si="31"/>
        <v>0.46244917483855535</v>
      </c>
      <c r="R14" s="173">
        <f t="shared" si="31"/>
        <v>0.46171693735498842</v>
      </c>
      <c r="S14" s="173">
        <f t="shared" si="31"/>
        <v>0.48847133757961786</v>
      </c>
      <c r="T14" s="847">
        <f t="shared" si="31"/>
        <v>0.48204447394623301</v>
      </c>
      <c r="U14" s="173">
        <f t="shared" si="31"/>
        <v>0.46772068511198944</v>
      </c>
      <c r="V14" s="173">
        <f t="shared" si="31"/>
        <v>0.45676258992805757</v>
      </c>
      <c r="W14" s="173">
        <f t="shared" si="31"/>
        <v>0.46998408795023866</v>
      </c>
      <c r="X14" s="847">
        <f t="shared" si="31"/>
        <v>0.44298440979955456</v>
      </c>
      <c r="Y14" s="173">
        <f t="shared" si="31"/>
        <v>0.41308550185873605</v>
      </c>
      <c r="Z14" s="173">
        <f t="shared" si="31"/>
        <v>0.39278630720634689</v>
      </c>
      <c r="AA14" s="173">
        <f t="shared" si="31"/>
        <v>0.46492589978828514</v>
      </c>
      <c r="AB14" s="847">
        <f t="shared" si="31"/>
        <v>0.43699256328034386</v>
      </c>
      <c r="AC14" s="1303">
        <f t="shared" si="31"/>
        <v>0.41312458361092602</v>
      </c>
      <c r="AD14" s="1303">
        <f t="shared" si="31"/>
        <v>0.45240431795878311</v>
      </c>
      <c r="AE14" s="1219">
        <f t="shared" ref="AE14:AI14" si="32">+AD14</f>
        <v>0.45240431795878311</v>
      </c>
      <c r="AF14" s="1258">
        <f t="shared" si="32"/>
        <v>0.45240431795878311</v>
      </c>
      <c r="AG14" s="1219">
        <f t="shared" si="32"/>
        <v>0.45240431795878311</v>
      </c>
      <c r="AH14" s="1219">
        <f t="shared" si="32"/>
        <v>0.45240431795878311</v>
      </c>
      <c r="AI14" s="1259">
        <f t="shared" si="32"/>
        <v>0.45240431795878311</v>
      </c>
      <c r="AK14" s="173"/>
      <c r="AL14" s="173">
        <f t="shared" ref="AL14:AR14" si="33">AL13/AL6</f>
        <v>0.41075221563026443</v>
      </c>
      <c r="AM14" s="173">
        <f t="shared" si="33"/>
        <v>0.43598596006674722</v>
      </c>
      <c r="AN14" s="173">
        <f t="shared" si="33"/>
        <v>0.48847133757961786</v>
      </c>
      <c r="AO14" s="173">
        <f t="shared" si="33"/>
        <v>0.46998408795023866</v>
      </c>
      <c r="AP14" s="173">
        <f t="shared" ref="AP14" si="34">AP13/AP6</f>
        <v>0.46492589978828514</v>
      </c>
      <c r="AQ14" s="1218">
        <f t="shared" si="33"/>
        <v>0.45240431795878311</v>
      </c>
      <c r="AR14" s="1218">
        <f t="shared" si="33"/>
        <v>0.45240431795878311</v>
      </c>
      <c r="AS14" s="1219">
        <f t="shared" ref="AS14" si="35">+AR14</f>
        <v>0.45240431795878311</v>
      </c>
    </row>
    <row r="15" spans="2:45" x14ac:dyDescent="0.2">
      <c r="B15" s="155" t="s">
        <v>305</v>
      </c>
      <c r="D15" s="162">
        <f>+'FC - 3FS'!D71</f>
        <v>2466</v>
      </c>
      <c r="E15" s="162">
        <f>+'FC - 3FS'!E71</f>
        <v>2446</v>
      </c>
      <c r="F15" s="162">
        <f>+'FC - 3FS'!F71</f>
        <v>2425</v>
      </c>
      <c r="G15" s="162">
        <f>+'FC - 3FS'!G71</f>
        <v>2600</v>
      </c>
      <c r="H15" s="845">
        <f>+'FC - 3FS'!H71</f>
        <v>2406</v>
      </c>
      <c r="I15" s="162">
        <f>+'FC - 3FS'!I71</f>
        <v>3194</v>
      </c>
      <c r="J15" s="162">
        <f>+'FC - 3FS'!J71</f>
        <v>3083</v>
      </c>
      <c r="K15" s="162">
        <f>+'FC - 3FS'!K71</f>
        <v>3577</v>
      </c>
      <c r="L15" s="845">
        <f>+'FC - 3FS'!L71</f>
        <v>3841</v>
      </c>
      <c r="M15" s="162">
        <f>+'FC - 3FS'!M71</f>
        <v>4064</v>
      </c>
      <c r="N15" s="162">
        <f>+'FC - 3FS'!N71</f>
        <v>4306</v>
      </c>
      <c r="O15" s="162">
        <f>+'FC - 3FS'!O71</f>
        <v>4748</v>
      </c>
      <c r="P15" s="845">
        <f>+'FC - 3FS'!P71</f>
        <v>5061</v>
      </c>
      <c r="Q15" s="162">
        <f>+'FC - 3FS'!Q71</f>
        <v>5129</v>
      </c>
      <c r="R15" s="162">
        <f>+'FC - 3FS'!R71</f>
        <v>5048</v>
      </c>
      <c r="S15" s="162">
        <f>+'FC - 3FS'!S71</f>
        <v>5123</v>
      </c>
      <c r="T15" s="845">
        <f>+'FC - 3FS'!T71</f>
        <v>5012</v>
      </c>
      <c r="U15" s="162">
        <f>+'FC - 3FS'!U71</f>
        <v>4779</v>
      </c>
      <c r="V15" s="162">
        <f>+'FC - 3FS'!V71</f>
        <v>4470</v>
      </c>
      <c r="W15" s="162">
        <f>+'FC - 3FS'!W71</f>
        <v>4456</v>
      </c>
      <c r="X15" s="845">
        <f>+'FC - 3FS'!X71</f>
        <v>4059</v>
      </c>
      <c r="Y15" s="162">
        <f>+'FC - 3FS'!Y71</f>
        <v>3776</v>
      </c>
      <c r="Z15" s="162">
        <f>+'FC - 3FS'!Z71</f>
        <v>3595</v>
      </c>
      <c r="AA15" s="162">
        <f>+'FC - 3FS'!AA71</f>
        <v>4379</v>
      </c>
      <c r="AB15" s="845">
        <f>+'FC - 3FS'!AB71</f>
        <v>4294</v>
      </c>
      <c r="AC15" s="1305">
        <f>+'FC - 3FS'!AC71</f>
        <v>4226</v>
      </c>
      <c r="AD15" s="1305">
        <f>+'FC - 3FS'!AD71</f>
        <v>4599</v>
      </c>
      <c r="AE15" s="554">
        <f t="shared" ref="AE15:AI15" si="36">+AE13-AE16</f>
        <v>4823.3219970913105</v>
      </c>
      <c r="AF15" s="1180">
        <f t="shared" si="36"/>
        <v>4838.6507683198452</v>
      </c>
      <c r="AG15" s="554">
        <f t="shared" si="36"/>
        <v>4945.0442605515163</v>
      </c>
      <c r="AH15" s="554">
        <f t="shared" si="36"/>
        <v>5016.5635831416939</v>
      </c>
      <c r="AI15" s="901">
        <f t="shared" si="36"/>
        <v>5098.7777267619094</v>
      </c>
      <c r="AK15" s="162">
        <f>+'FC - 3FS'!AK71</f>
        <v>2600</v>
      </c>
      <c r="AL15" s="162">
        <f>+'FC - 3FS'!AL71</f>
        <v>3577</v>
      </c>
      <c r="AM15" s="162">
        <f>+'FC - 3FS'!AM71</f>
        <v>4748</v>
      </c>
      <c r="AN15" s="162">
        <f>+'FC - 3FS'!AN71</f>
        <v>5123</v>
      </c>
      <c r="AO15" s="162">
        <f>+'FC - 3FS'!AO71</f>
        <v>4456</v>
      </c>
      <c r="AP15" s="162">
        <f>+'FC - 3FS'!AP71</f>
        <v>4379</v>
      </c>
      <c r="AQ15" s="554">
        <f t="shared" ref="AQ15:AR16" si="37">SUMIFS($D15:$AI15,$D$3:$AI$3,AQ$3,$D$2:$AI$2,4)</f>
        <v>4823.3219970913105</v>
      </c>
      <c r="AR15" s="554">
        <f t="shared" si="37"/>
        <v>5098.7777267619094</v>
      </c>
      <c r="AS15" s="554">
        <f t="shared" ref="AS15" si="38">+AS13-AS16</f>
        <v>5265.3989416769364</v>
      </c>
    </row>
    <row r="16" spans="2:45" x14ac:dyDescent="0.2">
      <c r="B16" s="155" t="s">
        <v>306</v>
      </c>
      <c r="D16" s="162">
        <f>+'FC - 3FS'!D82</f>
        <v>1662</v>
      </c>
      <c r="E16" s="162">
        <f>+'FC - 3FS'!E82</f>
        <v>1604</v>
      </c>
      <c r="F16" s="162">
        <f>+'FC - 3FS'!F82</f>
        <v>1469</v>
      </c>
      <c r="G16" s="162">
        <f>+'FC - 3FS'!G82</f>
        <v>1583</v>
      </c>
      <c r="H16" s="845">
        <f>+'FC - 3FS'!H82</f>
        <v>1367</v>
      </c>
      <c r="I16" s="162">
        <f>+'FC - 3FS'!I82</f>
        <v>1399</v>
      </c>
      <c r="J16" s="162">
        <f>+'FC - 3FS'!J82</f>
        <v>1398</v>
      </c>
      <c r="K16" s="162">
        <f>+'FC - 3FS'!K82</f>
        <v>2031</v>
      </c>
      <c r="L16" s="845">
        <f>+'FC - 3FS'!L82</f>
        <v>2221</v>
      </c>
      <c r="M16" s="162">
        <f>+'FC - 3FS'!M82</f>
        <v>2284</v>
      </c>
      <c r="N16" s="162">
        <f>+'FC - 3FS'!N82</f>
        <v>2280</v>
      </c>
      <c r="O16" s="162">
        <f>+'FC - 3FS'!O82</f>
        <v>2829</v>
      </c>
      <c r="P16" s="845">
        <f>+'FC - 3FS'!P82</f>
        <v>2837</v>
      </c>
      <c r="Q16" s="162">
        <f>+'FC - 3FS'!Q82</f>
        <v>2605</v>
      </c>
      <c r="R16" s="162">
        <f>+'FC - 3FS'!R82</f>
        <v>2514</v>
      </c>
      <c r="S16" s="162">
        <f>+'FC - 3FS'!S82</f>
        <v>2546</v>
      </c>
      <c r="T16" s="845">
        <f>+'FC - 3FS'!T82</f>
        <v>2250</v>
      </c>
      <c r="U16" s="162">
        <f>+'FC - 3FS'!U82</f>
        <v>1966</v>
      </c>
      <c r="V16" s="162">
        <f>+'FC - 3FS'!V82</f>
        <v>1879</v>
      </c>
      <c r="W16" s="162">
        <f>+'FC - 3FS'!W82</f>
        <v>2042</v>
      </c>
      <c r="X16" s="845">
        <f>+'FC - 3FS'!X82</f>
        <v>1908</v>
      </c>
      <c r="Y16" s="162">
        <f>+'FC - 3FS'!Y82</f>
        <v>1780</v>
      </c>
      <c r="Z16" s="162">
        <f>+'FC - 3FS'!Z82</f>
        <v>1752</v>
      </c>
      <c r="AA16" s="162">
        <f>+'FC - 3FS'!AA82</f>
        <v>2209</v>
      </c>
      <c r="AB16" s="845">
        <f>+'FC - 3FS'!AB82</f>
        <v>2111</v>
      </c>
      <c r="AC16" s="1305">
        <f>+'FC - 3FS'!AC82</f>
        <v>1975</v>
      </c>
      <c r="AD16" s="1305">
        <f>+'FC - 3FS'!AD82</f>
        <v>2316</v>
      </c>
      <c r="AE16" s="554">
        <f t="shared" ref="AE16:AI16" si="39">+AE13*AE17</f>
        <v>2254.1554529709747</v>
      </c>
      <c r="AF16" s="1180">
        <f t="shared" si="39"/>
        <v>2261.3192776695914</v>
      </c>
      <c r="AG16" s="554">
        <f t="shared" si="39"/>
        <v>2311.0417450518798</v>
      </c>
      <c r="AH16" s="554">
        <f t="shared" si="39"/>
        <v>2344.465943375496</v>
      </c>
      <c r="AI16" s="901">
        <f t="shared" si="39"/>
        <v>2382.8883129093169</v>
      </c>
      <c r="AK16" s="162">
        <f>+'FC - 3FS'!AK82</f>
        <v>1583</v>
      </c>
      <c r="AL16" s="162">
        <f>+'FC - 3FS'!AL82</f>
        <v>2031</v>
      </c>
      <c r="AM16" s="162">
        <f>+'FC - 3FS'!AM82</f>
        <v>2829</v>
      </c>
      <c r="AN16" s="162">
        <f>+'FC - 3FS'!AN82</f>
        <v>2546</v>
      </c>
      <c r="AO16" s="162">
        <f>+'FC - 3FS'!AO82</f>
        <v>2042</v>
      </c>
      <c r="AP16" s="162">
        <f>+'FC - 3FS'!AP82</f>
        <v>2209</v>
      </c>
      <c r="AQ16" s="554">
        <f t="shared" si="37"/>
        <v>2254.1554529709747</v>
      </c>
      <c r="AR16" s="554">
        <f t="shared" si="37"/>
        <v>2382.8883129093169</v>
      </c>
      <c r="AS16" s="554">
        <f t="shared" ref="AS16" si="40">+AS13*AS17</f>
        <v>2460.7579057766088</v>
      </c>
    </row>
    <row r="17" spans="2:45" x14ac:dyDescent="0.2">
      <c r="B17" s="166" t="s">
        <v>307</v>
      </c>
      <c r="D17" s="173">
        <f>+D16/D13</f>
        <v>0.40261627906976744</v>
      </c>
      <c r="E17" s="173">
        <f t="shared" ref="E17:Y17" si="41">+E16/E13</f>
        <v>0.39604938271604939</v>
      </c>
      <c r="F17" s="173">
        <f t="shared" si="41"/>
        <v>0.37724704673857218</v>
      </c>
      <c r="G17" s="173">
        <f t="shared" si="41"/>
        <v>0.37843652880707623</v>
      </c>
      <c r="H17" s="847">
        <f t="shared" si="41"/>
        <v>0.36231115822952559</v>
      </c>
      <c r="I17" s="173">
        <f t="shared" si="41"/>
        <v>0.3045939473111256</v>
      </c>
      <c r="J17" s="173">
        <f t="shared" si="41"/>
        <v>0.31198393215800047</v>
      </c>
      <c r="K17" s="173">
        <f t="shared" si="41"/>
        <v>0.36216119828815979</v>
      </c>
      <c r="L17" s="847">
        <f t="shared" si="41"/>
        <v>0.36638073243154073</v>
      </c>
      <c r="M17" s="173">
        <f t="shared" si="41"/>
        <v>0.35979836168872087</v>
      </c>
      <c r="N17" s="173">
        <f t="shared" si="41"/>
        <v>0.34618888551472821</v>
      </c>
      <c r="O17" s="173">
        <f t="shared" si="41"/>
        <v>0.37336676785007261</v>
      </c>
      <c r="P17" s="847">
        <f t="shared" si="41"/>
        <v>0.35920486199037732</v>
      </c>
      <c r="Q17" s="173">
        <f t="shared" si="41"/>
        <v>0.33682441168864752</v>
      </c>
      <c r="R17" s="173">
        <f t="shared" si="41"/>
        <v>0.33245173234594022</v>
      </c>
      <c r="S17" s="173">
        <f t="shared" si="41"/>
        <v>0.33198591732950838</v>
      </c>
      <c r="T17" s="847">
        <f t="shared" si="41"/>
        <v>0.3098320022032498</v>
      </c>
      <c r="U17" s="173">
        <f t="shared" si="41"/>
        <v>0.29147516679021496</v>
      </c>
      <c r="V17" s="173">
        <f t="shared" si="41"/>
        <v>0.29595211844384944</v>
      </c>
      <c r="W17" s="173">
        <f t="shared" si="41"/>
        <v>0.31425053862726993</v>
      </c>
      <c r="X17" s="847">
        <f t="shared" si="41"/>
        <v>0.31975867269984914</v>
      </c>
      <c r="Y17" s="173">
        <f t="shared" si="41"/>
        <v>0.32037437005039598</v>
      </c>
      <c r="Z17" s="173">
        <f t="shared" ref="Z17:AA17" si="42">+Z16/Z13</f>
        <v>0.3276603703011034</v>
      </c>
      <c r="AA17" s="173">
        <f t="shared" si="42"/>
        <v>0.33530661809350332</v>
      </c>
      <c r="AB17" s="847">
        <f t="shared" ref="AB17" si="43">+AB16/AB13</f>
        <v>0.32958626073380171</v>
      </c>
      <c r="AC17" s="1303">
        <f t="shared" ref="AC17" si="44">+AC16/AC13</f>
        <v>0.31849701661022417</v>
      </c>
      <c r="AD17" s="1303">
        <f t="shared" ref="AD17" si="45">+AD16/AD13</f>
        <v>0.3349240780911063</v>
      </c>
      <c r="AE17" s="1219">
        <f>AC17</f>
        <v>0.31849701661022417</v>
      </c>
      <c r="AF17" s="1258">
        <f t="shared" ref="AF17:AI17" si="46">+AE17</f>
        <v>0.31849701661022417</v>
      </c>
      <c r="AG17" s="1219">
        <f t="shared" si="46"/>
        <v>0.31849701661022417</v>
      </c>
      <c r="AH17" s="1219">
        <f t="shared" si="46"/>
        <v>0.31849701661022417</v>
      </c>
      <c r="AI17" s="1259">
        <f t="shared" si="46"/>
        <v>0.31849701661022417</v>
      </c>
      <c r="AK17" s="173">
        <f t="shared" ref="AK17" si="47">+AK16/AK13</f>
        <v>0.37843652880707623</v>
      </c>
      <c r="AL17" s="173">
        <f t="shared" ref="AL17" si="48">+AL16/AL13</f>
        <v>0.36216119828815979</v>
      </c>
      <c r="AM17" s="173">
        <f t="shared" ref="AM17" si="49">+AM16/AM13</f>
        <v>0.37336676785007261</v>
      </c>
      <c r="AN17" s="173">
        <f t="shared" ref="AN17" si="50">+AN16/AN13</f>
        <v>0.33198591732950838</v>
      </c>
      <c r="AO17" s="173">
        <f t="shared" ref="AO17:AP17" si="51">+AO16/AO13</f>
        <v>0.31425053862726993</v>
      </c>
      <c r="AP17" s="173">
        <f t="shared" si="51"/>
        <v>0.33530661809350332</v>
      </c>
      <c r="AQ17" s="1218">
        <f t="shared" ref="AQ17" si="52">+AQ16/AQ13</f>
        <v>0.31849701661022417</v>
      </c>
      <c r="AR17" s="1218">
        <f t="shared" ref="AR17" si="53">+AR16/AR13</f>
        <v>0.31849701661022417</v>
      </c>
      <c r="AS17" s="1219">
        <f t="shared" ref="AS17" si="54">+AR17</f>
        <v>0.31849701661022417</v>
      </c>
    </row>
    <row r="18" spans="2:45" x14ac:dyDescent="0.2">
      <c r="B18" s="166"/>
      <c r="D18" s="162"/>
      <c r="E18" s="262"/>
      <c r="F18" s="262"/>
      <c r="G18" s="262"/>
      <c r="H18" s="852"/>
      <c r="I18" s="262"/>
      <c r="J18" s="262"/>
      <c r="K18" s="262"/>
      <c r="L18" s="852"/>
      <c r="M18" s="262"/>
      <c r="N18" s="262"/>
      <c r="O18" s="262"/>
      <c r="P18" s="852"/>
      <c r="Q18" s="262"/>
      <c r="R18" s="262"/>
      <c r="S18" s="262"/>
      <c r="T18" s="852"/>
      <c r="U18" s="262"/>
      <c r="V18" s="262"/>
      <c r="W18" s="262"/>
      <c r="X18" s="852"/>
      <c r="Y18" s="262"/>
      <c r="Z18" s="262"/>
      <c r="AA18" s="262"/>
      <c r="AB18" s="852"/>
      <c r="AC18" s="1308"/>
      <c r="AD18" s="1308"/>
      <c r="AE18" s="1223"/>
      <c r="AF18" s="1240"/>
      <c r="AG18" s="1223"/>
      <c r="AH18" s="1223"/>
      <c r="AI18" s="1241"/>
      <c r="AK18" s="173"/>
      <c r="AL18" s="173"/>
      <c r="AM18" s="173"/>
      <c r="AN18" s="173"/>
      <c r="AO18" s="173"/>
      <c r="AP18" s="173"/>
      <c r="AQ18" s="1218"/>
      <c r="AR18" s="1218"/>
      <c r="AS18" s="1219"/>
    </row>
    <row r="19" spans="2:45" x14ac:dyDescent="0.2">
      <c r="B19" s="2" t="s">
        <v>40</v>
      </c>
      <c r="D19" s="162">
        <f>+'FC - 3FS'!D72</f>
        <v>1261</v>
      </c>
      <c r="E19" s="162">
        <f>+'FC - 3FS'!E72</f>
        <v>998</v>
      </c>
      <c r="F19" s="162">
        <f>+'FC - 3FS'!F72</f>
        <v>801</v>
      </c>
      <c r="G19" s="162">
        <f>+'FC - 3FS'!G72</f>
        <v>964</v>
      </c>
      <c r="H19" s="845">
        <f>+'FC - 3FS'!H72</f>
        <v>1225</v>
      </c>
      <c r="I19" s="162">
        <f>+'FC - 3FS'!I72</f>
        <v>1549</v>
      </c>
      <c r="J19" s="162">
        <f>+'FC - 3FS'!J72</f>
        <v>1931</v>
      </c>
      <c r="K19" s="162">
        <f>+'FC - 3FS'!K72</f>
        <v>2527</v>
      </c>
      <c r="L19" s="845">
        <f>+'FC - 3FS'!L72</f>
        <v>2209</v>
      </c>
      <c r="M19" s="162">
        <f>+'FC - 3FS'!M72</f>
        <v>1707</v>
      </c>
      <c r="N19" s="162">
        <f>+'FC - 3FS'!N72</f>
        <v>1762</v>
      </c>
      <c r="O19" s="162">
        <f>+'FC - 3FS'!O72</f>
        <v>2567</v>
      </c>
      <c r="P19" s="845">
        <f>+'FC - 3FS'!P72</f>
        <v>2715</v>
      </c>
      <c r="Q19" s="162">
        <f>+'FC - 3FS'!Q72</f>
        <v>2243</v>
      </c>
      <c r="R19" s="162">
        <f>+'FC - 3FS'!R72</f>
        <v>2247</v>
      </c>
      <c r="S19" s="162">
        <f>+'FC - 3FS'!S72</f>
        <v>1884</v>
      </c>
      <c r="T19" s="845">
        <f>+'FC - 3FS'!T72</f>
        <v>1741</v>
      </c>
      <c r="U19" s="162">
        <f>+'FC - 3FS'!U72</f>
        <v>1373</v>
      </c>
      <c r="V19" s="162">
        <f>+'FC - 3FS'!V72</f>
        <v>1685</v>
      </c>
      <c r="W19" s="162">
        <f>+'FC - 3FS'!W72</f>
        <v>1678</v>
      </c>
      <c r="X19" s="845">
        <f>+'FC - 3FS'!X72</f>
        <v>1521</v>
      </c>
      <c r="Y19" s="162">
        <f>+'FC - 3FS'!Y72</f>
        <v>1319</v>
      </c>
      <c r="Z19" s="162">
        <f>+'FC - 3FS'!Z72</f>
        <v>1789</v>
      </c>
      <c r="AA19" s="162">
        <f>+'FC - 3FS'!AA72</f>
        <v>1607</v>
      </c>
      <c r="AB19" s="845">
        <f>+'FC - 3FS'!AB72</f>
        <v>1937</v>
      </c>
      <c r="AC19" s="1305">
        <f>+'FC - 3FS'!AC72</f>
        <v>1690</v>
      </c>
      <c r="AD19" s="1305">
        <f>+'FC - 3FS'!AD72</f>
        <v>2370</v>
      </c>
      <c r="AE19" s="554">
        <f t="shared" ref="AE19:AI19" si="55">SUM(AB5:AE5)*AE21/365</f>
        <v>2141.1953697149061</v>
      </c>
      <c r="AF19" s="1180">
        <f t="shared" si="55"/>
        <v>2181.7606542947556</v>
      </c>
      <c r="AG19" s="554">
        <f t="shared" si="55"/>
        <v>2231.2123396818715</v>
      </c>
      <c r="AH19" s="554">
        <f t="shared" si="55"/>
        <v>2268.1473932558938</v>
      </c>
      <c r="AI19" s="901">
        <f t="shared" si="55"/>
        <v>2301.3283737856332</v>
      </c>
      <c r="AK19" s="162">
        <f>+'FC - 3FS'!AK72</f>
        <v>964</v>
      </c>
      <c r="AL19" s="162">
        <f>+'FC - 3FS'!AL72</f>
        <v>2527</v>
      </c>
      <c r="AM19" s="162">
        <f>+'FC - 3FS'!AM72</f>
        <v>2567</v>
      </c>
      <c r="AN19" s="162">
        <f>+'FC - 3FS'!AN72</f>
        <v>1884</v>
      </c>
      <c r="AO19" s="162">
        <f>+'FC - 3FS'!AO72</f>
        <v>1678</v>
      </c>
      <c r="AP19" s="162">
        <f>+'FC - 3FS'!AP72</f>
        <v>1607</v>
      </c>
      <c r="AQ19" s="554">
        <f t="shared" ref="AQ19:AR19" si="56">SUMIFS($D19:$AI19,$D$3:$AI$3,AQ$3,$D$2:$AI$2,4)</f>
        <v>2141.1953697149061</v>
      </c>
      <c r="AR19" s="554">
        <f t="shared" si="56"/>
        <v>2301.3283737856332</v>
      </c>
      <c r="AS19" s="554">
        <f>AS5*AS21/365</f>
        <v>2419.1636415117118</v>
      </c>
    </row>
    <row r="20" spans="2:45" x14ac:dyDescent="0.2">
      <c r="B20" s="237" t="s">
        <v>299</v>
      </c>
      <c r="D20" s="162"/>
      <c r="E20" s="162"/>
      <c r="F20" s="162"/>
      <c r="G20" s="241">
        <f>+G19/SUM(D$5:G$5)</f>
        <v>1.3653037234268557E-2</v>
      </c>
      <c r="H20" s="849">
        <f t="shared" ref="H20:AI20" si="57">+H19/SUM(E$5:H$5)</f>
        <v>1.7401556906642423E-2</v>
      </c>
      <c r="I20" s="241">
        <f t="shared" si="57"/>
        <v>2.1938334726018666E-2</v>
      </c>
      <c r="J20" s="241">
        <f t="shared" si="57"/>
        <v>2.6584613690181176E-2</v>
      </c>
      <c r="K20" s="241">
        <f t="shared" si="57"/>
        <v>3.3832271193702135E-2</v>
      </c>
      <c r="L20" s="849">
        <f t="shared" si="57"/>
        <v>2.8672299884480095E-2</v>
      </c>
      <c r="M20" s="241">
        <f t="shared" si="57"/>
        <v>2.1519880991402132E-2</v>
      </c>
      <c r="N20" s="241">
        <f t="shared" si="57"/>
        <v>2.2115119110374778E-2</v>
      </c>
      <c r="O20" s="241">
        <f t="shared" si="57"/>
        <v>3.2040240645048554E-2</v>
      </c>
      <c r="P20" s="849">
        <f t="shared" si="57"/>
        <v>3.3735508642005987E-2</v>
      </c>
      <c r="Q20" s="241">
        <f t="shared" si="57"/>
        <v>2.7957123270597035E-2</v>
      </c>
      <c r="R20" s="241">
        <f t="shared" si="57"/>
        <v>2.8058389420975736E-2</v>
      </c>
      <c r="S20" s="241">
        <f t="shared" si="57"/>
        <v>2.3676967739503084E-2</v>
      </c>
      <c r="T20" s="849">
        <f t="shared" si="57"/>
        <v>2.2014845162677186E-2</v>
      </c>
      <c r="U20" s="241">
        <f t="shared" si="57"/>
        <v>1.7473084069332383E-2</v>
      </c>
      <c r="V20" s="241">
        <f t="shared" si="57"/>
        <v>2.1505239110180849E-2</v>
      </c>
      <c r="W20" s="241">
        <f t="shared" si="57"/>
        <v>2.1360014256982102E-2</v>
      </c>
      <c r="X20" s="849">
        <f t="shared" si="57"/>
        <v>1.9370860927152317E-2</v>
      </c>
      <c r="Y20" s="241">
        <f t="shared" si="57"/>
        <v>1.6675938100536056E-2</v>
      </c>
      <c r="Z20" s="241">
        <f t="shared" si="57"/>
        <v>2.236082293827963E-2</v>
      </c>
      <c r="AA20" s="241">
        <f t="shared" si="57"/>
        <v>1.9742014742014743E-2</v>
      </c>
      <c r="AB20" s="849">
        <f t="shared" si="57"/>
        <v>2.3424273206597977E-2</v>
      </c>
      <c r="AC20" s="1309">
        <f t="shared" si="57"/>
        <v>2.0106600675772142E-2</v>
      </c>
      <c r="AD20" s="1309">
        <f t="shared" si="57"/>
        <v>2.7607254767202116E-2</v>
      </c>
      <c r="AE20" s="1115">
        <f t="shared" si="57"/>
        <v>2.4374005916733634E-2</v>
      </c>
      <c r="AF20" s="1244">
        <f t="shared" si="57"/>
        <v>2.4374005916733634E-2</v>
      </c>
      <c r="AG20" s="1115">
        <f t="shared" si="57"/>
        <v>2.4374005916733638E-2</v>
      </c>
      <c r="AH20" s="1115">
        <f t="shared" si="57"/>
        <v>2.4374005916733634E-2</v>
      </c>
      <c r="AI20" s="1211">
        <f t="shared" si="57"/>
        <v>2.4374005916733638E-2</v>
      </c>
      <c r="AK20" s="241">
        <f t="shared" ref="AK20:AS20" si="58">+AK19/AK5</f>
        <v>2.1423174363305035E-2</v>
      </c>
      <c r="AL20" s="241">
        <f t="shared" si="58"/>
        <v>3.6946064885886809E-2</v>
      </c>
      <c r="AM20" s="241">
        <f t="shared" si="58"/>
        <v>3.2040240645048554E-2</v>
      </c>
      <c r="AN20" s="241">
        <f t="shared" si="58"/>
        <v>2.3676967739503084E-2</v>
      </c>
      <c r="AO20" s="241">
        <f t="shared" si="58"/>
        <v>2.1360014256982102E-2</v>
      </c>
      <c r="AP20" s="241">
        <f t="shared" ref="AP20" si="59">+AP19/AP5</f>
        <v>1.9742014742014743E-2</v>
      </c>
      <c r="AQ20" s="1115">
        <f t="shared" si="58"/>
        <v>2.4374005916733634E-2</v>
      </c>
      <c r="AR20" s="1115">
        <f t="shared" si="58"/>
        <v>2.4374005916733638E-2</v>
      </c>
      <c r="AS20" s="1115">
        <f t="shared" si="58"/>
        <v>2.4374005916733638E-2</v>
      </c>
    </row>
    <row r="21" spans="2:45" x14ac:dyDescent="0.2">
      <c r="B21" s="237" t="s">
        <v>300</v>
      </c>
      <c r="D21" s="162"/>
      <c r="E21" s="162"/>
      <c r="F21" s="162"/>
      <c r="G21" s="242">
        <f>+G20*365</f>
        <v>4.9833585905080238</v>
      </c>
      <c r="H21" s="850">
        <f t="shared" ref="H21:Y21" si="60">+H20*365</f>
        <v>6.3515682709244841</v>
      </c>
      <c r="I21" s="242">
        <f t="shared" si="60"/>
        <v>8.0074921749968127</v>
      </c>
      <c r="J21" s="242">
        <f t="shared" si="60"/>
        <v>9.7033839969161289</v>
      </c>
      <c r="K21" s="242">
        <f t="shared" si="60"/>
        <v>12.34877898570128</v>
      </c>
      <c r="L21" s="850">
        <f t="shared" si="60"/>
        <v>10.465389457835235</v>
      </c>
      <c r="M21" s="242">
        <f t="shared" si="60"/>
        <v>7.8547565618617785</v>
      </c>
      <c r="N21" s="242">
        <f t="shared" si="60"/>
        <v>8.0720184752867947</v>
      </c>
      <c r="O21" s="242">
        <f t="shared" si="60"/>
        <v>11.694687835442721</v>
      </c>
      <c r="P21" s="850">
        <f t="shared" si="60"/>
        <v>12.313460654332186</v>
      </c>
      <c r="Q21" s="242">
        <f t="shared" si="60"/>
        <v>10.204349993767918</v>
      </c>
      <c r="R21" s="242">
        <f t="shared" si="60"/>
        <v>10.241312138656143</v>
      </c>
      <c r="S21" s="242">
        <f t="shared" si="60"/>
        <v>8.6420932249186251</v>
      </c>
      <c r="T21" s="850">
        <f t="shared" si="60"/>
        <v>8.035418484377173</v>
      </c>
      <c r="U21" s="242">
        <f t="shared" si="60"/>
        <v>6.3776756853063201</v>
      </c>
      <c r="V21" s="242">
        <f t="shared" si="60"/>
        <v>7.84941227521601</v>
      </c>
      <c r="W21" s="242">
        <f t="shared" si="60"/>
        <v>7.796405203798467</v>
      </c>
      <c r="X21" s="850">
        <f t="shared" si="60"/>
        <v>7.0703642384105958</v>
      </c>
      <c r="Y21" s="242">
        <f t="shared" si="60"/>
        <v>6.0867174066956604</v>
      </c>
      <c r="Z21" s="242">
        <f t="shared" ref="Z21:AA21" si="61">+Z20*365</f>
        <v>8.1617003724720654</v>
      </c>
      <c r="AA21" s="242">
        <f t="shared" si="61"/>
        <v>7.2058353808353814</v>
      </c>
      <c r="AB21" s="850">
        <f t="shared" ref="AB21" si="62">+AB20*365</f>
        <v>8.5498597204082625</v>
      </c>
      <c r="AC21" s="1310">
        <f t="shared" ref="AC21" si="63">+AC20*365</f>
        <v>7.338909246656832</v>
      </c>
      <c r="AD21" s="1310">
        <f t="shared" ref="AD21" si="64">+AD20*365</f>
        <v>10.076647990028771</v>
      </c>
      <c r="AE21" s="1220">
        <f>AVERAGE(AA21/Z21)*AD21</f>
        <v>8.8965121596077772</v>
      </c>
      <c r="AF21" s="1236">
        <f t="shared" ref="AF21:AI21" si="65">+AE21</f>
        <v>8.8965121596077772</v>
      </c>
      <c r="AG21" s="1220">
        <f t="shared" si="65"/>
        <v>8.8965121596077772</v>
      </c>
      <c r="AH21" s="1220">
        <f t="shared" si="65"/>
        <v>8.8965121596077772</v>
      </c>
      <c r="AI21" s="1237">
        <f t="shared" si="65"/>
        <v>8.8965121596077772</v>
      </c>
      <c r="AK21" s="242">
        <f>+AK20*365</f>
        <v>7.8194586426063379</v>
      </c>
      <c r="AL21" s="242">
        <f t="shared" ref="AL21:AR21" si="66">+AL20*365</f>
        <v>13.485313683348686</v>
      </c>
      <c r="AM21" s="242">
        <f t="shared" si="66"/>
        <v>11.694687835442721</v>
      </c>
      <c r="AN21" s="242">
        <f t="shared" si="66"/>
        <v>8.6420932249186251</v>
      </c>
      <c r="AO21" s="242">
        <f t="shared" si="66"/>
        <v>7.796405203798467</v>
      </c>
      <c r="AP21" s="242">
        <f t="shared" ref="AP21" si="67">+AP20*365</f>
        <v>7.2058353808353814</v>
      </c>
      <c r="AQ21" s="1175">
        <f t="shared" si="66"/>
        <v>8.8965121596077772</v>
      </c>
      <c r="AR21" s="1175">
        <f t="shared" si="66"/>
        <v>8.8965121596077772</v>
      </c>
      <c r="AS21" s="1220">
        <f t="shared" ref="AS21" si="68">+AR21</f>
        <v>8.8965121596077772</v>
      </c>
    </row>
    <row r="22" spans="2:45" x14ac:dyDescent="0.2">
      <c r="D22" s="162"/>
      <c r="E22" s="162"/>
      <c r="F22" s="162"/>
      <c r="G22" s="162"/>
      <c r="H22" s="845"/>
      <c r="I22" s="162"/>
      <c r="J22" s="162"/>
      <c r="K22" s="162"/>
      <c r="L22" s="845"/>
      <c r="M22" s="162"/>
      <c r="N22" s="162"/>
      <c r="O22" s="162"/>
      <c r="P22" s="845"/>
      <c r="Q22" s="162"/>
      <c r="R22" s="162"/>
      <c r="S22" s="162"/>
      <c r="T22" s="845"/>
      <c r="U22" s="162"/>
      <c r="V22" s="162"/>
      <c r="W22" s="162"/>
      <c r="X22" s="845"/>
      <c r="Y22" s="162"/>
      <c r="Z22" s="162"/>
      <c r="AA22" s="162"/>
      <c r="AB22" s="845"/>
      <c r="AC22" s="1305"/>
      <c r="AD22" s="1305"/>
      <c r="AE22" s="371"/>
      <c r="AF22" s="1238"/>
      <c r="AG22" s="371"/>
      <c r="AH22" s="371"/>
      <c r="AI22" s="902"/>
      <c r="AK22" s="162"/>
      <c r="AL22" s="162"/>
      <c r="AM22" s="162"/>
      <c r="AN22" s="162"/>
      <c r="AO22" s="162"/>
      <c r="AP22" s="162"/>
      <c r="AQ22" s="371"/>
      <c r="AR22" s="371"/>
      <c r="AS22" s="371"/>
    </row>
    <row r="23" spans="2:45" x14ac:dyDescent="0.2">
      <c r="B23" s="2" t="s">
        <v>41</v>
      </c>
      <c r="D23" s="162">
        <f>+'FC - 3FS'!D73</f>
        <v>0</v>
      </c>
      <c r="E23" s="162">
        <f>+'FC - 3FS'!E73</f>
        <v>0</v>
      </c>
      <c r="F23" s="162">
        <f>+'FC - 3FS'!F73</f>
        <v>0</v>
      </c>
      <c r="G23" s="162">
        <f>+'FC - 3FS'!G73</f>
        <v>0</v>
      </c>
      <c r="H23" s="845">
        <f>+'FC - 3FS'!H73</f>
        <v>0</v>
      </c>
      <c r="I23" s="162">
        <f>+'FC - 3FS'!I73</f>
        <v>627</v>
      </c>
      <c r="J23" s="162">
        <f>+'FC - 3FS'!J73</f>
        <v>659</v>
      </c>
      <c r="K23" s="162">
        <f>+'FC - 3FS'!K73</f>
        <v>624</v>
      </c>
      <c r="L23" s="845">
        <f>+'FC - 3FS'!L73</f>
        <v>670</v>
      </c>
      <c r="M23" s="162">
        <f>+'FC - 3FS'!M73</f>
        <v>818</v>
      </c>
      <c r="N23" s="162">
        <f>+'FC - 3FS'!N73</f>
        <v>943</v>
      </c>
      <c r="O23" s="162">
        <f>+'FC - 3FS'!O73</f>
        <v>746</v>
      </c>
      <c r="P23" s="845">
        <f>+'FC - 3FS'!P73</f>
        <v>727</v>
      </c>
      <c r="Q23" s="162">
        <f>+'FC - 3FS'!Q73</f>
        <v>776</v>
      </c>
      <c r="R23" s="162">
        <f>+'FC - 3FS'!R73</f>
        <v>711</v>
      </c>
      <c r="S23" s="162">
        <f>+'FC - 3FS'!S73</f>
        <v>673</v>
      </c>
      <c r="T23" s="845">
        <f>+'FC - 3FS'!T73</f>
        <v>674</v>
      </c>
      <c r="U23" s="162">
        <f>+'FC - 3FS'!U73</f>
        <v>814</v>
      </c>
      <c r="V23" s="162">
        <f>+'FC - 3FS'!V73</f>
        <v>712</v>
      </c>
      <c r="W23" s="162">
        <f>+'FC - 3FS'!W73</f>
        <v>702</v>
      </c>
      <c r="X23" s="845">
        <f>+'FC - 3FS'!X73</f>
        <v>715</v>
      </c>
      <c r="Y23" s="162">
        <f>+'FC - 3FS'!Y73</f>
        <v>1059</v>
      </c>
      <c r="Z23" s="162">
        <f>+'FC - 3FS'!Z73</f>
        <v>953</v>
      </c>
      <c r="AA23" s="162">
        <f>+'FC - 3FS'!AA73</f>
        <v>880</v>
      </c>
      <c r="AB23" s="845">
        <f>+'FC - 3FS'!AB73</f>
        <v>980</v>
      </c>
      <c r="AC23" s="1305">
        <f>+'FC - 3FS'!AC73</f>
        <v>1125</v>
      </c>
      <c r="AD23" s="1305">
        <f>+'FC - 3FS'!AD73</f>
        <v>1128</v>
      </c>
      <c r="AE23" s="554">
        <f t="shared" ref="AE23:AI23" si="69">+SUM(AB5:AE5)*AE25/365</f>
        <v>1154.2858186701362</v>
      </c>
      <c r="AF23" s="1180">
        <f t="shared" si="69"/>
        <v>1176.1539458775442</v>
      </c>
      <c r="AG23" s="554">
        <f t="shared" si="69"/>
        <v>1202.8125964421049</v>
      </c>
      <c r="AH23" s="554">
        <f t="shared" si="69"/>
        <v>1222.7237213937681</v>
      </c>
      <c r="AI23" s="901">
        <f t="shared" si="69"/>
        <v>1240.611082732564</v>
      </c>
      <c r="AK23" s="162">
        <f>+'FC - 3FS'!AK73</f>
        <v>0</v>
      </c>
      <c r="AL23" s="162">
        <f>+'FC - 3FS'!AL73</f>
        <v>624</v>
      </c>
      <c r="AM23" s="162">
        <f>+'FC - 3FS'!AM73</f>
        <v>746</v>
      </c>
      <c r="AN23" s="162">
        <f>+'FC - 3FS'!AN73</f>
        <v>673</v>
      </c>
      <c r="AO23" s="162">
        <f>+'FC - 3FS'!AO73</f>
        <v>702</v>
      </c>
      <c r="AP23" s="162">
        <f>+'FC - 3FS'!AP73</f>
        <v>880</v>
      </c>
      <c r="AQ23" s="554">
        <f t="shared" ref="AQ23:AR23" si="70">SUMIFS($D23:$AI23,$D$3:$AI$3,AQ$3,$D$2:$AI$2,4)</f>
        <v>1154.2858186701362</v>
      </c>
      <c r="AR23" s="554">
        <f t="shared" si="70"/>
        <v>1240.611082732564</v>
      </c>
      <c r="AS23" s="554">
        <f>AS5*AS25/365</f>
        <v>1304.1342812221635</v>
      </c>
    </row>
    <row r="24" spans="2:45" x14ac:dyDescent="0.2">
      <c r="B24" s="237" t="s">
        <v>299</v>
      </c>
      <c r="D24" s="162"/>
      <c r="E24" s="162"/>
      <c r="F24" s="162"/>
      <c r="G24" s="241">
        <f>+G23/SUM(D$5:G$5)</f>
        <v>0</v>
      </c>
      <c r="H24" s="849">
        <f t="shared" ref="H24" si="71">+H23/SUM(E$5:H$5)</f>
        <v>0</v>
      </c>
      <c r="I24" s="241">
        <f t="shared" ref="I24" si="72">+I23/SUM(F$5:I$5)</f>
        <v>8.8801393629526822E-3</v>
      </c>
      <c r="J24" s="241">
        <f t="shared" ref="J24" si="73">+J23/SUM(G$5:J$5)</f>
        <v>9.0726361583787652E-3</v>
      </c>
      <c r="K24" s="241">
        <f t="shared" ref="K24" si="74">+K23/SUM(H$5:K$5)</f>
        <v>8.3543083596636855E-3</v>
      </c>
      <c r="L24" s="849">
        <f t="shared" ref="L24" si="75">+L23/SUM(I$5:L$5)</f>
        <v>8.6964422465376483E-3</v>
      </c>
      <c r="M24" s="241">
        <f t="shared" ref="M24" si="76">+M23/SUM(J$5:M$5)</f>
        <v>1.031239756940067E-2</v>
      </c>
      <c r="N24" s="241">
        <f t="shared" ref="N24" si="77">+N23/SUM(K$5:N$5)</f>
        <v>1.1835730602203982E-2</v>
      </c>
      <c r="O24" s="241">
        <f t="shared" ref="O24" si="78">+O23/SUM(L$5:O$5)</f>
        <v>9.3112658828228365E-3</v>
      </c>
      <c r="P24" s="849">
        <f t="shared" ref="P24" si="79">+P23/SUM(M$5:P$5)</f>
        <v>9.0334124429975529E-3</v>
      </c>
      <c r="Q24" s="241">
        <f t="shared" ref="Q24" si="80">+Q23/SUM(N$5:Q$5)</f>
        <v>9.6721924467156918E-3</v>
      </c>
      <c r="R24" s="241">
        <f t="shared" ref="R24" si="81">+R23/SUM(O$5:R$5)</f>
        <v>8.8782887753955271E-3</v>
      </c>
      <c r="S24" s="241">
        <f t="shared" ref="S24" si="82">+S23/SUM(P$5:S$5)</f>
        <v>8.4578552487715366E-3</v>
      </c>
      <c r="T24" s="849">
        <f t="shared" ref="T24" si="83">+T23/SUM(Q$5:T$5)</f>
        <v>8.5226913495947288E-3</v>
      </c>
      <c r="U24" s="241">
        <f t="shared" ref="U24" si="84">+U23/SUM(R$5:U$5)</f>
        <v>1.0359133599735296E-2</v>
      </c>
      <c r="V24" s="241">
        <f t="shared" ref="V24" si="85">+V23/SUM(S$5:V$5)</f>
        <v>9.0870802649547569E-3</v>
      </c>
      <c r="W24" s="241">
        <f t="shared" ref="W24" si="86">+W23/SUM(T$5:W$5)</f>
        <v>8.9360727106087227E-3</v>
      </c>
      <c r="X24" s="849">
        <f t="shared" ref="X24" si="87">+X23/SUM(U$5:X$5)</f>
        <v>9.1059602649006619E-3</v>
      </c>
      <c r="Y24" s="241">
        <f t="shared" ref="Y24:AD24" si="88">+Y23/SUM(V$5:Y$5)</f>
        <v>1.3388793365024781E-2</v>
      </c>
      <c r="Z24" s="241">
        <f t="shared" si="88"/>
        <v>1.1911606629502787E-2</v>
      </c>
      <c r="AA24" s="241">
        <f t="shared" si="88"/>
        <v>1.0810810810810811E-2</v>
      </c>
      <c r="AB24" s="849">
        <f t="shared" si="88"/>
        <v>1.1851206888211677E-2</v>
      </c>
      <c r="AC24" s="1309">
        <f t="shared" si="88"/>
        <v>1.3384571455765479E-2</v>
      </c>
      <c r="AD24" s="1309">
        <f t="shared" si="88"/>
        <v>1.3139655433503792E-2</v>
      </c>
      <c r="AE24" s="1115">
        <f t="shared" ref="AE24" si="89">+AE23/SUM(AB$5:AE$5)</f>
        <v>1.3139655433503792E-2</v>
      </c>
      <c r="AF24" s="1244">
        <f t="shared" ref="AF24" si="90">+AF23/SUM(AC$5:AF$5)</f>
        <v>1.3139655433503792E-2</v>
      </c>
      <c r="AG24" s="1115">
        <f t="shared" ref="AG24" si="91">+AG23/SUM(AD$5:AG$5)</f>
        <v>1.3139655433503792E-2</v>
      </c>
      <c r="AH24" s="1115">
        <f t="shared" ref="AH24" si="92">+AH23/SUM(AE$5:AH$5)</f>
        <v>1.3139655433503794E-2</v>
      </c>
      <c r="AI24" s="1211">
        <f t="shared" ref="AI24" si="93">+AI23/SUM(AF$5:AI$5)</f>
        <v>1.3139655433503792E-2</v>
      </c>
      <c r="AK24" s="162"/>
      <c r="AL24" s="241">
        <f t="shared" ref="AL24:AS24" si="94">+AL23/AL5</f>
        <v>9.1232071582086939E-3</v>
      </c>
      <c r="AM24" s="241">
        <f t="shared" si="94"/>
        <v>9.3112658828228365E-3</v>
      </c>
      <c r="AN24" s="241">
        <f t="shared" si="94"/>
        <v>8.4578552487715366E-3</v>
      </c>
      <c r="AO24" s="241">
        <f t="shared" si="94"/>
        <v>8.9360727106087227E-3</v>
      </c>
      <c r="AP24" s="241">
        <f t="shared" ref="AP24" si="95">+AP23/AP5</f>
        <v>1.0810810810810811E-2</v>
      </c>
      <c r="AQ24" s="1115">
        <f t="shared" si="94"/>
        <v>1.3139655433503792E-2</v>
      </c>
      <c r="AR24" s="1115">
        <f t="shared" si="94"/>
        <v>1.3139655433503792E-2</v>
      </c>
      <c r="AS24" s="1115">
        <f t="shared" si="94"/>
        <v>1.3139655433503792E-2</v>
      </c>
    </row>
    <row r="25" spans="2:45" x14ac:dyDescent="0.2">
      <c r="B25" s="237" t="s">
        <v>300</v>
      </c>
      <c r="D25" s="162"/>
      <c r="E25" s="162"/>
      <c r="F25" s="162"/>
      <c r="G25" s="242">
        <f>+G24*365</f>
        <v>0</v>
      </c>
      <c r="H25" s="850">
        <f t="shared" ref="H25" si="96">+H24*365</f>
        <v>0</v>
      </c>
      <c r="I25" s="242">
        <f t="shared" ref="I25" si="97">+I24*365</f>
        <v>3.2412508674777292</v>
      </c>
      <c r="J25" s="242">
        <f t="shared" ref="J25" si="98">+J24*365</f>
        <v>3.3115121978082493</v>
      </c>
      <c r="K25" s="242">
        <f t="shared" ref="K25" si="99">+K24*365</f>
        <v>3.0493225512772453</v>
      </c>
      <c r="L25" s="850">
        <f t="shared" ref="L25" si="100">+L24*365</f>
        <v>3.1742014199862418</v>
      </c>
      <c r="M25" s="242">
        <f t="shared" ref="M25" si="101">+M24*365</f>
        <v>3.7640251128312445</v>
      </c>
      <c r="N25" s="242">
        <f t="shared" ref="N25" si="102">+N24*365</f>
        <v>4.3200416698044535</v>
      </c>
      <c r="O25" s="242">
        <f t="shared" ref="O25" si="103">+O24*365</f>
        <v>3.3986120472303352</v>
      </c>
      <c r="P25" s="850">
        <f t="shared" ref="P25" si="104">+P24*365</f>
        <v>3.2971955416941068</v>
      </c>
      <c r="Q25" s="242">
        <f t="shared" ref="Q25" si="105">+Q24*365</f>
        <v>3.5303502430512275</v>
      </c>
      <c r="R25" s="242">
        <f t="shared" ref="R25" si="106">+R24*365</f>
        <v>3.2405754030193674</v>
      </c>
      <c r="S25" s="242">
        <f t="shared" ref="S25" si="107">+S24*365</f>
        <v>3.0871171658016108</v>
      </c>
      <c r="T25" s="850">
        <f t="shared" ref="T25" si="108">+T24*365</f>
        <v>3.110782342602076</v>
      </c>
      <c r="U25" s="242">
        <f t="shared" ref="U25" si="109">+U24*365</f>
        <v>3.781083763903383</v>
      </c>
      <c r="V25" s="242">
        <f t="shared" ref="V25" si="110">+V24*365</f>
        <v>3.3167842967084864</v>
      </c>
      <c r="W25" s="242">
        <f t="shared" ref="W25" si="111">+W24*365</f>
        <v>3.2616665393721838</v>
      </c>
      <c r="X25" s="850">
        <f t="shared" ref="X25" si="112">+X24*365</f>
        <v>3.3236754966887414</v>
      </c>
      <c r="Y25" s="242">
        <f t="shared" ref="Y25:Z25" si="113">+Y24*365</f>
        <v>4.8869095782340448</v>
      </c>
      <c r="Z25" s="242">
        <f t="shared" si="113"/>
        <v>4.3477364197685171</v>
      </c>
      <c r="AA25" s="242">
        <f t="shared" ref="AA25:AB25" si="114">+AA24*365</f>
        <v>3.9459459459459461</v>
      </c>
      <c r="AB25" s="850">
        <f t="shared" si="114"/>
        <v>4.3256905141972624</v>
      </c>
      <c r="AC25" s="1310">
        <f t="shared" ref="AC25" si="115">+AC24*365</f>
        <v>4.8853685813543999</v>
      </c>
      <c r="AD25" s="1310">
        <f t="shared" ref="AD25" si="116">+AD24*365</f>
        <v>4.7959742332288844</v>
      </c>
      <c r="AE25" s="1220">
        <f t="shared" ref="AE25:AI25" si="117">+AD25</f>
        <v>4.7959742332288844</v>
      </c>
      <c r="AF25" s="1236">
        <f t="shared" si="117"/>
        <v>4.7959742332288844</v>
      </c>
      <c r="AG25" s="1220">
        <f t="shared" si="117"/>
        <v>4.7959742332288844</v>
      </c>
      <c r="AH25" s="1220">
        <f t="shared" si="117"/>
        <v>4.7959742332288844</v>
      </c>
      <c r="AI25" s="1237">
        <f t="shared" si="117"/>
        <v>4.7959742332288844</v>
      </c>
      <c r="AK25" s="162"/>
      <c r="AL25" s="242">
        <f t="shared" ref="AL25:AR25" si="118">+AL24*365</f>
        <v>3.3299706127461732</v>
      </c>
      <c r="AM25" s="242">
        <f t="shared" si="118"/>
        <v>3.3986120472303352</v>
      </c>
      <c r="AN25" s="242">
        <f t="shared" si="118"/>
        <v>3.0871171658016108</v>
      </c>
      <c r="AO25" s="242">
        <f t="shared" si="118"/>
        <v>3.2616665393721838</v>
      </c>
      <c r="AP25" s="242">
        <f t="shared" ref="AP25" si="119">+AP24*365</f>
        <v>3.9459459459459461</v>
      </c>
      <c r="AQ25" s="1175">
        <f t="shared" si="118"/>
        <v>4.7959742332288844</v>
      </c>
      <c r="AR25" s="1175">
        <f t="shared" si="118"/>
        <v>4.7959742332288844</v>
      </c>
      <c r="AS25" s="1220">
        <f t="shared" ref="AS25" si="120">+AR25</f>
        <v>4.7959742332288844</v>
      </c>
    </row>
    <row r="26" spans="2:45" x14ac:dyDescent="0.2">
      <c r="D26" s="162"/>
      <c r="E26" s="162"/>
      <c r="F26" s="162"/>
      <c r="G26" s="162"/>
      <c r="H26" s="845"/>
      <c r="I26" s="162"/>
      <c r="J26" s="162"/>
      <c r="K26" s="162"/>
      <c r="L26" s="845"/>
      <c r="M26" s="162"/>
      <c r="N26" s="162"/>
      <c r="O26" s="162"/>
      <c r="P26" s="845"/>
      <c r="Q26" s="162"/>
      <c r="R26" s="162"/>
      <c r="S26" s="162"/>
      <c r="T26" s="845"/>
      <c r="U26" s="162"/>
      <c r="V26" s="162"/>
      <c r="W26" s="162"/>
      <c r="X26" s="845"/>
      <c r="Y26" s="162"/>
      <c r="Z26" s="162"/>
      <c r="AA26" s="162"/>
      <c r="AB26" s="845"/>
      <c r="AC26" s="1305"/>
      <c r="AD26" s="1305"/>
      <c r="AE26" s="371"/>
      <c r="AF26" s="1238"/>
      <c r="AG26" s="371"/>
      <c r="AH26" s="371"/>
      <c r="AI26" s="902"/>
      <c r="AK26" s="162"/>
      <c r="AL26" s="162"/>
      <c r="AM26" s="162"/>
      <c r="AN26" s="162"/>
      <c r="AO26" s="162"/>
      <c r="AP26" s="162"/>
      <c r="AQ26" s="371"/>
      <c r="AR26" s="371"/>
      <c r="AS26" s="371"/>
    </row>
    <row r="27" spans="2:45" x14ac:dyDescent="0.2">
      <c r="B27" s="2" t="s">
        <v>54</v>
      </c>
      <c r="D27" s="162">
        <f>+'FC - 3FS'!D87</f>
        <v>7572</v>
      </c>
      <c r="E27" s="162">
        <f>+'FC - 3FS'!E87</f>
        <v>7458</v>
      </c>
      <c r="F27" s="162">
        <f>+'FC - 3FS'!F87</f>
        <v>6658</v>
      </c>
      <c r="G27" s="162">
        <f>+'FC - 3FS'!G87</f>
        <v>6933</v>
      </c>
      <c r="H27" s="845">
        <f>+'FC - 3FS'!H87</f>
        <v>6231</v>
      </c>
      <c r="I27" s="162">
        <f>+'FC - 3FS'!I87</f>
        <v>9474</v>
      </c>
      <c r="J27" s="162">
        <f>+'FC - 3FS'!J87</f>
        <v>8524</v>
      </c>
      <c r="K27" s="162">
        <f>+'FC - 3FS'!K87</f>
        <v>10353</v>
      </c>
      <c r="L27" s="845">
        <f>+'FC - 3FS'!L87</f>
        <v>8820</v>
      </c>
      <c r="M27" s="162">
        <f>+'FC - 3FS'!M87</f>
        <v>8516</v>
      </c>
      <c r="N27" s="162">
        <f>+'FC - 3FS'!N87</f>
        <v>8827</v>
      </c>
      <c r="O27" s="162">
        <f>+'FC - 3FS'!O87</f>
        <v>11508</v>
      </c>
      <c r="P27" s="845">
        <f>+'FC - 3FS'!P87</f>
        <v>11134</v>
      </c>
      <c r="Q27" s="162">
        <f>+'FC - 3FS'!Q87</f>
        <v>11182</v>
      </c>
      <c r="R27" s="162">
        <f>+'FC - 3FS'!R87</f>
        <v>11971</v>
      </c>
      <c r="S27" s="162">
        <f>+'FC - 3FS'!S87</f>
        <v>12275</v>
      </c>
      <c r="T27" s="845">
        <f>+'FC - 3FS'!T87</f>
        <v>11091</v>
      </c>
      <c r="U27" s="162">
        <f>+'FC - 3FS'!U87</f>
        <v>9872</v>
      </c>
      <c r="V27" s="162">
        <f>+'FC - 3FS'!V87</f>
        <v>9665</v>
      </c>
      <c r="W27" s="162">
        <f>+'FC - 3FS'!W87</f>
        <v>10373</v>
      </c>
      <c r="X27" s="845">
        <f>+'FC - 3FS'!X87</f>
        <v>7720</v>
      </c>
      <c r="Y27" s="162">
        <f>+'FC - 3FS'!Y87</f>
        <v>7591</v>
      </c>
      <c r="Z27" s="162">
        <f>+'FC - 3FS'!Z87</f>
        <v>7496</v>
      </c>
      <c r="AA27" s="162">
        <f>+'FC - 3FS'!AA87</f>
        <v>8463</v>
      </c>
      <c r="AB27" s="845">
        <f>+'FC - 3FS'!AB87</f>
        <v>7900</v>
      </c>
      <c r="AC27" s="1305">
        <f>+'FC - 3FS'!AC87</f>
        <v>7802</v>
      </c>
      <c r="AD27" s="1305">
        <f>+'FC - 3FS'!AD87</f>
        <v>9193</v>
      </c>
      <c r="AE27" s="554">
        <f t="shared" ref="AE27:AI27" si="121">SUM(AB5:AE5)*AE29/365</f>
        <v>8411.2993616470449</v>
      </c>
      <c r="AF27" s="1180">
        <f t="shared" si="121"/>
        <v>7570.5782962810417</v>
      </c>
      <c r="AG27" s="554">
        <f t="shared" si="121"/>
        <v>7744.7337084354704</v>
      </c>
      <c r="AH27" s="554">
        <f t="shared" si="121"/>
        <v>9200.1377329268416</v>
      </c>
      <c r="AI27" s="901">
        <f t="shared" si="121"/>
        <v>9040.3529519777894</v>
      </c>
      <c r="AK27" s="162">
        <f>+'FC - 3FS'!AK87</f>
        <v>6933</v>
      </c>
      <c r="AL27" s="162">
        <f>+'FC - 3FS'!AL87</f>
        <v>10353</v>
      </c>
      <c r="AM27" s="162">
        <f>+'FC - 3FS'!AM87</f>
        <v>11508</v>
      </c>
      <c r="AN27" s="162">
        <f>+'FC - 3FS'!AN87</f>
        <v>12275</v>
      </c>
      <c r="AO27" s="162">
        <f>+'FC - 3FS'!AO87</f>
        <v>10373</v>
      </c>
      <c r="AP27" s="162">
        <f>+'FC - 3FS'!AP87</f>
        <v>8463</v>
      </c>
      <c r="AQ27" s="554">
        <f t="shared" ref="AQ27:AR27" si="122">SUMIFS($D27:$AI27,$D$3:$AI$3,AQ$3,$D$2:$AI$2,4)</f>
        <v>8411.2993616470449</v>
      </c>
      <c r="AR27" s="554">
        <f t="shared" si="122"/>
        <v>9040.3529519777894</v>
      </c>
      <c r="AS27" s="554">
        <f>AS5*AS29/365</f>
        <v>9503.2475230303316</v>
      </c>
    </row>
    <row r="28" spans="2:45" x14ac:dyDescent="0.2">
      <c r="B28" s="237" t="s">
        <v>299</v>
      </c>
      <c r="D28" s="162"/>
      <c r="E28" s="162"/>
      <c r="F28" s="162"/>
      <c r="G28" s="241">
        <f>+G27/SUM(D$5:G$5)</f>
        <v>9.8191397453510271E-2</v>
      </c>
      <c r="H28" s="849">
        <f t="shared" ref="H28" si="123">+H27/SUM(E$5:H$5)</f>
        <v>8.8513551906358318E-2</v>
      </c>
      <c r="I28" s="241">
        <f t="shared" ref="I28" si="124">+I27/SUM(F$5:I$5)</f>
        <v>0.13417933066126589</v>
      </c>
      <c r="J28" s="241">
        <f t="shared" ref="J28" si="125">+J27/SUM(G$5:J$5)</f>
        <v>0.11735227710777026</v>
      </c>
      <c r="K28" s="241">
        <f t="shared" ref="K28" si="126">+K27/SUM(H$5:K$5)</f>
        <v>0.13860922187115085</v>
      </c>
      <c r="L28" s="849">
        <f t="shared" ref="L28" si="127">+L27/SUM(I$5:L$5)</f>
        <v>0.11448152330516724</v>
      </c>
      <c r="M28" s="241">
        <f t="shared" ref="M28" si="128">+M27/SUM(J$5:M$5)</f>
        <v>0.10735987494011749</v>
      </c>
      <c r="N28" s="241">
        <f t="shared" ref="N28" si="129">+N27/SUM(K$5:N$5)</f>
        <v>0.11078896503250747</v>
      </c>
      <c r="O28" s="241">
        <f t="shared" ref="O28" si="130">+O27/SUM(L$5:O$5)</f>
        <v>0.14363813375271475</v>
      </c>
      <c r="P28" s="849">
        <f t="shared" ref="P28" si="131">+P27/SUM(M$5:P$5)</f>
        <v>0.13834664943649896</v>
      </c>
      <c r="Q28" s="241">
        <f t="shared" ref="Q28" si="132">+Q27/SUM(N$5:Q$5)</f>
        <v>0.13937429889068928</v>
      </c>
      <c r="R28" s="241">
        <f t="shared" ref="R28" si="133">+R27/SUM(O$5:R$5)</f>
        <v>0.14948241199755255</v>
      </c>
      <c r="S28" s="241">
        <f t="shared" ref="S28" si="134">+S27/SUM(P$5:S$5)</f>
        <v>0.15426474469341844</v>
      </c>
      <c r="T28" s="849">
        <f t="shared" ref="T28" si="135">+T27/SUM(Q$5:T$5)</f>
        <v>0.14024505898865749</v>
      </c>
      <c r="U28" s="241">
        <f t="shared" ref="U28" si="136">+U27/SUM(R$5:U$5)</f>
        <v>0.12563312886558578</v>
      </c>
      <c r="V28" s="241">
        <f t="shared" ref="V28" si="137">+V27/SUM(S$5:V$5)</f>
        <v>0.12335200949548837</v>
      </c>
      <c r="W28" s="241">
        <f t="shared" ref="W28" si="138">+W27/SUM(T$5:W$5)</f>
        <v>0.1320425672751343</v>
      </c>
      <c r="X28" s="849">
        <f t="shared" ref="X28" si="139">+X27/SUM(U$5:X$5)</f>
        <v>9.8318899643402957E-2</v>
      </c>
      <c r="Y28" s="241">
        <f t="shared" ref="Y28:AD28" si="140">+Y27/SUM(V$5:Y$5)</f>
        <v>9.5971983412561954E-2</v>
      </c>
      <c r="Z28" s="241">
        <f t="shared" si="140"/>
        <v>9.369297302702298E-2</v>
      </c>
      <c r="AA28" s="241">
        <f t="shared" si="140"/>
        <v>0.10396805896805897</v>
      </c>
      <c r="AB28" s="849">
        <f t="shared" si="140"/>
        <v>9.5535239200890049E-2</v>
      </c>
      <c r="AC28" s="1309">
        <f t="shared" si="140"/>
        <v>9.2823490220339797E-2</v>
      </c>
      <c r="AD28" s="1309">
        <f t="shared" si="140"/>
        <v>0.10708586205691521</v>
      </c>
      <c r="AE28" s="1115">
        <f t="shared" ref="AE28" si="141">+AE27/SUM(AB$5:AE$5)</f>
        <v>9.5748880885867194E-2</v>
      </c>
      <c r="AF28" s="1244">
        <f t="shared" ref="AF28" si="142">+AF27/SUM(AC$5:AF$5)</f>
        <v>8.4576335091300997E-2</v>
      </c>
      <c r="AG28" s="1115">
        <f t="shared" ref="AG28" si="143">+AG27/SUM(AD$5:AG$5)</f>
        <v>8.4604312138148008E-2</v>
      </c>
      <c r="AH28" s="1115">
        <f t="shared" ref="AH28" si="144">+AH27/SUM(AE$5:AH$5)</f>
        <v>9.8866683974723438E-2</v>
      </c>
      <c r="AI28" s="1211">
        <f t="shared" ref="AI28" si="145">+AI27/SUM(AF$5:AI$5)</f>
        <v>9.5748880885867194E-2</v>
      </c>
      <c r="AK28" s="241">
        <f t="shared" ref="AK28:AS28" si="146">AK27/AK5</f>
        <v>0.15407351437841682</v>
      </c>
      <c r="AL28" s="241">
        <f t="shared" si="146"/>
        <v>0.1513662879950875</v>
      </c>
      <c r="AM28" s="241">
        <f t="shared" si="146"/>
        <v>0.14363813375271475</v>
      </c>
      <c r="AN28" s="241">
        <f t="shared" si="146"/>
        <v>0.15426474469341844</v>
      </c>
      <c r="AO28" s="241">
        <f t="shared" si="146"/>
        <v>0.1320425672751343</v>
      </c>
      <c r="AP28" s="241">
        <f t="shared" ref="AP28" si="147">AP27/AP5</f>
        <v>0.10396805896805897</v>
      </c>
      <c r="AQ28" s="1115">
        <f t="shared" si="146"/>
        <v>9.5748880885867194E-2</v>
      </c>
      <c r="AR28" s="1115">
        <f t="shared" si="146"/>
        <v>9.5748880885867194E-2</v>
      </c>
      <c r="AS28" s="1115">
        <f t="shared" si="146"/>
        <v>9.574888088586718E-2</v>
      </c>
    </row>
    <row r="29" spans="2:45" x14ac:dyDescent="0.2">
      <c r="B29" s="237" t="s">
        <v>300</v>
      </c>
      <c r="D29" s="162"/>
      <c r="E29" s="162"/>
      <c r="F29" s="162"/>
      <c r="G29" s="571">
        <f>+G28*365</f>
        <v>35.839860070531252</v>
      </c>
      <c r="H29" s="851">
        <f t="shared" ref="H29" si="148">+H28*365</f>
        <v>32.307446445820787</v>
      </c>
      <c r="I29" s="571">
        <f t="shared" ref="I29" si="149">+I28*365</f>
        <v>48.97545569136205</v>
      </c>
      <c r="J29" s="571">
        <f t="shared" ref="J29" si="150">+J28*365</f>
        <v>42.833581144336144</v>
      </c>
      <c r="K29" s="571">
        <f t="shared" ref="K29" si="151">+K28*365</f>
        <v>50.592365982970058</v>
      </c>
      <c r="L29" s="851">
        <f t="shared" ref="L29" si="152">+L28*365</f>
        <v>41.785756006386045</v>
      </c>
      <c r="M29" s="571">
        <f t="shared" ref="M29" si="153">+M28*365</f>
        <v>39.186354353142882</v>
      </c>
      <c r="N29" s="571">
        <f t="shared" ref="N29" si="154">+N28*365</f>
        <v>40.437972236865228</v>
      </c>
      <c r="O29" s="571">
        <f t="shared" ref="O29" si="155">+O28*365</f>
        <v>52.427918819740881</v>
      </c>
      <c r="P29" s="851">
        <f t="shared" ref="P29" si="156">+P28*365</f>
        <v>50.496527044322121</v>
      </c>
      <c r="Q29" s="571">
        <f t="shared" ref="Q29" si="157">+Q28*365</f>
        <v>50.871619095101586</v>
      </c>
      <c r="R29" s="571">
        <f t="shared" ref="R29" si="158">+R28*365</f>
        <v>54.561080379106684</v>
      </c>
      <c r="S29" s="571">
        <f t="shared" ref="S29" si="159">+S28*365</f>
        <v>56.306631813097731</v>
      </c>
      <c r="T29" s="851">
        <f t="shared" ref="T29" si="160">+T28*365</f>
        <v>51.189446530859989</v>
      </c>
      <c r="U29" s="571">
        <f t="shared" ref="U29" si="161">+U28*365</f>
        <v>45.856092035938808</v>
      </c>
      <c r="V29" s="571">
        <f t="shared" ref="V29" si="162">+V28*365</f>
        <v>45.023483465853253</v>
      </c>
      <c r="W29" s="571">
        <f t="shared" ref="W29" si="163">+W28*365</f>
        <v>48.195537055424019</v>
      </c>
      <c r="X29" s="851">
        <f t="shared" ref="X29" si="164">+X28*365</f>
        <v>35.886398369842077</v>
      </c>
      <c r="Y29" s="571">
        <f t="shared" ref="Y29:Z29" si="165">+Y28*365</f>
        <v>35.029773945585113</v>
      </c>
      <c r="Z29" s="571">
        <f t="shared" si="165"/>
        <v>34.197935154863387</v>
      </c>
      <c r="AA29" s="571">
        <f t="shared" ref="AA29:AB29" si="166">+AA28*365</f>
        <v>37.948341523341526</v>
      </c>
      <c r="AB29" s="851">
        <f t="shared" si="166"/>
        <v>34.870362308324864</v>
      </c>
      <c r="AC29" s="1311">
        <f t="shared" ref="AC29" si="167">+AC28*365</f>
        <v>33.880573930424028</v>
      </c>
      <c r="AD29" s="1311">
        <f t="shared" ref="AD29" si="168">+AD28*365</f>
        <v>39.08633965077405</v>
      </c>
      <c r="AE29" s="1222">
        <f>+AA29-3</f>
        <v>34.948341523341526</v>
      </c>
      <c r="AF29" s="1262">
        <f>+AB29-4</f>
        <v>30.870362308324864</v>
      </c>
      <c r="AG29" s="1222">
        <f>+AC29-3</f>
        <v>30.880573930424028</v>
      </c>
      <c r="AH29" s="1222">
        <f>+AD29-3</f>
        <v>36.08633965077405</v>
      </c>
      <c r="AI29" s="1263">
        <f t="shared" ref="AI29" si="169">+AE29</f>
        <v>34.948341523341526</v>
      </c>
      <c r="AK29" s="571">
        <f>+AK28*365</f>
        <v>56.23683274812214</v>
      </c>
      <c r="AL29" s="571">
        <f t="shared" ref="AL29:AR29" si="170">+AL28*365</f>
        <v>55.248695118206939</v>
      </c>
      <c r="AM29" s="571">
        <f t="shared" si="170"/>
        <v>52.427918819740881</v>
      </c>
      <c r="AN29" s="571">
        <f t="shared" si="170"/>
        <v>56.306631813097731</v>
      </c>
      <c r="AO29" s="571">
        <f t="shared" si="170"/>
        <v>48.195537055424019</v>
      </c>
      <c r="AP29" s="571">
        <f t="shared" ref="AP29" si="171">+AP28*365</f>
        <v>37.948341523341526</v>
      </c>
      <c r="AQ29" s="1221">
        <f t="shared" si="170"/>
        <v>34.948341523341526</v>
      </c>
      <c r="AR29" s="1221">
        <f t="shared" si="170"/>
        <v>34.948341523341526</v>
      </c>
      <c r="AS29" s="1222">
        <f>+AR29</f>
        <v>34.948341523341526</v>
      </c>
    </row>
    <row r="30" spans="2:45" x14ac:dyDescent="0.2">
      <c r="D30" s="162"/>
      <c r="E30" s="162"/>
      <c r="F30" s="162"/>
      <c r="G30" s="162"/>
      <c r="H30" s="845"/>
      <c r="I30" s="162"/>
      <c r="J30" s="162"/>
      <c r="K30" s="162"/>
      <c r="L30" s="845"/>
      <c r="M30" s="162"/>
      <c r="N30" s="162"/>
      <c r="O30" s="162"/>
      <c r="P30" s="845"/>
      <c r="Q30" s="162"/>
      <c r="R30" s="162"/>
      <c r="S30" s="162"/>
      <c r="T30" s="845"/>
      <c r="U30" s="162"/>
      <c r="V30" s="162"/>
      <c r="W30" s="162"/>
      <c r="X30" s="845"/>
      <c r="Y30" s="162"/>
      <c r="Z30" s="162"/>
      <c r="AA30" s="162"/>
      <c r="AB30" s="845"/>
      <c r="AC30" s="1305"/>
      <c r="AD30" s="1305"/>
      <c r="AE30" s="371"/>
      <c r="AF30" s="1238"/>
      <c r="AG30" s="371"/>
      <c r="AH30" s="371"/>
      <c r="AI30" s="902"/>
      <c r="AK30" s="162"/>
      <c r="AL30" s="162"/>
      <c r="AM30" s="162"/>
      <c r="AN30" s="162"/>
      <c r="AO30" s="162"/>
      <c r="AP30" s="162"/>
      <c r="AQ30" s="371"/>
      <c r="AR30" s="371"/>
      <c r="AS30" s="371"/>
    </row>
    <row r="31" spans="2:45" x14ac:dyDescent="0.2">
      <c r="B31" s="2" t="s">
        <v>57</v>
      </c>
      <c r="D31" s="162">
        <f>+'FC - 3FS'!D90</f>
        <v>665</v>
      </c>
      <c r="E31" s="162">
        <f>+'FC - 3FS'!E90</f>
        <v>620</v>
      </c>
      <c r="F31" s="162">
        <f>+'FC - 3FS'!F90</f>
        <v>608</v>
      </c>
      <c r="G31" s="162">
        <f>+'FC - 3FS'!G90</f>
        <v>631</v>
      </c>
      <c r="H31" s="845">
        <f>+'FC - 3FS'!H90</f>
        <v>619</v>
      </c>
      <c r="I31" s="162">
        <f>+'FC - 3FS'!I90</f>
        <v>1185</v>
      </c>
      <c r="J31" s="162">
        <f>+'FC - 3FS'!J90</f>
        <v>1078</v>
      </c>
      <c r="K31" s="162">
        <f>+'FC - 3FS'!K90</f>
        <v>1030</v>
      </c>
      <c r="L31" s="845">
        <f>+'FC - 3FS'!L90</f>
        <v>972</v>
      </c>
      <c r="M31" s="162">
        <f>+'FC - 3FS'!M90</f>
        <v>939</v>
      </c>
      <c r="N31" s="162">
        <f>+'FC - 3FS'!N90</f>
        <v>914</v>
      </c>
      <c r="O31" s="162">
        <f>+'FC - 3FS'!O90</f>
        <v>856</v>
      </c>
      <c r="P31" s="845">
        <f>+'FC - 3FS'!P90</f>
        <v>842</v>
      </c>
      <c r="Q31" s="162">
        <f>+'FC - 3FS'!Q90</f>
        <v>810</v>
      </c>
      <c r="R31" s="162">
        <f>+'FC - 3FS'!R90</f>
        <v>777</v>
      </c>
      <c r="S31" s="162">
        <f>+'FC - 3FS'!S90</f>
        <v>780</v>
      </c>
      <c r="T31" s="845">
        <f>+'FC - 3FS'!T90</f>
        <v>804</v>
      </c>
      <c r="U31" s="162">
        <f>+'FC - 3FS'!U90</f>
        <v>810</v>
      </c>
      <c r="V31" s="162">
        <f>+'FC - 3FS'!V90</f>
        <v>830</v>
      </c>
      <c r="W31" s="162">
        <f>+'FC - 3FS'!W90</f>
        <v>825</v>
      </c>
      <c r="X31" s="845">
        <f>+'FC - 3FS'!X90</f>
        <v>846</v>
      </c>
      <c r="Y31" s="162">
        <f>+'FC - 3FS'!Y90</f>
        <v>1098</v>
      </c>
      <c r="Z31" s="162">
        <f>+'FC - 3FS'!Z90</f>
        <v>1125</v>
      </c>
      <c r="AA31" s="162">
        <f>+'FC - 3FS'!AA90</f>
        <v>1222</v>
      </c>
      <c r="AB31" s="845">
        <f>+'FC - 3FS'!AB90</f>
        <v>1193</v>
      </c>
      <c r="AC31" s="1305">
        <f>+'FC - 3FS'!AC90</f>
        <v>1217</v>
      </c>
      <c r="AD31" s="1305">
        <f>+'FC - 3FS'!AD90</f>
        <v>1487</v>
      </c>
      <c r="AE31" s="554">
        <f t="shared" ref="AE31:AI31" si="172">SUM(AB5:AE5)*AE33/365</f>
        <v>1521.6516067043372</v>
      </c>
      <c r="AF31" s="1180">
        <f t="shared" si="172"/>
        <v>1550.4795368084292</v>
      </c>
      <c r="AG31" s="554">
        <f t="shared" si="172"/>
        <v>1585.6226337849375</v>
      </c>
      <c r="AH31" s="554">
        <f t="shared" si="172"/>
        <v>1611.8707213763587</v>
      </c>
      <c r="AI31" s="901">
        <f t="shared" si="172"/>
        <v>1635.4509574674844</v>
      </c>
      <c r="AK31" s="162">
        <f>+'FC - 3FS'!AK90</f>
        <v>631</v>
      </c>
      <c r="AL31" s="162">
        <f>+'FC - 3FS'!AL90</f>
        <v>1030</v>
      </c>
      <c r="AM31" s="162">
        <f>+'FC - 3FS'!AM90</f>
        <v>856</v>
      </c>
      <c r="AN31" s="162">
        <f>+'FC - 3FS'!AN90</f>
        <v>780</v>
      </c>
      <c r="AO31" s="162">
        <f>+'FC - 3FS'!AO90</f>
        <v>825</v>
      </c>
      <c r="AP31" s="162">
        <f>+'FC - 3FS'!AP90</f>
        <v>1222</v>
      </c>
      <c r="AQ31" s="554">
        <f t="shared" ref="AQ31:AR31" si="173">SUMIFS($D31:$AI31,$D$3:$AI$3,AQ$3,$D$2:$AI$2,4)</f>
        <v>1521.6516067043372</v>
      </c>
      <c r="AR31" s="554">
        <f t="shared" si="173"/>
        <v>1635.4509574674844</v>
      </c>
      <c r="AS31" s="554">
        <f>AS5*AS33/365</f>
        <v>1719.191202284891</v>
      </c>
    </row>
    <row r="32" spans="2:45" x14ac:dyDescent="0.2">
      <c r="B32" s="237" t="s">
        <v>299</v>
      </c>
      <c r="D32" s="162"/>
      <c r="E32" s="162"/>
      <c r="F32" s="162"/>
      <c r="G32" s="262">
        <f>+G31/SUM(D$5:G$5)</f>
        <v>8.9367909697338783E-3</v>
      </c>
      <c r="H32" s="852">
        <f t="shared" ref="H32" si="174">+H31/SUM(E$5:H$5)</f>
        <v>8.7931132450707432E-3</v>
      </c>
      <c r="I32" s="262">
        <f t="shared" ref="I32" si="175">+I31/SUM(F$5:I$5)</f>
        <v>1.6783038508929711E-2</v>
      </c>
      <c r="J32" s="262">
        <f t="shared" ref="J32" si="176">+J31/SUM(G$5:J$5)</f>
        <v>1.4841125612643868E-2</v>
      </c>
      <c r="K32" s="262">
        <f t="shared" ref="K32" si="177">+K31/SUM(H$5:K$5)</f>
        <v>1.3789964119316661E-2</v>
      </c>
      <c r="L32" s="852">
        <f t="shared" ref="L32" si="178">+L31/SUM(I$5:L$5)</f>
        <v>1.2616331139753125E-2</v>
      </c>
      <c r="M32" s="262">
        <f t="shared" ref="M32" si="179">+M31/SUM(J$5:M$5)</f>
        <v>1.1837825571720331E-2</v>
      </c>
      <c r="N32" s="262">
        <f t="shared" ref="N32" si="180">+N31/SUM(K$5:N$5)</f>
        <v>1.147174737053493E-2</v>
      </c>
      <c r="O32" s="262">
        <f t="shared" ref="O32" si="181">+O31/SUM(L$5:O$5)</f>
        <v>1.068424074490127E-2</v>
      </c>
      <c r="P32" s="852">
        <f t="shared" ref="P32" si="182">+P31/SUM(M$5:P$5)</f>
        <v>1.0462356639620274E-2</v>
      </c>
      <c r="Q32" s="262">
        <f t="shared" ref="Q32" si="183">+Q31/SUM(N$5:Q$5)</f>
        <v>1.009597407453571E-2</v>
      </c>
      <c r="R32" s="262">
        <f t="shared" ref="R32" si="184">+R31/SUM(O$5:R$5)</f>
        <v>9.7024337250103017E-3</v>
      </c>
      <c r="S32" s="262">
        <f t="shared" ref="S32" si="185">+S31/SUM(P$5:S$5)</f>
        <v>9.8025662615777113E-3</v>
      </c>
      <c r="T32" s="852">
        <f t="shared" ref="T32" si="186">+T31/SUM(Q$5:T$5)</f>
        <v>1.0166533894768787E-2</v>
      </c>
      <c r="U32" s="262">
        <f t="shared" ref="U32" si="187">+U31/SUM(R$5:U$5)</f>
        <v>1.0308228766321361E-2</v>
      </c>
      <c r="V32" s="262">
        <f t="shared" ref="V32" si="188">+V31/SUM(S$5:V$5)</f>
        <v>1.0593085140326471E-2</v>
      </c>
      <c r="W32" s="262">
        <f t="shared" ref="W32" si="189">+W31/SUM(T$5:W$5)</f>
        <v>1.0501794852211106E-2</v>
      </c>
      <c r="X32" s="852">
        <f t="shared" ref="X32" si="190">+X31/SUM(U$5:X$5)</f>
        <v>1.0774325012735609E-2</v>
      </c>
      <c r="Y32" s="262">
        <f t="shared" ref="Y32:AD32" si="191">+Y31/SUM(V$5:Y$5)</f>
        <v>1.3881865075351472E-2</v>
      </c>
      <c r="Z32" s="262">
        <f t="shared" si="191"/>
        <v>1.406144539159563E-2</v>
      </c>
      <c r="AA32" s="262">
        <f t="shared" si="191"/>
        <v>1.5012285012285012E-2</v>
      </c>
      <c r="AB32" s="852">
        <f t="shared" si="191"/>
        <v>1.4427030426159726E-2</v>
      </c>
      <c r="AC32" s="1308">
        <f t="shared" si="191"/>
        <v>1.4479131965925856E-2</v>
      </c>
      <c r="AD32" s="1308">
        <f t="shared" si="191"/>
        <v>1.732151385604622E-2</v>
      </c>
      <c r="AE32" s="1147">
        <f t="shared" ref="AE32" si="192">+AE31/SUM(AB$5:AE$5)</f>
        <v>1.732151385604622E-2</v>
      </c>
      <c r="AF32" s="1239">
        <f t="shared" ref="AF32" si="193">+AF31/SUM(AC$5:AF$5)</f>
        <v>1.7321513856046224E-2</v>
      </c>
      <c r="AG32" s="1147">
        <f t="shared" ref="AG32" si="194">+AG31/SUM(AD$5:AG$5)</f>
        <v>1.7321513856046217E-2</v>
      </c>
      <c r="AH32" s="1147">
        <f t="shared" ref="AH32" si="195">+AH31/SUM(AE$5:AH$5)</f>
        <v>1.732151385604622E-2</v>
      </c>
      <c r="AI32" s="1146">
        <f t="shared" ref="AI32" si="196">+AI31/SUM(AF$5:AI$5)</f>
        <v>1.732151385604622E-2</v>
      </c>
      <c r="AK32" s="262">
        <f t="shared" ref="AK32:AS32" si="197">+AK31/AK5</f>
        <v>1.4022845459798212E-2</v>
      </c>
      <c r="AL32" s="262">
        <f t="shared" si="197"/>
        <v>1.5059140020761145E-2</v>
      </c>
      <c r="AM32" s="262">
        <f t="shared" si="197"/>
        <v>1.068424074490127E-2</v>
      </c>
      <c r="AN32" s="262">
        <f t="shared" si="197"/>
        <v>9.8025662615777113E-3</v>
      </c>
      <c r="AO32" s="262">
        <f t="shared" si="197"/>
        <v>1.0501794852211106E-2</v>
      </c>
      <c r="AP32" s="262">
        <f t="shared" ref="AP32" si="198">+AP31/AP5</f>
        <v>1.5012285012285012E-2</v>
      </c>
      <c r="AQ32" s="1147">
        <f t="shared" si="197"/>
        <v>1.732151385604622E-2</v>
      </c>
      <c r="AR32" s="1147">
        <f t="shared" si="197"/>
        <v>1.732151385604622E-2</v>
      </c>
      <c r="AS32" s="1147">
        <f t="shared" si="197"/>
        <v>1.732151385604622E-2</v>
      </c>
    </row>
    <row r="33" spans="2:45" x14ac:dyDescent="0.2">
      <c r="B33" s="237" t="s">
        <v>300</v>
      </c>
      <c r="D33" s="162"/>
      <c r="E33" s="162"/>
      <c r="F33" s="162"/>
      <c r="G33" s="242">
        <f>+G32*365</f>
        <v>3.2619287039528655</v>
      </c>
      <c r="H33" s="850">
        <f t="shared" ref="H33" si="199">+H32*365</f>
        <v>3.2094863344508213</v>
      </c>
      <c r="I33" s="242">
        <f t="shared" ref="I33" si="200">+I32*365</f>
        <v>6.1258090557593441</v>
      </c>
      <c r="J33" s="242">
        <f t="shared" ref="J33" si="201">+J32*365</f>
        <v>5.4170108486150115</v>
      </c>
      <c r="K33" s="242">
        <f t="shared" ref="K33" si="202">+K32*365</f>
        <v>5.0333369035505813</v>
      </c>
      <c r="L33" s="850">
        <f t="shared" ref="L33" si="203">+L32*365</f>
        <v>4.6049608660098906</v>
      </c>
      <c r="M33" s="242">
        <f t="shared" ref="M33" si="204">+M32*365</f>
        <v>4.320806333677921</v>
      </c>
      <c r="N33" s="242">
        <f t="shared" ref="N33" si="205">+N32*365</f>
        <v>4.1871877902452495</v>
      </c>
      <c r="O33" s="242">
        <f t="shared" ref="O33" si="206">+O32*365</f>
        <v>3.8997478718889638</v>
      </c>
      <c r="P33" s="850">
        <f t="shared" ref="P33" si="207">+P32*365</f>
        <v>3.8187601734614001</v>
      </c>
      <c r="Q33" s="242">
        <f t="shared" ref="Q33" si="208">+Q32*365</f>
        <v>3.6850305372055341</v>
      </c>
      <c r="R33" s="242">
        <f t="shared" ref="R33" si="209">+R32*365</f>
        <v>3.5413883096287599</v>
      </c>
      <c r="S33" s="242">
        <f t="shared" ref="S33" si="210">+S32*365</f>
        <v>3.5779366854758647</v>
      </c>
      <c r="T33" s="850">
        <f t="shared" ref="T33" si="211">+T32*365</f>
        <v>3.7107848715906071</v>
      </c>
      <c r="U33" s="242">
        <f t="shared" ref="U33" si="212">+U32*365</f>
        <v>3.762503499707297</v>
      </c>
      <c r="V33" s="242">
        <f t="shared" ref="V33" si="213">+V32*365</f>
        <v>3.8664760762191621</v>
      </c>
      <c r="W33" s="242">
        <f t="shared" ref="W33" si="214">+W32*365</f>
        <v>3.8331551210570534</v>
      </c>
      <c r="X33" s="850">
        <f t="shared" ref="X33" si="215">+X32*365</f>
        <v>3.9326286296484971</v>
      </c>
      <c r="Y33" s="242">
        <f t="shared" ref="Y33:Z33" si="216">+Y32*365</f>
        <v>5.0668807525032875</v>
      </c>
      <c r="Z33" s="242">
        <f t="shared" si="216"/>
        <v>5.132427567932405</v>
      </c>
      <c r="AA33" s="242">
        <f t="shared" ref="AA33:AB33" si="217">+AA32*365</f>
        <v>5.4794840294840297</v>
      </c>
      <c r="AB33" s="850">
        <f t="shared" si="217"/>
        <v>5.2658661055482998</v>
      </c>
      <c r="AC33" s="1310">
        <f t="shared" ref="AC33" si="218">+AC32*365</f>
        <v>5.2848831675629375</v>
      </c>
      <c r="AD33" s="1310">
        <f t="shared" ref="AD33" si="219">+AD32*365</f>
        <v>6.3223525574568704</v>
      </c>
      <c r="AE33" s="1220">
        <f t="shared" ref="AE33:AI33" si="220">+AD33</f>
        <v>6.3223525574568704</v>
      </c>
      <c r="AF33" s="1236">
        <f t="shared" si="220"/>
        <v>6.3223525574568704</v>
      </c>
      <c r="AG33" s="1220">
        <f t="shared" si="220"/>
        <v>6.3223525574568704</v>
      </c>
      <c r="AH33" s="1220">
        <f t="shared" si="220"/>
        <v>6.3223525574568704</v>
      </c>
      <c r="AI33" s="1237">
        <f t="shared" si="220"/>
        <v>6.3223525574568704</v>
      </c>
      <c r="AK33" s="242">
        <f t="shared" ref="AK33:AR33" si="221">+AK32*365</f>
        <v>5.1183385928263476</v>
      </c>
      <c r="AL33" s="242">
        <f t="shared" si="221"/>
        <v>5.4965861075778175</v>
      </c>
      <c r="AM33" s="242">
        <f t="shared" si="221"/>
        <v>3.8997478718889638</v>
      </c>
      <c r="AN33" s="242">
        <f t="shared" si="221"/>
        <v>3.5779366854758647</v>
      </c>
      <c r="AO33" s="242">
        <f t="shared" si="221"/>
        <v>3.8331551210570534</v>
      </c>
      <c r="AP33" s="242">
        <f t="shared" ref="AP33" si="222">+AP32*365</f>
        <v>5.4794840294840297</v>
      </c>
      <c r="AQ33" s="1175">
        <f t="shared" si="221"/>
        <v>6.3223525574568704</v>
      </c>
      <c r="AR33" s="1175">
        <f t="shared" si="221"/>
        <v>6.3223525574568704</v>
      </c>
      <c r="AS33" s="1220">
        <f t="shared" ref="AS33" si="223">+AR33</f>
        <v>6.3223525574568704</v>
      </c>
    </row>
    <row r="34" spans="2:45" x14ac:dyDescent="0.2">
      <c r="B34" s="237"/>
      <c r="D34" s="162"/>
      <c r="E34" s="162"/>
      <c r="F34" s="162"/>
      <c r="G34" s="242"/>
      <c r="H34" s="850"/>
      <c r="I34" s="242"/>
      <c r="J34" s="242"/>
      <c r="K34" s="242"/>
      <c r="L34" s="850"/>
      <c r="M34" s="242"/>
      <c r="N34" s="242"/>
      <c r="O34" s="242"/>
      <c r="P34" s="850"/>
      <c r="Q34" s="242"/>
      <c r="R34" s="242"/>
      <c r="S34" s="242"/>
      <c r="T34" s="850"/>
      <c r="U34" s="242"/>
      <c r="V34" s="242"/>
      <c r="W34" s="242"/>
      <c r="X34" s="850"/>
      <c r="Y34" s="242"/>
      <c r="Z34" s="242"/>
      <c r="AA34" s="242"/>
      <c r="AB34" s="850"/>
      <c r="AC34" s="1310"/>
      <c r="AD34" s="1310"/>
      <c r="AE34" s="1220"/>
      <c r="AF34" s="1236"/>
      <c r="AG34" s="1220"/>
      <c r="AH34" s="1220"/>
      <c r="AI34" s="1237"/>
      <c r="AK34" s="242"/>
      <c r="AL34" s="242"/>
      <c r="AM34" s="242"/>
      <c r="AN34" s="242"/>
      <c r="AO34" s="242"/>
      <c r="AP34" s="242"/>
      <c r="AQ34" s="1175"/>
      <c r="AR34" s="1175"/>
      <c r="AS34" s="1220"/>
    </row>
    <row r="35" spans="2:45" x14ac:dyDescent="0.2">
      <c r="B35" s="1201" t="s">
        <v>912</v>
      </c>
      <c r="D35" s="162">
        <f>'FC - 3FS'!D125</f>
        <v>73</v>
      </c>
      <c r="E35" s="162">
        <f>'FC - 3FS'!E125</f>
        <v>71</v>
      </c>
      <c r="F35" s="162">
        <f>'FC - 3FS'!F125</f>
        <v>74</v>
      </c>
      <c r="G35" s="162">
        <f>'FC - 3FS'!G125</f>
        <v>89</v>
      </c>
      <c r="H35" s="845">
        <f>'FC - 3FS'!H125</f>
        <v>113</v>
      </c>
      <c r="I35" s="162">
        <f>'FC - 3FS'!I125</f>
        <v>233</v>
      </c>
      <c r="J35" s="162">
        <f>'FC - 3FS'!J125</f>
        <v>143</v>
      </c>
      <c r="K35" s="162">
        <f>'FC - 3FS'!K125</f>
        <v>113</v>
      </c>
      <c r="L35" s="845">
        <f>'FC - 3FS'!L125</f>
        <v>82</v>
      </c>
      <c r="M35" s="162">
        <f>'FC - 3FS'!M125</f>
        <v>72</v>
      </c>
      <c r="N35" s="162">
        <f>'FC - 3FS'!N125</f>
        <v>105</v>
      </c>
      <c r="O35" s="162">
        <f>'FC - 3FS'!O125</f>
        <v>193</v>
      </c>
      <c r="P35" s="845">
        <f>'FC - 3FS'!P125</f>
        <v>210</v>
      </c>
      <c r="Q35" s="162">
        <f>'FC - 3FS'!Q125</f>
        <v>311</v>
      </c>
      <c r="R35" s="162">
        <f>'FC - 3FS'!R125</f>
        <v>239</v>
      </c>
      <c r="S35" s="162">
        <f>'FC - 3FS'!S125</f>
        <v>266</v>
      </c>
      <c r="T35" s="845">
        <f>'FC - 3FS'!T125</f>
        <v>222</v>
      </c>
      <c r="U35" s="162">
        <f>'FC - 3FS'!U125</f>
        <v>213</v>
      </c>
      <c r="V35" s="162">
        <f>'FC - 3FS'!V125</f>
        <v>228</v>
      </c>
      <c r="W35" s="162">
        <f>'FC - 3FS'!W125</f>
        <v>235</v>
      </c>
      <c r="X35" s="845">
        <f>'FC - 3FS'!X125</f>
        <v>282</v>
      </c>
      <c r="Y35" s="162">
        <f>'FC - 3FS'!Y125</f>
        <v>255</v>
      </c>
      <c r="Z35" s="162">
        <f>'FC - 3FS'!Z125</f>
        <v>299</v>
      </c>
      <c r="AA35" s="162">
        <f>'FC - 3FS'!AA125</f>
        <v>356</v>
      </c>
      <c r="AB35" s="845">
        <f>'FC - 3FS'!AB125</f>
        <v>323</v>
      </c>
      <c r="AC35" s="1305">
        <f>'FC - 3FS'!AC125</f>
        <v>265</v>
      </c>
      <c r="AD35" s="1305">
        <f>'FC - 3FS'!AD125</f>
        <v>337</v>
      </c>
      <c r="AE35" s="554">
        <f t="shared" ref="AE35:AI35" si="224">+AE36*AE5</f>
        <v>366.3993673644456</v>
      </c>
      <c r="AF35" s="1180">
        <f t="shared" si="224"/>
        <v>346.10584034083035</v>
      </c>
      <c r="AG35" s="554">
        <f t="shared" si="224"/>
        <v>355.47721158329205</v>
      </c>
      <c r="AH35" s="554">
        <f t="shared" si="224"/>
        <v>360.25780473873766</v>
      </c>
      <c r="AI35" s="901">
        <f t="shared" si="224"/>
        <v>387.29325248238382</v>
      </c>
      <c r="AK35" s="162">
        <f>'FC - 3FS'!AK125</f>
        <v>307</v>
      </c>
      <c r="AL35" s="162">
        <f>'FC - 3FS'!AL125</f>
        <v>602</v>
      </c>
      <c r="AM35" s="162">
        <f>'FC - 3FS'!AM125</f>
        <v>452</v>
      </c>
      <c r="AN35" s="162">
        <f>'FC - 3FS'!AN125</f>
        <v>1026</v>
      </c>
      <c r="AO35" s="162">
        <f>'FC - 3FS'!AO125</f>
        <v>898</v>
      </c>
      <c r="AP35" s="162">
        <f>'FC - 3FS'!AP125</f>
        <v>1192</v>
      </c>
      <c r="AQ35" s="484">
        <f t="shared" ref="AQ35:AR35" si="225">SUMIFS($D35:$AI35,$D$3:$AI$3,AQ$3)</f>
        <v>1291.3993673644457</v>
      </c>
      <c r="AR35" s="484">
        <f t="shared" si="225"/>
        <v>1449.1341091452439</v>
      </c>
      <c r="AS35" s="554">
        <f>AS36*AS5</f>
        <v>1523.3343439605942</v>
      </c>
    </row>
    <row r="36" spans="2:45" x14ac:dyDescent="0.2">
      <c r="B36" s="237" t="s">
        <v>206</v>
      </c>
      <c r="D36" s="262">
        <f t="shared" ref="D36:Y36" si="226">D35/D5</f>
        <v>4.1432544412282196E-3</v>
      </c>
      <c r="E36" s="262">
        <f t="shared" si="226"/>
        <v>4.0664375715922111E-3</v>
      </c>
      <c r="F36" s="262">
        <f t="shared" si="226"/>
        <v>4.2915965899205473E-3</v>
      </c>
      <c r="G36" s="262">
        <f t="shared" si="226"/>
        <v>4.8673776319387478E-3</v>
      </c>
      <c r="H36" s="852">
        <f t="shared" si="226"/>
        <v>6.4912683823529415E-3</v>
      </c>
      <c r="I36" s="262">
        <f t="shared" si="226"/>
        <v>1.3185445079508799E-2</v>
      </c>
      <c r="J36" s="262">
        <f t="shared" si="226"/>
        <v>7.4200913242009128E-3</v>
      </c>
      <c r="K36" s="262">
        <f t="shared" si="226"/>
        <v>5.5552824344919129E-3</v>
      </c>
      <c r="L36" s="852">
        <f t="shared" si="226"/>
        <v>4.1500075914773019E-3</v>
      </c>
      <c r="M36" s="262">
        <f t="shared" si="226"/>
        <v>3.6090225563909775E-3</v>
      </c>
      <c r="N36" s="262">
        <f t="shared" si="226"/>
        <v>5.3505911129229514E-3</v>
      </c>
      <c r="O36" s="262">
        <f t="shared" si="226"/>
        <v>9.2855424585037288E-3</v>
      </c>
      <c r="P36" s="852">
        <f t="shared" si="226"/>
        <v>1.0437375745526839E-2</v>
      </c>
      <c r="Q36" s="262">
        <f t="shared" si="226"/>
        <v>1.5786000710623825E-2</v>
      </c>
      <c r="R36" s="262">
        <f t="shared" si="226"/>
        <v>1.2270883606304872E-2</v>
      </c>
      <c r="S36" s="262">
        <f t="shared" si="226"/>
        <v>1.3120899718837863E-2</v>
      </c>
      <c r="T36" s="852">
        <f t="shared" si="226"/>
        <v>1.1308068459657702E-2</v>
      </c>
      <c r="U36" s="262">
        <f t="shared" si="226"/>
        <v>1.1096061679516565E-2</v>
      </c>
      <c r="V36" s="262">
        <f t="shared" si="226"/>
        <v>1.1842925410346978E-2</v>
      </c>
      <c r="W36" s="262">
        <f t="shared" si="226"/>
        <v>1.1475730051762868E-2</v>
      </c>
      <c r="X36" s="852">
        <f t="shared" si="226"/>
        <v>1.4392160865571093E-2</v>
      </c>
      <c r="Y36" s="262">
        <f t="shared" si="226"/>
        <v>1.2897026097511633E-2</v>
      </c>
      <c r="Z36" s="262">
        <f>Z35/Z5</f>
        <v>1.4829877988294812E-2</v>
      </c>
      <c r="AA36" s="262">
        <f>AA35/AA5</f>
        <v>1.6276517922457937E-2</v>
      </c>
      <c r="AB36" s="852">
        <f>AB35/AB5</f>
        <v>1.5464904720865652E-2</v>
      </c>
      <c r="AC36" s="1308">
        <f>AC35/AC5</f>
        <v>1.2540223357940564E-2</v>
      </c>
      <c r="AD36" s="1308">
        <f>AD35/AD5</f>
        <v>1.5348180534681424E-2</v>
      </c>
      <c r="AE36" s="1223">
        <f t="shared" ref="AE36:AI36" si="227">+AD36</f>
        <v>1.5348180534681424E-2</v>
      </c>
      <c r="AF36" s="1240">
        <f t="shared" si="227"/>
        <v>1.5348180534681424E-2</v>
      </c>
      <c r="AG36" s="1223">
        <f t="shared" si="227"/>
        <v>1.5348180534681424E-2</v>
      </c>
      <c r="AH36" s="1223">
        <f t="shared" si="227"/>
        <v>1.5348180534681424E-2</v>
      </c>
      <c r="AI36" s="1241">
        <f t="shared" si="227"/>
        <v>1.5348180534681424E-2</v>
      </c>
      <c r="AK36" s="262">
        <f>+AK35/AK5</f>
        <v>6.822525445575359E-3</v>
      </c>
      <c r="AL36" s="262">
        <f t="shared" ref="AL36:AO36" si="228">+AL35/AL5</f>
        <v>8.8015556237846689E-3</v>
      </c>
      <c r="AM36" s="262">
        <f t="shared" si="228"/>
        <v>5.6416785241768389E-3</v>
      </c>
      <c r="AN36" s="262">
        <f t="shared" si="228"/>
        <v>1.2894144851767604E-2</v>
      </c>
      <c r="AO36" s="262">
        <f t="shared" si="228"/>
        <v>1.1431044578527966E-2</v>
      </c>
      <c r="AP36" s="262">
        <f t="shared" ref="AP36" si="229">+AP35/AP5</f>
        <v>1.4643734643734644E-2</v>
      </c>
      <c r="AQ36" s="1147">
        <f t="shared" ref="AQ36" si="230">+AQ35/AQ5</f>
        <v>1.4700468843811336E-2</v>
      </c>
      <c r="AR36" s="1147">
        <f t="shared" ref="AR36" si="231">+AR35/AR5</f>
        <v>1.5348180534681422E-2</v>
      </c>
      <c r="AS36" s="1223">
        <f t="shared" ref="AS36" si="232">+AR36</f>
        <v>1.5348180534681422E-2</v>
      </c>
    </row>
    <row r="37" spans="2:45" x14ac:dyDescent="0.2">
      <c r="H37" s="594"/>
      <c r="L37" s="594"/>
      <c r="P37" s="594"/>
      <c r="T37" s="594"/>
      <c r="X37" s="594"/>
      <c r="AB37" s="594"/>
      <c r="AE37" s="370"/>
      <c r="AF37" s="1229"/>
      <c r="AG37" s="370"/>
      <c r="AH37" s="370"/>
      <c r="AI37" s="913"/>
      <c r="AQ37" s="370"/>
      <c r="AR37" s="370"/>
      <c r="AS37" s="370"/>
    </row>
    <row r="38" spans="2:45" x14ac:dyDescent="0.2">
      <c r="B38" s="236" t="s">
        <v>304</v>
      </c>
      <c r="C38" s="172"/>
      <c r="D38" s="172"/>
      <c r="E38" s="172"/>
      <c r="F38" s="172"/>
      <c r="G38" s="172"/>
      <c r="H38" s="846"/>
      <c r="I38" s="172"/>
      <c r="J38" s="172"/>
      <c r="K38" s="172"/>
      <c r="L38" s="846"/>
      <c r="M38" s="172"/>
      <c r="N38" s="172"/>
      <c r="O38" s="172"/>
      <c r="P38" s="846"/>
      <c r="Q38" s="172"/>
      <c r="R38" s="172"/>
      <c r="S38" s="172"/>
      <c r="T38" s="846"/>
      <c r="U38" s="172"/>
      <c r="V38" s="172"/>
      <c r="W38" s="172"/>
      <c r="X38" s="846"/>
      <c r="Y38" s="172"/>
      <c r="Z38" s="172"/>
      <c r="AA38" s="172"/>
      <c r="AB38" s="846"/>
      <c r="AC38" s="172"/>
      <c r="AD38" s="172"/>
      <c r="AE38" s="172"/>
      <c r="AF38" s="846"/>
      <c r="AG38" s="172"/>
      <c r="AH38" s="172"/>
      <c r="AI38" s="864"/>
      <c r="AJ38" s="172"/>
      <c r="AK38" s="172"/>
      <c r="AL38" s="172"/>
      <c r="AM38" s="172"/>
      <c r="AN38" s="172"/>
      <c r="AO38" s="172"/>
      <c r="AP38" s="172"/>
      <c r="AQ38" s="172"/>
      <c r="AR38" s="172"/>
      <c r="AS38" s="172"/>
    </row>
    <row r="39" spans="2:45" x14ac:dyDescent="0.2">
      <c r="B39" s="2" t="s">
        <v>327</v>
      </c>
      <c r="D39" s="162">
        <f>+'FC - 3FS'!D122</f>
        <v>1600</v>
      </c>
      <c r="E39" s="162">
        <f>+'FC - 3FS'!E122</f>
        <v>1585</v>
      </c>
      <c r="F39" s="162">
        <f>+'FC - 3FS'!F122</f>
        <v>1655</v>
      </c>
      <c r="G39" s="162">
        <f>+'FC - 3FS'!G122</f>
        <v>1776</v>
      </c>
      <c r="H39" s="845">
        <f>+'FC - 3FS'!H122</f>
        <v>1718</v>
      </c>
      <c r="I39" s="162">
        <f>+'FC - 3FS'!I122</f>
        <v>4064</v>
      </c>
      <c r="J39" s="162">
        <f>+'FC - 3FS'!J122</f>
        <v>4150</v>
      </c>
      <c r="K39" s="162">
        <f>+'FC - 3FS'!K122</f>
        <v>4219</v>
      </c>
      <c r="L39" s="845">
        <f>+'FC - 3FS'!L122</f>
        <v>4289</v>
      </c>
      <c r="M39" s="162">
        <f>+'FC - 3FS'!M122</f>
        <v>4077</v>
      </c>
      <c r="N39" s="162">
        <f>+'FC - 3FS'!N122</f>
        <v>4145</v>
      </c>
      <c r="O39" s="162">
        <f>+'FC - 3FS'!O122</f>
        <v>3872</v>
      </c>
      <c r="P39" s="845">
        <f>+'FC - 3FS'!P122</f>
        <v>3585</v>
      </c>
      <c r="Q39" s="162">
        <f>+'FC - 3FS'!Q122</f>
        <v>3491</v>
      </c>
      <c r="R39" s="162">
        <f>+'FC - 3FS'!R122</f>
        <v>3313</v>
      </c>
      <c r="S39" s="162">
        <f>+'FC - 3FS'!S122</f>
        <v>3262</v>
      </c>
      <c r="T39" s="845">
        <f>+'FC - 3FS'!T122</f>
        <v>3203</v>
      </c>
      <c r="U39" s="162">
        <f>+'FC - 3FS'!U122</f>
        <v>3110</v>
      </c>
      <c r="V39" s="162">
        <f>+'FC - 3FS'!V122</f>
        <v>3187</v>
      </c>
      <c r="W39" s="162">
        <f>+'FC - 3FS'!W122</f>
        <v>3318</v>
      </c>
      <c r="X39" s="845">
        <f>+'FC - 3FS'!X122</f>
        <v>3371</v>
      </c>
      <c r="Y39" s="162">
        <f>+'FC - 3FS'!Y122</f>
        <v>3248</v>
      </c>
      <c r="Z39" s="162">
        <f>+'FC - 3FS'!Z122</f>
        <v>3151</v>
      </c>
      <c r="AA39" s="162">
        <f>+'FC - 3FS'!AA122</f>
        <v>3149</v>
      </c>
      <c r="AB39" s="845">
        <f>+'FC - 3FS'!AB122</f>
        <v>3198</v>
      </c>
      <c r="AC39" s="1305">
        <f>+'FC - 3FS'!AC122</f>
        <v>3146</v>
      </c>
      <c r="AD39" s="1305">
        <f>+'FC - 3FS'!AD122</f>
        <v>3408</v>
      </c>
      <c r="AE39" s="901">
        <f t="shared" ref="AE39:AI39" si="233">-AE45-AE56</f>
        <v>3670.0321228857165</v>
      </c>
      <c r="AF39" s="554">
        <f t="shared" si="233"/>
        <v>3720.8607563039691</v>
      </c>
      <c r="AG39" s="554">
        <f t="shared" si="233"/>
        <v>3615.6245061200548</v>
      </c>
      <c r="AH39" s="554">
        <f t="shared" si="233"/>
        <v>3525.2305523928471</v>
      </c>
      <c r="AI39" s="901">
        <f t="shared" si="233"/>
        <v>3446.8784815679955</v>
      </c>
      <c r="AK39" s="162">
        <f>+'FC - 3FS'!AK122</f>
        <v>6616</v>
      </c>
      <c r="AL39" s="162">
        <f>+'FC - 3FS'!AL122</f>
        <v>14151</v>
      </c>
      <c r="AM39" s="162">
        <f>+'FC - 3FS'!AM122</f>
        <v>16383</v>
      </c>
      <c r="AN39" s="162">
        <f>+'FC - 3FS'!AN122</f>
        <v>13651</v>
      </c>
      <c r="AO39" s="162">
        <f>+'FC - 3FS'!AO122</f>
        <v>12818</v>
      </c>
      <c r="AP39" s="162">
        <f>+'FC - 3FS'!AP122</f>
        <v>12919</v>
      </c>
      <c r="AQ39" s="554">
        <f>-AQ45-AQ56</f>
        <v>11148.657122885717</v>
      </c>
      <c r="AR39" s="554">
        <f t="shared" ref="AR39:AS39" si="234">-AR45-AR56</f>
        <v>15046.140709049007</v>
      </c>
      <c r="AS39" s="554">
        <f t="shared" si="234"/>
        <v>14771.98306379588</v>
      </c>
    </row>
    <row r="40" spans="2:45" x14ac:dyDescent="0.2">
      <c r="H40" s="594"/>
      <c r="L40" s="594"/>
      <c r="P40" s="594"/>
      <c r="T40" s="594"/>
      <c r="X40" s="594"/>
      <c r="AB40" s="594"/>
      <c r="AE40" s="913"/>
      <c r="AF40" s="370"/>
      <c r="AG40" s="370"/>
      <c r="AH40" s="370"/>
      <c r="AI40" s="913"/>
      <c r="AQ40" s="370"/>
      <c r="AR40" s="370"/>
      <c r="AS40" s="370"/>
    </row>
    <row r="41" spans="2:45" x14ac:dyDescent="0.2">
      <c r="B41" s="3" t="s">
        <v>303</v>
      </c>
      <c r="H41" s="594"/>
      <c r="L41" s="594"/>
      <c r="P41" s="594"/>
      <c r="T41" s="594"/>
      <c r="X41" s="594"/>
      <c r="AB41" s="594"/>
      <c r="AE41" s="913"/>
      <c r="AF41" s="370"/>
      <c r="AG41" s="370"/>
      <c r="AH41" s="370"/>
      <c r="AI41" s="913"/>
      <c r="AQ41" s="384"/>
      <c r="AR41" s="384"/>
      <c r="AS41" s="384"/>
    </row>
    <row r="42" spans="2:45" x14ac:dyDescent="0.2">
      <c r="B42" s="2" t="s">
        <v>308</v>
      </c>
      <c r="D42" s="162">
        <f>-'FC - 3FS'!D142</f>
        <v>1931</v>
      </c>
      <c r="E42" s="162">
        <f>-'FC - 3FS'!E142</f>
        <v>1789</v>
      </c>
      <c r="F42" s="162">
        <f>-'FC - 3FS'!F142</f>
        <v>1514</v>
      </c>
      <c r="G42" s="162">
        <f>-'FC - 3FS'!G142</f>
        <v>1157</v>
      </c>
      <c r="H42" s="845">
        <f>-'FC - 3FS'!H142</f>
        <v>1753</v>
      </c>
      <c r="I42" s="162">
        <f>-'FC - 3FS'!I142</f>
        <v>2257</v>
      </c>
      <c r="J42" s="162">
        <f>-'FC - 3FS'!J142</f>
        <v>3217</v>
      </c>
      <c r="K42" s="162">
        <f>-'FC - 3FS'!K142</f>
        <v>3807</v>
      </c>
      <c r="L42" s="845">
        <f>-'FC - 3FS'!L142</f>
        <v>3183</v>
      </c>
      <c r="M42" s="162">
        <f>-'FC - 3FS'!M142</f>
        <v>3270</v>
      </c>
      <c r="N42" s="162">
        <f>-'FC - 3FS'!N142</f>
        <v>2944</v>
      </c>
      <c r="O42" s="162">
        <f>-'FC - 3FS'!O142</f>
        <v>2929</v>
      </c>
      <c r="P42" s="845">
        <f>-'FC - 3FS'!P142</f>
        <v>3381</v>
      </c>
      <c r="Q42" s="162">
        <f>-'FC - 3FS'!Q142</f>
        <v>3572</v>
      </c>
      <c r="R42" s="162">
        <f>-'FC - 3FS'!R142</f>
        <v>3634</v>
      </c>
      <c r="S42" s="162">
        <f>-'FC - 3FS'!S142</f>
        <v>3383</v>
      </c>
      <c r="T42" s="845">
        <f>-'FC - 3FS'!T142</f>
        <v>3001</v>
      </c>
      <c r="U42" s="162">
        <f>-'FC - 3FS'!U142</f>
        <v>2789</v>
      </c>
      <c r="V42" s="162">
        <f>-'FC - 3FS'!V142</f>
        <v>2424</v>
      </c>
      <c r="W42" s="162">
        <f>-'FC - 3FS'!W142</f>
        <v>1587</v>
      </c>
      <c r="X42" s="845">
        <f>-'FC - 3FS'!X142</f>
        <v>2627</v>
      </c>
      <c r="Y42" s="162">
        <f>-'FC - 3FS'!Y142</f>
        <v>2040</v>
      </c>
      <c r="Z42" s="162">
        <f>-'FC - 3FS'!Z142</f>
        <v>1961</v>
      </c>
      <c r="AA42" s="162">
        <f>-'FC - 3FS'!AA142</f>
        <v>2212</v>
      </c>
      <c r="AB42" s="845">
        <f>-'FC - 3FS'!AB142</f>
        <v>2451</v>
      </c>
      <c r="AC42" s="1305">
        <f>-'FC - 3FS'!AC142</f>
        <v>2396</v>
      </c>
      <c r="AD42" s="1305">
        <f>-'FC - 3FS'!AD142</f>
        <v>2639</v>
      </c>
      <c r="AE42" s="901">
        <f t="shared" ref="AE42:AI42" si="235">+AE43*SUM(AB5:AE5)-AE44</f>
        <v>2537.2670672479476</v>
      </c>
      <c r="AF42" s="554">
        <f t="shared" si="235"/>
        <v>2575.0082854261846</v>
      </c>
      <c r="AG42" s="554">
        <f t="shared" si="235"/>
        <v>2626.901066225942</v>
      </c>
      <c r="AH42" s="554">
        <f t="shared" si="235"/>
        <v>2663.9016572141545</v>
      </c>
      <c r="AI42" s="901">
        <f t="shared" si="235"/>
        <v>2696.4356817029525</v>
      </c>
      <c r="AK42" s="162">
        <f>-'FC - 3FS'!AK142</f>
        <v>6391</v>
      </c>
      <c r="AL42" s="162">
        <f>-'FC - 3FS'!AL142</f>
        <v>11034</v>
      </c>
      <c r="AM42" s="162">
        <f>-'FC - 3FS'!AM142</f>
        <v>12326</v>
      </c>
      <c r="AN42" s="162">
        <f>-'FC - 3FS'!AN142</f>
        <v>13970</v>
      </c>
      <c r="AO42" s="162">
        <f>-'FC - 3FS'!AO142</f>
        <v>9801</v>
      </c>
      <c r="AP42" s="162">
        <f>-'FC - 3FS'!AP142</f>
        <v>8840</v>
      </c>
      <c r="AQ42" s="484">
        <f>SUMIFS($D42:$AI42,$D$3:$AI$3,AQ$3)-AQ44</f>
        <v>10002.433733914613</v>
      </c>
      <c r="AR42" s="484">
        <f>SUMIFS($D42:$AI42,$D$3:$AI$3,AR$3)-AR44</f>
        <v>10437.246690569233</v>
      </c>
      <c r="AS42" s="554">
        <f>+AS43*AS5-AS44</f>
        <v>10941.003531939117</v>
      </c>
    </row>
    <row r="43" spans="2:45" x14ac:dyDescent="0.2">
      <c r="B43" s="237" t="s">
        <v>299</v>
      </c>
      <c r="D43" s="162"/>
      <c r="E43" s="162"/>
      <c r="F43" s="162"/>
      <c r="G43" s="241">
        <f>+G42/SUM(D$5:G$5)</f>
        <v>1.6386477261461328E-2</v>
      </c>
      <c r="H43" s="849">
        <f t="shared" ref="H43" si="236">+H42/SUM(E$5:H$5)</f>
        <v>2.4901983067219729E-2</v>
      </c>
      <c r="I43" s="241">
        <f t="shared" ref="I43" si="237">+I42/SUM(F$5:I$5)</f>
        <v>3.1965669126290591E-2</v>
      </c>
      <c r="J43" s="241">
        <f t="shared" ref="J43" si="238">+J42/SUM(G$5:J$5)</f>
        <v>4.4289333113056883E-2</v>
      </c>
      <c r="K43" s="241">
        <f t="shared" ref="K43" si="239">+K42/SUM(H$5:K$5)</f>
        <v>5.0969313982755851E-2</v>
      </c>
      <c r="L43" s="849">
        <f t="shared" ref="L43" si="240">+L42/SUM(I$5:L$5)</f>
        <v>4.1314590553327361E-2</v>
      </c>
      <c r="M43" s="241">
        <f t="shared" ref="M43" si="241">+M42/SUM(J$5:M$5)</f>
        <v>4.1224376591613925E-2</v>
      </c>
      <c r="N43" s="241">
        <f t="shared" ref="N43" si="242">+N42/SUM(K$5:N$5)</f>
        <v>3.6950573587368529E-2</v>
      </c>
      <c r="O43" s="241">
        <f t="shared" ref="O43" si="243">+O42/SUM(L$5:O$5)</f>
        <v>3.6558576100252128E-2</v>
      </c>
      <c r="P43" s="849">
        <f t="shared" ref="P43" si="244">+P42/SUM(M$5:P$5)</f>
        <v>4.2010959380708014E-2</v>
      </c>
      <c r="Q43" s="241">
        <f t="shared" ref="Q43" si="245">+Q42/SUM(N$5:Q$5)</f>
        <v>4.4521999252150071E-2</v>
      </c>
      <c r="R43" s="241">
        <f t="shared" ref="R43" si="246">+R42/SUM(O$5:R$5)</f>
        <v>4.5377920407577141E-2</v>
      </c>
      <c r="S43" s="241">
        <f t="shared" ref="S43" si="247">+S42/SUM(P$5:S$5)</f>
        <v>4.2515489311432557E-2</v>
      </c>
      <c r="T43" s="849">
        <f t="shared" ref="T43" si="248">+T42/SUM(Q$5:T$5)</f>
        <v>3.7947472908210364E-2</v>
      </c>
      <c r="U43" s="241">
        <f t="shared" ref="U43" si="249">+U42/SUM(R$5:U$5)</f>
        <v>3.549339509786454E-2</v>
      </c>
      <c r="V43" s="241">
        <f t="shared" ref="V43" si="250">+V42/SUM(S$5:V$5)</f>
        <v>3.0936913711025742E-2</v>
      </c>
      <c r="W43" s="241">
        <f t="shared" ref="W43" si="251">+W42/SUM(T$5:W$5)</f>
        <v>2.0201634461162452E-2</v>
      </c>
      <c r="X43" s="852">
        <f t="shared" ref="X43" si="252">+X42/SUM(U$5:X$5)</f>
        <v>3.3456444218033621E-2</v>
      </c>
      <c r="Y43" s="262">
        <f t="shared" ref="Y43:AD43" si="253">+Y42/SUM(V$5:Y$5)</f>
        <v>2.5791443309396176E-2</v>
      </c>
      <c r="Z43" s="262">
        <f t="shared" si="253"/>
        <v>2.4510661700372471E-2</v>
      </c>
      <c r="AA43" s="241">
        <f t="shared" si="253"/>
        <v>2.7174447174447173E-2</v>
      </c>
      <c r="AB43" s="852">
        <f t="shared" si="253"/>
        <v>2.9640110288782471E-2</v>
      </c>
      <c r="AC43" s="1308">
        <f t="shared" si="253"/>
        <v>2.8506162851568078E-2</v>
      </c>
      <c r="AD43" s="1308">
        <f t="shared" si="253"/>
        <v>3.0740736426433074E-2</v>
      </c>
      <c r="AE43" s="1257">
        <f>+AD43-0.17%</f>
        <v>2.9040736426433074E-2</v>
      </c>
      <c r="AF43" s="1329">
        <v>2.9000000000000001E-2</v>
      </c>
      <c r="AG43" s="1256">
        <f t="shared" ref="AG43:AI43" si="254">+AF43</f>
        <v>2.9000000000000001E-2</v>
      </c>
      <c r="AH43" s="1256">
        <f t="shared" si="254"/>
        <v>2.9000000000000001E-2</v>
      </c>
      <c r="AI43" s="1257">
        <f t="shared" si="254"/>
        <v>2.9000000000000001E-2</v>
      </c>
      <c r="AK43" s="241">
        <f t="shared" ref="AK43:AR43" si="255">+AK42/AK5</f>
        <v>0.14202853460153786</v>
      </c>
      <c r="AL43" s="241">
        <f t="shared" si="255"/>
        <v>0.16132286503794027</v>
      </c>
      <c r="AM43" s="241">
        <f t="shared" si="255"/>
        <v>0.15384807409071619</v>
      </c>
      <c r="AN43" s="241">
        <f t="shared" si="255"/>
        <v>0.17556647522338539</v>
      </c>
      <c r="AO43" s="241">
        <f t="shared" si="255"/>
        <v>0.12476132284426793</v>
      </c>
      <c r="AP43" s="241">
        <f t="shared" ref="AP43" si="256">+AP42/AP5</f>
        <v>0.10859950859950859</v>
      </c>
      <c r="AQ43" s="1147">
        <f t="shared" si="255"/>
        <v>0.11386134234197978</v>
      </c>
      <c r="AR43" s="1147">
        <f t="shared" si="255"/>
        <v>0.11054376919355707</v>
      </c>
      <c r="AS43" s="1223">
        <f>+AR43+0.2%</f>
        <v>0.11254376919355707</v>
      </c>
    </row>
    <row r="44" spans="2:45" x14ac:dyDescent="0.2">
      <c r="B44" s="2" t="s">
        <v>980</v>
      </c>
      <c r="D44" s="162"/>
      <c r="E44" s="162"/>
      <c r="F44" s="162"/>
      <c r="G44" s="241"/>
      <c r="H44" s="849"/>
      <c r="I44" s="241"/>
      <c r="J44" s="241"/>
      <c r="K44" s="241"/>
      <c r="L44" s="849"/>
      <c r="M44" s="241"/>
      <c r="N44" s="241"/>
      <c r="O44" s="241"/>
      <c r="P44" s="849"/>
      <c r="Q44" s="241"/>
      <c r="R44" s="241"/>
      <c r="S44" s="241"/>
      <c r="T44" s="849"/>
      <c r="U44" s="241"/>
      <c r="V44" s="241"/>
      <c r="W44" s="241"/>
      <c r="X44" s="852"/>
      <c r="Y44" s="262"/>
      <c r="Z44" s="262"/>
      <c r="AA44" s="241"/>
      <c r="AB44" s="852"/>
      <c r="AC44" s="1308"/>
      <c r="AD44" s="1308"/>
      <c r="AE44" s="901">
        <f>'Impacts from USC'!E29</f>
        <v>13.888888888888889</v>
      </c>
      <c r="AF44" s="554">
        <f>'Impacts from USC'!F29</f>
        <v>20.833333333333336</v>
      </c>
      <c r="AG44" s="554">
        <f>'Impacts from USC'!G29</f>
        <v>27.777777777777779</v>
      </c>
      <c r="AH44" s="554">
        <f>'Impacts from USC'!H29</f>
        <v>34.722222222222221</v>
      </c>
      <c r="AI44" s="901">
        <f>'Impacts from USC'!I29</f>
        <v>41.666666666666671</v>
      </c>
      <c r="AK44" s="241"/>
      <c r="AL44" s="241"/>
      <c r="AM44" s="241"/>
      <c r="AN44" s="241"/>
      <c r="AO44" s="241"/>
      <c r="AP44" s="241"/>
      <c r="AQ44" s="484">
        <f>'Impacts from USC'!AA29</f>
        <v>20.833333333333336</v>
      </c>
      <c r="AR44" s="484">
        <f>'Impacts from USC'!AB29</f>
        <v>125.00000000000001</v>
      </c>
      <c r="AS44" s="484">
        <f>'Impacts from USC'!AC29</f>
        <v>229.16666666666669</v>
      </c>
    </row>
    <row r="45" spans="2:45" x14ac:dyDescent="0.2">
      <c r="B45" s="2" t="s">
        <v>313</v>
      </c>
      <c r="D45" s="163"/>
      <c r="E45" s="163">
        <f t="shared" ref="E45:AD45" si="257">+E47-E42-D47</f>
        <v>-1406</v>
      </c>
      <c r="F45" s="163">
        <f t="shared" si="257"/>
        <v>-1263</v>
      </c>
      <c r="G45" s="163">
        <f t="shared" si="257"/>
        <v>-1271</v>
      </c>
      <c r="H45" s="848">
        <f t="shared" si="257"/>
        <v>-1588</v>
      </c>
      <c r="I45" s="163">
        <f t="shared" si="257"/>
        <v>14395</v>
      </c>
      <c r="J45" s="163">
        <f t="shared" si="257"/>
        <v>-3451</v>
      </c>
      <c r="K45" s="163">
        <f t="shared" si="257"/>
        <v>-1199</v>
      </c>
      <c r="L45" s="848">
        <f t="shared" si="257"/>
        <v>-3809</v>
      </c>
      <c r="M45" s="163">
        <f t="shared" si="257"/>
        <v>-4067</v>
      </c>
      <c r="N45" s="163">
        <f t="shared" si="257"/>
        <v>-3341</v>
      </c>
      <c r="O45" s="163">
        <f t="shared" si="257"/>
        <v>-2481</v>
      </c>
      <c r="P45" s="848">
        <f t="shared" si="257"/>
        <v>-3178</v>
      </c>
      <c r="Q45" s="163">
        <f t="shared" si="257"/>
        <v>-3333</v>
      </c>
      <c r="R45" s="163">
        <f t="shared" si="257"/>
        <v>-2845</v>
      </c>
      <c r="S45" s="163">
        <f t="shared" si="257"/>
        <v>-2331</v>
      </c>
      <c r="T45" s="848">
        <f t="shared" si="257"/>
        <v>-3034</v>
      </c>
      <c r="U45" s="163">
        <f t="shared" si="257"/>
        <v>-3038</v>
      </c>
      <c r="V45" s="163">
        <f t="shared" si="257"/>
        <v>-3148</v>
      </c>
      <c r="W45" s="163">
        <f t="shared" si="257"/>
        <v>-2235</v>
      </c>
      <c r="X45" s="848">
        <f t="shared" si="257"/>
        <v>-3773</v>
      </c>
      <c r="Y45" s="163">
        <f t="shared" si="257"/>
        <v>-3104</v>
      </c>
      <c r="Z45" s="163">
        <f t="shared" si="257"/>
        <v>-2580</v>
      </c>
      <c r="AA45" s="163">
        <f t="shared" si="257"/>
        <v>-1282</v>
      </c>
      <c r="AB45" s="848">
        <f t="shared" si="257"/>
        <v>-3087</v>
      </c>
      <c r="AC45" s="1307">
        <f t="shared" si="257"/>
        <v>-2812</v>
      </c>
      <c r="AD45" s="1307">
        <f t="shared" si="257"/>
        <v>-1402</v>
      </c>
      <c r="AE45" s="901">
        <f t="shared" ref="AE45:AI45" si="258">AE46*AD47-AE58</f>
        <v>-3670.0321228857165</v>
      </c>
      <c r="AF45" s="554">
        <f t="shared" si="258"/>
        <v>-3720.8607563039691</v>
      </c>
      <c r="AG45" s="554">
        <f t="shared" si="258"/>
        <v>-3615.6245061200548</v>
      </c>
      <c r="AH45" s="554">
        <f t="shared" si="258"/>
        <v>-3525.2305523928471</v>
      </c>
      <c r="AI45" s="901">
        <f t="shared" si="258"/>
        <v>-3446.8784815679955</v>
      </c>
      <c r="AK45" s="162">
        <f>-'FC - 3FS'!AK21</f>
        <v>-6616</v>
      </c>
      <c r="AL45" s="162">
        <f>-'FC - 3FS'!AL21</f>
        <v>-14151</v>
      </c>
      <c r="AM45" s="162">
        <f>-'FC - 3FS'!AM21</f>
        <v>-16383</v>
      </c>
      <c r="AN45" s="162">
        <f>-'FC - 3FS'!AN21</f>
        <v>-13651</v>
      </c>
      <c r="AO45" s="162">
        <f>-'FC - 3FS'!AO21</f>
        <v>-12818</v>
      </c>
      <c r="AP45" s="162">
        <f>-'FC - 3FS'!AP21</f>
        <v>-12919</v>
      </c>
      <c r="AQ45" s="484">
        <f>SUMIFS($D45:$AI45,$D$3:$AI$3,AQ$3)-AQ58</f>
        <v>-11148.657122885717</v>
      </c>
      <c r="AR45" s="484">
        <f>SUMIFS($D45:$AI45,$D$3:$AI$3,AR$3)-AR58</f>
        <v>-15046.140709049007</v>
      </c>
      <c r="AS45" s="554">
        <f>+AS46*AR47-AS51</f>
        <v>-14771.98306379588</v>
      </c>
    </row>
    <row r="46" spans="2:45" x14ac:dyDescent="0.2">
      <c r="B46" s="237" t="s">
        <v>314</v>
      </c>
      <c r="D46" s="162"/>
      <c r="E46" s="262">
        <f t="shared" ref="E46:AD46" si="259">+E45/D47</f>
        <v>-6.5505031680954159E-2</v>
      </c>
      <c r="F46" s="262">
        <f t="shared" si="259"/>
        <v>-5.7811141117773607E-2</v>
      </c>
      <c r="G46" s="262">
        <f t="shared" si="259"/>
        <v>-5.7516517331885238E-2</v>
      </c>
      <c r="H46" s="852">
        <f t="shared" si="259"/>
        <v>-7.2234352256186324E-2</v>
      </c>
      <c r="I46" s="262">
        <f t="shared" si="259"/>
        <v>0.64991647478441461</v>
      </c>
      <c r="J46" s="262">
        <f t="shared" si="259"/>
        <v>-8.8941006675085699E-2</v>
      </c>
      <c r="K46" s="262">
        <f t="shared" si="259"/>
        <v>-3.1088754634791403E-2</v>
      </c>
      <c r="L46" s="852">
        <f t="shared" si="259"/>
        <v>-9.2507589556769881E-2</v>
      </c>
      <c r="M46" s="262">
        <f t="shared" si="259"/>
        <v>-0.10029840439961528</v>
      </c>
      <c r="N46" s="262">
        <f t="shared" si="259"/>
        <v>-8.4046085731535519E-2</v>
      </c>
      <c r="O46" s="262">
        <f t="shared" si="259"/>
        <v>-6.3041544911701178E-2</v>
      </c>
      <c r="P46" s="852">
        <f t="shared" si="259"/>
        <v>-7.9843227897394675E-2</v>
      </c>
      <c r="Q46" s="262">
        <f t="shared" si="259"/>
        <v>-8.3312503124531326E-2</v>
      </c>
      <c r="R46" s="262">
        <f t="shared" si="259"/>
        <v>-7.0692011429991305E-2</v>
      </c>
      <c r="S46" s="262">
        <f t="shared" si="259"/>
        <v>-5.6806550665301943E-2</v>
      </c>
      <c r="T46" s="852">
        <f t="shared" si="259"/>
        <v>-7.2090481395238326E-2</v>
      </c>
      <c r="U46" s="262">
        <f t="shared" si="259"/>
        <v>-7.2242170594250116E-2</v>
      </c>
      <c r="V46" s="262">
        <f t="shared" si="259"/>
        <v>-7.5303798679552197E-2</v>
      </c>
      <c r="W46" s="262">
        <f t="shared" si="259"/>
        <v>-5.4406037000973712E-2</v>
      </c>
      <c r="X46" s="852">
        <f t="shared" si="259"/>
        <v>-9.3317174515235454E-2</v>
      </c>
      <c r="Y46" s="262">
        <f t="shared" si="259"/>
        <v>-7.9010334470294763E-2</v>
      </c>
      <c r="Z46" s="262">
        <f t="shared" si="259"/>
        <v>-6.7500392444142118E-2</v>
      </c>
      <c r="AA46" s="262">
        <f t="shared" si="259"/>
        <v>-3.4093024492726644E-2</v>
      </c>
      <c r="AB46" s="852">
        <f t="shared" si="259"/>
        <v>-8.0113149767731553E-2</v>
      </c>
      <c r="AC46" s="1308">
        <f t="shared" si="259"/>
        <v>-7.4201124099532945E-2</v>
      </c>
      <c r="AD46" s="1308">
        <f t="shared" si="259"/>
        <v>-3.740561884688242E-2</v>
      </c>
      <c r="AE46" s="1223">
        <f>+AC46-1.6%</f>
        <v>-9.0201124099532945E-2</v>
      </c>
      <c r="AF46" s="1240">
        <f>+AE46-0.4%</f>
        <v>-9.4201124099532949E-2</v>
      </c>
      <c r="AG46" s="1223">
        <f t="shared" ref="AG46:AI46" si="260">+AF46</f>
        <v>-9.4201124099532949E-2</v>
      </c>
      <c r="AH46" s="1223">
        <f t="shared" si="260"/>
        <v>-9.4201124099532949E-2</v>
      </c>
      <c r="AI46" s="1241">
        <f t="shared" si="260"/>
        <v>-9.4201124099532949E-2</v>
      </c>
      <c r="AK46" s="162"/>
      <c r="AL46" s="241">
        <f>+AL45/AK47</f>
        <v>-0.64369541484716153</v>
      </c>
      <c r="AM46" s="241">
        <f t="shared" ref="AM46:AR46" si="261">+AM45/AL47</f>
        <v>-0.39788706739526414</v>
      </c>
      <c r="AN46" s="241">
        <f t="shared" si="261"/>
        <v>-0.342964098183554</v>
      </c>
      <c r="AO46" s="241">
        <f t="shared" si="261"/>
        <v>-0.30456683932899303</v>
      </c>
      <c r="AP46" s="241">
        <f t="shared" si="261"/>
        <v>-0.31952413929560741</v>
      </c>
      <c r="AQ46" s="1115">
        <f t="shared" si="261"/>
        <v>-0.28932751467276663</v>
      </c>
      <c r="AR46" s="1115">
        <f t="shared" si="261"/>
        <v>-0.40032051765332705</v>
      </c>
      <c r="AS46" s="1223">
        <f>+AR46-4%</f>
        <v>-0.44032051765332703</v>
      </c>
    </row>
    <row r="47" spans="2:45" x14ac:dyDescent="0.2">
      <c r="B47" s="3" t="s">
        <v>312</v>
      </c>
      <c r="D47" s="162">
        <f>+'FC - 3FS'!D76</f>
        <v>21464</v>
      </c>
      <c r="E47" s="162">
        <f>+'FC - 3FS'!E76</f>
        <v>21847</v>
      </c>
      <c r="F47" s="162">
        <f>+'FC - 3FS'!F76</f>
        <v>22098</v>
      </c>
      <c r="G47" s="162">
        <f>+'FC - 3FS'!G76</f>
        <v>21984</v>
      </c>
      <c r="H47" s="845">
        <f>+'FC - 3FS'!H76</f>
        <v>22149</v>
      </c>
      <c r="I47" s="162">
        <f>+'FC - 3FS'!I76</f>
        <v>38801</v>
      </c>
      <c r="J47" s="162">
        <f>+'FC - 3FS'!J76</f>
        <v>38567</v>
      </c>
      <c r="K47" s="162">
        <f>+'FC - 3FS'!K76</f>
        <v>41175</v>
      </c>
      <c r="L47" s="845">
        <f>+'FC - 3FS'!L76</f>
        <v>40549</v>
      </c>
      <c r="M47" s="162">
        <f>+'FC - 3FS'!M76</f>
        <v>39752</v>
      </c>
      <c r="N47" s="162">
        <f>+'FC - 3FS'!N76</f>
        <v>39355</v>
      </c>
      <c r="O47" s="162">
        <f>+'FC - 3FS'!O76</f>
        <v>39803</v>
      </c>
      <c r="P47" s="845">
        <f>+'FC - 3FS'!P76</f>
        <v>40006</v>
      </c>
      <c r="Q47" s="162">
        <f>+'FC - 3FS'!Q76</f>
        <v>40245</v>
      </c>
      <c r="R47" s="162">
        <f>+'FC - 3FS'!R76</f>
        <v>41034</v>
      </c>
      <c r="S47" s="162">
        <f>+'FC - 3FS'!S76</f>
        <v>42086</v>
      </c>
      <c r="T47" s="845">
        <f>+'FC - 3FS'!T76</f>
        <v>42053</v>
      </c>
      <c r="U47" s="162">
        <f>+'FC - 3FS'!U76</f>
        <v>41804</v>
      </c>
      <c r="V47" s="162">
        <f>+'FC - 3FS'!V76</f>
        <v>41080</v>
      </c>
      <c r="W47" s="162">
        <f>+'FC - 3FS'!W76</f>
        <v>40432</v>
      </c>
      <c r="X47" s="845">
        <f>+'FC - 3FS'!X76</f>
        <v>39286</v>
      </c>
      <c r="Y47" s="162">
        <f>+'FC - 3FS'!Y76</f>
        <v>38222</v>
      </c>
      <c r="Z47" s="162">
        <f>+'FC - 3FS'!Z76</f>
        <v>37603</v>
      </c>
      <c r="AA47" s="162">
        <f>+'FC - 3FS'!AA76</f>
        <v>38533</v>
      </c>
      <c r="AB47" s="845">
        <f>+'FC - 3FS'!AB76</f>
        <v>37897</v>
      </c>
      <c r="AC47" s="1305">
        <f>+'FC - 3FS'!AC76</f>
        <v>37481</v>
      </c>
      <c r="AD47" s="1305">
        <f>+'FC - 3FS'!AD76</f>
        <v>38718</v>
      </c>
      <c r="AE47" s="554">
        <f t="shared" ref="AE47:AI47" si="262">+AD47+AE45+AE42</f>
        <v>37585.234944362237</v>
      </c>
      <c r="AF47" s="1180">
        <f t="shared" si="262"/>
        <v>36439.382473484453</v>
      </c>
      <c r="AG47" s="554">
        <f t="shared" si="262"/>
        <v>35450.659033590338</v>
      </c>
      <c r="AH47" s="554">
        <f t="shared" si="262"/>
        <v>34589.330138411642</v>
      </c>
      <c r="AI47" s="901">
        <f t="shared" si="262"/>
        <v>33838.887338546599</v>
      </c>
      <c r="AK47" s="162">
        <f>+'FC - 3FS'!AK76</f>
        <v>21984</v>
      </c>
      <c r="AL47" s="162">
        <f>+'FC - 3FS'!AL76</f>
        <v>41175</v>
      </c>
      <c r="AM47" s="162">
        <f>+'FC - 3FS'!AM76</f>
        <v>39803</v>
      </c>
      <c r="AN47" s="162">
        <f>+'FC - 3FS'!AN76</f>
        <v>42086</v>
      </c>
      <c r="AO47" s="162">
        <f>+'FC - 3FS'!AO76</f>
        <v>40432</v>
      </c>
      <c r="AP47" s="162">
        <f>+'FC - 3FS'!AP76</f>
        <v>38533</v>
      </c>
      <c r="AQ47" s="554">
        <f t="shared" ref="AQ47:AR47" si="263">SUMIFS($D47:$AI47,$D$3:$AI$3,AQ$3,$D$2:$AI$2,4)</f>
        <v>37585.234944362237</v>
      </c>
      <c r="AR47" s="554">
        <f t="shared" si="263"/>
        <v>33838.887338546599</v>
      </c>
      <c r="AS47" s="554">
        <f t="shared" ref="AS47" si="264">+AR47+AS45+AS42</f>
        <v>30007.907806689836</v>
      </c>
    </row>
    <row r="48" spans="2:45" x14ac:dyDescent="0.2">
      <c r="B48" s="3"/>
      <c r="D48" s="162"/>
      <c r="E48" s="162"/>
      <c r="F48" s="162"/>
      <c r="G48" s="162"/>
      <c r="H48" s="845"/>
      <c r="I48" s="162"/>
      <c r="J48" s="162"/>
      <c r="K48" s="162"/>
      <c r="L48" s="845"/>
      <c r="M48" s="162"/>
      <c r="N48" s="162"/>
      <c r="O48" s="162"/>
      <c r="P48" s="845"/>
      <c r="Q48" s="162"/>
      <c r="R48" s="162"/>
      <c r="S48" s="162"/>
      <c r="T48" s="845"/>
      <c r="U48" s="162"/>
      <c r="V48" s="162"/>
      <c r="W48" s="162"/>
      <c r="X48" s="845"/>
      <c r="Y48" s="162"/>
      <c r="Z48" s="162"/>
      <c r="AA48" s="162"/>
      <c r="AB48" s="845"/>
      <c r="AC48" s="1305"/>
      <c r="AD48" s="1305"/>
      <c r="AE48" s="554"/>
      <c r="AF48" s="1180"/>
      <c r="AG48" s="554"/>
      <c r="AH48" s="554"/>
      <c r="AI48" s="901"/>
      <c r="AK48" s="162"/>
      <c r="AL48" s="162"/>
      <c r="AM48" s="162"/>
      <c r="AN48" s="162"/>
      <c r="AO48" s="162"/>
      <c r="AP48" s="162"/>
      <c r="AQ48" s="371"/>
      <c r="AR48" s="371"/>
      <c r="AS48" s="371"/>
    </row>
    <row r="49" spans="2:45" x14ac:dyDescent="0.2">
      <c r="B49" s="143" t="s">
        <v>46</v>
      </c>
      <c r="D49" s="162">
        <f>+'FC - 3FS'!D78</f>
        <v>2339</v>
      </c>
      <c r="E49" s="162">
        <f>+'FC - 3FS'!E78</f>
        <v>2589</v>
      </c>
      <c r="F49" s="162">
        <f>+'FC - 3FS'!F78</f>
        <v>2855</v>
      </c>
      <c r="G49" s="162">
        <f>+'FC - 3FS'!G78</f>
        <v>2715</v>
      </c>
      <c r="H49" s="845">
        <f>+'FC - 3FS'!H78</f>
        <v>2749</v>
      </c>
      <c r="I49" s="162">
        <f>+'FC - 3FS'!I78</f>
        <v>3288</v>
      </c>
      <c r="J49" s="162">
        <f>+'FC - 3FS'!J78</f>
        <v>3038</v>
      </c>
      <c r="K49" s="162">
        <f>+'FC - 3FS'!K78</f>
        <v>3028</v>
      </c>
      <c r="L49" s="845">
        <f>+'FC - 3FS'!L78</f>
        <v>2899</v>
      </c>
      <c r="M49" s="162">
        <f>+'FC - 3FS'!M78</f>
        <v>3072</v>
      </c>
      <c r="N49" s="162">
        <f>+'FC - 3FS'!N78</f>
        <v>3396</v>
      </c>
      <c r="O49" s="162">
        <f>+'FC - 3FS'!O78</f>
        <v>3322</v>
      </c>
      <c r="P49" s="845">
        <f>+'FC - 3FS'!P78</f>
        <v>3287</v>
      </c>
      <c r="Q49" s="162">
        <f>+'FC - 3FS'!Q78</f>
        <v>3588</v>
      </c>
      <c r="R49" s="162">
        <f>+'FC - 3FS'!R78</f>
        <v>3619</v>
      </c>
      <c r="S49" s="162">
        <f>+'FC - 3FS'!S78</f>
        <v>3257</v>
      </c>
      <c r="T49" s="845">
        <f>+'FC - 3FS'!T78</f>
        <v>3282</v>
      </c>
      <c r="U49" s="162">
        <f>+'FC - 3FS'!U78</f>
        <v>3365</v>
      </c>
      <c r="V49" s="162">
        <f>+'FC - 3FS'!V78</f>
        <v>3390</v>
      </c>
      <c r="W49" s="162">
        <f>+'FC - 3FS'!W78</f>
        <v>3270</v>
      </c>
      <c r="X49" s="845">
        <f>+'FC - 3FS'!X78</f>
        <v>3180</v>
      </c>
      <c r="Y49" s="162">
        <f>+'FC - 3FS'!Y78</f>
        <v>3271</v>
      </c>
      <c r="Z49" s="162">
        <f>+'FC - 3FS'!Z78</f>
        <v>3352</v>
      </c>
      <c r="AA49" s="162">
        <f>+'FC - 3FS'!AA78</f>
        <v>3091</v>
      </c>
      <c r="AB49" s="845">
        <f>+'FC - 3FS'!AB78</f>
        <v>2977</v>
      </c>
      <c r="AC49" s="1305">
        <f>+'FC - 3FS'!AC78</f>
        <v>3105</v>
      </c>
      <c r="AD49" s="1305">
        <f>+'FC - 3FS'!AD78</f>
        <v>2955</v>
      </c>
      <c r="AE49" s="554">
        <f t="shared" ref="AE49:AI49" si="265">+AE50*AE91</f>
        <v>2962.1068482309897</v>
      </c>
      <c r="AF49" s="1180">
        <f t="shared" si="265"/>
        <v>2975.9763102914935</v>
      </c>
      <c r="AG49" s="554">
        <f t="shared" si="265"/>
        <v>2997.383891898704</v>
      </c>
      <c r="AH49" s="554">
        <f t="shared" si="265"/>
        <v>3022.9233581092149</v>
      </c>
      <c r="AI49" s="901">
        <f t="shared" si="265"/>
        <v>3051.3193657967067</v>
      </c>
      <c r="AK49" s="162">
        <f>+'FC - 3FS'!AK78</f>
        <v>2715</v>
      </c>
      <c r="AL49" s="162">
        <f>+'FC - 3FS'!AL78</f>
        <v>3028</v>
      </c>
      <c r="AM49" s="162">
        <f>+'FC - 3FS'!AM78</f>
        <v>3322</v>
      </c>
      <c r="AN49" s="162">
        <f>+'FC - 3FS'!AN78</f>
        <v>3257</v>
      </c>
      <c r="AO49" s="162">
        <f>+'FC - 3FS'!AO78</f>
        <v>3270</v>
      </c>
      <c r="AP49" s="162">
        <f>+'FC - 3FS'!AP78</f>
        <v>3091</v>
      </c>
      <c r="AQ49" s="554">
        <f t="shared" ref="AQ49:AR49" si="266">SUMIFS($D49:$AI49,$D$3:$AI$3,AQ$3,$D$2:$AI$2,4)</f>
        <v>2962.1068482309897</v>
      </c>
      <c r="AR49" s="554">
        <f t="shared" si="266"/>
        <v>3051.3193657967067</v>
      </c>
      <c r="AS49" s="554">
        <f>+AS50*AS91</f>
        <v>3179.2926917222794</v>
      </c>
    </row>
    <row r="50" spans="2:45" x14ac:dyDescent="0.2">
      <c r="B50" s="145" t="s">
        <v>661</v>
      </c>
      <c r="D50" s="241">
        <f t="shared" ref="D50:Y50" si="267">+D49/D91</f>
        <v>1.0955503512880562</v>
      </c>
      <c r="E50" s="241">
        <f t="shared" si="267"/>
        <v>1.1370223978919631</v>
      </c>
      <c r="F50" s="241">
        <f t="shared" si="267"/>
        <v>1.1638809620872401</v>
      </c>
      <c r="G50" s="241">
        <f t="shared" si="267"/>
        <v>1.1788970907511942</v>
      </c>
      <c r="H50" s="849">
        <f t="shared" si="267"/>
        <v>1.2529626253418413</v>
      </c>
      <c r="I50" s="241">
        <f t="shared" si="267"/>
        <v>1.3387622149837133</v>
      </c>
      <c r="J50" s="241">
        <f t="shared" si="267"/>
        <v>1.2538175815105241</v>
      </c>
      <c r="K50" s="241">
        <f t="shared" si="267"/>
        <v>1.2078181092939768</v>
      </c>
      <c r="L50" s="849">
        <f t="shared" si="267"/>
        <v>1.2447402318591669</v>
      </c>
      <c r="M50" s="241">
        <f t="shared" si="267"/>
        <v>1.2688971499380421</v>
      </c>
      <c r="N50" s="241">
        <f t="shared" si="267"/>
        <v>1.2389638817949653</v>
      </c>
      <c r="O50" s="241">
        <f t="shared" si="267"/>
        <v>1.2900970873786408</v>
      </c>
      <c r="P50" s="849">
        <f t="shared" si="267"/>
        <v>1.2799844236760125</v>
      </c>
      <c r="Q50" s="241">
        <f t="shared" si="267"/>
        <v>1.2736954206602769</v>
      </c>
      <c r="R50" s="241">
        <f t="shared" si="267"/>
        <v>1.2792506185931425</v>
      </c>
      <c r="S50" s="241">
        <f t="shared" si="267"/>
        <v>1.2868431450019755</v>
      </c>
      <c r="T50" s="849">
        <f t="shared" si="267"/>
        <v>1.3319805194805194</v>
      </c>
      <c r="U50" s="241">
        <f t="shared" si="267"/>
        <v>1.3601455133387228</v>
      </c>
      <c r="V50" s="241">
        <f t="shared" si="267"/>
        <v>1.3247362250879249</v>
      </c>
      <c r="W50" s="241">
        <f t="shared" si="267"/>
        <v>1.3100961538461537</v>
      </c>
      <c r="X50" s="849">
        <f t="shared" si="267"/>
        <v>1.3097199341021417</v>
      </c>
      <c r="Y50" s="241">
        <f t="shared" si="267"/>
        <v>1.3714884696016771</v>
      </c>
      <c r="Z50" s="241">
        <f t="shared" ref="Z50:AA50" si="268">+Z49/Z91</f>
        <v>1.3754616331555192</v>
      </c>
      <c r="AA50" s="241">
        <f t="shared" si="268"/>
        <v>1.3288907996560619</v>
      </c>
      <c r="AB50" s="849">
        <f t="shared" ref="AB50" si="269">+AB49/AB91</f>
        <v>1.3213493120284066</v>
      </c>
      <c r="AC50" s="1309">
        <f t="shared" ref="AC50:AD50" si="270">+AC49/AC91</f>
        <v>1.32409381663113</v>
      </c>
      <c r="AD50" s="1309">
        <f t="shared" si="270"/>
        <v>1.2612035851472472</v>
      </c>
      <c r="AE50" s="1219">
        <f t="shared" ref="AE50:AI50" si="271">+AD50</f>
        <v>1.2612035851472472</v>
      </c>
      <c r="AF50" s="1258">
        <f t="shared" si="271"/>
        <v>1.2612035851472472</v>
      </c>
      <c r="AG50" s="1219">
        <f t="shared" si="271"/>
        <v>1.2612035851472472</v>
      </c>
      <c r="AH50" s="1219">
        <f t="shared" si="271"/>
        <v>1.2612035851472472</v>
      </c>
      <c r="AI50" s="1259">
        <f t="shared" si="271"/>
        <v>1.2612035851472472</v>
      </c>
      <c r="AK50" s="241">
        <f t="shared" ref="AK50:AR50" si="272">+AK49/AK91</f>
        <v>1.1788970907511942</v>
      </c>
      <c r="AL50" s="241">
        <f t="shared" si="272"/>
        <v>1.2078181092939768</v>
      </c>
      <c r="AM50" s="241">
        <f t="shared" si="272"/>
        <v>1.2900970873786408</v>
      </c>
      <c r="AN50" s="241">
        <f t="shared" si="272"/>
        <v>1.2868431450019755</v>
      </c>
      <c r="AO50" s="241">
        <f t="shared" si="272"/>
        <v>1.3100961538461537</v>
      </c>
      <c r="AP50" s="241">
        <f t="shared" ref="AP50" si="273">+AP49/AP91</f>
        <v>1.3288907996560619</v>
      </c>
      <c r="AQ50" s="1115">
        <f t="shared" si="272"/>
        <v>1.2612035851472472</v>
      </c>
      <c r="AR50" s="1115">
        <f t="shared" si="272"/>
        <v>1.2612035851472472</v>
      </c>
      <c r="AS50" s="1219">
        <f t="shared" ref="AS50" si="274">+AR50</f>
        <v>1.2612035851472472</v>
      </c>
    </row>
    <row r="51" spans="2:45" x14ac:dyDescent="0.2">
      <c r="B51" s="2" t="s">
        <v>658</v>
      </c>
      <c r="D51" s="241"/>
      <c r="E51" s="570">
        <f>+D49-E49</f>
        <v>-250</v>
      </c>
      <c r="F51" s="570">
        <f t="shared" ref="F51:AI51" si="275">+E49-F49</f>
        <v>-266</v>
      </c>
      <c r="G51" s="570">
        <f t="shared" si="275"/>
        <v>140</v>
      </c>
      <c r="H51" s="853">
        <f t="shared" si="275"/>
        <v>-34</v>
      </c>
      <c r="I51" s="570">
        <f t="shared" si="275"/>
        <v>-539</v>
      </c>
      <c r="J51" s="570">
        <f t="shared" si="275"/>
        <v>250</v>
      </c>
      <c r="K51" s="570">
        <f t="shared" si="275"/>
        <v>10</v>
      </c>
      <c r="L51" s="853">
        <f t="shared" si="275"/>
        <v>129</v>
      </c>
      <c r="M51" s="570">
        <f t="shared" si="275"/>
        <v>-173</v>
      </c>
      <c r="N51" s="570">
        <f t="shared" si="275"/>
        <v>-324</v>
      </c>
      <c r="O51" s="570">
        <f t="shared" si="275"/>
        <v>74</v>
      </c>
      <c r="P51" s="853">
        <f t="shared" si="275"/>
        <v>35</v>
      </c>
      <c r="Q51" s="570">
        <f t="shared" si="275"/>
        <v>-301</v>
      </c>
      <c r="R51" s="570">
        <f t="shared" si="275"/>
        <v>-31</v>
      </c>
      <c r="S51" s="570">
        <f t="shared" si="275"/>
        <v>362</v>
      </c>
      <c r="T51" s="853">
        <f t="shared" si="275"/>
        <v>-25</v>
      </c>
      <c r="U51" s="570">
        <f t="shared" si="275"/>
        <v>-83</v>
      </c>
      <c r="V51" s="570">
        <f t="shared" si="275"/>
        <v>-25</v>
      </c>
      <c r="W51" s="570">
        <f t="shared" si="275"/>
        <v>120</v>
      </c>
      <c r="X51" s="853">
        <f t="shared" si="275"/>
        <v>90</v>
      </c>
      <c r="Y51" s="570">
        <f t="shared" si="275"/>
        <v>-91</v>
      </c>
      <c r="Z51" s="570">
        <f t="shared" si="275"/>
        <v>-81</v>
      </c>
      <c r="AA51" s="570">
        <f t="shared" si="275"/>
        <v>261</v>
      </c>
      <c r="AB51" s="853">
        <f t="shared" si="275"/>
        <v>114</v>
      </c>
      <c r="AC51" s="1312">
        <f t="shared" si="275"/>
        <v>-128</v>
      </c>
      <c r="AD51" s="1312">
        <f t="shared" si="275"/>
        <v>150</v>
      </c>
      <c r="AE51" s="1224">
        <f t="shared" si="275"/>
        <v>-7.1068482309897263</v>
      </c>
      <c r="AF51" s="1260">
        <f t="shared" si="275"/>
        <v>-13.869462060503793</v>
      </c>
      <c r="AG51" s="1224">
        <f t="shared" si="275"/>
        <v>-21.407581607210432</v>
      </c>
      <c r="AH51" s="1224">
        <f t="shared" si="275"/>
        <v>-25.539466210510909</v>
      </c>
      <c r="AI51" s="1261">
        <f t="shared" si="275"/>
        <v>-28.396007687491874</v>
      </c>
      <c r="AK51" s="162"/>
      <c r="AL51" s="570">
        <f t="shared" ref="AL51:AS51" si="276">+AK49-AL49</f>
        <v>-313</v>
      </c>
      <c r="AM51" s="570">
        <f t="shared" si="276"/>
        <v>-294</v>
      </c>
      <c r="AN51" s="570">
        <f t="shared" si="276"/>
        <v>65</v>
      </c>
      <c r="AO51" s="570">
        <f t="shared" si="276"/>
        <v>-13</v>
      </c>
      <c r="AP51" s="570">
        <f t="shared" si="276"/>
        <v>179</v>
      </c>
      <c r="AQ51" s="1224">
        <f t="shared" si="276"/>
        <v>128.89315176901027</v>
      </c>
      <c r="AR51" s="1224">
        <f t="shared" si="276"/>
        <v>-89.212517565717008</v>
      </c>
      <c r="AS51" s="1224">
        <f t="shared" si="276"/>
        <v>-127.97332592557268</v>
      </c>
    </row>
    <row r="52" spans="2:45" x14ac:dyDescent="0.2">
      <c r="H52" s="594"/>
      <c r="L52" s="594"/>
      <c r="P52" s="594"/>
      <c r="T52" s="594"/>
      <c r="X52" s="594"/>
      <c r="AB52" s="594"/>
      <c r="AE52" s="370"/>
      <c r="AF52" s="1229"/>
      <c r="AG52" s="370"/>
      <c r="AH52" s="370"/>
      <c r="AI52" s="913"/>
      <c r="AQ52" s="370"/>
      <c r="AR52" s="370"/>
      <c r="AS52" s="370"/>
    </row>
    <row r="53" spans="2:45" x14ac:dyDescent="0.2">
      <c r="B53" s="2" t="s">
        <v>309</v>
      </c>
      <c r="D53" s="162">
        <f>-'FC - 3FS'!D143</f>
        <v>185</v>
      </c>
      <c r="E53" s="162">
        <f>-'FC - 3FS'!E143</f>
        <v>665</v>
      </c>
      <c r="F53" s="162">
        <f>-'FC - 3FS'!F143</f>
        <v>13</v>
      </c>
      <c r="G53" s="162">
        <f>-'FC - 3FS'!G143</f>
        <v>104</v>
      </c>
      <c r="H53" s="845">
        <f>-'FC - 3FS'!H143</f>
        <v>99</v>
      </c>
      <c r="I53" s="162">
        <f>-'FC - 3FS'!I143</f>
        <v>745</v>
      </c>
      <c r="J53" s="162">
        <f>-'FC - 3FS'!J143</f>
        <v>-17</v>
      </c>
      <c r="K53" s="162">
        <f>-'FC - 3FS'!K143</f>
        <v>506</v>
      </c>
      <c r="L53" s="845">
        <f>-'FC - 3FS'!L143</f>
        <v>8922</v>
      </c>
      <c r="M53" s="162">
        <f>-'FC - 3FS'!M143</f>
        <v>8</v>
      </c>
      <c r="N53" s="162">
        <f>-'FC - 3FS'!N143</f>
        <v>407</v>
      </c>
      <c r="O53" s="162">
        <f>-'FC - 3FS'!O143</f>
        <v>29</v>
      </c>
      <c r="P53" s="845">
        <f>-'FC - 3FS'!P143</f>
        <v>2843</v>
      </c>
      <c r="Q53" s="162">
        <f>-'FC - 3FS'!Q143</f>
        <v>116</v>
      </c>
      <c r="R53" s="162">
        <f>-'FC - 3FS'!R143</f>
        <v>360</v>
      </c>
      <c r="S53" s="162">
        <f>-'FC - 3FS'!S143</f>
        <v>12</v>
      </c>
      <c r="T53" s="845">
        <f>-'FC - 3FS'!T143</f>
        <v>73</v>
      </c>
      <c r="U53" s="162">
        <f>-'FC - 3FS'!U143</f>
        <v>33</v>
      </c>
      <c r="V53" s="162">
        <f>-'FC - 3FS'!V143</f>
        <v>119</v>
      </c>
      <c r="W53" s="162">
        <f>-'FC - 3FS'!W143</f>
        <v>785</v>
      </c>
      <c r="X53" s="845">
        <f>-'FC - 3FS'!X143</f>
        <v>61</v>
      </c>
      <c r="Y53" s="162">
        <f>-'FC - 3FS'!Y143</f>
        <v>156</v>
      </c>
      <c r="Z53" s="162">
        <f>-'FC - 3FS'!Z143</f>
        <v>2419</v>
      </c>
      <c r="AA53" s="162">
        <f>-'FC - 3FS'!AA143</f>
        <v>835</v>
      </c>
      <c r="AB53" s="845">
        <f>-'FC - 3FS'!AB143</f>
        <v>73</v>
      </c>
      <c r="AC53" s="1305">
        <f>-'FC - 3FS'!AC143</f>
        <v>842</v>
      </c>
      <c r="AD53" s="1305">
        <f>-'FC - 3FS'!AD143</f>
        <v>1590</v>
      </c>
      <c r="AE53" s="554">
        <f t="shared" ref="AE53:AI53" si="277">+AE55*AD61</f>
        <v>1620.1829497122842</v>
      </c>
      <c r="AF53" s="1180">
        <f t="shared" si="277"/>
        <v>1645.9520266421566</v>
      </c>
      <c r="AG53" s="554">
        <f t="shared" si="277"/>
        <v>1672.1309618080611</v>
      </c>
      <c r="AH53" s="554">
        <f t="shared" si="277"/>
        <v>1698.7262740222188</v>
      </c>
      <c r="AI53" s="901">
        <f t="shared" si="277"/>
        <v>1725.7445857788312</v>
      </c>
      <c r="AK53" s="162">
        <f>-'FC - 3FS'!AK143</f>
        <v>967</v>
      </c>
      <c r="AL53" s="162">
        <f>-'FC - 3FS'!AL143</f>
        <v>1333</v>
      </c>
      <c r="AM53" s="162">
        <f>-'FC - 3FS'!AM143</f>
        <v>9366</v>
      </c>
      <c r="AN53" s="162">
        <f>-'FC - 3FS'!AN143</f>
        <v>3331</v>
      </c>
      <c r="AO53" s="162">
        <f>-'FC - 3FS'!AO143</f>
        <v>1010</v>
      </c>
      <c r="AP53" s="162">
        <f>-'FC - 3FS'!AP143</f>
        <v>3471</v>
      </c>
      <c r="AQ53" s="484">
        <f t="shared" ref="AQ53:AR53" si="278">SUMIFS($D53:$AI53,$D$3:$AI$3,AQ$3)</f>
        <v>4125.1829497122844</v>
      </c>
      <c r="AR53" s="484">
        <f t="shared" si="278"/>
        <v>6742.5538482512675</v>
      </c>
      <c r="AS53" s="554">
        <f t="shared" ref="AS53" si="279">+AS55*AR61</f>
        <v>7181.8591844878911</v>
      </c>
    </row>
    <row r="54" spans="2:45" x14ac:dyDescent="0.2">
      <c r="B54" s="237" t="s">
        <v>299</v>
      </c>
      <c r="D54" s="162"/>
      <c r="E54" s="162"/>
      <c r="F54" s="162"/>
      <c r="G54" s="262">
        <f>+G53/SUM(D$5:G$5)</f>
        <v>1.4729417763111306E-3</v>
      </c>
      <c r="H54" s="852">
        <f t="shared" ref="H54" si="280">+H53/SUM(E$5:H$5)</f>
        <v>1.4063299051082449E-3</v>
      </c>
      <c r="I54" s="262">
        <f t="shared" ref="I54" si="281">+I53/SUM(F$5:I$5)</f>
        <v>1.0551361762998004E-2</v>
      </c>
      <c r="J54" s="262">
        <f t="shared" ref="J54" si="282">+J53/SUM(G$5:J$5)</f>
        <v>-2.3404372487471778E-4</v>
      </c>
      <c r="K54" s="262">
        <f t="shared" ref="K54" si="283">+K53/SUM(H$5:K$5)</f>
        <v>6.7744872275477966E-3</v>
      </c>
      <c r="L54" s="852">
        <f t="shared" ref="L54" si="284">+L53/SUM(I$5:L$5)</f>
        <v>0.1158054592889685</v>
      </c>
      <c r="M54" s="262">
        <f t="shared" ref="M54" si="285">+M53/SUM(J$5:M$5)</f>
        <v>1.0085474395501879E-4</v>
      </c>
      <c r="N54" s="262">
        <f t="shared" ref="N54" si="286">+N53/SUM(K$5:N$5)</f>
        <v>5.1083163892863418E-3</v>
      </c>
      <c r="O54" s="262">
        <f t="shared" ref="O54" si="287">+O53/SUM(L$5:O$5)</f>
        <v>3.6196610000249633E-4</v>
      </c>
      <c r="P54" s="852">
        <f t="shared" ref="P54" si="288">+P53/SUM(M$5:P$5)</f>
        <v>3.5325985660855624E-2</v>
      </c>
      <c r="Q54" s="262">
        <f t="shared" ref="Q54" si="289">+Q53/SUM(N$5:Q$5)</f>
        <v>1.4458432007977066E-3</v>
      </c>
      <c r="R54" s="262">
        <f t="shared" ref="R54" si="290">+R53/SUM(O$5:R$5)</f>
        <v>4.4953360888078621E-3</v>
      </c>
      <c r="S54" s="262">
        <f t="shared" ref="S54" si="291">+S53/SUM(P$5:S$5)</f>
        <v>1.5080871171658017E-4</v>
      </c>
      <c r="T54" s="852">
        <f t="shared" ref="T54" si="292">+T53/SUM(Q$5:T$5)</f>
        <v>9.2308081382850931E-4</v>
      </c>
      <c r="U54" s="262">
        <f t="shared" ref="U54" si="293">+U53/SUM(R$5:U$5)</f>
        <v>4.1996487566494441E-4</v>
      </c>
      <c r="V54" s="262">
        <f t="shared" ref="V54" si="294">+V53/SUM(S$5:V$5)</f>
        <v>1.5187676285528314E-3</v>
      </c>
      <c r="W54" s="262">
        <f t="shared" ref="W54" si="295">+W53/SUM(T$5:W$5)</f>
        <v>9.9926169199826883E-3</v>
      </c>
      <c r="X54" s="852">
        <f t="shared" ref="X54" si="296">+X53/SUM(U$5:X$5)</f>
        <v>7.7687213448802853E-4</v>
      </c>
      <c r="Y54" s="262">
        <f t="shared" ref="Y54:AD54" si="297">+Y53/SUM(V$5:Y$5)</f>
        <v>1.9722868413067666E-3</v>
      </c>
      <c r="Z54" s="262">
        <f t="shared" si="297"/>
        <v>3.0235232357573184E-2</v>
      </c>
      <c r="AA54" s="262">
        <f t="shared" si="297"/>
        <v>1.0257985257985257E-2</v>
      </c>
      <c r="AB54" s="852">
        <f t="shared" si="297"/>
        <v>8.827939824892372E-4</v>
      </c>
      <c r="AC54" s="1308">
        <f t="shared" si="297"/>
        <v>1.0017608147337362E-2</v>
      </c>
      <c r="AD54" s="1308">
        <f t="shared" si="297"/>
        <v>1.8521322818502686E-2</v>
      </c>
      <c r="AE54" s="1147">
        <f t="shared" ref="AE54" si="298">+AE53/SUM(AB$5:AE$5)</f>
        <v>1.8443131981803321E-2</v>
      </c>
      <c r="AF54" s="1239">
        <f t="shared" ref="AF54" si="299">+AF53/SUM(AC$5:AF$5)</f>
        <v>1.8388105201669683E-2</v>
      </c>
      <c r="AG54" s="1147">
        <f t="shared" ref="AG54" si="300">+AG53/SUM(AD$5:AG$5)</f>
        <v>1.8266540226500493E-2</v>
      </c>
      <c r="AH54" s="1147">
        <f t="shared" ref="AH54" si="301">+AH53/SUM(AE$5:AH$5)</f>
        <v>1.8254882542925257E-2</v>
      </c>
      <c r="AI54" s="1146">
        <f t="shared" ref="AI54" si="302">+AI53/SUM(AF$5:AI$5)</f>
        <v>1.8277838670780859E-2</v>
      </c>
      <c r="AK54" s="262">
        <f t="shared" ref="AK54:AS54" si="303">+AK53/AK5</f>
        <v>2.148984399306636E-2</v>
      </c>
      <c r="AL54" s="262">
        <f t="shared" si="303"/>
        <v>1.9489158881237482E-2</v>
      </c>
      <c r="AM54" s="262">
        <f t="shared" si="303"/>
        <v>0.11690256871115105</v>
      </c>
      <c r="AN54" s="262">
        <f t="shared" si="303"/>
        <v>4.1861984893994043E-2</v>
      </c>
      <c r="AO54" s="262">
        <f t="shared" si="303"/>
        <v>1.2856742788767535E-2</v>
      </c>
      <c r="AP54" s="262">
        <f t="shared" ref="AP54" si="304">+AP53/AP5</f>
        <v>4.264127764127764E-2</v>
      </c>
      <c r="AQ54" s="1147">
        <f t="shared" si="303"/>
        <v>4.6958458366778318E-2</v>
      </c>
      <c r="AR54" s="1147">
        <f t="shared" si="303"/>
        <v>7.1412254445388401E-2</v>
      </c>
      <c r="AS54" s="1147">
        <f t="shared" si="303"/>
        <v>7.2359998824415295E-2</v>
      </c>
    </row>
    <row r="55" spans="2:45" x14ac:dyDescent="0.2">
      <c r="B55" s="237" t="s">
        <v>335</v>
      </c>
      <c r="D55" s="162"/>
      <c r="E55" s="262">
        <f t="shared" ref="E55:AD55" si="305">+E53/D61</f>
        <v>1.8670335223763265E-2</v>
      </c>
      <c r="F55" s="262">
        <f t="shared" si="305"/>
        <v>3.5684875102937139E-4</v>
      </c>
      <c r="G55" s="262">
        <f t="shared" si="305"/>
        <v>2.8538499533505295E-3</v>
      </c>
      <c r="H55" s="852">
        <f t="shared" si="305"/>
        <v>2.7149321266968325E-3</v>
      </c>
      <c r="I55" s="262">
        <f t="shared" si="305"/>
        <v>2.0427188725288585E-2</v>
      </c>
      <c r="J55" s="262">
        <f t="shared" si="305"/>
        <v>-2.051405816338844E-4</v>
      </c>
      <c r="K55" s="262">
        <f t="shared" si="305"/>
        <v>6.1044021667008485E-3</v>
      </c>
      <c r="L55" s="852">
        <f t="shared" si="305"/>
        <v>0.10771719708311199</v>
      </c>
      <c r="M55" s="262">
        <f t="shared" si="305"/>
        <v>9.6500645348065759E-5</v>
      </c>
      <c r="N55" s="262">
        <f t="shared" si="305"/>
        <v>4.9085229808121375E-3</v>
      </c>
      <c r="O55" s="262">
        <f t="shared" si="305"/>
        <v>3.1321215263152211E-4</v>
      </c>
      <c r="P55" s="852">
        <f t="shared" si="305"/>
        <v>3.0699954646567176E-2</v>
      </c>
      <c r="Q55" s="262">
        <f t="shared" si="305"/>
        <v>1.2518751146652852E-3</v>
      </c>
      <c r="R55" s="262">
        <f t="shared" si="305"/>
        <v>3.7644303162121468E-3</v>
      </c>
      <c r="S55" s="262">
        <f t="shared" si="305"/>
        <v>1.2530412354986583E-4</v>
      </c>
      <c r="T55" s="852">
        <f t="shared" si="305"/>
        <v>7.6202008392659557E-4</v>
      </c>
      <c r="U55" s="262">
        <f t="shared" si="305"/>
        <v>3.4418740482696761E-4</v>
      </c>
      <c r="V55" s="262">
        <f t="shared" si="305"/>
        <v>1.2410182606972645E-3</v>
      </c>
      <c r="W55" s="262">
        <f t="shared" si="305"/>
        <v>8.1188139291956691E-3</v>
      </c>
      <c r="X55" s="852">
        <f t="shared" si="305"/>
        <v>6.3077129887185003E-4</v>
      </c>
      <c r="Y55" s="262">
        <f t="shared" si="305"/>
        <v>1.6056981699158037E-3</v>
      </c>
      <c r="Z55" s="262">
        <f t="shared" si="305"/>
        <v>2.4518300037502154E-2</v>
      </c>
      <c r="AA55" s="262">
        <f t="shared" si="305"/>
        <v>8.4568951547561166E-3</v>
      </c>
      <c r="AB55" s="852">
        <f t="shared" si="305"/>
        <v>7.259492034447781E-4</v>
      </c>
      <c r="AC55" s="1308">
        <f t="shared" si="305"/>
        <v>8.5280503985496244E-3</v>
      </c>
      <c r="AD55" s="1308">
        <f t="shared" si="305"/>
        <v>1.6574931198398798E-2</v>
      </c>
      <c r="AE55" s="1223">
        <f t="shared" ref="AE55:AI55" si="306">+AD55</f>
        <v>1.6574931198398798E-2</v>
      </c>
      <c r="AF55" s="1240">
        <f t="shared" si="306"/>
        <v>1.6574931198398798E-2</v>
      </c>
      <c r="AG55" s="1223">
        <f t="shared" si="306"/>
        <v>1.6574931198398798E-2</v>
      </c>
      <c r="AH55" s="1223">
        <f t="shared" si="306"/>
        <v>1.6574931198398798E-2</v>
      </c>
      <c r="AI55" s="1241">
        <f t="shared" si="306"/>
        <v>1.6574931198398798E-2</v>
      </c>
      <c r="AK55" s="162"/>
      <c r="AL55" s="262">
        <f>+AL53/AK61</f>
        <v>3.6555601261483613E-2</v>
      </c>
      <c r="AM55" s="262">
        <f t="shared" ref="AM55:AR55" si="307">+AM53/AL61</f>
        <v>0.11307770319215724</v>
      </c>
      <c r="AN55" s="262">
        <f t="shared" si="307"/>
        <v>3.5969591603135863E-2</v>
      </c>
      <c r="AO55" s="262">
        <f t="shared" si="307"/>
        <v>1.0543017599532349E-2</v>
      </c>
      <c r="AP55" s="262">
        <f t="shared" si="307"/>
        <v>3.5891920957117893E-2</v>
      </c>
      <c r="AQ55" s="1147">
        <f t="shared" si="307"/>
        <v>4.1022921594624839E-2</v>
      </c>
      <c r="AR55" s="1147">
        <f t="shared" si="307"/>
        <v>6.7898313150873371E-2</v>
      </c>
      <c r="AS55" s="1223">
        <f t="shared" ref="AS55" si="308">+AR55</f>
        <v>6.7898313150873371E-2</v>
      </c>
    </row>
    <row r="56" spans="2:45" x14ac:dyDescent="0.2">
      <c r="B56" s="1201" t="s">
        <v>913</v>
      </c>
      <c r="D56" s="162">
        <f>-Metrics!L156</f>
        <v>0</v>
      </c>
      <c r="E56" s="162">
        <f>-Metrics!M156</f>
        <v>0</v>
      </c>
      <c r="F56" s="162">
        <f>-Metrics!N156</f>
        <v>0</v>
      </c>
      <c r="G56" s="162">
        <f>-Metrics!O156</f>
        <v>0</v>
      </c>
      <c r="H56" s="845">
        <f>-Metrics!P156</f>
        <v>0</v>
      </c>
      <c r="I56" s="162">
        <f>-Metrics!Q156</f>
        <v>0</v>
      </c>
      <c r="J56" s="162">
        <f>-Metrics!R156</f>
        <v>0</v>
      </c>
      <c r="K56" s="162">
        <f>-Metrics!S156</f>
        <v>0</v>
      </c>
      <c r="L56" s="845">
        <f>-Metrics!T156</f>
        <v>0</v>
      </c>
      <c r="M56" s="162">
        <f>-Metrics!U156</f>
        <v>0</v>
      </c>
      <c r="N56" s="162">
        <f>-Metrics!V156</f>
        <v>0</v>
      </c>
      <c r="O56" s="162">
        <f>-Metrics!W156</f>
        <v>0</v>
      </c>
      <c r="P56" s="845">
        <f>-Metrics!X156</f>
        <v>0</v>
      </c>
      <c r="Q56" s="162">
        <f>-Metrics!Y156</f>
        <v>0</v>
      </c>
      <c r="R56" s="162">
        <f>-Metrics!Z156</f>
        <v>0</v>
      </c>
      <c r="S56" s="162">
        <f>-Metrics!AA156</f>
        <v>0</v>
      </c>
      <c r="T56" s="845">
        <f>-Metrics!AB156</f>
        <v>-254</v>
      </c>
      <c r="U56" s="162">
        <f>-Metrics!AC156</f>
        <v>-215</v>
      </c>
      <c r="V56" s="162">
        <f>-Metrics!AD156</f>
        <v>-209</v>
      </c>
      <c r="W56" s="162">
        <f>-Metrics!AE156</f>
        <v>-210</v>
      </c>
      <c r="X56" s="845">
        <f>-Metrics!AF156</f>
        <v>-211</v>
      </c>
      <c r="Y56" s="162">
        <f>-Metrics!AG156</f>
        <v>-205</v>
      </c>
      <c r="Z56" s="162">
        <f>-Metrics!AH156</f>
        <v>-221</v>
      </c>
      <c r="AA56" s="162">
        <f>-Metrics!AI156</f>
        <v>0</v>
      </c>
      <c r="AB56" s="845">
        <f>-Metrics!AJ156</f>
        <v>0</v>
      </c>
      <c r="AC56" s="1305">
        <f>-Metrics!AK156</f>
        <v>0</v>
      </c>
      <c r="AD56" s="1305">
        <f>-Metrics!AL156</f>
        <v>0</v>
      </c>
      <c r="AE56" s="554">
        <f t="shared" ref="AE56:AI56" si="309">+AE57*AD63</f>
        <v>0</v>
      </c>
      <c r="AF56" s="1180">
        <f t="shared" si="309"/>
        <v>0</v>
      </c>
      <c r="AG56" s="554">
        <f t="shared" si="309"/>
        <v>0</v>
      </c>
      <c r="AH56" s="554">
        <f t="shared" si="309"/>
        <v>0</v>
      </c>
      <c r="AI56" s="901">
        <f t="shared" si="309"/>
        <v>0</v>
      </c>
      <c r="AK56" s="162">
        <f>-Metrics!E156</f>
        <v>0</v>
      </c>
      <c r="AL56" s="162">
        <f>-Metrics!F156</f>
        <v>0</v>
      </c>
      <c r="AM56" s="162">
        <f>-Metrics!G156</f>
        <v>-1300</v>
      </c>
      <c r="AN56" s="162">
        <f>-Metrics!H156</f>
        <v>-1200</v>
      </c>
      <c r="AO56" s="162">
        <f>-Metrics!I156</f>
        <v>-888</v>
      </c>
      <c r="AP56" s="162">
        <f>-Metrics!J156</f>
        <v>0</v>
      </c>
      <c r="AQ56" s="484">
        <f t="shared" ref="AQ56:AR56" si="310">SUMIFS($D56:$AI56,$D$3:$AI$3,AQ$3)</f>
        <v>0</v>
      </c>
      <c r="AR56" s="484">
        <f t="shared" si="310"/>
        <v>0</v>
      </c>
      <c r="AS56" s="554">
        <f>AS57*AR63</f>
        <v>0</v>
      </c>
    </row>
    <row r="57" spans="2:45" x14ac:dyDescent="0.2">
      <c r="B57" s="237" t="s">
        <v>914</v>
      </c>
      <c r="D57" s="162"/>
      <c r="E57" s="241">
        <f t="shared" ref="E57:Y57" si="311">E56/D63</f>
        <v>0</v>
      </c>
      <c r="F57" s="241">
        <f t="shared" si="311"/>
        <v>0</v>
      </c>
      <c r="G57" s="241">
        <f t="shared" si="311"/>
        <v>0</v>
      </c>
      <c r="H57" s="849">
        <f t="shared" si="311"/>
        <v>0</v>
      </c>
      <c r="I57" s="241">
        <f t="shared" si="311"/>
        <v>0</v>
      </c>
      <c r="J57" s="241">
        <f t="shared" si="311"/>
        <v>0</v>
      </c>
      <c r="K57" s="241">
        <f t="shared" si="311"/>
        <v>0</v>
      </c>
      <c r="L57" s="849">
        <f t="shared" si="311"/>
        <v>0</v>
      </c>
      <c r="M57" s="241">
        <f t="shared" si="311"/>
        <v>0</v>
      </c>
      <c r="N57" s="241">
        <f t="shared" si="311"/>
        <v>0</v>
      </c>
      <c r="O57" s="241">
        <f t="shared" si="311"/>
        <v>0</v>
      </c>
      <c r="P57" s="849">
        <f t="shared" si="311"/>
        <v>0</v>
      </c>
      <c r="Q57" s="241">
        <f t="shared" si="311"/>
        <v>0</v>
      </c>
      <c r="R57" s="241">
        <f t="shared" si="311"/>
        <v>0</v>
      </c>
      <c r="S57" s="241">
        <f t="shared" si="311"/>
        <v>0</v>
      </c>
      <c r="T57" s="849">
        <f t="shared" si="311"/>
        <v>-7.2405929304446975E-2</v>
      </c>
      <c r="U57" s="241">
        <f t="shared" si="311"/>
        <v>-6.6255778120184905E-2</v>
      </c>
      <c r="V57" s="241">
        <f t="shared" si="311"/>
        <v>-6.8931398416886544E-2</v>
      </c>
      <c r="W57" s="241">
        <f t="shared" si="311"/>
        <v>-7.4362606232294612E-2</v>
      </c>
      <c r="X57" s="849">
        <f t="shared" si="311"/>
        <v>-8.0595874713521767E-2</v>
      </c>
      <c r="Y57" s="241">
        <f t="shared" si="311"/>
        <v>-8.3844580777096112E-2</v>
      </c>
      <c r="Z57" s="241">
        <f>Z56/Y63</f>
        <v>-7.4210879785090667E-2</v>
      </c>
      <c r="AA57" s="241">
        <f>AA56/Z63</f>
        <v>0</v>
      </c>
      <c r="AB57" s="849">
        <f>AB56/AA63</f>
        <v>0</v>
      </c>
      <c r="AC57" s="1309">
        <f>AC56/AB63</f>
        <v>0</v>
      </c>
      <c r="AD57" s="1309">
        <f>AD56/AC63</f>
        <v>0</v>
      </c>
      <c r="AE57" s="1223">
        <f t="shared" ref="AE57" si="312">+AD57</f>
        <v>0</v>
      </c>
      <c r="AF57" s="1240">
        <f>+AE57*0.9</f>
        <v>0</v>
      </c>
      <c r="AG57" s="1223">
        <f t="shared" ref="AG57" si="313">+AF57</f>
        <v>0</v>
      </c>
      <c r="AH57" s="1223">
        <f t="shared" ref="AH57" si="314">+AG57</f>
        <v>0</v>
      </c>
      <c r="AI57" s="1241">
        <f t="shared" ref="AI57" si="315">+AH57</f>
        <v>0</v>
      </c>
      <c r="AK57" s="162"/>
      <c r="AL57" s="241">
        <f t="shared" ref="AL57:AN57" si="316">AL56/AK63</f>
        <v>0</v>
      </c>
      <c r="AM57" s="241">
        <f t="shared" si="316"/>
        <v>-0.24537561343903361</v>
      </c>
      <c r="AN57" s="241">
        <f t="shared" si="316"/>
        <v>-0.25353898161842381</v>
      </c>
      <c r="AO57" s="241">
        <f>AO56/AN63</f>
        <v>-0.25313568985176738</v>
      </c>
      <c r="AP57" s="241">
        <f>AP56/AO63</f>
        <v>0</v>
      </c>
      <c r="AQ57" s="1147">
        <f t="shared" ref="AQ57:AR57" si="317">AQ56/AP63</f>
        <v>0</v>
      </c>
      <c r="AR57" s="1147">
        <f t="shared" si="317"/>
        <v>0</v>
      </c>
      <c r="AS57" s="1223">
        <f>+AR57*0.9</f>
        <v>0</v>
      </c>
    </row>
    <row r="58" spans="2:45" x14ac:dyDescent="0.2">
      <c r="B58" s="1201" t="s">
        <v>946</v>
      </c>
      <c r="D58" s="162"/>
      <c r="E58" s="241"/>
      <c r="F58" s="241"/>
      <c r="G58" s="241"/>
      <c r="H58" s="849"/>
      <c r="I58" s="241"/>
      <c r="J58" s="241"/>
      <c r="K58" s="241"/>
      <c r="L58" s="849"/>
      <c r="M58" s="241"/>
      <c r="N58" s="241"/>
      <c r="O58" s="241"/>
      <c r="P58" s="849"/>
      <c r="Q58" s="241"/>
      <c r="R58" s="241"/>
      <c r="S58" s="241"/>
      <c r="T58" s="849"/>
      <c r="U58" s="241"/>
      <c r="V58" s="241"/>
      <c r="W58" s="241"/>
      <c r="X58" s="849"/>
      <c r="Y58" s="241"/>
      <c r="Z58" s="241"/>
      <c r="AA58" s="241"/>
      <c r="AB58" s="849"/>
      <c r="AC58" s="1309"/>
      <c r="AD58" s="1309"/>
      <c r="AE58" s="901">
        <f>'Impacts from USC'!E8</f>
        <v>177.62499999999997</v>
      </c>
      <c r="AF58" s="554">
        <f>'Impacts from USC'!F8</f>
        <v>180.28937499999995</v>
      </c>
      <c r="AG58" s="554">
        <f>'Impacts from USC'!G8</f>
        <v>182.99371562499991</v>
      </c>
      <c r="AH58" s="554">
        <f>'Impacts from USC'!H8</f>
        <v>185.73862135937489</v>
      </c>
      <c r="AI58" s="901">
        <f>'Impacts from USC'!I8</f>
        <v>188.52470067976549</v>
      </c>
      <c r="AK58" s="162"/>
      <c r="AL58" s="241"/>
      <c r="AM58" s="241"/>
      <c r="AN58" s="241"/>
      <c r="AO58" s="241"/>
      <c r="AP58" s="241"/>
      <c r="AQ58" s="554">
        <f>SUMIFS($D58:$AI58,$D$3:$AI$3,AQ$3)</f>
        <v>177.62499999999997</v>
      </c>
      <c r="AR58" s="554">
        <f>SUMIFS($D58:$AI58,$D$3:$AI$3,AR$3)</f>
        <v>737.54641266414023</v>
      </c>
      <c r="AS58" s="554">
        <f>'Impacts from USC'!AC8</f>
        <v>782.80487929594312</v>
      </c>
    </row>
    <row r="59" spans="2:45" x14ac:dyDescent="0.2">
      <c r="B59" s="2" t="s">
        <v>660</v>
      </c>
      <c r="D59" s="163"/>
      <c r="E59" s="163">
        <f t="shared" ref="E59:Y59" si="318">+E60-E53-D60-E56</f>
        <v>130</v>
      </c>
      <c r="F59" s="163">
        <f t="shared" si="318"/>
        <v>-14</v>
      </c>
      <c r="G59" s="163">
        <f t="shared" si="318"/>
        <v>-110</v>
      </c>
      <c r="H59" s="848">
        <f t="shared" si="318"/>
        <v>-117</v>
      </c>
      <c r="I59" s="163">
        <f t="shared" si="318"/>
        <v>51601</v>
      </c>
      <c r="J59" s="163">
        <f t="shared" si="318"/>
        <v>-340</v>
      </c>
      <c r="K59" s="163">
        <f t="shared" si="318"/>
        <v>-931</v>
      </c>
      <c r="L59" s="848">
        <f t="shared" si="318"/>
        <v>-9255</v>
      </c>
      <c r="M59" s="163">
        <f t="shared" si="318"/>
        <v>-284</v>
      </c>
      <c r="N59" s="163">
        <f t="shared" si="318"/>
        <v>9712</v>
      </c>
      <c r="O59" s="163">
        <f t="shared" si="318"/>
        <v>-326</v>
      </c>
      <c r="P59" s="848">
        <f t="shared" si="318"/>
        <v>-3073</v>
      </c>
      <c r="Q59" s="163">
        <f t="shared" si="318"/>
        <v>2547</v>
      </c>
      <c r="R59" s="163">
        <f t="shared" si="318"/>
        <v>-602</v>
      </c>
      <c r="S59" s="163">
        <f t="shared" si="318"/>
        <v>-236</v>
      </c>
      <c r="T59" s="848">
        <f t="shared" si="318"/>
        <v>-2</v>
      </c>
      <c r="U59" s="163">
        <f t="shared" si="318"/>
        <v>-20</v>
      </c>
      <c r="V59" s="163">
        <f t="shared" si="318"/>
        <v>682</v>
      </c>
      <c r="W59" s="163">
        <f t="shared" si="318"/>
        <v>-763</v>
      </c>
      <c r="X59" s="848">
        <f t="shared" si="318"/>
        <v>424</v>
      </c>
      <c r="Y59" s="163">
        <f t="shared" si="318"/>
        <v>2089</v>
      </c>
      <c r="Z59" s="163">
        <f>+Z60-Z53-Y60-Z56</f>
        <v>-2339</v>
      </c>
      <c r="AA59" s="163">
        <f>+AA60-AA53-Z60-AA56</f>
        <v>737</v>
      </c>
      <c r="AB59" s="848">
        <f>+AB60-AB53-AA60-AB56</f>
        <v>-1792</v>
      </c>
      <c r="AC59" s="1307">
        <f>+AC60-AC53-AB60-AC56</f>
        <v>-3827</v>
      </c>
      <c r="AD59" s="1307">
        <f>+AD60-AD53-AC60-AD56</f>
        <v>1910</v>
      </c>
      <c r="AE59" s="371"/>
      <c r="AF59" s="1238"/>
      <c r="AG59" s="371"/>
      <c r="AH59" s="371"/>
      <c r="AI59" s="902"/>
      <c r="AK59" s="302">
        <f t="shared" ref="AK59:AR59" si="319">SUMIFS($D59:$AI59,$D$3:$AI$3,AK$3)</f>
        <v>6</v>
      </c>
      <c r="AL59" s="302">
        <f t="shared" si="319"/>
        <v>50213</v>
      </c>
      <c r="AM59" s="302">
        <f t="shared" si="319"/>
        <v>-153</v>
      </c>
      <c r="AN59" s="302">
        <f t="shared" si="319"/>
        <v>-1364</v>
      </c>
      <c r="AO59" s="302">
        <f t="shared" si="319"/>
        <v>-103</v>
      </c>
      <c r="AP59" s="302">
        <f t="shared" si="319"/>
        <v>911</v>
      </c>
      <c r="AQ59" s="484">
        <f t="shared" si="319"/>
        <v>-3709</v>
      </c>
      <c r="AR59" s="484">
        <f t="shared" si="319"/>
        <v>0</v>
      </c>
      <c r="AS59" s="371"/>
    </row>
    <row r="60" spans="2:45" x14ac:dyDescent="0.2">
      <c r="B60" s="2" t="s">
        <v>315</v>
      </c>
      <c r="D60" s="162">
        <f>+D61+D63</f>
        <v>35792</v>
      </c>
      <c r="E60" s="162">
        <f t="shared" ref="E60:Y60" si="320">+E61+E63</f>
        <v>36587</v>
      </c>
      <c r="F60" s="162">
        <f t="shared" si="320"/>
        <v>36586</v>
      </c>
      <c r="G60" s="162">
        <f t="shared" si="320"/>
        <v>36580</v>
      </c>
      <c r="H60" s="845">
        <f t="shared" si="320"/>
        <v>36562</v>
      </c>
      <c r="I60" s="162">
        <f t="shared" si="320"/>
        <v>88908</v>
      </c>
      <c r="J60" s="162">
        <f t="shared" si="320"/>
        <v>88551</v>
      </c>
      <c r="K60" s="162">
        <f t="shared" si="320"/>
        <v>88126</v>
      </c>
      <c r="L60" s="845">
        <f t="shared" si="320"/>
        <v>87793</v>
      </c>
      <c r="M60" s="162">
        <f t="shared" si="320"/>
        <v>87517</v>
      </c>
      <c r="N60" s="162">
        <f t="shared" si="320"/>
        <v>97636</v>
      </c>
      <c r="O60" s="162">
        <f t="shared" si="320"/>
        <v>97339</v>
      </c>
      <c r="P60" s="845">
        <f t="shared" si="320"/>
        <v>97109</v>
      </c>
      <c r="Q60" s="162">
        <f t="shared" si="320"/>
        <v>99772</v>
      </c>
      <c r="R60" s="162">
        <f t="shared" si="320"/>
        <v>99530</v>
      </c>
      <c r="S60" s="162">
        <f t="shared" si="320"/>
        <v>99306</v>
      </c>
      <c r="T60" s="845">
        <f t="shared" si="320"/>
        <v>99123</v>
      </c>
      <c r="U60" s="162">
        <f t="shared" si="320"/>
        <v>98921</v>
      </c>
      <c r="V60" s="162">
        <f t="shared" si="320"/>
        <v>99513</v>
      </c>
      <c r="W60" s="162">
        <f t="shared" si="320"/>
        <v>99325</v>
      </c>
      <c r="X60" s="845">
        <f t="shared" si="320"/>
        <v>99599</v>
      </c>
      <c r="Y60" s="162">
        <f t="shared" si="320"/>
        <v>101639</v>
      </c>
      <c r="Z60" s="162">
        <f t="shared" ref="Z60:AA60" si="321">+Z61+Z63</f>
        <v>101498</v>
      </c>
      <c r="AA60" s="162">
        <f t="shared" si="321"/>
        <v>103070</v>
      </c>
      <c r="AB60" s="845">
        <f t="shared" ref="AB60" si="322">+AB61+AB63</f>
        <v>101351</v>
      </c>
      <c r="AC60" s="1305">
        <f t="shared" ref="AC60:AD60" si="323">+AC61+AC63</f>
        <v>98366</v>
      </c>
      <c r="AD60" s="1305">
        <f t="shared" si="323"/>
        <v>101866</v>
      </c>
      <c r="AE60" s="554">
        <f t="shared" ref="AE60:AI60" si="324">AE53+AD60+AE56</f>
        <v>103486.18294971228</v>
      </c>
      <c r="AF60" s="1180">
        <f t="shared" si="324"/>
        <v>105132.13497635444</v>
      </c>
      <c r="AG60" s="554">
        <f t="shared" si="324"/>
        <v>106804.2659381625</v>
      </c>
      <c r="AH60" s="554">
        <f t="shared" si="324"/>
        <v>108502.99221218472</v>
      </c>
      <c r="AI60" s="901">
        <f t="shared" si="324"/>
        <v>110228.73679796355</v>
      </c>
      <c r="AK60" s="162">
        <f t="shared" ref="AK60" si="325">+AK61+AK63</f>
        <v>36580</v>
      </c>
      <c r="AL60" s="162">
        <f t="shared" ref="AL60" si="326">+AL61+AL63</f>
        <v>88126</v>
      </c>
      <c r="AM60" s="162">
        <f t="shared" ref="AM60" si="327">+AM61+AM63</f>
        <v>97339</v>
      </c>
      <c r="AN60" s="162">
        <f t="shared" ref="AN60" si="328">+AN61+AN63</f>
        <v>99306</v>
      </c>
      <c r="AO60" s="162">
        <f t="shared" ref="AO60:AP60" si="329">+AO61+AO63</f>
        <v>99325</v>
      </c>
      <c r="AP60" s="162">
        <f t="shared" si="329"/>
        <v>103070</v>
      </c>
      <c r="AQ60" s="554">
        <f t="shared" ref="AQ60:AR63" si="330">SUMIFS($D60:$AI60,$D$3:$AI$3,AQ$3,$D$2:$AI$2,4)</f>
        <v>103486.18294971228</v>
      </c>
      <c r="AR60" s="554">
        <f t="shared" si="330"/>
        <v>110228.73679796355</v>
      </c>
      <c r="AS60" s="554">
        <f>AS53+AR60+AS56</f>
        <v>117410.59598245144</v>
      </c>
    </row>
    <row r="61" spans="2:45" x14ac:dyDescent="0.2">
      <c r="B61" s="3" t="s">
        <v>310</v>
      </c>
      <c r="D61" s="162">
        <f>+'FC - 3FS'!D80</f>
        <v>35618</v>
      </c>
      <c r="E61" s="162">
        <f>+'FC - 3FS'!E80</f>
        <v>36430</v>
      </c>
      <c r="F61" s="162">
        <f>+'FC - 3FS'!F80</f>
        <v>36442</v>
      </c>
      <c r="G61" s="162">
        <f>+'FC - 3FS'!G80</f>
        <v>36465</v>
      </c>
      <c r="H61" s="845">
        <f>+'FC - 3FS'!H80</f>
        <v>36471</v>
      </c>
      <c r="I61" s="162">
        <f>+'FC - 3FS'!I80</f>
        <v>82870</v>
      </c>
      <c r="J61" s="162">
        <f>+'FC - 3FS'!J80</f>
        <v>82891</v>
      </c>
      <c r="K61" s="162">
        <f>+'FC - 3FS'!K80</f>
        <v>82828</v>
      </c>
      <c r="L61" s="845">
        <f>+'FC - 3FS'!L80</f>
        <v>82901</v>
      </c>
      <c r="M61" s="162">
        <f>+'FC - 3FS'!M80</f>
        <v>82917</v>
      </c>
      <c r="N61" s="162">
        <f>+'FC - 3FS'!N80</f>
        <v>92589</v>
      </c>
      <c r="O61" s="162">
        <f>+'FC - 3FS'!O80</f>
        <v>92606</v>
      </c>
      <c r="P61" s="845">
        <f>+'FC - 3FS'!P80</f>
        <v>92661</v>
      </c>
      <c r="Q61" s="162">
        <f>+'FC - 3FS'!Q80</f>
        <v>95632</v>
      </c>
      <c r="R61" s="162">
        <f>+'FC - 3FS'!R80</f>
        <v>95767</v>
      </c>
      <c r="S61" s="162">
        <f>+'FC - 3FS'!S80</f>
        <v>95798</v>
      </c>
      <c r="T61" s="845">
        <f>+'FC - 3FS'!T80</f>
        <v>95878</v>
      </c>
      <c r="U61" s="162">
        <f>+'FC - 3FS'!U80</f>
        <v>95889</v>
      </c>
      <c r="V61" s="162">
        <f>+'FC - 3FS'!V80</f>
        <v>96689</v>
      </c>
      <c r="W61" s="162">
        <f>+'FC - 3FS'!W80</f>
        <v>96707</v>
      </c>
      <c r="X61" s="845">
        <f>+'FC - 3FS'!X80</f>
        <v>97154</v>
      </c>
      <c r="Y61" s="162">
        <f>+'FC - 3FS'!Y80</f>
        <v>98661</v>
      </c>
      <c r="Z61" s="162">
        <f>+'FC - 3FS'!Z80</f>
        <v>98736</v>
      </c>
      <c r="AA61" s="162">
        <f>+'FC - 3FS'!AA80</f>
        <v>100558</v>
      </c>
      <c r="AB61" s="845">
        <f>+'FC - 3FS'!AB80</f>
        <v>98733</v>
      </c>
      <c r="AC61" s="1305">
        <f>+'FC - 3FS'!AC80</f>
        <v>95928</v>
      </c>
      <c r="AD61" s="1305">
        <f>+'FC - 3FS'!AD80</f>
        <v>97749</v>
      </c>
      <c r="AE61" s="554">
        <f t="shared" ref="AE61:AI61" si="331">+AE62*AE60</f>
        <v>99303.701894169062</v>
      </c>
      <c r="AF61" s="1180">
        <f t="shared" si="331"/>
        <v>100883.13138636709</v>
      </c>
      <c r="AG61" s="554">
        <f t="shared" si="331"/>
        <v>102487.68177006504</v>
      </c>
      <c r="AH61" s="554">
        <f t="shared" si="331"/>
        <v>104117.75259408285</v>
      </c>
      <c r="AI61" s="901">
        <f t="shared" si="331"/>
        <v>105773.74976208096</v>
      </c>
      <c r="AK61" s="162">
        <f>+'FC - 3FS'!AK80</f>
        <v>36465</v>
      </c>
      <c r="AL61" s="162">
        <f>+'FC - 3FS'!AL80</f>
        <v>82828</v>
      </c>
      <c r="AM61" s="162">
        <f>+'FC - 3FS'!AM80</f>
        <v>92606</v>
      </c>
      <c r="AN61" s="162">
        <f>+'FC - 3FS'!AN80</f>
        <v>95798</v>
      </c>
      <c r="AO61" s="162">
        <f>+'FC - 3FS'!AO80</f>
        <v>96707</v>
      </c>
      <c r="AP61" s="162">
        <f>+'FC - 3FS'!AP80</f>
        <v>100558</v>
      </c>
      <c r="AQ61" s="554">
        <f t="shared" si="330"/>
        <v>99303.701894169062</v>
      </c>
      <c r="AR61" s="554">
        <f t="shared" si="330"/>
        <v>105773.74976208096</v>
      </c>
      <c r="AS61" s="554">
        <f t="shared" ref="AS61" si="332">+AS62*AS60</f>
        <v>112665.34807186545</v>
      </c>
    </row>
    <row r="62" spans="2:45" x14ac:dyDescent="0.2">
      <c r="B62" s="237" t="s">
        <v>316</v>
      </c>
      <c r="D62" s="241">
        <f>+D61/D60</f>
        <v>0.99513857845328568</v>
      </c>
      <c r="E62" s="241">
        <f t="shared" ref="E62:Y62" si="333">+E61/E60</f>
        <v>0.99570885833766087</v>
      </c>
      <c r="F62" s="241">
        <f t="shared" si="333"/>
        <v>0.99606406822281746</v>
      </c>
      <c r="G62" s="241">
        <f t="shared" si="333"/>
        <v>0.99685620557681798</v>
      </c>
      <c r="H62" s="849">
        <f t="shared" si="333"/>
        <v>0.99751107707455833</v>
      </c>
      <c r="I62" s="241">
        <f t="shared" si="333"/>
        <v>0.93208710127322625</v>
      </c>
      <c r="J62" s="241">
        <f t="shared" si="333"/>
        <v>0.93608203182346894</v>
      </c>
      <c r="K62" s="241">
        <f t="shared" si="333"/>
        <v>0.9398815332591971</v>
      </c>
      <c r="L62" s="849">
        <f t="shared" si="333"/>
        <v>0.94427801760960439</v>
      </c>
      <c r="M62" s="241">
        <f t="shared" si="333"/>
        <v>0.94743878332209741</v>
      </c>
      <c r="N62" s="241">
        <f t="shared" si="333"/>
        <v>0.94830800114711788</v>
      </c>
      <c r="O62" s="241">
        <f t="shared" si="333"/>
        <v>0.95137611851364823</v>
      </c>
      <c r="P62" s="849">
        <f t="shared" si="333"/>
        <v>0.95419580059520748</v>
      </c>
      <c r="Q62" s="241">
        <f t="shared" si="333"/>
        <v>0.95850539229443132</v>
      </c>
      <c r="R62" s="241">
        <f t="shared" si="333"/>
        <v>0.96219230382799159</v>
      </c>
      <c r="S62" s="241">
        <f t="shared" si="333"/>
        <v>0.96467484341328824</v>
      </c>
      <c r="T62" s="849">
        <f t="shared" si="333"/>
        <v>0.96726289559436252</v>
      </c>
      <c r="U62" s="241">
        <f t="shared" si="333"/>
        <v>0.96934927871736032</v>
      </c>
      <c r="V62" s="241">
        <f t="shared" si="333"/>
        <v>0.97162179815702476</v>
      </c>
      <c r="W62" s="241">
        <f t="shared" si="333"/>
        <v>0.97364208406745534</v>
      </c>
      <c r="X62" s="849">
        <f t="shared" si="333"/>
        <v>0.97545156075864214</v>
      </c>
      <c r="Y62" s="241">
        <f t="shared" si="333"/>
        <v>0.97070022333946615</v>
      </c>
      <c r="Z62" s="241">
        <f t="shared" ref="Z62:AA62" si="334">+Z61/Z60</f>
        <v>0.97278764113578597</v>
      </c>
      <c r="AA62" s="241">
        <f t="shared" si="334"/>
        <v>0.97562821383525755</v>
      </c>
      <c r="AB62" s="849">
        <f t="shared" ref="AB62" si="335">+AB61/AB60</f>
        <v>0.97416897711912065</v>
      </c>
      <c r="AC62" s="1309">
        <f t="shared" ref="AC62:AD62" si="336">+AC61/AC60</f>
        <v>0.97521501331760974</v>
      </c>
      <c r="AD62" s="1309">
        <f t="shared" si="336"/>
        <v>0.95958415958219623</v>
      </c>
      <c r="AE62" s="1223">
        <f t="shared" ref="AE62:AI62" si="337">+AD62</f>
        <v>0.95958415958219623</v>
      </c>
      <c r="AF62" s="1240">
        <f t="shared" si="337"/>
        <v>0.95958415958219623</v>
      </c>
      <c r="AG62" s="1223">
        <f t="shared" si="337"/>
        <v>0.95958415958219623</v>
      </c>
      <c r="AH62" s="1223">
        <f t="shared" si="337"/>
        <v>0.95958415958219623</v>
      </c>
      <c r="AI62" s="1241">
        <f t="shared" si="337"/>
        <v>0.95958415958219623</v>
      </c>
      <c r="AK62" s="241">
        <f>+AK61/AK60</f>
        <v>0.99685620557681798</v>
      </c>
      <c r="AL62" s="241">
        <f t="shared" ref="AL62:AR62" si="338">+AL61/AL60</f>
        <v>0.9398815332591971</v>
      </c>
      <c r="AM62" s="241">
        <f t="shared" si="338"/>
        <v>0.95137611851364823</v>
      </c>
      <c r="AN62" s="241">
        <f t="shared" si="338"/>
        <v>0.96467484341328824</v>
      </c>
      <c r="AO62" s="241">
        <f t="shared" si="338"/>
        <v>0.97364208406745534</v>
      </c>
      <c r="AP62" s="241">
        <f t="shared" ref="AP62" si="339">+AP61/AP60</f>
        <v>0.97562821383525755</v>
      </c>
      <c r="AQ62" s="1115">
        <f t="shared" si="338"/>
        <v>0.95958415958219623</v>
      </c>
      <c r="AR62" s="1115">
        <f t="shared" si="338"/>
        <v>0.95958415958219623</v>
      </c>
      <c r="AS62" s="1223">
        <f t="shared" ref="AS62" si="340">+AR62</f>
        <v>0.95958415958219623</v>
      </c>
    </row>
    <row r="63" spans="2:45" x14ac:dyDescent="0.2">
      <c r="B63" s="3" t="s">
        <v>311</v>
      </c>
      <c r="D63" s="162">
        <f>+'FC - 3FS'!D81</f>
        <v>174</v>
      </c>
      <c r="E63" s="162">
        <f>+'FC - 3FS'!E81</f>
        <v>157</v>
      </c>
      <c r="F63" s="162">
        <f>+'FC - 3FS'!F81</f>
        <v>144</v>
      </c>
      <c r="G63" s="162">
        <f>+'FC - 3FS'!G81</f>
        <v>115</v>
      </c>
      <c r="H63" s="845">
        <f>+'FC - 3FS'!H81</f>
        <v>91</v>
      </c>
      <c r="I63" s="162">
        <f>+'FC - 3FS'!I81</f>
        <v>6038</v>
      </c>
      <c r="J63" s="162">
        <f>+'FC - 3FS'!J81</f>
        <v>5660</v>
      </c>
      <c r="K63" s="162">
        <f>+'FC - 3FS'!K81</f>
        <v>5298</v>
      </c>
      <c r="L63" s="845">
        <f>+'FC - 3FS'!L81</f>
        <v>4892</v>
      </c>
      <c r="M63" s="162">
        <f>+'FC - 3FS'!M81</f>
        <v>4600</v>
      </c>
      <c r="N63" s="162">
        <f>+'FC - 3FS'!N81</f>
        <v>5047</v>
      </c>
      <c r="O63" s="162">
        <f>+'FC - 3FS'!O81</f>
        <v>4733</v>
      </c>
      <c r="P63" s="845">
        <f>+'FC - 3FS'!P81</f>
        <v>4448</v>
      </c>
      <c r="Q63" s="162">
        <f>+'FC - 3FS'!Q81</f>
        <v>4140</v>
      </c>
      <c r="R63" s="162">
        <f>+'FC - 3FS'!R81</f>
        <v>3763</v>
      </c>
      <c r="S63" s="162">
        <f>+'FC - 3FS'!S81</f>
        <v>3508</v>
      </c>
      <c r="T63" s="845">
        <f>+'FC - 3FS'!T81</f>
        <v>3245</v>
      </c>
      <c r="U63" s="162">
        <f>+'FC - 3FS'!U81</f>
        <v>3032</v>
      </c>
      <c r="V63" s="162">
        <f>+'FC - 3FS'!V81</f>
        <v>2824</v>
      </c>
      <c r="W63" s="162">
        <f>+'FC - 3FS'!W81</f>
        <v>2618</v>
      </c>
      <c r="X63" s="845">
        <f>+'FC - 3FS'!X81</f>
        <v>2445</v>
      </c>
      <c r="Y63" s="162">
        <f>+'FC - 3FS'!Y81</f>
        <v>2978</v>
      </c>
      <c r="Z63" s="162">
        <f>+'FC - 3FS'!Z81</f>
        <v>2762</v>
      </c>
      <c r="AA63" s="162">
        <f>+'FC - 3FS'!AA81</f>
        <v>2512</v>
      </c>
      <c r="AB63" s="845">
        <f>+'FC - 3FS'!AB81</f>
        <v>2618</v>
      </c>
      <c r="AC63" s="1305">
        <f>+'FC - 3FS'!AC81</f>
        <v>2438</v>
      </c>
      <c r="AD63" s="1305">
        <f>+'FC - 3FS'!AD81</f>
        <v>4117</v>
      </c>
      <c r="AE63" s="554">
        <f t="shared" ref="AE63:AI63" si="341">+AE60-AE61</f>
        <v>4182.4810555432196</v>
      </c>
      <c r="AF63" s="1180">
        <f t="shared" si="341"/>
        <v>4249.0035899873474</v>
      </c>
      <c r="AG63" s="554">
        <f t="shared" si="341"/>
        <v>4316.5841680974554</v>
      </c>
      <c r="AH63" s="554">
        <f t="shared" si="341"/>
        <v>4385.2396181018703</v>
      </c>
      <c r="AI63" s="901">
        <f t="shared" si="341"/>
        <v>4454.9870358825865</v>
      </c>
      <c r="AK63" s="162">
        <f>+'FC - 3FS'!AK81</f>
        <v>115</v>
      </c>
      <c r="AL63" s="162">
        <f>+'FC - 3FS'!AL81</f>
        <v>5298</v>
      </c>
      <c r="AM63" s="162">
        <f>+'FC - 3FS'!AM81</f>
        <v>4733</v>
      </c>
      <c r="AN63" s="162">
        <f>+'FC - 3FS'!AN81</f>
        <v>3508</v>
      </c>
      <c r="AO63" s="162">
        <f>+'FC - 3FS'!AO81</f>
        <v>2618</v>
      </c>
      <c r="AP63" s="162">
        <f>+'FC - 3FS'!AP81</f>
        <v>2512</v>
      </c>
      <c r="AQ63" s="554">
        <f t="shared" si="330"/>
        <v>4182.4810555432196</v>
      </c>
      <c r="AR63" s="554">
        <f t="shared" si="330"/>
        <v>4454.9870358825865</v>
      </c>
      <c r="AS63" s="554">
        <f t="shared" ref="AS63" si="342">+AS60-AS61</f>
        <v>4745.2479105859966</v>
      </c>
    </row>
    <row r="64" spans="2:45" x14ac:dyDescent="0.2">
      <c r="D64" s="162"/>
      <c r="E64" s="163"/>
      <c r="F64" s="163"/>
      <c r="G64" s="163"/>
      <c r="H64" s="848"/>
      <c r="I64" s="163"/>
      <c r="J64" s="163"/>
      <c r="K64" s="163"/>
      <c r="L64" s="848"/>
      <c r="M64" s="163"/>
      <c r="N64" s="163"/>
      <c r="O64" s="163"/>
      <c r="P64" s="848"/>
      <c r="Q64" s="163"/>
      <c r="R64" s="163"/>
      <c r="S64" s="163"/>
      <c r="T64" s="848"/>
      <c r="U64" s="163"/>
      <c r="V64" s="163"/>
      <c r="W64" s="163"/>
      <c r="X64" s="848"/>
      <c r="Y64" s="163"/>
      <c r="Z64" s="163"/>
      <c r="AA64" s="163"/>
      <c r="AB64" s="848"/>
      <c r="AC64" s="1307"/>
      <c r="AD64" s="1307"/>
      <c r="AE64" s="554"/>
      <c r="AF64" s="1180"/>
      <c r="AG64" s="554"/>
      <c r="AH64" s="554"/>
      <c r="AI64" s="901"/>
      <c r="AK64" s="162"/>
      <c r="AL64" s="162"/>
      <c r="AM64" s="162"/>
      <c r="AN64" s="162"/>
      <c r="AO64" s="162"/>
      <c r="AP64" s="162"/>
      <c r="AQ64" s="371"/>
      <c r="AR64" s="371"/>
      <c r="AS64" s="371"/>
    </row>
    <row r="65" spans="2:45" x14ac:dyDescent="0.2">
      <c r="B65" s="3" t="s">
        <v>50</v>
      </c>
      <c r="D65" s="161">
        <f t="shared" ref="D65:X65" si="343">+D66+D67</f>
        <v>3475</v>
      </c>
      <c r="E65" s="161">
        <f t="shared" si="343"/>
        <v>3437</v>
      </c>
      <c r="F65" s="161">
        <f t="shared" si="343"/>
        <v>3536</v>
      </c>
      <c r="G65" s="161">
        <f t="shared" si="343"/>
        <v>4196</v>
      </c>
      <c r="H65" s="632">
        <f t="shared" si="343"/>
        <v>4908</v>
      </c>
      <c r="I65" s="161">
        <f t="shared" si="343"/>
        <v>6822</v>
      </c>
      <c r="J65" s="161">
        <f t="shared" si="343"/>
        <v>5408</v>
      </c>
      <c r="K65" s="161">
        <f t="shared" si="343"/>
        <v>5275</v>
      </c>
      <c r="L65" s="632">
        <f t="shared" si="343"/>
        <v>13910</v>
      </c>
      <c r="M65" s="161">
        <f t="shared" si="343"/>
        <v>13908</v>
      </c>
      <c r="N65" s="161">
        <f t="shared" si="343"/>
        <v>4628</v>
      </c>
      <c r="O65" s="161">
        <f t="shared" si="343"/>
        <v>5237</v>
      </c>
      <c r="P65" s="632">
        <f t="shared" si="343"/>
        <v>7967</v>
      </c>
      <c r="Q65" s="161">
        <f t="shared" si="343"/>
        <v>5144</v>
      </c>
      <c r="R65" s="161">
        <f t="shared" si="343"/>
        <v>6086</v>
      </c>
      <c r="S65" s="161">
        <f t="shared" si="343"/>
        <v>6562</v>
      </c>
      <c r="T65" s="632">
        <f t="shared" si="343"/>
        <v>6752</v>
      </c>
      <c r="U65" s="161">
        <f t="shared" si="343"/>
        <v>6216</v>
      </c>
      <c r="V65" s="161">
        <f t="shared" si="343"/>
        <v>6518</v>
      </c>
      <c r="W65" s="161">
        <f t="shared" si="343"/>
        <v>6581</v>
      </c>
      <c r="X65" s="632">
        <f t="shared" si="343"/>
        <v>6039</v>
      </c>
      <c r="Y65" s="161">
        <f t="shared" ref="Y65:AD65" si="344">+Y66+Y67</f>
        <v>7256</v>
      </c>
      <c r="Z65" s="161">
        <f t="shared" si="344"/>
        <v>7312</v>
      </c>
      <c r="AA65" s="161">
        <f t="shared" si="344"/>
        <v>6178</v>
      </c>
      <c r="AB65" s="632">
        <f t="shared" si="344"/>
        <v>8199</v>
      </c>
      <c r="AC65" s="612">
        <f t="shared" si="344"/>
        <v>11623</v>
      </c>
      <c r="AD65" s="612">
        <f t="shared" si="344"/>
        <v>15074</v>
      </c>
      <c r="AE65" s="554">
        <f t="shared" ref="AE65:AI65" si="345">+AD65-AE68+AE70</f>
        <v>15074</v>
      </c>
      <c r="AF65" s="1180">
        <f t="shared" si="345"/>
        <v>15074</v>
      </c>
      <c r="AG65" s="554">
        <f t="shared" si="345"/>
        <v>15074</v>
      </c>
      <c r="AH65" s="554">
        <f t="shared" si="345"/>
        <v>15074</v>
      </c>
      <c r="AI65" s="901">
        <f t="shared" si="345"/>
        <v>15074</v>
      </c>
      <c r="AK65" s="163">
        <f>+AK66+AK67</f>
        <v>4196</v>
      </c>
      <c r="AL65" s="163">
        <f t="shared" ref="AL65:AR65" si="346">+AL66+AL67</f>
        <v>5275</v>
      </c>
      <c r="AM65" s="163">
        <f t="shared" si="346"/>
        <v>5237</v>
      </c>
      <c r="AN65" s="163">
        <f t="shared" si="346"/>
        <v>6562</v>
      </c>
      <c r="AO65" s="163">
        <f t="shared" si="346"/>
        <v>6581</v>
      </c>
      <c r="AP65" s="163">
        <f t="shared" ref="AP65" si="347">+AP66+AP67</f>
        <v>6178</v>
      </c>
      <c r="AQ65" s="554">
        <f t="shared" si="346"/>
        <v>15074</v>
      </c>
      <c r="AR65" s="554">
        <f t="shared" si="346"/>
        <v>15074</v>
      </c>
      <c r="AS65" s="379">
        <f>+AR65+AS70-AS68</f>
        <v>15074</v>
      </c>
    </row>
    <row r="66" spans="2:45" x14ac:dyDescent="0.2">
      <c r="B66" s="2" t="s">
        <v>42</v>
      </c>
      <c r="D66" s="162">
        <f>'FC - 3FS'!D74</f>
        <v>1814</v>
      </c>
      <c r="E66" s="162">
        <f>'FC - 3FS'!E74</f>
        <v>1730</v>
      </c>
      <c r="F66" s="162">
        <f>'FC - 3FS'!F74</f>
        <v>1737</v>
      </c>
      <c r="G66" s="162">
        <f>'FC - 3FS'!G74</f>
        <v>2305</v>
      </c>
      <c r="H66" s="845">
        <f>'FC - 3FS'!H74</f>
        <v>2882</v>
      </c>
      <c r="I66" s="162">
        <f>'FC - 3FS'!I74</f>
        <v>4496</v>
      </c>
      <c r="J66" s="162">
        <f>'FC - 3FS'!J74</f>
        <v>2889</v>
      </c>
      <c r="K66" s="162">
        <f>'FC - 3FS'!K74</f>
        <v>2496</v>
      </c>
      <c r="L66" s="845">
        <f>'FC - 3FS'!L74</f>
        <v>1770</v>
      </c>
      <c r="M66" s="162">
        <f>'FC - 3FS'!M74</f>
        <v>1642</v>
      </c>
      <c r="N66" s="162">
        <f>'FC - 3FS'!N74</f>
        <v>1576</v>
      </c>
      <c r="O66" s="162">
        <f>'FC - 3FS'!O74</f>
        <v>2005</v>
      </c>
      <c r="P66" s="845">
        <f>'FC - 3FS'!P74</f>
        <v>1691</v>
      </c>
      <c r="Q66" s="162">
        <f>'FC - 3FS'!Q74</f>
        <v>1711</v>
      </c>
      <c r="R66" s="162">
        <f>'FC - 3FS'!R74</f>
        <v>2209</v>
      </c>
      <c r="S66" s="162">
        <f>'FC - 3FS'!S74</f>
        <v>2435</v>
      </c>
      <c r="T66" s="845">
        <f>'FC - 3FS'!T74</f>
        <v>2543</v>
      </c>
      <c r="U66" s="162">
        <f>'FC - 3FS'!U74</f>
        <v>2032</v>
      </c>
      <c r="V66" s="162">
        <f>'FC - 3FS'!V74</f>
        <v>2272</v>
      </c>
      <c r="W66" s="162">
        <f>'FC - 3FS'!W74</f>
        <v>2352</v>
      </c>
      <c r="X66" s="845">
        <f>'FC - 3FS'!X74</f>
        <v>2039</v>
      </c>
      <c r="Y66" s="162">
        <f>'FC - 3FS'!Y74</f>
        <v>2163</v>
      </c>
      <c r="Z66" s="162">
        <f>'FC - 3FS'!Z74</f>
        <v>2154</v>
      </c>
      <c r="AA66" s="162">
        <f>'FC - 3FS'!AA74</f>
        <v>1853</v>
      </c>
      <c r="AB66" s="845">
        <f>'FC - 3FS'!AB74</f>
        <v>3835</v>
      </c>
      <c r="AC66" s="1305">
        <f>'FC - 3FS'!AC74</f>
        <v>4874</v>
      </c>
      <c r="AD66" s="1305">
        <f>'FC - 3FS'!AD74</f>
        <v>5212</v>
      </c>
      <c r="AE66" s="554">
        <f t="shared" ref="AE66:AI66" si="348">+AE65*AD66/AD65</f>
        <v>5212</v>
      </c>
      <c r="AF66" s="1180">
        <f t="shared" si="348"/>
        <v>5212</v>
      </c>
      <c r="AG66" s="554">
        <f t="shared" si="348"/>
        <v>5212</v>
      </c>
      <c r="AH66" s="554">
        <f t="shared" si="348"/>
        <v>5212</v>
      </c>
      <c r="AI66" s="901">
        <f t="shared" si="348"/>
        <v>5212</v>
      </c>
      <c r="AK66" s="162">
        <f>'FC - 3FS'!AK74</f>
        <v>2305</v>
      </c>
      <c r="AL66" s="162">
        <f>'FC - 3FS'!AL74</f>
        <v>2496</v>
      </c>
      <c r="AM66" s="162">
        <f>'FC - 3FS'!AM74</f>
        <v>2005</v>
      </c>
      <c r="AN66" s="162">
        <f>'FC - 3FS'!AN74</f>
        <v>2435</v>
      </c>
      <c r="AO66" s="162">
        <f>'FC - 3FS'!AO74</f>
        <v>2352</v>
      </c>
      <c r="AP66" s="162">
        <f>'FC - 3FS'!AP74</f>
        <v>1853</v>
      </c>
      <c r="AQ66" s="554">
        <f t="shared" ref="AQ66:AR67" si="349">SUMIFS($D66:$AI66,$D$3:$AI$3,AQ$3,$D$2:$AI$2,4)</f>
        <v>5212</v>
      </c>
      <c r="AR66" s="554">
        <f t="shared" si="349"/>
        <v>5212</v>
      </c>
      <c r="AS66" s="524">
        <f>+AR66*AS65/AR65</f>
        <v>5212</v>
      </c>
    </row>
    <row r="67" spans="2:45" x14ac:dyDescent="0.2">
      <c r="B67" s="2" t="s">
        <v>449</v>
      </c>
      <c r="D67" s="162">
        <f>'FC - 3FS'!D83</f>
        <v>1661</v>
      </c>
      <c r="E67" s="162">
        <f>'FC - 3FS'!E83</f>
        <v>1707</v>
      </c>
      <c r="F67" s="162">
        <f>'FC - 3FS'!F83</f>
        <v>1799</v>
      </c>
      <c r="G67" s="162">
        <f>'FC - 3FS'!G83</f>
        <v>1891</v>
      </c>
      <c r="H67" s="845">
        <f>'FC - 3FS'!H83</f>
        <v>2026</v>
      </c>
      <c r="I67" s="162">
        <f>'FC - 3FS'!I83</f>
        <v>2326</v>
      </c>
      <c r="J67" s="162">
        <f>'FC - 3FS'!J83</f>
        <v>2519</v>
      </c>
      <c r="K67" s="162">
        <f>'FC - 3FS'!K83</f>
        <v>2779</v>
      </c>
      <c r="L67" s="845">
        <f>'FC - 3FS'!L83</f>
        <v>12140</v>
      </c>
      <c r="M67" s="162">
        <f>'FC - 3FS'!M83</f>
        <v>12266</v>
      </c>
      <c r="N67" s="162">
        <f>'FC - 3FS'!N83</f>
        <v>3052</v>
      </c>
      <c r="O67" s="162">
        <f>'FC - 3FS'!O83</f>
        <v>3232</v>
      </c>
      <c r="P67" s="845">
        <f>'FC - 3FS'!P83</f>
        <v>6276</v>
      </c>
      <c r="Q67" s="162">
        <f>'FC - 3FS'!Q83</f>
        <v>3433</v>
      </c>
      <c r="R67" s="162">
        <f>'FC - 3FS'!R83</f>
        <v>3877</v>
      </c>
      <c r="S67" s="162">
        <f>'FC - 3FS'!S83</f>
        <v>4127</v>
      </c>
      <c r="T67" s="845">
        <f>'FC - 3FS'!T83</f>
        <v>4209</v>
      </c>
      <c r="U67" s="162">
        <f>'FC - 3FS'!U83</f>
        <v>4184</v>
      </c>
      <c r="V67" s="162">
        <f>'FC - 3FS'!V83</f>
        <v>4246</v>
      </c>
      <c r="W67" s="162">
        <f>'FC - 3FS'!W83</f>
        <v>4229</v>
      </c>
      <c r="X67" s="845">
        <f>'FC - 3FS'!X83</f>
        <v>4000</v>
      </c>
      <c r="Y67" s="162">
        <f>'FC - 3FS'!Y83</f>
        <v>5093</v>
      </c>
      <c r="Z67" s="162">
        <f>'FC - 3FS'!Z83</f>
        <v>5158</v>
      </c>
      <c r="AA67" s="162">
        <f>'FC - 3FS'!AA83</f>
        <v>4325</v>
      </c>
      <c r="AB67" s="845">
        <f>'FC - 3FS'!AB83</f>
        <v>4364</v>
      </c>
      <c r="AC67" s="1305">
        <f>'FC - 3FS'!AC83</f>
        <v>6749</v>
      </c>
      <c r="AD67" s="1305">
        <f>'FC - 3FS'!AD83</f>
        <v>9862</v>
      </c>
      <c r="AE67" s="554">
        <f t="shared" ref="AE67:AI67" si="350">+AE65-AE66</f>
        <v>9862</v>
      </c>
      <c r="AF67" s="1180">
        <f t="shared" si="350"/>
        <v>9862</v>
      </c>
      <c r="AG67" s="554">
        <f t="shared" si="350"/>
        <v>9862</v>
      </c>
      <c r="AH67" s="554">
        <f t="shared" si="350"/>
        <v>9862</v>
      </c>
      <c r="AI67" s="901">
        <f t="shared" si="350"/>
        <v>9862</v>
      </c>
      <c r="AK67" s="162">
        <f>'FC - 3FS'!AK83</f>
        <v>1891</v>
      </c>
      <c r="AL67" s="162">
        <f>'FC - 3FS'!AL83</f>
        <v>2779</v>
      </c>
      <c r="AM67" s="162">
        <f>'FC - 3FS'!AM83</f>
        <v>3232</v>
      </c>
      <c r="AN67" s="162">
        <f>'FC - 3FS'!AN83</f>
        <v>4127</v>
      </c>
      <c r="AO67" s="162">
        <f>'FC - 3FS'!AO83</f>
        <v>4229</v>
      </c>
      <c r="AP67" s="162">
        <f>'FC - 3FS'!AP83</f>
        <v>4325</v>
      </c>
      <c r="AQ67" s="554">
        <f t="shared" si="349"/>
        <v>9862</v>
      </c>
      <c r="AR67" s="554">
        <f t="shared" si="349"/>
        <v>9862</v>
      </c>
      <c r="AS67" s="379">
        <f>+AS65-AS66</f>
        <v>9862</v>
      </c>
    </row>
    <row r="68" spans="2:45" x14ac:dyDescent="0.2">
      <c r="B68" s="155" t="s">
        <v>100</v>
      </c>
      <c r="D68" s="162">
        <f>'FC - 3FS'!D145</f>
        <v>1157</v>
      </c>
      <c r="E68" s="162">
        <f>'FC - 3FS'!E145</f>
        <v>839</v>
      </c>
      <c r="F68" s="162">
        <f>'FC - 3FS'!F145</f>
        <v>900</v>
      </c>
      <c r="G68" s="162">
        <f>'FC - 3FS'!G145</f>
        <v>980</v>
      </c>
      <c r="H68" s="845">
        <f>'FC - 3FS'!H145</f>
        <v>868</v>
      </c>
      <c r="I68" s="162">
        <f>'FC - 3FS'!I145</f>
        <v>602</v>
      </c>
      <c r="J68" s="162">
        <f>'FC - 3FS'!J145</f>
        <v>855</v>
      </c>
      <c r="K68" s="162">
        <f>'FC - 3FS'!K145</f>
        <v>809</v>
      </c>
      <c r="L68" s="845">
        <f>'FC - 3FS'!L145</f>
        <v>891</v>
      </c>
      <c r="M68" s="162">
        <f>'FC - 3FS'!M145</f>
        <v>1137</v>
      </c>
      <c r="N68" s="162">
        <f>'FC - 3FS'!N145</f>
        <v>1071</v>
      </c>
      <c r="O68" s="162">
        <f>'FC - 3FS'!O145</f>
        <v>1032</v>
      </c>
      <c r="P68" s="845">
        <f>'FC - 3FS'!P145</f>
        <v>1185</v>
      </c>
      <c r="Q68" s="162">
        <f>'FC - 3FS'!Q145</f>
        <v>1121</v>
      </c>
      <c r="R68" s="162">
        <f>'FC - 3FS'!R145</f>
        <v>1308</v>
      </c>
      <c r="S68" s="162">
        <f>'FC - 3FS'!S145</f>
        <v>1222</v>
      </c>
      <c r="T68" s="845">
        <f>'FC - 3FS'!T145</f>
        <v>1345</v>
      </c>
      <c r="U68" s="162">
        <f>'FC - 3FS'!U145</f>
        <v>1309</v>
      </c>
      <c r="V68" s="162">
        <f>'FC - 3FS'!V145</f>
        <v>1131</v>
      </c>
      <c r="W68" s="162">
        <f>'FC - 3FS'!W145</f>
        <v>1031</v>
      </c>
      <c r="X68" s="845">
        <f>'FC - 3FS'!X145</f>
        <v>890</v>
      </c>
      <c r="Y68" s="162">
        <f>'FC - 3FS'!Y145</f>
        <v>958</v>
      </c>
      <c r="Z68" s="162">
        <f>'FC - 3FS'!Z145</f>
        <v>984</v>
      </c>
      <c r="AA68" s="162">
        <f>'FC - 3FS'!AA145</f>
        <v>747</v>
      </c>
      <c r="AB68" s="845">
        <f>'FC - 3FS'!AB145</f>
        <v>0</v>
      </c>
      <c r="AC68" s="1305">
        <f>'FC - 3FS'!AC145</f>
        <v>0</v>
      </c>
      <c r="AD68" s="1305">
        <f>'FC - 3FS'!AD145</f>
        <v>0</v>
      </c>
      <c r="AE68" s="554">
        <f t="shared" ref="AE68:AI68" si="351">AE69*AD13</f>
        <v>0</v>
      </c>
      <c r="AF68" s="1180">
        <f t="shared" si="351"/>
        <v>0</v>
      </c>
      <c r="AG68" s="554">
        <f t="shared" si="351"/>
        <v>0</v>
      </c>
      <c r="AH68" s="554">
        <f t="shared" si="351"/>
        <v>0</v>
      </c>
      <c r="AI68" s="901">
        <f t="shared" si="351"/>
        <v>0</v>
      </c>
      <c r="AK68" s="162">
        <f>'FC - 3FS'!AK145</f>
        <v>3876</v>
      </c>
      <c r="AL68" s="162">
        <f>'FC - 3FS'!AL145</f>
        <v>3134</v>
      </c>
      <c r="AM68" s="162">
        <f>'FC - 3FS'!AM145</f>
        <v>4131</v>
      </c>
      <c r="AN68" s="162">
        <f>'FC - 3FS'!AN145</f>
        <v>4836</v>
      </c>
      <c r="AO68" s="162">
        <f>'FC - 3FS'!AO145</f>
        <v>4816</v>
      </c>
      <c r="AP68" s="162">
        <f>'FC - 3FS'!AP145</f>
        <v>3579</v>
      </c>
      <c r="AQ68" s="484">
        <f t="shared" ref="AQ68:AR68" si="352">SUMIFS($D68:$AI68,$D$3:$AI$3,AQ$3)</f>
        <v>0</v>
      </c>
      <c r="AR68" s="484">
        <f t="shared" si="352"/>
        <v>0</v>
      </c>
      <c r="AS68" s="554">
        <f>+AS69*AR13</f>
        <v>0</v>
      </c>
    </row>
    <row r="69" spans="2:45" x14ac:dyDescent="0.2">
      <c r="B69" s="166" t="s">
        <v>786</v>
      </c>
      <c r="D69" s="162"/>
      <c r="E69" s="262">
        <f t="shared" ref="E69:AD69" si="353">+E68/D13</f>
        <v>0.20324612403100775</v>
      </c>
      <c r="F69" s="262">
        <f t="shared" si="353"/>
        <v>0.22222222222222221</v>
      </c>
      <c r="G69" s="262">
        <f t="shared" si="353"/>
        <v>0.25166923472008218</v>
      </c>
      <c r="H69" s="852">
        <f t="shared" si="353"/>
        <v>0.20750657422902224</v>
      </c>
      <c r="I69" s="262">
        <f t="shared" si="353"/>
        <v>0.15955473098330242</v>
      </c>
      <c r="J69" s="262">
        <f t="shared" si="353"/>
        <v>0.18615284128020901</v>
      </c>
      <c r="K69" s="262">
        <f t="shared" si="353"/>
        <v>0.18054005802276277</v>
      </c>
      <c r="L69" s="852">
        <f t="shared" si="353"/>
        <v>0.15888017118402281</v>
      </c>
      <c r="M69" s="262">
        <f t="shared" si="353"/>
        <v>0.18756186077202244</v>
      </c>
      <c r="N69" s="262">
        <f t="shared" si="353"/>
        <v>0.16871455576559546</v>
      </c>
      <c r="O69" s="262">
        <f t="shared" si="353"/>
        <v>0.15669602186456119</v>
      </c>
      <c r="P69" s="852">
        <f t="shared" si="353"/>
        <v>0.15639435132638246</v>
      </c>
      <c r="Q69" s="262">
        <f t="shared" si="353"/>
        <v>0.14193466700430488</v>
      </c>
      <c r="R69" s="262">
        <f t="shared" si="353"/>
        <v>0.16912335143522111</v>
      </c>
      <c r="S69" s="262">
        <f t="shared" si="353"/>
        <v>0.16159746098915631</v>
      </c>
      <c r="T69" s="852">
        <f t="shared" si="353"/>
        <v>0.17538140565914723</v>
      </c>
      <c r="U69" s="262">
        <f t="shared" si="353"/>
        <v>0.18025337372624622</v>
      </c>
      <c r="V69" s="262">
        <f t="shared" si="353"/>
        <v>0.1676797627872498</v>
      </c>
      <c r="W69" s="262">
        <f t="shared" si="353"/>
        <v>0.16238777760277209</v>
      </c>
      <c r="X69" s="852">
        <f t="shared" si="353"/>
        <v>0.13696522006771314</v>
      </c>
      <c r="Y69" s="262">
        <f t="shared" si="353"/>
        <v>0.16054968996145466</v>
      </c>
      <c r="Z69" s="262">
        <f t="shared" si="353"/>
        <v>0.17710583153347731</v>
      </c>
      <c r="AA69" s="262">
        <f t="shared" si="353"/>
        <v>0.13970450720029923</v>
      </c>
      <c r="AB69" s="852">
        <f t="shared" si="353"/>
        <v>0</v>
      </c>
      <c r="AC69" s="1308">
        <f t="shared" si="353"/>
        <v>0</v>
      </c>
      <c r="AD69" s="1308">
        <f t="shared" si="353"/>
        <v>0</v>
      </c>
      <c r="AE69" s="1223">
        <f t="shared" ref="AE69:AI69" si="354">+AD69</f>
        <v>0</v>
      </c>
      <c r="AF69" s="1240">
        <f t="shared" si="354"/>
        <v>0</v>
      </c>
      <c r="AG69" s="1223">
        <f t="shared" si="354"/>
        <v>0</v>
      </c>
      <c r="AH69" s="1223">
        <f t="shared" si="354"/>
        <v>0</v>
      </c>
      <c r="AI69" s="1241">
        <f t="shared" si="354"/>
        <v>0</v>
      </c>
      <c r="AK69" s="173"/>
      <c r="AL69" s="173">
        <f>+AL68/AK13</f>
        <v>0.74922304566100884</v>
      </c>
      <c r="AM69" s="173">
        <f t="shared" ref="AM69:AP69" si="355">+AM68/AL13</f>
        <v>0.73662624821683309</v>
      </c>
      <c r="AN69" s="173">
        <f t="shared" si="355"/>
        <v>0.63824732743830015</v>
      </c>
      <c r="AO69" s="173">
        <f t="shared" si="355"/>
        <v>0.62798278784717698</v>
      </c>
      <c r="AP69" s="173">
        <f t="shared" si="355"/>
        <v>0.55078485687903966</v>
      </c>
      <c r="AQ69" s="1218">
        <f t="shared" ref="AQ69" si="356">+AQ68/AP13</f>
        <v>0</v>
      </c>
      <c r="AR69" s="1218">
        <f t="shared" ref="AR69" si="357">+AR68/AQ13</f>
        <v>0</v>
      </c>
      <c r="AS69" s="1223">
        <f t="shared" ref="AS69" si="358">+AR69</f>
        <v>0</v>
      </c>
    </row>
    <row r="70" spans="2:45" x14ac:dyDescent="0.2">
      <c r="B70" s="155" t="s">
        <v>787</v>
      </c>
      <c r="D70" s="162"/>
      <c r="E70" s="163">
        <f>+E65+E68-D65</f>
        <v>801</v>
      </c>
      <c r="F70" s="163">
        <f t="shared" ref="F70:AD70" si="359">+F65+F68-E65</f>
        <v>999</v>
      </c>
      <c r="G70" s="163">
        <f t="shared" si="359"/>
        <v>1640</v>
      </c>
      <c r="H70" s="848">
        <f t="shared" si="359"/>
        <v>1580</v>
      </c>
      <c r="I70" s="163">
        <f t="shared" si="359"/>
        <v>2516</v>
      </c>
      <c r="J70" s="163">
        <f t="shared" si="359"/>
        <v>-559</v>
      </c>
      <c r="K70" s="163">
        <f t="shared" si="359"/>
        <v>676</v>
      </c>
      <c r="L70" s="848">
        <f t="shared" si="359"/>
        <v>9526</v>
      </c>
      <c r="M70" s="163">
        <f t="shared" si="359"/>
        <v>1135</v>
      </c>
      <c r="N70" s="163">
        <f t="shared" si="359"/>
        <v>-8209</v>
      </c>
      <c r="O70" s="163">
        <f t="shared" si="359"/>
        <v>1641</v>
      </c>
      <c r="P70" s="848">
        <f t="shared" si="359"/>
        <v>3915</v>
      </c>
      <c r="Q70" s="163">
        <f t="shared" si="359"/>
        <v>-1702</v>
      </c>
      <c r="R70" s="163">
        <f t="shared" si="359"/>
        <v>2250</v>
      </c>
      <c r="S70" s="163">
        <f t="shared" si="359"/>
        <v>1698</v>
      </c>
      <c r="T70" s="848">
        <f t="shared" si="359"/>
        <v>1535</v>
      </c>
      <c r="U70" s="163">
        <f t="shared" si="359"/>
        <v>773</v>
      </c>
      <c r="V70" s="163">
        <f t="shared" si="359"/>
        <v>1433</v>
      </c>
      <c r="W70" s="163">
        <f t="shared" si="359"/>
        <v>1094</v>
      </c>
      <c r="X70" s="848">
        <f t="shared" si="359"/>
        <v>348</v>
      </c>
      <c r="Y70" s="163">
        <f t="shared" si="359"/>
        <v>2175</v>
      </c>
      <c r="Z70" s="163">
        <f t="shared" si="359"/>
        <v>1040</v>
      </c>
      <c r="AA70" s="163">
        <f t="shared" si="359"/>
        <v>-387</v>
      </c>
      <c r="AB70" s="848">
        <f t="shared" si="359"/>
        <v>2021</v>
      </c>
      <c r="AC70" s="1307">
        <f t="shared" si="359"/>
        <v>3424</v>
      </c>
      <c r="AD70" s="1307">
        <f t="shared" si="359"/>
        <v>3451</v>
      </c>
      <c r="AE70" s="332"/>
      <c r="AF70" s="1233">
        <v>0</v>
      </c>
      <c r="AG70" s="332">
        <f t="shared" ref="AG70:AI70" si="360">+AF70</f>
        <v>0</v>
      </c>
      <c r="AH70" s="332">
        <f t="shared" si="360"/>
        <v>0</v>
      </c>
      <c r="AI70" s="1208">
        <f t="shared" si="360"/>
        <v>0</v>
      </c>
      <c r="AK70" s="173"/>
      <c r="AL70" s="311">
        <f>+AL65+AL68-AK65</f>
        <v>4213</v>
      </c>
      <c r="AM70" s="311">
        <f t="shared" ref="AM70:AP70" si="361">+AM65+AM68-AL65</f>
        <v>4093</v>
      </c>
      <c r="AN70" s="311">
        <f t="shared" si="361"/>
        <v>6161</v>
      </c>
      <c r="AO70" s="311">
        <f t="shared" si="361"/>
        <v>4835</v>
      </c>
      <c r="AP70" s="311">
        <f t="shared" si="361"/>
        <v>3176</v>
      </c>
      <c r="AQ70" s="484">
        <f t="shared" ref="AQ70:AR70" si="362">SUMIFS($D70:$AI70,$D$3:$AI$3,AQ$3)</f>
        <v>8896</v>
      </c>
      <c r="AR70" s="484">
        <f t="shared" si="362"/>
        <v>0</v>
      </c>
      <c r="AS70" s="332">
        <f>+AR70*1.1</f>
        <v>0</v>
      </c>
    </row>
    <row r="71" spans="2:45" x14ac:dyDescent="0.2">
      <c r="H71" s="594"/>
      <c r="L71" s="594"/>
      <c r="P71" s="594"/>
      <c r="T71" s="594"/>
      <c r="X71" s="594"/>
      <c r="AB71" s="594"/>
      <c r="AE71" s="370"/>
      <c r="AF71" s="1229"/>
      <c r="AG71" s="370"/>
      <c r="AH71" s="370"/>
      <c r="AI71" s="913"/>
      <c r="AQ71" s="370"/>
      <c r="AR71" s="370"/>
      <c r="AS71" s="370"/>
    </row>
    <row r="72" spans="2:45" x14ac:dyDescent="0.2">
      <c r="B72" s="236" t="s">
        <v>302</v>
      </c>
      <c r="C72" s="172"/>
      <c r="D72" s="172"/>
      <c r="E72" s="172"/>
      <c r="F72" s="172"/>
      <c r="G72" s="172"/>
      <c r="H72" s="846"/>
      <c r="I72" s="172"/>
      <c r="J72" s="172"/>
      <c r="K72" s="172"/>
      <c r="L72" s="846"/>
      <c r="M72" s="172"/>
      <c r="N72" s="172"/>
      <c r="O72" s="172"/>
      <c r="P72" s="846"/>
      <c r="Q72" s="172"/>
      <c r="R72" s="172"/>
      <c r="S72" s="172"/>
      <c r="T72" s="846"/>
      <c r="U72" s="172"/>
      <c r="V72" s="172"/>
      <c r="W72" s="172"/>
      <c r="X72" s="846"/>
      <c r="Y72" s="172"/>
      <c r="Z72" s="172"/>
      <c r="AA72" s="172"/>
      <c r="AB72" s="846"/>
      <c r="AC72" s="172"/>
      <c r="AD72" s="172"/>
      <c r="AE72" s="172"/>
      <c r="AF72" s="846"/>
      <c r="AG72" s="172"/>
      <c r="AH72" s="172"/>
      <c r="AI72" s="864"/>
      <c r="AJ72" s="172"/>
      <c r="AK72" s="172"/>
      <c r="AL72" s="172"/>
      <c r="AM72" s="172"/>
      <c r="AN72" s="172"/>
      <c r="AO72" s="172"/>
      <c r="AP72" s="172"/>
      <c r="AQ72" s="172"/>
      <c r="AR72" s="172"/>
      <c r="AS72" s="172"/>
    </row>
    <row r="73" spans="2:45" x14ac:dyDescent="0.2">
      <c r="B73" s="2" t="s">
        <v>55</v>
      </c>
      <c r="D73" s="162">
        <f>+'FC - 3FS'!D88</f>
        <v>250</v>
      </c>
      <c r="E73" s="162">
        <f>+'FC - 3FS'!E88</f>
        <v>300</v>
      </c>
      <c r="F73" s="162">
        <f>+'FC - 3FS'!F88</f>
        <v>475</v>
      </c>
      <c r="G73" s="162">
        <f>+'FC - 3FS'!G88</f>
        <v>25</v>
      </c>
      <c r="H73" s="845">
        <f>+'FC - 3FS'!H88</f>
        <v>0</v>
      </c>
      <c r="I73" s="162">
        <f>+'FC - 3FS'!I88</f>
        <v>3818</v>
      </c>
      <c r="J73" s="162">
        <f>+'FC - 3FS'!J88</f>
        <v>3713</v>
      </c>
      <c r="K73" s="162">
        <f>+'FC - 3FS'!K88</f>
        <v>4579</v>
      </c>
      <c r="L73" s="845">
        <f>+'FC - 3FS'!L88</f>
        <v>4423</v>
      </c>
      <c r="M73" s="162">
        <f>+'FC - 3FS'!M88</f>
        <v>4648</v>
      </c>
      <c r="N73" s="162">
        <f>+'FC - 3FS'!N88</f>
        <v>2096</v>
      </c>
      <c r="O73" s="162">
        <f>+'FC - 3FS'!O88</f>
        <v>3378</v>
      </c>
      <c r="P73" s="845">
        <f>+'FC - 3FS'!P88</f>
        <v>2865</v>
      </c>
      <c r="Q73" s="162">
        <f>+'FC - 3FS'!Q88</f>
        <v>2942</v>
      </c>
      <c r="R73" s="162">
        <f>+'FC - 3FS'!R88</f>
        <v>7398</v>
      </c>
      <c r="S73" s="162">
        <f>+'FC - 3FS'!S88</f>
        <v>5164</v>
      </c>
      <c r="T73" s="845">
        <f>+'FC - 3FS'!T88</f>
        <v>5215</v>
      </c>
      <c r="U73" s="162">
        <f>+'FC - 3FS'!U88</f>
        <v>7731</v>
      </c>
      <c r="V73" s="162">
        <f>+'FC - 3FS'!V88</f>
        <v>3437</v>
      </c>
      <c r="W73" s="162">
        <f>+'FC - 3FS'!W88</f>
        <v>3619</v>
      </c>
      <c r="X73" s="845">
        <f>+'FC - 3FS'!X88</f>
        <v>5356</v>
      </c>
      <c r="Y73" s="162">
        <f>+'FC - 3FS'!Y88</f>
        <v>5867</v>
      </c>
      <c r="Z73" s="162">
        <f>+'FC - 3FS'!Z88</f>
        <v>5851</v>
      </c>
      <c r="AA73" s="162">
        <f>+'FC - 3FS'!AA88</f>
        <v>4068</v>
      </c>
      <c r="AB73" s="845">
        <f>+'FC - 3FS'!AB88</f>
        <v>8214</v>
      </c>
      <c r="AC73" s="1305">
        <f>+'FC - 3FS'!AC88</f>
        <v>6408</v>
      </c>
      <c r="AD73" s="1305">
        <f>+'FC - 3FS'!AD88</f>
        <v>6333</v>
      </c>
      <c r="AE73" s="554">
        <f t="shared" ref="AE73:AI73" si="363">+AD73+AD74+AE85+AE86-AE74</f>
        <v>6333</v>
      </c>
      <c r="AF73" s="1180">
        <f t="shared" si="363"/>
        <v>6333</v>
      </c>
      <c r="AG73" s="554">
        <f t="shared" si="363"/>
        <v>6333</v>
      </c>
      <c r="AH73" s="554">
        <f t="shared" si="363"/>
        <v>6333</v>
      </c>
      <c r="AI73" s="901">
        <f t="shared" si="363"/>
        <v>6333</v>
      </c>
      <c r="AK73" s="162">
        <f>+'FC - 3FS'!AK88</f>
        <v>25</v>
      </c>
      <c r="AL73" s="162">
        <f>+'FC - 3FS'!AL88</f>
        <v>4579</v>
      </c>
      <c r="AM73" s="162">
        <f>+'FC - 3FS'!AM88</f>
        <v>3378</v>
      </c>
      <c r="AN73" s="162">
        <f>+'FC - 3FS'!AN88</f>
        <v>5164</v>
      </c>
      <c r="AO73" s="162">
        <f>+'FC - 3FS'!AO88</f>
        <v>3619</v>
      </c>
      <c r="AP73" s="162">
        <f>+'FC - 3FS'!AP88</f>
        <v>4068</v>
      </c>
      <c r="AQ73" s="554">
        <f t="shared" ref="AQ73:AR74" si="364">SUMIFS($D73:$AI73,$D$3:$AI$3,AQ$3,$D$2:$AI$2,4)</f>
        <v>6333</v>
      </c>
      <c r="AR73" s="554">
        <f t="shared" si="364"/>
        <v>6333</v>
      </c>
      <c r="AS73" s="554">
        <f t="shared" ref="AS73" si="365">+AR73+AR74+AS85+AS86-AS74</f>
        <v>6333</v>
      </c>
    </row>
    <row r="74" spans="2:45" x14ac:dyDescent="0.2">
      <c r="B74" s="2" t="s">
        <v>56</v>
      </c>
      <c r="D74" s="162">
        <f>+'FC - 3FS'!D89</f>
        <v>598</v>
      </c>
      <c r="E74" s="162">
        <f>+'FC - 3FS'!E89</f>
        <v>0</v>
      </c>
      <c r="F74" s="162">
        <f>+'FC - 3FS'!F89</f>
        <v>0</v>
      </c>
      <c r="G74" s="162">
        <f>+'FC - 3FS'!G89</f>
        <v>0</v>
      </c>
      <c r="H74" s="845">
        <f>+'FC - 3FS'!H89</f>
        <v>2000</v>
      </c>
      <c r="I74" s="162">
        <f>+'FC - 3FS'!I89</f>
        <v>1235</v>
      </c>
      <c r="J74" s="162">
        <f>+'FC - 3FS'!J89</f>
        <v>0</v>
      </c>
      <c r="K74" s="162">
        <f>+'FC - 3FS'!K89</f>
        <v>0</v>
      </c>
      <c r="L74" s="845">
        <f>+'FC - 3FS'!L89</f>
        <v>0</v>
      </c>
      <c r="M74" s="162">
        <f>+'FC - 3FS'!M89</f>
        <v>2235</v>
      </c>
      <c r="N74" s="162">
        <f>+'FC - 3FS'!N89</f>
        <v>2240</v>
      </c>
      <c r="O74" s="162">
        <f>+'FC - 3FS'!O89</f>
        <v>2245</v>
      </c>
      <c r="P74" s="845">
        <f>+'FC - 3FS'!P89</f>
        <v>1250</v>
      </c>
      <c r="Q74" s="162">
        <f>+'FC - 3FS'!Q89</f>
        <v>0</v>
      </c>
      <c r="R74" s="162">
        <f>+'FC - 3FS'!R89</f>
        <v>0</v>
      </c>
      <c r="S74" s="162">
        <f>+'FC - 3FS'!S89</f>
        <v>0</v>
      </c>
      <c r="T74" s="845">
        <f>+'FC - 3FS'!T89</f>
        <v>0</v>
      </c>
      <c r="U74" s="162">
        <f>+'FC - 3FS'!U89</f>
        <v>0</v>
      </c>
      <c r="V74" s="162">
        <f>+'FC - 3FS'!V89</f>
        <v>0</v>
      </c>
      <c r="W74" s="162">
        <f>+'FC - 3FS'!W89</f>
        <v>0</v>
      </c>
      <c r="X74" s="845">
        <f>+'FC - 3FS'!X89</f>
        <v>0</v>
      </c>
      <c r="Y74" s="162">
        <f>+'FC - 3FS'!Y89</f>
        <v>0</v>
      </c>
      <c r="Z74" s="162">
        <f>+'FC - 3FS'!Z89</f>
        <v>0</v>
      </c>
      <c r="AA74" s="162">
        <f>+'FC - 3FS'!AA89</f>
        <v>0</v>
      </c>
      <c r="AB74" s="845">
        <f>+'FC - 3FS'!AB89</f>
        <v>0</v>
      </c>
      <c r="AC74" s="1305">
        <f>+'FC - 3FS'!AC89</f>
        <v>0</v>
      </c>
      <c r="AD74" s="1305">
        <f>+'FC - 3FS'!AD89</f>
        <v>0</v>
      </c>
      <c r="AE74" s="332">
        <f t="shared" ref="AE74:AI74" si="366">AD74</f>
        <v>0</v>
      </c>
      <c r="AF74" s="1233">
        <f t="shared" si="366"/>
        <v>0</v>
      </c>
      <c r="AG74" s="332">
        <f t="shared" si="366"/>
        <v>0</v>
      </c>
      <c r="AH74" s="332">
        <f t="shared" si="366"/>
        <v>0</v>
      </c>
      <c r="AI74" s="1208">
        <f t="shared" si="366"/>
        <v>0</v>
      </c>
      <c r="AK74" s="162">
        <f>+'FC - 3FS'!AK89</f>
        <v>0</v>
      </c>
      <c r="AL74" s="162">
        <f>+'FC - 3FS'!AL89</f>
        <v>0</v>
      </c>
      <c r="AM74" s="162">
        <f>+'FC - 3FS'!AM89</f>
        <v>2245</v>
      </c>
      <c r="AN74" s="162">
        <f>+'FC - 3FS'!AN89</f>
        <v>0</v>
      </c>
      <c r="AO74" s="162">
        <f>+'FC - 3FS'!AO89</f>
        <v>0</v>
      </c>
      <c r="AP74" s="162">
        <f>+'FC - 3FS'!AP89</f>
        <v>0</v>
      </c>
      <c r="AQ74" s="554">
        <f t="shared" si="364"/>
        <v>0</v>
      </c>
      <c r="AR74" s="554">
        <f t="shared" si="364"/>
        <v>0</v>
      </c>
      <c r="AS74" s="332">
        <f>+AR74</f>
        <v>0</v>
      </c>
    </row>
    <row r="75" spans="2:45" x14ac:dyDescent="0.2">
      <c r="B75" s="237" t="s">
        <v>651</v>
      </c>
      <c r="D75" s="241">
        <f>(D73+D74)/D78</f>
        <v>3.2887337599379486E-2</v>
      </c>
      <c r="E75" s="241">
        <f t="shared" ref="E75:Y75" si="367">(E73+E74)/E78</f>
        <v>1.1886366337810532E-2</v>
      </c>
      <c r="F75" s="241">
        <f t="shared" si="367"/>
        <v>1.8688279497973796E-2</v>
      </c>
      <c r="G75" s="241">
        <f t="shared" si="367"/>
        <v>1.0012415395089912E-3</v>
      </c>
      <c r="H75" s="849">
        <f t="shared" si="367"/>
        <v>8.0173174055960875E-2</v>
      </c>
      <c r="I75" s="241">
        <f t="shared" si="367"/>
        <v>6.9656199167378904E-2</v>
      </c>
      <c r="J75" s="241">
        <f t="shared" si="367"/>
        <v>5.5609639203822135E-2</v>
      </c>
      <c r="K75" s="241">
        <f t="shared" si="367"/>
        <v>6.4379613356766258E-2</v>
      </c>
      <c r="L75" s="849">
        <f t="shared" si="367"/>
        <v>5.8552535776221555E-2</v>
      </c>
      <c r="M75" s="241">
        <f t="shared" si="367"/>
        <v>9.1444134449315803E-2</v>
      </c>
      <c r="N75" s="241">
        <f t="shared" si="367"/>
        <v>5.9827526733356333E-2</v>
      </c>
      <c r="O75" s="241">
        <f t="shared" si="367"/>
        <v>7.578882104780775E-2</v>
      </c>
      <c r="P75" s="849">
        <f t="shared" si="367"/>
        <v>5.6782116737960533E-2</v>
      </c>
      <c r="Q75" s="241">
        <f t="shared" si="367"/>
        <v>4.1443040471058894E-2</v>
      </c>
      <c r="R75" s="241">
        <f t="shared" si="367"/>
        <v>0.10034315786618199</v>
      </c>
      <c r="S75" s="241">
        <f t="shared" si="367"/>
        <v>7.1762090050027788E-2</v>
      </c>
      <c r="T75" s="849">
        <f t="shared" si="367"/>
        <v>6.977055321426183E-2</v>
      </c>
      <c r="U75" s="241">
        <f t="shared" si="367"/>
        <v>9.9278302855968767E-2</v>
      </c>
      <c r="V75" s="241">
        <f t="shared" si="367"/>
        <v>4.5645302664081386E-2</v>
      </c>
      <c r="W75" s="241">
        <f t="shared" si="367"/>
        <v>4.8241755312058439E-2</v>
      </c>
      <c r="X75" s="849">
        <f t="shared" si="367"/>
        <v>6.8479664505900553E-2</v>
      </c>
      <c r="Y75" s="241">
        <f t="shared" si="367"/>
        <v>7.5638810819173355E-2</v>
      </c>
      <c r="Z75" s="241">
        <f t="shared" ref="Z75:AA75" si="368">(Z73+Z74)/Z78</f>
        <v>7.32565418805559E-2</v>
      </c>
      <c r="AA75" s="241">
        <f t="shared" si="368"/>
        <v>5.1977256755893438E-2</v>
      </c>
      <c r="AB75" s="849">
        <f t="shared" ref="AB75" si="369">(AB73+AB74)/AB78</f>
        <v>9.5796790445978733E-2</v>
      </c>
      <c r="AC75" s="1309">
        <f t="shared" ref="AC75:AD75" si="370">(AC73+AC74)/AC78</f>
        <v>7.7276509532940199E-2</v>
      </c>
      <c r="AD75" s="1309">
        <f t="shared" si="370"/>
        <v>7.5217349992873772E-2</v>
      </c>
      <c r="AE75" s="1115">
        <f t="shared" ref="AE75" si="371">(AE73+AE74)/AE78</f>
        <v>7.5457265791008046E-2</v>
      </c>
      <c r="AF75" s="1244">
        <f t="shared" ref="AF75" si="372">(AF73+AF74)/AF78</f>
        <v>7.411427699955038E-2</v>
      </c>
      <c r="AG75" s="1115">
        <f t="shared" ref="AG75" si="373">(AG73+AG74)/AG78</f>
        <v>7.2792571815935E-2</v>
      </c>
      <c r="AH75" s="1115">
        <f t="shared" ref="AH75" si="374">(AH73+AH74)/AH78</f>
        <v>7.1491905787272533E-2</v>
      </c>
      <c r="AI75" s="1211">
        <f t="shared" ref="AI75" si="375">(AI73+AI74)/AI78</f>
        <v>7.021203391801982E-2</v>
      </c>
      <c r="AK75" s="241">
        <f t="shared" ref="AK75" si="376">(AK73+AK74)/AK78</f>
        <v>1.0012415395089912E-3</v>
      </c>
      <c r="AL75" s="241">
        <f t="shared" ref="AL75" si="377">(AL73+AL74)/AL78</f>
        <v>6.4379613356766258E-2</v>
      </c>
      <c r="AM75" s="241">
        <f t="shared" ref="AM75" si="378">(AM73+AM74)/AM78</f>
        <v>7.8153666536943348E-2</v>
      </c>
      <c r="AN75" s="241">
        <f t="shared" ref="AN75" si="379">(AN73+AN74)/AN78</f>
        <v>7.1762090050027788E-2</v>
      </c>
      <c r="AO75" s="241">
        <f t="shared" ref="AO75:AP75" si="380">(AO73+AO74)/AO78</f>
        <v>4.8241755312058439E-2</v>
      </c>
      <c r="AP75" s="241">
        <f t="shared" si="380"/>
        <v>5.1977256755893438E-2</v>
      </c>
      <c r="AQ75" s="1115">
        <f t="shared" ref="AQ75" si="381">(AQ73+AQ74)/AQ78</f>
        <v>7.5457265791008046E-2</v>
      </c>
      <c r="AR75" s="1115">
        <f t="shared" ref="AR75" si="382">(AR73+AR74)/AR78</f>
        <v>7.021203391801982E-2</v>
      </c>
      <c r="AS75" s="1115">
        <f t="shared" ref="AS75" si="383">(AS73+AS74)/AS78</f>
        <v>6.5305657387918145E-2</v>
      </c>
    </row>
    <row r="76" spans="2:45" x14ac:dyDescent="0.2">
      <c r="B76" s="2" t="s">
        <v>62</v>
      </c>
      <c r="D76" s="162">
        <f>+'FC - 3FS'!D95</f>
        <v>10952</v>
      </c>
      <c r="E76" s="162">
        <f>+'FC - 3FS'!E95</f>
        <v>10954</v>
      </c>
      <c r="F76" s="162">
        <f>+'FC - 3FS'!F95</f>
        <v>10956</v>
      </c>
      <c r="G76" s="162">
        <f>+'FC - 3FS'!G95</f>
        <v>10958</v>
      </c>
      <c r="H76" s="845">
        <f>+'FC - 3FS'!H95</f>
        <v>10959</v>
      </c>
      <c r="I76" s="162">
        <f>+'FC - 3FS'!I95</f>
        <v>62783</v>
      </c>
      <c r="J76" s="162">
        <f>+'FC - 3FS'!J95</f>
        <v>58345</v>
      </c>
      <c r="K76" s="162">
        <f>+'FC - 3FS'!K95</f>
        <v>61830</v>
      </c>
      <c r="L76" s="845">
        <f>+'FC - 3FS'!L95</f>
        <v>66395</v>
      </c>
      <c r="M76" s="162">
        <f>+'FC - 3FS'!M95</f>
        <v>65897</v>
      </c>
      <c r="N76" s="162">
        <f>+'FC - 3FS'!N95</f>
        <v>66645</v>
      </c>
      <c r="O76" s="162">
        <f>+'FC - 3FS'!O95</f>
        <v>67076</v>
      </c>
      <c r="P76" s="845">
        <f>+'FC - 3FS'!P95</f>
        <v>66861</v>
      </c>
      <c r="Q76" s="162">
        <f>+'FC - 3FS'!Q95</f>
        <v>66552</v>
      </c>
      <c r="R76" s="162">
        <f>+'FC - 3FS'!R95</f>
        <v>64834</v>
      </c>
      <c r="S76" s="162">
        <f>+'FC - 3FS'!S95</f>
        <v>65301</v>
      </c>
      <c r="T76" s="845">
        <f>+'FC - 3FS'!T95</f>
        <v>68035</v>
      </c>
      <c r="U76" s="162">
        <f>+'FC - 3FS'!U95</f>
        <v>68646</v>
      </c>
      <c r="V76" s="162">
        <f>+'FC - 3FS'!V95</f>
        <v>70365</v>
      </c>
      <c r="W76" s="162">
        <f>+'FC - 3FS'!W95</f>
        <v>69903</v>
      </c>
      <c r="X76" s="845">
        <f>+'FC - 3FS'!X95</f>
        <v>71361</v>
      </c>
      <c r="Y76" s="162">
        <f>+'FC - 3FS'!Y95</f>
        <v>70203</v>
      </c>
      <c r="Z76" s="162">
        <f>+'FC - 3FS'!Z95</f>
        <v>72522</v>
      </c>
      <c r="AA76" s="162">
        <f>+'FC - 3FS'!AA95</f>
        <v>72700</v>
      </c>
      <c r="AB76" s="845">
        <f>+'FC - 3FS'!AB95</f>
        <v>76033</v>
      </c>
      <c r="AC76" s="1305">
        <f>+'FC - 3FS'!AC95</f>
        <v>75018</v>
      </c>
      <c r="AD76" s="1305">
        <f>+'FC - 3FS'!AD95</f>
        <v>76365</v>
      </c>
      <c r="AE76" s="554">
        <f t="shared" ref="AE76:AI76" si="384">+AD76+AE80+AE82</f>
        <v>76097.29946343854</v>
      </c>
      <c r="AF76" s="1180">
        <f t="shared" si="384"/>
        <v>77618.123386016698</v>
      </c>
      <c r="AG76" s="554">
        <f t="shared" si="384"/>
        <v>79169.635394690704</v>
      </c>
      <c r="AH76" s="554">
        <f t="shared" si="384"/>
        <v>80752.45473184243</v>
      </c>
      <c r="AI76" s="901">
        <f t="shared" si="384"/>
        <v>82367.213135293379</v>
      </c>
      <c r="AK76" s="162">
        <f>+'FC - 3FS'!AK95</f>
        <v>10958</v>
      </c>
      <c r="AL76" s="162">
        <f>+'FC - 3FS'!AL95</f>
        <v>61830</v>
      </c>
      <c r="AM76" s="162">
        <f>+'FC - 3FS'!AM95</f>
        <v>67076</v>
      </c>
      <c r="AN76" s="162">
        <f>+'FC - 3FS'!AN95</f>
        <v>65301</v>
      </c>
      <c r="AO76" s="162">
        <f>+'FC - 3FS'!AO95</f>
        <v>69903</v>
      </c>
      <c r="AP76" s="162">
        <f>+'FC - 3FS'!AP95</f>
        <v>72700</v>
      </c>
      <c r="AQ76" s="554">
        <f t="shared" ref="AQ76:AR77" si="385">SUMIFS($D76:$AI76,$D$3:$AI$3,AQ$3,$D$2:$AI$2,4)</f>
        <v>76097.29946343854</v>
      </c>
      <c r="AR76" s="554">
        <f t="shared" si="385"/>
        <v>82367.213135293379</v>
      </c>
      <c r="AS76" s="554">
        <f t="shared" ref="AS76" si="386">AR76+AR77+AS80+AS82-AS77</f>
        <v>89143.753081218267</v>
      </c>
    </row>
    <row r="77" spans="2:45" x14ac:dyDescent="0.2">
      <c r="B77" s="2" t="s">
        <v>63</v>
      </c>
      <c r="D77" s="162">
        <f>+'FC - 3FS'!D96</f>
        <v>13985</v>
      </c>
      <c r="E77" s="162">
        <f>+'FC - 3FS'!E96</f>
        <v>13985</v>
      </c>
      <c r="F77" s="162">
        <f>+'FC - 3FS'!F96</f>
        <v>13986</v>
      </c>
      <c r="G77" s="162">
        <f>+'FC - 3FS'!G96</f>
        <v>13986</v>
      </c>
      <c r="H77" s="845">
        <f>+'FC - 3FS'!H96</f>
        <v>11987</v>
      </c>
      <c r="I77" s="162">
        <f>+'FC - 3FS'!I96</f>
        <v>4706</v>
      </c>
      <c r="J77" s="162">
        <f>+'FC - 3FS'!J96</f>
        <v>4711</v>
      </c>
      <c r="K77" s="162">
        <f>+'FC - 3FS'!K96</f>
        <v>4716</v>
      </c>
      <c r="L77" s="845">
        <f>+'FC - 3FS'!L96</f>
        <v>4721</v>
      </c>
      <c r="M77" s="162">
        <f>+'FC - 3FS'!M96</f>
        <v>2490</v>
      </c>
      <c r="N77" s="162">
        <f>+'FC - 3FS'!N96</f>
        <v>1494</v>
      </c>
      <c r="O77" s="162">
        <f>+'FC - 3FS'!O96</f>
        <v>1494</v>
      </c>
      <c r="P77" s="845">
        <f>+'FC - 3FS'!P96</f>
        <v>1494</v>
      </c>
      <c r="Q77" s="162">
        <f>+'FC - 3FS'!Q96</f>
        <v>1495</v>
      </c>
      <c r="R77" s="162">
        <f>+'FC - 3FS'!R96</f>
        <v>1495</v>
      </c>
      <c r="S77" s="162">
        <f>+'FC - 3FS'!S96</f>
        <v>1495</v>
      </c>
      <c r="T77" s="845">
        <f>+'FC - 3FS'!T96</f>
        <v>1495</v>
      </c>
      <c r="U77" s="162">
        <f>+'FC - 3FS'!U96</f>
        <v>1495</v>
      </c>
      <c r="V77" s="162">
        <f>+'FC - 3FS'!V96</f>
        <v>1496</v>
      </c>
      <c r="W77" s="162">
        <f>+'FC - 3FS'!W96</f>
        <v>1496</v>
      </c>
      <c r="X77" s="845">
        <f>+'FC - 3FS'!X96</f>
        <v>1496</v>
      </c>
      <c r="Y77" s="162">
        <f>+'FC - 3FS'!Y96</f>
        <v>1496</v>
      </c>
      <c r="Z77" s="162">
        <f>+'FC - 3FS'!Z96</f>
        <v>1497</v>
      </c>
      <c r="AA77" s="162">
        <f>+'FC - 3FS'!AA96</f>
        <v>1497</v>
      </c>
      <c r="AB77" s="845">
        <f>+'FC - 3FS'!AB96</f>
        <v>1497</v>
      </c>
      <c r="AC77" s="1305">
        <f>+'FC - 3FS'!AC96</f>
        <v>1497</v>
      </c>
      <c r="AD77" s="1305">
        <f>+'FC - 3FS'!AD96</f>
        <v>1498</v>
      </c>
      <c r="AE77" s="332">
        <f t="shared" ref="AE77:AI77" si="387">AD77</f>
        <v>1498</v>
      </c>
      <c r="AF77" s="1233">
        <f t="shared" si="387"/>
        <v>1498</v>
      </c>
      <c r="AG77" s="332">
        <f t="shared" si="387"/>
        <v>1498</v>
      </c>
      <c r="AH77" s="332">
        <f t="shared" si="387"/>
        <v>1498</v>
      </c>
      <c r="AI77" s="1208">
        <f t="shared" si="387"/>
        <v>1498</v>
      </c>
      <c r="AK77" s="162">
        <f>+'FC - 3FS'!AK96</f>
        <v>13986</v>
      </c>
      <c r="AL77" s="162">
        <f>+'FC - 3FS'!AL96</f>
        <v>4716</v>
      </c>
      <c r="AM77" s="162">
        <f>+'FC - 3FS'!AM96</f>
        <v>1494</v>
      </c>
      <c r="AN77" s="162">
        <f>+'FC - 3FS'!AN96</f>
        <v>1495</v>
      </c>
      <c r="AO77" s="162">
        <f>+'FC - 3FS'!AO96</f>
        <v>1496</v>
      </c>
      <c r="AP77" s="162">
        <f>+'FC - 3FS'!AP96</f>
        <v>1497</v>
      </c>
      <c r="AQ77" s="554">
        <f t="shared" si="385"/>
        <v>1498</v>
      </c>
      <c r="AR77" s="554">
        <f t="shared" si="385"/>
        <v>1498</v>
      </c>
      <c r="AS77" s="332">
        <f t="shared" ref="AS77" si="388">AR77</f>
        <v>1498</v>
      </c>
    </row>
    <row r="78" spans="2:45" s="3" customFormat="1" x14ac:dyDescent="0.2">
      <c r="B78" s="3" t="s">
        <v>652</v>
      </c>
      <c r="D78" s="164">
        <f>+D73+D74+D76+D77</f>
        <v>25785</v>
      </c>
      <c r="E78" s="164">
        <f t="shared" ref="E78:Y78" si="389">+E73+E74+E76+E77</f>
        <v>25239</v>
      </c>
      <c r="F78" s="164">
        <f t="shared" si="389"/>
        <v>25417</v>
      </c>
      <c r="G78" s="164">
        <f t="shared" si="389"/>
        <v>24969</v>
      </c>
      <c r="H78" s="805">
        <f t="shared" si="389"/>
        <v>24946</v>
      </c>
      <c r="I78" s="164">
        <f t="shared" si="389"/>
        <v>72542</v>
      </c>
      <c r="J78" s="164">
        <f t="shared" si="389"/>
        <v>66769</v>
      </c>
      <c r="K78" s="164">
        <f t="shared" si="389"/>
        <v>71125</v>
      </c>
      <c r="L78" s="805">
        <f t="shared" si="389"/>
        <v>75539</v>
      </c>
      <c r="M78" s="164">
        <f t="shared" si="389"/>
        <v>75270</v>
      </c>
      <c r="N78" s="164">
        <f t="shared" si="389"/>
        <v>72475</v>
      </c>
      <c r="O78" s="164">
        <f t="shared" si="389"/>
        <v>74193</v>
      </c>
      <c r="P78" s="805">
        <f t="shared" si="389"/>
        <v>72470</v>
      </c>
      <c r="Q78" s="164">
        <f t="shared" si="389"/>
        <v>70989</v>
      </c>
      <c r="R78" s="164">
        <f t="shared" si="389"/>
        <v>73727</v>
      </c>
      <c r="S78" s="164">
        <f t="shared" si="389"/>
        <v>71960</v>
      </c>
      <c r="T78" s="805">
        <f t="shared" si="389"/>
        <v>74745</v>
      </c>
      <c r="U78" s="164">
        <f t="shared" si="389"/>
        <v>77872</v>
      </c>
      <c r="V78" s="164">
        <f t="shared" si="389"/>
        <v>75298</v>
      </c>
      <c r="W78" s="164">
        <f t="shared" si="389"/>
        <v>75018</v>
      </c>
      <c r="X78" s="805">
        <f t="shared" si="389"/>
        <v>78213</v>
      </c>
      <c r="Y78" s="164">
        <f t="shared" si="389"/>
        <v>77566</v>
      </c>
      <c r="Z78" s="164">
        <f t="shared" ref="Z78:AA78" si="390">+Z73+Z74+Z76+Z77</f>
        <v>79870</v>
      </c>
      <c r="AA78" s="164">
        <f t="shared" si="390"/>
        <v>78265</v>
      </c>
      <c r="AB78" s="805">
        <f t="shared" ref="AB78" si="391">+AB73+AB74+AB76+AB77</f>
        <v>85744</v>
      </c>
      <c r="AC78" s="229">
        <f t="shared" ref="AC78:AD78" si="392">+AC73+AC74+AC76+AC77</f>
        <v>82923</v>
      </c>
      <c r="AD78" s="229">
        <f t="shared" si="392"/>
        <v>84196</v>
      </c>
      <c r="AE78" s="525">
        <f t="shared" ref="AE78:AI78" si="393">+AE77+AE76+AE73</f>
        <v>83928.29946343854</v>
      </c>
      <c r="AF78" s="1245">
        <f t="shared" si="393"/>
        <v>85449.123386016698</v>
      </c>
      <c r="AG78" s="525">
        <f t="shared" si="393"/>
        <v>87000.635394690704</v>
      </c>
      <c r="AH78" s="525">
        <f t="shared" si="393"/>
        <v>88583.45473184243</v>
      </c>
      <c r="AI78" s="1152">
        <f t="shared" si="393"/>
        <v>90198.213135293379</v>
      </c>
      <c r="AK78" s="164">
        <f t="shared" ref="AK78" si="394">+AK76+AK73+AK77</f>
        <v>24969</v>
      </c>
      <c r="AL78" s="164">
        <f t="shared" ref="AL78" si="395">+AL76+AL73+AL77</f>
        <v>71125</v>
      </c>
      <c r="AM78" s="164">
        <f t="shared" ref="AM78" si="396">+AM76+AM73+AM77</f>
        <v>71948</v>
      </c>
      <c r="AN78" s="164">
        <f t="shared" ref="AN78" si="397">+AN76+AN73+AN77</f>
        <v>71960</v>
      </c>
      <c r="AO78" s="164">
        <f t="shared" ref="AO78:AP78" si="398">+AO76+AO73+AO77</f>
        <v>75018</v>
      </c>
      <c r="AP78" s="164">
        <f t="shared" si="398"/>
        <v>78265</v>
      </c>
      <c r="AQ78" s="525">
        <f t="shared" ref="AQ78" si="399">+AQ76+AQ73+AQ77</f>
        <v>83928.29946343854</v>
      </c>
      <c r="AR78" s="525">
        <f t="shared" ref="AR78" si="400">+AR76+AR73+AR77</f>
        <v>90198.213135293379</v>
      </c>
      <c r="AS78" s="525">
        <f t="shared" ref="AS78" si="401">+AS76+AS73+AS77</f>
        <v>96974.753081218267</v>
      </c>
    </row>
    <row r="79" spans="2:45" x14ac:dyDescent="0.2">
      <c r="H79" s="594"/>
      <c r="L79" s="594"/>
      <c r="P79" s="594"/>
      <c r="T79" s="594"/>
      <c r="X79" s="594"/>
      <c r="AB79" s="594"/>
      <c r="AE79" s="370"/>
      <c r="AF79" s="1229"/>
      <c r="AG79" s="370"/>
      <c r="AH79" s="370"/>
      <c r="AI79" s="913"/>
      <c r="AQ79" s="370"/>
      <c r="AR79" s="370"/>
      <c r="AS79" s="370"/>
    </row>
    <row r="80" spans="2:45" x14ac:dyDescent="0.2">
      <c r="B80" s="2" t="s">
        <v>104</v>
      </c>
      <c r="D80" s="162">
        <f>+'FC - 3FS'!D150</f>
        <v>0</v>
      </c>
      <c r="E80" s="162">
        <f>+'FC - 3FS'!E150</f>
        <v>0</v>
      </c>
      <c r="F80" s="162">
        <f>+'FC - 3FS'!F150</f>
        <v>0</v>
      </c>
      <c r="G80" s="162">
        <f>+'FC - 3FS'!G150</f>
        <v>0</v>
      </c>
      <c r="H80" s="845">
        <f>+'FC - 3FS'!H150</f>
        <v>0</v>
      </c>
      <c r="I80" s="162">
        <f>+'FC - 3FS'!I150</f>
        <v>26694</v>
      </c>
      <c r="J80" s="162">
        <f>+'FC - 3FS'!J150</f>
        <v>0</v>
      </c>
      <c r="K80" s="162">
        <f>+'FC - 3FS'!K150</f>
        <v>8643</v>
      </c>
      <c r="L80" s="845">
        <f>+'FC - 3FS'!L150</f>
        <v>6763</v>
      </c>
      <c r="M80" s="162">
        <f>+'FC - 3FS'!M150</f>
        <v>3006</v>
      </c>
      <c r="N80" s="162">
        <f>+'FC - 3FS'!N150</f>
        <v>1989</v>
      </c>
      <c r="O80" s="162">
        <f>+'FC - 3FS'!O150</f>
        <v>2969</v>
      </c>
      <c r="P80" s="845">
        <f>+'FC - 3FS'!P150</f>
        <v>0</v>
      </c>
      <c r="Q80" s="162">
        <f>+'FC - 3FS'!Q150</f>
        <v>0</v>
      </c>
      <c r="R80" s="162">
        <f>+'FC - 3FS'!R150</f>
        <v>2972</v>
      </c>
      <c r="S80" s="162">
        <f>+'FC - 3FS'!S150</f>
        <v>742</v>
      </c>
      <c r="T80" s="845">
        <f>+'FC - 3FS'!T150</f>
        <v>3013</v>
      </c>
      <c r="U80" s="162">
        <f>+'FC - 3FS'!U150</f>
        <v>3450</v>
      </c>
      <c r="V80" s="162">
        <f>+'FC - 3FS'!V150</f>
        <v>1983</v>
      </c>
      <c r="W80" s="162">
        <f>+'FC - 3FS'!W150</f>
        <v>0</v>
      </c>
      <c r="X80" s="845">
        <f>+'FC - 3FS'!X150</f>
        <v>3473</v>
      </c>
      <c r="Y80" s="162">
        <f>+'FC - 3FS'!Y150</f>
        <v>2136</v>
      </c>
      <c r="Z80" s="162">
        <f>+'FC - 3FS'!Z150</f>
        <v>2480</v>
      </c>
      <c r="AA80" s="162">
        <f>+'FC - 3FS'!AA150</f>
        <v>498</v>
      </c>
      <c r="AB80" s="845">
        <f>+'FC - 3FS'!AB150</f>
        <v>7774</v>
      </c>
      <c r="AC80" s="1305">
        <f>+'FC - 3FS'!AC150</f>
        <v>-6</v>
      </c>
      <c r="AD80" s="1305">
        <f>+'FC - 3FS'!AD150</f>
        <v>498</v>
      </c>
      <c r="AE80" s="554">
        <f t="shared" ref="AE80:AI80" si="402">+AE81*AD76</f>
        <v>497.02372083905118</v>
      </c>
      <c r="AF80" s="1180">
        <f t="shared" si="402"/>
        <v>2282.918983903156</v>
      </c>
      <c r="AG80" s="554">
        <f t="shared" si="402"/>
        <v>2328.543701580501</v>
      </c>
      <c r="AH80" s="554">
        <f t="shared" si="402"/>
        <v>2375.0890618407211</v>
      </c>
      <c r="AI80" s="901">
        <f t="shared" si="402"/>
        <v>2422.5736419552727</v>
      </c>
      <c r="AK80" s="162">
        <f>+'FC - 3FS'!AK150</f>
        <v>0</v>
      </c>
      <c r="AL80" s="162">
        <f>+'FC - 3FS'!AL150</f>
        <v>35337</v>
      </c>
      <c r="AM80" s="162">
        <f>+'FC - 3FS'!AM150</f>
        <v>14727</v>
      </c>
      <c r="AN80" s="162">
        <f>+'FC - 3FS'!AN150</f>
        <v>3714</v>
      </c>
      <c r="AO80" s="162">
        <f>+'FC - 3FS'!AO150</f>
        <v>8446</v>
      </c>
      <c r="AP80" s="162">
        <f>+'FC - 3FS'!AP150</f>
        <v>8587</v>
      </c>
      <c r="AQ80" s="484">
        <f t="shared" ref="AQ80:AR80" si="403">SUMIFS($D80:$AI80,$D$3:$AI$3,AQ$3)</f>
        <v>8763.0237208390517</v>
      </c>
      <c r="AR80" s="484">
        <f t="shared" si="403"/>
        <v>9409.1253892796503</v>
      </c>
      <c r="AS80" s="554">
        <f t="shared" ref="AS80" si="404">+AS81*(AR77+AR76)</f>
        <v>10169.408606515484</v>
      </c>
    </row>
    <row r="81" spans="2:45" x14ac:dyDescent="0.2">
      <c r="B81" s="237" t="s">
        <v>657</v>
      </c>
      <c r="D81" s="162"/>
      <c r="E81" s="241">
        <f>+E80/(D77+D76)</f>
        <v>0</v>
      </c>
      <c r="F81" s="241">
        <f t="shared" ref="F81:AD81" si="405">+F80/(E77+E76)</f>
        <v>0</v>
      </c>
      <c r="G81" s="241">
        <f t="shared" si="405"/>
        <v>0</v>
      </c>
      <c r="H81" s="849">
        <f t="shared" si="405"/>
        <v>0</v>
      </c>
      <c r="I81" s="241">
        <f t="shared" si="405"/>
        <v>1.163340015689009</v>
      </c>
      <c r="J81" s="241">
        <f t="shared" si="405"/>
        <v>0</v>
      </c>
      <c r="K81" s="241">
        <f t="shared" si="405"/>
        <v>0.13706863740167471</v>
      </c>
      <c r="L81" s="849">
        <f t="shared" si="405"/>
        <v>0.10162894839659785</v>
      </c>
      <c r="M81" s="241">
        <f t="shared" si="405"/>
        <v>4.2268969008380675E-2</v>
      </c>
      <c r="N81" s="241">
        <f t="shared" si="405"/>
        <v>2.9084475119540265E-2</v>
      </c>
      <c r="O81" s="241">
        <f t="shared" si="405"/>
        <v>4.3572696987041193E-2</v>
      </c>
      <c r="P81" s="849">
        <f t="shared" si="405"/>
        <v>0</v>
      </c>
      <c r="Q81" s="241">
        <f t="shared" si="405"/>
        <v>0</v>
      </c>
      <c r="R81" s="241">
        <f t="shared" si="405"/>
        <v>4.367569474040002E-2</v>
      </c>
      <c r="S81" s="241">
        <f t="shared" si="405"/>
        <v>1.1186660435103801E-2</v>
      </c>
      <c r="T81" s="849">
        <f t="shared" si="405"/>
        <v>4.5107491466554885E-2</v>
      </c>
      <c r="U81" s="241">
        <f t="shared" si="405"/>
        <v>4.961886955271106E-2</v>
      </c>
      <c r="V81" s="241">
        <f t="shared" si="405"/>
        <v>2.8271624299625042E-2</v>
      </c>
      <c r="W81" s="241">
        <f t="shared" si="405"/>
        <v>0</v>
      </c>
      <c r="X81" s="852">
        <f t="shared" si="405"/>
        <v>4.8642137845067858E-2</v>
      </c>
      <c r="Y81" s="262">
        <f t="shared" si="405"/>
        <v>2.9317704544518715E-2</v>
      </c>
      <c r="Z81" s="262">
        <f t="shared" si="405"/>
        <v>3.4589045872327369E-2</v>
      </c>
      <c r="AA81" s="241">
        <f t="shared" si="405"/>
        <v>6.7280022696875131E-3</v>
      </c>
      <c r="AB81" s="852">
        <f t="shared" si="405"/>
        <v>0.10477512567893581</v>
      </c>
      <c r="AC81" s="1308">
        <f t="shared" si="405"/>
        <v>-7.7389397652521602E-5</v>
      </c>
      <c r="AD81" s="1308">
        <f t="shared" si="405"/>
        <v>6.5085277396588906E-3</v>
      </c>
      <c r="AE81" s="1139">
        <f t="shared" ref="AE81" si="406">+AD81</f>
        <v>6.5085277396588906E-3</v>
      </c>
      <c r="AF81" s="1230">
        <v>0.03</v>
      </c>
      <c r="AG81" s="1139">
        <f t="shared" ref="AG81:AI81" si="407">+AF81</f>
        <v>0.03</v>
      </c>
      <c r="AH81" s="1139">
        <f t="shared" si="407"/>
        <v>0.03</v>
      </c>
      <c r="AI81" s="1138">
        <f t="shared" si="407"/>
        <v>0.03</v>
      </c>
      <c r="AK81" s="162"/>
      <c r="AL81" s="241">
        <f t="shared" ref="AL81" si="408">+AL80/(AK77+AK76)</f>
        <v>1.4166533033996151</v>
      </c>
      <c r="AM81" s="241">
        <f t="shared" ref="AM81" si="409">+AM80/(AL77+AL76)</f>
        <v>0.22130556306915516</v>
      </c>
      <c r="AN81" s="241">
        <f t="shared" ref="AN81" si="410">+AN80/(AM77+AM76)</f>
        <v>5.4163628408925184E-2</v>
      </c>
      <c r="AO81" s="241">
        <f t="shared" ref="AO81:AP81" si="411">+AO80/(AN77+AN76)</f>
        <v>0.12644469728726271</v>
      </c>
      <c r="AP81" s="241">
        <f t="shared" si="411"/>
        <v>0.12026779086541828</v>
      </c>
      <c r="AQ81" s="1115">
        <f t="shared" ref="AQ81" si="412">+AQ80/(AP77+AP76)</f>
        <v>0.11810482527378535</v>
      </c>
      <c r="AR81" s="1115">
        <f t="shared" ref="AR81" si="413">+AR80/(AQ77+AQ76)</f>
        <v>0.12125896097241116</v>
      </c>
      <c r="AS81" s="1139">
        <f t="shared" ref="AS81" si="414">+AR81</f>
        <v>0.12125896097241116</v>
      </c>
    </row>
    <row r="82" spans="2:45" x14ac:dyDescent="0.2">
      <c r="B82" s="2" t="s">
        <v>107</v>
      </c>
      <c r="D82" s="162">
        <f>+'FC - 3FS'!D153</f>
        <v>0</v>
      </c>
      <c r="E82" s="162">
        <f>+'FC - 3FS'!E153</f>
        <v>-600</v>
      </c>
      <c r="F82" s="162">
        <f>+'FC - 3FS'!F153</f>
        <v>0</v>
      </c>
      <c r="G82" s="162">
        <f>+'FC - 3FS'!G153</f>
        <v>0</v>
      </c>
      <c r="H82" s="845">
        <f>+'FC - 3FS'!H153</f>
        <v>0</v>
      </c>
      <c r="I82" s="162">
        <f>+'FC - 3FS'!I153</f>
        <v>-10638</v>
      </c>
      <c r="J82" s="162">
        <f>+'FC - 3FS'!J153</f>
        <v>-5678</v>
      </c>
      <c r="K82" s="162">
        <f>+'FC - 3FS'!K153</f>
        <v>-4209</v>
      </c>
      <c r="L82" s="845">
        <f>+'FC - 3FS'!L153</f>
        <v>-2219</v>
      </c>
      <c r="M82" s="162">
        <f>+'FC - 3FS'!M153</f>
        <v>-3150</v>
      </c>
      <c r="N82" s="162">
        <f>+'FC - 3FS'!N153</f>
        <v>-4600</v>
      </c>
      <c r="O82" s="162">
        <f>+'FC - 3FS'!O153</f>
        <v>-1131</v>
      </c>
      <c r="P82" s="845">
        <f>+'FC - 3FS'!P153</f>
        <v>-1632</v>
      </c>
      <c r="Q82" s="162">
        <f>+'FC - 3FS'!Q153</f>
        <v>-1381</v>
      </c>
      <c r="R82" s="162">
        <f>+'FC - 3FS'!R153</f>
        <v>-132</v>
      </c>
      <c r="S82" s="162">
        <f>+'FC - 3FS'!S153</f>
        <v>-2411</v>
      </c>
      <c r="T82" s="845">
        <f>+'FC - 3FS'!T153</f>
        <v>-131</v>
      </c>
      <c r="U82" s="162">
        <f>+'FC - 3FS'!U153</f>
        <v>-223</v>
      </c>
      <c r="V82" s="162">
        <f>+'FC - 3FS'!V153</f>
        <v>-4474</v>
      </c>
      <c r="W82" s="162">
        <f>+'FC - 3FS'!W153</f>
        <v>-223</v>
      </c>
      <c r="X82" s="845">
        <f>+'FC - 3FS'!X153</f>
        <v>-223</v>
      </c>
      <c r="Y82" s="162">
        <f>+'FC - 3FS'!Y153</f>
        <v>-2723</v>
      </c>
      <c r="Z82" s="162">
        <f>+'FC - 3FS'!Z153</f>
        <v>-223</v>
      </c>
      <c r="AA82" s="162">
        <f>+'FC - 3FS'!AA153</f>
        <v>-1904</v>
      </c>
      <c r="AB82" s="845">
        <f>+'FC - 3FS'!AB153</f>
        <v>-479</v>
      </c>
      <c r="AC82" s="1305">
        <f>+'FC - 3FS'!AC153</f>
        <v>-3257</v>
      </c>
      <c r="AD82" s="1305">
        <f>+'FC - 3FS'!AD153</f>
        <v>-828</v>
      </c>
      <c r="AE82" s="554">
        <f t="shared" ref="AE82:AI82" si="415">+AE83*(AD77+AD76)</f>
        <v>-764.72425740050971</v>
      </c>
      <c r="AF82" s="1180">
        <f t="shared" si="415"/>
        <v>-762.09506132499655</v>
      </c>
      <c r="AG82" s="554">
        <f t="shared" si="415"/>
        <v>-777.03169290649885</v>
      </c>
      <c r="AH82" s="554">
        <f t="shared" si="415"/>
        <v>-792.26972468900408</v>
      </c>
      <c r="AI82" s="901">
        <f t="shared" si="415"/>
        <v>-807.81523850432734</v>
      </c>
      <c r="AK82" s="162">
        <f>+'FC - 3FS'!AK153</f>
        <v>-600</v>
      </c>
      <c r="AL82" s="162">
        <f>+'FC - 3FS'!AL153</f>
        <v>-20525</v>
      </c>
      <c r="AM82" s="162">
        <f>+'FC - 3FS'!AM153</f>
        <v>-11100</v>
      </c>
      <c r="AN82" s="162">
        <f>+'FC - 3FS'!AN153</f>
        <v>-5556</v>
      </c>
      <c r="AO82" s="162">
        <f>+'FC - 3FS'!AO153</f>
        <v>-5051</v>
      </c>
      <c r="AP82" s="162">
        <f>+'FC - 3FS'!AP153</f>
        <v>-5073</v>
      </c>
      <c r="AQ82" s="484">
        <f t="shared" ref="AQ82:AR82" si="416">SUMIFS($D82:$AI82,$D$3:$AI$3,AQ$3)</f>
        <v>-5328.7242574005095</v>
      </c>
      <c r="AR82" s="484">
        <f t="shared" si="416"/>
        <v>-3139.2117174248265</v>
      </c>
      <c r="AS82" s="554">
        <f t="shared" ref="AS82" si="417">+AS83*(AR77+AR76)</f>
        <v>-3392.8686605906032</v>
      </c>
    </row>
    <row r="83" spans="2:45" x14ac:dyDescent="0.2">
      <c r="B83" s="237" t="s">
        <v>657</v>
      </c>
      <c r="D83" s="162"/>
      <c r="E83" s="262">
        <f>+E82/(D77+D76)</f>
        <v>-2.40606327946425E-2</v>
      </c>
      <c r="F83" s="262">
        <f t="shared" ref="F83:AD83" si="418">+F82/(E77+E76)</f>
        <v>0</v>
      </c>
      <c r="G83" s="262">
        <f t="shared" si="418"/>
        <v>0</v>
      </c>
      <c r="H83" s="852">
        <f t="shared" si="418"/>
        <v>0</v>
      </c>
      <c r="I83" s="262">
        <f t="shared" si="418"/>
        <v>-0.46361021528806762</v>
      </c>
      <c r="J83" s="262">
        <f t="shared" si="418"/>
        <v>-8.4132228955829835E-2</v>
      </c>
      <c r="K83" s="262">
        <f t="shared" si="418"/>
        <v>-6.6750190307028667E-2</v>
      </c>
      <c r="L83" s="852">
        <f t="shared" si="418"/>
        <v>-3.334535509271782E-2</v>
      </c>
      <c r="M83" s="262">
        <f t="shared" si="418"/>
        <v>-4.4293829799201302E-2</v>
      </c>
      <c r="N83" s="262">
        <f t="shared" si="418"/>
        <v>-6.7264246128650187E-2</v>
      </c>
      <c r="O83" s="262">
        <f t="shared" si="418"/>
        <v>-1.6598423810152776E-2</v>
      </c>
      <c r="P83" s="852">
        <f t="shared" si="418"/>
        <v>-2.3800495843663411E-2</v>
      </c>
      <c r="Q83" s="262">
        <f t="shared" si="418"/>
        <v>-2.0203350157267208E-2</v>
      </c>
      <c r="R83" s="262">
        <f t="shared" si="418"/>
        <v>-1.9398357017943481E-3</v>
      </c>
      <c r="S83" s="262">
        <f t="shared" si="418"/>
        <v>-3.6349108233201165E-2</v>
      </c>
      <c r="T83" s="852">
        <f t="shared" si="418"/>
        <v>-1.9611952811545603E-3</v>
      </c>
      <c r="U83" s="262">
        <f t="shared" si="418"/>
        <v>-3.2072486696390046E-3</v>
      </c>
      <c r="V83" s="262">
        <f t="shared" si="418"/>
        <v>-6.3785802882764711E-2</v>
      </c>
      <c r="W83" s="262">
        <f t="shared" si="418"/>
        <v>-3.1032131476044032E-3</v>
      </c>
      <c r="X83" s="852">
        <f t="shared" si="418"/>
        <v>-3.1232930433199345E-3</v>
      </c>
      <c r="Y83" s="262">
        <f t="shared" si="418"/>
        <v>-3.7374583087417819E-2</v>
      </c>
      <c r="Z83" s="262">
        <f t="shared" si="418"/>
        <v>-3.1102246893262111E-3</v>
      </c>
      <c r="AA83" s="262">
        <f t="shared" si="418"/>
        <v>-2.5723125143544225E-2</v>
      </c>
      <c r="AB83" s="852">
        <f t="shared" si="418"/>
        <v>-6.4557866221006243E-3</v>
      </c>
      <c r="AC83" s="1308">
        <f t="shared" si="418"/>
        <v>-4.2009544692377145E-2</v>
      </c>
      <c r="AD83" s="1308">
        <f t="shared" si="418"/>
        <v>-1.0821407567143696E-2</v>
      </c>
      <c r="AE83" s="1139">
        <f t="shared" ref="AE83" si="419">+AD83+0.1%</f>
        <v>-9.8214075671436973E-3</v>
      </c>
      <c r="AF83" s="1230">
        <f t="shared" ref="AF83:AI83" si="420">+AE83</f>
        <v>-9.8214075671436973E-3</v>
      </c>
      <c r="AG83" s="1139">
        <f t="shared" si="420"/>
        <v>-9.8214075671436973E-3</v>
      </c>
      <c r="AH83" s="1139">
        <f t="shared" si="420"/>
        <v>-9.8214075671436973E-3</v>
      </c>
      <c r="AI83" s="1138">
        <f t="shared" si="420"/>
        <v>-9.8214075671436973E-3</v>
      </c>
      <c r="AK83" s="162"/>
      <c r="AL83" s="241">
        <f t="shared" ref="AL83" si="421">+AL82/(AK77+AK76)</f>
        <v>-0.82284316869788321</v>
      </c>
      <c r="AM83" s="241">
        <f t="shared" ref="AM83" si="422">+AM82/(AL77+AL76)</f>
        <v>-0.16680191145974213</v>
      </c>
      <c r="AN83" s="241">
        <f t="shared" ref="AN83" si="423">+AN82/(AM77+AM76)</f>
        <v>-8.1026688056001162E-2</v>
      </c>
      <c r="AO83" s="241">
        <f t="shared" ref="AO83:AP83" si="424">+AO82/(AN77+AN76)</f>
        <v>-7.5618300497035745E-2</v>
      </c>
      <c r="AP83" s="241">
        <f t="shared" si="424"/>
        <v>-7.1051415285928371E-2</v>
      </c>
      <c r="AQ83" s="1115">
        <f t="shared" ref="AQ83" si="425">+AQ82/(AP77+AP76)</f>
        <v>-7.1818594517305406E-2</v>
      </c>
      <c r="AR83" s="1115">
        <f t="shared" ref="AR83" si="426">+AR82/(AQ77+AQ76)</f>
        <v>-4.0456209836576051E-2</v>
      </c>
      <c r="AS83" s="1143">
        <f t="shared" ref="AS83" si="427">+AR83</f>
        <v>-4.0456209836576051E-2</v>
      </c>
    </row>
    <row r="84" spans="2:45" x14ac:dyDescent="0.2">
      <c r="D84" s="162"/>
      <c r="E84" s="162"/>
      <c r="F84" s="162"/>
      <c r="G84" s="162"/>
      <c r="H84" s="845"/>
      <c r="I84" s="162"/>
      <c r="J84" s="162"/>
      <c r="K84" s="162"/>
      <c r="L84" s="845"/>
      <c r="M84" s="162"/>
      <c r="N84" s="162"/>
      <c r="O84" s="162"/>
      <c r="P84" s="845"/>
      <c r="Q84" s="162"/>
      <c r="R84" s="162"/>
      <c r="S84" s="162"/>
      <c r="T84" s="845"/>
      <c r="U84" s="162"/>
      <c r="V84" s="162"/>
      <c r="W84" s="162"/>
      <c r="X84" s="845"/>
      <c r="Y84" s="162"/>
      <c r="Z84" s="162"/>
      <c r="AA84" s="162"/>
      <c r="AB84" s="845"/>
      <c r="AC84" s="1305"/>
      <c r="AD84" s="1305"/>
      <c r="AE84" s="371"/>
      <c r="AF84" s="1238"/>
      <c r="AG84" s="371"/>
      <c r="AH84" s="371"/>
      <c r="AI84" s="902"/>
      <c r="AK84" s="162"/>
      <c r="AL84" s="162"/>
      <c r="AM84" s="162"/>
      <c r="AN84" s="162"/>
      <c r="AO84" s="162"/>
      <c r="AP84" s="162"/>
      <c r="AQ84" s="371"/>
      <c r="AR84" s="371"/>
      <c r="AS84" s="371"/>
    </row>
    <row r="85" spans="2:45" x14ac:dyDescent="0.2">
      <c r="B85" s="2" t="s">
        <v>379</v>
      </c>
      <c r="D85" s="162">
        <f>+'3FS'!K155</f>
        <v>0</v>
      </c>
      <c r="E85" s="162">
        <f>+'3FS'!L155</f>
        <v>0</v>
      </c>
      <c r="F85" s="162">
        <f>+'3FS'!M155</f>
        <v>0</v>
      </c>
      <c r="G85" s="162">
        <f>+'3FS'!N155</f>
        <v>0</v>
      </c>
      <c r="H85" s="845">
        <f>+'3FS'!O155</f>
        <v>0</v>
      </c>
      <c r="I85" s="162">
        <f>+'3FS'!P155</f>
        <v>18743</v>
      </c>
      <c r="J85" s="162">
        <f>+'3FS'!Q155</f>
        <v>0</v>
      </c>
      <c r="K85" s="162">
        <f>+'3FS'!R155</f>
        <v>0</v>
      </c>
      <c r="L85" s="845">
        <f>+'3FS'!S155</f>
        <v>0</v>
      </c>
      <c r="M85" s="162">
        <f>+'3FS'!T155</f>
        <v>0</v>
      </c>
      <c r="N85" s="162">
        <f>+'3FS'!U155</f>
        <v>0</v>
      </c>
      <c r="O85" s="162">
        <f>+'3FS'!V155</f>
        <v>0</v>
      </c>
      <c r="P85" s="845">
        <f>+'3FS'!W155</f>
        <v>0</v>
      </c>
      <c r="Q85" s="162">
        <f>+'3FS'!X155</f>
        <v>0</v>
      </c>
      <c r="R85" s="162">
        <f>+'3FS'!Y155</f>
        <v>0</v>
      </c>
      <c r="S85" s="162">
        <f>+'3FS'!Z155</f>
        <v>0</v>
      </c>
      <c r="T85" s="845">
        <f>+'3FS'!AA155</f>
        <v>0</v>
      </c>
      <c r="U85" s="162">
        <f>+'3FS'!AB155</f>
        <v>0</v>
      </c>
      <c r="V85" s="162">
        <f>+'3FS'!AC155</f>
        <v>0</v>
      </c>
      <c r="W85" s="162">
        <f>+'3FS'!AD155</f>
        <v>0</v>
      </c>
      <c r="X85" s="845">
        <f>+'3FS'!AE155</f>
        <v>0</v>
      </c>
      <c r="Y85" s="162">
        <f>+'3FS'!AF155</f>
        <v>0</v>
      </c>
      <c r="Z85" s="162">
        <f>+'3FS'!AG155</f>
        <v>0</v>
      </c>
      <c r="AA85" s="162">
        <f>+'3FS'!AH155</f>
        <v>0</v>
      </c>
      <c r="AB85" s="845">
        <f>+'3FS'!AI155</f>
        <v>0</v>
      </c>
      <c r="AC85" s="1305">
        <f>+'3FS'!AJ155</f>
        <v>0</v>
      </c>
      <c r="AD85" s="1305">
        <f>+'3FS'!AK155</f>
        <v>0</v>
      </c>
      <c r="AE85" s="332">
        <f t="shared" ref="AE85:AI85" si="428">+AD85</f>
        <v>0</v>
      </c>
      <c r="AF85" s="1233">
        <f t="shared" si="428"/>
        <v>0</v>
      </c>
      <c r="AG85" s="332">
        <f t="shared" si="428"/>
        <v>0</v>
      </c>
      <c r="AH85" s="332">
        <f t="shared" si="428"/>
        <v>0</v>
      </c>
      <c r="AI85" s="1208">
        <f t="shared" si="428"/>
        <v>0</v>
      </c>
      <c r="AK85" s="162">
        <f>+'FC - 3FS'!AK158</f>
        <v>0</v>
      </c>
      <c r="AL85" s="162">
        <f>+'FC - 3FS'!AL158</f>
        <v>18743</v>
      </c>
      <c r="AM85" s="162">
        <f>+'FC - 3FS'!AM158</f>
        <v>0</v>
      </c>
      <c r="AN85" s="162">
        <f>+'FC - 3FS'!AN158</f>
        <v>0</v>
      </c>
      <c r="AO85" s="162">
        <f>+'FC - 3FS'!AO158</f>
        <v>0</v>
      </c>
      <c r="AP85" s="162">
        <f>+'FC - 3FS'!AP158</f>
        <v>0</v>
      </c>
      <c r="AQ85" s="484">
        <f t="shared" ref="AQ85:AR86" si="429">SUMIFS($D85:$AI85,$D$3:$AI$3,AQ$3)</f>
        <v>0</v>
      </c>
      <c r="AR85" s="484">
        <f t="shared" si="429"/>
        <v>0</v>
      </c>
      <c r="AS85" s="332">
        <v>0</v>
      </c>
    </row>
    <row r="86" spans="2:45" x14ac:dyDescent="0.2">
      <c r="B86" s="2" t="s">
        <v>317</v>
      </c>
      <c r="D86" s="162">
        <f>+'FC - 3FS'!D152+'FC - 3FS'!D159</f>
        <v>0</v>
      </c>
      <c r="E86" s="162">
        <f>+'FC - 3FS'!E152+'FC - 3FS'!E159</f>
        <v>0</v>
      </c>
      <c r="F86" s="162">
        <f>+'FC - 3FS'!F152+'FC - 3FS'!F159</f>
        <v>-300</v>
      </c>
      <c r="G86" s="162">
        <f>+'FC - 3FS'!G152+'FC - 3FS'!G159</f>
        <v>-475</v>
      </c>
      <c r="H86" s="845">
        <f>+'FC - 3FS'!H152+'FC - 3FS'!H159</f>
        <v>-25</v>
      </c>
      <c r="I86" s="162">
        <f>+'FC - 3FS'!I152+'FC - 3FS'!I159</f>
        <v>-19080</v>
      </c>
      <c r="J86" s="162">
        <f>+'FC - 3FS'!J152+'FC - 3FS'!J159</f>
        <v>-231</v>
      </c>
      <c r="K86" s="162">
        <f>+'FC - 3FS'!K152+'FC - 3FS'!K159</f>
        <v>-74</v>
      </c>
      <c r="L86" s="845">
        <f>+'FC - 3FS'!L152+'FC - 3FS'!L159</f>
        <v>-55</v>
      </c>
      <c r="M86" s="162">
        <f>+'FC - 3FS'!M152+'FC - 3FS'!M159</f>
        <v>-36</v>
      </c>
      <c r="N86" s="162">
        <f>+'FC - 3FS'!N152+'FC - 3FS'!N159</f>
        <v>-76</v>
      </c>
      <c r="O86" s="162">
        <f>+'FC - 3FS'!O152+'FC - 3FS'!O159</f>
        <v>-17</v>
      </c>
      <c r="P86" s="845">
        <f>+'FC - 3FS'!P152+'FC - 3FS'!P159</f>
        <v>0</v>
      </c>
      <c r="Q86" s="162">
        <f>+'FC - 3FS'!Q152+'FC - 3FS'!Q159</f>
        <v>0</v>
      </c>
      <c r="R86" s="162">
        <f>+'FC - 3FS'!R152+'FC - 3FS'!R159</f>
        <v>0</v>
      </c>
      <c r="S86" s="162">
        <f>+'FC - 3FS'!S152+'FC - 3FS'!S159</f>
        <v>0</v>
      </c>
      <c r="T86" s="845">
        <f>+'FC - 3FS'!T152+'FC - 3FS'!T159</f>
        <v>0</v>
      </c>
      <c r="U86" s="162">
        <f>+'FC - 3FS'!U152+'FC - 3FS'!U159</f>
        <v>0</v>
      </c>
      <c r="V86" s="162">
        <f>+'FC - 3FS'!V152+'FC - 3FS'!V159</f>
        <v>0</v>
      </c>
      <c r="W86" s="162">
        <f>+'FC - 3FS'!W152+'FC - 3FS'!W159</f>
        <v>0</v>
      </c>
      <c r="X86" s="845">
        <f>+'FC - 3FS'!X152+'FC - 3FS'!X159</f>
        <v>0</v>
      </c>
      <c r="Y86" s="162">
        <f>+'FC - 3FS'!Y152+'FC - 3FS'!Y159</f>
        <v>0</v>
      </c>
      <c r="Z86" s="162">
        <f>+'FC - 3FS'!Z152+'FC - 3FS'!Z159</f>
        <v>0</v>
      </c>
      <c r="AA86" s="162">
        <f>+'FC - 3FS'!AA152+'FC - 3FS'!AA159</f>
        <v>0</v>
      </c>
      <c r="AB86" s="845">
        <f>+'FC - 3FS'!AB152+'FC - 3FS'!AB159</f>
        <v>0</v>
      </c>
      <c r="AC86" s="1305">
        <f>+'FC - 3FS'!AC152+'FC - 3FS'!AC159</f>
        <v>0</v>
      </c>
      <c r="AD86" s="1305">
        <f>+'FC - 3FS'!AD152+'FC - 3FS'!AD159</f>
        <v>0</v>
      </c>
      <c r="AE86" s="332">
        <f t="shared" ref="AE86:AI86" si="430">+AD86</f>
        <v>0</v>
      </c>
      <c r="AF86" s="1233">
        <f t="shared" si="430"/>
        <v>0</v>
      </c>
      <c r="AG86" s="332">
        <f t="shared" si="430"/>
        <v>0</v>
      </c>
      <c r="AH86" s="332">
        <f t="shared" si="430"/>
        <v>0</v>
      </c>
      <c r="AI86" s="1208">
        <f t="shared" si="430"/>
        <v>0</v>
      </c>
      <c r="AK86" s="162">
        <f>+'FC - 3FS'!AK152</f>
        <v>-775</v>
      </c>
      <c r="AL86" s="162">
        <f>+'FC - 3FS'!AL152</f>
        <v>-481</v>
      </c>
      <c r="AM86" s="162">
        <f>+'FC - 3FS'!AM152</f>
        <v>-184</v>
      </c>
      <c r="AN86" s="162">
        <f>+'FC - 3FS'!AN152</f>
        <v>0</v>
      </c>
      <c r="AO86" s="162">
        <f>+'FC - 3FS'!AO152</f>
        <v>0</v>
      </c>
      <c r="AP86" s="162">
        <f>+'FC - 3FS'!AP152</f>
        <v>0</v>
      </c>
      <c r="AQ86" s="484">
        <f t="shared" si="429"/>
        <v>0</v>
      </c>
      <c r="AR86" s="484">
        <f t="shared" si="429"/>
        <v>0</v>
      </c>
      <c r="AS86" s="332">
        <v>0</v>
      </c>
    </row>
    <row r="87" spans="2:45" x14ac:dyDescent="0.2">
      <c r="H87" s="594"/>
      <c r="L87" s="594"/>
      <c r="P87" s="594"/>
      <c r="T87" s="594"/>
      <c r="X87" s="594"/>
      <c r="AB87" s="594"/>
      <c r="AE87" s="370"/>
      <c r="AF87" s="1229"/>
      <c r="AG87" s="370"/>
      <c r="AH87" s="370"/>
      <c r="AI87" s="913"/>
      <c r="AQ87" s="370"/>
      <c r="AR87" s="370"/>
      <c r="AS87" s="370"/>
    </row>
    <row r="88" spans="2:45" x14ac:dyDescent="0.2">
      <c r="B88" s="143" t="s">
        <v>59</v>
      </c>
      <c r="D88" s="162">
        <f>+'FC - 3FS'!D92</f>
        <v>911</v>
      </c>
      <c r="E88" s="162">
        <f>+'FC - 3FS'!E92</f>
        <v>963</v>
      </c>
      <c r="F88" s="162">
        <f>+'FC - 3FS'!F92</f>
        <v>1013</v>
      </c>
      <c r="G88" s="162">
        <f>+'FC - 3FS'!G92</f>
        <v>957</v>
      </c>
      <c r="H88" s="845">
        <f>+'FC - 3FS'!H92</f>
        <v>918</v>
      </c>
      <c r="I88" s="162">
        <f>+'FC - 3FS'!I92</f>
        <v>1040</v>
      </c>
      <c r="J88" s="162">
        <f>+'FC - 3FS'!J92</f>
        <v>1050</v>
      </c>
      <c r="K88" s="162">
        <f>+'FC - 3FS'!K92</f>
        <v>1063</v>
      </c>
      <c r="L88" s="845">
        <f>+'FC - 3FS'!L92</f>
        <v>1013</v>
      </c>
      <c r="M88" s="162">
        <f>+'FC - 3FS'!M92</f>
        <v>1045</v>
      </c>
      <c r="N88" s="162">
        <f>+'FC - 3FS'!N92</f>
        <v>1154</v>
      </c>
      <c r="O88" s="162">
        <f>+'FC - 3FS'!O92</f>
        <v>1120</v>
      </c>
      <c r="P88" s="845">
        <f>+'FC - 3FS'!P92</f>
        <v>1121</v>
      </c>
      <c r="Q88" s="162">
        <f>+'FC - 3FS'!Q92</f>
        <v>1220</v>
      </c>
      <c r="R88" s="162">
        <f>+'FC - 3FS'!R92</f>
        <v>1239</v>
      </c>
      <c r="S88" s="162">
        <f>+'FC - 3FS'!S92</f>
        <v>1161</v>
      </c>
      <c r="T88" s="845">
        <f>+'FC - 3FS'!T92</f>
        <v>1180</v>
      </c>
      <c r="U88" s="162">
        <f>+'FC - 3FS'!U92</f>
        <v>1220</v>
      </c>
      <c r="V88" s="162">
        <f>+'FC - 3FS'!V92</f>
        <v>1286</v>
      </c>
      <c r="W88" s="162">
        <f>+'FC - 3FS'!W92</f>
        <v>1260</v>
      </c>
      <c r="X88" s="845">
        <f>+'FC - 3FS'!X92</f>
        <v>1265</v>
      </c>
      <c r="Y88" s="162">
        <f>+'FC - 3FS'!Y92</f>
        <v>1252</v>
      </c>
      <c r="Z88" s="162">
        <f>+'FC - 3FS'!Z92</f>
        <v>1252</v>
      </c>
      <c r="AA88" s="162">
        <f>+'FC - 3FS'!AA92</f>
        <v>1175</v>
      </c>
      <c r="AB88" s="845">
        <f>+'FC - 3FS'!AB92</f>
        <v>1136</v>
      </c>
      <c r="AC88" s="1305">
        <f>+'FC - 3FS'!AC92</f>
        <v>1157</v>
      </c>
      <c r="AD88" s="1305">
        <f>+'FC - 3FS'!AD92</f>
        <v>1157</v>
      </c>
      <c r="AE88" s="554">
        <f t="shared" ref="AE88:AI88" si="431">+AE89*AE91</f>
        <v>1159.7826136728443</v>
      </c>
      <c r="AF88" s="1180">
        <f t="shared" si="431"/>
        <v>1165.2130595625238</v>
      </c>
      <c r="AG88" s="554">
        <f t="shared" si="431"/>
        <v>1173.5949789938411</v>
      </c>
      <c r="AH88" s="554">
        <f t="shared" si="431"/>
        <v>1183.5946955439463</v>
      </c>
      <c r="AI88" s="901">
        <f t="shared" si="431"/>
        <v>1194.7128616672721</v>
      </c>
      <c r="AK88" s="162">
        <f>+'FC - 3FS'!AK92</f>
        <v>957</v>
      </c>
      <c r="AL88" s="162">
        <f>+'FC - 3FS'!AL92</f>
        <v>1063</v>
      </c>
      <c r="AM88" s="162">
        <f>+'FC - 3FS'!AM92</f>
        <v>1120</v>
      </c>
      <c r="AN88" s="162">
        <f>+'FC - 3FS'!AN92</f>
        <v>1161</v>
      </c>
      <c r="AO88" s="162">
        <f>+'FC - 3FS'!AO92</f>
        <v>1260</v>
      </c>
      <c r="AP88" s="162">
        <f>+'FC - 3FS'!AP92</f>
        <v>1175</v>
      </c>
      <c r="AQ88" s="554">
        <f t="shared" ref="AQ88:AR88" si="432">SUMIFS($D88:$AI88,$D$3:$AI$3,AQ$3,$D$2:$AI$2,4)</f>
        <v>1159.7826136728443</v>
      </c>
      <c r="AR88" s="554">
        <f t="shared" si="432"/>
        <v>1194.7128616672721</v>
      </c>
      <c r="AS88" s="554">
        <f>+AS89*AS91</f>
        <v>1244.8195073850009</v>
      </c>
    </row>
    <row r="89" spans="2:45" x14ac:dyDescent="0.2">
      <c r="B89" s="145" t="s">
        <v>655</v>
      </c>
      <c r="D89" s="241">
        <f>+D88/D91</f>
        <v>0.42669789227166277</v>
      </c>
      <c r="E89" s="241">
        <f t="shared" ref="E89:Y89" si="433">+E88/E91</f>
        <v>0.42292490118577075</v>
      </c>
      <c r="F89" s="241">
        <f t="shared" si="433"/>
        <v>0.41296371789645331</v>
      </c>
      <c r="G89" s="241">
        <f t="shared" si="433"/>
        <v>0.41554494138080766</v>
      </c>
      <c r="H89" s="849">
        <f t="shared" si="433"/>
        <v>0.41841385597082953</v>
      </c>
      <c r="I89" s="241">
        <f t="shared" si="433"/>
        <v>0.42345276872964172</v>
      </c>
      <c r="J89" s="241">
        <f t="shared" si="433"/>
        <v>0.43334709038382169</v>
      </c>
      <c r="K89" s="241">
        <f t="shared" si="433"/>
        <v>0.42401276426007178</v>
      </c>
      <c r="L89" s="849">
        <f t="shared" si="433"/>
        <v>0.43495062258480033</v>
      </c>
      <c r="M89" s="241">
        <f t="shared" si="433"/>
        <v>0.43163981825691861</v>
      </c>
      <c r="N89" s="241">
        <f t="shared" si="433"/>
        <v>0.42101422838380154</v>
      </c>
      <c r="O89" s="241">
        <f t="shared" si="433"/>
        <v>0.43495145631067961</v>
      </c>
      <c r="P89" s="849">
        <f t="shared" si="433"/>
        <v>0.4365264797507788</v>
      </c>
      <c r="Q89" s="241">
        <f t="shared" si="433"/>
        <v>0.43308484203052894</v>
      </c>
      <c r="R89" s="241">
        <f t="shared" si="433"/>
        <v>0.43796394485683987</v>
      </c>
      <c r="S89" s="241">
        <f t="shared" si="433"/>
        <v>0.45871197155274596</v>
      </c>
      <c r="T89" s="849">
        <f t="shared" si="433"/>
        <v>0.47889610389610388</v>
      </c>
      <c r="U89" s="241">
        <f t="shared" si="433"/>
        <v>0.49312853678253837</v>
      </c>
      <c r="V89" s="241">
        <f t="shared" si="433"/>
        <v>0.50254005470887064</v>
      </c>
      <c r="W89" s="241">
        <f t="shared" si="433"/>
        <v>0.50480769230769229</v>
      </c>
      <c r="X89" s="849">
        <f t="shared" si="433"/>
        <v>0.521004942339374</v>
      </c>
      <c r="Y89" s="241">
        <f t="shared" si="433"/>
        <v>0.52494758909853245</v>
      </c>
      <c r="Z89" s="241">
        <f t="shared" ref="Z89:AA89" si="434">+Z88/Z91</f>
        <v>0.51374640951990147</v>
      </c>
      <c r="AA89" s="241">
        <f t="shared" si="434"/>
        <v>0.50515907136715388</v>
      </c>
      <c r="AB89" s="849">
        <f t="shared" ref="AB89" si="435">+AB88/AB91</f>
        <v>0.50421660008877056</v>
      </c>
      <c r="AC89" s="1309">
        <f t="shared" ref="AC89:AD89" si="436">+AC88/AC91</f>
        <v>0.4933901918976546</v>
      </c>
      <c r="AD89" s="1309">
        <f t="shared" si="436"/>
        <v>0.49381135296628254</v>
      </c>
      <c r="AE89" s="1143">
        <f t="shared" ref="AE89:AI89" si="437">+AD89</f>
        <v>0.49381135296628254</v>
      </c>
      <c r="AF89" s="1246">
        <f t="shared" si="437"/>
        <v>0.49381135296628254</v>
      </c>
      <c r="AG89" s="1143">
        <f t="shared" si="437"/>
        <v>0.49381135296628254</v>
      </c>
      <c r="AH89" s="1143">
        <f t="shared" si="437"/>
        <v>0.49381135296628254</v>
      </c>
      <c r="AI89" s="1142">
        <f t="shared" si="437"/>
        <v>0.49381135296628254</v>
      </c>
      <c r="AK89" s="241">
        <f t="shared" ref="AK89" si="438">+AK88/AK91</f>
        <v>0.41554494138080766</v>
      </c>
      <c r="AL89" s="241">
        <f t="shared" ref="AL89" si="439">+AL88/AL91</f>
        <v>0.42401276426007178</v>
      </c>
      <c r="AM89" s="241">
        <f t="shared" ref="AM89" si="440">+AM88/AM91</f>
        <v>0.43495145631067961</v>
      </c>
      <c r="AN89" s="241">
        <f t="shared" ref="AN89" si="441">+AN88/AN91</f>
        <v>0.45871197155274596</v>
      </c>
      <c r="AO89" s="241">
        <f t="shared" ref="AO89:AP89" si="442">+AO88/AO91</f>
        <v>0.50480769230769229</v>
      </c>
      <c r="AP89" s="241">
        <f t="shared" si="442"/>
        <v>0.50515907136715388</v>
      </c>
      <c r="AQ89" s="1115">
        <f t="shared" ref="AQ89" si="443">+AQ88/AQ91</f>
        <v>0.49381135296628254</v>
      </c>
      <c r="AR89" s="1115">
        <f t="shared" ref="AR89" si="444">+AR88/AR91</f>
        <v>0.49381135296628254</v>
      </c>
      <c r="AS89" s="1143">
        <f t="shared" ref="AS89" si="445">+AR89</f>
        <v>0.49381135296628254</v>
      </c>
    </row>
    <row r="90" spans="2:45" x14ac:dyDescent="0.2">
      <c r="B90" s="143" t="s">
        <v>318</v>
      </c>
      <c r="D90" s="162">
        <f>+'FC - 3FS'!D100</f>
        <v>1224</v>
      </c>
      <c r="E90" s="162">
        <f>+'FC - 3FS'!E100</f>
        <v>1314</v>
      </c>
      <c r="F90" s="162">
        <f>+'FC - 3FS'!F100</f>
        <v>1440</v>
      </c>
      <c r="G90" s="162">
        <f>+'FC - 3FS'!G100</f>
        <v>1346</v>
      </c>
      <c r="H90" s="845">
        <f>+'FC - 3FS'!H100</f>
        <v>1276</v>
      </c>
      <c r="I90" s="162">
        <f>+'FC - 3FS'!I100</f>
        <v>1416</v>
      </c>
      <c r="J90" s="162">
        <f>+'FC - 3FS'!J100</f>
        <v>1373</v>
      </c>
      <c r="K90" s="162">
        <f>+'FC - 3FS'!K100</f>
        <v>1444</v>
      </c>
      <c r="L90" s="845">
        <f>+'FC - 3FS'!L100</f>
        <v>1316</v>
      </c>
      <c r="M90" s="162">
        <f>+'FC - 3FS'!M100</f>
        <v>1376</v>
      </c>
      <c r="N90" s="162">
        <f>+'FC - 3FS'!N100</f>
        <v>1587</v>
      </c>
      <c r="O90" s="162">
        <f>+'FC - 3FS'!O100</f>
        <v>1455</v>
      </c>
      <c r="P90" s="845">
        <f>+'FC - 3FS'!P100</f>
        <v>1447</v>
      </c>
      <c r="Q90" s="162">
        <f>+'FC - 3FS'!Q100</f>
        <v>1597</v>
      </c>
      <c r="R90" s="162">
        <f>+'FC - 3FS'!R100</f>
        <v>1590</v>
      </c>
      <c r="S90" s="162">
        <f>+'FC - 3FS'!S100</f>
        <v>1370</v>
      </c>
      <c r="T90" s="845">
        <f>+'FC - 3FS'!T100</f>
        <v>1284</v>
      </c>
      <c r="U90" s="162">
        <f>+'FC - 3FS'!U100</f>
        <v>1254</v>
      </c>
      <c r="V90" s="162">
        <f>+'FC - 3FS'!V100</f>
        <v>1273</v>
      </c>
      <c r="W90" s="162">
        <f>+'FC - 3FS'!W100</f>
        <v>1236</v>
      </c>
      <c r="X90" s="845">
        <f>+'FC - 3FS'!X100</f>
        <v>1163</v>
      </c>
      <c r="Y90" s="162">
        <f>+'FC - 3FS'!Y100</f>
        <v>1133</v>
      </c>
      <c r="Z90" s="162">
        <f>+'FC - 3FS'!Z100</f>
        <v>1185</v>
      </c>
      <c r="AA90" s="162">
        <f>+'FC - 3FS'!AA100</f>
        <v>1151</v>
      </c>
      <c r="AB90" s="845">
        <f>+'FC - 3FS'!AB100</f>
        <v>1117</v>
      </c>
      <c r="AC90" s="1305">
        <f>+'FC - 3FS'!AC100</f>
        <v>1188</v>
      </c>
      <c r="AD90" s="1305">
        <f>+'FC - 3FS'!AD100</f>
        <v>1186</v>
      </c>
      <c r="AE90" s="554">
        <f t="shared" ref="AE90:AI90" si="446">+AE91-AE88</f>
        <v>1188.852359391524</v>
      </c>
      <c r="AF90" s="1180">
        <f t="shared" si="446"/>
        <v>1194.4189184452491</v>
      </c>
      <c r="AG90" s="554">
        <f t="shared" si="446"/>
        <v>1203.010929201984</v>
      </c>
      <c r="AH90" s="554">
        <f t="shared" si="446"/>
        <v>1213.2612868756441</v>
      </c>
      <c r="AI90" s="901">
        <f t="shared" si="446"/>
        <v>1224.6581278629083</v>
      </c>
      <c r="AK90" s="162">
        <f>+'FC - 3FS'!AK100</f>
        <v>1346</v>
      </c>
      <c r="AL90" s="162">
        <f>+'FC - 3FS'!AL100</f>
        <v>1444</v>
      </c>
      <c r="AM90" s="162">
        <f>+'FC - 3FS'!AM100</f>
        <v>1455</v>
      </c>
      <c r="AN90" s="162">
        <f>+'FC - 3FS'!AN100</f>
        <v>1370</v>
      </c>
      <c r="AO90" s="162">
        <f>+'FC - 3FS'!AO100</f>
        <v>1236</v>
      </c>
      <c r="AP90" s="162">
        <f>+'FC - 3FS'!AP100</f>
        <v>1151</v>
      </c>
      <c r="AQ90" s="554">
        <f t="shared" ref="AQ90:AR90" si="447">SUMIFS($D90:$AI90,$D$3:$AI$3,AQ$3,$D$2:$AI$2,4)</f>
        <v>1188.852359391524</v>
      </c>
      <c r="AR90" s="554">
        <f t="shared" si="447"/>
        <v>1224.6581278629083</v>
      </c>
      <c r="AS90" s="554">
        <f t="shared" ref="AS90" si="448">+AS91-AS88</f>
        <v>1276.0206877775374</v>
      </c>
    </row>
    <row r="91" spans="2:45" s="3" customFormat="1" x14ac:dyDescent="0.2">
      <c r="B91" s="568" t="s">
        <v>343</v>
      </c>
      <c r="D91" s="164">
        <f>+D90+D88</f>
        <v>2135</v>
      </c>
      <c r="E91" s="164">
        <f t="shared" ref="E91:Y91" si="449">+E90+E88</f>
        <v>2277</v>
      </c>
      <c r="F91" s="164">
        <f t="shared" si="449"/>
        <v>2453</v>
      </c>
      <c r="G91" s="164">
        <f t="shared" si="449"/>
        <v>2303</v>
      </c>
      <c r="H91" s="805">
        <f t="shared" si="449"/>
        <v>2194</v>
      </c>
      <c r="I91" s="164">
        <f t="shared" si="449"/>
        <v>2456</v>
      </c>
      <c r="J91" s="164">
        <f t="shared" si="449"/>
        <v>2423</v>
      </c>
      <c r="K91" s="164">
        <f t="shared" si="449"/>
        <v>2507</v>
      </c>
      <c r="L91" s="805">
        <f t="shared" si="449"/>
        <v>2329</v>
      </c>
      <c r="M91" s="164">
        <f t="shared" si="449"/>
        <v>2421</v>
      </c>
      <c r="N91" s="164">
        <f t="shared" si="449"/>
        <v>2741</v>
      </c>
      <c r="O91" s="164">
        <f t="shared" si="449"/>
        <v>2575</v>
      </c>
      <c r="P91" s="805">
        <f t="shared" si="449"/>
        <v>2568</v>
      </c>
      <c r="Q91" s="164">
        <f t="shared" si="449"/>
        <v>2817</v>
      </c>
      <c r="R91" s="164">
        <f t="shared" si="449"/>
        <v>2829</v>
      </c>
      <c r="S91" s="164">
        <f t="shared" si="449"/>
        <v>2531</v>
      </c>
      <c r="T91" s="805">
        <f t="shared" si="449"/>
        <v>2464</v>
      </c>
      <c r="U91" s="164">
        <f t="shared" si="449"/>
        <v>2474</v>
      </c>
      <c r="V91" s="164">
        <f t="shared" si="449"/>
        <v>2559</v>
      </c>
      <c r="W91" s="164">
        <f t="shared" si="449"/>
        <v>2496</v>
      </c>
      <c r="X91" s="805">
        <f t="shared" si="449"/>
        <v>2428</v>
      </c>
      <c r="Y91" s="164">
        <f t="shared" si="449"/>
        <v>2385</v>
      </c>
      <c r="Z91" s="164">
        <f t="shared" ref="Z91:AA91" si="450">+Z90+Z88</f>
        <v>2437</v>
      </c>
      <c r="AA91" s="164">
        <f t="shared" si="450"/>
        <v>2326</v>
      </c>
      <c r="AB91" s="805">
        <f t="shared" ref="AB91" si="451">+AB90+AB88</f>
        <v>2253</v>
      </c>
      <c r="AC91" s="229">
        <f t="shared" ref="AC91:AD91" si="452">+AC90+AC88</f>
        <v>2345</v>
      </c>
      <c r="AD91" s="229">
        <f t="shared" si="452"/>
        <v>2343</v>
      </c>
      <c r="AE91" s="525">
        <f t="shared" ref="AE91:AI91" si="453">+AD91+AE92+AE94</f>
        <v>2348.6349730643683</v>
      </c>
      <c r="AF91" s="1245">
        <f t="shared" si="453"/>
        <v>2359.6319780077729</v>
      </c>
      <c r="AG91" s="525">
        <f t="shared" si="453"/>
        <v>2376.6059081958251</v>
      </c>
      <c r="AH91" s="525">
        <f t="shared" si="453"/>
        <v>2396.8559824195904</v>
      </c>
      <c r="AI91" s="1152">
        <f t="shared" si="453"/>
        <v>2419.3709895301804</v>
      </c>
      <c r="AK91" s="164">
        <f>+AK90+AK88</f>
        <v>2303</v>
      </c>
      <c r="AL91" s="164">
        <f t="shared" ref="AL91:AR91" si="454">+AL90+AL88</f>
        <v>2507</v>
      </c>
      <c r="AM91" s="164">
        <f t="shared" si="454"/>
        <v>2575</v>
      </c>
      <c r="AN91" s="164">
        <f t="shared" si="454"/>
        <v>2531</v>
      </c>
      <c r="AO91" s="164">
        <f t="shared" si="454"/>
        <v>2496</v>
      </c>
      <c r="AP91" s="164">
        <f t="shared" ref="AP91" si="455">+AP90+AP88</f>
        <v>2326</v>
      </c>
      <c r="AQ91" s="525">
        <f t="shared" si="454"/>
        <v>2348.6349730643683</v>
      </c>
      <c r="AR91" s="525">
        <f t="shared" si="454"/>
        <v>2419.3709895301804</v>
      </c>
      <c r="AS91" s="525">
        <f t="shared" ref="AS91" si="456">+AR91+AS92+AS94</f>
        <v>2520.8401951625383</v>
      </c>
    </row>
    <row r="92" spans="2:45" x14ac:dyDescent="0.2">
      <c r="B92" s="145" t="s">
        <v>105</v>
      </c>
      <c r="D92" s="162">
        <f>+'FC - 3FS'!D151</f>
        <v>-86</v>
      </c>
      <c r="E92" s="162">
        <f>+'FC - 3FS'!E151</f>
        <v>-229</v>
      </c>
      <c r="F92" s="162">
        <f>+'FC - 3FS'!F151</f>
        <v>-235</v>
      </c>
      <c r="G92" s="162">
        <f>+'FC - 3FS'!G151</f>
        <v>-248</v>
      </c>
      <c r="H92" s="845">
        <f>+'FC - 3FS'!H151</f>
        <v>-282</v>
      </c>
      <c r="I92" s="162">
        <f>+'FC - 3FS'!I151</f>
        <v>-236</v>
      </c>
      <c r="J92" s="162">
        <f>+'FC - 3FS'!J151</f>
        <v>-246</v>
      </c>
      <c r="K92" s="162">
        <f>+'FC - 3FS'!K151</f>
        <v>-257</v>
      </c>
      <c r="L92" s="845">
        <f>+'FC - 3FS'!L151</f>
        <v>-287</v>
      </c>
      <c r="M92" s="162">
        <f>+'FC - 3FS'!M151</f>
        <v>-269</v>
      </c>
      <c r="N92" s="162">
        <f>+'FC - 3FS'!N151</f>
        <v>-266</v>
      </c>
      <c r="O92" s="162">
        <f>+'FC - 3FS'!O151</f>
        <v>-289</v>
      </c>
      <c r="P92" s="845">
        <f>+'FC - 3FS'!P151</f>
        <v>-302</v>
      </c>
      <c r="Q92" s="162">
        <f>+'FC - 3FS'!Q151</f>
        <v>-288</v>
      </c>
      <c r="R92" s="162">
        <f>+'FC - 3FS'!R151</f>
        <v>-311</v>
      </c>
      <c r="S92" s="162">
        <f>+'FC - 3FS'!S151</f>
        <v>-338</v>
      </c>
      <c r="T92" s="845">
        <f>+'FC - 3FS'!T151</f>
        <v>-306</v>
      </c>
      <c r="U92" s="162">
        <f>+'FC - 3FS'!U151</f>
        <v>-304</v>
      </c>
      <c r="V92" s="162">
        <f>+'FC - 3FS'!V151</f>
        <v>-304</v>
      </c>
      <c r="W92" s="162">
        <f>+'FC - 3FS'!W151</f>
        <v>-313</v>
      </c>
      <c r="X92" s="845">
        <f>+'FC - 3FS'!X151</f>
        <v>-327</v>
      </c>
      <c r="Y92" s="162">
        <f>+'FC - 3FS'!Y151</f>
        <v>-351</v>
      </c>
      <c r="Z92" s="162">
        <f>+'FC - 3FS'!Z151</f>
        <v>-347</v>
      </c>
      <c r="AA92" s="162">
        <f>+'FC - 3FS'!AA151</f>
        <v>-342</v>
      </c>
      <c r="AB92" s="845">
        <f>+'FC - 3FS'!AB151</f>
        <v>-315</v>
      </c>
      <c r="AC92" s="1305">
        <f>+'FC - 3FS'!AC151</f>
        <v>-331</v>
      </c>
      <c r="AD92" s="1305">
        <f>+'FC - 3FS'!AD151</f>
        <v>-318</v>
      </c>
      <c r="AE92" s="554">
        <f t="shared" ref="AE92:AI92" si="457">+AE93*AD91</f>
        <v>-317.72878464818763</v>
      </c>
      <c r="AF92" s="1180">
        <f t="shared" si="457"/>
        <v>-318.49293024924054</v>
      </c>
      <c r="AG92" s="554">
        <f t="shared" si="457"/>
        <v>-319.98420853154443</v>
      </c>
      <c r="AH92" s="554">
        <f t="shared" si="457"/>
        <v>-322.28600375534</v>
      </c>
      <c r="AI92" s="901">
        <f t="shared" si="457"/>
        <v>-325.03206925775254</v>
      </c>
      <c r="AK92" s="162">
        <f>+'FC - 3FS'!AK151</f>
        <v>-798</v>
      </c>
      <c r="AL92" s="162">
        <f>+'FC - 3FS'!AL151</f>
        <v>-1021</v>
      </c>
      <c r="AM92" s="162">
        <f>+'FC - 3FS'!AM151</f>
        <v>-1111</v>
      </c>
      <c r="AN92" s="162">
        <f>+'FC - 3FS'!AN151</f>
        <v>-1239</v>
      </c>
      <c r="AO92" s="162">
        <f>+'FC - 3FS'!AO151</f>
        <v>-1227</v>
      </c>
      <c r="AP92" s="162">
        <f>+'FC - 3FS'!AP151</f>
        <v>-1367</v>
      </c>
      <c r="AQ92" s="484">
        <f t="shared" ref="AQ92:AR92" si="458">SUMIFS($D92:$AI92,$D$3:$AI$3,AQ$3)</f>
        <v>-1281.7287846481877</v>
      </c>
      <c r="AR92" s="484">
        <f t="shared" si="458"/>
        <v>-1285.7952117938776</v>
      </c>
      <c r="AS92" s="554">
        <f>+AS93*AR91</f>
        <v>-1324.5206980087255</v>
      </c>
    </row>
    <row r="93" spans="2:45" x14ac:dyDescent="0.2">
      <c r="B93" s="567" t="s">
        <v>314</v>
      </c>
      <c r="D93" s="241"/>
      <c r="E93" s="241">
        <f t="shared" ref="E93:X93" si="459">+E92/D91</f>
        <v>-0.10725995316159251</v>
      </c>
      <c r="F93" s="241">
        <f t="shared" si="459"/>
        <v>-0.10320597277119016</v>
      </c>
      <c r="G93" s="241">
        <f t="shared" si="459"/>
        <v>-0.10110069302894414</v>
      </c>
      <c r="H93" s="849">
        <f t="shared" si="459"/>
        <v>-0.12244897959183673</v>
      </c>
      <c r="I93" s="241">
        <f t="shared" si="459"/>
        <v>-0.10756608933454877</v>
      </c>
      <c r="J93" s="241">
        <f t="shared" si="459"/>
        <v>-0.1001628664495114</v>
      </c>
      <c r="K93" s="241">
        <f t="shared" si="459"/>
        <v>-0.1060668592653735</v>
      </c>
      <c r="L93" s="849">
        <f t="shared" si="459"/>
        <v>-0.11447945751894695</v>
      </c>
      <c r="M93" s="241">
        <f t="shared" si="459"/>
        <v>-0.11550021468441392</v>
      </c>
      <c r="N93" s="241">
        <f t="shared" si="459"/>
        <v>-0.10987195373812474</v>
      </c>
      <c r="O93" s="241">
        <f t="shared" si="459"/>
        <v>-0.1054359722728931</v>
      </c>
      <c r="P93" s="849">
        <f t="shared" si="459"/>
        <v>-0.11728155339805825</v>
      </c>
      <c r="Q93" s="241">
        <f t="shared" si="459"/>
        <v>-0.11214953271028037</v>
      </c>
      <c r="R93" s="241">
        <f t="shared" si="459"/>
        <v>-0.1104011359602414</v>
      </c>
      <c r="S93" s="241">
        <f t="shared" si="459"/>
        <v>-0.11947684694238246</v>
      </c>
      <c r="T93" s="849">
        <f t="shared" si="459"/>
        <v>-0.12090082971157645</v>
      </c>
      <c r="U93" s="241">
        <f t="shared" si="459"/>
        <v>-0.12337662337662338</v>
      </c>
      <c r="V93" s="241">
        <f t="shared" si="459"/>
        <v>-0.12287793047696038</v>
      </c>
      <c r="W93" s="241">
        <f t="shared" si="459"/>
        <v>-0.12231340367330988</v>
      </c>
      <c r="X93" s="849">
        <f t="shared" si="459"/>
        <v>-0.13100961538461539</v>
      </c>
      <c r="Y93" s="241">
        <f t="shared" ref="Y93:AD93" si="460">+Y92/X91</f>
        <v>-0.14456342668863262</v>
      </c>
      <c r="Z93" s="241">
        <f t="shared" si="460"/>
        <v>-0.14549266247379455</v>
      </c>
      <c r="AA93" s="241">
        <f t="shared" si="460"/>
        <v>-0.14033647927780057</v>
      </c>
      <c r="AB93" s="849">
        <f t="shared" si="460"/>
        <v>-0.13542562338779021</v>
      </c>
      <c r="AC93" s="1309">
        <f t="shared" si="460"/>
        <v>-0.14691522414558367</v>
      </c>
      <c r="AD93" s="1309">
        <f t="shared" si="460"/>
        <v>-0.13560767590618336</v>
      </c>
      <c r="AE93" s="1143">
        <f t="shared" ref="AE93:AI95" si="461">+AD93</f>
        <v>-0.13560767590618336</v>
      </c>
      <c r="AF93" s="1246">
        <f t="shared" si="461"/>
        <v>-0.13560767590618336</v>
      </c>
      <c r="AG93" s="1143">
        <f t="shared" si="461"/>
        <v>-0.13560767590618336</v>
      </c>
      <c r="AH93" s="1143">
        <f t="shared" si="461"/>
        <v>-0.13560767590618336</v>
      </c>
      <c r="AI93" s="1142">
        <f t="shared" si="461"/>
        <v>-0.13560767590618336</v>
      </c>
      <c r="AK93" s="162"/>
      <c r="AL93" s="241">
        <f>+AL92/AK91</f>
        <v>-0.44333478072079896</v>
      </c>
      <c r="AM93" s="241">
        <f t="shared" ref="AM93:AR93" si="462">+AM92/AL91</f>
        <v>-0.44315915436777026</v>
      </c>
      <c r="AN93" s="241">
        <f t="shared" si="462"/>
        <v>-0.4811650485436893</v>
      </c>
      <c r="AO93" s="241">
        <f t="shared" si="462"/>
        <v>-0.48478862109838011</v>
      </c>
      <c r="AP93" s="241">
        <f t="shared" si="462"/>
        <v>-0.54767628205128205</v>
      </c>
      <c r="AQ93" s="1115">
        <f t="shared" si="462"/>
        <v>-0.55104418944462064</v>
      </c>
      <c r="AR93" s="1115">
        <f t="shared" si="462"/>
        <v>-0.54746490048057295</v>
      </c>
      <c r="AS93" s="1143">
        <f t="shared" ref="AS93" si="463">+AR93</f>
        <v>-0.54746490048057295</v>
      </c>
    </row>
    <row r="94" spans="2:45" x14ac:dyDescent="0.2">
      <c r="B94" s="145" t="s">
        <v>654</v>
      </c>
      <c r="D94" s="162"/>
      <c r="E94" s="163">
        <f t="shared" ref="E94:X94" si="464">+E91-E92-D91</f>
        <v>371</v>
      </c>
      <c r="F94" s="163">
        <f t="shared" si="464"/>
        <v>411</v>
      </c>
      <c r="G94" s="163">
        <f t="shared" si="464"/>
        <v>98</v>
      </c>
      <c r="H94" s="848">
        <f t="shared" si="464"/>
        <v>173</v>
      </c>
      <c r="I94" s="163">
        <f t="shared" si="464"/>
        <v>498</v>
      </c>
      <c r="J94" s="163">
        <f t="shared" si="464"/>
        <v>213</v>
      </c>
      <c r="K94" s="163">
        <f t="shared" si="464"/>
        <v>341</v>
      </c>
      <c r="L94" s="848">
        <f t="shared" si="464"/>
        <v>109</v>
      </c>
      <c r="M94" s="163">
        <f t="shared" si="464"/>
        <v>361</v>
      </c>
      <c r="N94" s="163">
        <f t="shared" si="464"/>
        <v>586</v>
      </c>
      <c r="O94" s="163">
        <f t="shared" si="464"/>
        <v>123</v>
      </c>
      <c r="P94" s="848">
        <f t="shared" si="464"/>
        <v>295</v>
      </c>
      <c r="Q94" s="163">
        <f t="shared" si="464"/>
        <v>537</v>
      </c>
      <c r="R94" s="163">
        <f t="shared" si="464"/>
        <v>323</v>
      </c>
      <c r="S94" s="163">
        <f t="shared" si="464"/>
        <v>40</v>
      </c>
      <c r="T94" s="848">
        <f t="shared" si="464"/>
        <v>239</v>
      </c>
      <c r="U94" s="163">
        <f t="shared" si="464"/>
        <v>314</v>
      </c>
      <c r="V94" s="163">
        <f t="shared" si="464"/>
        <v>389</v>
      </c>
      <c r="W94" s="163">
        <f t="shared" si="464"/>
        <v>250</v>
      </c>
      <c r="X94" s="848">
        <f t="shared" si="464"/>
        <v>259</v>
      </c>
      <c r="Y94" s="163">
        <f t="shared" ref="Y94:AD94" si="465">+Y91-Y92-X91</f>
        <v>308</v>
      </c>
      <c r="Z94" s="163">
        <f t="shared" si="465"/>
        <v>399</v>
      </c>
      <c r="AA94" s="163">
        <f t="shared" si="465"/>
        <v>231</v>
      </c>
      <c r="AB94" s="848">
        <f t="shared" si="465"/>
        <v>242</v>
      </c>
      <c r="AC94" s="1307">
        <f t="shared" si="465"/>
        <v>423</v>
      </c>
      <c r="AD94" s="1307">
        <f t="shared" si="465"/>
        <v>316</v>
      </c>
      <c r="AE94" s="554">
        <f t="shared" ref="AE94:AI94" si="466">+AE95*SUM(AB5:AE5)</f>
        <v>323.36375771255587</v>
      </c>
      <c r="AF94" s="1180">
        <f t="shared" si="466"/>
        <v>329.48993519264531</v>
      </c>
      <c r="AG94" s="554">
        <f t="shared" si="466"/>
        <v>336.95813871959672</v>
      </c>
      <c r="AH94" s="554">
        <f t="shared" si="466"/>
        <v>342.53607797910519</v>
      </c>
      <c r="AI94" s="901">
        <f t="shared" si="466"/>
        <v>347.5470763683424</v>
      </c>
      <c r="AK94" s="162"/>
      <c r="AL94" s="163">
        <f t="shared" ref="AL94:AR94" si="467">+AL91-AL92-AK91</f>
        <v>1225</v>
      </c>
      <c r="AM94" s="163">
        <f t="shared" si="467"/>
        <v>1179</v>
      </c>
      <c r="AN94" s="163">
        <f t="shared" si="467"/>
        <v>1195</v>
      </c>
      <c r="AO94" s="163">
        <f t="shared" si="467"/>
        <v>1192</v>
      </c>
      <c r="AP94" s="163">
        <f t="shared" si="467"/>
        <v>1197</v>
      </c>
      <c r="AQ94" s="554">
        <f t="shared" si="467"/>
        <v>1304.363757712556</v>
      </c>
      <c r="AR94" s="554">
        <f t="shared" si="467"/>
        <v>1356.5312282596897</v>
      </c>
      <c r="AS94" s="554">
        <f>+AS95*AS5</f>
        <v>1425.9899036410834</v>
      </c>
    </row>
    <row r="95" spans="2:45" x14ac:dyDescent="0.2">
      <c r="B95" s="567" t="s">
        <v>299</v>
      </c>
      <c r="D95" s="162"/>
      <c r="E95" s="162"/>
      <c r="F95" s="162"/>
      <c r="G95" s="262">
        <f t="shared" ref="G95:AD95" si="468">G94/SUM(D5:G5)</f>
        <v>1.3879643661393346E-3</v>
      </c>
      <c r="H95" s="852">
        <f t="shared" si="468"/>
        <v>2.4575259957952157E-3</v>
      </c>
      <c r="I95" s="262">
        <f t="shared" si="468"/>
        <v>7.0531250442590681E-3</v>
      </c>
      <c r="J95" s="262">
        <f t="shared" si="468"/>
        <v>2.9324301999008756E-3</v>
      </c>
      <c r="K95" s="262">
        <f t="shared" si="468"/>
        <v>4.5654153055213406E-3</v>
      </c>
      <c r="L95" s="852">
        <f t="shared" si="468"/>
        <v>1.4147943356307517E-3</v>
      </c>
      <c r="M95" s="262">
        <f t="shared" si="468"/>
        <v>4.5510703209702226E-3</v>
      </c>
      <c r="N95" s="262">
        <f t="shared" si="468"/>
        <v>7.3549715088987626E-3</v>
      </c>
      <c r="O95" s="262">
        <f t="shared" si="468"/>
        <v>1.5352355275967946E-3</v>
      </c>
      <c r="P95" s="852">
        <f t="shared" si="468"/>
        <v>3.6655525043800246E-3</v>
      </c>
      <c r="Q95" s="262">
        <f t="shared" si="468"/>
        <v>6.693256886451452E-3</v>
      </c>
      <c r="R95" s="262">
        <f t="shared" si="468"/>
        <v>4.0333154352359428E-3</v>
      </c>
      <c r="S95" s="262">
        <f t="shared" si="468"/>
        <v>5.0269570572193385E-4</v>
      </c>
      <c r="T95" s="852">
        <f t="shared" si="468"/>
        <v>3.0221412945892292E-3</v>
      </c>
      <c r="U95" s="262">
        <f t="shared" si="468"/>
        <v>3.9960294229937129E-3</v>
      </c>
      <c r="V95" s="262">
        <f t="shared" si="468"/>
        <v>4.9647109874542137E-3</v>
      </c>
      <c r="W95" s="262">
        <f t="shared" si="468"/>
        <v>3.1823620764276075E-3</v>
      </c>
      <c r="X95" s="852">
        <f t="shared" si="468"/>
        <v>3.2985226693835966E-3</v>
      </c>
      <c r="Y95" s="262">
        <f t="shared" si="468"/>
        <v>3.8940022251441287E-3</v>
      </c>
      <c r="Z95" s="262">
        <f t="shared" si="468"/>
        <v>4.9871259655525834E-3</v>
      </c>
      <c r="AA95" s="262">
        <f t="shared" si="468"/>
        <v>2.8378378378378379E-3</v>
      </c>
      <c r="AB95" s="852">
        <f t="shared" si="468"/>
        <v>2.9265225172930877E-3</v>
      </c>
      <c r="AC95" s="1308">
        <f t="shared" si="468"/>
        <v>5.03259886736782E-3</v>
      </c>
      <c r="AD95" s="1308">
        <f t="shared" si="468"/>
        <v>3.6809673022936153E-3</v>
      </c>
      <c r="AE95" s="1139">
        <f t="shared" si="461"/>
        <v>3.6809673022936153E-3</v>
      </c>
      <c r="AF95" s="1230">
        <f t="shared" si="461"/>
        <v>3.6809673022936153E-3</v>
      </c>
      <c r="AG95" s="1139">
        <f t="shared" si="461"/>
        <v>3.6809673022936153E-3</v>
      </c>
      <c r="AH95" s="1139">
        <f t="shared" si="461"/>
        <v>3.6809673022936153E-3</v>
      </c>
      <c r="AI95" s="1138">
        <f t="shared" si="461"/>
        <v>3.6809673022936153E-3</v>
      </c>
      <c r="AK95" s="162"/>
      <c r="AL95" s="241">
        <f t="shared" ref="AL95:AR95" si="469">+AL94/AL5</f>
        <v>1.7910142257701361E-2</v>
      </c>
      <c r="AM95" s="241">
        <f t="shared" si="469"/>
        <v>1.4715794203549765E-2</v>
      </c>
      <c r="AN95" s="241">
        <f t="shared" si="469"/>
        <v>1.5018034208442775E-2</v>
      </c>
      <c r="AO95" s="241">
        <f t="shared" si="469"/>
        <v>1.5173502380406833E-2</v>
      </c>
      <c r="AP95" s="241">
        <f t="shared" ref="AP95" si="470">+AP94/AP5</f>
        <v>1.4705159705159706E-2</v>
      </c>
      <c r="AQ95" s="1115">
        <f t="shared" si="469"/>
        <v>1.4848047215930532E-2</v>
      </c>
      <c r="AR95" s="1115">
        <f t="shared" si="469"/>
        <v>1.4367397786629611E-2</v>
      </c>
      <c r="AS95" s="1139">
        <f t="shared" ref="AS95" si="471">+AR95</f>
        <v>1.4367397786629611E-2</v>
      </c>
    </row>
    <row r="96" spans="2:45" x14ac:dyDescent="0.2">
      <c r="H96" s="594"/>
      <c r="L96" s="594"/>
      <c r="P96" s="594"/>
      <c r="T96" s="594"/>
      <c r="X96" s="594"/>
      <c r="AB96" s="594"/>
      <c r="AE96" s="370"/>
      <c r="AF96" s="1229"/>
      <c r="AG96" s="370"/>
      <c r="AH96" s="370"/>
      <c r="AI96" s="913"/>
      <c r="AQ96" s="524"/>
      <c r="AR96" s="524"/>
      <c r="AS96" s="524"/>
    </row>
    <row r="97" spans="2:45" s="3" customFormat="1" x14ac:dyDescent="0.2">
      <c r="B97" s="3" t="s">
        <v>653</v>
      </c>
      <c r="D97" s="569">
        <f t="shared" ref="D97:Y97" si="472">SUM(D73,D74,D76,D77,D91)</f>
        <v>27920</v>
      </c>
      <c r="E97" s="569">
        <f t="shared" si="472"/>
        <v>27516</v>
      </c>
      <c r="F97" s="569">
        <f t="shared" si="472"/>
        <v>27870</v>
      </c>
      <c r="G97" s="569">
        <f t="shared" si="472"/>
        <v>27272</v>
      </c>
      <c r="H97" s="854">
        <f t="shared" si="472"/>
        <v>27140</v>
      </c>
      <c r="I97" s="569">
        <f t="shared" si="472"/>
        <v>74998</v>
      </c>
      <c r="J97" s="569">
        <f t="shared" si="472"/>
        <v>69192</v>
      </c>
      <c r="K97" s="569">
        <f t="shared" si="472"/>
        <v>73632</v>
      </c>
      <c r="L97" s="854">
        <f t="shared" si="472"/>
        <v>77868</v>
      </c>
      <c r="M97" s="569">
        <f t="shared" si="472"/>
        <v>77691</v>
      </c>
      <c r="N97" s="569">
        <f t="shared" si="472"/>
        <v>75216</v>
      </c>
      <c r="O97" s="569">
        <f t="shared" si="472"/>
        <v>76768</v>
      </c>
      <c r="P97" s="854">
        <f t="shared" si="472"/>
        <v>75038</v>
      </c>
      <c r="Q97" s="569">
        <f t="shared" si="472"/>
        <v>73806</v>
      </c>
      <c r="R97" s="569">
        <f t="shared" si="472"/>
        <v>76556</v>
      </c>
      <c r="S97" s="569">
        <f t="shared" si="472"/>
        <v>74491</v>
      </c>
      <c r="T97" s="854">
        <f t="shared" si="472"/>
        <v>77209</v>
      </c>
      <c r="U97" s="569">
        <f t="shared" si="472"/>
        <v>80346</v>
      </c>
      <c r="V97" s="569">
        <f t="shared" si="472"/>
        <v>77857</v>
      </c>
      <c r="W97" s="569">
        <f t="shared" si="472"/>
        <v>77514</v>
      </c>
      <c r="X97" s="854">
        <f t="shared" si="472"/>
        <v>80641</v>
      </c>
      <c r="Y97" s="569">
        <f t="shared" si="472"/>
        <v>79951</v>
      </c>
      <c r="Z97" s="569">
        <f t="shared" ref="Z97:AA97" si="473">SUM(Z73,Z74,Z76,Z77,Z91)</f>
        <v>82307</v>
      </c>
      <c r="AA97" s="569">
        <f t="shared" si="473"/>
        <v>80591</v>
      </c>
      <c r="AB97" s="854">
        <f t="shared" ref="AB97" si="474">SUM(AB73,AB74,AB76,AB77,AB91)</f>
        <v>87997</v>
      </c>
      <c r="AC97" s="569">
        <f t="shared" ref="AC97:AD97" si="475">SUM(AC73,AC74,AC76,AC77,AC91)</f>
        <v>85268</v>
      </c>
      <c r="AD97" s="569">
        <f t="shared" si="475"/>
        <v>86539</v>
      </c>
      <c r="AE97" s="1225">
        <f t="shared" ref="AE97:AI97" si="476">+AE78+AE91</f>
        <v>86276.93443650291</v>
      </c>
      <c r="AF97" s="1247">
        <f t="shared" si="476"/>
        <v>87808.755364024473</v>
      </c>
      <c r="AG97" s="1225">
        <f t="shared" si="476"/>
        <v>89377.241302886527</v>
      </c>
      <c r="AH97" s="1225">
        <f t="shared" si="476"/>
        <v>90980.310714262014</v>
      </c>
      <c r="AI97" s="1248">
        <f t="shared" si="476"/>
        <v>92617.584124823567</v>
      </c>
      <c r="AK97" s="569">
        <f t="shared" ref="AK97:AS97" si="477">+SUM(AK73:AK77,AK88:AK90)</f>
        <v>27272.416546182918</v>
      </c>
      <c r="AL97" s="569">
        <f t="shared" si="477"/>
        <v>73632.488392377607</v>
      </c>
      <c r="AM97" s="569">
        <f t="shared" si="477"/>
        <v>76768.513105122838</v>
      </c>
      <c r="AN97" s="569">
        <f t="shared" si="477"/>
        <v>74491.530474061612</v>
      </c>
      <c r="AO97" s="569">
        <f t="shared" si="477"/>
        <v>77514.553049447626</v>
      </c>
      <c r="AP97" s="569">
        <f t="shared" ref="AP97" si="478">+SUM(AP73:AP77,AP88:AP90)</f>
        <v>80591.55713632812</v>
      </c>
      <c r="AQ97" s="1225">
        <f t="shared" si="477"/>
        <v>86277.503705121664</v>
      </c>
      <c r="AR97" s="1225">
        <f t="shared" si="477"/>
        <v>92618.148148210428</v>
      </c>
      <c r="AS97" s="1225">
        <f t="shared" si="477"/>
        <v>99496.152393391167</v>
      </c>
    </row>
    <row r="98" spans="2:45" x14ac:dyDescent="0.2">
      <c r="B98" s="237" t="s">
        <v>39</v>
      </c>
      <c r="D98" s="162">
        <f>+'FC - 3FS'!D69</f>
        <v>1439</v>
      </c>
      <c r="E98" s="162">
        <f>+'FC - 3FS'!E69</f>
        <v>1105</v>
      </c>
      <c r="F98" s="162">
        <f>+'FC - 3FS'!F69</f>
        <v>1653</v>
      </c>
      <c r="G98" s="162">
        <f>+'FC - 3FS'!G69</f>
        <v>1528</v>
      </c>
      <c r="H98" s="845">
        <f>+'FC - 3FS'!H69</f>
        <v>1112</v>
      </c>
      <c r="I98" s="162">
        <f>+'FC - 3FS'!I69</f>
        <v>11076</v>
      </c>
      <c r="J98" s="162">
        <f>+'FC - 3FS'!J69</f>
        <v>6571</v>
      </c>
      <c r="K98" s="162">
        <f>+'FC - 3FS'!K69</f>
        <v>10385</v>
      </c>
      <c r="L98" s="845">
        <f>+'FC - 3FS'!L69</f>
        <v>6677</v>
      </c>
      <c r="M98" s="162">
        <f>+'FC - 3FS'!M69</f>
        <v>7793</v>
      </c>
      <c r="N98" s="162">
        <f>+'FC - 3FS'!N69</f>
        <v>4055</v>
      </c>
      <c r="O98" s="162">
        <f>+'FC - 3FS'!O69</f>
        <v>6631</v>
      </c>
      <c r="P98" s="845">
        <f>+'FC - 3FS'!P69</f>
        <v>3245</v>
      </c>
      <c r="Q98" s="162">
        <f>+'FC - 3FS'!Q69</f>
        <v>3151</v>
      </c>
      <c r="R98" s="162">
        <f>+'FC - 3FS'!R69</f>
        <v>6888</v>
      </c>
      <c r="S98" s="162">
        <f>+'FC - 3FS'!S69</f>
        <v>4507</v>
      </c>
      <c r="T98" s="845">
        <f>+'FC - 3FS'!T69</f>
        <v>4540</v>
      </c>
      <c r="U98" s="162">
        <f>+'FC - 3FS'!U69</f>
        <v>6647</v>
      </c>
      <c r="V98" s="162">
        <f>+'FC - 3FS'!V69</f>
        <v>5030</v>
      </c>
      <c r="W98" s="162">
        <f>+'FC - 3FS'!W69</f>
        <v>5135</v>
      </c>
      <c r="X98" s="845">
        <f>+'FC - 3FS'!X69</f>
        <v>6708</v>
      </c>
      <c r="Y98" s="162">
        <f>+'FC - 3FS'!Y69</f>
        <v>6417</v>
      </c>
      <c r="Z98" s="162">
        <f>+'FC - 3FS'!Z69</f>
        <v>9754</v>
      </c>
      <c r="AA98" s="162">
        <f>+'FC - 3FS'!AA69</f>
        <v>5409</v>
      </c>
      <c r="AB98" s="845">
        <f>+'FC - 3FS'!AB69</f>
        <v>12003</v>
      </c>
      <c r="AC98" s="1305">
        <f>+'FC - 3FS'!AC69</f>
        <v>10259</v>
      </c>
      <c r="AD98" s="1305">
        <f>+'FC - 3FS'!AD69</f>
        <v>3310</v>
      </c>
      <c r="AE98" s="371">
        <f>+'FC - 3FS'!AE69</f>
        <v>1858.3843139600867</v>
      </c>
      <c r="AF98" s="1238">
        <f>+'FC - 3FS'!AF69</f>
        <v>2175.0272291116407</v>
      </c>
      <c r="AG98" s="371">
        <f>+'FC - 3FS'!AG69</f>
        <v>3602.8934301426052</v>
      </c>
      <c r="AH98" s="371">
        <f>+'FC - 3FS'!AH69</f>
        <v>5883.6863139935776</v>
      </c>
      <c r="AI98" s="902">
        <f>+'FC - 3FS'!AI69</f>
        <v>7040.4039150683648</v>
      </c>
      <c r="AK98" s="162">
        <f>+'FC - 3FS'!AK69</f>
        <v>1528</v>
      </c>
      <c r="AL98" s="162">
        <f>+'FC - 3FS'!AL69</f>
        <v>10385</v>
      </c>
      <c r="AM98" s="162">
        <f>+'FC - 3FS'!AM69</f>
        <v>6631</v>
      </c>
      <c r="AN98" s="162">
        <f>+'FC - 3FS'!AN69</f>
        <v>4507</v>
      </c>
      <c r="AO98" s="162">
        <f>+'FC - 3FS'!AO69</f>
        <v>5135</v>
      </c>
      <c r="AP98" s="162">
        <f>+'FC - 3FS'!AP69</f>
        <v>5409</v>
      </c>
      <c r="AQ98" s="371">
        <f>+'FC - 3FS'!AQ69</f>
        <v>1858.3843139600867</v>
      </c>
      <c r="AR98" s="371">
        <f>+'FC - 3FS'!AR69</f>
        <v>7040.4039150683648</v>
      </c>
      <c r="AS98" s="371">
        <f>+'FC - 3FS'!AS69</f>
        <v>10264.348377985407</v>
      </c>
    </row>
    <row r="99" spans="2:45" x14ac:dyDescent="0.2">
      <c r="B99" s="2" t="s">
        <v>319</v>
      </c>
      <c r="D99" s="5">
        <f>+D97-D98</f>
        <v>26481</v>
      </c>
      <c r="E99" s="5">
        <f t="shared" ref="E99:Y99" si="479">+E97-E98</f>
        <v>26411</v>
      </c>
      <c r="F99" s="5">
        <f t="shared" si="479"/>
        <v>26217</v>
      </c>
      <c r="G99" s="5">
        <f t="shared" si="479"/>
        <v>25744</v>
      </c>
      <c r="H99" s="855">
        <f t="shared" si="479"/>
        <v>26028</v>
      </c>
      <c r="I99" s="5">
        <f t="shared" si="479"/>
        <v>63922</v>
      </c>
      <c r="J99" s="5">
        <f t="shared" si="479"/>
        <v>62621</v>
      </c>
      <c r="K99" s="5">
        <f t="shared" si="479"/>
        <v>63247</v>
      </c>
      <c r="L99" s="855">
        <f t="shared" si="479"/>
        <v>71191</v>
      </c>
      <c r="M99" s="5">
        <f t="shared" si="479"/>
        <v>69898</v>
      </c>
      <c r="N99" s="5">
        <f t="shared" si="479"/>
        <v>71161</v>
      </c>
      <c r="O99" s="5">
        <f t="shared" si="479"/>
        <v>70137</v>
      </c>
      <c r="P99" s="855">
        <f t="shared" si="479"/>
        <v>71793</v>
      </c>
      <c r="Q99" s="5">
        <f t="shared" si="479"/>
        <v>70655</v>
      </c>
      <c r="R99" s="5">
        <f t="shared" si="479"/>
        <v>69668</v>
      </c>
      <c r="S99" s="5">
        <f t="shared" si="479"/>
        <v>69984</v>
      </c>
      <c r="T99" s="855">
        <f t="shared" si="479"/>
        <v>72669</v>
      </c>
      <c r="U99" s="5">
        <f t="shared" si="479"/>
        <v>73699</v>
      </c>
      <c r="V99" s="5">
        <f t="shared" si="479"/>
        <v>72827</v>
      </c>
      <c r="W99" s="5">
        <f t="shared" si="479"/>
        <v>72379</v>
      </c>
      <c r="X99" s="855">
        <f t="shared" si="479"/>
        <v>73933</v>
      </c>
      <c r="Y99" s="5">
        <f t="shared" si="479"/>
        <v>73534</v>
      </c>
      <c r="Z99" s="5">
        <f t="shared" ref="Z99:AA99" si="480">+Z97-Z98</f>
        <v>72553</v>
      </c>
      <c r="AA99" s="5">
        <f t="shared" si="480"/>
        <v>75182</v>
      </c>
      <c r="AB99" s="855">
        <f t="shared" ref="AB99" si="481">+AB97-AB98</f>
        <v>75994</v>
      </c>
      <c r="AC99" s="5">
        <f t="shared" ref="AC99:AD99" si="482">+AC97-AC98</f>
        <v>75009</v>
      </c>
      <c r="AD99" s="5">
        <f t="shared" si="482"/>
        <v>83229</v>
      </c>
      <c r="AE99" s="379">
        <f t="shared" ref="AE99:AI99" si="483">+AE97-AE98</f>
        <v>84418.550122542831</v>
      </c>
      <c r="AF99" s="1243">
        <f t="shared" si="483"/>
        <v>85633.728134912832</v>
      </c>
      <c r="AG99" s="379">
        <f t="shared" si="483"/>
        <v>85774.347872743921</v>
      </c>
      <c r="AH99" s="379">
        <f t="shared" si="483"/>
        <v>85096.62440026844</v>
      </c>
      <c r="AI99" s="921">
        <f t="shared" si="483"/>
        <v>85577.180209755199</v>
      </c>
      <c r="AK99" s="5">
        <f t="shared" ref="AK99" si="484">+AK97-AK98</f>
        <v>25744.416546182918</v>
      </c>
      <c r="AL99" s="5">
        <f t="shared" ref="AL99" si="485">+AL97-AL98</f>
        <v>63247.488392377607</v>
      </c>
      <c r="AM99" s="5">
        <f t="shared" ref="AM99" si="486">+AM97-AM98</f>
        <v>70137.513105122838</v>
      </c>
      <c r="AN99" s="5">
        <f t="shared" ref="AN99" si="487">+AN97-AN98</f>
        <v>69984.530474061612</v>
      </c>
      <c r="AO99" s="5">
        <f t="shared" ref="AO99:AP99" si="488">+AO97-AO98</f>
        <v>72379.553049447626</v>
      </c>
      <c r="AP99" s="5">
        <f t="shared" si="488"/>
        <v>75182.55713632812</v>
      </c>
      <c r="AQ99" s="379">
        <f t="shared" ref="AQ99" si="489">+AQ97-AQ98</f>
        <v>84419.11939116157</v>
      </c>
      <c r="AR99" s="379">
        <f t="shared" ref="AR99" si="490">+AR97-AR98</f>
        <v>85577.744233142061</v>
      </c>
      <c r="AS99" s="379">
        <f t="shared" ref="AS99" si="491">+AS97-AS98</f>
        <v>89231.804015405767</v>
      </c>
    </row>
    <row r="100" spans="2:45" x14ac:dyDescent="0.2">
      <c r="B100" s="237" t="s">
        <v>320</v>
      </c>
      <c r="H100" s="845">
        <f>SUM('FC - 3FS'!E32:H32)</f>
        <v>4605</v>
      </c>
      <c r="I100" s="162">
        <f>SUM('FC - 3FS'!F32:I32)</f>
        <v>3564</v>
      </c>
      <c r="J100" s="162">
        <f>SUM('FC - 3FS'!G32:J32)</f>
        <v>3973</v>
      </c>
      <c r="K100" s="162">
        <f>SUM('FC - 3FS'!H32:K32)</f>
        <v>3575</v>
      </c>
      <c r="L100" s="845">
        <f>SUM('FC - 3FS'!I32:L32)</f>
        <v>3046</v>
      </c>
      <c r="M100" s="162">
        <f>SUM('FC - 3FS'!J32:M32)</f>
        <v>3914</v>
      </c>
      <c r="N100" s="162">
        <f>SUM('FC - 3FS'!K32:N32)</f>
        <v>3352</v>
      </c>
      <c r="O100" s="162">
        <f>SUM('FC - 3FS'!L32:O32)</f>
        <v>3024</v>
      </c>
      <c r="P100" s="845">
        <f>SUM('FC - 3FS'!M32:P32)</f>
        <v>2804</v>
      </c>
      <c r="Q100" s="162">
        <f>SUM('FC - 3FS'!N32:Q32)</f>
        <v>1718</v>
      </c>
      <c r="R100" s="162">
        <f>SUM('FC - 3FS'!O32:R32)</f>
        <v>1535</v>
      </c>
      <c r="S100" s="162">
        <f>SUM('FC - 3FS'!P32:S32)</f>
        <v>2590</v>
      </c>
      <c r="T100" s="845">
        <f>SUM('FC - 3FS'!Q32:T32)</f>
        <v>3817</v>
      </c>
      <c r="U100" s="162">
        <f>SUM('FC - 3FS'!R32:U32)</f>
        <v>6146</v>
      </c>
      <c r="V100" s="162">
        <f>SUM('FC - 3FS'!S32:V32)</f>
        <v>7780</v>
      </c>
      <c r="W100" s="162">
        <f>SUM('FC - 3FS'!T32:W32)</f>
        <v>8317</v>
      </c>
      <c r="X100" s="845">
        <f>SUM('FC - 3FS'!U32:X32)</f>
        <v>8751</v>
      </c>
      <c r="Y100" s="162">
        <f>SUM('FC - 3FS'!V32:Y32)</f>
        <v>9455</v>
      </c>
      <c r="Z100" s="162">
        <f>SUM('FC - 3FS'!W32:Z32)</f>
        <v>10372</v>
      </c>
      <c r="AA100" s="162">
        <f>SUM('FC - 3FS'!X32:AA32)</f>
        <v>11339</v>
      </c>
      <c r="AB100" s="845">
        <f>SUM('FC - 3FS'!Y32:AB32)</f>
        <v>11918</v>
      </c>
      <c r="AC100" s="1305">
        <f>SUM('FC - 3FS'!Z32:AC32)</f>
        <v>12215</v>
      </c>
      <c r="AD100" s="1305">
        <f>SUM('FC - 3FS'!AA32:AD32)</f>
        <v>11870</v>
      </c>
      <c r="AE100" s="371">
        <f>SUM('FC - 3FS'!AB32:AE32)</f>
        <v>11153.527853385494</v>
      </c>
      <c r="AF100" s="1238">
        <f>SUM('FC - 3FS'!AC32:AF32)</f>
        <v>11230.890325912464</v>
      </c>
      <c r="AG100" s="371">
        <f>SUM('FC - 3FS'!AD32:AG32)</f>
        <v>11381.008469971503</v>
      </c>
      <c r="AH100" s="371">
        <f>SUM('FC - 3FS'!AE32:AH32)</f>
        <v>11837.617024543249</v>
      </c>
      <c r="AI100" s="902">
        <f>SUM('FC - 3FS'!AF32:AI32)</f>
        <v>12666.800538295993</v>
      </c>
      <c r="AK100" s="162">
        <f>'FC - 3FS'!AK32</f>
        <v>3468</v>
      </c>
      <c r="AL100" s="162">
        <f>'FC - 3FS'!AL32</f>
        <v>3064</v>
      </c>
      <c r="AM100" s="162">
        <f>'FC - 3FS'!AM32</f>
        <v>3024</v>
      </c>
      <c r="AN100" s="162">
        <f>'FC - 3FS'!AN32</f>
        <v>2590</v>
      </c>
      <c r="AO100" s="162">
        <f>'FC - 3FS'!AO32</f>
        <v>8317</v>
      </c>
      <c r="AP100" s="162">
        <f>'FC - 3FS'!AP32</f>
        <v>11339</v>
      </c>
      <c r="AQ100" s="371">
        <f>'FC - 3FS'!AQ32</f>
        <v>11153.527853385487</v>
      </c>
      <c r="AR100" s="371">
        <f>'FC - 3FS'!AR32</f>
        <v>12666.800538295989</v>
      </c>
      <c r="AS100" s="371">
        <f>'FC - 3FS'!AS32</f>
        <v>14834.135675367859</v>
      </c>
    </row>
    <row r="101" spans="2:45" x14ac:dyDescent="0.2">
      <c r="B101" s="2" t="s">
        <v>321</v>
      </c>
      <c r="H101" s="801">
        <f>+H99/H100</f>
        <v>5.6521172638436479</v>
      </c>
      <c r="I101" s="150">
        <f>+I99/I100</f>
        <v>17.935465768799101</v>
      </c>
      <c r="J101" s="150">
        <f>+J99/J100</f>
        <v>15.761641077271584</v>
      </c>
      <c r="K101" s="150">
        <f t="shared" ref="K101:Y101" si="492">+K99/K100</f>
        <v>17.69146853146853</v>
      </c>
      <c r="L101" s="801">
        <f t="shared" si="492"/>
        <v>23.371963230466186</v>
      </c>
      <c r="M101" s="150">
        <f t="shared" si="492"/>
        <v>17.858456821665815</v>
      </c>
      <c r="N101" s="150">
        <f t="shared" si="492"/>
        <v>21.229415274463008</v>
      </c>
      <c r="O101" s="150">
        <f t="shared" si="492"/>
        <v>23.19345238095238</v>
      </c>
      <c r="P101" s="801">
        <f t="shared" si="492"/>
        <v>25.603780313837376</v>
      </c>
      <c r="Q101" s="150">
        <f t="shared" si="492"/>
        <v>41.126309662398135</v>
      </c>
      <c r="R101" s="150">
        <f t="shared" si="492"/>
        <v>45.386319218241042</v>
      </c>
      <c r="S101" s="150">
        <f t="shared" si="492"/>
        <v>27.020849420849419</v>
      </c>
      <c r="T101" s="801">
        <f t="shared" si="492"/>
        <v>19.038249934503536</v>
      </c>
      <c r="U101" s="150">
        <f t="shared" si="492"/>
        <v>11.991376505043931</v>
      </c>
      <c r="V101" s="150">
        <f t="shared" si="492"/>
        <v>9.3607969151670947</v>
      </c>
      <c r="W101" s="150">
        <f t="shared" si="492"/>
        <v>8.7025369724660333</v>
      </c>
      <c r="X101" s="801">
        <f t="shared" si="492"/>
        <v>8.4485201691235279</v>
      </c>
      <c r="Y101" s="150">
        <f t="shared" si="492"/>
        <v>7.777260708619778</v>
      </c>
      <c r="Z101" s="150">
        <f t="shared" ref="Z101:AA101" si="493">+Z99/Z100</f>
        <v>6.9950829155418432</v>
      </c>
      <c r="AA101" s="150">
        <f t="shared" si="493"/>
        <v>6.6303906870094362</v>
      </c>
      <c r="AB101" s="801">
        <f t="shared" ref="AB101" si="494">+AB99/AB100</f>
        <v>6.3764054371538847</v>
      </c>
      <c r="AC101" s="1313">
        <f t="shared" ref="AC101:AD101" si="495">+AC99/AC100</f>
        <v>6.1407286123618503</v>
      </c>
      <c r="AD101" s="1313">
        <f t="shared" si="495"/>
        <v>7.0117101937657962</v>
      </c>
      <c r="AE101" s="522">
        <f t="shared" ref="AE101" si="496">+AE99/AE100</f>
        <v>7.5687756584495176</v>
      </c>
      <c r="AF101" s="1249">
        <f t="shared" ref="AF101" si="497">+AF99/AF100</f>
        <v>7.6248387839149734</v>
      </c>
      <c r="AG101" s="522">
        <f t="shared" ref="AG101" si="498">+AG99/AG100</f>
        <v>7.5366210383778665</v>
      </c>
      <c r="AH101" s="522">
        <f t="shared" ref="AH101" si="499">+AH99/AH100</f>
        <v>7.1886617233718004</v>
      </c>
      <c r="AI101" s="1250">
        <f t="shared" ref="AI101" si="500">+AI99/AI100</f>
        <v>6.7560217713247033</v>
      </c>
      <c r="AK101" s="150">
        <f t="shared" ref="AK101" si="501">+AK99/AK100</f>
        <v>7.4234188426132981</v>
      </c>
      <c r="AL101" s="150">
        <f t="shared" ref="AL101" si="502">+AL99/AL100</f>
        <v>20.64213067636345</v>
      </c>
      <c r="AM101" s="150">
        <f t="shared" ref="AM101" si="503">+AM99/AM100</f>
        <v>23.193622058572366</v>
      </c>
      <c r="AN101" s="150">
        <f t="shared" ref="AN101" si="504">+AN99/AN100</f>
        <v>27.021054237089427</v>
      </c>
      <c r="AO101" s="150">
        <f t="shared" ref="AO101:AP101" si="505">+AO99/AO100</f>
        <v>8.7026034687324305</v>
      </c>
      <c r="AP101" s="150">
        <f t="shared" si="505"/>
        <v>6.6304398215299516</v>
      </c>
      <c r="AQ101" s="522">
        <f t="shared" ref="AQ101" si="506">+AQ99/AQ100</f>
        <v>7.5688266977822094</v>
      </c>
      <c r="AR101" s="522">
        <f t="shared" ref="AR101" si="507">+AR99/AR100</f>
        <v>6.7560662990162212</v>
      </c>
      <c r="AS101" s="522">
        <f t="shared" ref="AS101" si="508">+AS99/AS100</f>
        <v>6.0153018664630071</v>
      </c>
    </row>
    <row r="102" spans="2:45" x14ac:dyDescent="0.2">
      <c r="B102" s="237" t="s">
        <v>322</v>
      </c>
      <c r="H102" s="845">
        <f>SUM('FC - 3FS'!E56:H56)</f>
        <v>26197</v>
      </c>
      <c r="I102" s="162">
        <f>SUM('FC - 3FS'!F56:I56)</f>
        <v>26251</v>
      </c>
      <c r="J102" s="162">
        <f>SUM('FC - 3FS'!G56:J56)</f>
        <v>26975</v>
      </c>
      <c r="K102" s="162">
        <f>SUM('FC - 3FS'!H56:K56)</f>
        <v>27543</v>
      </c>
      <c r="L102" s="845">
        <f>SUM('FC - 3FS'!I56:L56)</f>
        <v>27797</v>
      </c>
      <c r="M102" s="162">
        <f>SUM('FC - 3FS'!J56:M56)</f>
        <v>27686</v>
      </c>
      <c r="N102" s="162">
        <f>SUM('FC - 3FS'!K56:N56)</f>
        <v>27368</v>
      </c>
      <c r="O102" s="162">
        <f>SUM('FC - 3FS'!L56:O56)</f>
        <v>26924</v>
      </c>
      <c r="P102" s="845">
        <f>SUM('FC - 3FS'!M56:P56)</f>
        <v>26969</v>
      </c>
      <c r="Q102" s="162">
        <f>SUM('FC - 3FS'!N56:Q56)</f>
        <v>27067</v>
      </c>
      <c r="R102" s="162">
        <f>SUM('FC - 3FS'!O56:R56)</f>
        <v>27295</v>
      </c>
      <c r="S102" s="162">
        <f>SUM('FC - 3FS'!P56:S56)</f>
        <v>27821</v>
      </c>
      <c r="T102" s="845">
        <f>SUM('FC - 3FS'!Q56:T56)</f>
        <v>28070</v>
      </c>
      <c r="U102" s="162">
        <f>SUM('FC - 3FS'!R56:U56)</f>
        <v>28471</v>
      </c>
      <c r="V102" s="162">
        <f>SUM('FC - 3FS'!S56:V56)</f>
        <v>29032</v>
      </c>
      <c r="W102" s="162">
        <f>SUM('FC - 3FS'!T56:W56)</f>
        <v>29428</v>
      </c>
      <c r="X102" s="845">
        <f>SUM('FC - 3FS'!U56:X56)</f>
        <v>29881</v>
      </c>
      <c r="Y102" s="162">
        <f>SUM('FC - 3FS'!V56:Y56)</f>
        <v>30529</v>
      </c>
      <c r="Z102" s="162">
        <f>SUM('FC - 3FS'!W56:Z56)</f>
        <v>31172</v>
      </c>
      <c r="AA102" s="162">
        <f>SUM('FC - 3FS'!X56:AA56)</f>
        <v>31864</v>
      </c>
      <c r="AB102" s="845">
        <f>SUM('FC - 3FS'!Y56:AB56)</f>
        <v>32471</v>
      </c>
      <c r="AC102" s="1305">
        <f>SUM('FC - 3FS'!Z56:AC56)</f>
        <v>32965</v>
      </c>
      <c r="AD102" s="1305">
        <f>SUM('FC - 3FS'!AA56:AD56)</f>
        <v>33406</v>
      </c>
      <c r="AE102" s="371">
        <f>SUM('FC - 3FS'!AB56:AE56)</f>
        <v>33884.392487627891</v>
      </c>
      <c r="AF102" s="1238">
        <f>SUM('FC - 3FS'!AC56:AF56)</f>
        <v>34904.694135444304</v>
      </c>
      <c r="AG102" s="371">
        <f>SUM('FC - 3FS'!AD56:AG56)</f>
        <v>35982.502429111715</v>
      </c>
      <c r="AH102" s="371">
        <f>SUM('FC - 3FS'!AE56:AH56)</f>
        <v>36618.287941643372</v>
      </c>
      <c r="AI102" s="902">
        <f>SUM('FC - 3FS'!AF56:AI56)</f>
        <v>37383.145408777054</v>
      </c>
      <c r="AK102" s="162">
        <f>'FC - 3FS'!AK56</f>
        <v>13383</v>
      </c>
      <c r="AL102" s="162">
        <f>'FC - 3FS'!AL56</f>
        <v>25140</v>
      </c>
      <c r="AM102" s="162">
        <f>'FC - 3FS'!AM56</f>
        <v>26924</v>
      </c>
      <c r="AN102" s="162">
        <f>'FC - 3FS'!AN56</f>
        <v>27821</v>
      </c>
      <c r="AO102" s="162">
        <f>'FC - 3FS'!AO56</f>
        <v>29428</v>
      </c>
      <c r="AP102" s="162">
        <f>'FC - 3FS'!AP56</f>
        <v>31864</v>
      </c>
      <c r="AQ102" s="371">
        <f>'FC - 3FS'!AQ56</f>
        <v>33884.392487627898</v>
      </c>
      <c r="AR102" s="371">
        <f>'FC - 3FS'!AR56</f>
        <v>37383.145408777047</v>
      </c>
      <c r="AS102" s="371">
        <f>'FC - 3FS'!AS56</f>
        <v>40069.346882909696</v>
      </c>
    </row>
    <row r="103" spans="2:45" s="3" customFormat="1" x14ac:dyDescent="0.2">
      <c r="B103" s="3" t="s">
        <v>323</v>
      </c>
      <c r="H103" s="1112">
        <f>+H99/H102</f>
        <v>0.99354887964270722</v>
      </c>
      <c r="I103" s="1113">
        <f>+I99/I102</f>
        <v>2.4350310464363263</v>
      </c>
      <c r="J103" s="1113">
        <f>+J99/J102</f>
        <v>2.3214457831325301</v>
      </c>
      <c r="K103" s="1113">
        <f t="shared" ref="K103:AI103" si="509">+K99/K102</f>
        <v>2.2963003303924774</v>
      </c>
      <c r="L103" s="1112">
        <f t="shared" si="509"/>
        <v>2.5611037162283701</v>
      </c>
      <c r="M103" s="1113">
        <f t="shared" si="509"/>
        <v>2.5246695080546124</v>
      </c>
      <c r="N103" s="1113">
        <f t="shared" si="509"/>
        <v>2.6001534638994448</v>
      </c>
      <c r="O103" s="1113">
        <f t="shared" si="509"/>
        <v>2.6049992571683256</v>
      </c>
      <c r="P103" s="1112">
        <f t="shared" si="509"/>
        <v>2.6620564351663019</v>
      </c>
      <c r="Q103" s="1113">
        <f t="shared" si="509"/>
        <v>2.6103742564746741</v>
      </c>
      <c r="R103" s="1113">
        <f t="shared" si="509"/>
        <v>2.5524088660926911</v>
      </c>
      <c r="S103" s="1113">
        <f t="shared" si="509"/>
        <v>2.5155098666474967</v>
      </c>
      <c r="T103" s="1112">
        <f t="shared" si="509"/>
        <v>2.588849305308158</v>
      </c>
      <c r="U103" s="1113">
        <f t="shared" si="509"/>
        <v>2.5885638017631978</v>
      </c>
      <c r="V103" s="1113">
        <f t="shared" si="509"/>
        <v>2.5085078534031413</v>
      </c>
      <c r="W103" s="1113">
        <f t="shared" si="509"/>
        <v>2.4595283403561234</v>
      </c>
      <c r="X103" s="1112">
        <f t="shared" si="509"/>
        <v>2.4742478498042235</v>
      </c>
      <c r="Y103" s="1113">
        <f t="shared" si="509"/>
        <v>2.4086606177732648</v>
      </c>
      <c r="Z103" s="1113">
        <f t="shared" ref="Z103:AA103" si="510">+Z99/Z102</f>
        <v>2.3275054536122162</v>
      </c>
      <c r="AA103" s="1113">
        <f t="shared" si="510"/>
        <v>2.3594652272156664</v>
      </c>
      <c r="AB103" s="1112">
        <f t="shared" ref="AB103" si="511">+AB99/AB102</f>
        <v>2.3403652489914077</v>
      </c>
      <c r="AC103" s="1314">
        <f t="shared" ref="AC103:AD103" si="512">+AC99/AC102</f>
        <v>2.2754133171545581</v>
      </c>
      <c r="AD103" s="1314">
        <f t="shared" si="512"/>
        <v>2.4914386637131054</v>
      </c>
      <c r="AE103" s="1251">
        <f t="shared" si="509"/>
        <v>2.4913697406074591</v>
      </c>
      <c r="AF103" s="1252">
        <f t="shared" si="509"/>
        <v>2.4533585025160054</v>
      </c>
      <c r="AG103" s="1251">
        <f t="shared" si="509"/>
        <v>2.3837793950469663</v>
      </c>
      <c r="AH103" s="1251">
        <f t="shared" si="509"/>
        <v>2.3238832065519399</v>
      </c>
      <c r="AI103" s="1253">
        <f t="shared" si="509"/>
        <v>2.2891915400372609</v>
      </c>
      <c r="AK103" s="1113">
        <f t="shared" ref="AK103" si="513">+AK99/AK102</f>
        <v>1.9236655866534349</v>
      </c>
      <c r="AL103" s="1113">
        <f t="shared" ref="AL103" si="514">+AL99/AL102</f>
        <v>2.5158109941279876</v>
      </c>
      <c r="AM103" s="1113">
        <f t="shared" ref="AM103" si="515">+AM99/AM102</f>
        <v>2.6050183147052013</v>
      </c>
      <c r="AN103" s="1113">
        <f t="shared" ref="AN103" si="516">+AN99/AN102</f>
        <v>2.5155289340448443</v>
      </c>
      <c r="AO103" s="1113">
        <f t="shared" ref="AO103:AP103" si="517">+AO99/AO102</f>
        <v>2.4595471336634369</v>
      </c>
      <c r="AP103" s="1113">
        <f t="shared" si="517"/>
        <v>2.3594827120364084</v>
      </c>
      <c r="AQ103" s="1226">
        <f t="shared" ref="AQ103" si="518">+AQ99/AQ102</f>
        <v>2.4913865409269254</v>
      </c>
      <c r="AR103" s="1226">
        <f t="shared" ref="AR103" si="519">+AR99/AR102</f>
        <v>2.2892066276758398</v>
      </c>
      <c r="AS103" s="1226">
        <f t="shared" ref="AS103" si="520">+AS99/AS102</f>
        <v>2.2269343265353982</v>
      </c>
    </row>
    <row r="104" spans="2:45" x14ac:dyDescent="0.2">
      <c r="B104" s="237" t="s">
        <v>324</v>
      </c>
      <c r="H104" s="632"/>
      <c r="I104" s="162">
        <f>SUM('FC - 3FS'!E58:H58)</f>
        <v>21878</v>
      </c>
      <c r="J104" s="162">
        <f>SUM('FC - 3FS'!F58:I58)</f>
        <v>20511</v>
      </c>
      <c r="K104" s="162">
        <f>SUM('FC - 3FS'!G58:J58)</f>
        <v>21357</v>
      </c>
      <c r="L104" s="845">
        <f>SUM('FC - 3FS'!H58:K58)</f>
        <v>22125</v>
      </c>
      <c r="M104" s="162">
        <f>SUM('FC - 3FS'!I58:L58)</f>
        <v>22740</v>
      </c>
      <c r="N104" s="162">
        <f>SUM('FC - 3FS'!J58:M58)</f>
        <v>23136</v>
      </c>
      <c r="O104" s="162">
        <f>SUM('FC - 3FS'!K58:N58)</f>
        <v>23398</v>
      </c>
      <c r="P104" s="845">
        <f>SUM('FC - 3FS'!L58:O58)</f>
        <v>23576</v>
      </c>
      <c r="Q104" s="162">
        <f>SUM('FC - 3FS'!M58:P58)</f>
        <v>24175</v>
      </c>
      <c r="R104" s="162">
        <f>SUM('FC - 3FS'!N58:Q58)</f>
        <v>24801</v>
      </c>
      <c r="S104" s="162">
        <f>SUM('FC - 3FS'!O58:R58)</f>
        <v>25488</v>
      </c>
      <c r="T104" s="845">
        <f>SUM('FC - 3FS'!P58:S58)</f>
        <v>26391</v>
      </c>
      <c r="U104" s="162">
        <f>SUM('FC - 3FS'!Q58:T58)</f>
        <v>26980</v>
      </c>
      <c r="V104" s="162">
        <f>SUM('FC - 3FS'!R58:U58)</f>
        <v>27698</v>
      </c>
      <c r="W104" s="162">
        <f>SUM('FC - 3FS'!S58:V58)</f>
        <v>28517</v>
      </c>
      <c r="X104" s="845">
        <f>SUM('FC - 3FS'!T58:W58)</f>
        <v>29116</v>
      </c>
      <c r="Y104" s="162">
        <f>SUM('FC - 3FS'!U58:X58)</f>
        <v>29681</v>
      </c>
      <c r="Z104" s="162">
        <f>SUM('FC - 3FS'!V58:Y58)</f>
        <v>30372</v>
      </c>
      <c r="AA104" s="162">
        <f>SUM('FC - 3FS'!W58:Z58)</f>
        <v>31047</v>
      </c>
      <c r="AB104" s="845">
        <f>SUM('FC - 3FS'!X58:AA58)</f>
        <v>31771</v>
      </c>
      <c r="AC104" s="1305">
        <f>SUM('FC - 3FS'!Y58:AB58)</f>
        <v>32412</v>
      </c>
      <c r="AD104" s="1305">
        <f>SUM('FC - 3FS'!Z58:AC58)</f>
        <v>32926</v>
      </c>
      <c r="AE104" s="371">
        <f>SUM('FC - 3FS'!AA58:AD58)</f>
        <v>33384</v>
      </c>
      <c r="AF104" s="1238">
        <f>SUM('FC - 3FS'!AB58:AE58)</f>
        <v>33869.392487627891</v>
      </c>
      <c r="AG104" s="371">
        <f>SUM('FC - 3FS'!AC58:AF58)</f>
        <v>34886.694135444304</v>
      </c>
      <c r="AH104" s="371">
        <f>SUM('FC - 3FS'!AD58:AG58)</f>
        <v>35966.502429111715</v>
      </c>
      <c r="AI104" s="902">
        <f>SUM('FC - 3FS'!AE58:AH58)</f>
        <v>36602.287941643372</v>
      </c>
      <c r="AK104" s="162">
        <f>'FC - 3FS'!AK58</f>
        <v>13383</v>
      </c>
      <c r="AL104" s="162">
        <f>'FC - 3FS'!AL58</f>
        <v>19722</v>
      </c>
      <c r="AM104" s="162">
        <f>'FC - 3FS'!AM58</f>
        <v>23576</v>
      </c>
      <c r="AN104" s="162">
        <f>'FC - 3FS'!AN58</f>
        <v>26391</v>
      </c>
      <c r="AO104" s="162">
        <f>'FC - 3FS'!AO58</f>
        <v>29116</v>
      </c>
      <c r="AP104" s="162">
        <f>'FC - 3FS'!AP58</f>
        <v>31771</v>
      </c>
      <c r="AQ104" s="371">
        <f>'FC - 3FS'!AQ58</f>
        <v>33869.392487627898</v>
      </c>
      <c r="AR104" s="371">
        <f>'FC - 3FS'!AR58</f>
        <v>37367.145408777047</v>
      </c>
      <c r="AS104" s="371">
        <f>'FC - 3FS'!AS58</f>
        <v>40069.346882909696</v>
      </c>
    </row>
    <row r="105" spans="2:45" s="3" customFormat="1" x14ac:dyDescent="0.2">
      <c r="B105" s="3" t="s">
        <v>325</v>
      </c>
      <c r="H105" s="1112"/>
      <c r="I105" s="1113">
        <f t="shared" ref="I105:J105" si="521">+I99/I104</f>
        <v>2.9217478745772008</v>
      </c>
      <c r="J105" s="1113">
        <f t="shared" si="521"/>
        <v>3.05304470771781</v>
      </c>
      <c r="K105" s="1113">
        <f t="shared" ref="K105" si="522">+K99/K104</f>
        <v>2.9614178021257667</v>
      </c>
      <c r="L105" s="1112">
        <f t="shared" ref="L105" si="523">+L99/L104</f>
        <v>3.2176723163841809</v>
      </c>
      <c r="M105" s="1113">
        <f t="shared" ref="M105" si="524">+M99/M104</f>
        <v>3.0737906772207562</v>
      </c>
      <c r="N105" s="1113">
        <f t="shared" ref="N105" si="525">+N99/N104</f>
        <v>3.0757693637621024</v>
      </c>
      <c r="O105" s="1113">
        <f t="shared" ref="O105" si="526">+O99/O104</f>
        <v>2.9975638943499443</v>
      </c>
      <c r="P105" s="1112">
        <f t="shared" ref="P105" si="527">+P99/P104</f>
        <v>3.0451730573464539</v>
      </c>
      <c r="Q105" s="1113">
        <f t="shared" ref="Q105" si="528">+Q99/Q104</f>
        <v>2.9226473629782834</v>
      </c>
      <c r="R105" s="1113">
        <f t="shared" ref="R105" si="529">+R99/R104</f>
        <v>2.8090802790210074</v>
      </c>
      <c r="S105" s="1113">
        <f t="shared" ref="S105" si="530">+S99/S104</f>
        <v>2.7457627118644066</v>
      </c>
      <c r="T105" s="1112">
        <f t="shared" ref="T105" si="531">+T99/T104</f>
        <v>2.7535523473911563</v>
      </c>
      <c r="U105" s="1113">
        <f t="shared" ref="U105" si="532">+U99/U104</f>
        <v>2.7316160118606376</v>
      </c>
      <c r="V105" s="1113">
        <f t="shared" ref="V105" si="533">+V99/V104</f>
        <v>2.6293234168532025</v>
      </c>
      <c r="W105" s="1113">
        <f t="shared" ref="W105" si="534">+W99/W104</f>
        <v>2.5381000806536451</v>
      </c>
      <c r="X105" s="1112">
        <f t="shared" ref="X105" si="535">+X99/X104</f>
        <v>2.5392567660392911</v>
      </c>
      <c r="Y105" s="1113">
        <f t="shared" ref="Y105:Z105" si="536">+Y99/Y104</f>
        <v>2.4774771739496648</v>
      </c>
      <c r="Z105" s="1113">
        <f t="shared" si="536"/>
        <v>2.3888120637429213</v>
      </c>
      <c r="AA105" s="1113">
        <f t="shared" ref="AA105:AB105" si="537">+AA99/AA104</f>
        <v>2.4215544174960542</v>
      </c>
      <c r="AB105" s="1112">
        <f t="shared" si="537"/>
        <v>2.3919297472537848</v>
      </c>
      <c r="AC105" s="1314">
        <f t="shared" ref="AC105:AD105" si="538">+AC99/AC104</f>
        <v>2.3142354683450574</v>
      </c>
      <c r="AD105" s="1314">
        <f t="shared" si="538"/>
        <v>2.5277592176395554</v>
      </c>
      <c r="AE105" s="1226">
        <f t="shared" ref="AE105" si="539">+AE99/AE104</f>
        <v>2.5287128601288891</v>
      </c>
      <c r="AF105" s="1254">
        <f t="shared" ref="AF105" si="540">+AF99/AF104</f>
        <v>2.5283514655951942</v>
      </c>
      <c r="AG105" s="1226">
        <f t="shared" ref="AG105" si="541">+AG99/AG104</f>
        <v>2.4586550832169163</v>
      </c>
      <c r="AH105" s="1226">
        <f t="shared" ref="AH105" si="542">+AH99/AH104</f>
        <v>2.36599665391401</v>
      </c>
      <c r="AI105" s="1255">
        <f t="shared" ref="AI105" si="543">+AI99/AI104</f>
        <v>2.3380281676980039</v>
      </c>
      <c r="AK105" s="1113">
        <f t="shared" ref="AK105" si="544">+AK99/AK104</f>
        <v>1.9236655866534349</v>
      </c>
      <c r="AL105" s="1113">
        <f t="shared" ref="AL105" si="545">+AL99/AL104</f>
        <v>3.2069510390618401</v>
      </c>
      <c r="AM105" s="1113">
        <f t="shared" ref="AM105" si="546">+AM99/AM104</f>
        <v>2.9749538982491872</v>
      </c>
      <c r="AN105" s="1113">
        <f t="shared" ref="AN105" si="547">+AN99/AN104</f>
        <v>2.651833218675367</v>
      </c>
      <c r="AO105" s="1113">
        <f t="shared" ref="AO105:AP105" si="548">+AO99/AO104</f>
        <v>2.4859030446987096</v>
      </c>
      <c r="AP105" s="1113">
        <f t="shared" si="548"/>
        <v>2.3663893845433925</v>
      </c>
      <c r="AQ105" s="1226">
        <f t="shared" ref="AQ105" si="549">+AQ99/AQ104</f>
        <v>2.492489920567631</v>
      </c>
      <c r="AR105" s="1226">
        <f t="shared" ref="AR105" si="550">+AR99/AR104</f>
        <v>2.2901868284817115</v>
      </c>
      <c r="AS105" s="1226">
        <f t="shared" ref="AS105" si="551">+AS99/AS104</f>
        <v>2.2269343265353982</v>
      </c>
    </row>
    <row r="106" spans="2:45" x14ac:dyDescent="0.2">
      <c r="H106" s="594"/>
      <c r="L106" s="594"/>
      <c r="P106" s="594"/>
      <c r="T106" s="594"/>
      <c r="X106" s="594"/>
      <c r="AB106" s="594"/>
      <c r="AE106" s="370"/>
      <c r="AF106" s="1229"/>
      <c r="AG106" s="370"/>
      <c r="AH106" s="370"/>
      <c r="AI106" s="913"/>
      <c r="AQ106" s="370"/>
      <c r="AR106" s="370"/>
      <c r="AS106" s="370"/>
    </row>
    <row r="107" spans="2:45" x14ac:dyDescent="0.2">
      <c r="B107" s="2" t="s">
        <v>326</v>
      </c>
      <c r="D107" s="162">
        <f>+'FC - 3FS'!D25</f>
        <v>-828</v>
      </c>
      <c r="E107" s="162">
        <f>+'FC - 3FS'!E25</f>
        <v>-819</v>
      </c>
      <c r="F107" s="162">
        <f>+'FC - 3FS'!F25</f>
        <v>-830</v>
      </c>
      <c r="G107" s="162">
        <f>+'FC - 3FS'!G25</f>
        <v>-827</v>
      </c>
      <c r="H107" s="845">
        <f>+'FC - 3FS'!H25</f>
        <v>-804</v>
      </c>
      <c r="I107" s="162">
        <f>+'FC - 3FS'!I25</f>
        <v>-833</v>
      </c>
      <c r="J107" s="162">
        <f>+'FC - 3FS'!J25</f>
        <v>-806</v>
      </c>
      <c r="K107" s="162">
        <f>+'FC - 3FS'!K25</f>
        <v>-790</v>
      </c>
      <c r="L107" s="845">
        <f>+'FC - 3FS'!L25</f>
        <v>-835</v>
      </c>
      <c r="M107" s="162">
        <f>+'FC - 3FS'!M25</f>
        <v>-850</v>
      </c>
      <c r="N107" s="162">
        <f>+'FC - 3FS'!N25</f>
        <v>-836</v>
      </c>
      <c r="O107" s="162">
        <f>+'FC - 3FS'!O25</f>
        <v>-821</v>
      </c>
      <c r="P107" s="845">
        <f>+'FC - 3FS'!P25</f>
        <v>-864</v>
      </c>
      <c r="Q107" s="162">
        <f>+'FC - 3FS'!Q25</f>
        <v>-851</v>
      </c>
      <c r="R107" s="162">
        <f>+'FC - 3FS'!R25</f>
        <v>-827</v>
      </c>
      <c r="S107" s="162">
        <f>+'FC - 3FS'!S25</f>
        <v>-822</v>
      </c>
      <c r="T107" s="845">
        <f>+'FC - 3FS'!T25</f>
        <v>-835</v>
      </c>
      <c r="U107" s="162">
        <f>+'FC - 3FS'!U25</f>
        <v>-861</v>
      </c>
      <c r="V107" s="162">
        <f>+'FC - 3FS'!V25</f>
        <v>-790</v>
      </c>
      <c r="W107" s="162">
        <f>+'FC - 3FS'!W25</f>
        <v>-849</v>
      </c>
      <c r="X107" s="845">
        <f>+'FC - 3FS'!X25</f>
        <v>-880</v>
      </c>
      <c r="Y107" s="162">
        <f>+'FC - 3FS'!Y25</f>
        <v>-854</v>
      </c>
      <c r="Z107" s="162">
        <f>+'FC - 3FS'!Z25</f>
        <v>-836</v>
      </c>
      <c r="AA107" s="162">
        <f>+'FC - 3FS'!AA25</f>
        <v>-841</v>
      </c>
      <c r="AB107" s="845">
        <f>+'FC - 3FS'!AB25</f>
        <v>-916</v>
      </c>
      <c r="AC107" s="1305">
        <f>+'FC - 3FS'!AC25</f>
        <v>-922</v>
      </c>
      <c r="AD107" s="1305">
        <f>+'FC - 3FS'!AD25</f>
        <v>-924</v>
      </c>
      <c r="AE107" s="554">
        <f t="shared" ref="AE107:AI107" si="552">+AE108*AD97</f>
        <v>-1014.6249464217237</v>
      </c>
      <c r="AF107" s="1180">
        <f t="shared" si="552"/>
        <v>-957.77247821602327</v>
      </c>
      <c r="AG107" s="554">
        <f t="shared" si="552"/>
        <v>-968.96248713336445</v>
      </c>
      <c r="AH107" s="554">
        <f t="shared" si="552"/>
        <v>-998.72283828119964</v>
      </c>
      <c r="AI107" s="901">
        <f t="shared" si="552"/>
        <v>-1024.3196510173768</v>
      </c>
      <c r="AK107" s="162">
        <f>+'FC - 3FS'!AK25</f>
        <v>-1111</v>
      </c>
      <c r="AL107" s="162">
        <f>+'FC - 3FS'!AL25</f>
        <v>-2701</v>
      </c>
      <c r="AM107" s="162">
        <f>+'FC - 3FS'!AM25</f>
        <v>-3342</v>
      </c>
      <c r="AN107" s="162">
        <f>+'FC - 3FS'!AN25</f>
        <v>-3364</v>
      </c>
      <c r="AO107" s="162">
        <f>+'FC - 3FS'!AO25</f>
        <v>-3335</v>
      </c>
      <c r="AP107" s="162">
        <f>+'FC - 3FS'!AP25</f>
        <v>-3411</v>
      </c>
      <c r="AQ107" s="371">
        <f>+'FC - 3FS'!AQ25</f>
        <v>-3776.6249464217235</v>
      </c>
      <c r="AR107" s="371">
        <f>+'FC - 3FS'!AR25</f>
        <v>-3949.7774546479641</v>
      </c>
      <c r="AS107" s="554">
        <f>+AS108*AR97</f>
        <v>-4240.0516674351875</v>
      </c>
    </row>
    <row r="108" spans="2:45" x14ac:dyDescent="0.2">
      <c r="B108" s="237" t="s">
        <v>656</v>
      </c>
      <c r="D108" s="174"/>
      <c r="E108" s="174">
        <f>+E107/D97</f>
        <v>-2.9333810888252147E-2</v>
      </c>
      <c r="F108" s="174">
        <f t="shared" ref="F108:AD108" si="553">+F107/E97</f>
        <v>-3.0164268062218346E-2</v>
      </c>
      <c r="G108" s="174">
        <f t="shared" si="553"/>
        <v>-2.9673484033010407E-2</v>
      </c>
      <c r="H108" s="856">
        <f t="shared" si="553"/>
        <v>-2.9480786154297448E-2</v>
      </c>
      <c r="I108" s="174">
        <f t="shared" si="553"/>
        <v>-3.0692704495210024E-2</v>
      </c>
      <c r="J108" s="174">
        <f t="shared" si="553"/>
        <v>-1.0746953252086723E-2</v>
      </c>
      <c r="K108" s="174">
        <f t="shared" si="553"/>
        <v>-1.1417504913862874E-2</v>
      </c>
      <c r="L108" s="856">
        <f t="shared" si="553"/>
        <v>-1.1340178183398523E-2</v>
      </c>
      <c r="M108" s="174">
        <f t="shared" si="553"/>
        <v>-1.0915908974161401E-2</v>
      </c>
      <c r="N108" s="174">
        <f t="shared" si="553"/>
        <v>-1.0760577158229395E-2</v>
      </c>
      <c r="O108" s="174">
        <f t="shared" si="553"/>
        <v>-1.091523080195703E-2</v>
      </c>
      <c r="P108" s="856">
        <f t="shared" si="553"/>
        <v>-1.1254689453939141E-2</v>
      </c>
      <c r="Q108" s="174">
        <f t="shared" si="553"/>
        <v>-1.1340920600229218E-2</v>
      </c>
      <c r="R108" s="174">
        <f t="shared" si="553"/>
        <v>-1.1205051079858006E-2</v>
      </c>
      <c r="S108" s="174">
        <f t="shared" si="553"/>
        <v>-1.0737238100214222E-2</v>
      </c>
      <c r="T108" s="856">
        <f t="shared" si="553"/>
        <v>-1.1209407847927937E-2</v>
      </c>
      <c r="U108" s="174">
        <f t="shared" si="553"/>
        <v>-1.1151549689803003E-2</v>
      </c>
      <c r="V108" s="174">
        <f t="shared" si="553"/>
        <v>-9.8324745475817099E-3</v>
      </c>
      <c r="W108" s="174">
        <f t="shared" si="553"/>
        <v>-1.0904607164416815E-2</v>
      </c>
      <c r="X108" s="856">
        <f t="shared" si="553"/>
        <v>-1.1352787883479114E-2</v>
      </c>
      <c r="Y108" s="174">
        <f t="shared" si="553"/>
        <v>-1.0590146451556901E-2</v>
      </c>
      <c r="Z108" s="174">
        <f t="shared" si="553"/>
        <v>-1.0456404547785519E-2</v>
      </c>
      <c r="AA108" s="174">
        <f t="shared" si="553"/>
        <v>-1.0217842953819238E-2</v>
      </c>
      <c r="AB108" s="856">
        <f t="shared" si="553"/>
        <v>-1.1366033428050279E-2</v>
      </c>
      <c r="AC108" s="1279">
        <f t="shared" si="553"/>
        <v>-1.0477629919201792E-2</v>
      </c>
      <c r="AD108" s="1279">
        <f t="shared" si="553"/>
        <v>-1.0836421635314538E-2</v>
      </c>
      <c r="AE108" s="1139">
        <f>AVERAGE(AA108:AD108)-0.1%</f>
        <v>-1.1724481984096462E-2</v>
      </c>
      <c r="AF108" s="1230">
        <f t="shared" ref="AF108:AI108" si="554">AVERAGE(AB108:AE108)</f>
        <v>-1.1101141741665769E-2</v>
      </c>
      <c r="AG108" s="1139">
        <f t="shared" si="554"/>
        <v>-1.1034918820069638E-2</v>
      </c>
      <c r="AH108" s="1139">
        <f t="shared" si="554"/>
        <v>-1.1174241045286602E-2</v>
      </c>
      <c r="AI108" s="1138">
        <f t="shared" si="554"/>
        <v>-1.1258695897779619E-2</v>
      </c>
      <c r="AL108" s="174">
        <f>+AL107/AK97</f>
        <v>-9.90377950346331E-2</v>
      </c>
      <c r="AM108" s="174">
        <f t="shared" ref="AM108:AR108" si="555">+AM107/AL97</f>
        <v>-4.5387573786599911E-2</v>
      </c>
      <c r="AN108" s="174">
        <f t="shared" si="555"/>
        <v>-4.3820048922837834E-2</v>
      </c>
      <c r="AO108" s="174">
        <f t="shared" si="555"/>
        <v>-4.4770190366289583E-2</v>
      </c>
      <c r="AP108" s="174">
        <f t="shared" si="555"/>
        <v>-4.4004639978044831E-2</v>
      </c>
      <c r="AQ108" s="384">
        <f t="shared" si="555"/>
        <v>-4.6861297642297829E-2</v>
      </c>
      <c r="AR108" s="384">
        <f t="shared" si="555"/>
        <v>-4.5779922749590342E-2</v>
      </c>
      <c r="AS108" s="1139">
        <f t="shared" ref="AS108" si="556">+AR108</f>
        <v>-4.5779922749590342E-2</v>
      </c>
    </row>
    <row r="109" spans="2:45" x14ac:dyDescent="0.2">
      <c r="H109" s="594"/>
      <c r="L109" s="594"/>
      <c r="P109" s="594"/>
      <c r="T109" s="594"/>
      <c r="X109" s="594"/>
      <c r="AB109" s="594"/>
      <c r="AE109" s="370"/>
      <c r="AF109" s="1229"/>
      <c r="AG109" s="370"/>
      <c r="AH109" s="370"/>
      <c r="AI109" s="913"/>
      <c r="AQ109" s="370"/>
      <c r="AR109" s="370"/>
      <c r="AS109" s="370"/>
    </row>
    <row r="110" spans="2:45" x14ac:dyDescent="0.2">
      <c r="B110" s="2" t="s">
        <v>64</v>
      </c>
      <c r="D110" s="162">
        <f>+'FC - 3FS'!D97</f>
        <v>2244</v>
      </c>
      <c r="E110" s="162">
        <f>+'FC - 3FS'!E97</f>
        <v>2247</v>
      </c>
      <c r="F110" s="162">
        <f>+'FC - 3FS'!F97</f>
        <v>2241</v>
      </c>
      <c r="G110" s="162">
        <f>+'FC - 3FS'!G97</f>
        <v>2236</v>
      </c>
      <c r="H110" s="845">
        <f>+'FC - 3FS'!H97</f>
        <v>2230</v>
      </c>
      <c r="I110" s="162">
        <f>+'FC - 3FS'!I97</f>
        <v>3130</v>
      </c>
      <c r="J110" s="162">
        <f>+'FC - 3FS'!J97</f>
        <v>3079</v>
      </c>
      <c r="K110" s="162">
        <f>+'FC - 3FS'!K97</f>
        <v>3028</v>
      </c>
      <c r="L110" s="845">
        <f>+'FC - 3FS'!L97</f>
        <v>2974</v>
      </c>
      <c r="M110" s="162">
        <f>+'FC - 3FS'!M97</f>
        <v>2919</v>
      </c>
      <c r="N110" s="162">
        <f>+'FC - 3FS'!N97</f>
        <v>2862</v>
      </c>
      <c r="O110" s="162">
        <f>+'FC - 3FS'!O97</f>
        <v>2806</v>
      </c>
      <c r="P110" s="845">
        <f>+'FC - 3FS'!P97</f>
        <v>4037</v>
      </c>
      <c r="Q110" s="162">
        <f>+'FC - 3FS'!Q97</f>
        <v>4006</v>
      </c>
      <c r="R110" s="162">
        <f>+'FC - 3FS'!R97</f>
        <v>3970</v>
      </c>
      <c r="S110" s="162">
        <f>+'FC - 3FS'!S97</f>
        <v>3934</v>
      </c>
      <c r="T110" s="845">
        <f>+'FC - 3FS'!T97</f>
        <v>3897</v>
      </c>
      <c r="U110" s="162">
        <f>+'FC - 3FS'!U97</f>
        <v>3860</v>
      </c>
      <c r="V110" s="162">
        <f>+'FC - 3FS'!V97</f>
        <v>3819</v>
      </c>
      <c r="W110" s="162">
        <f>+'FC - 3FS'!W97</f>
        <v>3777</v>
      </c>
      <c r="X110" s="845">
        <f>+'FC - 3FS'!X97</f>
        <v>3751</v>
      </c>
      <c r="Y110" s="162">
        <f>+'FC - 3FS'!Y97</f>
        <v>3725</v>
      </c>
      <c r="Z110" s="162">
        <f>+'FC - 3FS'!Z97</f>
        <v>3695</v>
      </c>
      <c r="AA110" s="162">
        <f>+'FC - 3FS'!AA97</f>
        <v>3664</v>
      </c>
      <c r="AB110" s="845">
        <f>+'FC - 3FS'!AB97</f>
        <v>3634</v>
      </c>
      <c r="AC110" s="1305">
        <f>+'FC - 3FS'!AC97</f>
        <v>3603</v>
      </c>
      <c r="AD110" s="1305">
        <f>+'FC - 3FS'!AD97</f>
        <v>3568</v>
      </c>
      <c r="AE110" s="332">
        <f t="shared" ref="AE110:AI110" si="557">+AD110</f>
        <v>3568</v>
      </c>
      <c r="AF110" s="1233">
        <f t="shared" si="557"/>
        <v>3568</v>
      </c>
      <c r="AG110" s="332">
        <f t="shared" si="557"/>
        <v>3568</v>
      </c>
      <c r="AH110" s="332">
        <f t="shared" si="557"/>
        <v>3568</v>
      </c>
      <c r="AI110" s="1208">
        <f t="shared" si="557"/>
        <v>3568</v>
      </c>
      <c r="AK110" s="162">
        <f>+'FC - 3FS'!AK97</f>
        <v>2236</v>
      </c>
      <c r="AL110" s="162">
        <f>+'FC - 3FS'!AL97</f>
        <v>3028</v>
      </c>
      <c r="AM110" s="162">
        <f>+'FC - 3FS'!AM97</f>
        <v>2806</v>
      </c>
      <c r="AN110" s="162">
        <f>+'FC - 3FS'!AN97</f>
        <v>3934</v>
      </c>
      <c r="AO110" s="162">
        <f>+'FC - 3FS'!AO97</f>
        <v>3777</v>
      </c>
      <c r="AP110" s="162">
        <f>+'FC - 3FS'!AP97</f>
        <v>3664</v>
      </c>
      <c r="AQ110" s="554">
        <f t="shared" ref="AQ110:AR110" si="558">SUMIFS($D110:$AI110,$D$3:$AI$3,AQ$3,$D$2:$AI$2,4)</f>
        <v>3568</v>
      </c>
      <c r="AR110" s="554">
        <f t="shared" si="558"/>
        <v>3568</v>
      </c>
      <c r="AS110" s="332">
        <f t="shared" ref="AS110" si="559">+AR110</f>
        <v>3568</v>
      </c>
    </row>
    <row r="111" spans="2:45" x14ac:dyDescent="0.2">
      <c r="H111" s="594"/>
      <c r="L111" s="594"/>
      <c r="P111" s="594"/>
      <c r="T111" s="594"/>
      <c r="X111" s="594"/>
      <c r="AB111" s="594"/>
      <c r="AE111" s="370"/>
      <c r="AF111" s="1229"/>
      <c r="AG111" s="370"/>
      <c r="AH111" s="370"/>
      <c r="AI111" s="913"/>
      <c r="AQ111" s="370"/>
      <c r="AR111" s="370"/>
      <c r="AS111" s="370"/>
    </row>
    <row r="112" spans="2:45" s="3" customFormat="1" x14ac:dyDescent="0.2">
      <c r="B112" s="3" t="s">
        <v>809</v>
      </c>
      <c r="D112" s="569">
        <f>+D113+D114</f>
        <v>11541</v>
      </c>
      <c r="E112" s="569">
        <f t="shared" ref="E112:Y112" si="560">+E113+E114</f>
        <v>12413</v>
      </c>
      <c r="F112" s="569">
        <f t="shared" si="560"/>
        <v>12846</v>
      </c>
      <c r="G112" s="569">
        <f t="shared" si="560"/>
        <v>12826</v>
      </c>
      <c r="H112" s="854">
        <f t="shared" si="560"/>
        <v>12651</v>
      </c>
      <c r="I112" s="569">
        <f t="shared" si="560"/>
        <v>19651</v>
      </c>
      <c r="J112" s="569">
        <f t="shared" si="560"/>
        <v>30316</v>
      </c>
      <c r="K112" s="569">
        <f t="shared" si="560"/>
        <v>30587</v>
      </c>
      <c r="L112" s="854">
        <f t="shared" si="560"/>
        <v>30100</v>
      </c>
      <c r="M112" s="569">
        <f t="shared" si="560"/>
        <v>30092</v>
      </c>
      <c r="N112" s="569">
        <f t="shared" si="560"/>
        <v>29356</v>
      </c>
      <c r="O112" s="569">
        <f t="shared" si="560"/>
        <v>29243</v>
      </c>
      <c r="P112" s="854">
        <f t="shared" si="560"/>
        <v>34439</v>
      </c>
      <c r="Q112" s="569">
        <f t="shared" si="560"/>
        <v>34264</v>
      </c>
      <c r="R112" s="569">
        <f t="shared" si="560"/>
        <v>33638</v>
      </c>
      <c r="S112" s="569">
        <f t="shared" si="560"/>
        <v>33367</v>
      </c>
      <c r="T112" s="854">
        <f t="shared" si="560"/>
        <v>32820</v>
      </c>
      <c r="U112" s="569">
        <f t="shared" si="560"/>
        <v>32342</v>
      </c>
      <c r="V112" s="569">
        <f t="shared" si="560"/>
        <v>32222</v>
      </c>
      <c r="W112" s="569">
        <f t="shared" si="560"/>
        <v>31795</v>
      </c>
      <c r="X112" s="854">
        <f t="shared" si="560"/>
        <v>31270</v>
      </c>
      <c r="Y112" s="569">
        <f t="shared" si="560"/>
        <v>30474</v>
      </c>
      <c r="Z112" s="569">
        <f t="shared" ref="Z112:AA112" si="561">+Z113+Z114</f>
        <v>30149</v>
      </c>
      <c r="AA112" s="569">
        <f t="shared" si="561"/>
        <v>29689</v>
      </c>
      <c r="AB112" s="854">
        <f t="shared" ref="AB112" si="562">+AB113+AB114</f>
        <v>29279</v>
      </c>
      <c r="AC112" s="569">
        <f t="shared" ref="AC112:AD112" si="563">+AC113+AC114</f>
        <v>28989</v>
      </c>
      <c r="AD112" s="569">
        <f t="shared" si="563"/>
        <v>30330</v>
      </c>
      <c r="AE112" s="1225">
        <f t="shared" ref="AE112:AI112" si="564">AE116+AD112</f>
        <v>31526.554373657716</v>
      </c>
      <c r="AF112" s="1247">
        <f t="shared" si="564"/>
        <v>30187.623027642498</v>
      </c>
      <c r="AG112" s="1225">
        <f t="shared" si="564"/>
        <v>28818.34352609163</v>
      </c>
      <c r="AH112" s="1225">
        <f t="shared" si="564"/>
        <v>30271.953907642201</v>
      </c>
      <c r="AI112" s="1248">
        <f t="shared" si="564"/>
        <v>31557.994672452205</v>
      </c>
      <c r="AK112" s="569">
        <f t="shared" ref="AK112" si="565">+AK113+AK114</f>
        <v>12826</v>
      </c>
      <c r="AL112" s="569">
        <f t="shared" ref="AL112" si="566">+AL113+AL114</f>
        <v>30587</v>
      </c>
      <c r="AM112" s="569">
        <f t="shared" ref="AM112" si="567">+AM113+AM114</f>
        <v>29243</v>
      </c>
      <c r="AN112" s="569">
        <f t="shared" ref="AN112" si="568">+AN113+AN114</f>
        <v>33367</v>
      </c>
      <c r="AO112" s="569">
        <f t="shared" ref="AO112:AP112" si="569">+AO113+AO114</f>
        <v>31795</v>
      </c>
      <c r="AP112" s="569">
        <f t="shared" si="569"/>
        <v>29689</v>
      </c>
      <c r="AQ112" s="1225">
        <f t="shared" ref="AQ112" si="570">+AQ113+AQ114</f>
        <v>31526.554373657716</v>
      </c>
      <c r="AR112" s="1225">
        <f t="shared" ref="AR112" si="571">+AR113+AR114</f>
        <v>31557.994672452205</v>
      </c>
      <c r="AS112" s="1225">
        <f t="shared" ref="AS112" si="572">AS116+AR112</f>
        <v>31094.785879086387</v>
      </c>
    </row>
    <row r="113" spans="2:45" x14ac:dyDescent="0.2">
      <c r="B113" s="2" t="s">
        <v>328</v>
      </c>
      <c r="D113" s="162">
        <f>+'FC - 3FS'!D91</f>
        <v>2202</v>
      </c>
      <c r="E113" s="162">
        <f>+'FC - 3FS'!E91</f>
        <v>2268</v>
      </c>
      <c r="F113" s="162">
        <f>+'FC - 3FS'!F91</f>
        <v>2232</v>
      </c>
      <c r="G113" s="162">
        <f>+'FC - 3FS'!G91</f>
        <v>2287</v>
      </c>
      <c r="H113" s="845">
        <f>+'FC - 3FS'!H91</f>
        <v>2187</v>
      </c>
      <c r="I113" s="162">
        <f>+'FC - 3FS'!I91</f>
        <v>4164</v>
      </c>
      <c r="J113" s="162">
        <f>+'FC - 3FS'!J91</f>
        <v>3658</v>
      </c>
      <c r="K113" s="162">
        <f>+'FC - 3FS'!K91</f>
        <v>3868</v>
      </c>
      <c r="L113" s="845">
        <f>+'FC - 3FS'!L91</f>
        <v>3498</v>
      </c>
      <c r="M113" s="162">
        <f>+'FC - 3FS'!M91</f>
        <v>3577</v>
      </c>
      <c r="N113" s="162">
        <f>+'FC - 3FS'!N91</f>
        <v>3077</v>
      </c>
      <c r="O113" s="162">
        <f>+'FC - 3FS'!O91</f>
        <v>3425</v>
      </c>
      <c r="P113" s="845">
        <f>+'FC - 3FS'!P91</f>
        <v>3252</v>
      </c>
      <c r="Q113" s="162">
        <f>+'FC - 3FS'!Q91</f>
        <v>3348</v>
      </c>
      <c r="R113" s="162">
        <f>+'FC - 3FS'!R91</f>
        <v>3367</v>
      </c>
      <c r="S113" s="162">
        <f>+'FC - 3FS'!S91</f>
        <v>3512</v>
      </c>
      <c r="T113" s="845">
        <f>+'FC - 3FS'!T91</f>
        <v>3441</v>
      </c>
      <c r="U113" s="162">
        <f>+'FC - 3FS'!U91</f>
        <v>3289</v>
      </c>
      <c r="V113" s="162">
        <f>+'FC - 3FS'!V91</f>
        <v>3545</v>
      </c>
      <c r="W113" s="162">
        <f>+'FC - 3FS'!W91</f>
        <v>3555</v>
      </c>
      <c r="X113" s="845">
        <f>+'FC - 3FS'!X91</f>
        <v>3443</v>
      </c>
      <c r="Y113" s="162">
        <f>+'FC - 3FS'!Y91</f>
        <v>3202</v>
      </c>
      <c r="Z113" s="162">
        <f>+'FC - 3FS'!Z91</f>
        <v>3328</v>
      </c>
      <c r="AA113" s="162">
        <f>+'FC - 3FS'!AA91</f>
        <v>3281</v>
      </c>
      <c r="AB113" s="845">
        <f>+'FC - 3FS'!AB91</f>
        <v>3305</v>
      </c>
      <c r="AC113" s="1305">
        <f>+'FC - 3FS'!AC91</f>
        <v>3343</v>
      </c>
      <c r="AD113" s="1305">
        <f>+'FC - 3FS'!AD91</f>
        <v>3550</v>
      </c>
      <c r="AE113" s="554">
        <f t="shared" ref="AE113:AI113" si="573">+AE112-AE114</f>
        <v>3690.0516988620147</v>
      </c>
      <c r="AF113" s="1180">
        <f t="shared" si="573"/>
        <v>3533.3353692097226</v>
      </c>
      <c r="AG113" s="554">
        <f t="shared" si="573"/>
        <v>3373.0669145277061</v>
      </c>
      <c r="AH113" s="554">
        <f t="shared" si="573"/>
        <v>3543.2059469874657</v>
      </c>
      <c r="AI113" s="901">
        <f t="shared" si="573"/>
        <v>3693.7316547050905</v>
      </c>
      <c r="AK113" s="162">
        <f>+'FC - 3FS'!AK91</f>
        <v>2287</v>
      </c>
      <c r="AL113" s="162">
        <f>+'FC - 3FS'!AL91</f>
        <v>3868</v>
      </c>
      <c r="AM113" s="162">
        <f>+'FC - 3FS'!AM91</f>
        <v>3425</v>
      </c>
      <c r="AN113" s="162">
        <f>+'FC - 3FS'!AN91</f>
        <v>3512</v>
      </c>
      <c r="AO113" s="162">
        <f>+'FC - 3FS'!AO91</f>
        <v>3555</v>
      </c>
      <c r="AP113" s="162">
        <f>+'FC - 3FS'!AP91</f>
        <v>3281</v>
      </c>
      <c r="AQ113" s="554">
        <f t="shared" ref="AQ113:AR114" si="574">SUMIFS($D113:$AI113,$D$3:$AI$3,AQ$3,$D$2:$AI$2,4)</f>
        <v>3690.0516988620147</v>
      </c>
      <c r="AR113" s="554">
        <f t="shared" si="574"/>
        <v>3693.7316547050905</v>
      </c>
      <c r="AS113" s="554">
        <f t="shared" ref="AS113" si="575">+AS112-AS114</f>
        <v>3639.5149973872976</v>
      </c>
    </row>
    <row r="114" spans="2:45" x14ac:dyDescent="0.2">
      <c r="B114" s="2" t="s">
        <v>329</v>
      </c>
      <c r="D114" s="162">
        <f>+'FC - 3FS'!D99</f>
        <v>9339</v>
      </c>
      <c r="E114" s="162">
        <f>+'FC - 3FS'!E99</f>
        <v>10145</v>
      </c>
      <c r="F114" s="162">
        <f>+'FC - 3FS'!F99</f>
        <v>10614</v>
      </c>
      <c r="G114" s="162">
        <f>+'FC - 3FS'!G99</f>
        <v>10539</v>
      </c>
      <c r="H114" s="845">
        <f>+'FC - 3FS'!H99</f>
        <v>10464</v>
      </c>
      <c r="I114" s="162">
        <f>+'FC - 3FS'!I99</f>
        <v>15487</v>
      </c>
      <c r="J114" s="162">
        <f>+'FC - 3FS'!J99</f>
        <v>26658</v>
      </c>
      <c r="K114" s="162">
        <f>+'FC - 3FS'!K99</f>
        <v>26719</v>
      </c>
      <c r="L114" s="845">
        <f>+'FC - 3FS'!L99</f>
        <v>26602</v>
      </c>
      <c r="M114" s="162">
        <f>+'FC - 3FS'!M99</f>
        <v>26515</v>
      </c>
      <c r="N114" s="162">
        <f>+'FC - 3FS'!N99</f>
        <v>26279</v>
      </c>
      <c r="O114" s="162">
        <f>+'FC - 3FS'!O99</f>
        <v>25818</v>
      </c>
      <c r="P114" s="845">
        <f>+'FC - 3FS'!P99</f>
        <v>31187</v>
      </c>
      <c r="Q114" s="162">
        <f>+'FC - 3FS'!Q99</f>
        <v>30916</v>
      </c>
      <c r="R114" s="162">
        <f>+'FC - 3FS'!R99</f>
        <v>30271</v>
      </c>
      <c r="S114" s="162">
        <f>+'FC - 3FS'!S99</f>
        <v>29855</v>
      </c>
      <c r="T114" s="845">
        <f>+'FC - 3FS'!T99</f>
        <v>29379</v>
      </c>
      <c r="U114" s="162">
        <f>+'FC - 3FS'!U99</f>
        <v>29053</v>
      </c>
      <c r="V114" s="162">
        <f>+'FC - 3FS'!V99</f>
        <v>28677</v>
      </c>
      <c r="W114" s="162">
        <f>+'FC - 3FS'!W99</f>
        <v>28240</v>
      </c>
      <c r="X114" s="845">
        <f>+'FC - 3FS'!X99</f>
        <v>27827</v>
      </c>
      <c r="Y114" s="162">
        <f>+'FC - 3FS'!Y99</f>
        <v>27272</v>
      </c>
      <c r="Z114" s="162">
        <f>+'FC - 3FS'!Z99</f>
        <v>26821</v>
      </c>
      <c r="AA114" s="162">
        <f>+'FC - 3FS'!AA99</f>
        <v>26408</v>
      </c>
      <c r="AB114" s="845">
        <f>+'FC - 3FS'!AB99</f>
        <v>25974</v>
      </c>
      <c r="AC114" s="1305">
        <f>+'FC - 3FS'!AC99</f>
        <v>25646</v>
      </c>
      <c r="AD114" s="1305">
        <f>+'FC - 3FS'!AD99</f>
        <v>26780</v>
      </c>
      <c r="AE114" s="554">
        <f t="shared" ref="AE114:AI114" si="576">+AE115*AE112</f>
        <v>27836.502674795702</v>
      </c>
      <c r="AF114" s="1180">
        <f t="shared" si="576"/>
        <v>26654.287658432775</v>
      </c>
      <c r="AG114" s="554">
        <f t="shared" si="576"/>
        <v>25445.276611563924</v>
      </c>
      <c r="AH114" s="554">
        <f t="shared" si="576"/>
        <v>26728.747960654735</v>
      </c>
      <c r="AI114" s="901">
        <f t="shared" si="576"/>
        <v>27864.263017747115</v>
      </c>
      <c r="AK114" s="162">
        <f>+'FC - 3FS'!AK99</f>
        <v>10539</v>
      </c>
      <c r="AL114" s="162">
        <f>+'FC - 3FS'!AL99</f>
        <v>26719</v>
      </c>
      <c r="AM114" s="162">
        <f>+'FC - 3FS'!AM99</f>
        <v>25818</v>
      </c>
      <c r="AN114" s="162">
        <f>+'FC - 3FS'!AN99</f>
        <v>29855</v>
      </c>
      <c r="AO114" s="162">
        <f>+'FC - 3FS'!AO99</f>
        <v>28240</v>
      </c>
      <c r="AP114" s="162">
        <f>+'FC - 3FS'!AP99</f>
        <v>26408</v>
      </c>
      <c r="AQ114" s="554">
        <f t="shared" si="574"/>
        <v>27836.502674795702</v>
      </c>
      <c r="AR114" s="554">
        <f t="shared" si="574"/>
        <v>27864.263017747115</v>
      </c>
      <c r="AS114" s="554">
        <f t="shared" ref="AS114" si="577">+AS115*AS112</f>
        <v>27455.270881699089</v>
      </c>
    </row>
    <row r="115" spans="2:45" x14ac:dyDescent="0.2">
      <c r="B115" s="237" t="s">
        <v>333</v>
      </c>
      <c r="D115" s="173">
        <f>+D114/D112</f>
        <v>0.80920197556537565</v>
      </c>
      <c r="E115" s="173">
        <f t="shared" ref="E115:Y115" si="578">+E114/E112</f>
        <v>0.81728832675420926</v>
      </c>
      <c r="F115" s="173">
        <f t="shared" si="578"/>
        <v>0.8262494161606726</v>
      </c>
      <c r="G115" s="173">
        <f t="shared" si="578"/>
        <v>0.82169031654451896</v>
      </c>
      <c r="H115" s="847">
        <f t="shared" si="578"/>
        <v>0.82712829025373491</v>
      </c>
      <c r="I115" s="173">
        <f t="shared" si="578"/>
        <v>0.78810238664698995</v>
      </c>
      <c r="J115" s="173">
        <f t="shared" si="578"/>
        <v>0.8793376434885869</v>
      </c>
      <c r="K115" s="173">
        <f t="shared" si="578"/>
        <v>0.87354104684996892</v>
      </c>
      <c r="L115" s="847">
        <f t="shared" si="578"/>
        <v>0.88378737541528241</v>
      </c>
      <c r="M115" s="173">
        <f t="shared" si="578"/>
        <v>0.88113119766050774</v>
      </c>
      <c r="N115" s="173">
        <f t="shared" si="578"/>
        <v>0.89518326747513288</v>
      </c>
      <c r="O115" s="173">
        <f t="shared" si="578"/>
        <v>0.88287795369832101</v>
      </c>
      <c r="P115" s="847">
        <f t="shared" si="578"/>
        <v>0.90557217108510701</v>
      </c>
      <c r="Q115" s="173">
        <f t="shared" si="578"/>
        <v>0.90228811580667756</v>
      </c>
      <c r="R115" s="173">
        <f t="shared" si="578"/>
        <v>0.89990486949283544</v>
      </c>
      <c r="S115" s="173">
        <f t="shared" si="578"/>
        <v>0.89474630623070694</v>
      </c>
      <c r="T115" s="847">
        <f t="shared" si="578"/>
        <v>0.8951553930530165</v>
      </c>
      <c r="U115" s="173">
        <f t="shared" si="578"/>
        <v>0.89830560880588706</v>
      </c>
      <c r="V115" s="173">
        <f t="shared" si="578"/>
        <v>0.88998199987586124</v>
      </c>
      <c r="W115" s="173">
        <f t="shared" si="578"/>
        <v>0.88818996697593966</v>
      </c>
      <c r="X115" s="847">
        <f t="shared" si="578"/>
        <v>0.88989446754077395</v>
      </c>
      <c r="Y115" s="173">
        <f t="shared" si="578"/>
        <v>0.89492682286539349</v>
      </c>
      <c r="Z115" s="173">
        <f t="shared" ref="Z115:AA115" si="579">+Z114/Z112</f>
        <v>0.88961491260074965</v>
      </c>
      <c r="AA115" s="173">
        <f t="shared" si="579"/>
        <v>0.88948768904307995</v>
      </c>
      <c r="AB115" s="847">
        <f t="shared" ref="AB115" si="580">+AB114/AB112</f>
        <v>0.88712046176440451</v>
      </c>
      <c r="AC115" s="1303">
        <f t="shared" ref="AC115:AD115" si="581">+AC114/AC112</f>
        <v>0.88468039601228055</v>
      </c>
      <c r="AD115" s="1303">
        <f t="shared" si="581"/>
        <v>0.88295417078799865</v>
      </c>
      <c r="AE115" s="1143">
        <f t="shared" ref="AE115:AI115" si="582">+AD115</f>
        <v>0.88295417078799865</v>
      </c>
      <c r="AF115" s="1246">
        <f t="shared" si="582"/>
        <v>0.88295417078799865</v>
      </c>
      <c r="AG115" s="1143">
        <f t="shared" si="582"/>
        <v>0.88295417078799865</v>
      </c>
      <c r="AH115" s="1143">
        <f t="shared" si="582"/>
        <v>0.88295417078799865</v>
      </c>
      <c r="AI115" s="1142">
        <f t="shared" si="582"/>
        <v>0.88295417078799865</v>
      </c>
      <c r="AK115" s="173">
        <f t="shared" ref="AK115:AL115" si="583">+AK114/AK112</f>
        <v>0.82169031654451896</v>
      </c>
      <c r="AL115" s="173">
        <f t="shared" si="583"/>
        <v>0.87354104684996892</v>
      </c>
      <c r="AM115" s="173">
        <f t="shared" ref="AM115:AR115" si="584">+AM114/AM112</f>
        <v>0.88287795369832101</v>
      </c>
      <c r="AN115" s="173">
        <f t="shared" si="584"/>
        <v>0.89474630623070694</v>
      </c>
      <c r="AO115" s="173">
        <f t="shared" si="584"/>
        <v>0.88818996697593966</v>
      </c>
      <c r="AP115" s="173">
        <f t="shared" ref="AP115" si="585">+AP114/AP112</f>
        <v>0.88948768904307995</v>
      </c>
      <c r="AQ115" s="1218">
        <f t="shared" si="584"/>
        <v>0.88295417078799865</v>
      </c>
      <c r="AR115" s="1218">
        <f t="shared" si="584"/>
        <v>0.88295417078799865</v>
      </c>
      <c r="AS115" s="1143">
        <f>+AR115</f>
        <v>0.88295417078799865</v>
      </c>
    </row>
    <row r="116" spans="2:45" x14ac:dyDescent="0.2">
      <c r="B116" s="2" t="s">
        <v>334</v>
      </c>
      <c r="E116" s="161">
        <f>+E112-D112</f>
        <v>872</v>
      </c>
      <c r="F116" s="161">
        <f t="shared" ref="F116:AD116" si="586">+F112-E112</f>
        <v>433</v>
      </c>
      <c r="G116" s="161">
        <f t="shared" si="586"/>
        <v>-20</v>
      </c>
      <c r="H116" s="632">
        <f t="shared" si="586"/>
        <v>-175</v>
      </c>
      <c r="I116" s="161">
        <f t="shared" si="586"/>
        <v>7000</v>
      </c>
      <c r="J116" s="161">
        <f t="shared" si="586"/>
        <v>10665</v>
      </c>
      <c r="K116" s="161">
        <f t="shared" si="586"/>
        <v>271</v>
      </c>
      <c r="L116" s="632">
        <f t="shared" si="586"/>
        <v>-487</v>
      </c>
      <c r="M116" s="161">
        <f t="shared" si="586"/>
        <v>-8</v>
      </c>
      <c r="N116" s="161">
        <f t="shared" si="586"/>
        <v>-736</v>
      </c>
      <c r="O116" s="161">
        <f t="shared" si="586"/>
        <v>-113</v>
      </c>
      <c r="P116" s="632">
        <f t="shared" si="586"/>
        <v>5196</v>
      </c>
      <c r="Q116" s="161">
        <f t="shared" si="586"/>
        <v>-175</v>
      </c>
      <c r="R116" s="161">
        <f t="shared" si="586"/>
        <v>-626</v>
      </c>
      <c r="S116" s="161">
        <f t="shared" si="586"/>
        <v>-271</v>
      </c>
      <c r="T116" s="632">
        <f t="shared" si="586"/>
        <v>-547</v>
      </c>
      <c r="U116" s="161">
        <f t="shared" si="586"/>
        <v>-478</v>
      </c>
      <c r="V116" s="161">
        <f t="shared" si="586"/>
        <v>-120</v>
      </c>
      <c r="W116" s="161">
        <f t="shared" si="586"/>
        <v>-427</v>
      </c>
      <c r="X116" s="632">
        <f t="shared" si="586"/>
        <v>-525</v>
      </c>
      <c r="Y116" s="161">
        <f t="shared" si="586"/>
        <v>-796</v>
      </c>
      <c r="Z116" s="161">
        <f t="shared" si="586"/>
        <v>-325</v>
      </c>
      <c r="AA116" s="161">
        <f t="shared" si="586"/>
        <v>-460</v>
      </c>
      <c r="AB116" s="632">
        <f t="shared" si="586"/>
        <v>-410</v>
      </c>
      <c r="AC116" s="612">
        <f t="shared" si="586"/>
        <v>-290</v>
      </c>
      <c r="AD116" s="612">
        <f t="shared" si="586"/>
        <v>1341</v>
      </c>
      <c r="AE116" s="379">
        <f t="shared" ref="AE116:AI116" si="587">AE117*SUM(AB5:AE5)</f>
        <v>1196.5543736577147</v>
      </c>
      <c r="AF116" s="1243">
        <f t="shared" si="587"/>
        <v>-1338.9313460152184</v>
      </c>
      <c r="AG116" s="379">
        <f t="shared" si="587"/>
        <v>-1369.2795015508655</v>
      </c>
      <c r="AH116" s="379">
        <f t="shared" si="587"/>
        <v>1453.6103815505699</v>
      </c>
      <c r="AI116" s="921">
        <f t="shared" si="587"/>
        <v>1286.0407648100031</v>
      </c>
      <c r="AK116" s="161"/>
      <c r="AL116" s="161">
        <f t="shared" ref="AL116" si="588">+AL112-AK112</f>
        <v>17761</v>
      </c>
      <c r="AM116" s="161">
        <f t="shared" ref="AM116" si="589">+AM112-AL112</f>
        <v>-1344</v>
      </c>
      <c r="AN116" s="161">
        <f t="shared" ref="AN116" si="590">+AN112-AM112</f>
        <v>4124</v>
      </c>
      <c r="AO116" s="161">
        <f t="shared" ref="AO116:AP116" si="591">+AO112-AN112</f>
        <v>-1572</v>
      </c>
      <c r="AP116" s="161">
        <f t="shared" si="591"/>
        <v>-2106</v>
      </c>
      <c r="AQ116" s="524">
        <f t="shared" ref="AQ116" si="592">+AQ112-AP112</f>
        <v>1837.5543736577165</v>
      </c>
      <c r="AR116" s="524">
        <f t="shared" ref="AR116" si="593">+AR112-AQ112</f>
        <v>31.440298794488626</v>
      </c>
      <c r="AS116" s="379">
        <f>+AS117*AS5</f>
        <v>-463.20879336581947</v>
      </c>
    </row>
    <row r="117" spans="2:45" x14ac:dyDescent="0.2">
      <c r="B117" s="237" t="s">
        <v>299</v>
      </c>
      <c r="E117" s="173"/>
      <c r="F117" s="173"/>
      <c r="G117" s="174">
        <f t="shared" ref="G117:AD117" si="594">G116/SUM(D5:G5)</f>
        <v>-2.8325803390598668E-4</v>
      </c>
      <c r="H117" s="856">
        <f t="shared" si="594"/>
        <v>-2.4859367009489176E-3</v>
      </c>
      <c r="I117" s="174">
        <f t="shared" si="594"/>
        <v>9.9140311867095335E-2</v>
      </c>
      <c r="J117" s="174">
        <f t="shared" si="594"/>
        <v>0.14682801916405089</v>
      </c>
      <c r="K117" s="174">
        <f t="shared" si="594"/>
        <v>3.6282332779949658E-3</v>
      </c>
      <c r="L117" s="856">
        <f t="shared" si="594"/>
        <v>-6.321145334423634E-3</v>
      </c>
      <c r="M117" s="174">
        <f t="shared" si="594"/>
        <v>-1.0085474395501879E-4</v>
      </c>
      <c r="N117" s="174">
        <f t="shared" si="594"/>
        <v>-9.2376433968421323E-3</v>
      </c>
      <c r="O117" s="174">
        <f t="shared" si="594"/>
        <v>-1.4104196310442097E-3</v>
      </c>
      <c r="P117" s="856">
        <f t="shared" si="594"/>
        <v>6.4563426483927489E-2</v>
      </c>
      <c r="Q117" s="174">
        <f t="shared" si="594"/>
        <v>-2.1812289667206782E-3</v>
      </c>
      <c r="R117" s="174">
        <f t="shared" si="594"/>
        <v>-7.8168899766492272E-3</v>
      </c>
      <c r="S117" s="174">
        <f t="shared" si="594"/>
        <v>-3.4057634062661019E-3</v>
      </c>
      <c r="T117" s="856">
        <f t="shared" si="594"/>
        <v>-6.9167836323862269E-3</v>
      </c>
      <c r="U117" s="174">
        <f t="shared" si="594"/>
        <v>-6.0831275929649521E-3</v>
      </c>
      <c r="V117" s="174">
        <f t="shared" si="594"/>
        <v>-1.5315303817339478E-3</v>
      </c>
      <c r="W117" s="174">
        <f t="shared" si="594"/>
        <v>-5.4354744265383542E-3</v>
      </c>
      <c r="X117" s="856">
        <f t="shared" si="594"/>
        <v>-6.6861946001018852E-3</v>
      </c>
      <c r="Y117" s="174">
        <f t="shared" si="594"/>
        <v>-1.006372003641145E-2</v>
      </c>
      <c r="Z117" s="174">
        <f t="shared" si="594"/>
        <v>-4.0621953353498488E-3</v>
      </c>
      <c r="AA117" s="174">
        <f t="shared" si="594"/>
        <v>-5.6511056511056512E-3</v>
      </c>
      <c r="AB117" s="856">
        <f t="shared" si="594"/>
        <v>-4.9581579838436605E-3</v>
      </c>
      <c r="AC117" s="1279">
        <f t="shared" si="594"/>
        <v>-3.4502450863751013E-3</v>
      </c>
      <c r="AD117" s="1279">
        <f t="shared" si="594"/>
        <v>1.5620813773340944E-2</v>
      </c>
      <c r="AE117" s="1139">
        <f>+AD117-0.2%</f>
        <v>1.3620813773340944E-2</v>
      </c>
      <c r="AF117" s="1230">
        <f>+AB117-1%</f>
        <v>-1.4958157983843661E-2</v>
      </c>
      <c r="AG117" s="1139">
        <f>AF117</f>
        <v>-1.4958157983843661E-2</v>
      </c>
      <c r="AH117" s="1139">
        <f t="shared" ref="AH117:AI117" si="595">+AD117</f>
        <v>1.5620813773340944E-2</v>
      </c>
      <c r="AI117" s="1138">
        <f t="shared" si="595"/>
        <v>1.3620813773340944E-2</v>
      </c>
      <c r="AK117" s="174"/>
      <c r="AL117" s="174">
        <f t="shared" ref="AL117:AR117" si="596">AL116/AL5</f>
        <v>0.25967513195023173</v>
      </c>
      <c r="AM117" s="174">
        <f t="shared" si="596"/>
        <v>-1.6775256496667414E-2</v>
      </c>
      <c r="AN117" s="174">
        <f t="shared" si="596"/>
        <v>5.1827927259931385E-2</v>
      </c>
      <c r="AO117" s="174">
        <f t="shared" si="596"/>
        <v>-2.0010692736576796E-2</v>
      </c>
      <c r="AP117" s="174">
        <f t="shared" ref="AP117" si="597">AP116/AP5</f>
        <v>-2.5872235872235871E-2</v>
      </c>
      <c r="AQ117" s="384">
        <f t="shared" si="596"/>
        <v>2.0917549986023191E-2</v>
      </c>
      <c r="AR117" s="384">
        <f t="shared" si="596"/>
        <v>3.3299290860441192E-4</v>
      </c>
      <c r="AS117" s="1139">
        <f>+AR117 -0.5%</f>
        <v>-4.6670070913955881E-3</v>
      </c>
    </row>
    <row r="118" spans="2:45" x14ac:dyDescent="0.2">
      <c r="B118" s="237"/>
      <c r="E118" s="173"/>
      <c r="F118" s="173"/>
      <c r="G118" s="174"/>
      <c r="H118" s="856"/>
      <c r="I118" s="174"/>
      <c r="J118" s="174"/>
      <c r="K118" s="174"/>
      <c r="L118" s="856"/>
      <c r="M118" s="174"/>
      <c r="N118" s="174"/>
      <c r="O118" s="174"/>
      <c r="P118" s="856"/>
      <c r="Q118" s="174"/>
      <c r="R118" s="174"/>
      <c r="S118" s="174"/>
      <c r="T118" s="632"/>
      <c r="U118" s="161"/>
      <c r="V118" s="161"/>
      <c r="W118" s="161"/>
      <c r="X118" s="632"/>
      <c r="Y118" s="161"/>
      <c r="Z118" s="161"/>
      <c r="AA118" s="161"/>
      <c r="AB118" s="632"/>
      <c r="AC118" s="612"/>
      <c r="AD118" s="612"/>
      <c r="AE118" s="332"/>
      <c r="AF118" s="1233"/>
      <c r="AG118" s="332"/>
      <c r="AH118" s="332"/>
      <c r="AI118" s="1208"/>
      <c r="AQ118" s="379"/>
      <c r="AR118" s="370"/>
      <c r="AS118" s="370"/>
    </row>
    <row r="119" spans="2:45" x14ac:dyDescent="0.2">
      <c r="B119" s="2" t="s">
        <v>45</v>
      </c>
      <c r="D119" s="162">
        <f>+'FC - 3FS'!D77</f>
        <v>9509</v>
      </c>
      <c r="E119" s="162">
        <f>+'FC - 3FS'!E77</f>
        <v>10439</v>
      </c>
      <c r="F119" s="162">
        <f>+'FC - 3FS'!F77</f>
        <v>10914</v>
      </c>
      <c r="G119" s="162">
        <f>+'FC - 3FS'!G77</f>
        <v>10933</v>
      </c>
      <c r="H119" s="845">
        <f>+'FC - 3FS'!H77</f>
        <v>10956</v>
      </c>
      <c r="I119" s="162">
        <f>+'FC - 3FS'!I77</f>
        <v>17246</v>
      </c>
      <c r="J119" s="162">
        <f>+'FC - 3FS'!J77</f>
        <v>27999</v>
      </c>
      <c r="K119" s="162">
        <f>+'FC - 3FS'!K77</f>
        <v>28021</v>
      </c>
      <c r="L119" s="845">
        <f>+'FC - 3FS'!L77</f>
        <v>27793</v>
      </c>
      <c r="M119" s="162">
        <f>+'FC - 3FS'!M77</f>
        <v>27511</v>
      </c>
      <c r="N119" s="162">
        <f>+'FC - 3FS'!N77</f>
        <v>27446</v>
      </c>
      <c r="O119" s="162">
        <f>+'FC - 3FS'!O77</f>
        <v>26959</v>
      </c>
      <c r="P119" s="845">
        <f>+'FC - 3FS'!P77</f>
        <v>31449</v>
      </c>
      <c r="Q119" s="162">
        <f>+'FC - 3FS'!Q77</f>
        <v>30110</v>
      </c>
      <c r="R119" s="162">
        <f>+'FC - 3FS'!R77</f>
        <v>29264</v>
      </c>
      <c r="S119" s="162">
        <f>+'FC - 3FS'!S77</f>
        <v>28715</v>
      </c>
      <c r="T119" s="845">
        <f>+'FC - 3FS'!T77</f>
        <v>28146</v>
      </c>
      <c r="U119" s="162">
        <f>+'FC - 3FS'!U77</f>
        <v>27891</v>
      </c>
      <c r="V119" s="162">
        <f>+'FC - 3FS'!V77</f>
        <v>27568</v>
      </c>
      <c r="W119" s="162">
        <f>+'FC - 3FS'!W77</f>
        <v>27135</v>
      </c>
      <c r="X119" s="845">
        <f>+'FC - 3FS'!X77</f>
        <v>26766</v>
      </c>
      <c r="Y119" s="162">
        <f>+'FC - 3FS'!Y77</f>
        <v>26240</v>
      </c>
      <c r="Z119" s="162">
        <f>+'FC - 3FS'!Z77</f>
        <v>25833</v>
      </c>
      <c r="AA119" s="162">
        <f>+'FC - 3FS'!AA77</f>
        <v>25398</v>
      </c>
      <c r="AB119" s="845">
        <f>+'FC - 3FS'!AB77</f>
        <v>25025</v>
      </c>
      <c r="AC119" s="1305">
        <f>+'FC - 3FS'!AC77</f>
        <v>24735</v>
      </c>
      <c r="AD119" s="1305">
        <f>+'FC - 3FS'!AD77</f>
        <v>26070</v>
      </c>
      <c r="AE119" s="379">
        <f t="shared" ref="AE119:AI119" si="598">+AE120*AE112</f>
        <v>26969.969617776238</v>
      </c>
      <c r="AF119" s="1243">
        <f t="shared" si="598"/>
        <v>25801.607509366902</v>
      </c>
      <c r="AG119" s="379">
        <f t="shared" si="598"/>
        <v>24589.386564485718</v>
      </c>
      <c r="AH119" s="379">
        <f t="shared" si="598"/>
        <v>26020.10677125724</v>
      </c>
      <c r="AI119" s="921">
        <f t="shared" si="598"/>
        <v>26996.865798475566</v>
      </c>
      <c r="AK119" s="162">
        <f>+'FC - 3FS'!AK77</f>
        <v>10933</v>
      </c>
      <c r="AL119" s="162">
        <f>+'FC - 3FS'!AL77</f>
        <v>28021</v>
      </c>
      <c r="AM119" s="162">
        <f>+'FC - 3FS'!AM77</f>
        <v>26959</v>
      </c>
      <c r="AN119" s="162">
        <f>+'FC - 3FS'!AN77</f>
        <v>28715</v>
      </c>
      <c r="AO119" s="162">
        <f>+'FC - 3FS'!AO77</f>
        <v>27135</v>
      </c>
      <c r="AP119" s="162">
        <f>+'FC - 3FS'!AP77</f>
        <v>25398</v>
      </c>
      <c r="AQ119" s="554">
        <f t="shared" ref="AQ119:AR119" si="599">SUMIFS($D119:$AI119,$D$3:$AI$3,AQ$3,$D$2:$AI$2,4)</f>
        <v>26969.969617776238</v>
      </c>
      <c r="AR119" s="554">
        <f t="shared" si="599"/>
        <v>26996.865798475566</v>
      </c>
      <c r="AS119" s="379">
        <f t="shared" ref="AS119" si="600">+AS120*AS112</f>
        <v>26289.657475071377</v>
      </c>
    </row>
    <row r="120" spans="2:45" x14ac:dyDescent="0.2">
      <c r="B120" s="237" t="s">
        <v>650</v>
      </c>
      <c r="D120" s="173">
        <f>+D119/D112</f>
        <v>0.82393206827831211</v>
      </c>
      <c r="E120" s="173">
        <f t="shared" ref="E120:Y120" si="601">+E119/E112</f>
        <v>0.84097317328607102</v>
      </c>
      <c r="F120" s="173">
        <f t="shared" si="601"/>
        <v>0.84960298925735633</v>
      </c>
      <c r="G120" s="173">
        <f t="shared" si="601"/>
        <v>0.85240916887572116</v>
      </c>
      <c r="H120" s="847">
        <f t="shared" si="601"/>
        <v>0.86601849656153662</v>
      </c>
      <c r="I120" s="173">
        <f t="shared" si="601"/>
        <v>0.87761437076993543</v>
      </c>
      <c r="J120" s="173">
        <f t="shared" si="601"/>
        <v>0.92357171130756033</v>
      </c>
      <c r="K120" s="173">
        <f t="shared" si="601"/>
        <v>0.91610815052146333</v>
      </c>
      <c r="L120" s="847">
        <f t="shared" si="601"/>
        <v>0.92335548172757476</v>
      </c>
      <c r="M120" s="173">
        <f t="shared" si="601"/>
        <v>0.91422969560015954</v>
      </c>
      <c r="N120" s="173">
        <f t="shared" si="601"/>
        <v>0.93493663986919195</v>
      </c>
      <c r="O120" s="173">
        <f t="shared" si="601"/>
        <v>0.92189583832028177</v>
      </c>
      <c r="P120" s="847">
        <f t="shared" si="601"/>
        <v>0.91317982519817653</v>
      </c>
      <c r="Q120" s="173">
        <f t="shared" si="601"/>
        <v>0.87876488442680367</v>
      </c>
      <c r="R120" s="174">
        <f t="shared" si="601"/>
        <v>0.86996848801950177</v>
      </c>
      <c r="S120" s="174">
        <f t="shared" si="601"/>
        <v>0.86058081337848769</v>
      </c>
      <c r="T120" s="856">
        <f t="shared" si="601"/>
        <v>0.85758683729433272</v>
      </c>
      <c r="U120" s="174">
        <f t="shared" si="601"/>
        <v>0.86237709479933211</v>
      </c>
      <c r="V120" s="174">
        <f t="shared" si="601"/>
        <v>0.85556452113462855</v>
      </c>
      <c r="W120" s="174">
        <f t="shared" si="601"/>
        <v>0.85343607485453687</v>
      </c>
      <c r="X120" s="856">
        <f t="shared" si="601"/>
        <v>0.85596418292292931</v>
      </c>
      <c r="Y120" s="174">
        <f t="shared" si="601"/>
        <v>0.86106188882325918</v>
      </c>
      <c r="Z120" s="174">
        <f t="shared" ref="Z120:AA120" si="602">+Z119/Z112</f>
        <v>0.85684433977909713</v>
      </c>
      <c r="AA120" s="174">
        <f t="shared" si="602"/>
        <v>0.8554683552831015</v>
      </c>
      <c r="AB120" s="856">
        <f t="shared" ref="AB120" si="603">+AB119/AB112</f>
        <v>0.85470815260084021</v>
      </c>
      <c r="AC120" s="1279">
        <f t="shared" ref="AC120:AD120" si="604">+AC119/AC112</f>
        <v>0.85325468281072125</v>
      </c>
      <c r="AD120" s="1279">
        <f t="shared" si="604"/>
        <v>0.85954500494559838</v>
      </c>
      <c r="AE120" s="1139">
        <f>AA120</f>
        <v>0.8554683552831015</v>
      </c>
      <c r="AF120" s="1230">
        <f t="shared" ref="AF120:AI120" si="605">AB120</f>
        <v>0.85470815260084021</v>
      </c>
      <c r="AG120" s="1139">
        <f t="shared" si="605"/>
        <v>0.85325468281072125</v>
      </c>
      <c r="AH120" s="1139">
        <f t="shared" si="605"/>
        <v>0.85954500494559838</v>
      </c>
      <c r="AI120" s="1138">
        <f t="shared" si="605"/>
        <v>0.8554683552831015</v>
      </c>
      <c r="AK120" s="173">
        <f t="shared" ref="AK120" si="606">+AK119/AK112</f>
        <v>0.85240916887572116</v>
      </c>
      <c r="AL120" s="173">
        <f t="shared" ref="AL120" si="607">+AL119/AL112</f>
        <v>0.91610815052146333</v>
      </c>
      <c r="AM120" s="173">
        <f t="shared" ref="AM120" si="608">+AM119/AM112</f>
        <v>0.92189583832028177</v>
      </c>
      <c r="AN120" s="173">
        <f t="shared" ref="AN120" si="609">+AN119/AN112</f>
        <v>0.86058081337848769</v>
      </c>
      <c r="AO120" s="173">
        <f t="shared" ref="AO120:AP120" si="610">+AO119/AO112</f>
        <v>0.85343607485453687</v>
      </c>
      <c r="AP120" s="173">
        <f t="shared" si="610"/>
        <v>0.8554683552831015</v>
      </c>
      <c r="AQ120" s="1218">
        <f t="shared" ref="AQ120" si="611">+AQ119/AQ112</f>
        <v>0.8554683552831015</v>
      </c>
      <c r="AR120" s="1218">
        <f t="shared" ref="AR120" si="612">+AR119/AR112</f>
        <v>0.8554683552831015</v>
      </c>
      <c r="AS120" s="1143">
        <f>+AR120 - 1%</f>
        <v>0.84546835528310149</v>
      </c>
    </row>
    <row r="121" spans="2:45" x14ac:dyDescent="0.2">
      <c r="H121" s="594"/>
      <c r="L121" s="594"/>
      <c r="P121" s="594"/>
      <c r="T121" s="594"/>
      <c r="X121" s="594"/>
      <c r="AB121" s="594"/>
      <c r="AE121" s="370"/>
      <c r="AF121" s="1229"/>
      <c r="AG121" s="370"/>
      <c r="AH121" s="370"/>
      <c r="AI121" s="913"/>
      <c r="AQ121" s="370"/>
      <c r="AR121" s="370"/>
      <c r="AS121" s="370"/>
    </row>
    <row r="122" spans="2:45" x14ac:dyDescent="0.2">
      <c r="B122" s="2" t="s">
        <v>29</v>
      </c>
      <c r="D122" s="162">
        <f>+'FC - 3FS'!D28</f>
        <v>-1199</v>
      </c>
      <c r="E122" s="162">
        <f>+'FC - 3FS'!E28</f>
        <v>969</v>
      </c>
      <c r="F122" s="162">
        <f>+'FC - 3FS'!F28</f>
        <v>655</v>
      </c>
      <c r="G122" s="162">
        <f>+'FC - 3FS'!G28</f>
        <v>650</v>
      </c>
      <c r="H122" s="845">
        <f>+'FC - 3FS'!H28</f>
        <v>823</v>
      </c>
      <c r="I122" s="162">
        <f>+'FC - 3FS'!I28</f>
        <v>-208</v>
      </c>
      <c r="J122" s="162">
        <f>+'FC - 3FS'!J28</f>
        <v>1660</v>
      </c>
      <c r="K122" s="162">
        <f>+'FC - 3FS'!K28</f>
        <v>821</v>
      </c>
      <c r="L122" s="845">
        <f>+'FC - 3FS'!L28</f>
        <v>1179</v>
      </c>
      <c r="M122" s="162">
        <f>+'FC - 3FS'!M28</f>
        <v>1255</v>
      </c>
      <c r="N122" s="162">
        <f>+'FC - 3FS'!N28</f>
        <v>688</v>
      </c>
      <c r="O122" s="162">
        <f>+'FC - 3FS'!O28</f>
        <v>229</v>
      </c>
      <c r="P122" s="845">
        <f>+'FC - 3FS'!P28</f>
        <v>931</v>
      </c>
      <c r="Q122" s="162">
        <f>+'FC - 3FS'!Q28</f>
        <v>-163</v>
      </c>
      <c r="R122" s="162">
        <f>+'FC - 3FS'!R28</f>
        <v>451</v>
      </c>
      <c r="S122" s="162">
        <f>+'FC - 3FS'!S28</f>
        <v>1927</v>
      </c>
      <c r="T122" s="845">
        <f>+'FC - 3FS'!T28</f>
        <v>2571</v>
      </c>
      <c r="U122" s="162">
        <f>+'FC - 3FS'!U28</f>
        <v>2938</v>
      </c>
      <c r="V122" s="162">
        <f>+'FC - 3FS'!V28</f>
        <v>2847</v>
      </c>
      <c r="W122" s="162">
        <f>+'FC - 3FS'!W28</f>
        <v>2643</v>
      </c>
      <c r="X122" s="845">
        <f>+'FC - 3FS'!X28</f>
        <v>3138</v>
      </c>
      <c r="Y122" s="162">
        <f>+'FC - 3FS'!Y28</f>
        <v>3768</v>
      </c>
      <c r="Z122" s="162">
        <f>+'FC - 3FS'!Z28</f>
        <v>3967</v>
      </c>
      <c r="AA122" s="162">
        <f>+'FC - 3FS'!AA28</f>
        <v>3839</v>
      </c>
      <c r="AB122" s="845">
        <f>+'FC - 3FS'!AB28</f>
        <v>3838</v>
      </c>
      <c r="AC122" s="1305">
        <f>+'FC - 3FS'!AC28</f>
        <v>4280</v>
      </c>
      <c r="AD122" s="1305">
        <f>+'FC - 3FS'!AD28</f>
        <v>3528</v>
      </c>
      <c r="AE122" s="371">
        <f>+'FC - 3FS'!AE28</f>
        <v>2943.7193318879963</v>
      </c>
      <c r="AF122" s="1238">
        <f>+'FC - 3FS'!AF28</f>
        <v>3939.2479009119916</v>
      </c>
      <c r="AG122" s="371">
        <f>+'FC - 3FS'!AG28</f>
        <v>4383.5050892558183</v>
      </c>
      <c r="AH122" s="371">
        <f>+'FC - 3FS'!AH28</f>
        <v>4121.5574725604747</v>
      </c>
      <c r="AI122" s="902">
        <f>+'FC - 3FS'!AI28</f>
        <v>4021.5967956019522</v>
      </c>
      <c r="AK122" s="162">
        <f>+'FC - 3FS'!AK28</f>
        <v>4603</v>
      </c>
      <c r="AL122" s="162">
        <f>+'FC - 3FS'!AL28</f>
        <v>3530</v>
      </c>
      <c r="AM122" s="162">
        <f>+'FC - 3FS'!AM28</f>
        <v>3351</v>
      </c>
      <c r="AN122" s="162">
        <f>+'FC - 3FS'!AN28</f>
        <v>3146</v>
      </c>
      <c r="AO122" s="162">
        <f>+'FC - 3FS'!AO28</f>
        <v>10999</v>
      </c>
      <c r="AP122" s="162">
        <f>+'FC - 3FS'!AP28</f>
        <v>14712</v>
      </c>
      <c r="AQ122" s="371">
        <f>+'FC - 3FS'!AQ28</f>
        <v>14589.719331887989</v>
      </c>
      <c r="AR122" s="371">
        <f>+'FC - 3FS'!AR28</f>
        <v>16465.907258330233</v>
      </c>
      <c r="AS122" s="371">
        <f>+'FC - 3FS'!AS28</f>
        <v>19283.283221333018</v>
      </c>
    </row>
    <row r="123" spans="2:45" x14ac:dyDescent="0.2">
      <c r="B123" s="2" t="s">
        <v>30</v>
      </c>
      <c r="D123" s="162">
        <f>+'FC - 3FS'!D29</f>
        <v>-164</v>
      </c>
      <c r="E123" s="162">
        <f>+'FC - 3FS'!E29</f>
        <v>-241</v>
      </c>
      <c r="F123" s="162">
        <f>+'FC - 3FS'!F29</f>
        <v>-204</v>
      </c>
      <c r="G123" s="162">
        <f>+'FC - 3FS'!G29</f>
        <v>143</v>
      </c>
      <c r="H123" s="845">
        <f>+'FC - 3FS'!H29</f>
        <v>282</v>
      </c>
      <c r="I123" s="162">
        <f>+'FC - 3FS'!I29</f>
        <v>-2</v>
      </c>
      <c r="J123" s="162">
        <f>+'FC - 3FS'!J29</f>
        <v>-407</v>
      </c>
      <c r="K123" s="162">
        <f>+'FC - 3FS'!K29</f>
        <v>-71</v>
      </c>
      <c r="L123" s="845">
        <f>+'FC - 3FS'!L29</f>
        <v>-246</v>
      </c>
      <c r="M123" s="162">
        <f>+'FC - 3FS'!M29</f>
        <v>-277</v>
      </c>
      <c r="N123" s="162">
        <f>+'FC - 3FS'!N29</f>
        <v>3</v>
      </c>
      <c r="O123" s="162">
        <f>+'FC - 3FS'!O29</f>
        <v>193</v>
      </c>
      <c r="P123" s="845">
        <f>+'FC - 3FS'!P29</f>
        <v>-218</v>
      </c>
      <c r="Q123" s="162">
        <f>+'FC - 3FS'!Q29</f>
        <v>55</v>
      </c>
      <c r="R123" s="162">
        <f>+'FC - 3FS'!R29</f>
        <v>57</v>
      </c>
      <c r="S123" s="162">
        <f>+'FC - 3FS'!S29</f>
        <v>-450</v>
      </c>
      <c r="T123" s="845">
        <f>+'FC - 3FS'!T29</f>
        <v>-631</v>
      </c>
      <c r="U123" s="162">
        <f>+'FC - 3FS'!U29</f>
        <v>-717</v>
      </c>
      <c r="V123" s="162">
        <f>+'FC - 3FS'!V29</f>
        <v>-705</v>
      </c>
      <c r="W123" s="162">
        <f>+'FC - 3FS'!W29</f>
        <v>-629</v>
      </c>
      <c r="X123" s="845">
        <f>+'FC - 3FS'!X29</f>
        <v>-764</v>
      </c>
      <c r="Y123" s="162">
        <f>+'FC - 3FS'!Y29</f>
        <v>-843</v>
      </c>
      <c r="Z123" s="162">
        <f>+'FC - 3FS'!Z29</f>
        <v>-908</v>
      </c>
      <c r="AA123" s="162">
        <f>+'FC - 3FS'!AA29</f>
        <v>-858</v>
      </c>
      <c r="AB123" s="845">
        <f>+'FC - 3FS'!AB29</f>
        <v>-885</v>
      </c>
      <c r="AC123" s="1305">
        <f>+'FC - 3FS'!AC29</f>
        <v>-1058</v>
      </c>
      <c r="AD123" s="1305">
        <f>+'FC - 3FS'!AD29</f>
        <v>-814</v>
      </c>
      <c r="AE123" s="554">
        <f t="shared" ref="AE123" si="613">+AE122*AE124</f>
        <v>-679.19147850250249</v>
      </c>
      <c r="AF123" s="1180">
        <f>+AF122*AF124</f>
        <v>-908.88542838502303</v>
      </c>
      <c r="AG123" s="554">
        <f>+AG122*AG124</f>
        <v>-1011.3869451967789</v>
      </c>
      <c r="AH123" s="554">
        <f>+AH122*AH124</f>
        <v>-950.94891798872629</v>
      </c>
      <c r="AI123" s="901">
        <f>+AI122*AI124</f>
        <v>-927.8854284637157</v>
      </c>
      <c r="AK123" s="162">
        <f>+'FC - 3FS'!AK29</f>
        <v>-1135</v>
      </c>
      <c r="AL123" s="162">
        <f>+'FC - 3FS'!AL29</f>
        <v>-786</v>
      </c>
      <c r="AM123" s="162">
        <f>+'FC - 3FS'!AM29</f>
        <v>-327</v>
      </c>
      <c r="AN123" s="162">
        <f>+'FC - 3FS'!AN29</f>
        <v>-556</v>
      </c>
      <c r="AO123" s="162">
        <f>+'FC - 3FS'!AO29</f>
        <v>-2682</v>
      </c>
      <c r="AP123" s="162">
        <f>+'FC - 3FS'!AP29</f>
        <v>-3373</v>
      </c>
      <c r="AQ123" s="371">
        <f>+'FC - 3FS'!AQ29</f>
        <v>-3436.1914785025024</v>
      </c>
      <c r="AR123" s="371">
        <f>+'FC - 3FS'!AR29</f>
        <v>-3799.1067200342441</v>
      </c>
      <c r="AS123" s="554">
        <f t="shared" ref="AS123" si="614">+AS122*AS124</f>
        <v>-4449.1475459651592</v>
      </c>
    </row>
    <row r="124" spans="2:45" x14ac:dyDescent="0.2">
      <c r="B124" s="237" t="s">
        <v>330</v>
      </c>
      <c r="D124" s="241">
        <f>+D123/D122</f>
        <v>0.13678065054211844</v>
      </c>
      <c r="E124" s="241">
        <f t="shared" ref="E124:Y124" si="615">+E123/E122</f>
        <v>-0.24871001031991744</v>
      </c>
      <c r="F124" s="241">
        <f t="shared" si="615"/>
        <v>-0.31145038167938932</v>
      </c>
      <c r="G124" s="241">
        <f t="shared" si="615"/>
        <v>0.22</v>
      </c>
      <c r="H124" s="849">
        <f t="shared" si="615"/>
        <v>0.34264884568651277</v>
      </c>
      <c r="I124" s="241">
        <f t="shared" si="615"/>
        <v>9.6153846153846159E-3</v>
      </c>
      <c r="J124" s="241">
        <f t="shared" si="615"/>
        <v>-0.24518072289156626</v>
      </c>
      <c r="K124" s="241">
        <f t="shared" si="615"/>
        <v>-8.6479902557856272E-2</v>
      </c>
      <c r="L124" s="849">
        <f t="shared" si="615"/>
        <v>-0.20865139949109415</v>
      </c>
      <c r="M124" s="241">
        <f t="shared" si="615"/>
        <v>-0.22071713147410357</v>
      </c>
      <c r="N124" s="241">
        <f t="shared" si="615"/>
        <v>4.3604651162790697E-3</v>
      </c>
      <c r="O124" s="241">
        <f t="shared" si="615"/>
        <v>0.84279475982532748</v>
      </c>
      <c r="P124" s="849">
        <f t="shared" si="615"/>
        <v>-0.23415682062298604</v>
      </c>
      <c r="Q124" s="241">
        <f t="shared" si="615"/>
        <v>-0.33742331288343558</v>
      </c>
      <c r="R124" s="241">
        <f t="shared" si="615"/>
        <v>0.12638580931263857</v>
      </c>
      <c r="S124" s="241">
        <f t="shared" si="615"/>
        <v>-0.23352361183186299</v>
      </c>
      <c r="T124" s="849">
        <f t="shared" si="615"/>
        <v>-0.24542979385453131</v>
      </c>
      <c r="U124" s="241">
        <f t="shared" si="615"/>
        <v>-0.24404356705241662</v>
      </c>
      <c r="V124" s="241">
        <f t="shared" si="615"/>
        <v>-0.2476290832455216</v>
      </c>
      <c r="W124" s="241">
        <f t="shared" si="615"/>
        <v>-0.23798713583049566</v>
      </c>
      <c r="X124" s="849">
        <f t="shared" si="615"/>
        <v>-0.24346717654557043</v>
      </c>
      <c r="Y124" s="241">
        <f t="shared" si="615"/>
        <v>-0.22372611464968153</v>
      </c>
      <c r="Z124" s="241">
        <f t="shared" ref="Z124:AA124" si="616">+Z123/Z122</f>
        <v>-0.22888832871187295</v>
      </c>
      <c r="AA124" s="241">
        <f t="shared" si="616"/>
        <v>-0.22349570200573066</v>
      </c>
      <c r="AB124" s="849">
        <f t="shared" ref="AB124" si="617">+AB123/AB122</f>
        <v>-0.23058884835852006</v>
      </c>
      <c r="AC124" s="1309">
        <f t="shared" ref="AC124:AD124" si="618">+AC123/AC122</f>
        <v>-0.24719626168224298</v>
      </c>
      <c r="AD124" s="1309">
        <f t="shared" si="618"/>
        <v>-0.23072562358276644</v>
      </c>
      <c r="AE124" s="1139">
        <f t="shared" ref="AE124:AI124" si="619">+AD124</f>
        <v>-0.23072562358276644</v>
      </c>
      <c r="AF124" s="1230">
        <f>+AE124</f>
        <v>-0.23072562358276644</v>
      </c>
      <c r="AG124" s="1139">
        <f t="shared" si="619"/>
        <v>-0.23072562358276644</v>
      </c>
      <c r="AH124" s="1139">
        <f t="shared" si="619"/>
        <v>-0.23072562358276644</v>
      </c>
      <c r="AI124" s="1138">
        <f t="shared" si="619"/>
        <v>-0.23072562358276644</v>
      </c>
      <c r="AK124" s="241">
        <f t="shared" ref="AK124" si="620">+AK123/AK122</f>
        <v>-0.24657831848794265</v>
      </c>
      <c r="AL124" s="241">
        <f t="shared" ref="AL124" si="621">+AL123/AL122</f>
        <v>-0.22266288951841359</v>
      </c>
      <c r="AM124" s="241">
        <f t="shared" ref="AM124" si="622">+AM123/AM122</f>
        <v>-9.7582811101163833E-2</v>
      </c>
      <c r="AN124" s="241">
        <f t="shared" ref="AN124" si="623">+AN123/AN122</f>
        <v>-0.17673235855054037</v>
      </c>
      <c r="AO124" s="241">
        <f t="shared" ref="AO124:AP124" si="624">+AO123/AO122</f>
        <v>-0.24384034912264752</v>
      </c>
      <c r="AP124" s="241">
        <f t="shared" si="624"/>
        <v>-0.22926862425231104</v>
      </c>
      <c r="AQ124" s="1115">
        <f t="shared" ref="AQ124" si="625">+AQ123/AQ122</f>
        <v>-0.23552142439040605</v>
      </c>
      <c r="AR124" s="1115">
        <f t="shared" ref="AR124" si="626">+AR123/AR122</f>
        <v>-0.23072562358276649</v>
      </c>
      <c r="AS124" s="1139">
        <f>+AR124</f>
        <v>-0.23072562358276649</v>
      </c>
    </row>
    <row r="125" spans="2:45" x14ac:dyDescent="0.2">
      <c r="H125" s="594"/>
      <c r="L125" s="594"/>
      <c r="P125" s="594"/>
      <c r="T125" s="594"/>
      <c r="X125" s="594"/>
      <c r="AB125" s="594"/>
      <c r="AE125" s="370"/>
      <c r="AF125" s="1229"/>
      <c r="AG125" s="370"/>
      <c r="AH125" s="370"/>
      <c r="AI125" s="913"/>
      <c r="AQ125" s="370"/>
      <c r="AR125" s="370"/>
      <c r="AS125" s="370"/>
    </row>
    <row r="126" spans="2:45" x14ac:dyDescent="0.2">
      <c r="H126" s="594"/>
      <c r="L126" s="594"/>
      <c r="P126" s="594"/>
      <c r="T126" s="594"/>
      <c r="X126" s="594"/>
      <c r="AB126" s="594"/>
      <c r="AE126" s="370"/>
      <c r="AF126" s="1229"/>
      <c r="AG126" s="370"/>
      <c r="AH126" s="370"/>
      <c r="AI126" s="913"/>
      <c r="AQ126" s="370"/>
      <c r="AR126" s="370"/>
      <c r="AS126" s="370"/>
    </row>
    <row r="127" spans="2:45" x14ac:dyDescent="0.2">
      <c r="B127" s="236" t="s">
        <v>71</v>
      </c>
      <c r="C127" s="172"/>
      <c r="D127" s="172"/>
      <c r="E127" s="172"/>
      <c r="F127" s="172"/>
      <c r="G127" s="172"/>
      <c r="H127" s="846"/>
      <c r="I127" s="172"/>
      <c r="J127" s="172"/>
      <c r="K127" s="172"/>
      <c r="L127" s="846"/>
      <c r="M127" s="172"/>
      <c r="N127" s="172"/>
      <c r="O127" s="172"/>
      <c r="P127" s="846"/>
      <c r="Q127" s="172"/>
      <c r="R127" s="172"/>
      <c r="S127" s="172"/>
      <c r="T127" s="846"/>
      <c r="U127" s="172"/>
      <c r="V127" s="172"/>
      <c r="W127" s="172"/>
      <c r="X127" s="846"/>
      <c r="Y127" s="172"/>
      <c r="Z127" s="172"/>
      <c r="AA127" s="172"/>
      <c r="AB127" s="846"/>
      <c r="AC127" s="172"/>
      <c r="AD127" s="172"/>
      <c r="AE127" s="172"/>
      <c r="AF127" s="846"/>
      <c r="AG127" s="172"/>
      <c r="AH127" s="172"/>
      <c r="AI127" s="864"/>
      <c r="AJ127" s="172"/>
      <c r="AK127" s="172"/>
      <c r="AL127" s="172"/>
      <c r="AM127" s="172"/>
      <c r="AN127" s="172"/>
      <c r="AO127" s="172"/>
      <c r="AP127" s="172"/>
      <c r="AQ127" s="172"/>
      <c r="AR127" s="172"/>
      <c r="AS127" s="172"/>
    </row>
    <row r="128" spans="2:45" x14ac:dyDescent="0.2">
      <c r="H128" s="594"/>
      <c r="L128" s="594"/>
      <c r="P128" s="594"/>
      <c r="T128" s="594"/>
      <c r="X128" s="594"/>
      <c r="AB128" s="594"/>
      <c r="AE128" s="370"/>
      <c r="AF128" s="1229"/>
      <c r="AG128" s="370"/>
      <c r="AH128" s="370"/>
      <c r="AI128" s="913"/>
      <c r="AQ128" s="370"/>
      <c r="AR128" s="370"/>
      <c r="AS128" s="370"/>
    </row>
    <row r="129" spans="2:45" x14ac:dyDescent="0.2">
      <c r="B129" s="3" t="s">
        <v>72</v>
      </c>
      <c r="D129" s="162">
        <f>+'FC - 3FS'!D106</f>
        <v>38100</v>
      </c>
      <c r="E129" s="162">
        <f>+'FC - 3FS'!E106</f>
        <v>38242</v>
      </c>
      <c r="F129" s="162">
        <f>+'FC - 3FS'!F106</f>
        <v>38433</v>
      </c>
      <c r="G129" s="162">
        <f>+'FC - 3FS'!G106</f>
        <v>38498</v>
      </c>
      <c r="H129" s="845">
        <f>+'FC - 3FS'!H106</f>
        <v>38597</v>
      </c>
      <c r="I129" s="162">
        <f>+'FC - 3FS'!I106</f>
        <v>72505</v>
      </c>
      <c r="J129" s="162">
        <f>+'FC - 3FS'!J106</f>
        <v>72705</v>
      </c>
      <c r="K129" s="162">
        <f>+'FC - 3FS'!K106</f>
        <v>72772</v>
      </c>
      <c r="L129" s="845">
        <f>+'FC - 3FS'!L106</f>
        <v>72839</v>
      </c>
      <c r="M129" s="162">
        <f>+'FC - 3FS'!M106</f>
        <v>72919</v>
      </c>
      <c r="N129" s="162">
        <f>+'FC - 3FS'!N106</f>
        <v>73152</v>
      </c>
      <c r="O129" s="162">
        <f>+'FC - 3FS'!O106</f>
        <v>73292</v>
      </c>
      <c r="P129" s="845">
        <f>+'FC - 3FS'!P106</f>
        <v>73420</v>
      </c>
      <c r="Q129" s="162">
        <f>+'FC - 3FS'!Q106</f>
        <v>73552</v>
      </c>
      <c r="R129" s="162">
        <f>+'FC - 3FS'!R106</f>
        <v>73797</v>
      </c>
      <c r="S129" s="162">
        <f>+'FC - 3FS'!S106</f>
        <v>73941</v>
      </c>
      <c r="T129" s="845">
        <f>+'FC - 3FS'!T106</f>
        <v>74043</v>
      </c>
      <c r="U129" s="162">
        <f>+'FC - 3FS'!U106</f>
        <v>74161</v>
      </c>
      <c r="V129" s="162">
        <f>+'FC - 3FS'!V106</f>
        <v>74404</v>
      </c>
      <c r="W129" s="162">
        <f>+'FC - 3FS'!W106</f>
        <v>67705</v>
      </c>
      <c r="X129" s="845">
        <f>+'FC - 3FS'!X106</f>
        <v>67786</v>
      </c>
      <c r="Y129" s="162">
        <f>+'FC - 3FS'!Y106</f>
        <v>68463</v>
      </c>
      <c r="Z129" s="162">
        <f>+'FC - 3FS'!Z106</f>
        <v>68659</v>
      </c>
      <c r="AA129" s="162">
        <f>+'FC - 3FS'!AA106</f>
        <v>68798</v>
      </c>
      <c r="AB129" s="845">
        <f>+'FC - 3FS'!AB106</f>
        <v>68837</v>
      </c>
      <c r="AC129" s="1305">
        <f>+'FC - 3FS'!AC106</f>
        <v>69008</v>
      </c>
      <c r="AD129" s="1305">
        <f>+'FC - 3FS'!AD106</f>
        <v>69267</v>
      </c>
      <c r="AE129" s="554">
        <f t="shared" ref="AE129:AI129" si="627">+AD129+AE130</f>
        <v>69505.523740185105</v>
      </c>
      <c r="AF129" s="1180">
        <f t="shared" si="627"/>
        <v>69738.978607978948</v>
      </c>
      <c r="AG129" s="554">
        <f t="shared" si="627"/>
        <v>69967.512386471601</v>
      </c>
      <c r="AH129" s="554">
        <f t="shared" si="627"/>
        <v>70214.413747717917</v>
      </c>
      <c r="AI129" s="901">
        <f t="shared" si="627"/>
        <v>70453.135134963784</v>
      </c>
      <c r="AK129" s="162">
        <f>+'FC - 3FS'!AK106</f>
        <v>38498</v>
      </c>
      <c r="AL129" s="162">
        <f>+'FC - 3FS'!AL106</f>
        <v>72772</v>
      </c>
      <c r="AM129" s="162">
        <f>+'FC - 3FS'!AM106</f>
        <v>73292</v>
      </c>
      <c r="AN129" s="162">
        <f>+'FC - 3FS'!AN106</f>
        <v>73941</v>
      </c>
      <c r="AO129" s="162">
        <f>+'FC - 3FS'!AO106</f>
        <v>67705</v>
      </c>
      <c r="AP129" s="162">
        <f>+'FC - 3FS'!AP106</f>
        <v>68798</v>
      </c>
      <c r="AQ129" s="554">
        <f t="shared" ref="AQ129:AR129" si="628">SUMIFS($D129:$AI129,$D$3:$AI$3,AQ$3,$D$2:$AI$2,4)</f>
        <v>69505.523740185105</v>
      </c>
      <c r="AR129" s="554">
        <f t="shared" si="628"/>
        <v>70453.135134963784</v>
      </c>
      <c r="AS129" s="554">
        <f t="shared" ref="AS129" si="629">+AR129+AS130</f>
        <v>71395.686135832235</v>
      </c>
    </row>
    <row r="130" spans="2:45" x14ac:dyDescent="0.2">
      <c r="B130" s="237" t="s">
        <v>236</v>
      </c>
      <c r="D130" s="162">
        <f>+'FC - 3FS'!D123</f>
        <v>110</v>
      </c>
      <c r="E130" s="162">
        <f>+'FC - 3FS'!E123</f>
        <v>130</v>
      </c>
      <c r="F130" s="162">
        <f>+'FC - 3FS'!F123</f>
        <v>126</v>
      </c>
      <c r="G130" s="162">
        <f>+'FC - 3FS'!G123</f>
        <v>129</v>
      </c>
      <c r="H130" s="845">
        <f>+'FC - 3FS'!H123</f>
        <v>138</v>
      </c>
      <c r="I130" s="162">
        <f>+'FC - 3FS'!I123</f>
        <v>259</v>
      </c>
      <c r="J130" s="162">
        <f>+'FC - 3FS'!J123</f>
        <v>161</v>
      </c>
      <c r="K130" s="162">
        <f>+'FC - 3FS'!K123</f>
        <v>136</v>
      </c>
      <c r="L130" s="845">
        <f>+'FC - 3FS'!L123</f>
        <v>138</v>
      </c>
      <c r="M130" s="162">
        <f>+'FC - 3FS'!M123</f>
        <v>134</v>
      </c>
      <c r="N130" s="162">
        <f>+'FC - 3FS'!N123</f>
        <v>131</v>
      </c>
      <c r="O130" s="162">
        <f>+'FC - 3FS'!O123</f>
        <v>137</v>
      </c>
      <c r="P130" s="845">
        <f>+'FC - 3FS'!P123</f>
        <v>141</v>
      </c>
      <c r="Q130" s="162">
        <f>+'FC - 3FS'!Q123</f>
        <v>154</v>
      </c>
      <c r="R130" s="162">
        <f>+'FC - 3FS'!R123</f>
        <v>150</v>
      </c>
      <c r="S130" s="162">
        <f>+'FC - 3FS'!S123</f>
        <v>150</v>
      </c>
      <c r="T130" s="845">
        <f>+'FC - 3FS'!T123</f>
        <v>177</v>
      </c>
      <c r="U130" s="162">
        <f>+'FC - 3FS'!U123</f>
        <v>167</v>
      </c>
      <c r="V130" s="162">
        <f>+'FC - 3FS'!V123</f>
        <v>156</v>
      </c>
      <c r="W130" s="162">
        <f>+'FC - 3FS'!W123</f>
        <v>167</v>
      </c>
      <c r="X130" s="845">
        <f>+'FC - 3FS'!X123</f>
        <v>140</v>
      </c>
      <c r="Y130" s="162">
        <f>+'FC - 3FS'!Y123</f>
        <v>164</v>
      </c>
      <c r="Z130" s="162">
        <f>+'FC - 3FS'!Z123</f>
        <v>170</v>
      </c>
      <c r="AA130" s="162">
        <f>+'FC - 3FS'!AA123</f>
        <v>175</v>
      </c>
      <c r="AB130" s="845">
        <f>+'FC - 3FS'!AB123</f>
        <v>186</v>
      </c>
      <c r="AC130" s="1305">
        <f>+'FC - 3FS'!AC123</f>
        <v>200</v>
      </c>
      <c r="AD130" s="1305">
        <f>+'FC - 3FS'!AD123</f>
        <v>227</v>
      </c>
      <c r="AE130" s="554">
        <f>+AE131*'FC - 3FS'!AE18</f>
        <v>238.52374018510511</v>
      </c>
      <c r="AF130" s="1180">
        <f>+AF131*'FC - 3FS'!AF18</f>
        <v>233.4548677938472</v>
      </c>
      <c r="AG130" s="554">
        <f>+AG131*'FC - 3FS'!AG18</f>
        <v>228.53377849265203</v>
      </c>
      <c r="AH130" s="554">
        <f>+AH131*'FC - 3FS'!AH18</f>
        <v>246.90136124631124</v>
      </c>
      <c r="AI130" s="901">
        <f>+AI131*'FC - 3FS'!AI18</f>
        <v>238.72138724587006</v>
      </c>
      <c r="AK130" s="162">
        <f>+'FC - 3FS'!AK123</f>
        <v>495</v>
      </c>
      <c r="AL130" s="162">
        <f>+'FC - 3FS'!AL123</f>
        <v>694</v>
      </c>
      <c r="AM130" s="162">
        <f>+'FC - 3FS'!AM123</f>
        <v>540</v>
      </c>
      <c r="AN130" s="162">
        <f>+'FC - 3FS'!AN123</f>
        <v>595</v>
      </c>
      <c r="AO130" s="162">
        <f>+'FC - 3FS'!AO123</f>
        <v>667</v>
      </c>
      <c r="AP130" s="162">
        <f>+'FC - 3FS'!AP123</f>
        <v>649</v>
      </c>
      <c r="AQ130" s="484">
        <f t="shared" ref="AQ130:AR130" si="630">SUMIFS($D130:$AI130,$D$3:$AI$3,AQ$3)</f>
        <v>851.52374018510511</v>
      </c>
      <c r="AR130" s="484">
        <f t="shared" si="630"/>
        <v>947.61139477868051</v>
      </c>
      <c r="AS130" s="554">
        <f>+AS131*'FC - 3FS'!AS18</f>
        <v>942.55100086844379</v>
      </c>
    </row>
    <row r="131" spans="2:45" x14ac:dyDescent="0.2">
      <c r="B131" s="238" t="s">
        <v>337</v>
      </c>
      <c r="D131" s="262">
        <f>+D130/'FC - 3FS'!D18</f>
        <v>2.1956087824351298E-2</v>
      </c>
      <c r="E131" s="262">
        <f>+E130/'FC - 3FS'!E18</f>
        <v>2.511106818620823E-2</v>
      </c>
      <c r="F131" s="262">
        <f>+F130/'FC - 3FS'!F18</f>
        <v>2.5306286402892147E-2</v>
      </c>
      <c r="G131" s="262">
        <f>+G130/'FC - 3FS'!G18</f>
        <v>2.5656324582338901E-2</v>
      </c>
      <c r="H131" s="852">
        <f>+H130/'FC - 3FS'!H18</f>
        <v>2.6136363636363635E-2</v>
      </c>
      <c r="I131" s="262">
        <f>+I130/'FC - 3FS'!I18</f>
        <v>4.6216987865810133E-2</v>
      </c>
      <c r="J131" s="262">
        <f>+J130/'FC - 3FS'!J18</f>
        <v>3.3018867924528301E-2</v>
      </c>
      <c r="K131" s="262">
        <f>+K130/'FC - 3FS'!K18</f>
        <v>2.8583438419503993E-2</v>
      </c>
      <c r="L131" s="852">
        <f>+L130/'FC - 3FS'!L18</f>
        <v>2.8720083246618105E-2</v>
      </c>
      <c r="M131" s="262">
        <f>+M130/'FC - 3FS'!M18</f>
        <v>2.7783537217499481E-2</v>
      </c>
      <c r="N131" s="262">
        <f>+N130/'FC - 3FS'!N18</f>
        <v>2.5134305448963928E-2</v>
      </c>
      <c r="O131" s="262">
        <f>+O130/'FC - 3FS'!O18</f>
        <v>2.5379770285290849E-2</v>
      </c>
      <c r="P131" s="852">
        <f>+P130/'FC - 3FS'!P18</f>
        <v>2.7887658227848101E-2</v>
      </c>
      <c r="Q131" s="262">
        <f>+Q130/'FC - 3FS'!Q18</f>
        <v>2.6297814207650275E-2</v>
      </c>
      <c r="R131" s="262">
        <f>+R130/'FC - 3FS'!R18</f>
        <v>2.9308323563892145E-2</v>
      </c>
      <c r="S131" s="262">
        <f>+S130/'FC - 3FS'!S18</f>
        <v>2.6896180742334588E-2</v>
      </c>
      <c r="T131" s="852">
        <f>+T130/'FC - 3FS'!T18</f>
        <v>3.2626728110599079E-2</v>
      </c>
      <c r="U131" s="262">
        <f>+U130/'FC - 3FS'!U18</f>
        <v>3.1676783004552352E-2</v>
      </c>
      <c r="V131" s="262">
        <f>+V130/'FC - 3FS'!V18</f>
        <v>2.9246344206974129E-2</v>
      </c>
      <c r="W131" s="262">
        <f>+W130/'FC - 3FS'!W18</f>
        <v>3.1628787878787881E-2</v>
      </c>
      <c r="X131" s="852">
        <f>+X130/'FC - 3FS'!X18</f>
        <v>2.7247956403269755E-2</v>
      </c>
      <c r="Y131" s="262">
        <f>+Y130/'FC - 3FS'!Y18</f>
        <v>3.1894204589653828E-2</v>
      </c>
      <c r="Z131" s="262">
        <f>+Z130/'FC - 3FS'!Z18</f>
        <v>3.2780563054377168E-2</v>
      </c>
      <c r="AA131" s="262">
        <f>+AA130/'FC - 3FS'!AA18</f>
        <v>3.2698056801195814E-2</v>
      </c>
      <c r="AB131" s="852">
        <f>+AB130/'FC - 3FS'!AB18</f>
        <v>3.3892128279883381E-2</v>
      </c>
      <c r="AC131" s="1308">
        <f>+AC130/'FC - 3FS'!AC18</f>
        <v>3.7057624606262739E-2</v>
      </c>
      <c r="AD131" s="1308">
        <f>+AD130/'FC - 3FS'!AD18</f>
        <v>3.773898586866168E-2</v>
      </c>
      <c r="AE131" s="1139">
        <f t="shared" ref="AE131:AI131" si="631">+AD131</f>
        <v>3.773898586866168E-2</v>
      </c>
      <c r="AF131" s="1230">
        <f t="shared" si="631"/>
        <v>3.773898586866168E-2</v>
      </c>
      <c r="AG131" s="1139">
        <f t="shared" si="631"/>
        <v>3.773898586866168E-2</v>
      </c>
      <c r="AH131" s="1139">
        <f t="shared" si="631"/>
        <v>3.773898586866168E-2</v>
      </c>
      <c r="AI131" s="1138">
        <f t="shared" si="631"/>
        <v>3.773898586866168E-2</v>
      </c>
      <c r="AK131" s="262">
        <f>+AK130/'FC - 3FS'!AK18</f>
        <v>3.5009548058561428E-2</v>
      </c>
      <c r="AL131" s="262">
        <f>+AL130/'FC - 3FS'!AL18</f>
        <v>3.6669132410440661E-2</v>
      </c>
      <c r="AM131" s="262">
        <f>+AM130/'FC - 3FS'!AM18</f>
        <v>2.6682478505781204E-2</v>
      </c>
      <c r="AN131" s="262">
        <f>+AN130/'FC - 3FS'!AN18</f>
        <v>2.7537372147915028E-2</v>
      </c>
      <c r="AO131" s="262">
        <f>+AO130/'FC - 3FS'!AO18</f>
        <v>3.1298390502557366E-2</v>
      </c>
      <c r="AP131" s="262">
        <f>+AP130/'FC - 3FS'!AP18</f>
        <v>3.1174944759342876E-2</v>
      </c>
      <c r="AQ131" s="1147">
        <f>+AQ130/'FC - 3FS'!AQ18</f>
        <v>3.6671437050661185E-2</v>
      </c>
      <c r="AR131" s="1147">
        <f>+AR130/'FC - 3FS'!AR18</f>
        <v>3.7738985868661673E-2</v>
      </c>
      <c r="AS131" s="1139">
        <f t="shared" ref="AS131" si="632">+AR131</f>
        <v>3.7738985868661673E-2</v>
      </c>
    </row>
    <row r="132" spans="2:45" x14ac:dyDescent="0.2">
      <c r="B132" s="237" t="s">
        <v>336</v>
      </c>
      <c r="D132" s="5">
        <f t="shared" ref="D132:X132" si="633">+D129-D130-C129</f>
        <v>37990</v>
      </c>
      <c r="E132" s="5">
        <f t="shared" si="633"/>
        <v>12</v>
      </c>
      <c r="F132" s="5">
        <f t="shared" si="633"/>
        <v>65</v>
      </c>
      <c r="G132" s="5">
        <f t="shared" si="633"/>
        <v>-64</v>
      </c>
      <c r="H132" s="855">
        <f t="shared" si="633"/>
        <v>-39</v>
      </c>
      <c r="I132" s="5">
        <f t="shared" si="633"/>
        <v>33649</v>
      </c>
      <c r="J132" s="5">
        <f t="shared" si="633"/>
        <v>39</v>
      </c>
      <c r="K132" s="5">
        <f t="shared" si="633"/>
        <v>-69</v>
      </c>
      <c r="L132" s="855">
        <f t="shared" si="633"/>
        <v>-71</v>
      </c>
      <c r="M132" s="5">
        <f t="shared" si="633"/>
        <v>-54</v>
      </c>
      <c r="N132" s="5">
        <f t="shared" si="633"/>
        <v>102</v>
      </c>
      <c r="O132" s="5">
        <f t="shared" si="633"/>
        <v>3</v>
      </c>
      <c r="P132" s="855">
        <f t="shared" si="633"/>
        <v>-13</v>
      </c>
      <c r="Q132" s="5">
        <f t="shared" si="633"/>
        <v>-22</v>
      </c>
      <c r="R132" s="5">
        <f t="shared" si="633"/>
        <v>95</v>
      </c>
      <c r="S132" s="5">
        <f t="shared" si="633"/>
        <v>-6</v>
      </c>
      <c r="T132" s="855">
        <f t="shared" si="633"/>
        <v>-75</v>
      </c>
      <c r="U132" s="5">
        <f t="shared" si="633"/>
        <v>-49</v>
      </c>
      <c r="V132" s="5">
        <f t="shared" si="633"/>
        <v>87</v>
      </c>
      <c r="W132" s="5">
        <f t="shared" si="633"/>
        <v>-6866</v>
      </c>
      <c r="X132" s="855">
        <f t="shared" si="633"/>
        <v>-59</v>
      </c>
      <c r="Y132" s="5">
        <f t="shared" ref="Y132:AD132" si="634">+Y129-Y130-X129</f>
        <v>513</v>
      </c>
      <c r="Z132" s="5">
        <f t="shared" si="634"/>
        <v>26</v>
      </c>
      <c r="AA132" s="5">
        <f t="shared" si="634"/>
        <v>-36</v>
      </c>
      <c r="AB132" s="855">
        <f t="shared" si="634"/>
        <v>-147</v>
      </c>
      <c r="AC132" s="5">
        <f t="shared" si="634"/>
        <v>-29</v>
      </c>
      <c r="AD132" s="5">
        <f t="shared" si="634"/>
        <v>32</v>
      </c>
      <c r="AE132" s="370"/>
      <c r="AF132" s="1229"/>
      <c r="AG132" s="370"/>
      <c r="AH132" s="370"/>
      <c r="AI132" s="913"/>
      <c r="AL132" s="5">
        <f t="shared" ref="AL132:AR132" si="635">+AL129-AL130-AK129</f>
        <v>33580</v>
      </c>
      <c r="AM132" s="5">
        <f t="shared" si="635"/>
        <v>-20</v>
      </c>
      <c r="AN132" s="5">
        <f t="shared" si="635"/>
        <v>54</v>
      </c>
      <c r="AO132" s="5">
        <f t="shared" si="635"/>
        <v>-6903</v>
      </c>
      <c r="AP132" s="5">
        <f t="shared" si="635"/>
        <v>444</v>
      </c>
      <c r="AQ132" s="379">
        <f t="shared" si="635"/>
        <v>-144</v>
      </c>
      <c r="AR132" s="379">
        <f t="shared" si="635"/>
        <v>0</v>
      </c>
      <c r="AS132" s="370"/>
    </row>
    <row r="133" spans="2:45" x14ac:dyDescent="0.2">
      <c r="H133" s="594"/>
      <c r="L133" s="594"/>
      <c r="P133" s="594"/>
      <c r="T133" s="594"/>
      <c r="X133" s="594"/>
      <c r="AB133" s="594"/>
      <c r="AE133" s="370"/>
      <c r="AF133" s="1229"/>
      <c r="AG133" s="370"/>
      <c r="AH133" s="370"/>
      <c r="AI133" s="913"/>
      <c r="AQ133" s="370"/>
      <c r="AR133" s="370"/>
      <c r="AS133" s="370"/>
    </row>
    <row r="134" spans="2:45" x14ac:dyDescent="0.2">
      <c r="B134" s="3" t="s">
        <v>331</v>
      </c>
      <c r="D134" s="162">
        <f>+'FC - 3FS'!D107</f>
        <v>-5</v>
      </c>
      <c r="E134" s="162">
        <f>+'FC - 3FS'!E107</f>
        <v>-8</v>
      </c>
      <c r="F134" s="162">
        <f>+'FC - 3FS'!F107</f>
        <v>-8</v>
      </c>
      <c r="G134" s="162">
        <f>+'FC - 3FS'!G107</f>
        <v>-8</v>
      </c>
      <c r="H134" s="845">
        <f>+'FC - 3FS'!H107</f>
        <v>-11</v>
      </c>
      <c r="I134" s="162">
        <f>+'FC - 3FS'!I107</f>
        <v>-12</v>
      </c>
      <c r="J134" s="162">
        <f>+'FC - 3FS'!J107</f>
        <v>-11</v>
      </c>
      <c r="K134" s="162">
        <f>+'FC - 3FS'!K107</f>
        <v>-11</v>
      </c>
      <c r="L134" s="845">
        <f>+'FC - 3FS'!L107</f>
        <v>-14</v>
      </c>
      <c r="M134" s="162">
        <f>+'FC - 3FS'!M107</f>
        <v>-14</v>
      </c>
      <c r="N134" s="162">
        <f>+'FC - 3FS'!N107</f>
        <v>-13</v>
      </c>
      <c r="O134" s="162">
        <f>+'FC - 3FS'!O107</f>
        <v>-13</v>
      </c>
      <c r="P134" s="845">
        <f>+'FC - 3FS'!P107</f>
        <v>-16</v>
      </c>
      <c r="Q134" s="162">
        <f>+'FC - 3FS'!Q107</f>
        <v>-16</v>
      </c>
      <c r="R134" s="162">
        <f>+'FC - 3FS'!R107</f>
        <v>-685</v>
      </c>
      <c r="S134" s="162">
        <f>+'FC - 3FS'!S107</f>
        <v>-3016</v>
      </c>
      <c r="T134" s="845">
        <f>+'FC - 3FS'!T107</f>
        <v>-7831</v>
      </c>
      <c r="U134" s="162">
        <f>+'FC - 3FS'!U107</f>
        <v>-11392</v>
      </c>
      <c r="V134" s="162">
        <f>+'FC - 3FS'!V107</f>
        <v>-14092</v>
      </c>
      <c r="W134" s="162">
        <f>+'FC - 3FS'!W107</f>
        <v>-9373</v>
      </c>
      <c r="X134" s="845">
        <f>+'FC - 3FS'!X107</f>
        <v>-12982</v>
      </c>
      <c r="Y134" s="162">
        <f>+'FC - 3FS'!Y107</f>
        <v>-15270</v>
      </c>
      <c r="Z134" s="162">
        <f>+'FC - 3FS'!Z107</f>
        <v>-15921</v>
      </c>
      <c r="AA134" s="162">
        <f>+'FC - 3FS'!AA107</f>
        <v>-20584</v>
      </c>
      <c r="AB134" s="845">
        <f>+'FC - 3FS'!AB107</f>
        <v>-23085</v>
      </c>
      <c r="AC134" s="1305">
        <f>+'FC - 3FS'!AC107</f>
        <v>-25569</v>
      </c>
      <c r="AD134" s="1305">
        <f>+'FC - 3FS'!AD107</f>
        <v>-28064</v>
      </c>
      <c r="AE134" s="554">
        <f t="shared" ref="AE134:AI134" si="636">+AD134+AE137</f>
        <v>-30534</v>
      </c>
      <c r="AF134" s="1180">
        <f t="shared" si="636"/>
        <v>-33251</v>
      </c>
      <c r="AG134" s="554">
        <f t="shared" si="636"/>
        <v>-35968</v>
      </c>
      <c r="AH134" s="554">
        <f t="shared" si="636"/>
        <v>-38685</v>
      </c>
      <c r="AI134" s="901">
        <f t="shared" si="636"/>
        <v>-41402</v>
      </c>
      <c r="AK134" s="162">
        <f>+'FC - 3FS'!AK107</f>
        <v>-8</v>
      </c>
      <c r="AL134" s="162">
        <f>+'FC - 3FS'!AL107</f>
        <v>-11</v>
      </c>
      <c r="AM134" s="162">
        <f>+'FC - 3FS'!AM107</f>
        <v>-13</v>
      </c>
      <c r="AN134" s="162">
        <f>+'FC - 3FS'!AN107</f>
        <v>-3016</v>
      </c>
      <c r="AO134" s="162">
        <f>+'FC - 3FS'!AO107</f>
        <v>-9373</v>
      </c>
      <c r="AP134" s="162">
        <f>+'FC - 3FS'!AP107</f>
        <v>-20584</v>
      </c>
      <c r="AQ134" s="554">
        <f t="shared" ref="AQ134:AR134" si="637">SUMIFS($D134:$AI134,$D$3:$AI$3,AQ$3,$D$2:$AI$2,4)</f>
        <v>-30534</v>
      </c>
      <c r="AR134" s="554">
        <f t="shared" si="637"/>
        <v>-41402</v>
      </c>
      <c r="AS134" s="554">
        <f t="shared" ref="AS134" si="638">+AR134+AS137</f>
        <v>-54443.6</v>
      </c>
    </row>
    <row r="135" spans="2:45" x14ac:dyDescent="0.2">
      <c r="B135" s="168" t="s">
        <v>341</v>
      </c>
      <c r="D135" s="162">
        <f>+'FC - 3FS'!D155</f>
        <v>0</v>
      </c>
      <c r="E135" s="162">
        <f>+'FC - 3FS'!E155</f>
        <v>0</v>
      </c>
      <c r="F135" s="162">
        <f>+'FC - 3FS'!F155</f>
        <v>0</v>
      </c>
      <c r="G135" s="162">
        <f>+'FC - 3FS'!G155</f>
        <v>0</v>
      </c>
      <c r="H135" s="845">
        <f>+'FC - 3FS'!H155</f>
        <v>0</v>
      </c>
      <c r="I135" s="162">
        <f>+'FC - 3FS'!I155</f>
        <v>-16990</v>
      </c>
      <c r="J135" s="162">
        <f>+'FC - 3FS'!J155</f>
        <v>-2546</v>
      </c>
      <c r="K135" s="162">
        <f>+'FC - 3FS'!K155</f>
        <v>0</v>
      </c>
      <c r="L135" s="845">
        <f>+'FC - 3FS'!L155</f>
        <v>0</v>
      </c>
      <c r="M135" s="162">
        <f>+'FC - 3FS'!M155</f>
        <v>0</v>
      </c>
      <c r="N135" s="162">
        <f>+'FC - 3FS'!N155</f>
        <v>0</v>
      </c>
      <c r="O135" s="162">
        <f>+'FC - 3FS'!O155</f>
        <v>0</v>
      </c>
      <c r="P135" s="845">
        <f>+'FC - 3FS'!P155</f>
        <v>0</v>
      </c>
      <c r="Q135" s="162">
        <f>+'FC - 3FS'!Q155</f>
        <v>0</v>
      </c>
      <c r="R135" s="162">
        <f>+'FC - 3FS'!R155</f>
        <v>-557</v>
      </c>
      <c r="S135" s="162">
        <f>+'FC - 3FS'!S155</f>
        <v>-2443</v>
      </c>
      <c r="T135" s="845">
        <f>+'FC - 3FS'!T155</f>
        <v>-4619</v>
      </c>
      <c r="U135" s="162">
        <f>+'FC - 3FS'!U155</f>
        <v>-3591</v>
      </c>
      <c r="V135" s="162">
        <f>+'FC - 3FS'!V155</f>
        <v>-2681</v>
      </c>
      <c r="W135" s="162">
        <f>+'FC - 3FS'!W155</f>
        <v>-2183</v>
      </c>
      <c r="X135" s="845">
        <f>+'FC - 3FS'!X155</f>
        <v>-3594</v>
      </c>
      <c r="Y135" s="162">
        <f>+'FC - 3FS'!Y155</f>
        <v>-2387</v>
      </c>
      <c r="Z135" s="162">
        <f>+'FC - 3FS'!Z155</f>
        <v>-560</v>
      </c>
      <c r="AA135" s="162">
        <f>+'FC - 3FS'!AA155</f>
        <v>-4687</v>
      </c>
      <c r="AB135" s="845">
        <f>+'FC - 3FS'!AB155</f>
        <v>-2494</v>
      </c>
      <c r="AC135" s="1305">
        <f>+'FC - 3FS'!AC155</f>
        <v>-2555</v>
      </c>
      <c r="AD135" s="1305">
        <f>+'FC - 3FS'!AD155</f>
        <v>-2479</v>
      </c>
      <c r="AE135" s="554">
        <f t="shared" ref="AE135:AI135" si="639">+AE137-AE136</f>
        <v>-2470</v>
      </c>
      <c r="AF135" s="1180">
        <f t="shared" si="639"/>
        <v>-2717</v>
      </c>
      <c r="AG135" s="554">
        <f t="shared" si="639"/>
        <v>-2717</v>
      </c>
      <c r="AH135" s="554">
        <f t="shared" si="639"/>
        <v>-2717</v>
      </c>
      <c r="AI135" s="901">
        <f t="shared" si="639"/>
        <v>-2717</v>
      </c>
      <c r="AK135" s="162">
        <f>+'FC - 3FS'!AK155</f>
        <v>0</v>
      </c>
      <c r="AL135" s="162">
        <f>+'FC - 3FS'!AL155</f>
        <v>-19536</v>
      </c>
      <c r="AM135" s="162">
        <f>+'FC - 3FS'!AM155</f>
        <v>0</v>
      </c>
      <c r="AN135" s="162">
        <f>+'FC - 3FS'!AN155</f>
        <v>-3000</v>
      </c>
      <c r="AO135" s="162">
        <f>+'FC - 3FS'!AO155</f>
        <v>-13074</v>
      </c>
      <c r="AP135" s="162">
        <f>+'FC - 3FS'!AP155</f>
        <v>-11228</v>
      </c>
      <c r="AQ135" s="484">
        <f t="shared" ref="AQ135:AR137" si="640">SUMIFS($D135:$AI135,$D$3:$AI$3,AQ$3)</f>
        <v>-9998</v>
      </c>
      <c r="AR135" s="484">
        <f t="shared" si="640"/>
        <v>-10868</v>
      </c>
      <c r="AS135" s="554">
        <f t="shared" ref="AS135" si="641">+AS137-AS136</f>
        <v>-13041.6</v>
      </c>
    </row>
    <row r="136" spans="2:45" x14ac:dyDescent="0.2">
      <c r="B136" s="168" t="s">
        <v>342</v>
      </c>
      <c r="D136" s="311">
        <f t="shared" ref="D136:Y136" si="642">+D137-D135</f>
        <v>0</v>
      </c>
      <c r="E136" s="311">
        <f t="shared" si="642"/>
        <v>0</v>
      </c>
      <c r="F136" s="311">
        <f t="shared" si="642"/>
        <v>0</v>
      </c>
      <c r="G136" s="311">
        <f t="shared" si="642"/>
        <v>0</v>
      </c>
      <c r="H136" s="857">
        <f t="shared" si="642"/>
        <v>0</v>
      </c>
      <c r="I136" s="311">
        <f t="shared" si="642"/>
        <v>16990</v>
      </c>
      <c r="J136" s="311">
        <f t="shared" si="642"/>
        <v>2546</v>
      </c>
      <c r="K136" s="311">
        <f t="shared" si="642"/>
        <v>0</v>
      </c>
      <c r="L136" s="857">
        <f t="shared" si="642"/>
        <v>0</v>
      </c>
      <c r="M136" s="311">
        <f t="shared" si="642"/>
        <v>0</v>
      </c>
      <c r="N136" s="311">
        <f t="shared" si="642"/>
        <v>0</v>
      </c>
      <c r="O136" s="311">
        <f t="shared" si="642"/>
        <v>0</v>
      </c>
      <c r="P136" s="857">
        <f t="shared" si="642"/>
        <v>0</v>
      </c>
      <c r="Q136" s="311">
        <f t="shared" si="642"/>
        <v>0</v>
      </c>
      <c r="R136" s="311">
        <f t="shared" si="642"/>
        <v>-112</v>
      </c>
      <c r="S136" s="311">
        <f t="shared" si="642"/>
        <v>112</v>
      </c>
      <c r="T136" s="857">
        <f t="shared" si="642"/>
        <v>-147</v>
      </c>
      <c r="U136" s="311">
        <f t="shared" si="642"/>
        <v>66</v>
      </c>
      <c r="V136" s="311">
        <f t="shared" si="642"/>
        <v>6</v>
      </c>
      <c r="W136" s="311">
        <f t="shared" si="642"/>
        <v>-58</v>
      </c>
      <c r="X136" s="857">
        <f t="shared" si="642"/>
        <v>26</v>
      </c>
      <c r="Y136" s="311">
        <f t="shared" si="642"/>
        <v>110</v>
      </c>
      <c r="Z136" s="311">
        <f t="shared" ref="Z136:AA136" si="643">+Z137-Z135</f>
        <v>-84</v>
      </c>
      <c r="AA136" s="311">
        <f t="shared" si="643"/>
        <v>68</v>
      </c>
      <c r="AB136" s="857">
        <f t="shared" ref="AB136" si="644">+AB137-AB135</f>
        <v>24</v>
      </c>
      <c r="AC136" s="1315">
        <f t="shared" ref="AC136:AD136" si="645">+AC137-AC135</f>
        <v>86</v>
      </c>
      <c r="AD136" s="1315">
        <f t="shared" si="645"/>
        <v>9</v>
      </c>
      <c r="AE136" s="1218"/>
      <c r="AF136" s="1231"/>
      <c r="AG136" s="1218"/>
      <c r="AH136" s="1218"/>
      <c r="AI136" s="1232"/>
      <c r="AK136" s="302">
        <f t="shared" ref="AK136:AP136" si="646">SUMIFS($D136:$AI136,$D$3:$AI$3,AK$3)</f>
        <v>0</v>
      </c>
      <c r="AL136" s="302">
        <f t="shared" si="646"/>
        <v>19536</v>
      </c>
      <c r="AM136" s="302">
        <f t="shared" si="646"/>
        <v>0</v>
      </c>
      <c r="AN136" s="302">
        <f t="shared" si="646"/>
        <v>0</v>
      </c>
      <c r="AO136" s="302">
        <f t="shared" si="646"/>
        <v>-133</v>
      </c>
      <c r="AP136" s="302">
        <f t="shared" si="646"/>
        <v>120</v>
      </c>
      <c r="AQ136" s="484">
        <f t="shared" si="640"/>
        <v>119</v>
      </c>
      <c r="AR136" s="484">
        <f t="shared" si="640"/>
        <v>0</v>
      </c>
      <c r="AS136" s="370"/>
    </row>
    <row r="137" spans="2:45" x14ac:dyDescent="0.2">
      <c r="B137" s="138" t="s">
        <v>108</v>
      </c>
      <c r="D137" s="162">
        <f>-Metrics!L103</f>
        <v>0</v>
      </c>
      <c r="E137" s="162">
        <f>-Metrics!M103</f>
        <v>0</v>
      </c>
      <c r="F137" s="162">
        <f>-Metrics!N103</f>
        <v>0</v>
      </c>
      <c r="G137" s="162">
        <f>-Metrics!O103</f>
        <v>0</v>
      </c>
      <c r="H137" s="845">
        <f>-Metrics!P103</f>
        <v>0</v>
      </c>
      <c r="I137" s="162">
        <f>-Metrics!Q103</f>
        <v>0</v>
      </c>
      <c r="J137" s="162">
        <f>-Metrics!R103</f>
        <v>0</v>
      </c>
      <c r="K137" s="162">
        <f>-Metrics!S103</f>
        <v>0</v>
      </c>
      <c r="L137" s="845">
        <f>-Metrics!T103</f>
        <v>0</v>
      </c>
      <c r="M137" s="162">
        <f>-Metrics!U103</f>
        <v>0</v>
      </c>
      <c r="N137" s="162">
        <f>-Metrics!V103</f>
        <v>0</v>
      </c>
      <c r="O137" s="162">
        <f>-Metrics!W103</f>
        <v>0</v>
      </c>
      <c r="P137" s="845">
        <f>-Metrics!X103</f>
        <v>0</v>
      </c>
      <c r="Q137" s="162">
        <f>-Metrics!Y103</f>
        <v>0</v>
      </c>
      <c r="R137" s="162">
        <f>-Metrics!Z103</f>
        <v>-669</v>
      </c>
      <c r="S137" s="162">
        <f>-Metrics!AA103</f>
        <v>-2331</v>
      </c>
      <c r="T137" s="845">
        <f>-Metrics!AB103</f>
        <v>-4766</v>
      </c>
      <c r="U137" s="162">
        <f>-Metrics!AC103</f>
        <v>-3525</v>
      </c>
      <c r="V137" s="162">
        <f>-Metrics!AD103</f>
        <v>-2675</v>
      </c>
      <c r="W137" s="162">
        <f>-Metrics!AE103</f>
        <v>-2241</v>
      </c>
      <c r="X137" s="845">
        <f>-Metrics!AF103</f>
        <v>-3568</v>
      </c>
      <c r="Y137" s="162">
        <f>-Metrics!AG103</f>
        <v>-2277</v>
      </c>
      <c r="Z137" s="162">
        <f>-Metrics!AH103</f>
        <v>-644</v>
      </c>
      <c r="AA137" s="162">
        <f>-Metrics!AI103</f>
        <v>-4619</v>
      </c>
      <c r="AB137" s="845">
        <f>-Metrics!AJ103</f>
        <v>-2470</v>
      </c>
      <c r="AC137" s="1305">
        <f>-Metrics!AK103</f>
        <v>-2469</v>
      </c>
      <c r="AD137" s="1305">
        <f>-Metrics!AL103</f>
        <v>-2470</v>
      </c>
      <c r="AE137" s="332">
        <f t="shared" ref="AE137:AI137" si="647">+AD137</f>
        <v>-2470</v>
      </c>
      <c r="AF137" s="1233">
        <f>+AE137*1.1</f>
        <v>-2717</v>
      </c>
      <c r="AG137" s="332">
        <f t="shared" si="647"/>
        <v>-2717</v>
      </c>
      <c r="AH137" s="332">
        <f t="shared" si="647"/>
        <v>-2717</v>
      </c>
      <c r="AI137" s="1208">
        <f t="shared" si="647"/>
        <v>-2717</v>
      </c>
      <c r="AK137" s="162">
        <f>-Metrics!E103</f>
        <v>0</v>
      </c>
      <c r="AL137" s="162">
        <f>-Metrics!F103</f>
        <v>0</v>
      </c>
      <c r="AM137" s="162">
        <f>-Metrics!G103</f>
        <v>0</v>
      </c>
      <c r="AN137" s="162">
        <f>-Metrics!H103</f>
        <v>-3000</v>
      </c>
      <c r="AO137" s="162">
        <f>-Metrics!I103</f>
        <v>-13207</v>
      </c>
      <c r="AP137" s="162">
        <f>-Metrics!J103</f>
        <v>-11108</v>
      </c>
      <c r="AQ137" s="484">
        <f t="shared" si="640"/>
        <v>-9879</v>
      </c>
      <c r="AR137" s="484">
        <f t="shared" si="640"/>
        <v>-10868</v>
      </c>
      <c r="AS137" s="332">
        <f>AR137*1.2</f>
        <v>-13041.6</v>
      </c>
    </row>
    <row r="138" spans="2:45" x14ac:dyDescent="0.2">
      <c r="B138" s="238" t="s">
        <v>338</v>
      </c>
      <c r="D138" s="173"/>
      <c r="E138" s="173"/>
      <c r="F138" s="173"/>
      <c r="G138" s="173"/>
      <c r="H138" s="847"/>
      <c r="I138" s="173"/>
      <c r="J138" s="173"/>
      <c r="K138" s="173"/>
      <c r="L138" s="847"/>
      <c r="M138" s="173"/>
      <c r="N138" s="173"/>
      <c r="O138" s="173"/>
      <c r="P138" s="847"/>
      <c r="Q138" s="173"/>
      <c r="R138" s="173"/>
      <c r="S138" s="173"/>
      <c r="T138" s="847"/>
      <c r="U138" s="173"/>
      <c r="V138" s="173">
        <f t="shared" ref="V138:AI138" si="648">+V137/R137-1</f>
        <v>2.9985052316890881</v>
      </c>
      <c r="W138" s="173">
        <f t="shared" si="648"/>
        <v>-3.8610038610038644E-2</v>
      </c>
      <c r="X138" s="847">
        <f t="shared" si="648"/>
        <v>-0.25136382710868654</v>
      </c>
      <c r="Y138" s="173">
        <f t="shared" si="648"/>
        <v>-0.35404255319148936</v>
      </c>
      <c r="Z138" s="173">
        <f t="shared" si="648"/>
        <v>-0.75925233644859813</v>
      </c>
      <c r="AA138" s="173">
        <f t="shared" si="648"/>
        <v>1.0611334225792057</v>
      </c>
      <c r="AB138" s="847">
        <f t="shared" si="648"/>
        <v>-0.30773542600896864</v>
      </c>
      <c r="AC138" s="1303">
        <f t="shared" si="648"/>
        <v>8.4321475625823483E-2</v>
      </c>
      <c r="AD138" s="1303">
        <f t="shared" si="648"/>
        <v>2.8354037267080745</v>
      </c>
      <c r="AE138" s="1218">
        <f t="shared" si="648"/>
        <v>-0.46525221909504222</v>
      </c>
      <c r="AF138" s="1231">
        <f t="shared" si="648"/>
        <v>0.10000000000000009</v>
      </c>
      <c r="AG138" s="1218">
        <f t="shared" si="648"/>
        <v>0.10044552450384781</v>
      </c>
      <c r="AH138" s="1218">
        <f t="shared" si="648"/>
        <v>0.10000000000000009</v>
      </c>
      <c r="AI138" s="1232">
        <f t="shared" si="648"/>
        <v>0.10000000000000009</v>
      </c>
      <c r="AO138" s="173">
        <f>+AO137/AN137-1</f>
        <v>3.402333333333333</v>
      </c>
      <c r="AP138" s="173">
        <f>+AP137/AO137-1</f>
        <v>-0.1589308699931854</v>
      </c>
      <c r="AQ138" s="1218">
        <f t="shared" ref="AQ138:AR138" si="649">+AQ137/AP137-1</f>
        <v>-0.11064097947425278</v>
      </c>
      <c r="AR138" s="1218">
        <f t="shared" si="649"/>
        <v>0.10011134730235849</v>
      </c>
      <c r="AS138" s="1218">
        <f t="shared" ref="AS138" si="650">+AS137/AR137-1</f>
        <v>0.19999999999999996</v>
      </c>
    </row>
    <row r="139" spans="2:45" x14ac:dyDescent="0.2">
      <c r="B139" s="238" t="s">
        <v>169</v>
      </c>
      <c r="D139" s="203">
        <f>Metrics!L104</f>
        <v>0</v>
      </c>
      <c r="E139" s="203">
        <f>Metrics!M104</f>
        <v>0</v>
      </c>
      <c r="F139" s="203">
        <f>Metrics!N104</f>
        <v>0</v>
      </c>
      <c r="G139" s="203">
        <f>Metrics!O104</f>
        <v>0</v>
      </c>
      <c r="H139" s="858">
        <f>Metrics!P104</f>
        <v>0</v>
      </c>
      <c r="I139" s="203">
        <f>Metrics!Q104</f>
        <v>0</v>
      </c>
      <c r="J139" s="203">
        <f>Metrics!R104</f>
        <v>0</v>
      </c>
      <c r="K139" s="203">
        <f>Metrics!S104</f>
        <v>0</v>
      </c>
      <c r="L139" s="858">
        <f>Metrics!T104</f>
        <v>0</v>
      </c>
      <c r="M139" s="203">
        <f>Metrics!U104</f>
        <v>0</v>
      </c>
      <c r="N139" s="203">
        <f>Metrics!V104</f>
        <v>0</v>
      </c>
      <c r="O139" s="203">
        <f>Metrics!W104</f>
        <v>0</v>
      </c>
      <c r="P139" s="858">
        <f>Metrics!X104</f>
        <v>0</v>
      </c>
      <c r="Q139" s="203">
        <f>Metrics!Y104</f>
        <v>0</v>
      </c>
      <c r="R139" s="203">
        <f>Metrics!Z104</f>
        <v>4.8957189901207459</v>
      </c>
      <c r="S139" s="203">
        <f>Metrics!AA104</f>
        <v>16.465352828989193</v>
      </c>
      <c r="T139" s="858">
        <f>Metrics!AB104</f>
        <v>32.966728920246247</v>
      </c>
      <c r="U139" s="203">
        <f>Metrics!AC104</f>
        <v>25.178571428571427</v>
      </c>
      <c r="V139" s="203">
        <f>Metrics!AD104</f>
        <v>19.316868861929521</v>
      </c>
      <c r="W139" s="203">
        <f>Metrics!AE104</f>
        <v>15.460503621938601</v>
      </c>
      <c r="X139" s="858">
        <f>Metrics!AF104</f>
        <v>21.931280349130247</v>
      </c>
      <c r="Y139" s="203">
        <f>Metrics!AG104</f>
        <v>13.982192201412342</v>
      </c>
      <c r="Z139" s="203">
        <f>Metrics!AH104</f>
        <v>3.1810323536675722</v>
      </c>
      <c r="AA139" s="203">
        <f>Metrics!AI104</f>
        <v>20.283681714386088</v>
      </c>
      <c r="AB139" s="858">
        <f>Metrics!AJ104</f>
        <v>10.09110593618499</v>
      </c>
      <c r="AC139" s="1316">
        <f>Metrics!AK104</f>
        <v>10.147131349662995</v>
      </c>
      <c r="AD139" s="1316">
        <f>Metrics!AL104</f>
        <v>10.204072</v>
      </c>
      <c r="AE139" s="1197">
        <f t="shared" ref="AE139:AI139" si="651">-AE137/AE140</f>
        <v>9.278354388060599</v>
      </c>
      <c r="AF139" s="1234">
        <f t="shared" si="651"/>
        <v>9.7201807874920547</v>
      </c>
      <c r="AG139" s="1197">
        <f t="shared" si="651"/>
        <v>9.2573150357067178</v>
      </c>
      <c r="AH139" s="1197">
        <f t="shared" si="651"/>
        <v>8.8164905101968731</v>
      </c>
      <c r="AI139" s="1235">
        <f t="shared" si="651"/>
        <v>8.396657628758927</v>
      </c>
      <c r="AK139" s="162">
        <f>+Metrics!E104</f>
        <v>0</v>
      </c>
      <c r="AL139" s="162">
        <f>+Metrics!F104</f>
        <v>0</v>
      </c>
      <c r="AM139" s="162">
        <f>+Metrics!G104</f>
        <v>0</v>
      </c>
      <c r="AN139" s="162">
        <f>+Metrics!H104</f>
        <v>21.361071819109938</v>
      </c>
      <c r="AO139" s="162">
        <f>+Metrics!I104</f>
        <v>92.922672832685791</v>
      </c>
      <c r="AP139" s="162">
        <f>+Metrics!J104</f>
        <v>59.37818661859626</v>
      </c>
      <c r="AQ139" s="484"/>
      <c r="AR139" s="484"/>
      <c r="AS139" s="1197"/>
    </row>
    <row r="140" spans="2:45" x14ac:dyDescent="0.2">
      <c r="B140" s="238" t="s">
        <v>340</v>
      </c>
      <c r="C140" s="309">
        <f>Metrics!C105</f>
        <v>0</v>
      </c>
      <c r="D140" s="310">
        <f>Metrics!L105</f>
        <v>0</v>
      </c>
      <c r="E140" s="310">
        <f>Metrics!M105</f>
        <v>0</v>
      </c>
      <c r="F140" s="310">
        <f>Metrics!N105</f>
        <v>0</v>
      </c>
      <c r="G140" s="310">
        <f>Metrics!O105</f>
        <v>0</v>
      </c>
      <c r="H140" s="859">
        <f>Metrics!P105</f>
        <v>0</v>
      </c>
      <c r="I140" s="310">
        <f>Metrics!Q105</f>
        <v>0</v>
      </c>
      <c r="J140" s="310">
        <f>Metrics!R105</f>
        <v>0</v>
      </c>
      <c r="K140" s="310">
        <f>Metrics!S105</f>
        <v>0</v>
      </c>
      <c r="L140" s="859">
        <f>Metrics!T105</f>
        <v>0</v>
      </c>
      <c r="M140" s="310">
        <f>Metrics!U105</f>
        <v>0</v>
      </c>
      <c r="N140" s="310">
        <f>Metrics!V105</f>
        <v>0</v>
      </c>
      <c r="O140" s="310">
        <f>Metrics!W105</f>
        <v>0</v>
      </c>
      <c r="P140" s="859">
        <f>Metrics!X105</f>
        <v>0</v>
      </c>
      <c r="Q140" s="310">
        <f>Metrics!Y105</f>
        <v>0</v>
      </c>
      <c r="R140" s="310">
        <f>Metrics!Z105</f>
        <v>136.65</v>
      </c>
      <c r="S140" s="310">
        <f>Metrics!AA105</f>
        <v>141.57</v>
      </c>
      <c r="T140" s="859">
        <f>Metrics!AB105</f>
        <v>144.57</v>
      </c>
      <c r="U140" s="310">
        <f>Metrics!AC105</f>
        <v>140</v>
      </c>
      <c r="V140" s="310">
        <f>Metrics!AD105</f>
        <v>138.47999999999999</v>
      </c>
      <c r="W140" s="310">
        <f>Metrics!AE105</f>
        <v>144.94999999999999</v>
      </c>
      <c r="X140" s="859">
        <f>Metrics!AF105</f>
        <v>162.69</v>
      </c>
      <c r="Y140" s="310">
        <f>Metrics!AG105</f>
        <v>162.85</v>
      </c>
      <c r="Z140" s="310">
        <f>Metrics!AH105</f>
        <v>202.45</v>
      </c>
      <c r="AA140" s="310">
        <f>Metrics!AI105</f>
        <v>227.72</v>
      </c>
      <c r="AB140" s="859">
        <f>Metrics!AJ105</f>
        <v>244.77</v>
      </c>
      <c r="AC140" s="1317">
        <f>Metrics!AK105</f>
        <v>243.32</v>
      </c>
      <c r="AD140" s="1317">
        <f>Metrics!AL105</f>
        <v>242.01</v>
      </c>
      <c r="AE140" s="1220">
        <f t="shared" ref="AE140" si="652">AD140*1.1</f>
        <v>266.21100000000001</v>
      </c>
      <c r="AF140" s="1236">
        <f t="shared" ref="AF140:AI140" si="653">AE140*1.05</f>
        <v>279.52155000000005</v>
      </c>
      <c r="AG140" s="1220">
        <f t="shared" si="653"/>
        <v>293.49762750000008</v>
      </c>
      <c r="AH140" s="1220">
        <f t="shared" si="653"/>
        <v>308.17250887500012</v>
      </c>
      <c r="AI140" s="1237">
        <f t="shared" si="653"/>
        <v>323.58113431875012</v>
      </c>
      <c r="AN140" s="167">
        <f>+-AN137/AN139</f>
        <v>140.44239097198084</v>
      </c>
      <c r="AO140" s="167">
        <f t="shared" ref="AO140" si="654">+-AO137/AO139</f>
        <v>142.12892932793903</v>
      </c>
      <c r="AP140" s="167">
        <f t="shared" ref="AP140" si="655">+-AP137/AP139</f>
        <v>187.07206522405249</v>
      </c>
      <c r="AQ140" s="1176"/>
      <c r="AR140" s="1176"/>
      <c r="AS140" s="1220"/>
    </row>
    <row r="141" spans="2:45" x14ac:dyDescent="0.2">
      <c r="B141" s="237" t="s">
        <v>336</v>
      </c>
      <c r="E141" s="5">
        <f t="shared" ref="E141:AD141" si="656">+E134-E137-D134</f>
        <v>-3</v>
      </c>
      <c r="F141" s="5">
        <f t="shared" si="656"/>
        <v>0</v>
      </c>
      <c r="G141" s="5">
        <f t="shared" si="656"/>
        <v>0</v>
      </c>
      <c r="H141" s="855">
        <f t="shared" si="656"/>
        <v>-3</v>
      </c>
      <c r="I141" s="5">
        <f t="shared" si="656"/>
        <v>-1</v>
      </c>
      <c r="J141" s="5">
        <f t="shared" si="656"/>
        <v>1</v>
      </c>
      <c r="K141" s="5">
        <f t="shared" si="656"/>
        <v>0</v>
      </c>
      <c r="L141" s="855">
        <f t="shared" si="656"/>
        <v>-3</v>
      </c>
      <c r="M141" s="5">
        <f t="shared" si="656"/>
        <v>0</v>
      </c>
      <c r="N141" s="5">
        <f t="shared" si="656"/>
        <v>1</v>
      </c>
      <c r="O141" s="5">
        <f t="shared" si="656"/>
        <v>0</v>
      </c>
      <c r="P141" s="855">
        <f t="shared" si="656"/>
        <v>-3</v>
      </c>
      <c r="Q141" s="5">
        <f t="shared" si="656"/>
        <v>0</v>
      </c>
      <c r="R141" s="5">
        <f t="shared" si="656"/>
        <v>0</v>
      </c>
      <c r="S141" s="5">
        <f t="shared" si="656"/>
        <v>0</v>
      </c>
      <c r="T141" s="855">
        <f t="shared" si="656"/>
        <v>-49</v>
      </c>
      <c r="U141" s="5">
        <f t="shared" si="656"/>
        <v>-36</v>
      </c>
      <c r="V141" s="5">
        <f t="shared" si="656"/>
        <v>-25</v>
      </c>
      <c r="W141" s="5">
        <f t="shared" si="656"/>
        <v>6960</v>
      </c>
      <c r="X141" s="855">
        <f t="shared" si="656"/>
        <v>-41</v>
      </c>
      <c r="Y141" s="5">
        <f t="shared" si="656"/>
        <v>-11</v>
      </c>
      <c r="Z141" s="5">
        <f t="shared" si="656"/>
        <v>-7</v>
      </c>
      <c r="AA141" s="5">
        <f t="shared" si="656"/>
        <v>-44</v>
      </c>
      <c r="AB141" s="855">
        <f t="shared" si="656"/>
        <v>-31</v>
      </c>
      <c r="AC141" s="5">
        <f t="shared" si="656"/>
        <v>-15</v>
      </c>
      <c r="AD141" s="5">
        <f t="shared" si="656"/>
        <v>-25</v>
      </c>
      <c r="AE141" s="370"/>
      <c r="AF141" s="1229"/>
      <c r="AG141" s="370"/>
      <c r="AH141" s="370"/>
      <c r="AI141" s="913"/>
      <c r="AL141" s="5">
        <f t="shared" ref="AL141" si="657">+AL134-AL137-AK134</f>
        <v>-3</v>
      </c>
      <c r="AM141" s="5">
        <f t="shared" ref="AM141" si="658">+AM134-AM137-AL134</f>
        <v>-2</v>
      </c>
      <c r="AN141" s="5">
        <f t="shared" ref="AN141" si="659">+AN134-AN137-AM134</f>
        <v>-3</v>
      </c>
      <c r="AO141" s="5">
        <f t="shared" ref="AO141:AP141" si="660">+AO134-AO137-AN134</f>
        <v>6850</v>
      </c>
      <c r="AP141" s="5">
        <f t="shared" si="660"/>
        <v>-103</v>
      </c>
      <c r="AQ141" s="484"/>
      <c r="AR141" s="484"/>
      <c r="AS141" s="370"/>
    </row>
    <row r="142" spans="2:45" x14ac:dyDescent="0.2">
      <c r="H142" s="594"/>
      <c r="L142" s="594"/>
      <c r="P142" s="594"/>
      <c r="T142" s="594"/>
      <c r="X142" s="594"/>
      <c r="Y142" s="167"/>
      <c r="Z142" s="167"/>
      <c r="AB142" s="594"/>
      <c r="AE142" s="370"/>
      <c r="AF142" s="1229"/>
      <c r="AG142" s="370"/>
      <c r="AH142" s="370"/>
      <c r="AI142" s="913"/>
      <c r="AQ142" s="370"/>
      <c r="AR142" s="370"/>
      <c r="AS142" s="370"/>
    </row>
    <row r="143" spans="2:45" x14ac:dyDescent="0.2">
      <c r="B143" s="14" t="s">
        <v>75</v>
      </c>
      <c r="D143" s="162">
        <f>+'FC - 3FS'!D109</f>
        <v>-11393</v>
      </c>
      <c r="E143" s="162">
        <f>+'FC - 3FS'!E109</f>
        <v>-10454</v>
      </c>
      <c r="F143" s="162">
        <f>+'FC - 3FS'!F109</f>
        <v>-9584</v>
      </c>
      <c r="G143" s="162">
        <f>+'FC - 3FS'!G109</f>
        <v>-8833</v>
      </c>
      <c r="H143" s="845">
        <f>+'FC - 3FS'!H109</f>
        <v>-7949</v>
      </c>
      <c r="I143" s="162">
        <f>+'FC - 3FS'!I109</f>
        <v>-7839</v>
      </c>
      <c r="J143" s="162">
        <f>+'FC - 3FS'!J109</f>
        <v>-6586</v>
      </c>
      <c r="K143" s="162">
        <f>+'FC - 3FS'!K109</f>
        <v>-5836</v>
      </c>
      <c r="L143" s="845">
        <f>+'FC - 3FS'!L109</f>
        <v>-4903</v>
      </c>
      <c r="M143" s="162">
        <f>+'FC - 3FS'!M109</f>
        <v>-3925</v>
      </c>
      <c r="N143" s="162">
        <f>+'FC - 3FS'!N109</f>
        <v>-3234</v>
      </c>
      <c r="O143" s="162">
        <f>+'FC - 3FS'!O109</f>
        <v>-2812</v>
      </c>
      <c r="P143" s="845">
        <f>+'FC - 3FS'!P109</f>
        <v>-2099</v>
      </c>
      <c r="Q143" s="162">
        <f>+'FC - 3FS'!Q109</f>
        <v>-2207</v>
      </c>
      <c r="R143" s="162">
        <f>+'FC - 3FS'!R109</f>
        <v>-1699</v>
      </c>
      <c r="S143" s="162">
        <f>+'FC - 3FS'!S109</f>
        <v>-223</v>
      </c>
      <c r="T143" s="845">
        <f>+'FC - 3FS'!T109</f>
        <v>1717</v>
      </c>
      <c r="U143" s="162">
        <f>+'FC - 3FS'!U109</f>
        <v>3938</v>
      </c>
      <c r="V143" s="162">
        <f>+'FC - 3FS'!V109</f>
        <v>5335</v>
      </c>
      <c r="W143" s="162">
        <f>+'FC - 3FS'!W109</f>
        <v>7347</v>
      </c>
      <c r="X143" s="845">
        <f>+'FC - 3FS'!X109</f>
        <v>8196</v>
      </c>
      <c r="Y143" s="162">
        <f>+'FC - 3FS'!Y109</f>
        <v>10360</v>
      </c>
      <c r="Z143" s="162">
        <f>+'FC - 3FS'!Z109</f>
        <v>12401</v>
      </c>
      <c r="AA143" s="162">
        <f>+'FC - 3FS'!AA109</f>
        <v>14384</v>
      </c>
      <c r="AB143" s="845">
        <f>+'FC - 3FS'!AB109</f>
        <v>16342</v>
      </c>
      <c r="AC143" s="1305">
        <f>+'FC - 3FS'!AC109</f>
        <v>18576</v>
      </c>
      <c r="AD143" s="1305">
        <f>+'FC - 3FS'!AD109</f>
        <v>20155</v>
      </c>
      <c r="AE143" s="554">
        <f t="shared" ref="AE143:AI143" si="661">+AD143+AE144+AE145</f>
        <v>21306.561453385493</v>
      </c>
      <c r="AF143" s="1180">
        <f t="shared" si="661"/>
        <v>23236.031125912461</v>
      </c>
      <c r="AG143" s="554">
        <f t="shared" si="661"/>
        <v>25514.9396699715</v>
      </c>
      <c r="AH143" s="554">
        <f t="shared" si="661"/>
        <v>27602.217024543246</v>
      </c>
      <c r="AI143" s="901">
        <f t="shared" si="661"/>
        <v>29474.336471041483</v>
      </c>
      <c r="AK143" s="162">
        <f>+'FC - 3FS'!AK109</f>
        <v>-8833</v>
      </c>
      <c r="AL143" s="162">
        <f>+'FC - 3FS'!AL109</f>
        <v>-5836</v>
      </c>
      <c r="AM143" s="162">
        <f>+'FC - 3FS'!AM109</f>
        <v>-2812</v>
      </c>
      <c r="AN143" s="162">
        <f>+'FC - 3FS'!AN109</f>
        <v>-223</v>
      </c>
      <c r="AO143" s="162">
        <f>+'FC - 3FS'!AO109</f>
        <v>7347</v>
      </c>
      <c r="AP143" s="162">
        <f>+'FC - 3FS'!AP109</f>
        <v>14384</v>
      </c>
      <c r="AQ143" s="554">
        <f t="shared" ref="AQ143:AR143" si="662">SUMIFS($D143:$AI143,$D$3:$AI$3,AQ$3,$D$2:$AI$2,4)</f>
        <v>21306.561453385493</v>
      </c>
      <c r="AR143" s="554">
        <f t="shared" si="662"/>
        <v>29474.336471041483</v>
      </c>
      <c r="AS143" s="554">
        <f t="shared" ref="AS143" si="663">+AR143+AS144+AS145</f>
        <v>39371.68769346569</v>
      </c>
    </row>
    <row r="144" spans="2:45" x14ac:dyDescent="0.2">
      <c r="B144" s="237" t="s">
        <v>332</v>
      </c>
      <c r="D144" s="162">
        <f>+'FC - 3FS'!D32</f>
        <v>-940</v>
      </c>
      <c r="E144" s="162">
        <f>+'FC - 3FS'!E32</f>
        <v>1151</v>
      </c>
      <c r="F144" s="162">
        <f>+'FC - 3FS'!F32</f>
        <v>844</v>
      </c>
      <c r="G144" s="162">
        <f>+'FC - 3FS'!G32</f>
        <v>1148</v>
      </c>
      <c r="H144" s="845">
        <f>+'FC - 3FS'!H32</f>
        <v>1462</v>
      </c>
      <c r="I144" s="162">
        <f>+'FC - 3FS'!I32</f>
        <v>110</v>
      </c>
      <c r="J144" s="162">
        <f>+'FC - 3FS'!J32</f>
        <v>1253</v>
      </c>
      <c r="K144" s="162">
        <f>+'FC - 3FS'!K32</f>
        <v>750</v>
      </c>
      <c r="L144" s="845">
        <f>+'FC - 3FS'!L32</f>
        <v>933</v>
      </c>
      <c r="M144" s="162">
        <f>+'FC - 3FS'!M32</f>
        <v>978</v>
      </c>
      <c r="N144" s="162">
        <f>+'FC - 3FS'!N32</f>
        <v>691</v>
      </c>
      <c r="O144" s="162">
        <f>+'FC - 3FS'!O32</f>
        <v>422</v>
      </c>
      <c r="P144" s="845">
        <f>+'FC - 3FS'!P32</f>
        <v>713</v>
      </c>
      <c r="Q144" s="162">
        <f>+'FC - 3FS'!Q32</f>
        <v>-108</v>
      </c>
      <c r="R144" s="162">
        <f>+'FC - 3FS'!R32</f>
        <v>508</v>
      </c>
      <c r="S144" s="162">
        <f>+'FC - 3FS'!S32</f>
        <v>1477</v>
      </c>
      <c r="T144" s="845">
        <f>+'FC - 3FS'!T32</f>
        <v>1940</v>
      </c>
      <c r="U144" s="162">
        <f>+'FC - 3FS'!U32</f>
        <v>2221</v>
      </c>
      <c r="V144" s="162">
        <f>+'FC - 3FS'!V32</f>
        <v>2142</v>
      </c>
      <c r="W144" s="162">
        <f>+'FC - 3FS'!W32</f>
        <v>2014</v>
      </c>
      <c r="X144" s="845">
        <f>+'FC - 3FS'!X32</f>
        <v>2374</v>
      </c>
      <c r="Y144" s="162">
        <f>+'FC - 3FS'!Y32</f>
        <v>2925</v>
      </c>
      <c r="Z144" s="162">
        <f>+'FC - 3FS'!Z32</f>
        <v>3059</v>
      </c>
      <c r="AA144" s="162">
        <f>+'FC - 3FS'!AA32</f>
        <v>2981</v>
      </c>
      <c r="AB144" s="845">
        <f>+'FC - 3FS'!AB32</f>
        <v>2953</v>
      </c>
      <c r="AC144" s="1305">
        <f>+'FC - 3FS'!AC32</f>
        <v>3222</v>
      </c>
      <c r="AD144" s="1305">
        <f>+'FC - 3FS'!AD32</f>
        <v>2714</v>
      </c>
      <c r="AE144" s="371">
        <f>+'FC - 3FS'!AE32</f>
        <v>2264.5278533854939</v>
      </c>
      <c r="AF144" s="1238">
        <f>+'FC - 3FS'!AF32</f>
        <v>3030.3624725269683</v>
      </c>
      <c r="AG144" s="371">
        <f>+'FC - 3FS'!AG32</f>
        <v>3372.1181440590394</v>
      </c>
      <c r="AH144" s="371">
        <f>+'FC - 3FS'!AH32</f>
        <v>3170.6085545717483</v>
      </c>
      <c r="AI144" s="902">
        <f>+'FC - 3FS'!AI32</f>
        <v>3093.7113671382367</v>
      </c>
      <c r="AK144" s="162">
        <f>+'FC - 3FS'!AK32</f>
        <v>3468</v>
      </c>
      <c r="AL144" s="162">
        <f>+'FC - 3FS'!AL32</f>
        <v>3064</v>
      </c>
      <c r="AM144" s="162">
        <f>+'FC - 3FS'!AM32</f>
        <v>3024</v>
      </c>
      <c r="AN144" s="162">
        <f>+'FC - 3FS'!AN32</f>
        <v>2590</v>
      </c>
      <c r="AO144" s="162">
        <f>+'FC - 3FS'!AO32</f>
        <v>8317</v>
      </c>
      <c r="AP144" s="162">
        <f>+'FC - 3FS'!AP32</f>
        <v>11339</v>
      </c>
      <c r="AQ144" s="371">
        <f>+'FC - 3FS'!AQ32</f>
        <v>11153.527853385487</v>
      </c>
      <c r="AR144" s="371">
        <f>+'FC - 3FS'!AR32</f>
        <v>12666.800538295989</v>
      </c>
      <c r="AS144" s="371">
        <f>+'FC - 3FS'!AS32</f>
        <v>14834.135675367859</v>
      </c>
    </row>
    <row r="145" spans="2:45" x14ac:dyDescent="0.2">
      <c r="B145" s="138" t="s">
        <v>109</v>
      </c>
      <c r="D145" s="162">
        <f>+'FC - 3FS'!D156</f>
        <v>0</v>
      </c>
      <c r="E145" s="162">
        <f>+'FC - 3FS'!E156</f>
        <v>0</v>
      </c>
      <c r="F145" s="162">
        <f>+'FC - 3FS'!F156</f>
        <v>0</v>
      </c>
      <c r="G145" s="162">
        <f>+'FC - 3FS'!G156</f>
        <v>0</v>
      </c>
      <c r="H145" s="845">
        <f>+'FC - 3FS'!H156</f>
        <v>0</v>
      </c>
      <c r="I145" s="162">
        <f>+'FC - 3FS'!I156</f>
        <v>0</v>
      </c>
      <c r="J145" s="162">
        <f>+'FC - 3FS'!J156</f>
        <v>0</v>
      </c>
      <c r="K145" s="162">
        <f>+'FC - 3FS'!K156</f>
        <v>0</v>
      </c>
      <c r="L145" s="845">
        <f>+'FC - 3FS'!L156</f>
        <v>0</v>
      </c>
      <c r="M145" s="162">
        <f>+'FC - 3FS'!M156</f>
        <v>0</v>
      </c>
      <c r="N145" s="162">
        <f>+'FC - 3FS'!N156</f>
        <v>0</v>
      </c>
      <c r="O145" s="162">
        <f>+'FC - 3FS'!O156</f>
        <v>0</v>
      </c>
      <c r="P145" s="845">
        <f>+'FC - 3FS'!P156</f>
        <v>0</v>
      </c>
      <c r="Q145" s="162">
        <f>+'FC - 3FS'!Q156</f>
        <v>0</v>
      </c>
      <c r="R145" s="162">
        <f>+'FC - 3FS'!R156</f>
        <v>0</v>
      </c>
      <c r="S145" s="162">
        <f>+'FC - 3FS'!S156</f>
        <v>0</v>
      </c>
      <c r="T145" s="845">
        <f>+'FC - 3FS'!T156</f>
        <v>0</v>
      </c>
      <c r="U145" s="162">
        <f>+'FC - 3FS'!U156</f>
        <v>0</v>
      </c>
      <c r="V145" s="162">
        <f>+'FC - 3FS'!V156</f>
        <v>0</v>
      </c>
      <c r="W145" s="162">
        <f>+'FC - 3FS'!W156</f>
        <v>-747</v>
      </c>
      <c r="X145" s="845">
        <f>+'FC - 3FS'!X156</f>
        <v>-769</v>
      </c>
      <c r="Y145" s="162">
        <f>+'FC - 3FS'!Y156</f>
        <v>-759</v>
      </c>
      <c r="Z145" s="162">
        <f>+'FC - 3FS'!Z156</f>
        <v>-758</v>
      </c>
      <c r="AA145" s="162">
        <f>+'FC - 3FS'!AA156</f>
        <v>-1014</v>
      </c>
      <c r="AB145" s="845">
        <f>+'FC - 3FS'!AB156</f>
        <v>-1003</v>
      </c>
      <c r="AC145" s="1305">
        <f>+'FC - 3FS'!AC156</f>
        <v>-996</v>
      </c>
      <c r="AD145" s="1305">
        <f>+'FC - 3FS'!AD156</f>
        <v>-987</v>
      </c>
      <c r="AE145" s="554">
        <f t="shared" ref="AE145:AI145" si="664">+AE146*AE151</f>
        <v>-1112.9663999999998</v>
      </c>
      <c r="AF145" s="1180">
        <f t="shared" si="664"/>
        <v>-1100.8928000000001</v>
      </c>
      <c r="AG145" s="554">
        <f t="shared" si="664"/>
        <v>-1093.2096000000001</v>
      </c>
      <c r="AH145" s="554">
        <f t="shared" si="664"/>
        <v>-1083.3311999999999</v>
      </c>
      <c r="AI145" s="901">
        <f t="shared" si="664"/>
        <v>-1221.5919206400001</v>
      </c>
      <c r="AK145" s="162">
        <f>+'FC - 3FS'!AK156</f>
        <v>0</v>
      </c>
      <c r="AL145" s="162">
        <f>+'FC - 3FS'!AL156</f>
        <v>0</v>
      </c>
      <c r="AM145" s="162">
        <f>+'FC - 3FS'!AM156</f>
        <v>0</v>
      </c>
      <c r="AN145" s="162">
        <f>+'FC - 3FS'!AN156</f>
        <v>0</v>
      </c>
      <c r="AO145" s="162">
        <f>+'FC - 3FS'!AO156</f>
        <v>-747</v>
      </c>
      <c r="AP145" s="162">
        <f>+'FC - 3FS'!AP156</f>
        <v>-3300</v>
      </c>
      <c r="AQ145" s="484">
        <f t="shared" ref="AQ145:AR145" si="665">SUMIFS($D145:$AI145,$D$3:$AI$3,AQ$3)</f>
        <v>-4098.9663999999993</v>
      </c>
      <c r="AR145" s="484">
        <f t="shared" si="665"/>
        <v>-4499.0255206400007</v>
      </c>
      <c r="AS145" s="554">
        <f t="shared" ref="AS145" si="666">+AS146*AS151</f>
        <v>-4936.7844529436588</v>
      </c>
    </row>
    <row r="146" spans="2:45" x14ac:dyDescent="0.2">
      <c r="B146" s="168" t="s">
        <v>172</v>
      </c>
      <c r="D146" s="242"/>
      <c r="E146" s="242"/>
      <c r="F146" s="242"/>
      <c r="G146" s="242"/>
      <c r="H146" s="850"/>
      <c r="I146" s="242">
        <f t="shared" ref="I146:X146" si="667">+I145/I151</f>
        <v>0</v>
      </c>
      <c r="J146" s="242">
        <f t="shared" si="667"/>
        <v>0</v>
      </c>
      <c r="K146" s="242">
        <f t="shared" si="667"/>
        <v>0</v>
      </c>
      <c r="L146" s="850">
        <f t="shared" si="667"/>
        <v>0</v>
      </c>
      <c r="M146" s="242">
        <f t="shared" si="667"/>
        <v>0</v>
      </c>
      <c r="N146" s="242">
        <f t="shared" si="667"/>
        <v>0</v>
      </c>
      <c r="O146" s="242">
        <f t="shared" si="667"/>
        <v>0</v>
      </c>
      <c r="P146" s="850">
        <f t="shared" si="667"/>
        <v>0</v>
      </c>
      <c r="Q146" s="242">
        <f t="shared" si="667"/>
        <v>0</v>
      </c>
      <c r="R146" s="242">
        <f t="shared" si="667"/>
        <v>0</v>
      </c>
      <c r="S146" s="242">
        <f t="shared" si="667"/>
        <v>0</v>
      </c>
      <c r="T146" s="850">
        <f t="shared" si="667"/>
        <v>0</v>
      </c>
      <c r="U146" s="242">
        <f t="shared" si="667"/>
        <v>0</v>
      </c>
      <c r="V146" s="242">
        <f t="shared" si="667"/>
        <v>0</v>
      </c>
      <c r="W146" s="242">
        <f t="shared" si="667"/>
        <v>-0.64546044424975524</v>
      </c>
      <c r="X146" s="850">
        <f t="shared" si="667"/>
        <v>-0.64878172202727424</v>
      </c>
      <c r="Y146" s="242">
        <f t="shared" ref="Y146:AD146" si="668">+Y145/Y151</f>
        <v>-0.64870360959593898</v>
      </c>
      <c r="Z146" s="242">
        <f t="shared" si="668"/>
        <v>-0.64954999317865392</v>
      </c>
      <c r="AA146" s="242">
        <f t="shared" si="668"/>
        <v>-0.87816580504802255</v>
      </c>
      <c r="AB146" s="850">
        <f t="shared" si="668"/>
        <v>-0.87940959193084611</v>
      </c>
      <c r="AC146" s="1310">
        <f t="shared" si="668"/>
        <v>-0.8792679748052471</v>
      </c>
      <c r="AD146" s="1310">
        <f t="shared" si="668"/>
        <v>-0.87830603110878458</v>
      </c>
      <c r="AE146" s="1175">
        <f>(1+AE147)*AA146</f>
        <v>-0.9835457016537853</v>
      </c>
      <c r="AF146" s="1177">
        <f t="shared" ref="AF146:AI146" si="669">(1+AF147)*AB146</f>
        <v>-0.98493874296254769</v>
      </c>
      <c r="AG146" s="1175">
        <f t="shared" si="669"/>
        <v>-0.98478013178187684</v>
      </c>
      <c r="AH146" s="1175">
        <f t="shared" si="669"/>
        <v>-0.98370275484183878</v>
      </c>
      <c r="AI146" s="1174">
        <f t="shared" si="669"/>
        <v>-1.1015711858522397</v>
      </c>
      <c r="AK146" s="162"/>
      <c r="AL146" s="162"/>
      <c r="AM146" s="162"/>
      <c r="AN146" s="162"/>
      <c r="AO146" s="242">
        <f t="shared" ref="AO146:AR146" si="670">+AO145/AO151</f>
        <v>-0.63031508661387425</v>
      </c>
      <c r="AP146" s="242">
        <f t="shared" ref="AP146" si="671">+AP145/AP151</f>
        <v>-2.8224538654584634</v>
      </c>
      <c r="AQ146" s="1175">
        <f t="shared" si="670"/>
        <v>-3.6198505855391812</v>
      </c>
      <c r="AR146" s="1175">
        <f t="shared" si="670"/>
        <v>-4.0553379965372871</v>
      </c>
      <c r="AS146" s="1175">
        <f>(1+AS147)*AR146</f>
        <v>-4.5419785561217623</v>
      </c>
    </row>
    <row r="147" spans="2:45" x14ac:dyDescent="0.2">
      <c r="B147" s="168" t="s">
        <v>338</v>
      </c>
      <c r="D147" s="242"/>
      <c r="E147" s="242"/>
      <c r="F147" s="242"/>
      <c r="G147" s="242"/>
      <c r="H147" s="850"/>
      <c r="I147" s="242"/>
      <c r="J147" s="242"/>
      <c r="K147" s="242"/>
      <c r="L147" s="850"/>
      <c r="M147" s="242"/>
      <c r="N147" s="242"/>
      <c r="O147" s="242"/>
      <c r="P147" s="850"/>
      <c r="Q147" s="242"/>
      <c r="R147" s="242"/>
      <c r="S147" s="242"/>
      <c r="T147" s="850"/>
      <c r="U147" s="242"/>
      <c r="V147" s="242"/>
      <c r="W147" s="242"/>
      <c r="X147" s="850"/>
      <c r="Y147" s="242"/>
      <c r="Z147" s="242"/>
      <c r="AA147" s="242"/>
      <c r="AB147" s="850"/>
      <c r="AC147" s="1310"/>
      <c r="AD147" s="1310"/>
      <c r="AE147" s="1139">
        <v>0.12</v>
      </c>
      <c r="AF147" s="1240">
        <v>0.12</v>
      </c>
      <c r="AG147" s="1223">
        <f t="shared" ref="AG147:AI147" si="672">+AF147</f>
        <v>0.12</v>
      </c>
      <c r="AH147" s="1223">
        <f t="shared" si="672"/>
        <v>0.12</v>
      </c>
      <c r="AI147" s="1241">
        <f t="shared" si="672"/>
        <v>0.12</v>
      </c>
      <c r="AK147" s="162"/>
      <c r="AL147" s="162"/>
      <c r="AM147" s="162"/>
      <c r="AN147" s="162"/>
      <c r="AO147" s="242"/>
      <c r="AP147" s="242"/>
      <c r="AQ147" s="1147">
        <f>+AQ146/AP146-1</f>
        <v>0.28251895623143986</v>
      </c>
      <c r="AR147" s="1147">
        <f t="shared" ref="AR147" si="673">+AR146/AQ146-1</f>
        <v>0.12030535534748865</v>
      </c>
      <c r="AS147" s="1223">
        <v>0.12</v>
      </c>
    </row>
    <row r="148" spans="2:45" x14ac:dyDescent="0.2">
      <c r="B148" s="237" t="s">
        <v>336</v>
      </c>
      <c r="D148" s="5">
        <f t="shared" ref="D148:X148" si="674">+D143-D144-D145-C143</f>
        <v>-10453</v>
      </c>
      <c r="E148" s="5">
        <f t="shared" si="674"/>
        <v>-212</v>
      </c>
      <c r="F148" s="5">
        <f t="shared" si="674"/>
        <v>26</v>
      </c>
      <c r="G148" s="5">
        <f t="shared" si="674"/>
        <v>-397</v>
      </c>
      <c r="H148" s="855">
        <f t="shared" si="674"/>
        <v>-578</v>
      </c>
      <c r="I148" s="5">
        <f t="shared" si="674"/>
        <v>0</v>
      </c>
      <c r="J148" s="5">
        <f t="shared" si="674"/>
        <v>0</v>
      </c>
      <c r="K148" s="5">
        <f t="shared" si="674"/>
        <v>0</v>
      </c>
      <c r="L148" s="855">
        <f t="shared" si="674"/>
        <v>0</v>
      </c>
      <c r="M148" s="5">
        <f t="shared" si="674"/>
        <v>0</v>
      </c>
      <c r="N148" s="5">
        <f t="shared" si="674"/>
        <v>0</v>
      </c>
      <c r="O148" s="5">
        <f t="shared" si="674"/>
        <v>0</v>
      </c>
      <c r="P148" s="855">
        <f t="shared" si="674"/>
        <v>0</v>
      </c>
      <c r="Q148" s="5">
        <f t="shared" si="674"/>
        <v>0</v>
      </c>
      <c r="R148" s="5">
        <f t="shared" si="674"/>
        <v>0</v>
      </c>
      <c r="S148" s="5">
        <f t="shared" si="674"/>
        <v>-1</v>
      </c>
      <c r="T148" s="855">
        <f t="shared" si="674"/>
        <v>0</v>
      </c>
      <c r="U148" s="5">
        <f t="shared" si="674"/>
        <v>0</v>
      </c>
      <c r="V148" s="5">
        <f t="shared" si="674"/>
        <v>-745</v>
      </c>
      <c r="W148" s="5">
        <f t="shared" si="674"/>
        <v>745</v>
      </c>
      <c r="X148" s="855">
        <f t="shared" si="674"/>
        <v>-756</v>
      </c>
      <c r="Y148" s="5">
        <f t="shared" ref="Y148:AD148" si="675">+Y143-Y144-Y145-X143</f>
        <v>-2</v>
      </c>
      <c r="Z148" s="5">
        <f t="shared" si="675"/>
        <v>-260</v>
      </c>
      <c r="AA148" s="5">
        <f t="shared" si="675"/>
        <v>16</v>
      </c>
      <c r="AB148" s="855">
        <f t="shared" si="675"/>
        <v>8</v>
      </c>
      <c r="AC148" s="5">
        <f t="shared" si="675"/>
        <v>8</v>
      </c>
      <c r="AD148" s="5">
        <f t="shared" si="675"/>
        <v>-148</v>
      </c>
      <c r="AE148" s="370"/>
      <c r="AF148" s="1229"/>
      <c r="AG148" s="370"/>
      <c r="AH148" s="370"/>
      <c r="AI148" s="913"/>
      <c r="AQ148" s="484">
        <f t="shared" ref="AQ148:AR148" si="676">SUMIFS($D148:$AI148,$D$3:$AI$3,AQ$3)</f>
        <v>-132</v>
      </c>
      <c r="AR148" s="484">
        <f t="shared" si="676"/>
        <v>0</v>
      </c>
      <c r="AS148" s="370"/>
    </row>
    <row r="149" spans="2:45" x14ac:dyDescent="0.2">
      <c r="D149" s="5"/>
      <c r="E149" s="5"/>
      <c r="F149" s="5"/>
      <c r="G149" s="5"/>
      <c r="H149" s="855"/>
      <c r="I149" s="5"/>
      <c r="J149" s="5"/>
      <c r="K149" s="5"/>
      <c r="L149" s="855"/>
      <c r="M149" s="5"/>
      <c r="N149" s="5"/>
      <c r="O149" s="5"/>
      <c r="P149" s="855"/>
      <c r="Q149" s="5"/>
      <c r="R149" s="5"/>
      <c r="S149" s="5"/>
      <c r="T149" s="855"/>
      <c r="U149" s="5"/>
      <c r="V149" s="5"/>
      <c r="W149" s="5"/>
      <c r="X149" s="855"/>
      <c r="Y149" s="5"/>
      <c r="Z149" s="5"/>
      <c r="AA149" s="5"/>
      <c r="AB149" s="855"/>
      <c r="AC149" s="5"/>
      <c r="AD149" s="5"/>
      <c r="AE149" s="370"/>
      <c r="AF149" s="1229"/>
      <c r="AG149" s="370"/>
      <c r="AH149" s="370"/>
      <c r="AI149" s="913"/>
      <c r="AQ149" s="370"/>
      <c r="AR149" s="370"/>
      <c r="AS149" s="370"/>
    </row>
    <row r="150" spans="2:45" x14ac:dyDescent="0.2">
      <c r="B150" s="14" t="s">
        <v>35</v>
      </c>
      <c r="H150" s="594"/>
      <c r="L150" s="594"/>
      <c r="P150" s="594"/>
      <c r="T150" s="594"/>
      <c r="X150" s="594"/>
      <c r="AB150" s="594"/>
      <c r="AE150" s="370"/>
      <c r="AF150" s="1229"/>
      <c r="AG150" s="370"/>
      <c r="AH150" s="370"/>
      <c r="AI150" s="913"/>
      <c r="AQ150" s="370"/>
      <c r="AR150" s="370"/>
      <c r="AS150" s="370"/>
    </row>
    <row r="151" spans="2:45" x14ac:dyDescent="0.2">
      <c r="B151" s="10" t="s">
        <v>33</v>
      </c>
      <c r="D151" s="162">
        <f>+'FC - 3FS'!D38</f>
        <v>0</v>
      </c>
      <c r="E151" s="162">
        <f>+'FC - 3FS'!E38</f>
        <v>0</v>
      </c>
      <c r="F151" s="162">
        <f>+'FC - 3FS'!F38</f>
        <v>0</v>
      </c>
      <c r="G151" s="162">
        <f>+'FC - 3FS'!G38</f>
        <v>0</v>
      </c>
      <c r="H151" s="845">
        <f>+'FC - 3FS'!H38</f>
        <v>0</v>
      </c>
      <c r="I151" s="162">
        <f>+'FC - 3FS'!I38</f>
        <v>1236.528444</v>
      </c>
      <c r="J151" s="162">
        <f>+'FC - 3FS'!J38</f>
        <v>1238.4506650000001</v>
      </c>
      <c r="K151" s="162">
        <f>+'FC - 3FS'!K38</f>
        <v>1241.5786149999999</v>
      </c>
      <c r="L151" s="845">
        <f>+'FC - 3FS'!L38</f>
        <v>1243.5200259999999</v>
      </c>
      <c r="M151" s="162">
        <f>+'FC - 3FS'!M38</f>
        <v>1247.5633310000001</v>
      </c>
      <c r="N151" s="162">
        <f>+'FC - 3FS'!N38</f>
        <v>1248.189719</v>
      </c>
      <c r="O151" s="162">
        <f>+'FC - 3FS'!O38</f>
        <v>1249.2722960000001</v>
      </c>
      <c r="P151" s="845">
        <f>+'FC - 3FS'!P38</f>
        <v>1250.505999</v>
      </c>
      <c r="Q151" s="162">
        <f>+'FC - 3FS'!Q38</f>
        <v>1253.932986</v>
      </c>
      <c r="R151" s="162">
        <f>+'FC - 3FS'!R38</f>
        <v>1253.873429</v>
      </c>
      <c r="S151" s="162">
        <f>+'FC - 3FS'!S38</f>
        <v>1240.827732</v>
      </c>
      <c r="T151" s="845">
        <f>+'FC - 3FS'!T38</f>
        <v>1219.6083619999999</v>
      </c>
      <c r="U151" s="162">
        <f>+'FC - 3FS'!U38</f>
        <v>1193.0788910000001</v>
      </c>
      <c r="V151" s="162">
        <f>+'FC - 3FS'!V38</f>
        <v>1171.3363730000001</v>
      </c>
      <c r="W151" s="162">
        <f>+'FC - 3FS'!W38</f>
        <v>1157.313367</v>
      </c>
      <c r="X151" s="845">
        <f>+'FC - 3FS'!X38</f>
        <v>1185.298497</v>
      </c>
      <c r="Y151" s="162">
        <f>+'FC - 3FS'!Y38</f>
        <v>1170.025862</v>
      </c>
      <c r="Z151" s="162">
        <f>+'FC - 3FS'!Z38</f>
        <v>1166.961755</v>
      </c>
      <c r="AA151" s="162">
        <f>+'FC - 3FS'!AA38</f>
        <v>1154.6794400000001</v>
      </c>
      <c r="AB151" s="845">
        <f>+'FC - 3FS'!AB38</f>
        <v>1140.5379350000001</v>
      </c>
      <c r="AC151" s="1305">
        <f>+'FC - 3FS'!AC38</f>
        <v>1132.7604650000001</v>
      </c>
      <c r="AD151" s="1305">
        <f>+'FC - 3FS'!AD38</f>
        <v>1123.7540959999999</v>
      </c>
      <c r="AE151" s="554">
        <f t="shared" ref="AE151:AI151" si="677">(1+AE152)*AA151</f>
        <v>1131.5858512</v>
      </c>
      <c r="AF151" s="1180">
        <f t="shared" si="677"/>
        <v>1117.7271763000001</v>
      </c>
      <c r="AG151" s="554">
        <f t="shared" si="677"/>
        <v>1110.1052557</v>
      </c>
      <c r="AH151" s="554">
        <f t="shared" si="677"/>
        <v>1101.2790140799998</v>
      </c>
      <c r="AI151" s="901">
        <f t="shared" si="677"/>
        <v>1108.954134176</v>
      </c>
      <c r="AK151" s="162">
        <f>+'FC - 3FS'!AK38</f>
        <v>854.14375099999995</v>
      </c>
      <c r="AL151" s="162">
        <f>+'FC - 3FS'!AL38</f>
        <v>1144.206326</v>
      </c>
      <c r="AM151" s="162">
        <f>+'FC - 3FS'!AM38</f>
        <v>1247.154988</v>
      </c>
      <c r="AN151" s="162">
        <f>+'FC - 3FS'!AN38</f>
        <v>1249.7639340000001</v>
      </c>
      <c r="AO151" s="162">
        <f>+'FC - 3FS'!AO38</f>
        <v>1185.121562</v>
      </c>
      <c r="AP151" s="162">
        <f>+'FC - 3FS'!AP38</f>
        <v>1169.195373</v>
      </c>
      <c r="AQ151" s="371">
        <f>+'FC - 3FS'!AQ38</f>
        <v>1132.3578979681708</v>
      </c>
      <c r="AR151" s="371">
        <f>+'FC - 3FS'!AR38</f>
        <v>1109.4082723762021</v>
      </c>
      <c r="AS151" s="554">
        <f>(1+AS152)*AR151</f>
        <v>1086.9237694417932</v>
      </c>
    </row>
    <row r="152" spans="2:45" x14ac:dyDescent="0.2">
      <c r="B152" s="29" t="s">
        <v>338</v>
      </c>
      <c r="H152" s="847"/>
      <c r="I152" s="173"/>
      <c r="J152" s="173"/>
      <c r="K152" s="173"/>
      <c r="L152" s="847"/>
      <c r="M152" s="173">
        <f t="shared" ref="M152:AD152" si="678">+M151/I151-1</f>
        <v>8.9240866666226992E-3</v>
      </c>
      <c r="N152" s="173">
        <f t="shared" si="678"/>
        <v>7.8639014659496187E-3</v>
      </c>
      <c r="O152" s="173">
        <f t="shared" si="678"/>
        <v>6.1966925872030121E-3</v>
      </c>
      <c r="P152" s="847">
        <f t="shared" si="678"/>
        <v>5.6179014844430775E-3</v>
      </c>
      <c r="Q152" s="173">
        <f t="shared" si="678"/>
        <v>5.1056766752628491E-3</v>
      </c>
      <c r="R152" s="173">
        <f t="shared" si="678"/>
        <v>4.5535625822599179E-3</v>
      </c>
      <c r="S152" s="173">
        <f t="shared" si="678"/>
        <v>-6.759586382439231E-3</v>
      </c>
      <c r="T152" s="847">
        <f t="shared" si="678"/>
        <v>-2.4708107777738131E-2</v>
      </c>
      <c r="U152" s="173">
        <f t="shared" si="678"/>
        <v>-4.8530579926860606E-2</v>
      </c>
      <c r="V152" s="173">
        <f t="shared" si="678"/>
        <v>-6.5825667959026446E-2</v>
      </c>
      <c r="W152" s="173">
        <f t="shared" si="678"/>
        <v>-6.7305366285930202E-2</v>
      </c>
      <c r="X152" s="847">
        <f t="shared" si="678"/>
        <v>-2.8131870909556711E-2</v>
      </c>
      <c r="Y152" s="173">
        <f t="shared" si="678"/>
        <v>-1.9322300623957789E-2</v>
      </c>
      <c r="Z152" s="241">
        <f t="shared" si="678"/>
        <v>-3.734723945091778E-3</v>
      </c>
      <c r="AA152" s="173">
        <f t="shared" si="678"/>
        <v>-2.2758978467755098E-3</v>
      </c>
      <c r="AB152" s="847">
        <f t="shared" si="678"/>
        <v>-3.7763113775381663E-2</v>
      </c>
      <c r="AC152" s="1303">
        <f t="shared" si="678"/>
        <v>-3.1850062644170785E-2</v>
      </c>
      <c r="AD152" s="1303">
        <f t="shared" si="678"/>
        <v>-3.7025771251603778E-2</v>
      </c>
      <c r="AE152" s="1223">
        <v>-0.02</v>
      </c>
      <c r="AF152" s="1240">
        <v>-0.02</v>
      </c>
      <c r="AG152" s="1223">
        <v>-0.02</v>
      </c>
      <c r="AH152" s="1223">
        <v>-0.02</v>
      </c>
      <c r="AI152" s="1241">
        <v>-0.02</v>
      </c>
      <c r="AL152" s="173">
        <f>+AL151/AK151-1</f>
        <v>0.33959456433463986</v>
      </c>
      <c r="AM152" s="173">
        <f t="shared" ref="AM152:AR152" si="679">+AM151/AL151-1</f>
        <v>8.9973861934407706E-2</v>
      </c>
      <c r="AN152" s="173">
        <f t="shared" si="679"/>
        <v>2.0919180255085656E-3</v>
      </c>
      <c r="AO152" s="173">
        <f t="shared" si="679"/>
        <v>-5.172366575910492E-2</v>
      </c>
      <c r="AP152" s="173">
        <f t="shared" si="679"/>
        <v>-1.3438443372106978E-2</v>
      </c>
      <c r="AQ152" s="1218">
        <f t="shared" si="679"/>
        <v>-3.150668902948961E-2</v>
      </c>
      <c r="AR152" s="1218">
        <f t="shared" si="679"/>
        <v>-2.0267113103682122E-2</v>
      </c>
      <c r="AS152" s="1223">
        <f>AR152</f>
        <v>-2.0267113103682122E-2</v>
      </c>
    </row>
    <row r="153" spans="2:45" x14ac:dyDescent="0.2">
      <c r="B153" s="29" t="s">
        <v>928</v>
      </c>
      <c r="D153" s="160">
        <f t="shared" ref="D153:AH153" si="680">D151-C151</f>
        <v>0</v>
      </c>
      <c r="E153" s="160">
        <f t="shared" si="680"/>
        <v>0</v>
      </c>
      <c r="F153" s="160">
        <f t="shared" si="680"/>
        <v>0</v>
      </c>
      <c r="G153" s="160">
        <f t="shared" si="680"/>
        <v>0</v>
      </c>
      <c r="H153" s="1278">
        <f t="shared" si="680"/>
        <v>0</v>
      </c>
      <c r="I153" s="160">
        <f t="shared" si="680"/>
        <v>1236.528444</v>
      </c>
      <c r="J153" s="160">
        <f t="shared" si="680"/>
        <v>1.9222210000000359</v>
      </c>
      <c r="K153" s="160">
        <f t="shared" si="680"/>
        <v>3.1279499999998279</v>
      </c>
      <c r="L153" s="1278">
        <f t="shared" si="680"/>
        <v>1.9414110000000164</v>
      </c>
      <c r="M153" s="160">
        <f t="shared" si="680"/>
        <v>4.0433050000001458</v>
      </c>
      <c r="N153" s="160">
        <f t="shared" si="680"/>
        <v>0.62638799999990624</v>
      </c>
      <c r="O153" s="160">
        <f t="shared" si="680"/>
        <v>1.0825770000001285</v>
      </c>
      <c r="P153" s="1278">
        <f t="shared" si="680"/>
        <v>1.2337029999998776</v>
      </c>
      <c r="Q153" s="160">
        <f t="shared" si="680"/>
        <v>3.4269870000000537</v>
      </c>
      <c r="R153" s="160">
        <f t="shared" si="680"/>
        <v>-5.9557000000040716E-2</v>
      </c>
      <c r="S153" s="160">
        <f t="shared" si="680"/>
        <v>-13.045697000000018</v>
      </c>
      <c r="T153" s="1278">
        <f t="shared" si="680"/>
        <v>-21.219370000000026</v>
      </c>
      <c r="U153" s="160">
        <f t="shared" si="680"/>
        <v>-26.52947099999983</v>
      </c>
      <c r="V153" s="160">
        <f t="shared" si="680"/>
        <v>-21.742518000000018</v>
      </c>
      <c r="W153" s="160">
        <f t="shared" si="680"/>
        <v>-14.023006000000123</v>
      </c>
      <c r="X153" s="1278">
        <f t="shared" si="680"/>
        <v>27.985130000000026</v>
      </c>
      <c r="Y153" s="160">
        <f t="shared" si="680"/>
        <v>-15.272635000000037</v>
      </c>
      <c r="Z153" s="242">
        <f t="shared" si="680"/>
        <v>-3.0641069999999218</v>
      </c>
      <c r="AA153" s="160">
        <f t="shared" si="680"/>
        <v>-12.282314999999926</v>
      </c>
      <c r="AB153" s="1278">
        <f t="shared" si="680"/>
        <v>-14.141505000000052</v>
      </c>
      <c r="AC153" s="1318">
        <f t="shared" si="680"/>
        <v>-7.7774699999999939</v>
      </c>
      <c r="AD153" s="1318">
        <f t="shared" si="680"/>
        <v>-9.006369000000177</v>
      </c>
      <c r="AE153" s="1175">
        <f t="shared" si="680"/>
        <v>7.8317552000000887</v>
      </c>
      <c r="AF153" s="1177">
        <f t="shared" si="680"/>
        <v>-13.858674899999869</v>
      </c>
      <c r="AG153" s="1175">
        <f t="shared" si="680"/>
        <v>-7.6219206000000668</v>
      </c>
      <c r="AH153" s="1175">
        <f t="shared" si="680"/>
        <v>-8.8262416200002463</v>
      </c>
      <c r="AI153" s="1174">
        <f>AI151-AH151</f>
        <v>7.6751200960002279</v>
      </c>
      <c r="AL153" s="173"/>
      <c r="AM153" s="173"/>
      <c r="AN153" s="173"/>
      <c r="AO153" s="173"/>
      <c r="AP153" s="173"/>
      <c r="AQ153" s="1218"/>
      <c r="AR153" s="1218"/>
      <c r="AS153" s="1223"/>
    </row>
    <row r="154" spans="2:45" x14ac:dyDescent="0.2">
      <c r="B154" s="10" t="s">
        <v>34</v>
      </c>
      <c r="D154" s="162">
        <f>+'FC - 3FS'!D39</f>
        <v>0</v>
      </c>
      <c r="E154" s="162">
        <f>+'FC - 3FS'!E39</f>
        <v>0</v>
      </c>
      <c r="F154" s="162">
        <f>+'FC - 3FS'!F39</f>
        <v>0</v>
      </c>
      <c r="G154" s="162">
        <f>+'FC - 3FS'!G39</f>
        <v>0</v>
      </c>
      <c r="H154" s="845">
        <f>+'FC - 3FS'!H39</f>
        <v>0</v>
      </c>
      <c r="I154" s="162">
        <f>+'FC - 3FS'!I39</f>
        <v>1236.528444</v>
      </c>
      <c r="J154" s="162">
        <f>+'FC - 3FS'!J39</f>
        <v>1249.79874</v>
      </c>
      <c r="K154" s="162">
        <f>+'FC - 3FS'!K39</f>
        <v>1251.5668989999999</v>
      </c>
      <c r="L154" s="845">
        <f>+'FC - 3FS'!L39</f>
        <v>1252.7835640000001</v>
      </c>
      <c r="M154" s="162">
        <f>+'FC - 3FS'!M39</f>
        <v>1253.718122</v>
      </c>
      <c r="N154" s="162">
        <f>+'FC - 3FS'!N39</f>
        <v>1253.661245</v>
      </c>
      <c r="O154" s="162">
        <f>+'FC - 3FS'!O39</f>
        <v>1254.28917</v>
      </c>
      <c r="P154" s="845">
        <f>+'FC - 3FS'!P39</f>
        <v>1255.368592</v>
      </c>
      <c r="Q154" s="162">
        <f>+'FC - 3FS'!Q39</f>
        <v>1253.932986</v>
      </c>
      <c r="R154" s="162">
        <f>+'FC - 3FS'!R39</f>
        <v>1259.2102709999999</v>
      </c>
      <c r="S154" s="162">
        <f>+'FC - 3FS'!S39</f>
        <v>1246.8801410000001</v>
      </c>
      <c r="T154" s="845">
        <f>+'FC - 3FS'!T39</f>
        <v>1224.6046980000001</v>
      </c>
      <c r="U154" s="162">
        <f>+'FC - 3FS'!U39</f>
        <v>1195.5334989999999</v>
      </c>
      <c r="V154" s="162">
        <f>+'FC - 3FS'!V39</f>
        <v>1174.390472</v>
      </c>
      <c r="W154" s="162">
        <f>+'FC - 3FS'!W39</f>
        <v>1205.014105</v>
      </c>
      <c r="X154" s="845">
        <f>+'FC - 3FS'!X39</f>
        <v>1189.0920189999999</v>
      </c>
      <c r="Y154" s="162">
        <f>+'FC - 3FS'!Y39</f>
        <v>1172.447353</v>
      </c>
      <c r="Z154" s="162">
        <f>+'FC - 3FS'!Z39</f>
        <v>1170.6495609999999</v>
      </c>
      <c r="AA154" s="162">
        <f>+'FC - 3FS'!AA39</f>
        <v>1159.0956960000001</v>
      </c>
      <c r="AB154" s="845">
        <f>+'FC - 3FS'!AB39</f>
        <v>1144.655297</v>
      </c>
      <c r="AC154" s="1305">
        <f>+'FC - 3FS'!AC39</f>
        <v>1134.8469660000001</v>
      </c>
      <c r="AD154" s="1305">
        <f>+'FC - 3FS'!AD39</f>
        <v>1126.627708</v>
      </c>
      <c r="AE154" s="554">
        <f t="shared" ref="AE154:AI154" si="681">+AE155*AE151</f>
        <v>1134.479490202174</v>
      </c>
      <c r="AF154" s="1180">
        <f t="shared" si="681"/>
        <v>1120.5853765396919</v>
      </c>
      <c r="AG154" s="554">
        <f t="shared" si="681"/>
        <v>1112.9439655168519</v>
      </c>
      <c r="AH154" s="554">
        <f t="shared" si="681"/>
        <v>1104.0951538399997</v>
      </c>
      <c r="AI154" s="901">
        <f t="shared" si="681"/>
        <v>1111.7899003981306</v>
      </c>
      <c r="AK154" s="162">
        <f>+'FC - 3FS'!AK39</f>
        <v>863.43351099999995</v>
      </c>
      <c r="AL154" s="162">
        <f>+'FC - 3FS'!AL39</f>
        <v>1154.7494280000001</v>
      </c>
      <c r="AM154" s="162">
        <f>+'FC - 3FS'!AM39</f>
        <v>1254.7699259999999</v>
      </c>
      <c r="AN154" s="162">
        <f>+'FC - 3FS'!AN39</f>
        <v>1255.376769</v>
      </c>
      <c r="AO154" s="162">
        <f>+'FC - 3FS'!AO39</f>
        <v>1200.2862640000001</v>
      </c>
      <c r="AP154" s="162">
        <f>+'FC - 3FS'!AP39</f>
        <v>1173.213898</v>
      </c>
      <c r="AQ154" s="371">
        <f>+'FC - 3FS'!AQ39</f>
        <v>1135.3325429268475</v>
      </c>
      <c r="AR154" s="371">
        <f>+'FC - 3FS'!AR39</f>
        <v>1112.2451998995341</v>
      </c>
      <c r="AS154" s="554">
        <f t="shared" ref="AS154" si="682">+AS155*AS151</f>
        <v>1089.7032006341428</v>
      </c>
    </row>
    <row r="155" spans="2:45" x14ac:dyDescent="0.2">
      <c r="B155" s="237" t="s">
        <v>339</v>
      </c>
      <c r="D155" s="174"/>
      <c r="E155" s="174"/>
      <c r="F155" s="174"/>
      <c r="G155" s="174"/>
      <c r="H155" s="856"/>
      <c r="I155" s="174">
        <f t="shared" ref="I155:Y155" si="683">+I154/I151</f>
        <v>1</v>
      </c>
      <c r="J155" s="174">
        <f t="shared" si="683"/>
        <v>1.0091631223759727</v>
      </c>
      <c r="K155" s="174">
        <f t="shared" si="683"/>
        <v>1.0080448260620212</v>
      </c>
      <c r="L155" s="856">
        <f t="shared" si="683"/>
        <v>1.0074494481844398</v>
      </c>
      <c r="M155" s="174">
        <f t="shared" si="683"/>
        <v>1.0049334497472497</v>
      </c>
      <c r="N155" s="174">
        <f t="shared" si="683"/>
        <v>1.0043835691936187</v>
      </c>
      <c r="O155" s="174">
        <f t="shared" si="683"/>
        <v>1.0040158370725607</v>
      </c>
      <c r="P155" s="856">
        <f t="shared" si="683"/>
        <v>1.0038885003381739</v>
      </c>
      <c r="Q155" s="174">
        <f t="shared" si="683"/>
        <v>1</v>
      </c>
      <c r="R155" s="174">
        <f t="shared" si="683"/>
        <v>1.0042562844674492</v>
      </c>
      <c r="S155" s="174">
        <f t="shared" si="683"/>
        <v>1.0048777189966931</v>
      </c>
      <c r="T155" s="856">
        <f t="shared" si="683"/>
        <v>1.0040966724693547</v>
      </c>
      <c r="U155" s="174">
        <f t="shared" si="683"/>
        <v>1.0020573727508852</v>
      </c>
      <c r="V155" s="174">
        <f t="shared" si="683"/>
        <v>1.0026073628979675</v>
      </c>
      <c r="W155" s="174">
        <f t="shared" si="683"/>
        <v>1.0412167865334956</v>
      </c>
      <c r="X155" s="856">
        <f t="shared" si="683"/>
        <v>1.0032004781998807</v>
      </c>
      <c r="Y155" s="174">
        <f t="shared" si="683"/>
        <v>1.0020696046802426</v>
      </c>
      <c r="Z155" s="174">
        <f t="shared" ref="Z155:AA155" si="684">+Z154/Z151</f>
        <v>1.0031601772587653</v>
      </c>
      <c r="AA155" s="174">
        <f t="shared" si="684"/>
        <v>1.0038246597687752</v>
      </c>
      <c r="AB155" s="856">
        <f t="shared" ref="AB155" si="685">+AB154/AB151</f>
        <v>1.003610017583501</v>
      </c>
      <c r="AC155" s="1279">
        <f t="shared" ref="AC155:AD155" si="686">+AC154/AC151</f>
        <v>1.0018419613541156</v>
      </c>
      <c r="AD155" s="1279">
        <f t="shared" si="686"/>
        <v>1.0025571537494089</v>
      </c>
      <c r="AE155" s="1223">
        <f t="shared" ref="AE155:AI155" si="687">+AD155</f>
        <v>1.0025571537494089</v>
      </c>
      <c r="AF155" s="1240">
        <f t="shared" si="687"/>
        <v>1.0025571537494089</v>
      </c>
      <c r="AG155" s="1223">
        <f t="shared" si="687"/>
        <v>1.0025571537494089</v>
      </c>
      <c r="AH155" s="1223">
        <f t="shared" si="687"/>
        <v>1.0025571537494089</v>
      </c>
      <c r="AI155" s="1241">
        <f t="shared" si="687"/>
        <v>1.0025571537494089</v>
      </c>
      <c r="AK155" s="174">
        <f t="shared" ref="AK155:AR155" si="688">+AK154/AK151</f>
        <v>1.0108761083706623</v>
      </c>
      <c r="AL155" s="174">
        <f t="shared" si="688"/>
        <v>1.0092143364010733</v>
      </c>
      <c r="AM155" s="174">
        <f t="shared" si="688"/>
        <v>1.006105847367224</v>
      </c>
      <c r="AN155" s="174">
        <f t="shared" si="688"/>
        <v>1.0044911161598618</v>
      </c>
      <c r="AO155" s="174">
        <f t="shared" si="688"/>
        <v>1.0127959042230303</v>
      </c>
      <c r="AP155" s="174">
        <f t="shared" ref="AP155" si="689">+AP154/AP151</f>
        <v>1.0034370004302096</v>
      </c>
      <c r="AQ155" s="384">
        <f t="shared" si="688"/>
        <v>1.0026269476850156</v>
      </c>
      <c r="AR155" s="384">
        <f t="shared" si="688"/>
        <v>1.0025571537494089</v>
      </c>
      <c r="AS155" s="1223">
        <f>+AR155</f>
        <v>1.0025571537494089</v>
      </c>
    </row>
    <row r="156" spans="2:45" x14ac:dyDescent="0.2">
      <c r="H156" s="594"/>
      <c r="L156" s="594"/>
      <c r="P156" s="594"/>
      <c r="T156" s="594"/>
      <c r="X156" s="594"/>
      <c r="AB156" s="594"/>
      <c r="AE156" s="370"/>
      <c r="AF156" s="1229"/>
      <c r="AG156" s="370"/>
      <c r="AH156" s="370"/>
      <c r="AI156" s="913"/>
      <c r="AQ156" s="370"/>
      <c r="AR156" s="370"/>
      <c r="AS156" s="370"/>
    </row>
    <row r="157" spans="2:45" s="3" customFormat="1" x14ac:dyDescent="0.2">
      <c r="B157" s="144" t="s">
        <v>173</v>
      </c>
      <c r="D157" s="217">
        <f t="shared" ref="D157:AH157" si="690">-D137-D145</f>
        <v>0</v>
      </c>
      <c r="E157" s="217">
        <f t="shared" si="690"/>
        <v>0</v>
      </c>
      <c r="F157" s="217">
        <f t="shared" si="690"/>
        <v>0</v>
      </c>
      <c r="G157" s="217">
        <f t="shared" si="690"/>
        <v>0</v>
      </c>
      <c r="H157" s="804">
        <f t="shared" si="690"/>
        <v>0</v>
      </c>
      <c r="I157" s="217">
        <f t="shared" si="690"/>
        <v>0</v>
      </c>
      <c r="J157" s="217">
        <f t="shared" si="690"/>
        <v>0</v>
      </c>
      <c r="K157" s="217">
        <f t="shared" si="690"/>
        <v>0</v>
      </c>
      <c r="L157" s="804">
        <f t="shared" si="690"/>
        <v>0</v>
      </c>
      <c r="M157" s="217">
        <f t="shared" si="690"/>
        <v>0</v>
      </c>
      <c r="N157" s="217">
        <f t="shared" si="690"/>
        <v>0</v>
      </c>
      <c r="O157" s="217">
        <f t="shared" si="690"/>
        <v>0</v>
      </c>
      <c r="P157" s="804">
        <f t="shared" si="690"/>
        <v>0</v>
      </c>
      <c r="Q157" s="217">
        <f t="shared" si="690"/>
        <v>0</v>
      </c>
      <c r="R157" s="217">
        <f t="shared" si="690"/>
        <v>669</v>
      </c>
      <c r="S157" s="217">
        <f t="shared" si="690"/>
        <v>2331</v>
      </c>
      <c r="T157" s="804">
        <f t="shared" si="690"/>
        <v>4766</v>
      </c>
      <c r="U157" s="217">
        <f t="shared" si="690"/>
        <v>3525</v>
      </c>
      <c r="V157" s="217">
        <f t="shared" si="690"/>
        <v>2675</v>
      </c>
      <c r="W157" s="217">
        <f t="shared" si="690"/>
        <v>2988</v>
      </c>
      <c r="X157" s="804">
        <f t="shared" si="690"/>
        <v>4337</v>
      </c>
      <c r="Y157" s="217">
        <f t="shared" si="690"/>
        <v>3036</v>
      </c>
      <c r="Z157" s="217">
        <f t="shared" ref="Z157:AA157" si="691">-Z137-Z145</f>
        <v>1402</v>
      </c>
      <c r="AA157" s="217">
        <f t="shared" si="691"/>
        <v>5633</v>
      </c>
      <c r="AB157" s="804">
        <f t="shared" ref="AB157" si="692">-AB137-AB145</f>
        <v>3473</v>
      </c>
      <c r="AC157" s="217">
        <f t="shared" ref="AC157:AD157" si="693">-AC137-AC145</f>
        <v>3465</v>
      </c>
      <c r="AD157" s="217">
        <f t="shared" si="693"/>
        <v>3457</v>
      </c>
      <c r="AE157" s="1136">
        <f t="shared" si="690"/>
        <v>3582.9663999999998</v>
      </c>
      <c r="AF157" s="1242">
        <f t="shared" si="690"/>
        <v>3817.8928000000001</v>
      </c>
      <c r="AG157" s="1136">
        <f t="shared" si="690"/>
        <v>3810.2096000000001</v>
      </c>
      <c r="AH157" s="1136">
        <f t="shared" si="690"/>
        <v>3800.3311999999996</v>
      </c>
      <c r="AI157" s="972">
        <f>-AI137-AI145</f>
        <v>3938.5919206400004</v>
      </c>
      <c r="AK157" s="1036">
        <f t="shared" ref="AK157:AP157" si="694">SUMIFS($D157:$AI157,$D$3:$AI$3,AK$3)</f>
        <v>0</v>
      </c>
      <c r="AL157" s="1036">
        <f t="shared" si="694"/>
        <v>0</v>
      </c>
      <c r="AM157" s="1036">
        <f t="shared" si="694"/>
        <v>0</v>
      </c>
      <c r="AN157" s="1036">
        <f t="shared" si="694"/>
        <v>3000</v>
      </c>
      <c r="AO157" s="1036">
        <f t="shared" si="694"/>
        <v>13954</v>
      </c>
      <c r="AP157" s="1036">
        <f t="shared" si="694"/>
        <v>14408</v>
      </c>
      <c r="AQ157" s="1227">
        <f t="shared" ref="AQ157:AR157" si="695">SUMIFS($D157:$AI157,$D$3:$AI$3,AQ$3)</f>
        <v>13977.966399999999</v>
      </c>
      <c r="AR157" s="1227">
        <f t="shared" si="695"/>
        <v>15367.02552064</v>
      </c>
      <c r="AS157" s="1136">
        <f>-AS137-AS145</f>
        <v>17978.384452943661</v>
      </c>
    </row>
    <row r="158" spans="2:45" x14ac:dyDescent="0.2">
      <c r="B158" s="42" t="s">
        <v>873</v>
      </c>
      <c r="D158" s="173"/>
      <c r="E158" s="173"/>
      <c r="F158" s="173"/>
      <c r="G158" s="173"/>
      <c r="H158" s="847"/>
      <c r="I158" s="173"/>
      <c r="J158" s="173"/>
      <c r="K158" s="173"/>
      <c r="L158" s="847"/>
      <c r="M158" s="173"/>
      <c r="N158" s="173"/>
      <c r="O158" s="173"/>
      <c r="P158" s="847"/>
      <c r="Q158" s="173"/>
      <c r="R158" s="173">
        <f>R157/'FC - 3FS'!R173</f>
        <v>0.32397094430992734</v>
      </c>
      <c r="S158" s="173">
        <f>S157/'FC - 3FS'!S173</f>
        <v>1.0673076923076923</v>
      </c>
      <c r="T158" s="847">
        <f>T157/'FC - 3FS'!T173</f>
        <v>1.9850062473969179</v>
      </c>
      <c r="U158" s="173">
        <f>U157/'FC - 3FS'!U173</f>
        <v>1.2252346193952033</v>
      </c>
      <c r="V158" s="173">
        <f>V157/'FC - 3FS'!V173</f>
        <v>0.66824881338995756</v>
      </c>
      <c r="W158" s="173">
        <f>W157/'FC - 3FS'!W173</f>
        <v>0.69407665505226479</v>
      </c>
      <c r="X158" s="847">
        <f>X157/'FC - 3FS'!X173</f>
        <v>1.2957872721840453</v>
      </c>
      <c r="Y158" s="173">
        <f>Y157/'FC - 3FS'!Y173</f>
        <v>0.68393782383419688</v>
      </c>
      <c r="Z158" s="173">
        <f>Z157/'FC - 3FS'!Z173</f>
        <v>0.27160015497869044</v>
      </c>
      <c r="AA158" s="173">
        <f>AA157/'FC - 3FS'!AA173</f>
        <v>1.379285014691479</v>
      </c>
      <c r="AB158" s="847">
        <f>AB157/'FC - 3FS'!AB173</f>
        <v>0.79003639672429482</v>
      </c>
      <c r="AC158" s="1303">
        <f>AC157/'FC - 3FS'!AC173</f>
        <v>0.75391644908616184</v>
      </c>
      <c r="AD158" s="1303">
        <f>AD157/'FC - 3FS'!AD173</f>
        <v>0.71751764217517644</v>
      </c>
      <c r="AE158" s="1218">
        <f>AE157/'FC - 3FS'!AE173</f>
        <v>0.89270657013925148</v>
      </c>
      <c r="AF158" s="1231">
        <f>AF157/'FC - 3FS'!AF173</f>
        <v>0.89860960317596861</v>
      </c>
      <c r="AG158" s="1218">
        <f>AG157/'FC - 3FS'!AG173</f>
        <v>0.71329253728450304</v>
      </c>
      <c r="AH158" s="1218">
        <f>AH157/'FC - 3FS'!AH173</f>
        <v>0.61526080217476753</v>
      </c>
      <c r="AI158" s="1232">
        <f>AI157/'FC - 3FS'!AI173</f>
        <v>0.75979138603818208</v>
      </c>
      <c r="AK158" s="302"/>
      <c r="AL158" s="302"/>
      <c r="AM158" s="302"/>
      <c r="AN158" s="1114">
        <f>AN157/'FC - 3FS'!AN173</f>
        <v>0.39184952978056425</v>
      </c>
      <c r="AO158" s="1114">
        <f>AO157/'FC - 3FS'!AO173</f>
        <v>1.027086706904166</v>
      </c>
      <c r="AP158" s="1114">
        <f>AP157/'FC - 3FS'!AP173</f>
        <v>0.84593705965241894</v>
      </c>
      <c r="AQ158" s="1228">
        <f>AQ157/'FC - 3FS'!AQ173</f>
        <v>0.78423926738055494</v>
      </c>
      <c r="AR158" s="1228">
        <f>AR157/'FC - 3FS'!AR173</f>
        <v>0.73347633627647069</v>
      </c>
      <c r="AS158" s="1228">
        <f>AS157/'FC - 3FS'!AS173</f>
        <v>0.83596367796214432</v>
      </c>
    </row>
    <row r="159" spans="2:45" x14ac:dyDescent="0.2">
      <c r="B159" s="39" t="s">
        <v>217</v>
      </c>
      <c r="D159" s="5">
        <f>+D157</f>
        <v>0</v>
      </c>
      <c r="E159" s="5">
        <f>+D159+E157</f>
        <v>0</v>
      </c>
      <c r="F159" s="5">
        <f t="shared" ref="F159:AI159" si="696">+E159+F157</f>
        <v>0</v>
      </c>
      <c r="G159" s="5">
        <f t="shared" si="696"/>
        <v>0</v>
      </c>
      <c r="H159" s="855">
        <f t="shared" si="696"/>
        <v>0</v>
      </c>
      <c r="I159" s="5">
        <f t="shared" si="696"/>
        <v>0</v>
      </c>
      <c r="J159" s="5">
        <f t="shared" si="696"/>
        <v>0</v>
      </c>
      <c r="K159" s="5">
        <f t="shared" si="696"/>
        <v>0</v>
      </c>
      <c r="L159" s="855">
        <f t="shared" si="696"/>
        <v>0</v>
      </c>
      <c r="M159" s="5">
        <f t="shared" si="696"/>
        <v>0</v>
      </c>
      <c r="N159" s="5">
        <f t="shared" si="696"/>
        <v>0</v>
      </c>
      <c r="O159" s="5">
        <f t="shared" si="696"/>
        <v>0</v>
      </c>
      <c r="P159" s="855">
        <f t="shared" si="696"/>
        <v>0</v>
      </c>
      <c r="Q159" s="5">
        <f t="shared" si="696"/>
        <v>0</v>
      </c>
      <c r="R159" s="5">
        <f t="shared" si="696"/>
        <v>669</v>
      </c>
      <c r="S159" s="5">
        <f t="shared" si="696"/>
        <v>3000</v>
      </c>
      <c r="T159" s="855">
        <f t="shared" si="696"/>
        <v>7766</v>
      </c>
      <c r="U159" s="5">
        <f t="shared" si="696"/>
        <v>11291</v>
      </c>
      <c r="V159" s="5">
        <f t="shared" si="696"/>
        <v>13966</v>
      </c>
      <c r="W159" s="5">
        <f t="shared" si="696"/>
        <v>16954</v>
      </c>
      <c r="X159" s="855">
        <f t="shared" si="696"/>
        <v>21291</v>
      </c>
      <c r="Y159" s="5">
        <f t="shared" si="696"/>
        <v>24327</v>
      </c>
      <c r="Z159" s="5">
        <f t="shared" si="696"/>
        <v>25729</v>
      </c>
      <c r="AA159" s="5">
        <f t="shared" si="696"/>
        <v>31362</v>
      </c>
      <c r="AB159" s="855">
        <f t="shared" si="696"/>
        <v>34835</v>
      </c>
      <c r="AC159" s="5">
        <f t="shared" si="696"/>
        <v>38300</v>
      </c>
      <c r="AD159" s="5">
        <f t="shared" si="696"/>
        <v>41757</v>
      </c>
      <c r="AE159" s="379">
        <f t="shared" si="696"/>
        <v>45339.966399999998</v>
      </c>
      <c r="AF159" s="1243">
        <f t="shared" si="696"/>
        <v>49157.859199999999</v>
      </c>
      <c r="AG159" s="379">
        <f t="shared" si="696"/>
        <v>52968.068800000001</v>
      </c>
      <c r="AH159" s="379">
        <f t="shared" si="696"/>
        <v>56768.4</v>
      </c>
      <c r="AI159" s="921">
        <f t="shared" si="696"/>
        <v>60706.991920640001</v>
      </c>
      <c r="AN159" s="5">
        <f>+AN157+AM157</f>
        <v>3000</v>
      </c>
      <c r="AO159" s="5">
        <f>+AO157+AN159</f>
        <v>16954</v>
      </c>
      <c r="AP159" s="5">
        <f>+AP157+AO159</f>
        <v>31362</v>
      </c>
      <c r="AQ159" s="379">
        <f t="shared" ref="AQ159:AS159" si="697">+AQ157+AP159</f>
        <v>45339.966399999998</v>
      </c>
      <c r="AR159" s="379">
        <f t="shared" si="697"/>
        <v>60706.991920639994</v>
      </c>
      <c r="AS159" s="379">
        <f t="shared" si="697"/>
        <v>78685.376373583655</v>
      </c>
    </row>
    <row r="160" spans="2:45" x14ac:dyDescent="0.2">
      <c r="G160" s="595"/>
      <c r="K160" s="595"/>
      <c r="O160" s="595"/>
      <c r="S160" s="595"/>
      <c r="W160" s="595"/>
      <c r="AA160" s="595"/>
      <c r="AE160" s="913"/>
      <c r="AF160" s="370"/>
      <c r="AG160" s="370"/>
      <c r="AH160" s="370"/>
      <c r="AI160" s="913"/>
      <c r="AQ160" s="370"/>
      <c r="AR160" s="370"/>
      <c r="AS160" s="370"/>
    </row>
    <row r="161" spans="2:45" x14ac:dyDescent="0.2">
      <c r="B161" s="2" t="s">
        <v>874</v>
      </c>
      <c r="G161" s="595"/>
      <c r="K161" s="595"/>
      <c r="O161" s="595"/>
      <c r="R161" s="173">
        <f>-R145/R157</f>
        <v>0</v>
      </c>
      <c r="S161" s="866">
        <f t="shared" ref="S161:AI161" si="698">-S145/S157</f>
        <v>0</v>
      </c>
      <c r="T161" s="173">
        <f t="shared" si="698"/>
        <v>0</v>
      </c>
      <c r="U161" s="173">
        <f t="shared" si="698"/>
        <v>0</v>
      </c>
      <c r="V161" s="173">
        <f t="shared" si="698"/>
        <v>0</v>
      </c>
      <c r="W161" s="866">
        <f t="shared" si="698"/>
        <v>0.25</v>
      </c>
      <c r="X161" s="173">
        <f t="shared" si="698"/>
        <v>0.17731150564906617</v>
      </c>
      <c r="Y161" s="173">
        <f t="shared" si="698"/>
        <v>0.25</v>
      </c>
      <c r="Z161" s="173">
        <f t="shared" si="698"/>
        <v>0.54065620542082737</v>
      </c>
      <c r="AA161" s="866">
        <f t="shared" ref="AA161:AB161" si="699">-AA145/AA157</f>
        <v>0.18001065151784129</v>
      </c>
      <c r="AB161" s="173">
        <f t="shared" si="699"/>
        <v>0.28879930895479411</v>
      </c>
      <c r="AC161" s="1303">
        <f t="shared" ref="AC161:AD161" si="700">-AC145/AC157</f>
        <v>0.28744588744588745</v>
      </c>
      <c r="AD161" s="1303">
        <f t="shared" si="700"/>
        <v>0.28550766560601676</v>
      </c>
      <c r="AE161" s="1232">
        <f t="shared" si="698"/>
        <v>0.31062708263186611</v>
      </c>
      <c r="AF161" s="1218">
        <f t="shared" si="698"/>
        <v>0.2883508934562018</v>
      </c>
      <c r="AG161" s="1218">
        <f t="shared" si="698"/>
        <v>0.28691586940518971</v>
      </c>
      <c r="AH161" s="1218">
        <f t="shared" si="698"/>
        <v>0.28506231246371366</v>
      </c>
      <c r="AI161" s="1232">
        <f t="shared" si="698"/>
        <v>0.31015955581442872</v>
      </c>
      <c r="AN161" s="173">
        <f t="shared" ref="AN161:AS161" si="701">-AN145/AN157</f>
        <v>0</v>
      </c>
      <c r="AO161" s="173">
        <f t="shared" si="701"/>
        <v>5.3533037121972195E-2</v>
      </c>
      <c r="AP161" s="173">
        <f t="shared" ref="AP161" si="702">-AP145/AP157</f>
        <v>0.22903942254303164</v>
      </c>
      <c r="AQ161" s="1218">
        <f t="shared" si="701"/>
        <v>0.29324483137976348</v>
      </c>
      <c r="AR161" s="1218">
        <f t="shared" si="701"/>
        <v>0.29277139642913974</v>
      </c>
      <c r="AS161" s="1218">
        <f t="shared" si="701"/>
        <v>0.27459555478219527</v>
      </c>
    </row>
    <row r="162" spans="2:45" x14ac:dyDescent="0.2">
      <c r="B162" s="2" t="s">
        <v>875</v>
      </c>
      <c r="G162" s="595"/>
      <c r="K162" s="595"/>
      <c r="O162" s="595"/>
      <c r="R162" s="173">
        <f>-R137/R157</f>
        <v>1</v>
      </c>
      <c r="S162" s="866">
        <f t="shared" ref="S162:AI162" si="703">-S137/S157</f>
        <v>1</v>
      </c>
      <c r="T162" s="173">
        <f t="shared" si="703"/>
        <v>1</v>
      </c>
      <c r="U162" s="173">
        <f t="shared" si="703"/>
        <v>1</v>
      </c>
      <c r="V162" s="173">
        <f t="shared" si="703"/>
        <v>1</v>
      </c>
      <c r="W162" s="866">
        <f t="shared" si="703"/>
        <v>0.75</v>
      </c>
      <c r="X162" s="173">
        <f t="shared" si="703"/>
        <v>0.82268849435093383</v>
      </c>
      <c r="Y162" s="173">
        <f t="shared" si="703"/>
        <v>0.75</v>
      </c>
      <c r="Z162" s="173">
        <f t="shared" si="703"/>
        <v>0.45934379457917263</v>
      </c>
      <c r="AA162" s="866">
        <f t="shared" ref="AA162:AB162" si="704">-AA137/AA157</f>
        <v>0.81998934848215865</v>
      </c>
      <c r="AB162" s="173">
        <f t="shared" si="704"/>
        <v>0.71120069104520589</v>
      </c>
      <c r="AC162" s="1303">
        <f t="shared" ref="AC162:AD162" si="705">-AC137/AC157</f>
        <v>0.71255411255411261</v>
      </c>
      <c r="AD162" s="1303">
        <f t="shared" si="705"/>
        <v>0.71449233439398319</v>
      </c>
      <c r="AE162" s="1232">
        <f t="shared" si="703"/>
        <v>0.68937291736813389</v>
      </c>
      <c r="AF162" s="1218">
        <f t="shared" si="703"/>
        <v>0.7116491065437982</v>
      </c>
      <c r="AG162" s="1218">
        <f t="shared" si="703"/>
        <v>0.71308413059481035</v>
      </c>
      <c r="AH162" s="1218">
        <f t="shared" si="703"/>
        <v>0.71493768753628639</v>
      </c>
      <c r="AI162" s="1232">
        <f t="shared" si="703"/>
        <v>0.68984044418557122</v>
      </c>
      <c r="AN162" s="173">
        <f t="shared" ref="AN162:AS162" si="706">-AN137/AN157</f>
        <v>1</v>
      </c>
      <c r="AO162" s="173">
        <f t="shared" si="706"/>
        <v>0.94646696287802778</v>
      </c>
      <c r="AP162" s="173">
        <f t="shared" ref="AP162" si="707">-AP137/AP157</f>
        <v>0.77096057745696833</v>
      </c>
      <c r="AQ162" s="1218">
        <f t="shared" si="706"/>
        <v>0.70675516862023657</v>
      </c>
      <c r="AR162" s="1218">
        <f t="shared" si="706"/>
        <v>0.70722860357086037</v>
      </c>
      <c r="AS162" s="1218">
        <f t="shared" si="706"/>
        <v>0.72540444521780467</v>
      </c>
    </row>
    <row r="163" spans="2:45" x14ac:dyDescent="0.2">
      <c r="G163" s="595"/>
      <c r="K163" s="595"/>
      <c r="O163" s="595"/>
      <c r="S163" s="595"/>
      <c r="W163" s="595"/>
      <c r="AA163" s="595"/>
      <c r="AE163" s="913"/>
      <c r="AF163" s="370"/>
      <c r="AG163" s="370"/>
      <c r="AH163" s="370"/>
      <c r="AI163" s="913"/>
      <c r="AQ163" s="370"/>
      <c r="AR163" s="370"/>
      <c r="AS163" s="370"/>
    </row>
    <row r="164" spans="2:45" x14ac:dyDescent="0.2">
      <c r="G164" s="595"/>
      <c r="K164" s="595"/>
      <c r="O164" s="595"/>
      <c r="S164" s="595"/>
      <c r="W164" s="595"/>
      <c r="AA164" s="595"/>
      <c r="AE164" s="913"/>
      <c r="AF164" s="370"/>
      <c r="AG164" s="370"/>
      <c r="AH164" s="370"/>
      <c r="AI164" s="913"/>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36592-E743-4D91-8226-65609E7E9F51}">
  <sheetPr>
    <tabColor theme="1"/>
  </sheetPr>
  <dimension ref="A1"/>
  <sheetViews>
    <sheetView workbookViewId="0">
      <selection activeCell="AB40" sqref="AB40"/>
    </sheetView>
  </sheetViews>
  <sheetFormatPr defaultRowHeight="14.25" x14ac:dyDescent="0.2"/>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FBC3-85A2-4E6D-8CC2-2D5D9003A95E}">
  <dimension ref="B1:AL177"/>
  <sheetViews>
    <sheetView showGridLines="0" zoomScaleNormal="100" workbookViewId="0">
      <pane xSplit="3" ySplit="4" topLeftCell="AB137" activePane="bottomRight" state="frozen"/>
      <selection pane="topRight" activeCell="D1" sqref="D1"/>
      <selection pane="bottomLeft" activeCell="A5" sqref="A5"/>
      <selection pane="bottomRight" activeCell="AN164" sqref="AN164"/>
    </sheetView>
  </sheetViews>
  <sheetFormatPr defaultColWidth="9" defaultRowHeight="12" x14ac:dyDescent="0.2"/>
  <cols>
    <col min="1" max="1" width="2.875" style="6" customWidth="1"/>
    <col min="2" max="2" width="36.75" style="6" customWidth="1"/>
    <col min="3" max="3" width="1.75" style="6" customWidth="1"/>
    <col min="4" max="7" width="8.875" style="6" customWidth="1"/>
    <col min="8" max="10" width="9" style="6"/>
    <col min="11" max="37" width="8.875" style="6" customWidth="1"/>
    <col min="38" max="16384" width="9" style="6"/>
  </cols>
  <sheetData>
    <row r="1" spans="2:38" x14ac:dyDescent="0.2">
      <c r="C1" s="235"/>
      <c r="K1" s="368" t="s">
        <v>380</v>
      </c>
      <c r="L1" s="345"/>
      <c r="M1" s="345"/>
      <c r="N1" s="345"/>
      <c r="O1" s="345"/>
      <c r="P1" s="62"/>
      <c r="Q1" s="62"/>
      <c r="R1" s="62"/>
      <c r="S1" s="62"/>
      <c r="T1" s="62"/>
      <c r="U1" s="62"/>
      <c r="V1" s="62"/>
      <c r="W1" s="62"/>
      <c r="X1" s="62"/>
      <c r="Y1" s="62"/>
      <c r="Z1" s="62"/>
      <c r="AA1" s="62"/>
      <c r="AB1" s="62"/>
      <c r="AC1" s="62"/>
      <c r="AD1" s="62"/>
      <c r="AE1" s="62"/>
      <c r="AF1" s="62"/>
      <c r="AG1" s="62"/>
      <c r="AH1" s="62"/>
      <c r="AI1" s="62"/>
      <c r="AJ1" s="62"/>
      <c r="AK1" s="62"/>
      <c r="AL1" s="62"/>
    </row>
    <row r="2" spans="2:38" x14ac:dyDescent="0.2">
      <c r="K2" s="6">
        <v>1</v>
      </c>
      <c r="L2" s="6">
        <v>2</v>
      </c>
      <c r="M2" s="6">
        <v>3</v>
      </c>
      <c r="N2" s="6">
        <v>4</v>
      </c>
      <c r="O2" s="6">
        <v>1</v>
      </c>
      <c r="P2" s="6">
        <v>2</v>
      </c>
      <c r="Q2" s="6">
        <v>3</v>
      </c>
      <c r="R2" s="6">
        <v>4</v>
      </c>
      <c r="S2" s="6">
        <v>1</v>
      </c>
      <c r="T2" s="6">
        <v>2</v>
      </c>
      <c r="U2" s="6">
        <v>3</v>
      </c>
      <c r="V2" s="6">
        <v>4</v>
      </c>
      <c r="W2" s="6">
        <v>1</v>
      </c>
      <c r="X2" s="6">
        <v>2</v>
      </c>
      <c r="Y2" s="6">
        <v>3</v>
      </c>
      <c r="Z2" s="6">
        <v>4</v>
      </c>
      <c r="AA2" s="6">
        <f>+W2</f>
        <v>1</v>
      </c>
      <c r="AB2" s="6">
        <f t="shared" ref="AB2:AK2" si="0">+X2</f>
        <v>2</v>
      </c>
      <c r="AC2" s="6">
        <f t="shared" si="0"/>
        <v>3</v>
      </c>
      <c r="AD2" s="6">
        <f t="shared" si="0"/>
        <v>4</v>
      </c>
      <c r="AE2" s="6">
        <f t="shared" si="0"/>
        <v>1</v>
      </c>
      <c r="AF2" s="6">
        <f t="shared" si="0"/>
        <v>2</v>
      </c>
      <c r="AG2" s="6">
        <v>3</v>
      </c>
      <c r="AH2" s="6">
        <f t="shared" si="0"/>
        <v>4</v>
      </c>
      <c r="AI2" s="6">
        <f t="shared" si="0"/>
        <v>1</v>
      </c>
      <c r="AJ2" s="6">
        <f t="shared" si="0"/>
        <v>2</v>
      </c>
      <c r="AK2" s="6">
        <f t="shared" si="0"/>
        <v>3</v>
      </c>
      <c r="AL2" s="6">
        <v>2</v>
      </c>
    </row>
    <row r="3" spans="2:38" x14ac:dyDescent="0.2">
      <c r="D3" s="486" t="s">
        <v>635</v>
      </c>
      <c r="K3" s="6">
        <v>2019</v>
      </c>
      <c r="L3" s="6">
        <v>2019</v>
      </c>
      <c r="M3" s="6">
        <v>2019</v>
      </c>
      <c r="N3" s="6">
        <v>2019</v>
      </c>
      <c r="O3" s="6">
        <v>2020</v>
      </c>
      <c r="P3" s="6">
        <v>2020</v>
      </c>
      <c r="Q3" s="6">
        <v>2020</v>
      </c>
      <c r="R3" s="6">
        <v>2020</v>
      </c>
      <c r="S3" s="6">
        <v>2021</v>
      </c>
      <c r="T3" s="6">
        <v>2021</v>
      </c>
      <c r="U3" s="6">
        <v>2021</v>
      </c>
      <c r="V3" s="6">
        <v>2021</v>
      </c>
      <c r="W3" s="6">
        <v>2022</v>
      </c>
      <c r="X3" s="6">
        <v>2022</v>
      </c>
      <c r="Y3" s="6">
        <v>2022</v>
      </c>
      <c r="Z3" s="6">
        <v>2022</v>
      </c>
      <c r="AA3" s="6">
        <f>+W3+1</f>
        <v>2023</v>
      </c>
      <c r="AB3" s="6">
        <f t="shared" ref="AB3:AK3" si="1">+X3+1</f>
        <v>2023</v>
      </c>
      <c r="AC3" s="6">
        <f t="shared" si="1"/>
        <v>2023</v>
      </c>
      <c r="AD3" s="6">
        <f t="shared" si="1"/>
        <v>2023</v>
      </c>
      <c r="AE3" s="6">
        <f t="shared" si="1"/>
        <v>2024</v>
      </c>
      <c r="AF3" s="6">
        <f t="shared" si="1"/>
        <v>2024</v>
      </c>
      <c r="AG3" s="6">
        <v>2024</v>
      </c>
      <c r="AH3" s="6">
        <f t="shared" si="1"/>
        <v>2024</v>
      </c>
      <c r="AI3" s="6">
        <f t="shared" si="1"/>
        <v>2025</v>
      </c>
      <c r="AJ3" s="6">
        <f t="shared" si="1"/>
        <v>2025</v>
      </c>
      <c r="AK3" s="6">
        <f t="shared" si="1"/>
        <v>2025</v>
      </c>
      <c r="AL3" s="6">
        <v>2026</v>
      </c>
    </row>
    <row r="4" spans="2:38" x14ac:dyDescent="0.2">
      <c r="B4" s="36" t="s">
        <v>183</v>
      </c>
      <c r="C4" s="7"/>
      <c r="D4" s="7">
        <v>2019</v>
      </c>
      <c r="E4" s="7">
        <f t="shared" ref="E4" si="2">+D4+1</f>
        <v>2020</v>
      </c>
      <c r="F4" s="7">
        <f t="shared" ref="F4" si="3">+E4+1</f>
        <v>2021</v>
      </c>
      <c r="G4" s="7">
        <f t="shared" ref="G4" si="4">+F4+1</f>
        <v>2022</v>
      </c>
      <c r="H4" s="7">
        <f t="shared" ref="H4:I4" si="5">+G4+1</f>
        <v>2023</v>
      </c>
      <c r="I4" s="7">
        <f t="shared" si="5"/>
        <v>2024</v>
      </c>
      <c r="K4" s="7" t="s">
        <v>239</v>
      </c>
      <c r="L4" s="7" t="s">
        <v>240</v>
      </c>
      <c r="M4" s="7" t="s">
        <v>202</v>
      </c>
      <c r="N4" s="7" t="s">
        <v>201</v>
      </c>
      <c r="O4" s="685" t="s">
        <v>200</v>
      </c>
      <c r="P4" s="7" t="s">
        <v>199</v>
      </c>
      <c r="Q4" s="7" t="s">
        <v>198</v>
      </c>
      <c r="R4" s="7" t="s">
        <v>180</v>
      </c>
      <c r="S4" s="685" t="s">
        <v>174</v>
      </c>
      <c r="T4" s="7" t="s">
        <v>175</v>
      </c>
      <c r="U4" s="7" t="s">
        <v>176</v>
      </c>
      <c r="V4" s="7" t="s">
        <v>177</v>
      </c>
      <c r="W4" s="685" t="s">
        <v>1</v>
      </c>
      <c r="X4" s="7" t="s">
        <v>2</v>
      </c>
      <c r="Y4" s="7" t="s">
        <v>3</v>
      </c>
      <c r="Z4" s="7" t="s">
        <v>4</v>
      </c>
      <c r="AA4" s="685" t="s">
        <v>5</v>
      </c>
      <c r="AB4" s="7" t="s">
        <v>6</v>
      </c>
      <c r="AC4" s="7" t="s">
        <v>7</v>
      </c>
      <c r="AD4" s="7" t="s">
        <v>8</v>
      </c>
      <c r="AE4" s="685" t="s">
        <v>9</v>
      </c>
      <c r="AF4" s="7" t="s">
        <v>10</v>
      </c>
      <c r="AG4" s="7" t="s">
        <v>716</v>
      </c>
      <c r="AH4" s="7" t="s">
        <v>717</v>
      </c>
      <c r="AI4" s="685" t="s">
        <v>718</v>
      </c>
      <c r="AJ4" s="685" t="s">
        <v>719</v>
      </c>
      <c r="AK4" s="685" t="s">
        <v>720</v>
      </c>
      <c r="AL4" s="685" t="s">
        <v>723</v>
      </c>
    </row>
    <row r="5" spans="2:38" x14ac:dyDescent="0.2">
      <c r="B5" s="8" t="s">
        <v>0</v>
      </c>
      <c r="C5" s="92"/>
      <c r="D5" s="91"/>
      <c r="E5" s="91"/>
      <c r="F5" s="91"/>
      <c r="G5" s="91"/>
      <c r="H5" s="91"/>
      <c r="I5" s="91"/>
      <c r="K5" s="92"/>
      <c r="L5" s="92"/>
      <c r="M5" s="92"/>
      <c r="N5" s="92"/>
      <c r="O5" s="686"/>
      <c r="P5" s="92"/>
      <c r="Q5" s="92"/>
      <c r="R5" s="92"/>
      <c r="S5" s="686"/>
      <c r="T5" s="92"/>
      <c r="U5" s="92"/>
      <c r="V5" s="92"/>
      <c r="W5" s="686"/>
      <c r="X5" s="92"/>
      <c r="Y5" s="92"/>
      <c r="Z5" s="92"/>
      <c r="AA5" s="686"/>
      <c r="AB5" s="92"/>
      <c r="AC5" s="92"/>
      <c r="AD5" s="92"/>
      <c r="AE5" s="686"/>
      <c r="AF5" s="92"/>
      <c r="AG5" s="92"/>
      <c r="AH5" s="92"/>
      <c r="AI5" s="686"/>
      <c r="AJ5" s="686"/>
      <c r="AK5" s="686"/>
      <c r="AL5" s="686"/>
    </row>
    <row r="6" spans="2:38" x14ac:dyDescent="0.2">
      <c r="B6" s="10" t="s">
        <v>11</v>
      </c>
      <c r="C6" s="78"/>
      <c r="D6" s="466">
        <v>22673</v>
      </c>
      <c r="E6" s="78">
        <v>36306</v>
      </c>
      <c r="F6" s="78">
        <v>42562</v>
      </c>
      <c r="G6" s="302">
        <f t="shared" ref="G6:H8" si="6">SUMIFS($K6:$AF6,$K$3:$AF$3,G$4)</f>
        <v>45919</v>
      </c>
      <c r="H6" s="302">
        <f t="shared" si="6"/>
        <v>48692</v>
      </c>
      <c r="I6" s="302">
        <f>SUMIFS($K6:$AZ6,$K$3:$AZ$3,I$4)</f>
        <v>52340</v>
      </c>
      <c r="K6" s="78"/>
      <c r="L6" s="78"/>
      <c r="M6" s="78"/>
      <c r="N6" s="78"/>
      <c r="O6" s="687"/>
      <c r="P6" s="78">
        <v>9959</v>
      </c>
      <c r="Q6" s="78">
        <v>10209</v>
      </c>
      <c r="R6" s="78">
        <v>10251</v>
      </c>
      <c r="S6" s="687">
        <v>10303</v>
      </c>
      <c r="T6" s="78">
        <v>10492</v>
      </c>
      <c r="U6" s="78">
        <v>10804</v>
      </c>
      <c r="V6" s="78">
        <v>10963</v>
      </c>
      <c r="W6" s="687">
        <v>11201</v>
      </c>
      <c r="X6" s="78">
        <v>11445</v>
      </c>
      <c r="Y6" s="78">
        <v>11548</v>
      </c>
      <c r="Z6" s="78">
        <v>11725</v>
      </c>
      <c r="AA6" s="687">
        <v>11862</v>
      </c>
      <c r="AB6" s="78">
        <v>12070</v>
      </c>
      <c r="AC6" s="78">
        <v>12288</v>
      </c>
      <c r="AD6" s="78">
        <v>12472</v>
      </c>
      <c r="AE6" s="687">
        <v>12631</v>
      </c>
      <c r="AF6" s="78">
        <v>12899</v>
      </c>
      <c r="AG6" s="78">
        <v>13308</v>
      </c>
      <c r="AH6" s="78">
        <v>13502</v>
      </c>
      <c r="AI6" s="687">
        <v>13594</v>
      </c>
      <c r="AJ6" s="687">
        <v>14078</v>
      </c>
      <c r="AK6" s="687">
        <v>14882</v>
      </c>
      <c r="AL6" s="687">
        <v>15853</v>
      </c>
    </row>
    <row r="7" spans="2:38" x14ac:dyDescent="0.2">
      <c r="B7" s="10" t="s">
        <v>12</v>
      </c>
      <c r="C7" s="78"/>
      <c r="D7" s="466">
        <v>9543</v>
      </c>
      <c r="E7" s="78">
        <v>9421</v>
      </c>
      <c r="F7" s="78">
        <v>9733</v>
      </c>
      <c r="G7" s="302">
        <f t="shared" si="6"/>
        <v>9857</v>
      </c>
      <c r="H7" s="302">
        <f t="shared" si="6"/>
        <v>9767</v>
      </c>
      <c r="I7" s="302">
        <f t="shared" ref="I7:I8" si="7">SUMIFS($K7:$AZ7,$K$3:$AZ$3,I$4)</f>
        <v>10399</v>
      </c>
      <c r="K7" s="78"/>
      <c r="L7" s="78"/>
      <c r="M7" s="78"/>
      <c r="N7" s="78"/>
      <c r="O7" s="687"/>
      <c r="P7" s="78">
        <v>2311</v>
      </c>
      <c r="Q7" s="78">
        <v>2383</v>
      </c>
      <c r="R7" s="78">
        <v>2354</v>
      </c>
      <c r="S7" s="687">
        <v>2351</v>
      </c>
      <c r="T7" s="78">
        <v>2427</v>
      </c>
      <c r="U7" s="78">
        <v>2481</v>
      </c>
      <c r="V7" s="78">
        <v>2474</v>
      </c>
      <c r="W7" s="687">
        <v>2455</v>
      </c>
      <c r="X7" s="78">
        <v>2469</v>
      </c>
      <c r="Y7" s="78">
        <v>2484</v>
      </c>
      <c r="Z7" s="78">
        <v>2449</v>
      </c>
      <c r="AA7" s="687">
        <v>2417</v>
      </c>
      <c r="AB7" s="78">
        <v>2444</v>
      </c>
      <c r="AC7" s="78">
        <v>2473</v>
      </c>
      <c r="AD7" s="78">
        <v>2433</v>
      </c>
      <c r="AE7" s="687">
        <v>2403</v>
      </c>
      <c r="AF7" s="78">
        <v>2592</v>
      </c>
      <c r="AG7" s="78">
        <v>2716</v>
      </c>
      <c r="AH7" s="78">
        <v>2688</v>
      </c>
      <c r="AI7" s="687">
        <v>2643</v>
      </c>
      <c r="AJ7" s="687">
        <v>2643</v>
      </c>
      <c r="AK7" s="687">
        <v>2625</v>
      </c>
      <c r="AL7" s="687">
        <v>2473</v>
      </c>
    </row>
    <row r="8" spans="2:38" x14ac:dyDescent="0.2">
      <c r="B8" s="10" t="s">
        <v>13</v>
      </c>
      <c r="C8" s="62"/>
      <c r="D8" s="467">
        <f t="shared" ref="D8:F8" si="8">D9+D10</f>
        <v>2284</v>
      </c>
      <c r="E8" s="62">
        <f t="shared" si="8"/>
        <v>4668</v>
      </c>
      <c r="F8" s="62">
        <f t="shared" si="8"/>
        <v>6074</v>
      </c>
      <c r="G8" s="302">
        <f t="shared" si="6"/>
        <v>5547</v>
      </c>
      <c r="H8" s="302">
        <f t="shared" si="6"/>
        <v>4782</v>
      </c>
      <c r="I8" s="302">
        <f t="shared" si="7"/>
        <v>3439</v>
      </c>
      <c r="K8" s="323">
        <f t="shared" ref="K8:Q8" si="9">K9+K10</f>
        <v>0</v>
      </c>
      <c r="L8" s="323">
        <f t="shared" si="9"/>
        <v>0</v>
      </c>
      <c r="M8" s="323">
        <f t="shared" si="9"/>
        <v>0</v>
      </c>
      <c r="N8" s="323">
        <f t="shared" si="9"/>
        <v>0</v>
      </c>
      <c r="O8" s="688">
        <f t="shared" si="9"/>
        <v>0</v>
      </c>
      <c r="P8" s="323">
        <f t="shared" si="9"/>
        <v>960</v>
      </c>
      <c r="Q8" s="323">
        <f t="shared" si="9"/>
        <v>1547</v>
      </c>
      <c r="R8" s="323">
        <f t="shared" ref="R8:T8" si="10">R9+R10</f>
        <v>1575</v>
      </c>
      <c r="S8" s="688">
        <f t="shared" si="10"/>
        <v>1538</v>
      </c>
      <c r="T8" s="323">
        <f t="shared" si="10"/>
        <v>1573</v>
      </c>
      <c r="U8" s="323">
        <f>U9+U10</f>
        <v>1437</v>
      </c>
      <c r="V8" s="323">
        <f>V9+V10</f>
        <v>1526</v>
      </c>
      <c r="W8" s="687">
        <v>1472</v>
      </c>
      <c r="X8" s="90">
        <v>1402</v>
      </c>
      <c r="Y8" s="90">
        <v>1329</v>
      </c>
      <c r="Z8" s="90">
        <v>1344</v>
      </c>
      <c r="AA8" s="687">
        <v>1267</v>
      </c>
      <c r="AB8" s="90">
        <v>1224</v>
      </c>
      <c r="AC8" s="90">
        <v>1153</v>
      </c>
      <c r="AD8" s="90">
        <v>1138</v>
      </c>
      <c r="AE8" s="687">
        <v>1062</v>
      </c>
      <c r="AF8" s="90">
        <v>938</v>
      </c>
      <c r="AG8" s="90">
        <v>701</v>
      </c>
      <c r="AH8" s="90">
        <v>738</v>
      </c>
      <c r="AI8" s="687">
        <v>688</v>
      </c>
      <c r="AJ8" s="687">
        <v>717</v>
      </c>
      <c r="AK8" s="687">
        <v>734</v>
      </c>
      <c r="AL8" s="687">
        <v>657</v>
      </c>
    </row>
    <row r="9" spans="2:38" x14ac:dyDescent="0.2">
      <c r="B9" s="29" t="s">
        <v>178</v>
      </c>
      <c r="C9" s="90"/>
      <c r="D9" s="468">
        <v>1279</v>
      </c>
      <c r="E9" s="90">
        <v>2590</v>
      </c>
      <c r="F9" s="90">
        <v>3751</v>
      </c>
      <c r="G9" s="302"/>
      <c r="H9" s="302"/>
      <c r="I9" s="302"/>
      <c r="K9" s="90"/>
      <c r="L9" s="90"/>
      <c r="M9" s="90"/>
      <c r="N9" s="90"/>
      <c r="O9" s="687"/>
      <c r="P9" s="90">
        <v>408</v>
      </c>
      <c r="Q9" s="90">
        <v>930</v>
      </c>
      <c r="R9" s="90">
        <v>927</v>
      </c>
      <c r="S9" s="687">
        <v>897</v>
      </c>
      <c r="T9" s="90">
        <v>935</v>
      </c>
      <c r="U9" s="90">
        <v>944</v>
      </c>
      <c r="V9" s="90">
        <v>975</v>
      </c>
      <c r="W9" s="687">
        <v>0</v>
      </c>
      <c r="X9" s="90">
        <v>0</v>
      </c>
      <c r="Y9" s="90">
        <v>0</v>
      </c>
      <c r="Z9" s="90">
        <v>0</v>
      </c>
      <c r="AA9" s="687">
        <v>0</v>
      </c>
      <c r="AB9" s="90">
        <v>0</v>
      </c>
      <c r="AC9" s="90">
        <v>0</v>
      </c>
      <c r="AD9" s="90">
        <v>0</v>
      </c>
      <c r="AE9" s="687">
        <v>0</v>
      </c>
      <c r="AF9" s="90"/>
      <c r="AG9" s="90"/>
      <c r="AH9" s="90"/>
      <c r="AI9" s="687"/>
      <c r="AJ9" s="687"/>
      <c r="AK9" s="687"/>
      <c r="AL9" s="687"/>
    </row>
    <row r="10" spans="2:38" x14ac:dyDescent="0.2">
      <c r="B10" s="29" t="s">
        <v>179</v>
      </c>
      <c r="C10" s="90"/>
      <c r="D10" s="468">
        <v>1005</v>
      </c>
      <c r="E10" s="90">
        <v>2078</v>
      </c>
      <c r="F10" s="90">
        <v>2323</v>
      </c>
      <c r="G10" s="302"/>
      <c r="H10" s="302"/>
      <c r="I10" s="302"/>
      <c r="K10" s="90"/>
      <c r="L10" s="90"/>
      <c r="M10" s="90"/>
      <c r="N10" s="90"/>
      <c r="O10" s="687"/>
      <c r="P10" s="90">
        <v>552</v>
      </c>
      <c r="Q10" s="90">
        <v>617</v>
      </c>
      <c r="R10" s="90">
        <v>648</v>
      </c>
      <c r="S10" s="687">
        <v>641</v>
      </c>
      <c r="T10" s="90">
        <v>638</v>
      </c>
      <c r="U10" s="90">
        <v>493</v>
      </c>
      <c r="V10" s="90">
        <v>551</v>
      </c>
      <c r="W10" s="687">
        <v>0</v>
      </c>
      <c r="X10" s="90">
        <v>0</v>
      </c>
      <c r="Y10" s="90">
        <v>0</v>
      </c>
      <c r="Z10" s="90">
        <v>0</v>
      </c>
      <c r="AA10" s="687">
        <v>0</v>
      </c>
      <c r="AB10" s="90">
        <v>0</v>
      </c>
      <c r="AC10" s="90">
        <v>0</v>
      </c>
      <c r="AD10" s="90">
        <v>0</v>
      </c>
      <c r="AE10" s="687">
        <v>0</v>
      </c>
      <c r="AF10" s="90"/>
      <c r="AG10" s="90"/>
      <c r="AH10" s="90"/>
      <c r="AI10" s="687"/>
      <c r="AJ10" s="687"/>
      <c r="AK10" s="687"/>
      <c r="AL10" s="687"/>
    </row>
    <row r="11" spans="2:38" s="30" customFormat="1" x14ac:dyDescent="0.2">
      <c r="B11" s="198" t="s">
        <v>14</v>
      </c>
      <c r="C11" s="202"/>
      <c r="D11" s="469">
        <f t="shared" ref="D11" si="11">SUM(D6:D8)</f>
        <v>34500</v>
      </c>
      <c r="E11" s="202">
        <f>SUM(E6:E8)</f>
        <v>50395</v>
      </c>
      <c r="F11" s="202">
        <f t="shared" ref="F11:H11" si="12">SUM(F6:F8)</f>
        <v>58369</v>
      </c>
      <c r="G11" s="202">
        <f t="shared" si="12"/>
        <v>61323</v>
      </c>
      <c r="H11" s="202">
        <f t="shared" si="12"/>
        <v>63241</v>
      </c>
      <c r="I11" s="202">
        <f t="shared" ref="I11" si="13">SUM(I6:I8)</f>
        <v>66178</v>
      </c>
      <c r="K11" s="322">
        <v>12901</v>
      </c>
      <c r="L11" s="322">
        <v>13008</v>
      </c>
      <c r="M11" s="322">
        <v>12910</v>
      </c>
      <c r="N11" s="322">
        <v>13208</v>
      </c>
      <c r="O11" s="689">
        <v>13197</v>
      </c>
      <c r="P11" s="202">
        <f t="shared" ref="P11:AG11" si="14">SUM(P6:P8)</f>
        <v>13230</v>
      </c>
      <c r="Q11" s="202">
        <f t="shared" si="14"/>
        <v>14139</v>
      </c>
      <c r="R11" s="202">
        <f t="shared" si="14"/>
        <v>14180</v>
      </c>
      <c r="S11" s="735">
        <f t="shared" si="14"/>
        <v>14192</v>
      </c>
      <c r="T11" s="202">
        <f t="shared" si="14"/>
        <v>14492</v>
      </c>
      <c r="U11" s="202">
        <f t="shared" si="14"/>
        <v>14722</v>
      </c>
      <c r="V11" s="202">
        <f t="shared" si="14"/>
        <v>14963</v>
      </c>
      <c r="W11" s="735">
        <f t="shared" si="14"/>
        <v>15128</v>
      </c>
      <c r="X11" s="202">
        <f t="shared" si="14"/>
        <v>15316</v>
      </c>
      <c r="Y11" s="202">
        <f t="shared" si="14"/>
        <v>15361</v>
      </c>
      <c r="Z11" s="202">
        <f t="shared" si="14"/>
        <v>15518</v>
      </c>
      <c r="AA11" s="735">
        <f t="shared" si="14"/>
        <v>15546</v>
      </c>
      <c r="AB11" s="202">
        <f t="shared" si="14"/>
        <v>15738</v>
      </c>
      <c r="AC11" s="202">
        <f t="shared" si="14"/>
        <v>15914</v>
      </c>
      <c r="AD11" s="202">
        <f t="shared" si="14"/>
        <v>16043</v>
      </c>
      <c r="AE11" s="735">
        <f t="shared" si="14"/>
        <v>16096</v>
      </c>
      <c r="AF11" s="202">
        <f t="shared" si="14"/>
        <v>16429</v>
      </c>
      <c r="AG11" s="202">
        <f t="shared" si="14"/>
        <v>16725</v>
      </c>
      <c r="AH11" s="202">
        <f t="shared" ref="AH11:AK11" si="15">SUM(AH6:AH8)</f>
        <v>16928</v>
      </c>
      <c r="AI11" s="735">
        <f t="shared" si="15"/>
        <v>16925</v>
      </c>
      <c r="AJ11" s="735">
        <f t="shared" si="15"/>
        <v>17438</v>
      </c>
      <c r="AK11" s="735">
        <f t="shared" si="15"/>
        <v>18241</v>
      </c>
      <c r="AL11" s="735">
        <f>SUM(AL6:AL8)</f>
        <v>18983</v>
      </c>
    </row>
    <row r="12" spans="2:38" x14ac:dyDescent="0.2">
      <c r="B12" s="10" t="s">
        <v>15</v>
      </c>
      <c r="C12" s="78"/>
      <c r="D12" s="466">
        <v>9840</v>
      </c>
      <c r="E12" s="78">
        <v>17312</v>
      </c>
      <c r="F12" s="78">
        <v>20727</v>
      </c>
      <c r="G12" s="302">
        <f>SUMIFS($K12:$AF12,$K$3:$AF$3,G$4)</f>
        <v>17130</v>
      </c>
      <c r="H12" s="302">
        <f>SUMIFS($K12:$AF12,$K$3:$AF$3,H$4)</f>
        <v>14138</v>
      </c>
      <c r="I12" s="302">
        <f t="shared" ref="I12:I13" si="16">SUMIFS($K12:$AZ12,$K$3:$AZ$3,I$4)</f>
        <v>14263</v>
      </c>
      <c r="K12" s="78">
        <v>4369</v>
      </c>
      <c r="L12" s="78">
        <v>4099</v>
      </c>
      <c r="M12" s="78">
        <v>3974</v>
      </c>
      <c r="N12" s="78">
        <v>4704</v>
      </c>
      <c r="O12" s="687">
        <v>3876</v>
      </c>
      <c r="P12" s="78">
        <v>4269</v>
      </c>
      <c r="Q12" s="78">
        <v>4953</v>
      </c>
      <c r="R12" s="78">
        <v>5973</v>
      </c>
      <c r="S12" s="687">
        <v>5346</v>
      </c>
      <c r="T12" s="78">
        <v>5215</v>
      </c>
      <c r="U12" s="78">
        <v>4660</v>
      </c>
      <c r="V12" s="78">
        <v>5506</v>
      </c>
      <c r="W12" s="687">
        <v>4694</v>
      </c>
      <c r="X12" s="78">
        <v>4130</v>
      </c>
      <c r="Y12" s="78">
        <v>3855</v>
      </c>
      <c r="Z12" s="78">
        <v>4451</v>
      </c>
      <c r="AA12" s="687">
        <v>3719</v>
      </c>
      <c r="AB12" s="78">
        <v>3169</v>
      </c>
      <c r="AC12" s="78">
        <v>3076</v>
      </c>
      <c r="AD12" s="78">
        <v>4174</v>
      </c>
      <c r="AE12" s="687">
        <v>3251</v>
      </c>
      <c r="AF12" s="78">
        <v>3106</v>
      </c>
      <c r="AG12" s="78">
        <v>3207</v>
      </c>
      <c r="AH12" s="78">
        <v>4699</v>
      </c>
      <c r="AI12" s="687">
        <v>3704</v>
      </c>
      <c r="AJ12" s="687">
        <v>3439</v>
      </c>
      <c r="AK12" s="687">
        <v>3465</v>
      </c>
      <c r="AL12" s="687">
        <v>3524</v>
      </c>
    </row>
    <row r="13" spans="2:38" x14ac:dyDescent="0.2">
      <c r="B13" s="10" t="s">
        <v>16</v>
      </c>
      <c r="C13" s="79"/>
      <c r="D13" s="470">
        <v>658</v>
      </c>
      <c r="E13" s="79">
        <v>690</v>
      </c>
      <c r="F13" s="79">
        <v>1022</v>
      </c>
      <c r="G13" s="302">
        <f>SUMIFS($K13:$AF13,$K$3:$AF$3,G$4)</f>
        <v>1118</v>
      </c>
      <c r="H13" s="302">
        <f>SUMIFS($K13:$AF13,$K$3:$AF$3,H$4)</f>
        <v>1179</v>
      </c>
      <c r="I13" s="302">
        <f t="shared" si="16"/>
        <v>959</v>
      </c>
      <c r="K13" s="79">
        <v>349</v>
      </c>
      <c r="L13" s="79">
        <v>353</v>
      </c>
      <c r="M13" s="79">
        <v>359</v>
      </c>
      <c r="N13" s="79">
        <v>373</v>
      </c>
      <c r="O13" s="690">
        <v>335</v>
      </c>
      <c r="P13" s="79">
        <f>17671-P12-P11</f>
        <v>172</v>
      </c>
      <c r="Q13" s="79">
        <f>19272-Q12-Q11</f>
        <v>180</v>
      </c>
      <c r="R13" s="79">
        <v>188</v>
      </c>
      <c r="S13" s="690">
        <v>221</v>
      </c>
      <c r="T13" s="79">
        <v>243</v>
      </c>
      <c r="U13" s="79">
        <v>242</v>
      </c>
      <c r="V13" s="79">
        <v>316</v>
      </c>
      <c r="W13" s="690">
        <v>298</v>
      </c>
      <c r="X13" s="79">
        <v>255</v>
      </c>
      <c r="Y13" s="79">
        <v>261</v>
      </c>
      <c r="Z13" s="79">
        <v>304</v>
      </c>
      <c r="AA13" s="690">
        <v>367</v>
      </c>
      <c r="AB13" s="79">
        <v>289</v>
      </c>
      <c r="AC13" s="79">
        <v>262</v>
      </c>
      <c r="AD13" s="79">
        <v>261</v>
      </c>
      <c r="AE13" s="690">
        <v>247</v>
      </c>
      <c r="AF13" s="79">
        <v>237</v>
      </c>
      <c r="AG13" s="79">
        <v>230</v>
      </c>
      <c r="AH13" s="79">
        <v>245</v>
      </c>
      <c r="AI13" s="690">
        <v>257</v>
      </c>
      <c r="AJ13" s="690">
        <v>255</v>
      </c>
      <c r="AK13" s="690">
        <v>251</v>
      </c>
      <c r="AL13" s="690">
        <v>284</v>
      </c>
    </row>
    <row r="14" spans="2:38" x14ac:dyDescent="0.2">
      <c r="B14" s="185" t="s">
        <v>17</v>
      </c>
      <c r="C14" s="65"/>
      <c r="D14" s="471">
        <f t="shared" ref="D14" si="17">SUM(D11:D13)</f>
        <v>44998</v>
      </c>
      <c r="E14" s="65">
        <f>SUM(E11:E13)</f>
        <v>68397</v>
      </c>
      <c r="F14" s="65">
        <f>SUM(F11:F13)</f>
        <v>80118</v>
      </c>
      <c r="G14" s="65">
        <f>SUM(G11:G13)</f>
        <v>79571</v>
      </c>
      <c r="H14" s="65">
        <f>SUM(H11:H13)</f>
        <v>78558</v>
      </c>
      <c r="I14" s="65">
        <f>SUM(I11:I13)</f>
        <v>81400</v>
      </c>
      <c r="K14" s="65">
        <f t="shared" ref="K14:R14" si="18">SUM(K11:K13)</f>
        <v>17619</v>
      </c>
      <c r="L14" s="65">
        <f t="shared" si="18"/>
        <v>17460</v>
      </c>
      <c r="M14" s="65">
        <f t="shared" si="18"/>
        <v>17243</v>
      </c>
      <c r="N14" s="65">
        <f t="shared" si="18"/>
        <v>18285</v>
      </c>
      <c r="O14" s="691">
        <f t="shared" si="18"/>
        <v>17408</v>
      </c>
      <c r="P14" s="65">
        <f t="shared" si="18"/>
        <v>17671</v>
      </c>
      <c r="Q14" s="65">
        <f t="shared" si="18"/>
        <v>19272</v>
      </c>
      <c r="R14" s="65">
        <f t="shared" si="18"/>
        <v>20341</v>
      </c>
      <c r="S14" s="691">
        <f t="shared" ref="S14" si="19">SUM(S11:S13)</f>
        <v>19759</v>
      </c>
      <c r="T14" s="65">
        <f t="shared" ref="T14" si="20">SUM(T11:T13)</f>
        <v>19950</v>
      </c>
      <c r="U14" s="65">
        <f t="shared" ref="U14" si="21">SUM(U11:U13)</f>
        <v>19624</v>
      </c>
      <c r="V14" s="65">
        <f t="shared" ref="V14" si="22">SUM(V11:V13)</f>
        <v>20785</v>
      </c>
      <c r="W14" s="691">
        <f t="shared" ref="W14" si="23">SUM(W11:W13)</f>
        <v>20120</v>
      </c>
      <c r="X14" s="65">
        <f t="shared" ref="X14" si="24">SUM(X11:X13)</f>
        <v>19701</v>
      </c>
      <c r="Y14" s="65">
        <f t="shared" ref="Y14" si="25">SUM(Y11:Y13)</f>
        <v>19477</v>
      </c>
      <c r="Z14" s="65">
        <f t="shared" ref="Z14" si="26">SUM(Z11:Z13)</f>
        <v>20273</v>
      </c>
      <c r="AA14" s="691">
        <f t="shared" ref="AA14" si="27">SUM(AA11:AA13)</f>
        <v>19632</v>
      </c>
      <c r="AB14" s="65">
        <f t="shared" ref="AB14" si="28">SUM(AB11:AB13)</f>
        <v>19196</v>
      </c>
      <c r="AC14" s="65">
        <f t="shared" ref="AC14" si="29">SUM(AC11:AC13)</f>
        <v>19252</v>
      </c>
      <c r="AD14" s="65">
        <f t="shared" ref="AD14" si="30">SUM(AD11:AD13)</f>
        <v>20478</v>
      </c>
      <c r="AE14" s="691">
        <f t="shared" ref="AE14:AH14" si="31">SUM(AE11:AE13)</f>
        <v>19594</v>
      </c>
      <c r="AF14" s="65">
        <f t="shared" si="31"/>
        <v>19772</v>
      </c>
      <c r="AG14" s="65">
        <f t="shared" si="31"/>
        <v>20162</v>
      </c>
      <c r="AH14" s="65">
        <f t="shared" si="31"/>
        <v>21872</v>
      </c>
      <c r="AI14" s="691">
        <f t="shared" ref="AI14:AK14" si="32">SUM(AI11:AI13)</f>
        <v>20886</v>
      </c>
      <c r="AJ14" s="691">
        <f t="shared" si="32"/>
        <v>21132</v>
      </c>
      <c r="AK14" s="691">
        <f t="shared" si="32"/>
        <v>21957</v>
      </c>
      <c r="AL14" s="691">
        <f>SUM(AL11:AL13)</f>
        <v>22791</v>
      </c>
    </row>
    <row r="15" spans="2:38" x14ac:dyDescent="0.2">
      <c r="B15" s="14" t="s">
        <v>18</v>
      </c>
      <c r="C15" s="66"/>
      <c r="D15" s="472"/>
      <c r="E15" s="66"/>
      <c r="F15" s="66"/>
      <c r="G15" s="66"/>
      <c r="H15" s="66"/>
      <c r="I15" s="66"/>
      <c r="K15" s="66"/>
      <c r="L15" s="66"/>
      <c r="M15" s="66"/>
      <c r="N15" s="66"/>
      <c r="O15" s="692"/>
      <c r="P15" s="66"/>
      <c r="Q15" s="66"/>
      <c r="R15" s="66"/>
      <c r="S15" s="692"/>
      <c r="T15" s="66"/>
      <c r="U15" s="66"/>
      <c r="V15" s="66"/>
      <c r="W15" s="692"/>
      <c r="X15" s="66"/>
      <c r="Y15" s="66"/>
      <c r="Z15" s="66"/>
      <c r="AA15" s="692"/>
      <c r="AB15" s="66"/>
      <c r="AC15" s="66"/>
      <c r="AD15" s="66"/>
      <c r="AE15" s="692"/>
      <c r="AF15" s="66"/>
      <c r="AG15" s="66"/>
      <c r="AH15" s="66"/>
      <c r="AI15" s="692"/>
      <c r="AJ15" s="692"/>
      <c r="AK15" s="692"/>
      <c r="AL15" s="692"/>
    </row>
    <row r="16" spans="2:38" x14ac:dyDescent="0.2">
      <c r="B16" s="10" t="s">
        <v>184</v>
      </c>
      <c r="C16" s="78"/>
      <c r="D16" s="466">
        <v>6622</v>
      </c>
      <c r="E16" s="78">
        <v>11878</v>
      </c>
      <c r="F16" s="78">
        <v>13934</v>
      </c>
      <c r="G16" s="302">
        <f t="shared" ref="G16:H21" si="33">SUMIFS($K16:$AF16,$K$3:$AF$3,G$4)</f>
        <v>14666</v>
      </c>
      <c r="H16" s="302">
        <f t="shared" si="33"/>
        <v>11655</v>
      </c>
      <c r="I16" s="302">
        <f t="shared" ref="I16:I21" si="34">SUMIFS($K16:$AZ16,$K$3:$AZ$3,I$4)</f>
        <v>10771</v>
      </c>
      <c r="K16" s="78">
        <v>3342</v>
      </c>
      <c r="L16" s="78">
        <v>3219</v>
      </c>
      <c r="M16" s="78">
        <v>3366</v>
      </c>
      <c r="N16" s="78">
        <v>3297</v>
      </c>
      <c r="O16" s="687">
        <v>3200</v>
      </c>
      <c r="P16" s="78">
        <v>3098</v>
      </c>
      <c r="Q16" s="78">
        <v>3314</v>
      </c>
      <c r="R16" s="78">
        <v>3827</v>
      </c>
      <c r="S16" s="687">
        <v>3384</v>
      </c>
      <c r="T16" s="78">
        <v>3491</v>
      </c>
      <c r="U16" s="78">
        <v>3538</v>
      </c>
      <c r="V16" s="78">
        <v>3521</v>
      </c>
      <c r="W16" s="687">
        <v>3727</v>
      </c>
      <c r="X16" s="78">
        <v>4060</v>
      </c>
      <c r="Y16" s="78">
        <v>3712</v>
      </c>
      <c r="Z16" s="78">
        <v>3167</v>
      </c>
      <c r="AA16" s="687">
        <v>3061</v>
      </c>
      <c r="AB16" s="78">
        <v>2916</v>
      </c>
      <c r="AC16" s="78">
        <v>2886</v>
      </c>
      <c r="AD16" s="78">
        <v>2792</v>
      </c>
      <c r="AE16" s="687">
        <v>2688</v>
      </c>
      <c r="AF16" s="78">
        <v>2664</v>
      </c>
      <c r="AG16" s="78">
        <v>2722</v>
      </c>
      <c r="AH16" s="78">
        <v>2697</v>
      </c>
      <c r="AI16" s="687">
        <v>2602</v>
      </c>
      <c r="AJ16" s="687">
        <v>2717</v>
      </c>
      <c r="AK16" s="687">
        <v>2873</v>
      </c>
      <c r="AL16" s="687">
        <v>2978</v>
      </c>
    </row>
    <row r="17" spans="2:38" x14ac:dyDescent="0.2">
      <c r="B17" s="10" t="s">
        <v>185</v>
      </c>
      <c r="C17" s="78"/>
      <c r="D17" s="466">
        <v>11899</v>
      </c>
      <c r="E17" s="78">
        <v>16388</v>
      </c>
      <c r="F17" s="78">
        <v>22671</v>
      </c>
      <c r="G17" s="302">
        <f t="shared" si="33"/>
        <v>21540</v>
      </c>
      <c r="H17" s="302">
        <f t="shared" si="33"/>
        <v>18533</v>
      </c>
      <c r="I17" s="302">
        <f t="shared" si="34"/>
        <v>18882</v>
      </c>
      <c r="K17" s="78">
        <v>3624</v>
      </c>
      <c r="L17" s="78">
        <v>3280</v>
      </c>
      <c r="M17" s="78">
        <v>3330</v>
      </c>
      <c r="N17" s="78">
        <v>4341</v>
      </c>
      <c r="O17" s="687">
        <v>3268</v>
      </c>
      <c r="P17" s="78">
        <v>3667</v>
      </c>
      <c r="Q17" s="78">
        <v>4367</v>
      </c>
      <c r="R17" s="78">
        <v>5825</v>
      </c>
      <c r="S17" s="687">
        <v>5142</v>
      </c>
      <c r="T17" s="78">
        <v>5453</v>
      </c>
      <c r="U17" s="78">
        <v>5145</v>
      </c>
      <c r="V17" s="78">
        <v>6931</v>
      </c>
      <c r="W17" s="687">
        <v>5946</v>
      </c>
      <c r="X17" s="78">
        <v>5108</v>
      </c>
      <c r="Y17" s="78">
        <v>4982</v>
      </c>
      <c r="Z17" s="78">
        <v>5504</v>
      </c>
      <c r="AA17" s="687">
        <v>4588</v>
      </c>
      <c r="AB17" s="78">
        <v>4088</v>
      </c>
      <c r="AC17" s="78">
        <v>4249</v>
      </c>
      <c r="AD17" s="78">
        <v>5608</v>
      </c>
      <c r="AE17" s="687">
        <v>4399</v>
      </c>
      <c r="AF17" s="78">
        <v>4088</v>
      </c>
      <c r="AG17" s="78">
        <v>4307</v>
      </c>
      <c r="AH17" s="78">
        <v>6088</v>
      </c>
      <c r="AI17" s="687">
        <v>4798</v>
      </c>
      <c r="AJ17" s="687">
        <v>4659</v>
      </c>
      <c r="AK17" s="687">
        <v>4853</v>
      </c>
      <c r="AL17" s="687">
        <v>5055</v>
      </c>
    </row>
    <row r="18" spans="2:38" x14ac:dyDescent="0.2">
      <c r="B18" s="10" t="s">
        <v>19</v>
      </c>
      <c r="C18" s="78"/>
      <c r="D18" s="466">
        <v>14139</v>
      </c>
      <c r="E18" s="78">
        <v>18926</v>
      </c>
      <c r="F18" s="78">
        <v>20238</v>
      </c>
      <c r="G18" s="302">
        <f t="shared" si="33"/>
        <v>21607</v>
      </c>
      <c r="H18" s="302">
        <f t="shared" si="33"/>
        <v>21311</v>
      </c>
      <c r="I18" s="302">
        <f t="shared" si="34"/>
        <v>20818</v>
      </c>
      <c r="K18" s="78">
        <v>5010</v>
      </c>
      <c r="L18" s="78">
        <v>5177</v>
      </c>
      <c r="M18" s="78">
        <v>4979</v>
      </c>
      <c r="N18" s="78">
        <v>5028</v>
      </c>
      <c r="O18" s="687">
        <v>5280</v>
      </c>
      <c r="P18" s="78">
        <v>5604</v>
      </c>
      <c r="Q18" s="78">
        <v>4876</v>
      </c>
      <c r="R18" s="78">
        <v>4758</v>
      </c>
      <c r="S18" s="687">
        <v>4805</v>
      </c>
      <c r="T18" s="78">
        <v>4823</v>
      </c>
      <c r="U18" s="78">
        <v>5212</v>
      </c>
      <c r="V18" s="78">
        <v>5398</v>
      </c>
      <c r="W18" s="687">
        <v>5056</v>
      </c>
      <c r="X18" s="78">
        <v>5856</v>
      </c>
      <c r="Y18" s="78">
        <v>5118</v>
      </c>
      <c r="Z18" s="78">
        <v>5577</v>
      </c>
      <c r="AA18" s="687">
        <v>5425</v>
      </c>
      <c r="AB18" s="78">
        <v>5272</v>
      </c>
      <c r="AC18" s="78">
        <v>5334</v>
      </c>
      <c r="AD18" s="78">
        <v>5280</v>
      </c>
      <c r="AE18" s="687">
        <v>5138</v>
      </c>
      <c r="AF18" s="78">
        <v>5142</v>
      </c>
      <c r="AG18" s="78">
        <v>5186</v>
      </c>
      <c r="AH18" s="78">
        <v>5352</v>
      </c>
      <c r="AI18" s="687">
        <v>5488</v>
      </c>
      <c r="AJ18" s="687">
        <v>5397</v>
      </c>
      <c r="AK18" s="687">
        <v>6015</v>
      </c>
      <c r="AL18" s="687">
        <v>5834</v>
      </c>
    </row>
    <row r="19" spans="2:38" x14ac:dyDescent="0.2">
      <c r="B19" s="10" t="s">
        <v>20</v>
      </c>
      <c r="C19" s="78"/>
      <c r="D19" s="466">
        <v>0</v>
      </c>
      <c r="E19" s="78">
        <v>418</v>
      </c>
      <c r="F19" s="78">
        <v>0</v>
      </c>
      <c r="G19" s="302">
        <f t="shared" si="33"/>
        <v>477</v>
      </c>
      <c r="H19" s="302">
        <f t="shared" si="33"/>
        <v>0</v>
      </c>
      <c r="I19" s="302">
        <f t="shared" si="34"/>
        <v>0</v>
      </c>
      <c r="K19" s="95">
        <v>2000</v>
      </c>
      <c r="L19" s="78"/>
      <c r="M19" s="78"/>
      <c r="N19" s="78"/>
      <c r="O19" s="687"/>
      <c r="P19" s="78">
        <v>418</v>
      </c>
      <c r="Q19" s="78"/>
      <c r="R19" s="78">
        <v>0</v>
      </c>
      <c r="S19" s="687"/>
      <c r="T19" s="78"/>
      <c r="U19" s="78">
        <v>0</v>
      </c>
      <c r="V19" s="78">
        <v>0</v>
      </c>
      <c r="W19" s="687">
        <v>0</v>
      </c>
      <c r="X19" s="78">
        <v>477</v>
      </c>
      <c r="Y19" s="78">
        <v>0</v>
      </c>
      <c r="Z19" s="78">
        <v>0</v>
      </c>
      <c r="AA19" s="687">
        <v>0</v>
      </c>
      <c r="AB19" s="78">
        <v>0</v>
      </c>
      <c r="AC19" s="78">
        <v>0</v>
      </c>
      <c r="AD19" s="78">
        <v>0</v>
      </c>
      <c r="AE19" s="687">
        <v>0</v>
      </c>
      <c r="AF19" s="78">
        <v>0</v>
      </c>
      <c r="AG19" s="78">
        <v>0</v>
      </c>
      <c r="AH19" s="78">
        <v>0</v>
      </c>
      <c r="AI19" s="687"/>
      <c r="AJ19" s="687"/>
      <c r="AK19" s="687">
        <v>278</v>
      </c>
      <c r="AL19" s="687"/>
    </row>
    <row r="20" spans="2:38" x14ac:dyDescent="0.2">
      <c r="B20" s="10" t="s">
        <v>21</v>
      </c>
      <c r="C20" s="78"/>
      <c r="D20" s="466"/>
      <c r="E20" s="78"/>
      <c r="F20" s="78"/>
      <c r="G20" s="302">
        <f t="shared" si="33"/>
        <v>1087</v>
      </c>
      <c r="H20" s="302">
        <f t="shared" si="33"/>
        <v>-25</v>
      </c>
      <c r="I20" s="302">
        <f t="shared" si="34"/>
        <v>0</v>
      </c>
      <c r="K20" s="78"/>
      <c r="L20" s="78"/>
      <c r="M20" s="78"/>
      <c r="N20" s="78"/>
      <c r="O20" s="687"/>
      <c r="P20" s="78"/>
      <c r="Q20" s="78"/>
      <c r="R20" s="78">
        <v>0</v>
      </c>
      <c r="S20" s="687"/>
      <c r="T20" s="78"/>
      <c r="U20" s="78">
        <v>0</v>
      </c>
      <c r="V20" s="78">
        <v>0</v>
      </c>
      <c r="W20" s="687">
        <v>0</v>
      </c>
      <c r="X20" s="78">
        <v>0</v>
      </c>
      <c r="Y20" s="78">
        <v>1071</v>
      </c>
      <c r="Z20" s="78">
        <v>16</v>
      </c>
      <c r="AA20" s="687">
        <v>-42</v>
      </c>
      <c r="AB20" s="78">
        <v>17</v>
      </c>
      <c r="AC20" s="78">
        <v>0</v>
      </c>
      <c r="AD20" s="78">
        <v>0</v>
      </c>
      <c r="AE20" s="687">
        <v>0</v>
      </c>
      <c r="AF20" s="78">
        <v>0</v>
      </c>
      <c r="AG20" s="78">
        <v>0</v>
      </c>
      <c r="AH20" s="78">
        <v>0</v>
      </c>
      <c r="AI20" s="687"/>
      <c r="AJ20" s="687"/>
      <c r="AK20" s="687"/>
      <c r="AL20" s="687"/>
    </row>
    <row r="21" spans="2:38" x14ac:dyDescent="0.2">
      <c r="B21" s="10" t="s">
        <v>22</v>
      </c>
      <c r="C21" s="79"/>
      <c r="D21" s="470">
        <v>6616</v>
      </c>
      <c r="E21" s="79">
        <v>14151</v>
      </c>
      <c r="F21" s="79">
        <v>16383</v>
      </c>
      <c r="G21" s="302">
        <f t="shared" si="33"/>
        <v>13651</v>
      </c>
      <c r="H21" s="302">
        <f t="shared" si="33"/>
        <v>12818</v>
      </c>
      <c r="I21" s="302">
        <f t="shared" si="34"/>
        <v>12919</v>
      </c>
      <c r="K21" s="79">
        <v>4015</v>
      </c>
      <c r="L21" s="79">
        <v>3972</v>
      </c>
      <c r="M21" s="79">
        <v>4084</v>
      </c>
      <c r="N21" s="79">
        <v>4122</v>
      </c>
      <c r="O21" s="690">
        <v>4014</v>
      </c>
      <c r="P21" s="79">
        <v>4064</v>
      </c>
      <c r="Q21" s="79">
        <v>4150</v>
      </c>
      <c r="R21" s="79">
        <v>4219</v>
      </c>
      <c r="S21" s="690">
        <v>4289</v>
      </c>
      <c r="T21" s="79">
        <v>4077</v>
      </c>
      <c r="U21" s="79">
        <v>4145</v>
      </c>
      <c r="V21" s="79">
        <v>3872</v>
      </c>
      <c r="W21" s="690">
        <v>3585</v>
      </c>
      <c r="X21" s="79">
        <v>3491</v>
      </c>
      <c r="Y21" s="79">
        <v>3313</v>
      </c>
      <c r="Z21" s="79">
        <v>3262</v>
      </c>
      <c r="AA21" s="690">
        <v>3203</v>
      </c>
      <c r="AB21" s="79">
        <v>3110</v>
      </c>
      <c r="AC21" s="79">
        <v>3187</v>
      </c>
      <c r="AD21" s="79">
        <v>3318</v>
      </c>
      <c r="AE21" s="690">
        <v>3371</v>
      </c>
      <c r="AF21" s="79">
        <v>3248</v>
      </c>
      <c r="AG21" s="79">
        <v>3151</v>
      </c>
      <c r="AH21" s="79">
        <v>3149</v>
      </c>
      <c r="AI21" s="690">
        <v>3198</v>
      </c>
      <c r="AJ21" s="690">
        <v>3146</v>
      </c>
      <c r="AK21" s="690">
        <v>3408</v>
      </c>
      <c r="AL21" s="690">
        <v>3434</v>
      </c>
    </row>
    <row r="22" spans="2:38" x14ac:dyDescent="0.2">
      <c r="B22" s="184" t="s">
        <v>23</v>
      </c>
      <c r="C22" s="65"/>
      <c r="D22" s="471">
        <f t="shared" ref="D22" si="35">SUM(D16:D21)</f>
        <v>39276</v>
      </c>
      <c r="E22" s="65">
        <f>SUM(E16:E21)</f>
        <v>61761</v>
      </c>
      <c r="F22" s="65">
        <f>SUM(F16:F21)</f>
        <v>73226</v>
      </c>
      <c r="G22" s="65">
        <f>SUM(G16:G21)</f>
        <v>73028</v>
      </c>
      <c r="H22" s="65">
        <f>SUM(H16:H21)</f>
        <v>64292</v>
      </c>
      <c r="I22" s="65">
        <f>SUM(I16:I21)</f>
        <v>63390</v>
      </c>
      <c r="K22" s="65">
        <f t="shared" ref="K22:L22" si="36">SUM(K16:K21)</f>
        <v>17991</v>
      </c>
      <c r="L22" s="65">
        <f t="shared" si="36"/>
        <v>15648</v>
      </c>
      <c r="M22" s="65">
        <f t="shared" ref="M22:R22" si="37">SUM(M16:M21)</f>
        <v>15759</v>
      </c>
      <c r="N22" s="65">
        <f t="shared" si="37"/>
        <v>16788</v>
      </c>
      <c r="O22" s="691">
        <f t="shared" si="37"/>
        <v>15762</v>
      </c>
      <c r="P22" s="65">
        <f t="shared" si="37"/>
        <v>16851</v>
      </c>
      <c r="Q22" s="65">
        <f t="shared" si="37"/>
        <v>16707</v>
      </c>
      <c r="R22" s="65">
        <f t="shared" si="37"/>
        <v>18629</v>
      </c>
      <c r="S22" s="691">
        <f t="shared" ref="S22" si="38">SUM(S16:S21)</f>
        <v>17620</v>
      </c>
      <c r="T22" s="65">
        <f t="shared" ref="T22:AF22" si="39">SUM(T16:T21)</f>
        <v>17844</v>
      </c>
      <c r="U22" s="65">
        <f t="shared" si="39"/>
        <v>18040</v>
      </c>
      <c r="V22" s="65">
        <f t="shared" si="39"/>
        <v>19722</v>
      </c>
      <c r="W22" s="691">
        <f t="shared" si="39"/>
        <v>18314</v>
      </c>
      <c r="X22" s="65">
        <f t="shared" si="39"/>
        <v>18992</v>
      </c>
      <c r="Y22" s="65">
        <f t="shared" si="39"/>
        <v>18196</v>
      </c>
      <c r="Z22" s="65">
        <f t="shared" si="39"/>
        <v>17526</v>
      </c>
      <c r="AA22" s="691">
        <f t="shared" si="39"/>
        <v>16235</v>
      </c>
      <c r="AB22" s="65">
        <f t="shared" si="39"/>
        <v>15403</v>
      </c>
      <c r="AC22" s="65">
        <f t="shared" si="39"/>
        <v>15656</v>
      </c>
      <c r="AD22" s="65">
        <f t="shared" si="39"/>
        <v>16998</v>
      </c>
      <c r="AE22" s="691">
        <f t="shared" si="39"/>
        <v>15596</v>
      </c>
      <c r="AF22" s="65">
        <f t="shared" si="39"/>
        <v>15142</v>
      </c>
      <c r="AG22" s="65">
        <f t="shared" ref="AG22:AJ22" si="40">SUM(AG16:AG21)</f>
        <v>15366</v>
      </c>
      <c r="AH22" s="65">
        <f t="shared" si="40"/>
        <v>17286</v>
      </c>
      <c r="AI22" s="691">
        <f t="shared" si="40"/>
        <v>16086</v>
      </c>
      <c r="AJ22" s="691">
        <f t="shared" si="40"/>
        <v>15919</v>
      </c>
      <c r="AK22" s="691">
        <v>17427</v>
      </c>
      <c r="AL22" s="691">
        <v>17301</v>
      </c>
    </row>
    <row r="23" spans="2:38" x14ac:dyDescent="0.2">
      <c r="B23" s="29" t="s">
        <v>24</v>
      </c>
      <c r="C23" s="63"/>
      <c r="D23" s="473">
        <f t="shared" ref="D23" si="41">+D14-D22</f>
        <v>5722</v>
      </c>
      <c r="E23" s="63">
        <f>+E14-E22</f>
        <v>6636</v>
      </c>
      <c r="F23" s="63">
        <f>+F14-F22</f>
        <v>6892</v>
      </c>
      <c r="G23" s="63">
        <f>+G14-G22</f>
        <v>6543</v>
      </c>
      <c r="H23" s="63">
        <f>+H14-H22</f>
        <v>14266</v>
      </c>
      <c r="I23" s="63">
        <f>+I14-I22</f>
        <v>18010</v>
      </c>
      <c r="K23" s="63">
        <f t="shared" ref="K23:L23" si="42">+K14-K22</f>
        <v>-372</v>
      </c>
      <c r="L23" s="63">
        <f t="shared" si="42"/>
        <v>1812</v>
      </c>
      <c r="M23" s="63">
        <f t="shared" ref="M23:R23" si="43">+M14-M22</f>
        <v>1484</v>
      </c>
      <c r="N23" s="63">
        <f t="shared" si="43"/>
        <v>1497</v>
      </c>
      <c r="O23" s="693">
        <f t="shared" si="43"/>
        <v>1646</v>
      </c>
      <c r="P23" s="63">
        <f t="shared" si="43"/>
        <v>820</v>
      </c>
      <c r="Q23" s="63">
        <f t="shared" si="43"/>
        <v>2565</v>
      </c>
      <c r="R23" s="63">
        <f t="shared" si="43"/>
        <v>1712</v>
      </c>
      <c r="S23" s="693">
        <f t="shared" ref="S23" si="44">+S14-S22</f>
        <v>2139</v>
      </c>
      <c r="T23" s="63">
        <f t="shared" ref="T23" si="45">+T14-T22</f>
        <v>2106</v>
      </c>
      <c r="U23" s="63">
        <f t="shared" ref="U23:AF23" si="46">+U14-U22</f>
        <v>1584</v>
      </c>
      <c r="V23" s="63">
        <f t="shared" si="46"/>
        <v>1063</v>
      </c>
      <c r="W23" s="693">
        <f t="shared" si="46"/>
        <v>1806</v>
      </c>
      <c r="X23" s="63">
        <f t="shared" si="46"/>
        <v>709</v>
      </c>
      <c r="Y23" s="63">
        <f t="shared" si="46"/>
        <v>1281</v>
      </c>
      <c r="Z23" s="63">
        <f t="shared" si="46"/>
        <v>2747</v>
      </c>
      <c r="AA23" s="693">
        <f t="shared" si="46"/>
        <v>3397</v>
      </c>
      <c r="AB23" s="63">
        <f t="shared" si="46"/>
        <v>3793</v>
      </c>
      <c r="AC23" s="63">
        <f t="shared" si="46"/>
        <v>3596</v>
      </c>
      <c r="AD23" s="63">
        <f t="shared" si="46"/>
        <v>3480</v>
      </c>
      <c r="AE23" s="693">
        <f t="shared" si="46"/>
        <v>3998</v>
      </c>
      <c r="AF23" s="63">
        <f t="shared" si="46"/>
        <v>4630</v>
      </c>
      <c r="AG23" s="63">
        <f t="shared" ref="AG23:AI23" si="47">+AG14-AG22</f>
        <v>4796</v>
      </c>
      <c r="AH23" s="63">
        <f t="shared" si="47"/>
        <v>4586</v>
      </c>
      <c r="AI23" s="693">
        <f t="shared" si="47"/>
        <v>4800</v>
      </c>
      <c r="AJ23" s="693">
        <v>5213</v>
      </c>
      <c r="AK23" s="693">
        <v>4530</v>
      </c>
      <c r="AL23" s="693">
        <v>5490</v>
      </c>
    </row>
    <row r="24" spans="2:38" x14ac:dyDescent="0.2">
      <c r="B24" s="14" t="s">
        <v>25</v>
      </c>
      <c r="C24" s="67"/>
      <c r="D24" s="474"/>
      <c r="E24" s="67"/>
      <c r="F24" s="67"/>
      <c r="G24" s="67"/>
      <c r="H24" s="67"/>
      <c r="I24" s="67"/>
      <c r="K24" s="67"/>
      <c r="L24" s="67"/>
      <c r="M24" s="67"/>
      <c r="N24" s="67"/>
      <c r="O24" s="694"/>
      <c r="P24" s="67"/>
      <c r="Q24" s="67"/>
      <c r="R24" s="67"/>
      <c r="S24" s="694"/>
      <c r="T24" s="67"/>
      <c r="U24" s="67"/>
      <c r="V24" s="67"/>
      <c r="W24" s="694"/>
      <c r="X24" s="67"/>
      <c r="Y24" s="67"/>
      <c r="Z24" s="67"/>
      <c r="AA24" s="694"/>
      <c r="AB24" s="67"/>
      <c r="AC24" s="67"/>
      <c r="AD24" s="67"/>
      <c r="AE24" s="694"/>
      <c r="AF24" s="67"/>
      <c r="AG24" s="67"/>
      <c r="AH24" s="67"/>
      <c r="AI24" s="694"/>
      <c r="AJ24" s="694"/>
      <c r="AK24" s="694"/>
      <c r="AL24" s="694"/>
    </row>
    <row r="25" spans="2:38" x14ac:dyDescent="0.2">
      <c r="B25" s="10" t="s">
        <v>26</v>
      </c>
      <c r="C25" s="78"/>
      <c r="D25" s="466">
        <f>-727-408+24</f>
        <v>-1111</v>
      </c>
      <c r="E25" s="78">
        <f>-2483-247+29</f>
        <v>-2701</v>
      </c>
      <c r="F25" s="78">
        <f>-3189-173+20</f>
        <v>-3342</v>
      </c>
      <c r="G25" s="302">
        <f>SUMIFS($K25:$AF25,$K$3:$AF$3,G$4)</f>
        <v>-3364</v>
      </c>
      <c r="H25" s="302">
        <f>SUMIFS($K25:$AF25,$K$3:$AF$3,H$4)</f>
        <v>-3335</v>
      </c>
      <c r="I25" s="302">
        <f t="shared" ref="I25:I26" si="48">SUMIFS($K25:$AZ25,$K$3:$AZ$3,I$4)</f>
        <v>-3411</v>
      </c>
      <c r="K25" s="78">
        <f>-859-17+48</f>
        <v>-828</v>
      </c>
      <c r="L25" s="78">
        <f>-848-5+34</f>
        <v>-819</v>
      </c>
      <c r="M25" s="78">
        <f>-842-9+21</f>
        <v>-830</v>
      </c>
      <c r="N25" s="78">
        <f>-840-12+25</f>
        <v>-827</v>
      </c>
      <c r="O25" s="687">
        <f>-835+5+26</f>
        <v>-804</v>
      </c>
      <c r="P25" s="78">
        <f>-776-63+6</f>
        <v>-833</v>
      </c>
      <c r="Q25" s="78">
        <f>-765-44+3</f>
        <v>-806</v>
      </c>
      <c r="R25" s="78">
        <v>-790</v>
      </c>
      <c r="S25" s="687">
        <v>-835</v>
      </c>
      <c r="T25" s="78">
        <v>-850</v>
      </c>
      <c r="U25" s="78">
        <v>-836</v>
      </c>
      <c r="V25" s="78">
        <v>-821</v>
      </c>
      <c r="W25" s="687">
        <v>-864</v>
      </c>
      <c r="X25" s="78">
        <v>-851</v>
      </c>
      <c r="Y25" s="78">
        <v>-827</v>
      </c>
      <c r="Z25" s="78">
        <v>-822</v>
      </c>
      <c r="AA25" s="687">
        <v>-835</v>
      </c>
      <c r="AB25" s="78">
        <v>-861</v>
      </c>
      <c r="AC25" s="78">
        <v>-790</v>
      </c>
      <c r="AD25" s="78">
        <v>-849</v>
      </c>
      <c r="AE25" s="687">
        <v>-880</v>
      </c>
      <c r="AF25" s="78">
        <v>-854</v>
      </c>
      <c r="AG25" s="78">
        <v>-836</v>
      </c>
      <c r="AH25" s="78">
        <v>-841</v>
      </c>
      <c r="AI25" s="687">
        <v>-916</v>
      </c>
      <c r="AJ25" s="687">
        <v>-922</v>
      </c>
      <c r="AK25" s="687">
        <v>-924</v>
      </c>
      <c r="AL25" s="687">
        <v>-1055</v>
      </c>
    </row>
    <row r="26" spans="2:38" x14ac:dyDescent="0.2">
      <c r="B26" s="16" t="s">
        <v>27</v>
      </c>
      <c r="C26" s="79"/>
      <c r="D26" s="470">
        <v>-8</v>
      </c>
      <c r="E26" s="79">
        <v>-405</v>
      </c>
      <c r="F26" s="79">
        <v>-199</v>
      </c>
      <c r="G26" s="302">
        <f>SUMIFS($K26:$AF26,$K$3:$AF$3,G$4)</f>
        <v>-33</v>
      </c>
      <c r="H26" s="302">
        <f>SUMIFS($K26:$AF26,$K$3:$AF$3,H$4)</f>
        <v>68</v>
      </c>
      <c r="I26" s="302">
        <f t="shared" si="48"/>
        <v>113</v>
      </c>
      <c r="K26" s="79">
        <v>1</v>
      </c>
      <c r="L26" s="79">
        <v>-24</v>
      </c>
      <c r="M26" s="79">
        <v>1</v>
      </c>
      <c r="N26" s="79">
        <v>-20</v>
      </c>
      <c r="O26" s="690">
        <v>-19</v>
      </c>
      <c r="P26" s="79">
        <v>-195</v>
      </c>
      <c r="Q26" s="79">
        <v>-99</v>
      </c>
      <c r="R26" s="79">
        <v>-101</v>
      </c>
      <c r="S26" s="690">
        <v>-125</v>
      </c>
      <c r="T26" s="79">
        <v>-1</v>
      </c>
      <c r="U26" s="79">
        <v>-60</v>
      </c>
      <c r="V26" s="79">
        <v>-13</v>
      </c>
      <c r="W26" s="690">
        <v>-11</v>
      </c>
      <c r="X26" s="79">
        <v>-21</v>
      </c>
      <c r="Y26" s="79">
        <v>-3</v>
      </c>
      <c r="Z26" s="79">
        <v>2</v>
      </c>
      <c r="AA26" s="690">
        <v>9</v>
      </c>
      <c r="AB26" s="79">
        <v>6</v>
      </c>
      <c r="AC26" s="79">
        <v>41</v>
      </c>
      <c r="AD26" s="79">
        <v>12</v>
      </c>
      <c r="AE26" s="690">
        <v>20</v>
      </c>
      <c r="AF26" s="79">
        <v>-8</v>
      </c>
      <c r="AG26" s="79">
        <v>7</v>
      </c>
      <c r="AH26" s="79">
        <v>94</v>
      </c>
      <c r="AI26" s="690">
        <v>-46</v>
      </c>
      <c r="AJ26" s="690">
        <v>-11</v>
      </c>
      <c r="AK26" s="690">
        <v>-78</v>
      </c>
      <c r="AL26" s="690">
        <v>-107</v>
      </c>
    </row>
    <row r="27" spans="2:38" x14ac:dyDescent="0.2">
      <c r="B27" s="184" t="s">
        <v>28</v>
      </c>
      <c r="C27" s="65"/>
      <c r="D27" s="471">
        <f t="shared" ref="D27" si="49">+SUM(D25:D26)</f>
        <v>-1119</v>
      </c>
      <c r="E27" s="65">
        <f>+SUM(E25:E26)</f>
        <v>-3106</v>
      </c>
      <c r="F27" s="65">
        <f>+SUM(F25:F26)</f>
        <v>-3541</v>
      </c>
      <c r="G27" s="65">
        <f>+SUM(G25:G26)</f>
        <v>-3397</v>
      </c>
      <c r="H27" s="65">
        <f>+SUM(H25:H26)</f>
        <v>-3267</v>
      </c>
      <c r="I27" s="65">
        <f>+SUM(I25:I26)</f>
        <v>-3298</v>
      </c>
      <c r="K27" s="65">
        <f t="shared" ref="K27:L27" si="50">+SUM(K25:K26)</f>
        <v>-827</v>
      </c>
      <c r="L27" s="65">
        <f t="shared" si="50"/>
        <v>-843</v>
      </c>
      <c r="M27" s="65">
        <f t="shared" ref="M27:R27" si="51">+SUM(M25:M26)</f>
        <v>-829</v>
      </c>
      <c r="N27" s="65">
        <f t="shared" si="51"/>
        <v>-847</v>
      </c>
      <c r="O27" s="691">
        <f t="shared" si="51"/>
        <v>-823</v>
      </c>
      <c r="P27" s="65">
        <f t="shared" si="51"/>
        <v>-1028</v>
      </c>
      <c r="Q27" s="65">
        <f t="shared" si="51"/>
        <v>-905</v>
      </c>
      <c r="R27" s="65">
        <f t="shared" si="51"/>
        <v>-891</v>
      </c>
      <c r="S27" s="691">
        <f t="shared" ref="S27" si="52">+SUM(S25:S26)</f>
        <v>-960</v>
      </c>
      <c r="T27" s="65">
        <f t="shared" ref="T27:X27" si="53">+SUM(T25:T26)</f>
        <v>-851</v>
      </c>
      <c r="U27" s="65">
        <f t="shared" si="53"/>
        <v>-896</v>
      </c>
      <c r="V27" s="65">
        <f t="shared" si="53"/>
        <v>-834</v>
      </c>
      <c r="W27" s="691">
        <f t="shared" si="53"/>
        <v>-875</v>
      </c>
      <c r="X27" s="65">
        <f t="shared" si="53"/>
        <v>-872</v>
      </c>
      <c r="Y27" s="65">
        <f t="shared" ref="Y27" si="54">+SUM(Y25:Y26)</f>
        <v>-830</v>
      </c>
      <c r="Z27" s="65">
        <f t="shared" ref="Z27" si="55">+SUM(Z25:Z26)</f>
        <v>-820</v>
      </c>
      <c r="AA27" s="691">
        <f t="shared" ref="AA27" si="56">+SUM(AA25:AA26)</f>
        <v>-826</v>
      </c>
      <c r="AB27" s="65">
        <f t="shared" ref="AB27" si="57">+SUM(AB25:AB26)</f>
        <v>-855</v>
      </c>
      <c r="AC27" s="65">
        <f t="shared" ref="AC27" si="58">+SUM(AC25:AC26)</f>
        <v>-749</v>
      </c>
      <c r="AD27" s="65">
        <f t="shared" ref="AD27" si="59">+SUM(AD25:AD26)</f>
        <v>-837</v>
      </c>
      <c r="AE27" s="691">
        <f t="shared" ref="AE27:AH27" si="60">+SUM(AE25:AE26)</f>
        <v>-860</v>
      </c>
      <c r="AF27" s="65">
        <f t="shared" si="60"/>
        <v>-862</v>
      </c>
      <c r="AG27" s="65">
        <f t="shared" si="60"/>
        <v>-829</v>
      </c>
      <c r="AH27" s="65">
        <f t="shared" si="60"/>
        <v>-747</v>
      </c>
      <c r="AI27" s="691">
        <f t="shared" ref="AI27:AK27" si="61">+SUM(AI25:AI26)</f>
        <v>-962</v>
      </c>
      <c r="AJ27" s="691">
        <f t="shared" si="61"/>
        <v>-933</v>
      </c>
      <c r="AK27" s="691">
        <f t="shared" si="61"/>
        <v>-1002</v>
      </c>
      <c r="AL27" s="691">
        <f>+SUM(AL25:AL26)</f>
        <v>-1162</v>
      </c>
    </row>
    <row r="28" spans="2:38" x14ac:dyDescent="0.2">
      <c r="B28" s="104" t="s">
        <v>29</v>
      </c>
      <c r="C28" s="105"/>
      <c r="D28" s="475">
        <f t="shared" ref="D28:E28" si="62">+D23+D27</f>
        <v>4603</v>
      </c>
      <c r="E28" s="105">
        <f t="shared" si="62"/>
        <v>3530</v>
      </c>
      <c r="F28" s="105">
        <f>+F23+F27</f>
        <v>3351</v>
      </c>
      <c r="G28" s="105">
        <f>+G23+G27</f>
        <v>3146</v>
      </c>
      <c r="H28" s="105">
        <f>+H23+H27</f>
        <v>10999</v>
      </c>
      <c r="I28" s="105">
        <f>+I23+I27</f>
        <v>14712</v>
      </c>
      <c r="K28" s="105">
        <f t="shared" ref="K28:L28" si="63">+K23+K27</f>
        <v>-1199</v>
      </c>
      <c r="L28" s="105">
        <f t="shared" si="63"/>
        <v>969</v>
      </c>
      <c r="M28" s="105">
        <f t="shared" ref="M28:Q28" si="64">+M23+M27</f>
        <v>655</v>
      </c>
      <c r="N28" s="105">
        <f t="shared" si="64"/>
        <v>650</v>
      </c>
      <c r="O28" s="695">
        <f t="shared" si="64"/>
        <v>823</v>
      </c>
      <c r="P28" s="105">
        <f t="shared" si="64"/>
        <v>-208</v>
      </c>
      <c r="Q28" s="105">
        <f t="shared" si="64"/>
        <v>1660</v>
      </c>
      <c r="R28" s="105">
        <f t="shared" ref="R28:AG28" si="65">+R23+R27</f>
        <v>821</v>
      </c>
      <c r="S28" s="695">
        <f t="shared" si="65"/>
        <v>1179</v>
      </c>
      <c r="T28" s="105">
        <f t="shared" si="65"/>
        <v>1255</v>
      </c>
      <c r="U28" s="105">
        <f t="shared" si="65"/>
        <v>688</v>
      </c>
      <c r="V28" s="105">
        <f t="shared" si="65"/>
        <v>229</v>
      </c>
      <c r="W28" s="695">
        <f t="shared" si="65"/>
        <v>931</v>
      </c>
      <c r="X28" s="105">
        <f t="shared" si="65"/>
        <v>-163</v>
      </c>
      <c r="Y28" s="105">
        <f t="shared" si="65"/>
        <v>451</v>
      </c>
      <c r="Z28" s="105">
        <f t="shared" si="65"/>
        <v>1927</v>
      </c>
      <c r="AA28" s="695">
        <f t="shared" si="65"/>
        <v>2571</v>
      </c>
      <c r="AB28" s="105">
        <f t="shared" si="65"/>
        <v>2938</v>
      </c>
      <c r="AC28" s="105">
        <f t="shared" si="65"/>
        <v>2847</v>
      </c>
      <c r="AD28" s="105">
        <f t="shared" si="65"/>
        <v>2643</v>
      </c>
      <c r="AE28" s="695">
        <f t="shared" si="65"/>
        <v>3138</v>
      </c>
      <c r="AF28" s="105">
        <f t="shared" si="65"/>
        <v>3768</v>
      </c>
      <c r="AG28" s="105">
        <f t="shared" si="65"/>
        <v>3967</v>
      </c>
      <c r="AH28" s="105">
        <f t="shared" ref="AH28:AJ28" si="66">+AH23+AH27</f>
        <v>3839</v>
      </c>
      <c r="AI28" s="695">
        <f t="shared" si="66"/>
        <v>3838</v>
      </c>
      <c r="AJ28" s="695">
        <f t="shared" si="66"/>
        <v>4280</v>
      </c>
      <c r="AK28" s="695">
        <v>3528</v>
      </c>
      <c r="AL28" s="695">
        <v>4328</v>
      </c>
    </row>
    <row r="29" spans="2:38" x14ac:dyDescent="0.2">
      <c r="B29" s="16" t="s">
        <v>30</v>
      </c>
      <c r="C29" s="79"/>
      <c r="D29" s="470">
        <v>-1135</v>
      </c>
      <c r="E29" s="79">
        <v>-786</v>
      </c>
      <c r="F29" s="79">
        <v>-327</v>
      </c>
      <c r="G29" s="303">
        <f>SUMIFS($K29:$AF29,$K$3:$AF$3,G$4)</f>
        <v>-556</v>
      </c>
      <c r="H29" s="303">
        <f>SUMIFS($K29:$AF29,$K$3:$AF$3,H$4)</f>
        <v>-2682</v>
      </c>
      <c r="I29" s="303">
        <f>SUMIFS($K29:$AZ29,$K$3:$AZ$3,I$4)</f>
        <v>-3373</v>
      </c>
      <c r="K29" s="79">
        <v>-164</v>
      </c>
      <c r="L29" s="79">
        <v>-241</v>
      </c>
      <c r="M29" s="79">
        <v>-204</v>
      </c>
      <c r="N29" s="79">
        <v>143</v>
      </c>
      <c r="O29" s="690">
        <v>282</v>
      </c>
      <c r="P29" s="79">
        <v>-2</v>
      </c>
      <c r="Q29" s="79">
        <v>-407</v>
      </c>
      <c r="R29" s="79">
        <v>-71</v>
      </c>
      <c r="S29" s="690">
        <v>-246</v>
      </c>
      <c r="T29" s="79">
        <v>-277</v>
      </c>
      <c r="U29" s="79">
        <v>3</v>
      </c>
      <c r="V29" s="79">
        <v>193</v>
      </c>
      <c r="W29" s="690">
        <v>-218</v>
      </c>
      <c r="X29" s="79">
        <v>55</v>
      </c>
      <c r="Y29" s="79">
        <v>57</v>
      </c>
      <c r="Z29" s="79">
        <v>-450</v>
      </c>
      <c r="AA29" s="690">
        <v>-631</v>
      </c>
      <c r="AB29" s="79">
        <v>-717</v>
      </c>
      <c r="AC29" s="79">
        <v>-705</v>
      </c>
      <c r="AD29" s="79">
        <v>-629</v>
      </c>
      <c r="AE29" s="690">
        <v>-764</v>
      </c>
      <c r="AF29" s="79">
        <v>-843</v>
      </c>
      <c r="AG29" s="79">
        <v>-908</v>
      </c>
      <c r="AH29" s="79">
        <v>-858</v>
      </c>
      <c r="AI29" s="690">
        <v>-885</v>
      </c>
      <c r="AJ29" s="690">
        <v>-1058</v>
      </c>
      <c r="AK29" s="690">
        <v>-814</v>
      </c>
      <c r="AL29" s="690">
        <v>-1089</v>
      </c>
    </row>
    <row r="30" spans="2:38" x14ac:dyDescent="0.2">
      <c r="B30" s="183" t="s">
        <v>181</v>
      </c>
      <c r="C30" s="62"/>
      <c r="D30" s="467">
        <f t="shared" ref="D30:E30" si="67">+D29+D28</f>
        <v>3468</v>
      </c>
      <c r="E30" s="62">
        <f t="shared" si="67"/>
        <v>2744</v>
      </c>
      <c r="F30" s="62">
        <f>+F29+F28</f>
        <v>3024</v>
      </c>
      <c r="G30" s="62">
        <f t="shared" ref="G30:H30" si="68">+G29+G28</f>
        <v>2590</v>
      </c>
      <c r="H30" s="62">
        <f t="shared" si="68"/>
        <v>8317</v>
      </c>
      <c r="I30" s="62">
        <f t="shared" ref="I30" si="69">+I29+I28</f>
        <v>11339</v>
      </c>
      <c r="K30" s="62">
        <f t="shared" ref="K30:Q30" si="70">+K29+K28</f>
        <v>-1363</v>
      </c>
      <c r="L30" s="62">
        <f t="shared" si="70"/>
        <v>728</v>
      </c>
      <c r="M30" s="62">
        <f t="shared" si="70"/>
        <v>451</v>
      </c>
      <c r="N30" s="62">
        <f t="shared" si="70"/>
        <v>793</v>
      </c>
      <c r="O30" s="696">
        <f t="shared" si="70"/>
        <v>1105</v>
      </c>
      <c r="P30" s="62">
        <f t="shared" si="70"/>
        <v>-210</v>
      </c>
      <c r="Q30" s="62">
        <f t="shared" si="70"/>
        <v>1253</v>
      </c>
      <c r="R30" s="62">
        <f t="shared" ref="R30" si="71">+R29+R28</f>
        <v>750</v>
      </c>
      <c r="S30" s="696">
        <f t="shared" ref="S30" si="72">+S29+S28</f>
        <v>933</v>
      </c>
      <c r="T30" s="62">
        <f t="shared" ref="T30" si="73">+T29+T28</f>
        <v>978</v>
      </c>
      <c r="U30" s="62">
        <f t="shared" ref="U30" si="74">+U29+U28</f>
        <v>691</v>
      </c>
      <c r="V30" s="62">
        <f t="shared" ref="V30" si="75">+V29+V28</f>
        <v>422</v>
      </c>
      <c r="W30" s="696">
        <f t="shared" ref="W30" si="76">+W29+W28</f>
        <v>713</v>
      </c>
      <c r="X30" s="62">
        <f t="shared" ref="X30" si="77">+X29+X28</f>
        <v>-108</v>
      </c>
      <c r="Y30" s="62">
        <f t="shared" ref="Y30" si="78">+Y29+Y28</f>
        <v>508</v>
      </c>
      <c r="Z30" s="62">
        <f t="shared" ref="Z30" si="79">+Z29+Z28</f>
        <v>1477</v>
      </c>
      <c r="AA30" s="696">
        <f t="shared" ref="AA30" si="80">+AA29+AA28</f>
        <v>1940</v>
      </c>
      <c r="AB30" s="62">
        <f t="shared" ref="AB30" si="81">+AB29+AB28</f>
        <v>2221</v>
      </c>
      <c r="AC30" s="62">
        <f t="shared" ref="AC30" si="82">+AC29+AC28</f>
        <v>2142</v>
      </c>
      <c r="AD30" s="62">
        <f t="shared" ref="AD30" si="83">+AD29+AD28</f>
        <v>2014</v>
      </c>
      <c r="AE30" s="696">
        <f t="shared" ref="AE30:AF30" si="84">+AE29+AE28</f>
        <v>2374</v>
      </c>
      <c r="AF30" s="62">
        <f t="shared" si="84"/>
        <v>2925</v>
      </c>
      <c r="AG30" s="62">
        <f t="shared" ref="AG30:AK30" si="85">+AG29+AG28</f>
        <v>3059</v>
      </c>
      <c r="AH30" s="62">
        <f t="shared" si="85"/>
        <v>2981</v>
      </c>
      <c r="AI30" s="696">
        <f t="shared" si="85"/>
        <v>2953</v>
      </c>
      <c r="AJ30" s="696">
        <f t="shared" si="85"/>
        <v>3222</v>
      </c>
      <c r="AK30" s="696">
        <f t="shared" si="85"/>
        <v>2714</v>
      </c>
      <c r="AL30" s="696">
        <f>+AL29+AL28</f>
        <v>3239</v>
      </c>
    </row>
    <row r="31" spans="2:38" x14ac:dyDescent="0.2">
      <c r="B31" s="155" t="s">
        <v>182</v>
      </c>
      <c r="C31" s="90"/>
      <c r="D31" s="468">
        <v>0</v>
      </c>
      <c r="E31" s="90">
        <v>320</v>
      </c>
      <c r="F31" s="90">
        <v>0</v>
      </c>
      <c r="G31" s="302">
        <f>SUMIFS($K31:$AF31,$K$3:$AF$3,G$4)</f>
        <v>0</v>
      </c>
      <c r="H31" s="302">
        <f>SUMIFS($K31:$AF31,$K$3:$AF$3,H$4)</f>
        <v>0</v>
      </c>
      <c r="I31" s="302">
        <f>SUMIFS($K31:$AZ31,$K$3:$AZ$3,I$4)</f>
        <v>0</v>
      </c>
      <c r="K31" s="90">
        <v>423</v>
      </c>
      <c r="L31" s="90">
        <v>423</v>
      </c>
      <c r="M31" s="90">
        <v>393</v>
      </c>
      <c r="N31" s="90">
        <v>355</v>
      </c>
      <c r="O31" s="687">
        <v>357</v>
      </c>
      <c r="P31" s="90">
        <v>320</v>
      </c>
      <c r="Q31" s="90">
        <v>0</v>
      </c>
      <c r="R31" s="90">
        <v>0</v>
      </c>
      <c r="S31" s="687"/>
      <c r="T31" s="90"/>
      <c r="U31" s="90">
        <v>0</v>
      </c>
      <c r="V31" s="90">
        <v>0</v>
      </c>
      <c r="W31" s="687">
        <v>0</v>
      </c>
      <c r="X31" s="90">
        <v>0</v>
      </c>
      <c r="Y31" s="90">
        <v>0</v>
      </c>
      <c r="Z31" s="90">
        <v>0</v>
      </c>
      <c r="AA31" s="687">
        <v>0</v>
      </c>
      <c r="AB31" s="90">
        <v>0</v>
      </c>
      <c r="AC31" s="90">
        <v>0</v>
      </c>
      <c r="AD31" s="90">
        <v>0</v>
      </c>
      <c r="AE31" s="687">
        <v>0</v>
      </c>
      <c r="AF31" s="90">
        <v>0</v>
      </c>
      <c r="AG31" s="90">
        <v>0</v>
      </c>
      <c r="AH31" s="90">
        <v>0</v>
      </c>
      <c r="AI31" s="687">
        <v>0</v>
      </c>
      <c r="AJ31" s="687"/>
      <c r="AK31" s="687"/>
      <c r="AL31" s="687"/>
    </row>
    <row r="32" spans="2:38" s="30" customFormat="1" ht="12.75" thickBot="1" x14ac:dyDescent="0.25">
      <c r="B32" s="181" t="s">
        <v>31</v>
      </c>
      <c r="C32" s="158"/>
      <c r="D32" s="476">
        <f t="shared" ref="D32:E32" si="86">+D31+D30</f>
        <v>3468</v>
      </c>
      <c r="E32" s="158">
        <f t="shared" si="86"/>
        <v>3064</v>
      </c>
      <c r="F32" s="158">
        <f>+F31+F30</f>
        <v>3024</v>
      </c>
      <c r="G32" s="158">
        <f t="shared" ref="G32:H32" si="87">+G31+G30</f>
        <v>2590</v>
      </c>
      <c r="H32" s="158">
        <f t="shared" si="87"/>
        <v>8317</v>
      </c>
      <c r="I32" s="158">
        <f t="shared" ref="I32" si="88">+I31+I30</f>
        <v>11339</v>
      </c>
      <c r="K32" s="158">
        <f t="shared" ref="K32:Q32" si="89">+K31+K30</f>
        <v>-940</v>
      </c>
      <c r="L32" s="158">
        <f t="shared" si="89"/>
        <v>1151</v>
      </c>
      <c r="M32" s="158">
        <f t="shared" si="89"/>
        <v>844</v>
      </c>
      <c r="N32" s="158">
        <f t="shared" si="89"/>
        <v>1148</v>
      </c>
      <c r="O32" s="697">
        <f t="shared" si="89"/>
        <v>1462</v>
      </c>
      <c r="P32" s="158">
        <f t="shared" si="89"/>
        <v>110</v>
      </c>
      <c r="Q32" s="158">
        <f t="shared" si="89"/>
        <v>1253</v>
      </c>
      <c r="R32" s="158">
        <f t="shared" ref="R32" si="90">+R31+R30</f>
        <v>750</v>
      </c>
      <c r="S32" s="697">
        <f t="shared" ref="S32" si="91">+S31+S30</f>
        <v>933</v>
      </c>
      <c r="T32" s="158">
        <f t="shared" ref="T32" si="92">+T31+T30</f>
        <v>978</v>
      </c>
      <c r="U32" s="158">
        <f t="shared" ref="U32" si="93">+U31+U30</f>
        <v>691</v>
      </c>
      <c r="V32" s="158">
        <f t="shared" ref="V32" si="94">+V31+V30</f>
        <v>422</v>
      </c>
      <c r="W32" s="697">
        <f t="shared" ref="W32" si="95">+W31+W30</f>
        <v>713</v>
      </c>
      <c r="X32" s="158">
        <f t="shared" ref="X32" si="96">+X31+X30</f>
        <v>-108</v>
      </c>
      <c r="Y32" s="158">
        <f t="shared" ref="Y32" si="97">+Y31+Y30</f>
        <v>508</v>
      </c>
      <c r="Z32" s="158">
        <f t="shared" ref="Z32" si="98">+Z31+Z30</f>
        <v>1477</v>
      </c>
      <c r="AA32" s="697">
        <f t="shared" ref="AA32" si="99">+AA31+AA30</f>
        <v>1940</v>
      </c>
      <c r="AB32" s="158">
        <f t="shared" ref="AB32" si="100">+AB31+AB30</f>
        <v>2221</v>
      </c>
      <c r="AC32" s="158">
        <f t="shared" ref="AC32" si="101">+AC31+AC30</f>
        <v>2142</v>
      </c>
      <c r="AD32" s="158">
        <f t="shared" ref="AD32" si="102">+AD31+AD30</f>
        <v>2014</v>
      </c>
      <c r="AE32" s="697">
        <f t="shared" ref="AE32:AF32" si="103">+AE31+AE30</f>
        <v>2374</v>
      </c>
      <c r="AF32" s="158">
        <f t="shared" si="103"/>
        <v>2925</v>
      </c>
      <c r="AG32" s="158">
        <f t="shared" ref="AG32:AK32" si="104">+AG31+AG30</f>
        <v>3059</v>
      </c>
      <c r="AH32" s="158">
        <f t="shared" si="104"/>
        <v>2981</v>
      </c>
      <c r="AI32" s="697">
        <f t="shared" si="104"/>
        <v>2953</v>
      </c>
      <c r="AJ32" s="697">
        <f t="shared" si="104"/>
        <v>3222</v>
      </c>
      <c r="AK32" s="697">
        <f t="shared" si="104"/>
        <v>2714</v>
      </c>
      <c r="AL32" s="697">
        <f>+AL31+AL30</f>
        <v>3239</v>
      </c>
    </row>
    <row r="33" spans="2:38" x14ac:dyDescent="0.2">
      <c r="B33" s="15"/>
      <c r="C33" s="17"/>
      <c r="D33" s="477"/>
      <c r="E33" s="17"/>
      <c r="F33" s="17"/>
      <c r="G33" s="17"/>
      <c r="H33" s="17"/>
      <c r="I33" s="17"/>
      <c r="K33" s="17"/>
      <c r="L33" s="17"/>
      <c r="M33" s="17"/>
      <c r="N33" s="17"/>
      <c r="O33" s="698"/>
      <c r="P33" s="69"/>
      <c r="Q33" s="69"/>
      <c r="R33" s="69"/>
      <c r="S33" s="736"/>
      <c r="T33" s="69"/>
      <c r="U33" s="69"/>
      <c r="V33" s="69"/>
      <c r="W33" s="736"/>
      <c r="X33" s="69"/>
      <c r="Y33" s="69"/>
      <c r="Z33" s="69"/>
      <c r="AA33" s="736"/>
      <c r="AB33" s="69"/>
      <c r="AC33" s="69"/>
      <c r="AD33" s="69"/>
      <c r="AE33" s="736"/>
      <c r="AF33" s="69"/>
      <c r="AG33" s="69"/>
      <c r="AH33" s="69"/>
      <c r="AI33" s="736"/>
      <c r="AJ33" s="736"/>
      <c r="AK33" s="736"/>
      <c r="AL33" s="736"/>
    </row>
    <row r="34" spans="2:38" x14ac:dyDescent="0.2">
      <c r="B34" s="14" t="s">
        <v>32</v>
      </c>
      <c r="C34" s="159"/>
      <c r="D34" s="478"/>
      <c r="E34" s="159"/>
      <c r="F34" s="159"/>
      <c r="G34" s="159"/>
      <c r="H34" s="159"/>
      <c r="I34" s="159"/>
      <c r="K34" s="159"/>
      <c r="L34" s="159"/>
      <c r="M34" s="159"/>
      <c r="N34" s="159"/>
      <c r="O34" s="699"/>
      <c r="P34" s="159"/>
      <c r="Q34" s="159"/>
      <c r="R34" s="159"/>
      <c r="S34" s="699"/>
      <c r="T34" s="159"/>
      <c r="U34" s="159"/>
      <c r="V34" s="159"/>
      <c r="W34" s="699"/>
      <c r="X34" s="159"/>
      <c r="Y34" s="159"/>
      <c r="Z34" s="159"/>
      <c r="AA34" s="699"/>
      <c r="AB34" s="159"/>
      <c r="AC34" s="159"/>
      <c r="AD34" s="159"/>
      <c r="AE34" s="699"/>
      <c r="AF34" s="159"/>
      <c r="AG34" s="159"/>
      <c r="AH34" s="159"/>
      <c r="AI34" s="699"/>
      <c r="AJ34" s="699"/>
      <c r="AK34" s="699"/>
      <c r="AL34" s="699"/>
    </row>
    <row r="35" spans="2:38" x14ac:dyDescent="0.2">
      <c r="B35" s="10" t="s">
        <v>33</v>
      </c>
      <c r="C35" s="60"/>
      <c r="D35" s="479">
        <f t="shared" ref="D35:H35" si="105">+D32/D42</f>
        <v>4.0602064885914038</v>
      </c>
      <c r="E35" s="60">
        <f t="shared" si="105"/>
        <v>2.6778387170007658</v>
      </c>
      <c r="F35" s="60">
        <f t="shared" si="105"/>
        <v>2.4247186829998069</v>
      </c>
      <c r="G35" s="60">
        <f t="shared" si="105"/>
        <v>2.0723913769142261</v>
      </c>
      <c r="H35" s="60">
        <f t="shared" si="105"/>
        <v>7.0178454824198022</v>
      </c>
      <c r="I35" s="60">
        <f t="shared" ref="I35" si="106">+I32/I42</f>
        <v>9.6981225395253077</v>
      </c>
      <c r="K35" s="60"/>
      <c r="L35" s="60"/>
      <c r="M35" s="60"/>
      <c r="N35" s="60"/>
      <c r="O35" s="700"/>
      <c r="P35" s="60">
        <f>+P32/P42</f>
        <v>8.8958730010419387E-2</v>
      </c>
      <c r="Q35" s="60">
        <f t="shared" ref="Q35" si="107">+Q32/Q42</f>
        <v>1.0117480133938157</v>
      </c>
      <c r="R35" s="60">
        <f>+R32/R42</f>
        <v>0.6040696826918206</v>
      </c>
      <c r="S35" s="700">
        <f t="shared" ref="S35:AG35" si="108">+S32/S42</f>
        <v>0.75028948508465765</v>
      </c>
      <c r="T35" s="60">
        <f t="shared" si="108"/>
        <v>0.78392813871506772</v>
      </c>
      <c r="U35" s="60">
        <f t="shared" si="108"/>
        <v>0.5536017397688564</v>
      </c>
      <c r="V35" s="60">
        <f t="shared" si="108"/>
        <v>0.33779665278033189</v>
      </c>
      <c r="W35" s="700">
        <f t="shared" si="108"/>
        <v>0.57016919596560844</v>
      </c>
      <c r="X35" s="60">
        <f t="shared" si="108"/>
        <v>-8.6129004664368874E-2</v>
      </c>
      <c r="Y35" s="60">
        <f t="shared" si="108"/>
        <v>0.40514456104644037</v>
      </c>
      <c r="Z35" s="60">
        <f t="shared" si="108"/>
        <v>1.1903344532921836</v>
      </c>
      <c r="AA35" s="700">
        <f t="shared" si="108"/>
        <v>1.5906745644303808</v>
      </c>
      <c r="AB35" s="60">
        <f t="shared" si="108"/>
        <v>1.8615701080239797</v>
      </c>
      <c r="AC35" s="60">
        <f t="shared" si="108"/>
        <v>1.828680513449743</v>
      </c>
      <c r="AD35" s="60">
        <f t="shared" si="108"/>
        <v>1.7402373958755115</v>
      </c>
      <c r="AE35" s="700">
        <f t="shared" si="108"/>
        <v>2.0028710118241211</v>
      </c>
      <c r="AF35" s="60">
        <f t="shared" si="108"/>
        <v>2.4999447405377095</v>
      </c>
      <c r="AG35" s="60">
        <f t="shared" si="108"/>
        <v>2.6213369777486837</v>
      </c>
      <c r="AH35" s="60">
        <f t="shared" ref="AH35:AK35" si="109">+AH32/AH42</f>
        <v>2.5816689002447291</v>
      </c>
      <c r="AI35" s="700">
        <f t="shared" si="109"/>
        <v>2.5891291375591114</v>
      </c>
      <c r="AJ35" s="700">
        <f t="shared" si="109"/>
        <v>2.8443789305446847</v>
      </c>
      <c r="AK35" s="700">
        <f t="shared" si="109"/>
        <v>2.4151191169495858</v>
      </c>
      <c r="AL35" s="700">
        <f>+AL32/AL42</f>
        <v>2.9941634270362245</v>
      </c>
    </row>
    <row r="36" spans="2:38" x14ac:dyDescent="0.2">
      <c r="B36" s="29" t="s">
        <v>186</v>
      </c>
      <c r="C36" s="60"/>
      <c r="D36" s="480"/>
      <c r="E36" s="71">
        <f>+E30/E42</f>
        <v>2.3981688771051246</v>
      </c>
      <c r="F36" s="71">
        <f>+F30/F42</f>
        <v>2.4247186829998069</v>
      </c>
      <c r="G36" s="71"/>
      <c r="H36" s="71"/>
      <c r="I36" s="71"/>
      <c r="K36" s="60"/>
      <c r="L36" s="60"/>
      <c r="M36" s="60"/>
      <c r="N36" s="60"/>
      <c r="O36" s="700"/>
      <c r="P36" s="60">
        <f>+P30/P42</f>
        <v>-0.16983030274716429</v>
      </c>
      <c r="Q36" s="60"/>
      <c r="R36" s="60"/>
      <c r="S36" s="700"/>
      <c r="T36" s="60"/>
      <c r="U36" s="60"/>
      <c r="V36" s="60"/>
      <c r="W36" s="700"/>
      <c r="X36" s="60"/>
      <c r="Y36" s="60"/>
      <c r="Z36" s="60"/>
      <c r="AA36" s="700"/>
      <c r="AB36" s="60"/>
      <c r="AC36" s="60"/>
      <c r="AD36" s="60"/>
      <c r="AE36" s="700"/>
      <c r="AF36" s="60"/>
      <c r="AG36" s="60"/>
      <c r="AH36" s="60"/>
      <c r="AI36" s="700"/>
      <c r="AJ36" s="700"/>
      <c r="AK36" s="700"/>
      <c r="AL36" s="700"/>
    </row>
    <row r="37" spans="2:38" x14ac:dyDescent="0.2">
      <c r="B37" s="29" t="s">
        <v>187</v>
      </c>
      <c r="C37" s="60"/>
      <c r="D37" s="480"/>
      <c r="E37" s="71">
        <f>+E31/E42</f>
        <v>0.27966983989564131</v>
      </c>
      <c r="F37" s="71">
        <f>+F31/F42</f>
        <v>0</v>
      </c>
      <c r="G37" s="71"/>
      <c r="H37" s="71"/>
      <c r="I37" s="71"/>
      <c r="K37" s="60"/>
      <c r="L37" s="60"/>
      <c r="M37" s="60"/>
      <c r="N37" s="60"/>
      <c r="O37" s="700"/>
      <c r="P37" s="60">
        <f>+P31/P42</f>
        <v>0.25878903275758369</v>
      </c>
      <c r="Q37" s="60"/>
      <c r="R37" s="60"/>
      <c r="S37" s="700"/>
      <c r="T37" s="60"/>
      <c r="U37" s="60"/>
      <c r="V37" s="60"/>
      <c r="W37" s="700"/>
      <c r="X37" s="60"/>
      <c r="Y37" s="60"/>
      <c r="Z37" s="60"/>
      <c r="AA37" s="700"/>
      <c r="AB37" s="60"/>
      <c r="AC37" s="60"/>
      <c r="AD37" s="60"/>
      <c r="AE37" s="700"/>
      <c r="AF37" s="60"/>
      <c r="AG37" s="60"/>
      <c r="AH37" s="60"/>
      <c r="AI37" s="700"/>
      <c r="AJ37" s="700"/>
      <c r="AK37" s="700"/>
      <c r="AL37" s="700"/>
    </row>
    <row r="38" spans="2:38" x14ac:dyDescent="0.2">
      <c r="B38" s="10" t="s">
        <v>34</v>
      </c>
      <c r="C38" s="60"/>
      <c r="D38" s="479">
        <f t="shared" ref="D38:H38" si="110">+D32/D43</f>
        <v>4.0165223561724837</v>
      </c>
      <c r="E38" s="60">
        <f t="shared" si="110"/>
        <v>2.6533894936036284</v>
      </c>
      <c r="F38" s="60">
        <f t="shared" si="110"/>
        <v>2.4100035690527064</v>
      </c>
      <c r="G38" s="60">
        <f t="shared" si="110"/>
        <v>2.0631256400125402</v>
      </c>
      <c r="H38" s="60">
        <f t="shared" si="110"/>
        <v>6.9291803542625559</v>
      </c>
      <c r="I38" s="60">
        <f t="shared" ref="I38" si="111">+I32/I43</f>
        <v>9.6649042594277219</v>
      </c>
      <c r="K38" s="60"/>
      <c r="L38" s="60"/>
      <c r="M38" s="60"/>
      <c r="N38" s="60"/>
      <c r="O38" s="700"/>
      <c r="P38" s="60">
        <f>+P32/P43</f>
        <v>8.8958730010419387E-2</v>
      </c>
      <c r="Q38" s="60">
        <f t="shared" ref="Q38" si="112">+Q32/Q43</f>
        <v>1.0025614204091773</v>
      </c>
      <c r="R38" s="60">
        <f>+R32/R43</f>
        <v>0.59924883008590979</v>
      </c>
      <c r="S38" s="700">
        <f t="shared" ref="S38:AG38" si="113">+S32/S43</f>
        <v>0.74474157133817565</v>
      </c>
      <c r="T38" s="60">
        <f t="shared" si="113"/>
        <v>0.78007965493857634</v>
      </c>
      <c r="U38" s="60">
        <f t="shared" si="113"/>
        <v>0.55118557964197101</v>
      </c>
      <c r="V38" s="60">
        <f t="shared" si="113"/>
        <v>0.33644554229867102</v>
      </c>
      <c r="W38" s="700">
        <f t="shared" si="113"/>
        <v>0.5679606806667663</v>
      </c>
      <c r="X38" s="60">
        <f t="shared" si="113"/>
        <v>-8.6129004664368874E-2</v>
      </c>
      <c r="Y38" s="60">
        <f t="shared" si="113"/>
        <v>0.40342745901887583</v>
      </c>
      <c r="Z38" s="60">
        <f t="shared" si="113"/>
        <v>1.1845565194545831</v>
      </c>
      <c r="AA38" s="700">
        <f t="shared" si="113"/>
        <v>1.5841846786708962</v>
      </c>
      <c r="AB38" s="60">
        <f t="shared" si="113"/>
        <v>1.857748027853463</v>
      </c>
      <c r="AC38" s="60">
        <f t="shared" si="113"/>
        <v>1.8239248793905405</v>
      </c>
      <c r="AD38" s="60">
        <f t="shared" si="113"/>
        <v>1.6713497307983793</v>
      </c>
      <c r="AE38" s="700">
        <f t="shared" si="113"/>
        <v>1.9964813168929361</v>
      </c>
      <c r="AF38" s="60">
        <f t="shared" si="113"/>
        <v>2.4947815290090896</v>
      </c>
      <c r="AG38" s="60">
        <f t="shared" si="113"/>
        <v>2.6130791843349952</v>
      </c>
      <c r="AH38" s="60">
        <f t="shared" ref="AH38:AK38" si="114">+AH32/AH43</f>
        <v>2.5718325158891795</v>
      </c>
      <c r="AI38" s="700">
        <f t="shared" si="114"/>
        <v>2.5798159565936118</v>
      </c>
      <c r="AJ38" s="700">
        <f t="shared" si="114"/>
        <v>2.8391493272054089</v>
      </c>
      <c r="AK38" s="700">
        <f t="shared" si="114"/>
        <v>2.4089590383125925</v>
      </c>
      <c r="AL38" s="700">
        <f>+AL32/AL43</f>
        <v>2.9923976027870465</v>
      </c>
    </row>
    <row r="39" spans="2:38" x14ac:dyDescent="0.2">
      <c r="B39" s="29" t="s">
        <v>188</v>
      </c>
      <c r="C39" s="18"/>
      <c r="D39" s="480"/>
      <c r="E39" s="71">
        <f>+E30/E43</f>
        <v>2.3762730974048161</v>
      </c>
      <c r="F39" s="71">
        <f>+F30/F43</f>
        <v>2.4100035690527064</v>
      </c>
      <c r="G39" s="71"/>
      <c r="H39" s="71"/>
      <c r="I39" s="71"/>
      <c r="K39" s="18"/>
      <c r="L39" s="18"/>
      <c r="M39" s="60"/>
      <c r="N39" s="60"/>
      <c r="O39" s="700"/>
      <c r="P39" s="60">
        <f>+P30/P43</f>
        <v>-0.16983030274716429</v>
      </c>
      <c r="Q39" s="60"/>
      <c r="R39" s="18"/>
      <c r="S39" s="737"/>
      <c r="T39" s="18"/>
      <c r="U39" s="18"/>
      <c r="V39" s="18"/>
      <c r="W39" s="737"/>
      <c r="X39" s="18"/>
      <c r="Y39" s="18"/>
      <c r="Z39" s="18"/>
      <c r="AA39" s="737"/>
      <c r="AB39" s="18"/>
      <c r="AC39" s="18"/>
      <c r="AD39" s="18"/>
      <c r="AE39" s="737"/>
      <c r="AF39" s="18"/>
      <c r="AG39" s="18"/>
      <c r="AH39" s="18"/>
      <c r="AI39" s="737"/>
      <c r="AJ39" s="737"/>
      <c r="AK39" s="737"/>
      <c r="AL39" s="737"/>
    </row>
    <row r="40" spans="2:38" x14ac:dyDescent="0.2">
      <c r="B40" s="29" t="s">
        <v>189</v>
      </c>
      <c r="C40" s="18"/>
      <c r="D40" s="480"/>
      <c r="E40" s="71">
        <f>+E31/E43</f>
        <v>0.2771163961988124</v>
      </c>
      <c r="F40" s="71">
        <f>+F31/F43</f>
        <v>0</v>
      </c>
      <c r="G40" s="71"/>
      <c r="H40" s="71"/>
      <c r="I40" s="71"/>
      <c r="K40" s="18"/>
      <c r="L40" s="18"/>
      <c r="M40" s="60"/>
      <c r="N40" s="60"/>
      <c r="O40" s="700"/>
      <c r="P40" s="60">
        <f>+P31/P43</f>
        <v>0.25878903275758369</v>
      </c>
      <c r="Q40" s="60"/>
      <c r="R40" s="18"/>
      <c r="S40" s="737"/>
      <c r="T40" s="18"/>
      <c r="U40" s="18"/>
      <c r="V40" s="18"/>
      <c r="W40" s="737"/>
      <c r="X40" s="18"/>
      <c r="Y40" s="18"/>
      <c r="Z40" s="18"/>
      <c r="AA40" s="737"/>
      <c r="AB40" s="18"/>
      <c r="AC40" s="18"/>
      <c r="AD40" s="18"/>
      <c r="AE40" s="737"/>
      <c r="AF40" s="18"/>
      <c r="AG40" s="18"/>
      <c r="AH40" s="18"/>
      <c r="AI40" s="737"/>
      <c r="AJ40" s="737"/>
      <c r="AK40" s="737"/>
      <c r="AL40" s="737"/>
    </row>
    <row r="41" spans="2:38" x14ac:dyDescent="0.2">
      <c r="B41" s="14" t="s">
        <v>35</v>
      </c>
      <c r="C41" s="15"/>
      <c r="D41" s="481"/>
      <c r="E41" s="72"/>
      <c r="F41" s="72"/>
      <c r="G41" s="72"/>
      <c r="H41" s="72"/>
      <c r="I41" s="72"/>
      <c r="K41" s="15"/>
      <c r="L41" s="15"/>
      <c r="M41" s="15"/>
      <c r="N41" s="15"/>
      <c r="O41" s="701"/>
      <c r="P41" s="15"/>
      <c r="Q41" s="15"/>
      <c r="R41" s="15"/>
      <c r="S41" s="701"/>
      <c r="T41" s="15"/>
      <c r="U41" s="15"/>
      <c r="V41" s="15"/>
      <c r="W41" s="701"/>
      <c r="X41" s="15"/>
      <c r="Y41" s="15"/>
      <c r="Z41" s="15"/>
      <c r="AA41" s="701"/>
      <c r="AB41" s="15"/>
      <c r="AC41" s="15"/>
      <c r="AD41" s="15"/>
      <c r="AE41" s="701"/>
      <c r="AF41" s="15"/>
      <c r="AG41" s="15"/>
      <c r="AH41" s="15"/>
      <c r="AI41" s="701"/>
      <c r="AJ41" s="701"/>
      <c r="AK41" s="701"/>
      <c r="AL41" s="701"/>
    </row>
    <row r="42" spans="2:38" x14ac:dyDescent="0.2">
      <c r="B42" s="10" t="s">
        <v>33</v>
      </c>
      <c r="C42" s="93"/>
      <c r="D42" s="482">
        <v>854.14375099999995</v>
      </c>
      <c r="E42" s="83">
        <v>1144.206326</v>
      </c>
      <c r="F42" s="83">
        <v>1247.154988</v>
      </c>
      <c r="G42" s="83">
        <v>1249.7639340000001</v>
      </c>
      <c r="H42" s="83">
        <v>1185.121562</v>
      </c>
      <c r="I42" s="83">
        <v>1169.195373</v>
      </c>
      <c r="K42" s="93"/>
      <c r="L42" s="93"/>
      <c r="M42" s="93"/>
      <c r="N42" s="93"/>
      <c r="O42" s="702"/>
      <c r="P42" s="93">
        <v>1236.528444</v>
      </c>
      <c r="Q42" s="93">
        <v>1238.4506650000001</v>
      </c>
      <c r="R42" s="93">
        <v>1241.5786149999999</v>
      </c>
      <c r="S42" s="702">
        <v>1243.5200259999999</v>
      </c>
      <c r="T42" s="93">
        <v>1247.5633310000001</v>
      </c>
      <c r="U42" s="93">
        <v>1248.189719</v>
      </c>
      <c r="V42" s="93">
        <v>1249.2722960000001</v>
      </c>
      <c r="W42" s="702">
        <v>1250.505999</v>
      </c>
      <c r="X42" s="93">
        <v>1253.932986</v>
      </c>
      <c r="Y42" s="93">
        <v>1253.873429</v>
      </c>
      <c r="Z42" s="93">
        <v>1240.827732</v>
      </c>
      <c r="AA42" s="702">
        <v>1219.6083619999999</v>
      </c>
      <c r="AB42" s="93">
        <v>1193.0788910000001</v>
      </c>
      <c r="AC42" s="93">
        <v>1171.3363730000001</v>
      </c>
      <c r="AD42" s="93">
        <v>1157.313367</v>
      </c>
      <c r="AE42" s="702">
        <v>1185.298497</v>
      </c>
      <c r="AF42" s="93">
        <v>1170.025862</v>
      </c>
      <c r="AG42" s="93">
        <v>1166.961755</v>
      </c>
      <c r="AH42" s="93">
        <v>1154.6794400000001</v>
      </c>
      <c r="AI42" s="702">
        <v>1140.5379350000001</v>
      </c>
      <c r="AJ42" s="702">
        <f>1132760465/1000000</f>
        <v>1132.7604650000001</v>
      </c>
      <c r="AK42" s="702">
        <f>1123754096/1000000</f>
        <v>1123.7540959999999</v>
      </c>
      <c r="AL42" s="702">
        <f>1081771279/1000000</f>
        <v>1081.771279</v>
      </c>
    </row>
    <row r="43" spans="2:38" x14ac:dyDescent="0.2">
      <c r="B43" s="10" t="s">
        <v>34</v>
      </c>
      <c r="C43" s="93"/>
      <c r="D43" s="482">
        <v>863.43351099999995</v>
      </c>
      <c r="E43" s="83">
        <v>1154.7494280000001</v>
      </c>
      <c r="F43" s="83">
        <v>1254.7699259999999</v>
      </c>
      <c r="G43" s="83">
        <v>1255.376769</v>
      </c>
      <c r="H43" s="83">
        <v>1200.2862640000001</v>
      </c>
      <c r="I43" s="83">
        <v>1173.213898</v>
      </c>
      <c r="K43" s="93"/>
      <c r="L43" s="93"/>
      <c r="M43" s="93"/>
      <c r="N43" s="93"/>
      <c r="O43" s="702"/>
      <c r="P43" s="93">
        <v>1236.528444</v>
      </c>
      <c r="Q43" s="93">
        <v>1249.79874</v>
      </c>
      <c r="R43" s="93">
        <v>1251.5668989999999</v>
      </c>
      <c r="S43" s="702">
        <v>1252.7835640000001</v>
      </c>
      <c r="T43" s="93">
        <v>1253.718122</v>
      </c>
      <c r="U43" s="93">
        <v>1253.661245</v>
      </c>
      <c r="V43" s="93">
        <v>1254.28917</v>
      </c>
      <c r="W43" s="702">
        <v>1255.368592</v>
      </c>
      <c r="X43" s="93">
        <v>1253.932986</v>
      </c>
      <c r="Y43" s="93">
        <v>1259.2102709999999</v>
      </c>
      <c r="Z43" s="93">
        <v>1246.8801410000001</v>
      </c>
      <c r="AA43" s="702">
        <v>1224.6046980000001</v>
      </c>
      <c r="AB43" s="93">
        <v>1195.5334989999999</v>
      </c>
      <c r="AC43" s="93">
        <v>1174.390472</v>
      </c>
      <c r="AD43" s="93">
        <v>1205.014105</v>
      </c>
      <c r="AE43" s="702">
        <v>1189.0920189999999</v>
      </c>
      <c r="AF43" s="93">
        <v>1172.447353</v>
      </c>
      <c r="AG43" s="93">
        <v>1170.6495609999999</v>
      </c>
      <c r="AH43" s="93">
        <v>1159.0956960000001</v>
      </c>
      <c r="AI43" s="702">
        <v>1144.655297</v>
      </c>
      <c r="AJ43" s="702">
        <f>1134846966/1000000</f>
        <v>1134.8469660000001</v>
      </c>
      <c r="AK43" s="702">
        <f>1126627708/1000000</f>
        <v>1126.627708</v>
      </c>
      <c r="AL43" s="702">
        <f>1082409636/1000000</f>
        <v>1082.4096360000001</v>
      </c>
    </row>
    <row r="44" spans="2:38" x14ac:dyDescent="0.2">
      <c r="B44" s="10"/>
      <c r="C44" s="19"/>
      <c r="D44" s="481"/>
      <c r="E44" s="72"/>
      <c r="F44" s="72"/>
      <c r="G44" s="83"/>
      <c r="H44" s="83"/>
      <c r="I44" s="83"/>
      <c r="K44" s="19"/>
      <c r="L44" s="19"/>
      <c r="M44" s="19"/>
      <c r="N44" s="19"/>
      <c r="O44" s="703"/>
      <c r="P44" s="19"/>
      <c r="Q44" s="19"/>
      <c r="R44" s="19"/>
      <c r="S44" s="703"/>
      <c r="T44" s="19"/>
      <c r="U44" s="19"/>
      <c r="V44" s="19"/>
      <c r="W44" s="703"/>
      <c r="X44" s="19"/>
      <c r="Y44" s="19"/>
      <c r="Z44" s="19"/>
      <c r="AA44" s="703"/>
      <c r="AB44" s="19"/>
      <c r="AC44" s="19"/>
      <c r="AD44" s="19"/>
      <c r="AE44" s="703"/>
      <c r="AF44" s="19"/>
      <c r="AG44" s="19"/>
      <c r="AH44" s="19"/>
      <c r="AI44" s="703"/>
      <c r="AJ44" s="703"/>
      <c r="AK44" s="703"/>
      <c r="AL44" s="703"/>
    </row>
    <row r="45" spans="2:38" x14ac:dyDescent="0.2">
      <c r="B45" s="14" t="s">
        <v>130</v>
      </c>
      <c r="C45" s="19"/>
      <c r="D45" s="481"/>
      <c r="E45" s="72"/>
      <c r="F45" s="72"/>
      <c r="G45" s="72"/>
      <c r="H45" s="72"/>
      <c r="I45" s="72"/>
      <c r="K45" s="19"/>
      <c r="L45" s="19"/>
      <c r="M45" s="19"/>
      <c r="N45" s="19"/>
      <c r="O45" s="703"/>
      <c r="P45" s="19"/>
      <c r="Q45" s="19"/>
      <c r="R45" s="19"/>
      <c r="S45" s="703"/>
      <c r="T45" s="19"/>
      <c r="U45" s="19"/>
      <c r="V45" s="19"/>
      <c r="W45" s="703"/>
      <c r="X45" s="19"/>
      <c r="Y45" s="19"/>
      <c r="Z45" s="19"/>
      <c r="AA45" s="703"/>
      <c r="AB45" s="19"/>
      <c r="AC45" s="19"/>
      <c r="AD45" s="19"/>
      <c r="AE45" s="703"/>
      <c r="AF45" s="19"/>
      <c r="AG45" s="19"/>
      <c r="AH45" s="19"/>
      <c r="AI45" s="703"/>
      <c r="AJ45" s="703"/>
      <c r="AK45" s="703"/>
      <c r="AL45" s="703"/>
    </row>
    <row r="46" spans="2:38" x14ac:dyDescent="0.2">
      <c r="B46" s="10" t="s">
        <v>24</v>
      </c>
      <c r="C46" s="94"/>
      <c r="D46" s="467">
        <f t="shared" ref="D46:H46" si="115">+D23</f>
        <v>5722</v>
      </c>
      <c r="E46" s="94">
        <f t="shared" si="115"/>
        <v>6636</v>
      </c>
      <c r="F46" s="94">
        <f t="shared" si="115"/>
        <v>6892</v>
      </c>
      <c r="G46" s="94">
        <f t="shared" si="115"/>
        <v>6543</v>
      </c>
      <c r="H46" s="94">
        <f t="shared" si="115"/>
        <v>14266</v>
      </c>
      <c r="I46" s="94">
        <f t="shared" ref="I46" si="116">+I23</f>
        <v>18010</v>
      </c>
      <c r="K46" s="94">
        <f t="shared" ref="K46:L46" si="117">+K23</f>
        <v>-372</v>
      </c>
      <c r="L46" s="94">
        <f t="shared" si="117"/>
        <v>1812</v>
      </c>
      <c r="M46" s="94">
        <f t="shared" ref="M46:AF46" si="118">+M23</f>
        <v>1484</v>
      </c>
      <c r="N46" s="94">
        <f t="shared" si="118"/>
        <v>1497</v>
      </c>
      <c r="O46" s="704">
        <f t="shared" si="118"/>
        <v>1646</v>
      </c>
      <c r="P46" s="94">
        <f t="shared" si="118"/>
        <v>820</v>
      </c>
      <c r="Q46" s="94">
        <f t="shared" si="118"/>
        <v>2565</v>
      </c>
      <c r="R46" s="94">
        <f t="shared" si="118"/>
        <v>1712</v>
      </c>
      <c r="S46" s="704">
        <f t="shared" si="118"/>
        <v>2139</v>
      </c>
      <c r="T46" s="94">
        <f t="shared" si="118"/>
        <v>2106</v>
      </c>
      <c r="U46" s="94">
        <f t="shared" si="118"/>
        <v>1584</v>
      </c>
      <c r="V46" s="94">
        <f t="shared" si="118"/>
        <v>1063</v>
      </c>
      <c r="W46" s="704">
        <f t="shared" si="118"/>
        <v>1806</v>
      </c>
      <c r="X46" s="94">
        <f t="shared" si="118"/>
        <v>709</v>
      </c>
      <c r="Y46" s="94">
        <f t="shared" si="118"/>
        <v>1281</v>
      </c>
      <c r="Z46" s="94">
        <f t="shared" si="118"/>
        <v>2747</v>
      </c>
      <c r="AA46" s="704">
        <f t="shared" si="118"/>
        <v>3397</v>
      </c>
      <c r="AB46" s="94">
        <f t="shared" si="118"/>
        <v>3793</v>
      </c>
      <c r="AC46" s="94">
        <f t="shared" si="118"/>
        <v>3596</v>
      </c>
      <c r="AD46" s="94">
        <f t="shared" si="118"/>
        <v>3480</v>
      </c>
      <c r="AE46" s="704">
        <f t="shared" si="118"/>
        <v>3998</v>
      </c>
      <c r="AF46" s="94">
        <f t="shared" si="118"/>
        <v>4630</v>
      </c>
      <c r="AG46" s="94">
        <f t="shared" ref="AG46:AI46" si="119">+AG23</f>
        <v>4796</v>
      </c>
      <c r="AH46" s="94">
        <f t="shared" si="119"/>
        <v>4586</v>
      </c>
      <c r="AI46" s="704">
        <f t="shared" si="119"/>
        <v>4800</v>
      </c>
      <c r="AJ46" s="704">
        <f t="shared" ref="AJ46:AK46" si="120">+AJ23</f>
        <v>5213</v>
      </c>
      <c r="AK46" s="704">
        <f t="shared" si="120"/>
        <v>4530</v>
      </c>
      <c r="AL46" s="704">
        <f>+AL23</f>
        <v>5490</v>
      </c>
    </row>
    <row r="47" spans="2:38" x14ac:dyDescent="0.2">
      <c r="B47" s="29" t="s">
        <v>22</v>
      </c>
      <c r="C47" s="70"/>
      <c r="D47" s="483">
        <f t="shared" ref="D47:H47" si="121">+D21</f>
        <v>6616</v>
      </c>
      <c r="E47" s="70">
        <f t="shared" si="121"/>
        <v>14151</v>
      </c>
      <c r="F47" s="70">
        <f t="shared" si="121"/>
        <v>16383</v>
      </c>
      <c r="G47" s="70">
        <f t="shared" si="121"/>
        <v>13651</v>
      </c>
      <c r="H47" s="70">
        <f t="shared" si="121"/>
        <v>12818</v>
      </c>
      <c r="I47" s="70">
        <f t="shared" ref="I47" si="122">+I21</f>
        <v>12919</v>
      </c>
      <c r="K47" s="70">
        <f t="shared" ref="K47:L47" si="123">+K21</f>
        <v>4015</v>
      </c>
      <c r="L47" s="70">
        <f t="shared" si="123"/>
        <v>3972</v>
      </c>
      <c r="M47" s="70">
        <f t="shared" ref="M47:AF47" si="124">+M21</f>
        <v>4084</v>
      </c>
      <c r="N47" s="70">
        <f t="shared" si="124"/>
        <v>4122</v>
      </c>
      <c r="O47" s="704">
        <f t="shared" si="124"/>
        <v>4014</v>
      </c>
      <c r="P47" s="70">
        <f t="shared" si="124"/>
        <v>4064</v>
      </c>
      <c r="Q47" s="70">
        <f t="shared" si="124"/>
        <v>4150</v>
      </c>
      <c r="R47" s="70">
        <f t="shared" si="124"/>
        <v>4219</v>
      </c>
      <c r="S47" s="704">
        <f t="shared" si="124"/>
        <v>4289</v>
      </c>
      <c r="T47" s="70">
        <f t="shared" si="124"/>
        <v>4077</v>
      </c>
      <c r="U47" s="70">
        <f t="shared" si="124"/>
        <v>4145</v>
      </c>
      <c r="V47" s="70">
        <f t="shared" si="124"/>
        <v>3872</v>
      </c>
      <c r="W47" s="704">
        <f t="shared" si="124"/>
        <v>3585</v>
      </c>
      <c r="X47" s="70">
        <f t="shared" si="124"/>
        <v>3491</v>
      </c>
      <c r="Y47" s="70">
        <f t="shared" si="124"/>
        <v>3313</v>
      </c>
      <c r="Z47" s="70">
        <f t="shared" si="124"/>
        <v>3262</v>
      </c>
      <c r="AA47" s="704">
        <f t="shared" si="124"/>
        <v>3203</v>
      </c>
      <c r="AB47" s="70">
        <f t="shared" si="124"/>
        <v>3110</v>
      </c>
      <c r="AC47" s="70">
        <f t="shared" si="124"/>
        <v>3187</v>
      </c>
      <c r="AD47" s="70">
        <f t="shared" si="124"/>
        <v>3318</v>
      </c>
      <c r="AE47" s="704">
        <f t="shared" si="124"/>
        <v>3371</v>
      </c>
      <c r="AF47" s="70">
        <f t="shared" si="124"/>
        <v>3248</v>
      </c>
      <c r="AG47" s="70">
        <f t="shared" ref="AG47:AI47" si="125">+AG21</f>
        <v>3151</v>
      </c>
      <c r="AH47" s="70">
        <f t="shared" si="125"/>
        <v>3149</v>
      </c>
      <c r="AI47" s="704">
        <f t="shared" si="125"/>
        <v>3198</v>
      </c>
      <c r="AJ47" s="704">
        <f t="shared" ref="AJ47:AK47" si="126">+AJ21</f>
        <v>3146</v>
      </c>
      <c r="AK47" s="704">
        <f t="shared" si="126"/>
        <v>3408</v>
      </c>
      <c r="AL47" s="704">
        <f>+AL21</f>
        <v>3434</v>
      </c>
    </row>
    <row r="48" spans="2:38" x14ac:dyDescent="0.2">
      <c r="B48" s="29" t="s">
        <v>203</v>
      </c>
      <c r="C48" s="95"/>
      <c r="D48" s="484"/>
      <c r="E48" s="302">
        <f t="shared" ref="E48:H50" si="127">SUMIFS($K48:$AF48,$K$3:$AF$3,E$4)</f>
        <v>914</v>
      </c>
      <c r="F48" s="302">
        <f t="shared" si="127"/>
        <v>0</v>
      </c>
      <c r="G48" s="302">
        <f t="shared" si="127"/>
        <v>0</v>
      </c>
      <c r="H48" s="302">
        <f t="shared" si="127"/>
        <v>0</v>
      </c>
      <c r="I48" s="302">
        <f t="shared" ref="I48:I55" si="128">SUMIFS($K48:$AZ48,$K$3:$AZ$3,I$4)</f>
        <v>0</v>
      </c>
      <c r="K48" s="95">
        <v>571</v>
      </c>
      <c r="L48" s="95">
        <v>572</v>
      </c>
      <c r="M48" s="95">
        <v>531</v>
      </c>
      <c r="N48" s="95">
        <v>480</v>
      </c>
      <c r="O48" s="705">
        <v>482</v>
      </c>
      <c r="P48" s="95">
        <v>432</v>
      </c>
      <c r="Q48" s="70"/>
      <c r="R48" s="70"/>
      <c r="S48" s="704"/>
      <c r="T48" s="70"/>
      <c r="U48" s="70"/>
      <c r="V48" s="70"/>
      <c r="W48" s="704"/>
      <c r="X48" s="70"/>
      <c r="Y48" s="70"/>
      <c r="Z48" s="70"/>
      <c r="AA48" s="704"/>
      <c r="AB48" s="70"/>
      <c r="AC48" s="70"/>
      <c r="AD48" s="70"/>
      <c r="AE48" s="704"/>
      <c r="AF48" s="70"/>
      <c r="AG48" s="70"/>
      <c r="AH48" s="70"/>
      <c r="AI48" s="704"/>
      <c r="AJ48" s="704"/>
      <c r="AK48" s="704"/>
      <c r="AL48" s="704"/>
    </row>
    <row r="49" spans="2:38" x14ac:dyDescent="0.2">
      <c r="B49" s="29" t="s">
        <v>236</v>
      </c>
      <c r="C49" s="95"/>
      <c r="D49" s="466">
        <v>423</v>
      </c>
      <c r="E49" s="302">
        <f t="shared" si="127"/>
        <v>517</v>
      </c>
      <c r="F49" s="302">
        <f t="shared" si="127"/>
        <v>521</v>
      </c>
      <c r="G49" s="302">
        <f t="shared" si="127"/>
        <v>576</v>
      </c>
      <c r="H49" s="302">
        <f t="shared" si="127"/>
        <v>644</v>
      </c>
      <c r="I49" s="302">
        <f t="shared" si="128"/>
        <v>586</v>
      </c>
      <c r="K49" s="95">
        <v>183</v>
      </c>
      <c r="L49" s="95">
        <v>133</v>
      </c>
      <c r="M49" s="95">
        <v>117</v>
      </c>
      <c r="N49" s="95">
        <v>119</v>
      </c>
      <c r="O49" s="705">
        <v>124</v>
      </c>
      <c r="P49" s="95">
        <v>139</v>
      </c>
      <c r="Q49" s="95">
        <v>125</v>
      </c>
      <c r="R49" s="95">
        <v>129</v>
      </c>
      <c r="S49" s="705">
        <v>130</v>
      </c>
      <c r="T49" s="95">
        <v>129</v>
      </c>
      <c r="U49" s="95">
        <v>127</v>
      </c>
      <c r="V49" s="95">
        <v>135</v>
      </c>
      <c r="W49" s="705">
        <v>136</v>
      </c>
      <c r="X49" s="95">
        <v>149</v>
      </c>
      <c r="Y49" s="95">
        <v>145</v>
      </c>
      <c r="Z49" s="95">
        <v>146</v>
      </c>
      <c r="AA49" s="705">
        <v>173</v>
      </c>
      <c r="AB49" s="95">
        <v>155</v>
      </c>
      <c r="AC49" s="95">
        <v>152</v>
      </c>
      <c r="AD49" s="95">
        <v>164</v>
      </c>
      <c r="AE49" s="705">
        <v>140</v>
      </c>
      <c r="AF49" s="95">
        <v>147</v>
      </c>
      <c r="AG49" s="95">
        <v>143</v>
      </c>
      <c r="AH49" s="95">
        <v>156</v>
      </c>
      <c r="AI49" s="705">
        <v>168</v>
      </c>
      <c r="AJ49" s="705">
        <v>178</v>
      </c>
      <c r="AK49" s="705">
        <v>217</v>
      </c>
      <c r="AL49" s="705">
        <v>212</v>
      </c>
    </row>
    <row r="50" spans="2:38" x14ac:dyDescent="0.2">
      <c r="B50" s="29" t="s">
        <v>131</v>
      </c>
      <c r="C50" s="95"/>
      <c r="D50" s="466">
        <v>620</v>
      </c>
      <c r="E50" s="302">
        <f t="shared" si="127"/>
        <v>1908</v>
      </c>
      <c r="F50" s="302">
        <f t="shared" si="127"/>
        <v>3107</v>
      </c>
      <c r="G50" s="302">
        <f t="shared" si="127"/>
        <v>4969</v>
      </c>
      <c r="H50" s="302">
        <f t="shared" si="127"/>
        <v>1034</v>
      </c>
      <c r="I50" s="302">
        <f t="shared" si="128"/>
        <v>121</v>
      </c>
      <c r="K50" s="95">
        <v>123</v>
      </c>
      <c r="L50" s="95">
        <v>235</v>
      </c>
      <c r="M50" s="95">
        <v>165</v>
      </c>
      <c r="N50" s="95">
        <v>117</v>
      </c>
      <c r="O50" s="705">
        <v>136</v>
      </c>
      <c r="P50" s="95">
        <v>798</v>
      </c>
      <c r="Q50" s="95">
        <v>288</v>
      </c>
      <c r="R50" s="95">
        <v>686</v>
      </c>
      <c r="S50" s="705">
        <v>298</v>
      </c>
      <c r="T50" s="95">
        <v>611</v>
      </c>
      <c r="U50" s="95">
        <v>955</v>
      </c>
      <c r="V50" s="95">
        <v>1243</v>
      </c>
      <c r="W50" s="705">
        <v>1413</v>
      </c>
      <c r="X50" s="95">
        <v>1668</v>
      </c>
      <c r="Y50" s="95">
        <v>1296</v>
      </c>
      <c r="Z50" s="95">
        <v>592</v>
      </c>
      <c r="AA50" s="705">
        <v>358</v>
      </c>
      <c r="AB50" s="95">
        <v>276</v>
      </c>
      <c r="AC50" s="95">
        <v>152</v>
      </c>
      <c r="AD50" s="95">
        <v>248</v>
      </c>
      <c r="AE50" s="705">
        <v>130</v>
      </c>
      <c r="AF50" s="95">
        <v>-9</v>
      </c>
      <c r="AG50" s="95">
        <v>0</v>
      </c>
      <c r="AH50" s="95">
        <v>0</v>
      </c>
      <c r="AI50" s="705">
        <v>14</v>
      </c>
      <c r="AJ50" s="705">
        <v>33</v>
      </c>
      <c r="AK50" s="705">
        <v>73</v>
      </c>
      <c r="AL50" s="705">
        <v>182</v>
      </c>
    </row>
    <row r="51" spans="2:38" x14ac:dyDescent="0.2">
      <c r="B51" s="29" t="s">
        <v>1043</v>
      </c>
      <c r="C51" s="95"/>
      <c r="D51" s="466"/>
      <c r="E51" s="302"/>
      <c r="F51" s="302"/>
      <c r="G51" s="302"/>
      <c r="H51" s="302"/>
      <c r="I51" s="302"/>
      <c r="K51" s="95"/>
      <c r="L51" s="95"/>
      <c r="M51" s="95"/>
      <c r="N51" s="95"/>
      <c r="O51" s="705"/>
      <c r="P51" s="95"/>
      <c r="Q51" s="95"/>
      <c r="R51" s="95"/>
      <c r="S51" s="705"/>
      <c r="T51" s="95"/>
      <c r="U51" s="95"/>
      <c r="V51" s="95"/>
      <c r="W51" s="705"/>
      <c r="X51" s="95"/>
      <c r="Y51" s="95"/>
      <c r="Z51" s="95"/>
      <c r="AA51" s="705"/>
      <c r="AB51" s="95"/>
      <c r="AC51" s="95"/>
      <c r="AD51" s="95"/>
      <c r="AE51" s="705"/>
      <c r="AF51" s="95"/>
      <c r="AG51" s="95"/>
      <c r="AH51" s="95"/>
      <c r="AI51" s="705"/>
      <c r="AJ51" s="705"/>
      <c r="AK51" s="705"/>
      <c r="AL51" s="705">
        <v>52</v>
      </c>
    </row>
    <row r="52" spans="2:38" x14ac:dyDescent="0.2">
      <c r="B52" s="29" t="s">
        <v>20</v>
      </c>
      <c r="C52" s="73"/>
      <c r="D52" s="466"/>
      <c r="E52" s="73">
        <f t="shared" ref="E52:H52" si="129">+E19</f>
        <v>418</v>
      </c>
      <c r="F52" s="73">
        <f t="shared" si="129"/>
        <v>0</v>
      </c>
      <c r="G52" s="73">
        <f t="shared" si="129"/>
        <v>477</v>
      </c>
      <c r="H52" s="73">
        <f t="shared" si="129"/>
        <v>0</v>
      </c>
      <c r="I52" s="73">
        <f t="shared" si="128"/>
        <v>0</v>
      </c>
      <c r="K52" s="73">
        <f t="shared" ref="K52:O52" si="130">+K19</f>
        <v>2000</v>
      </c>
      <c r="L52" s="73">
        <f t="shared" si="130"/>
        <v>0</v>
      </c>
      <c r="M52" s="73">
        <f t="shared" si="130"/>
        <v>0</v>
      </c>
      <c r="N52" s="73">
        <f t="shared" si="130"/>
        <v>0</v>
      </c>
      <c r="O52" s="706">
        <f t="shared" si="130"/>
        <v>0</v>
      </c>
      <c r="P52" s="73">
        <f t="shared" ref="P52:AF52" si="131">+P19</f>
        <v>418</v>
      </c>
      <c r="Q52" s="73">
        <f t="shared" si="131"/>
        <v>0</v>
      </c>
      <c r="R52" s="73">
        <f t="shared" si="131"/>
        <v>0</v>
      </c>
      <c r="S52" s="706">
        <f t="shared" si="131"/>
        <v>0</v>
      </c>
      <c r="T52" s="73">
        <f t="shared" si="131"/>
        <v>0</v>
      </c>
      <c r="U52" s="73">
        <f t="shared" si="131"/>
        <v>0</v>
      </c>
      <c r="V52" s="73">
        <f t="shared" si="131"/>
        <v>0</v>
      </c>
      <c r="W52" s="706">
        <f t="shared" si="131"/>
        <v>0</v>
      </c>
      <c r="X52" s="73">
        <f t="shared" si="131"/>
        <v>477</v>
      </c>
      <c r="Y52" s="73">
        <f t="shared" si="131"/>
        <v>0</v>
      </c>
      <c r="Z52" s="73">
        <f t="shared" si="131"/>
        <v>0</v>
      </c>
      <c r="AA52" s="706">
        <f t="shared" si="131"/>
        <v>0</v>
      </c>
      <c r="AB52" s="73">
        <f t="shared" si="131"/>
        <v>0</v>
      </c>
      <c r="AC52" s="73">
        <f t="shared" si="131"/>
        <v>0</v>
      </c>
      <c r="AD52" s="73">
        <f t="shared" si="131"/>
        <v>0</v>
      </c>
      <c r="AE52" s="706">
        <f t="shared" si="131"/>
        <v>0</v>
      </c>
      <c r="AF52" s="73">
        <f t="shared" si="131"/>
        <v>0</v>
      </c>
      <c r="AG52" s="73">
        <v>0</v>
      </c>
      <c r="AH52" s="73"/>
      <c r="AI52" s="706"/>
      <c r="AJ52" s="706"/>
      <c r="AK52" s="706">
        <v>278</v>
      </c>
      <c r="AL52" s="706"/>
    </row>
    <row r="53" spans="2:38" x14ac:dyDescent="0.2">
      <c r="B53" s="29" t="s">
        <v>231</v>
      </c>
      <c r="C53" s="34"/>
      <c r="D53" s="466"/>
      <c r="E53" s="302">
        <f>SUMIFS($K53:$AF53,$K$3:$AF$3,E$4)</f>
        <v>0</v>
      </c>
      <c r="F53" s="302">
        <f>SUMIFS($K53:$AF53,$K$3:$AF$3,F$4)</f>
        <v>0</v>
      </c>
      <c r="G53" s="302">
        <f>SUMIFS($K53:$AF53,$K$3:$AF$3,G$4)</f>
        <v>391</v>
      </c>
      <c r="H53" s="302">
        <f>SUMIFS($K53:$AF53,$K$3:$AF$3,H$4)</f>
        <v>-42</v>
      </c>
      <c r="I53" s="302">
        <f t="shared" si="128"/>
        <v>-89</v>
      </c>
      <c r="K53" s="34"/>
      <c r="L53" s="34"/>
      <c r="M53" s="34"/>
      <c r="N53" s="34"/>
      <c r="O53" s="707"/>
      <c r="P53" s="95"/>
      <c r="Q53" s="95"/>
      <c r="R53" s="95"/>
      <c r="S53" s="705"/>
      <c r="T53" s="95"/>
      <c r="U53" s="95"/>
      <c r="V53" s="95"/>
      <c r="W53" s="705">
        <v>0</v>
      </c>
      <c r="X53" s="95">
        <v>400</v>
      </c>
      <c r="Y53" s="95">
        <v>-19</v>
      </c>
      <c r="Z53" s="95">
        <v>10</v>
      </c>
      <c r="AA53" s="705">
        <v>-43</v>
      </c>
      <c r="AB53" s="95">
        <v>0</v>
      </c>
      <c r="AC53" s="95">
        <v>0</v>
      </c>
      <c r="AD53" s="95">
        <v>1</v>
      </c>
      <c r="AE53" s="705">
        <v>0</v>
      </c>
      <c r="AF53" s="95">
        <v>15</v>
      </c>
      <c r="AG53" s="95">
        <v>1</v>
      </c>
      <c r="AH53" s="95">
        <v>-105</v>
      </c>
      <c r="AI53" s="705">
        <v>6</v>
      </c>
      <c r="AJ53" s="705">
        <v>-4</v>
      </c>
      <c r="AK53" s="705">
        <v>8</v>
      </c>
      <c r="AL53" s="705">
        <v>16</v>
      </c>
    </row>
    <row r="54" spans="2:38" x14ac:dyDescent="0.2">
      <c r="B54" s="29" t="s">
        <v>21</v>
      </c>
      <c r="C54" s="70"/>
      <c r="D54" s="466"/>
      <c r="E54" s="70">
        <f t="shared" ref="E54:H54" si="132">+E20</f>
        <v>0</v>
      </c>
      <c r="F54" s="70">
        <f t="shared" si="132"/>
        <v>0</v>
      </c>
      <c r="G54" s="70">
        <f t="shared" si="132"/>
        <v>1087</v>
      </c>
      <c r="H54" s="70">
        <f t="shared" si="132"/>
        <v>-25</v>
      </c>
      <c r="I54" s="70">
        <f t="shared" si="128"/>
        <v>0</v>
      </c>
      <c r="K54" s="70">
        <f t="shared" ref="K54:Q54" si="133">+K20</f>
        <v>0</v>
      </c>
      <c r="L54" s="70">
        <f t="shared" si="133"/>
        <v>0</v>
      </c>
      <c r="M54" s="70">
        <f t="shared" si="133"/>
        <v>0</v>
      </c>
      <c r="N54" s="70">
        <f t="shared" si="133"/>
        <v>0</v>
      </c>
      <c r="O54" s="704">
        <f t="shared" si="133"/>
        <v>0</v>
      </c>
      <c r="P54" s="70">
        <f t="shared" si="133"/>
        <v>0</v>
      </c>
      <c r="Q54" s="70">
        <f t="shared" si="133"/>
        <v>0</v>
      </c>
      <c r="R54" s="70">
        <f t="shared" ref="R54:AF54" si="134">+R20</f>
        <v>0</v>
      </c>
      <c r="S54" s="704">
        <f t="shared" si="134"/>
        <v>0</v>
      </c>
      <c r="T54" s="70">
        <f t="shared" si="134"/>
        <v>0</v>
      </c>
      <c r="U54" s="70">
        <f t="shared" si="134"/>
        <v>0</v>
      </c>
      <c r="V54" s="70">
        <f t="shared" si="134"/>
        <v>0</v>
      </c>
      <c r="W54" s="704">
        <f t="shared" si="134"/>
        <v>0</v>
      </c>
      <c r="X54" s="70">
        <f t="shared" si="134"/>
        <v>0</v>
      </c>
      <c r="Y54" s="70">
        <f t="shared" si="134"/>
        <v>1071</v>
      </c>
      <c r="Z54" s="70">
        <f t="shared" si="134"/>
        <v>16</v>
      </c>
      <c r="AA54" s="704">
        <f t="shared" si="134"/>
        <v>-42</v>
      </c>
      <c r="AB54" s="70">
        <f t="shared" si="134"/>
        <v>17</v>
      </c>
      <c r="AC54" s="70">
        <f t="shared" si="134"/>
        <v>0</v>
      </c>
      <c r="AD54" s="70">
        <f t="shared" si="134"/>
        <v>0</v>
      </c>
      <c r="AE54" s="704">
        <f t="shared" si="134"/>
        <v>0</v>
      </c>
      <c r="AF54" s="70">
        <f t="shared" si="134"/>
        <v>0</v>
      </c>
      <c r="AG54" s="70">
        <v>0</v>
      </c>
      <c r="AH54" s="70">
        <v>0</v>
      </c>
      <c r="AI54" s="704"/>
      <c r="AJ54" s="704"/>
      <c r="AK54" s="704"/>
      <c r="AL54" s="704"/>
    </row>
    <row r="55" spans="2:38" x14ac:dyDescent="0.2">
      <c r="B55" s="29" t="s">
        <v>95</v>
      </c>
      <c r="C55" s="96"/>
      <c r="D55" s="466">
        <v>2</v>
      </c>
      <c r="E55" s="302">
        <f>SUMIFS($K55:$AF55,$K$3:$AF$3,E$4)</f>
        <v>596</v>
      </c>
      <c r="F55" s="302">
        <f>SUMIFS($K55:$AF55,$K$3:$AF$3,F$4)</f>
        <v>21</v>
      </c>
      <c r="G55" s="302">
        <f>SUMIFS($K55:$AF55,$K$3:$AF$3,G$4)</f>
        <v>127</v>
      </c>
      <c r="H55" s="302">
        <f>SUMIFS($K55:$AF55,$K$3:$AF$3,H$4)</f>
        <v>733</v>
      </c>
      <c r="I55" s="302">
        <f t="shared" si="128"/>
        <v>317</v>
      </c>
      <c r="K55" s="96">
        <v>352</v>
      </c>
      <c r="L55" s="96">
        <v>239</v>
      </c>
      <c r="M55" s="96">
        <v>24</v>
      </c>
      <c r="N55" s="96">
        <v>-157</v>
      </c>
      <c r="O55" s="708">
        <f>75+174</f>
        <v>249</v>
      </c>
      <c r="P55" s="96">
        <f>341+5</f>
        <v>346</v>
      </c>
      <c r="Q55" s="96">
        <v>1</v>
      </c>
      <c r="R55" s="96">
        <v>0</v>
      </c>
      <c r="S55" s="708">
        <v>49</v>
      </c>
      <c r="T55" s="96">
        <v>-17</v>
      </c>
      <c r="U55" s="96">
        <v>0</v>
      </c>
      <c r="V55" s="96">
        <v>-11</v>
      </c>
      <c r="W55" s="708">
        <v>10</v>
      </c>
      <c r="X55" s="96">
        <v>110</v>
      </c>
      <c r="Y55" s="96">
        <v>-48</v>
      </c>
      <c r="Z55" s="96">
        <v>55</v>
      </c>
      <c r="AA55" s="708">
        <v>153</v>
      </c>
      <c r="AB55" s="96">
        <v>54</v>
      </c>
      <c r="AC55" s="96">
        <v>513</v>
      </c>
      <c r="AD55" s="96">
        <v>13</v>
      </c>
      <c r="AE55" s="708">
        <v>13</v>
      </c>
      <c r="AF55" s="96">
        <v>22</v>
      </c>
      <c r="AG55" s="96">
        <v>152</v>
      </c>
      <c r="AH55" s="96">
        <v>130</v>
      </c>
      <c r="AI55" s="708">
        <v>73</v>
      </c>
      <c r="AJ55" s="708">
        <v>-19</v>
      </c>
      <c r="AK55" s="708">
        <v>170</v>
      </c>
      <c r="AL55" s="708">
        <v>151</v>
      </c>
    </row>
    <row r="56" spans="2:38" s="30" customFormat="1" x14ac:dyDescent="0.2">
      <c r="B56" s="179" t="s">
        <v>130</v>
      </c>
      <c r="C56" s="176"/>
      <c r="D56" s="469">
        <f t="shared" ref="D56:I56" si="135">+SUM(D46:D55)</f>
        <v>13383</v>
      </c>
      <c r="E56" s="176">
        <f t="shared" si="135"/>
        <v>25140</v>
      </c>
      <c r="F56" s="176">
        <f t="shared" si="135"/>
        <v>26924</v>
      </c>
      <c r="G56" s="176">
        <f t="shared" si="135"/>
        <v>27821</v>
      </c>
      <c r="H56" s="176">
        <f t="shared" si="135"/>
        <v>29428</v>
      </c>
      <c r="I56" s="176">
        <f t="shared" si="135"/>
        <v>31864</v>
      </c>
      <c r="K56" s="176">
        <f t="shared" ref="K56:O56" si="136">+SUM(K46:K55)</f>
        <v>6872</v>
      </c>
      <c r="L56" s="176">
        <f t="shared" si="136"/>
        <v>6963</v>
      </c>
      <c r="M56" s="176">
        <f t="shared" si="136"/>
        <v>6405</v>
      </c>
      <c r="N56" s="176">
        <f t="shared" si="136"/>
        <v>6178</v>
      </c>
      <c r="O56" s="709">
        <f t="shared" si="136"/>
        <v>6651</v>
      </c>
      <c r="P56" s="176">
        <f t="shared" ref="P56:V56" si="137">+SUM(P46:P55)</f>
        <v>7017</v>
      </c>
      <c r="Q56" s="176">
        <f t="shared" si="137"/>
        <v>7129</v>
      </c>
      <c r="R56" s="176">
        <f t="shared" si="137"/>
        <v>6746</v>
      </c>
      <c r="S56" s="709">
        <f t="shared" si="137"/>
        <v>6905</v>
      </c>
      <c r="T56" s="176">
        <f t="shared" si="137"/>
        <v>6906</v>
      </c>
      <c r="U56" s="176">
        <f t="shared" si="137"/>
        <v>6811</v>
      </c>
      <c r="V56" s="176">
        <f t="shared" si="137"/>
        <v>6302</v>
      </c>
      <c r="W56" s="709">
        <f>+SUM(W46:W55)</f>
        <v>6950</v>
      </c>
      <c r="X56" s="176">
        <f t="shared" ref="X56:AG56" si="138">+SUM(X46:X55)</f>
        <v>7004</v>
      </c>
      <c r="Y56" s="176">
        <f t="shared" si="138"/>
        <v>7039</v>
      </c>
      <c r="Z56" s="176">
        <f t="shared" si="138"/>
        <v>6828</v>
      </c>
      <c r="AA56" s="709">
        <f t="shared" si="138"/>
        <v>7199</v>
      </c>
      <c r="AB56" s="176">
        <f t="shared" si="138"/>
        <v>7405</v>
      </c>
      <c r="AC56" s="176">
        <f t="shared" si="138"/>
        <v>7600</v>
      </c>
      <c r="AD56" s="176">
        <f t="shared" si="138"/>
        <v>7224</v>
      </c>
      <c r="AE56" s="709">
        <f t="shared" si="138"/>
        <v>7652</v>
      </c>
      <c r="AF56" s="176">
        <f t="shared" si="138"/>
        <v>8053</v>
      </c>
      <c r="AG56" s="176">
        <f t="shared" si="138"/>
        <v>8243</v>
      </c>
      <c r="AH56" s="176">
        <f t="shared" ref="AH56:AK56" si="139">+SUM(AH46:AH55)</f>
        <v>7916</v>
      </c>
      <c r="AI56" s="709">
        <f t="shared" si="139"/>
        <v>8259</v>
      </c>
      <c r="AJ56" s="709">
        <f t="shared" si="139"/>
        <v>8547</v>
      </c>
      <c r="AK56" s="709">
        <f t="shared" si="139"/>
        <v>8684</v>
      </c>
      <c r="AL56" s="709">
        <f>+SUM(AL46:AL55)</f>
        <v>9537</v>
      </c>
    </row>
    <row r="57" spans="2:38" x14ac:dyDescent="0.2">
      <c r="B57" s="29" t="s">
        <v>132</v>
      </c>
      <c r="C57" s="96"/>
      <c r="D57" s="484"/>
      <c r="E57" s="302">
        <f>SUMIFS($K57:$AF57,$K$3:$AF$3,E$4)</f>
        <v>-5418</v>
      </c>
      <c r="F57" s="302">
        <f>SUMIFS($K57:$AF57,$K$3:$AF$3,F$4)</f>
        <v>-3348</v>
      </c>
      <c r="G57" s="302">
        <f>SUMIFS($K57:$AF57,$K$3:$AF$3,G$4)</f>
        <v>-1430</v>
      </c>
      <c r="H57" s="302">
        <f>SUMIFS($K57:$AF57,$K$3:$AF$3,H$4)</f>
        <v>-312</v>
      </c>
      <c r="I57" s="302">
        <f>SUMIFS($K57:$AZ57,$K$3:$AZ$3,I$4)</f>
        <v>-93</v>
      </c>
      <c r="K57" s="365"/>
      <c r="L57" s="365"/>
      <c r="M57" s="96">
        <v>-1472</v>
      </c>
      <c r="N57" s="96">
        <v>-1445</v>
      </c>
      <c r="O57" s="708">
        <v>-1402</v>
      </c>
      <c r="P57" s="96">
        <v>-1421</v>
      </c>
      <c r="Q57" s="96">
        <v>-1350</v>
      </c>
      <c r="R57" s="96">
        <v>-1245</v>
      </c>
      <c r="S57" s="708">
        <v>-1041</v>
      </c>
      <c r="T57" s="96">
        <v>-914</v>
      </c>
      <c r="U57" s="96">
        <v>-770</v>
      </c>
      <c r="V57" s="96">
        <v>-623</v>
      </c>
      <c r="W57" s="708">
        <v>-487</v>
      </c>
      <c r="X57" s="96">
        <v>-386</v>
      </c>
      <c r="Y57" s="96">
        <v>-311</v>
      </c>
      <c r="Z57" s="96">
        <v>-246</v>
      </c>
      <c r="AA57" s="708">
        <v>-147</v>
      </c>
      <c r="AB57" s="96">
        <v>-69</v>
      </c>
      <c r="AC57" s="96">
        <v>-53</v>
      </c>
      <c r="AD57" s="96">
        <v>-43</v>
      </c>
      <c r="AE57" s="708">
        <v>-35</v>
      </c>
      <c r="AF57" s="96">
        <v>-26</v>
      </c>
      <c r="AG57" s="96">
        <v>-21</v>
      </c>
      <c r="AH57" s="96">
        <v>-11</v>
      </c>
      <c r="AI57" s="708">
        <v>-1</v>
      </c>
      <c r="AJ57" s="708">
        <v>-6</v>
      </c>
      <c r="AK57" s="708">
        <v>-4</v>
      </c>
      <c r="AL57" s="708">
        <v>0</v>
      </c>
    </row>
    <row r="58" spans="2:38" s="30" customFormat="1" ht="12.75" thickBot="1" x14ac:dyDescent="0.25">
      <c r="B58" s="181" t="s">
        <v>133</v>
      </c>
      <c r="C58" s="177"/>
      <c r="D58" s="476"/>
      <c r="E58" s="177">
        <f t="shared" ref="E58:H58" si="140">+E57+E56</f>
        <v>19722</v>
      </c>
      <c r="F58" s="177">
        <f t="shared" si="140"/>
        <v>23576</v>
      </c>
      <c r="G58" s="177">
        <f t="shared" si="140"/>
        <v>26391</v>
      </c>
      <c r="H58" s="177">
        <f t="shared" si="140"/>
        <v>29116</v>
      </c>
      <c r="I58" s="177">
        <f t="shared" ref="I58" si="141">+I57+I56</f>
        <v>31771</v>
      </c>
      <c r="K58" s="177"/>
      <c r="L58" s="177"/>
      <c r="M58" s="177">
        <f t="shared" ref="M58:Q58" si="142">+M57+M56</f>
        <v>4933</v>
      </c>
      <c r="N58" s="177">
        <f t="shared" si="142"/>
        <v>4733</v>
      </c>
      <c r="O58" s="710">
        <f t="shared" si="142"/>
        <v>5249</v>
      </c>
      <c r="P58" s="177">
        <f t="shared" si="142"/>
        <v>5596</v>
      </c>
      <c r="Q58" s="177">
        <f t="shared" si="142"/>
        <v>5779</v>
      </c>
      <c r="R58" s="177">
        <f t="shared" ref="R58:V58" si="143">+R57+R56</f>
        <v>5501</v>
      </c>
      <c r="S58" s="710">
        <f t="shared" si="143"/>
        <v>5864</v>
      </c>
      <c r="T58" s="177">
        <f t="shared" si="143"/>
        <v>5992</v>
      </c>
      <c r="U58" s="177">
        <f t="shared" si="143"/>
        <v>6041</v>
      </c>
      <c r="V58" s="177">
        <f t="shared" si="143"/>
        <v>5679</v>
      </c>
      <c r="W58" s="710">
        <f>+W57+W56</f>
        <v>6463</v>
      </c>
      <c r="X58" s="177">
        <f t="shared" ref="X58:AF58" si="144">+X57+X56</f>
        <v>6618</v>
      </c>
      <c r="Y58" s="177">
        <f t="shared" si="144"/>
        <v>6728</v>
      </c>
      <c r="Z58" s="177">
        <f t="shared" si="144"/>
        <v>6582</v>
      </c>
      <c r="AA58" s="710">
        <f t="shared" si="144"/>
        <v>7052</v>
      </c>
      <c r="AB58" s="177">
        <f t="shared" si="144"/>
        <v>7336</v>
      </c>
      <c r="AC58" s="177">
        <f t="shared" si="144"/>
        <v>7547</v>
      </c>
      <c r="AD58" s="177">
        <f t="shared" si="144"/>
        <v>7181</v>
      </c>
      <c r="AE58" s="710">
        <f t="shared" si="144"/>
        <v>7617</v>
      </c>
      <c r="AF58" s="177">
        <f t="shared" si="144"/>
        <v>8027</v>
      </c>
      <c r="AG58" s="177">
        <f t="shared" ref="AG58:AK58" si="145">+AG57+AG56</f>
        <v>8222</v>
      </c>
      <c r="AH58" s="177">
        <f t="shared" si="145"/>
        <v>7905</v>
      </c>
      <c r="AI58" s="710">
        <f t="shared" si="145"/>
        <v>8258</v>
      </c>
      <c r="AJ58" s="710">
        <f t="shared" si="145"/>
        <v>8541</v>
      </c>
      <c r="AK58" s="710">
        <f t="shared" si="145"/>
        <v>8680</v>
      </c>
      <c r="AL58" s="710">
        <f>+AL57+AL56</f>
        <v>9537</v>
      </c>
    </row>
    <row r="59" spans="2:38" x14ac:dyDescent="0.2">
      <c r="B59" s="137" t="s">
        <v>194</v>
      </c>
      <c r="C59" s="35"/>
      <c r="D59" s="485">
        <f t="shared" ref="D59:H59" si="146">+D56/D11</f>
        <v>0.38791304347826089</v>
      </c>
      <c r="E59" s="35">
        <f t="shared" si="146"/>
        <v>0.49885901379105069</v>
      </c>
      <c r="F59" s="35">
        <f t="shared" si="146"/>
        <v>0.46127225068101219</v>
      </c>
      <c r="G59" s="35">
        <f t="shared" si="146"/>
        <v>0.45367969603574515</v>
      </c>
      <c r="H59" s="35">
        <f t="shared" si="146"/>
        <v>0.46533103524612196</v>
      </c>
      <c r="I59" s="35">
        <f t="shared" ref="I59" si="147">+I56/I11</f>
        <v>0.48148931669134759</v>
      </c>
      <c r="K59" s="35"/>
      <c r="L59" s="35"/>
      <c r="M59" s="35">
        <f t="shared" ref="M59:AF59" si="148">+M56/M11</f>
        <v>0.49612703330751357</v>
      </c>
      <c r="N59" s="35">
        <f t="shared" si="148"/>
        <v>0.46774682010902485</v>
      </c>
      <c r="O59" s="711">
        <f t="shared" si="148"/>
        <v>0.50397817685837687</v>
      </c>
      <c r="P59" s="35">
        <f t="shared" si="148"/>
        <v>0.53038548752834469</v>
      </c>
      <c r="Q59" s="35">
        <f t="shared" si="148"/>
        <v>0.50420821840299879</v>
      </c>
      <c r="R59" s="35">
        <f t="shared" si="148"/>
        <v>0.47574047954866011</v>
      </c>
      <c r="S59" s="711">
        <f t="shared" si="148"/>
        <v>0.48654171364148818</v>
      </c>
      <c r="T59" s="35">
        <f t="shared" si="148"/>
        <v>0.47653878001656086</v>
      </c>
      <c r="U59" s="35">
        <f t="shared" si="148"/>
        <v>0.46264094552370599</v>
      </c>
      <c r="V59" s="35">
        <f t="shared" si="148"/>
        <v>0.42117222482122568</v>
      </c>
      <c r="W59" s="711">
        <f t="shared" si="148"/>
        <v>0.45941300898995241</v>
      </c>
      <c r="X59" s="35">
        <f t="shared" si="148"/>
        <v>0.45729955601984851</v>
      </c>
      <c r="Y59" s="35">
        <f t="shared" si="148"/>
        <v>0.45823839593776444</v>
      </c>
      <c r="Z59" s="35">
        <f t="shared" si="148"/>
        <v>0.44000515530351847</v>
      </c>
      <c r="AA59" s="711">
        <f t="shared" si="148"/>
        <v>0.46307731892448217</v>
      </c>
      <c r="AB59" s="35">
        <f t="shared" si="148"/>
        <v>0.47051721946880165</v>
      </c>
      <c r="AC59" s="35">
        <f t="shared" si="148"/>
        <v>0.47756692220686187</v>
      </c>
      <c r="AD59" s="35">
        <f t="shared" si="148"/>
        <v>0.45028984603877081</v>
      </c>
      <c r="AE59" s="711">
        <f t="shared" si="148"/>
        <v>0.47539761431411531</v>
      </c>
      <c r="AF59" s="35">
        <f t="shared" si="148"/>
        <v>0.49016982165682632</v>
      </c>
      <c r="AG59" s="35">
        <f t="shared" ref="AG59:AK59" si="149">+AG56/AG11</f>
        <v>0.49285500747384153</v>
      </c>
      <c r="AH59" s="35">
        <f t="shared" si="149"/>
        <v>0.46762759924385633</v>
      </c>
      <c r="AI59" s="711">
        <f t="shared" si="149"/>
        <v>0.48797636632200886</v>
      </c>
      <c r="AJ59" s="711">
        <f t="shared" si="149"/>
        <v>0.49013648354169054</v>
      </c>
      <c r="AK59" s="711">
        <f t="shared" si="149"/>
        <v>0.47607039087769309</v>
      </c>
      <c r="AL59" s="711">
        <f>+AL56/AL11</f>
        <v>0.5023968814202181</v>
      </c>
    </row>
    <row r="60" spans="2:38" x14ac:dyDescent="0.2">
      <c r="B60" s="137" t="s">
        <v>195</v>
      </c>
      <c r="C60" s="35"/>
      <c r="D60" s="35"/>
      <c r="E60" s="35">
        <f t="shared" ref="E60:H60" si="150">+E58/E11</f>
        <v>0.39134834805040181</v>
      </c>
      <c r="F60" s="35">
        <f t="shared" si="150"/>
        <v>0.40391303602939915</v>
      </c>
      <c r="G60" s="35">
        <f t="shared" si="150"/>
        <v>0.43036054987525074</v>
      </c>
      <c r="H60" s="35">
        <f t="shared" si="150"/>
        <v>0.46039752692082669</v>
      </c>
      <c r="I60" s="35">
        <f t="shared" ref="I60" si="151">+I58/I11</f>
        <v>0.48008401583607846</v>
      </c>
      <c r="K60" s="35"/>
      <c r="L60" s="35"/>
      <c r="M60" s="35">
        <f t="shared" ref="M60:AF60" si="152">+M58/M11</f>
        <v>0.38210689388071262</v>
      </c>
      <c r="N60" s="35">
        <f t="shared" si="152"/>
        <v>0.35834342822531801</v>
      </c>
      <c r="O60" s="711">
        <f t="shared" si="152"/>
        <v>0.39774191104038797</v>
      </c>
      <c r="P60" s="35">
        <f t="shared" si="152"/>
        <v>0.42297808012093724</v>
      </c>
      <c r="Q60" s="35">
        <f t="shared" si="152"/>
        <v>0.40872763278874036</v>
      </c>
      <c r="R60" s="35">
        <f t="shared" si="152"/>
        <v>0.38794076163610719</v>
      </c>
      <c r="S60" s="711">
        <f t="shared" si="152"/>
        <v>0.41319052987598648</v>
      </c>
      <c r="T60" s="35">
        <f t="shared" si="152"/>
        <v>0.41346950041402153</v>
      </c>
      <c r="U60" s="35">
        <f t="shared" si="152"/>
        <v>0.41033826925689443</v>
      </c>
      <c r="V60" s="35">
        <f t="shared" si="152"/>
        <v>0.37953618926685823</v>
      </c>
      <c r="W60" s="711">
        <f t="shared" si="152"/>
        <v>0.42722104706504493</v>
      </c>
      <c r="X60" s="35">
        <f t="shared" si="152"/>
        <v>0.43209715330373466</v>
      </c>
      <c r="Y60" s="35">
        <f t="shared" si="152"/>
        <v>0.43799231820844997</v>
      </c>
      <c r="Z60" s="35">
        <f t="shared" si="152"/>
        <v>0.42415259698414742</v>
      </c>
      <c r="AA60" s="711">
        <f t="shared" si="152"/>
        <v>0.45362151035636178</v>
      </c>
      <c r="AB60" s="35">
        <f t="shared" si="152"/>
        <v>0.46613292667429151</v>
      </c>
      <c r="AC60" s="35">
        <f t="shared" si="152"/>
        <v>0.47423652130199823</v>
      </c>
      <c r="AD60" s="35">
        <f t="shared" si="152"/>
        <v>0.4476095493361591</v>
      </c>
      <c r="AE60" s="711">
        <f t="shared" si="152"/>
        <v>0.47322316103379719</v>
      </c>
      <c r="AF60" s="35">
        <f t="shared" si="152"/>
        <v>0.48858725424554145</v>
      </c>
      <c r="AG60" s="35">
        <f t="shared" ref="AG60:AK60" si="153">+AG58/AG11</f>
        <v>0.49159940209267561</v>
      </c>
      <c r="AH60" s="35">
        <f t="shared" si="153"/>
        <v>0.46697778827977315</v>
      </c>
      <c r="AI60" s="711">
        <f t="shared" si="153"/>
        <v>0.487917282127031</v>
      </c>
      <c r="AJ60" s="711">
        <f t="shared" si="153"/>
        <v>0.48979240738616814</v>
      </c>
      <c r="AK60" s="711">
        <f t="shared" si="153"/>
        <v>0.4758511046543501</v>
      </c>
      <c r="AL60" s="711">
        <f>+AL58/AL11</f>
        <v>0.5023968814202181</v>
      </c>
    </row>
    <row r="61" spans="2:38" x14ac:dyDescent="0.2">
      <c r="B61" s="10"/>
      <c r="C61" s="19"/>
      <c r="D61" s="72"/>
      <c r="E61" s="72"/>
      <c r="F61" s="72"/>
      <c r="G61" s="72"/>
      <c r="H61" s="72"/>
      <c r="I61" s="72"/>
      <c r="K61" s="19"/>
      <c r="L61" s="19"/>
      <c r="M61" s="19"/>
      <c r="N61" s="19"/>
      <c r="O61" s="703"/>
      <c r="P61" s="97"/>
      <c r="Q61" s="97"/>
      <c r="R61" s="97"/>
      <c r="S61" s="738"/>
      <c r="T61" s="97"/>
      <c r="U61" s="97"/>
      <c r="V61" s="97"/>
      <c r="W61" s="738"/>
      <c r="X61" s="97"/>
      <c r="Y61" s="97"/>
      <c r="Z61" s="97"/>
      <c r="AA61" s="738"/>
      <c r="AB61" s="97"/>
      <c r="AC61" s="97"/>
      <c r="AD61" s="97"/>
      <c r="AE61" s="738"/>
      <c r="AF61" s="19"/>
      <c r="AG61" s="19"/>
      <c r="AH61" s="97"/>
      <c r="AI61" s="738"/>
      <c r="AJ61" s="738"/>
      <c r="AK61" s="738"/>
      <c r="AL61" s="738"/>
    </row>
    <row r="62" spans="2:38" x14ac:dyDescent="0.2">
      <c r="D62" s="72"/>
      <c r="E62" s="72"/>
      <c r="F62" s="72"/>
      <c r="G62" s="72"/>
      <c r="H62" s="72"/>
      <c r="I62" s="72"/>
      <c r="O62" s="684"/>
      <c r="P62" s="98"/>
      <c r="Q62" s="98"/>
      <c r="R62" s="98"/>
      <c r="S62" s="739"/>
      <c r="T62" s="98"/>
      <c r="U62" s="98"/>
      <c r="V62" s="98"/>
      <c r="W62" s="739"/>
      <c r="X62" s="98"/>
      <c r="Y62" s="98"/>
      <c r="Z62" s="98"/>
      <c r="AA62" s="739"/>
      <c r="AB62" s="98"/>
      <c r="AC62" s="98"/>
      <c r="AD62" s="98"/>
      <c r="AE62" s="739"/>
      <c r="AH62" s="98"/>
      <c r="AI62" s="739"/>
      <c r="AJ62" s="739"/>
      <c r="AK62" s="739"/>
      <c r="AL62" s="739"/>
    </row>
    <row r="63" spans="2:38" x14ac:dyDescent="0.2">
      <c r="B63" s="8" t="s">
        <v>36</v>
      </c>
      <c r="C63" s="9"/>
      <c r="D63" s="8"/>
      <c r="E63" s="8"/>
      <c r="F63" s="8"/>
      <c r="G63" s="8"/>
      <c r="H63" s="8"/>
      <c r="I63" s="8"/>
      <c r="K63" s="9"/>
      <c r="L63" s="9"/>
      <c r="M63" s="9"/>
      <c r="N63" s="9"/>
      <c r="O63" s="712"/>
      <c r="P63" s="9"/>
      <c r="Q63" s="9"/>
      <c r="R63" s="9"/>
      <c r="S63" s="712"/>
      <c r="T63" s="9"/>
      <c r="U63" s="9"/>
      <c r="V63" s="9"/>
      <c r="W63" s="712"/>
      <c r="X63" s="9"/>
      <c r="Y63" s="9"/>
      <c r="Z63" s="9"/>
      <c r="AA63" s="712"/>
      <c r="AB63" s="9"/>
      <c r="AC63" s="9"/>
      <c r="AD63" s="9"/>
      <c r="AE63" s="712"/>
      <c r="AF63" s="9"/>
      <c r="AG63" s="9"/>
      <c r="AH63" s="9"/>
      <c r="AI63" s="712"/>
      <c r="AJ63" s="712"/>
      <c r="AK63" s="712"/>
      <c r="AL63" s="712"/>
    </row>
    <row r="64" spans="2:38" x14ac:dyDescent="0.2">
      <c r="B64" s="20" t="s">
        <v>37</v>
      </c>
      <c r="C64" s="21"/>
      <c r="D64" s="72"/>
      <c r="E64" s="72"/>
      <c r="F64" s="72"/>
      <c r="G64" s="72"/>
      <c r="H64" s="72"/>
      <c r="I64" s="72"/>
      <c r="K64" s="369" t="s">
        <v>381</v>
      </c>
      <c r="L64" s="346"/>
      <c r="M64" s="346"/>
      <c r="N64" s="346"/>
      <c r="O64" s="713"/>
      <c r="P64" s="21"/>
      <c r="Q64" s="21"/>
      <c r="R64" s="21"/>
      <c r="S64" s="740"/>
      <c r="T64" s="21"/>
      <c r="U64" s="21"/>
      <c r="V64" s="21"/>
      <c r="W64" s="740"/>
      <c r="X64" s="21"/>
      <c r="Y64" s="21"/>
      <c r="Z64" s="21"/>
      <c r="AA64" s="740"/>
      <c r="AB64" s="21"/>
      <c r="AC64" s="21"/>
      <c r="AD64" s="21"/>
      <c r="AE64" s="740"/>
      <c r="AF64" s="21"/>
      <c r="AG64" s="21"/>
      <c r="AH64" s="21"/>
      <c r="AI64" s="740"/>
      <c r="AJ64" s="740"/>
      <c r="AK64" s="740"/>
      <c r="AL64" s="740"/>
    </row>
    <row r="65" spans="2:38" x14ac:dyDescent="0.2">
      <c r="B65" s="10" t="s">
        <v>38</v>
      </c>
      <c r="C65" s="15"/>
      <c r="D65" s="72"/>
      <c r="E65" s="72"/>
      <c r="F65" s="72"/>
      <c r="G65" s="72"/>
      <c r="H65" s="72"/>
      <c r="I65" s="72"/>
      <c r="K65" s="350"/>
      <c r="L65" s="350"/>
      <c r="M65" s="350"/>
      <c r="N65" s="350"/>
      <c r="O65" s="714"/>
      <c r="P65" s="77"/>
      <c r="Q65" s="77"/>
      <c r="R65" s="77"/>
      <c r="S65" s="741"/>
      <c r="T65" s="77"/>
      <c r="U65" s="77"/>
      <c r="V65" s="77"/>
      <c r="W65" s="741"/>
      <c r="X65" s="77"/>
      <c r="Y65" s="77"/>
      <c r="Z65" s="77"/>
      <c r="AA65" s="741"/>
      <c r="AB65" s="77"/>
      <c r="AC65" s="77"/>
      <c r="AD65" s="77"/>
      <c r="AE65" s="741"/>
      <c r="AF65" s="77"/>
      <c r="AG65" s="77"/>
      <c r="AH65" s="77"/>
      <c r="AI65" s="741"/>
      <c r="AJ65" s="741"/>
      <c r="AK65" s="741"/>
      <c r="AL65" s="741"/>
    </row>
    <row r="66" spans="2:38" x14ac:dyDescent="0.2">
      <c r="B66" s="29" t="s">
        <v>39</v>
      </c>
      <c r="C66" s="11"/>
      <c r="D66" s="484">
        <f t="shared" ref="D66:H71" si="154">SUMIFS($K66:$AF66,$K$3:$AF$3,D$4,$K$2:$AF$2,4)</f>
        <v>1528</v>
      </c>
      <c r="E66" s="302">
        <f t="shared" si="154"/>
        <v>10385</v>
      </c>
      <c r="F66" s="302">
        <f t="shared" si="154"/>
        <v>6631</v>
      </c>
      <c r="G66" s="302">
        <f t="shared" si="154"/>
        <v>4507</v>
      </c>
      <c r="H66" s="302">
        <f t="shared" si="154"/>
        <v>5135</v>
      </c>
      <c r="I66" s="302">
        <f>SUMIFS($K66:$AZ66,$K$3:$AZ$3,I$4,$K$2:$AZ$2,4)</f>
        <v>5409</v>
      </c>
      <c r="K66" s="366">
        <v>1439</v>
      </c>
      <c r="L66" s="366">
        <v>1105</v>
      </c>
      <c r="M66" s="366">
        <v>1653</v>
      </c>
      <c r="N66" s="366">
        <v>1528</v>
      </c>
      <c r="O66" s="715">
        <v>1112</v>
      </c>
      <c r="P66" s="78">
        <v>11076</v>
      </c>
      <c r="Q66" s="78">
        <v>6571</v>
      </c>
      <c r="R66" s="78">
        <v>10385</v>
      </c>
      <c r="S66" s="687">
        <v>6677</v>
      </c>
      <c r="T66" s="78">
        <v>7793</v>
      </c>
      <c r="U66" s="78">
        <v>4055</v>
      </c>
      <c r="V66" s="78">
        <v>6631</v>
      </c>
      <c r="W66" s="687">
        <v>3245</v>
      </c>
      <c r="X66" s="78">
        <v>3151</v>
      </c>
      <c r="Y66" s="78">
        <v>6888</v>
      </c>
      <c r="Z66" s="78">
        <v>4507</v>
      </c>
      <c r="AA66" s="687">
        <v>4540</v>
      </c>
      <c r="AB66" s="78">
        <v>6647</v>
      </c>
      <c r="AC66" s="78">
        <v>5030</v>
      </c>
      <c r="AD66" s="78">
        <v>5135</v>
      </c>
      <c r="AE66" s="687">
        <v>6708</v>
      </c>
      <c r="AF66" s="78">
        <v>6417</v>
      </c>
      <c r="AG66" s="78">
        <v>9754</v>
      </c>
      <c r="AH66" s="78">
        <v>5409</v>
      </c>
      <c r="AI66" s="687">
        <v>12003</v>
      </c>
      <c r="AJ66" s="687">
        <v>10259</v>
      </c>
      <c r="AK66" s="687">
        <v>3310</v>
      </c>
      <c r="AL66" s="687">
        <v>2825</v>
      </c>
    </row>
    <row r="67" spans="2:38" x14ac:dyDescent="0.2">
      <c r="B67" s="29" t="s">
        <v>90</v>
      </c>
      <c r="C67" s="12"/>
      <c r="D67" s="484">
        <f t="shared" si="154"/>
        <v>1908</v>
      </c>
      <c r="E67" s="302">
        <f t="shared" si="154"/>
        <v>4276</v>
      </c>
      <c r="F67" s="302">
        <f t="shared" si="154"/>
        <v>4194</v>
      </c>
      <c r="G67" s="302">
        <f t="shared" si="154"/>
        <v>4445</v>
      </c>
      <c r="H67" s="302">
        <f t="shared" si="154"/>
        <v>4692</v>
      </c>
      <c r="I67" s="302">
        <f t="shared" ref="I67:I71" si="155">SUMIFS($K67:$AZ67,$K$3:$AZ$3,I$4,$K$2:$AZ$2,4)</f>
        <v>4276</v>
      </c>
      <c r="K67" s="366">
        <f>1749+16</f>
        <v>1765</v>
      </c>
      <c r="L67" s="366">
        <f>1817+18</f>
        <v>1835</v>
      </c>
      <c r="M67" s="366">
        <f>1822+20</f>
        <v>1842</v>
      </c>
      <c r="N67" s="366">
        <f>1888+20</f>
        <v>1908</v>
      </c>
      <c r="O67" s="715">
        <f>1836+26</f>
        <v>1862</v>
      </c>
      <c r="P67" s="78">
        <f>3355+24</f>
        <v>3379</v>
      </c>
      <c r="Q67" s="78">
        <f>4313+19</f>
        <v>4332</v>
      </c>
      <c r="R67" s="78">
        <f>4254+22</f>
        <v>4276</v>
      </c>
      <c r="S67" s="687">
        <f>3592+20</f>
        <v>3612</v>
      </c>
      <c r="T67" s="78">
        <f>4528+18</f>
        <v>4546</v>
      </c>
      <c r="U67" s="78">
        <f>4109+21</f>
        <v>4130</v>
      </c>
      <c r="V67" s="78">
        <f>4167+27</f>
        <v>4194</v>
      </c>
      <c r="W67" s="687">
        <v>4016</v>
      </c>
      <c r="X67" s="78">
        <v>4466</v>
      </c>
      <c r="Y67" s="78">
        <v>4324</v>
      </c>
      <c r="Z67" s="78">
        <v>4445</v>
      </c>
      <c r="AA67" s="687">
        <v>4366</v>
      </c>
      <c r="AB67" s="78">
        <v>4592</v>
      </c>
      <c r="AC67" s="78">
        <v>4500</v>
      </c>
      <c r="AD67" s="78">
        <v>4692</v>
      </c>
      <c r="AE67" s="687">
        <v>4253</v>
      </c>
      <c r="AF67" s="78">
        <v>4563</v>
      </c>
      <c r="AG67" s="78">
        <v>4286</v>
      </c>
      <c r="AH67" s="78">
        <v>4276</v>
      </c>
      <c r="AI67" s="687">
        <v>4392</v>
      </c>
      <c r="AJ67" s="687">
        <v>4598</v>
      </c>
      <c r="AK67" s="687">
        <v>5084</v>
      </c>
      <c r="AL67" s="687">
        <v>5247</v>
      </c>
    </row>
    <row r="68" spans="2:38" x14ac:dyDescent="0.2">
      <c r="B68" s="88" t="s">
        <v>91</v>
      </c>
      <c r="C68" s="12"/>
      <c r="D68" s="484">
        <f t="shared" si="154"/>
        <v>2600</v>
      </c>
      <c r="E68" s="302">
        <f t="shared" si="154"/>
        <v>3577</v>
      </c>
      <c r="F68" s="302">
        <f t="shared" si="154"/>
        <v>4748</v>
      </c>
      <c r="G68" s="302">
        <f t="shared" si="154"/>
        <v>5123</v>
      </c>
      <c r="H68" s="302">
        <f t="shared" si="154"/>
        <v>4456</v>
      </c>
      <c r="I68" s="302">
        <f t="shared" si="155"/>
        <v>4379</v>
      </c>
      <c r="K68" s="366">
        <v>2466</v>
      </c>
      <c r="L68" s="366">
        <v>2446</v>
      </c>
      <c r="M68" s="366">
        <v>2425</v>
      </c>
      <c r="N68" s="366">
        <v>2600</v>
      </c>
      <c r="O68" s="715">
        <v>2406</v>
      </c>
      <c r="P68" s="78">
        <v>3194</v>
      </c>
      <c r="Q68" s="78">
        <v>3083</v>
      </c>
      <c r="R68" s="78">
        <v>3577</v>
      </c>
      <c r="S68" s="687">
        <v>3841</v>
      </c>
      <c r="T68" s="78">
        <v>4064</v>
      </c>
      <c r="U68" s="78">
        <v>4306</v>
      </c>
      <c r="V68" s="78">
        <v>4748</v>
      </c>
      <c r="W68" s="687">
        <v>5061</v>
      </c>
      <c r="X68" s="78">
        <v>5129</v>
      </c>
      <c r="Y68" s="78">
        <v>5048</v>
      </c>
      <c r="Z68" s="78">
        <v>5123</v>
      </c>
      <c r="AA68" s="687">
        <v>5012</v>
      </c>
      <c r="AB68" s="78">
        <v>4779</v>
      </c>
      <c r="AC68" s="78">
        <v>4470</v>
      </c>
      <c r="AD68" s="78">
        <v>4456</v>
      </c>
      <c r="AE68" s="687">
        <v>4059</v>
      </c>
      <c r="AF68" s="78">
        <v>3776</v>
      </c>
      <c r="AG68" s="78">
        <v>3595</v>
      </c>
      <c r="AH68" s="78">
        <v>4379</v>
      </c>
      <c r="AI68" s="687">
        <v>4294</v>
      </c>
      <c r="AJ68" s="687">
        <v>4226</v>
      </c>
      <c r="AK68" s="687">
        <v>4599</v>
      </c>
      <c r="AL68" s="687">
        <v>4715</v>
      </c>
    </row>
    <row r="69" spans="2:38" x14ac:dyDescent="0.2">
      <c r="B69" s="29" t="s">
        <v>40</v>
      </c>
      <c r="C69" s="12"/>
      <c r="D69" s="484">
        <f t="shared" si="154"/>
        <v>964</v>
      </c>
      <c r="E69" s="302">
        <f t="shared" si="154"/>
        <v>2527</v>
      </c>
      <c r="F69" s="302">
        <f t="shared" si="154"/>
        <v>2567</v>
      </c>
      <c r="G69" s="302">
        <f t="shared" si="154"/>
        <v>1884</v>
      </c>
      <c r="H69" s="302">
        <f t="shared" si="154"/>
        <v>1678</v>
      </c>
      <c r="I69" s="302">
        <f t="shared" si="155"/>
        <v>1607</v>
      </c>
      <c r="K69" s="366">
        <v>1261</v>
      </c>
      <c r="L69" s="366">
        <v>998</v>
      </c>
      <c r="M69" s="366">
        <v>801</v>
      </c>
      <c r="N69" s="366">
        <v>964</v>
      </c>
      <c r="O69" s="715">
        <v>1225</v>
      </c>
      <c r="P69" s="78">
        <v>1549</v>
      </c>
      <c r="Q69" s="78">
        <v>1931</v>
      </c>
      <c r="R69" s="78">
        <v>2527</v>
      </c>
      <c r="S69" s="687">
        <v>2209</v>
      </c>
      <c r="T69" s="78">
        <v>1707</v>
      </c>
      <c r="U69" s="78">
        <v>1762</v>
      </c>
      <c r="V69" s="78">
        <v>2567</v>
      </c>
      <c r="W69" s="687">
        <v>2715</v>
      </c>
      <c r="X69" s="78">
        <v>2243</v>
      </c>
      <c r="Y69" s="78">
        <v>2247</v>
      </c>
      <c r="Z69" s="78">
        <v>1884</v>
      </c>
      <c r="AA69" s="687">
        <v>1741</v>
      </c>
      <c r="AB69" s="78">
        <v>1373</v>
      </c>
      <c r="AC69" s="78">
        <v>1685</v>
      </c>
      <c r="AD69" s="78">
        <v>1678</v>
      </c>
      <c r="AE69" s="687">
        <v>1521</v>
      </c>
      <c r="AF69" s="78">
        <v>1319</v>
      </c>
      <c r="AG69" s="78">
        <v>1789</v>
      </c>
      <c r="AH69" s="78">
        <v>1607</v>
      </c>
      <c r="AI69" s="687">
        <v>1937</v>
      </c>
      <c r="AJ69" s="687">
        <v>1690</v>
      </c>
      <c r="AK69" s="687">
        <v>2370</v>
      </c>
      <c r="AL69" s="687">
        <v>2191</v>
      </c>
    </row>
    <row r="70" spans="2:38" x14ac:dyDescent="0.2">
      <c r="B70" s="29" t="s">
        <v>41</v>
      </c>
      <c r="C70" s="12"/>
      <c r="D70" s="484">
        <f t="shared" si="154"/>
        <v>0</v>
      </c>
      <c r="E70" s="302">
        <f t="shared" si="154"/>
        <v>624</v>
      </c>
      <c r="F70" s="302">
        <f t="shared" si="154"/>
        <v>746</v>
      </c>
      <c r="G70" s="302">
        <f t="shared" si="154"/>
        <v>673</v>
      </c>
      <c r="H70" s="302">
        <f t="shared" si="154"/>
        <v>702</v>
      </c>
      <c r="I70" s="302">
        <f t="shared" si="155"/>
        <v>880</v>
      </c>
      <c r="K70" s="366"/>
      <c r="L70" s="366"/>
      <c r="M70" s="366"/>
      <c r="N70" s="366"/>
      <c r="O70" s="715"/>
      <c r="P70" s="78">
        <v>627</v>
      </c>
      <c r="Q70" s="78">
        <v>659</v>
      </c>
      <c r="R70" s="78">
        <v>624</v>
      </c>
      <c r="S70" s="687">
        <v>670</v>
      </c>
      <c r="T70" s="78">
        <v>818</v>
      </c>
      <c r="U70" s="78">
        <v>943</v>
      </c>
      <c r="V70" s="78">
        <v>746</v>
      </c>
      <c r="W70" s="687">
        <v>727</v>
      </c>
      <c r="X70" s="78">
        <v>776</v>
      </c>
      <c r="Y70" s="78">
        <v>711</v>
      </c>
      <c r="Z70" s="78">
        <v>673</v>
      </c>
      <c r="AA70" s="687">
        <v>674</v>
      </c>
      <c r="AB70" s="78">
        <v>814</v>
      </c>
      <c r="AC70" s="78">
        <v>712</v>
      </c>
      <c r="AD70" s="78">
        <v>702</v>
      </c>
      <c r="AE70" s="687">
        <v>715</v>
      </c>
      <c r="AF70" s="78">
        <v>1059</v>
      </c>
      <c r="AG70" s="78">
        <v>953</v>
      </c>
      <c r="AH70" s="78">
        <v>880</v>
      </c>
      <c r="AI70" s="687">
        <v>980</v>
      </c>
      <c r="AJ70" s="687">
        <v>1125</v>
      </c>
      <c r="AK70" s="687">
        <v>1128</v>
      </c>
      <c r="AL70" s="687">
        <v>1027</v>
      </c>
    </row>
    <row r="71" spans="2:38" x14ac:dyDescent="0.2">
      <c r="B71" s="29" t="s">
        <v>42</v>
      </c>
      <c r="C71" s="13"/>
      <c r="D71" s="484">
        <f t="shared" si="154"/>
        <v>2305</v>
      </c>
      <c r="E71" s="302">
        <f t="shared" si="154"/>
        <v>2496</v>
      </c>
      <c r="F71" s="302">
        <f t="shared" si="154"/>
        <v>2005</v>
      </c>
      <c r="G71" s="302">
        <f t="shared" si="154"/>
        <v>2435</v>
      </c>
      <c r="H71" s="302">
        <f t="shared" si="154"/>
        <v>2352</v>
      </c>
      <c r="I71" s="302">
        <f t="shared" si="155"/>
        <v>1853</v>
      </c>
      <c r="K71" s="365">
        <v>1814</v>
      </c>
      <c r="L71" s="365">
        <v>1730</v>
      </c>
      <c r="M71" s="365">
        <v>1737</v>
      </c>
      <c r="N71" s="365">
        <v>2305</v>
      </c>
      <c r="O71" s="716">
        <v>2882</v>
      </c>
      <c r="P71" s="79">
        <f>1910+2586</f>
        <v>4496</v>
      </c>
      <c r="Q71" s="79">
        <v>2889</v>
      </c>
      <c r="R71" s="79">
        <v>2496</v>
      </c>
      <c r="S71" s="690">
        <v>1770</v>
      </c>
      <c r="T71" s="79">
        <v>1642</v>
      </c>
      <c r="U71" s="79">
        <v>1576</v>
      </c>
      <c r="V71" s="79">
        <v>2005</v>
      </c>
      <c r="W71" s="690">
        <v>1691</v>
      </c>
      <c r="X71" s="79">
        <v>1711</v>
      </c>
      <c r="Y71" s="79">
        <v>2209</v>
      </c>
      <c r="Z71" s="79">
        <v>2435</v>
      </c>
      <c r="AA71" s="690">
        <v>2543</v>
      </c>
      <c r="AB71" s="79">
        <v>2032</v>
      </c>
      <c r="AC71" s="79">
        <v>2272</v>
      </c>
      <c r="AD71" s="79">
        <v>2352</v>
      </c>
      <c r="AE71" s="690">
        <v>2039</v>
      </c>
      <c r="AF71" s="79">
        <v>2163</v>
      </c>
      <c r="AG71" s="79">
        <v>2154</v>
      </c>
      <c r="AH71" s="79">
        <v>1853</v>
      </c>
      <c r="AI71" s="690">
        <v>3835</v>
      </c>
      <c r="AJ71" s="690">
        <v>4874</v>
      </c>
      <c r="AK71" s="690">
        <v>5212</v>
      </c>
      <c r="AL71" s="690">
        <v>5764</v>
      </c>
    </row>
    <row r="72" spans="2:38" x14ac:dyDescent="0.2">
      <c r="B72" s="185" t="s">
        <v>43</v>
      </c>
      <c r="C72" s="65"/>
      <c r="D72" s="471">
        <f t="shared" ref="D72:I72" si="156">SUM(D66:D71)</f>
        <v>9305</v>
      </c>
      <c r="E72" s="65">
        <f t="shared" si="156"/>
        <v>23885</v>
      </c>
      <c r="F72" s="65">
        <f t="shared" si="156"/>
        <v>20891</v>
      </c>
      <c r="G72" s="65">
        <f t="shared" si="156"/>
        <v>19067</v>
      </c>
      <c r="H72" s="65">
        <f t="shared" si="156"/>
        <v>19015</v>
      </c>
      <c r="I72" s="65">
        <f t="shared" si="156"/>
        <v>18404</v>
      </c>
      <c r="K72" s="347">
        <f t="shared" ref="K72:Q72" si="157">SUM(K66:K71)</f>
        <v>8745</v>
      </c>
      <c r="L72" s="347">
        <f t="shared" si="157"/>
        <v>8114</v>
      </c>
      <c r="M72" s="347">
        <f t="shared" si="157"/>
        <v>8458</v>
      </c>
      <c r="N72" s="347">
        <f t="shared" si="157"/>
        <v>9305</v>
      </c>
      <c r="O72" s="717">
        <f t="shared" si="157"/>
        <v>9487</v>
      </c>
      <c r="P72" s="65">
        <f t="shared" si="157"/>
        <v>24321</v>
      </c>
      <c r="Q72" s="65">
        <f t="shared" si="157"/>
        <v>19465</v>
      </c>
      <c r="R72" s="65">
        <f t="shared" ref="R72:V72" si="158">SUM(R66:R71)</f>
        <v>23885</v>
      </c>
      <c r="S72" s="691">
        <f t="shared" si="158"/>
        <v>18779</v>
      </c>
      <c r="T72" s="65">
        <f t="shared" si="158"/>
        <v>20570</v>
      </c>
      <c r="U72" s="65">
        <f t="shared" si="158"/>
        <v>16772</v>
      </c>
      <c r="V72" s="65">
        <f t="shared" si="158"/>
        <v>20891</v>
      </c>
      <c r="W72" s="691">
        <f>SUM(W66:W71)</f>
        <v>17455</v>
      </c>
      <c r="X72" s="65">
        <f t="shared" ref="X72:AG72" si="159">SUM(X66:X71)</f>
        <v>17476</v>
      </c>
      <c r="Y72" s="65">
        <f t="shared" si="159"/>
        <v>21427</v>
      </c>
      <c r="Z72" s="65">
        <f t="shared" si="159"/>
        <v>19067</v>
      </c>
      <c r="AA72" s="691">
        <f t="shared" si="159"/>
        <v>18876</v>
      </c>
      <c r="AB72" s="65">
        <f t="shared" si="159"/>
        <v>20237</v>
      </c>
      <c r="AC72" s="65">
        <f t="shared" si="159"/>
        <v>18669</v>
      </c>
      <c r="AD72" s="65">
        <f t="shared" si="159"/>
        <v>19015</v>
      </c>
      <c r="AE72" s="691">
        <f t="shared" si="159"/>
        <v>19295</v>
      </c>
      <c r="AF72" s="65">
        <f t="shared" si="159"/>
        <v>19297</v>
      </c>
      <c r="AG72" s="65">
        <f t="shared" si="159"/>
        <v>22531</v>
      </c>
      <c r="AH72" s="65">
        <f t="shared" ref="AH72:AK72" si="160">SUM(AH66:AH71)</f>
        <v>18404</v>
      </c>
      <c r="AI72" s="691">
        <f t="shared" si="160"/>
        <v>27441</v>
      </c>
      <c r="AJ72" s="691">
        <f t="shared" si="160"/>
        <v>26772</v>
      </c>
      <c r="AK72" s="691">
        <f t="shared" si="160"/>
        <v>21703</v>
      </c>
      <c r="AL72" s="691">
        <f>SUM(AL66:AL71)</f>
        <v>21769</v>
      </c>
    </row>
    <row r="73" spans="2:38" x14ac:dyDescent="0.2">
      <c r="B73" s="10" t="s">
        <v>44</v>
      </c>
      <c r="C73" s="22"/>
      <c r="D73" s="484">
        <f t="shared" ref="D73:H80" si="161">SUMIFS($K73:$AF73,$K$3:$AF$3,D$4,$K$2:$AF$2,4)</f>
        <v>21984</v>
      </c>
      <c r="E73" s="302">
        <f t="shared" si="161"/>
        <v>41175</v>
      </c>
      <c r="F73" s="302">
        <f t="shared" si="161"/>
        <v>39803</v>
      </c>
      <c r="G73" s="302">
        <f t="shared" si="161"/>
        <v>42086</v>
      </c>
      <c r="H73" s="302">
        <f t="shared" si="161"/>
        <v>40432</v>
      </c>
      <c r="I73" s="302">
        <f t="shared" ref="I73:I80" si="162">SUMIFS($K73:$AZ73,$K$3:$AZ$3,I$4,$K$2:$AZ$2,4)</f>
        <v>38533</v>
      </c>
      <c r="K73" s="366">
        <v>21464</v>
      </c>
      <c r="L73" s="366">
        <v>21847</v>
      </c>
      <c r="M73" s="366">
        <v>22098</v>
      </c>
      <c r="N73" s="366">
        <v>21984</v>
      </c>
      <c r="O73" s="715">
        <v>22149</v>
      </c>
      <c r="P73" s="80">
        <v>38801</v>
      </c>
      <c r="Q73" s="80">
        <v>38567</v>
      </c>
      <c r="R73" s="80">
        <v>41175</v>
      </c>
      <c r="S73" s="742">
        <v>40549</v>
      </c>
      <c r="T73" s="80">
        <v>39752</v>
      </c>
      <c r="U73" s="80">
        <v>39355</v>
      </c>
      <c r="V73" s="80">
        <v>39803</v>
      </c>
      <c r="W73" s="742">
        <v>40006</v>
      </c>
      <c r="X73" s="80">
        <v>40245</v>
      </c>
      <c r="Y73" s="80">
        <v>41034</v>
      </c>
      <c r="Z73" s="80">
        <v>42086</v>
      </c>
      <c r="AA73" s="742">
        <v>42053</v>
      </c>
      <c r="AB73" s="80">
        <v>41804</v>
      </c>
      <c r="AC73" s="80">
        <v>41080</v>
      </c>
      <c r="AD73" s="80">
        <v>40432</v>
      </c>
      <c r="AE73" s="742">
        <v>39286</v>
      </c>
      <c r="AF73" s="80">
        <v>38222</v>
      </c>
      <c r="AG73" s="80">
        <v>37603</v>
      </c>
      <c r="AH73" s="80">
        <v>38533</v>
      </c>
      <c r="AI73" s="742">
        <v>37897</v>
      </c>
      <c r="AJ73" s="742">
        <v>37481</v>
      </c>
      <c r="AK73" s="742">
        <v>38718</v>
      </c>
      <c r="AL73" s="742">
        <v>36623</v>
      </c>
    </row>
    <row r="74" spans="2:38" x14ac:dyDescent="0.2">
      <c r="B74" s="10" t="s">
        <v>45</v>
      </c>
      <c r="C74" s="23"/>
      <c r="D74" s="484">
        <f t="shared" si="161"/>
        <v>10933</v>
      </c>
      <c r="E74" s="302">
        <f t="shared" si="161"/>
        <v>28021</v>
      </c>
      <c r="F74" s="302">
        <f t="shared" si="161"/>
        <v>26959</v>
      </c>
      <c r="G74" s="302">
        <f t="shared" si="161"/>
        <v>28715</v>
      </c>
      <c r="H74" s="302">
        <f t="shared" si="161"/>
        <v>27135</v>
      </c>
      <c r="I74" s="302">
        <f t="shared" si="162"/>
        <v>25398</v>
      </c>
      <c r="K74" s="366">
        <v>9509</v>
      </c>
      <c r="L74" s="366">
        <v>10439</v>
      </c>
      <c r="M74" s="366">
        <v>10914</v>
      </c>
      <c r="N74" s="366">
        <v>10933</v>
      </c>
      <c r="O74" s="715">
        <v>10956</v>
      </c>
      <c r="P74" s="81">
        <v>17246</v>
      </c>
      <c r="Q74" s="81">
        <v>27999</v>
      </c>
      <c r="R74" s="81">
        <v>28021</v>
      </c>
      <c r="S74" s="743">
        <v>27793</v>
      </c>
      <c r="T74" s="81">
        <v>27511</v>
      </c>
      <c r="U74" s="81">
        <v>27446</v>
      </c>
      <c r="V74" s="81">
        <v>26959</v>
      </c>
      <c r="W74" s="743">
        <v>31449</v>
      </c>
      <c r="X74" s="81">
        <v>30110</v>
      </c>
      <c r="Y74" s="81">
        <v>29264</v>
      </c>
      <c r="Z74" s="81">
        <v>28715</v>
      </c>
      <c r="AA74" s="743">
        <v>28146</v>
      </c>
      <c r="AB74" s="81">
        <v>27891</v>
      </c>
      <c r="AC74" s="81">
        <v>27568</v>
      </c>
      <c r="AD74" s="81">
        <v>27135</v>
      </c>
      <c r="AE74" s="743">
        <v>26766</v>
      </c>
      <c r="AF74" s="81">
        <v>26240</v>
      </c>
      <c r="AG74" s="81">
        <v>25833</v>
      </c>
      <c r="AH74" s="81">
        <v>25398</v>
      </c>
      <c r="AI74" s="743">
        <v>25025</v>
      </c>
      <c r="AJ74" s="743">
        <v>24735</v>
      </c>
      <c r="AK74" s="743">
        <v>26070</v>
      </c>
      <c r="AL74" s="743">
        <v>24596</v>
      </c>
    </row>
    <row r="75" spans="2:38" x14ac:dyDescent="0.2">
      <c r="B75" s="10" t="s">
        <v>46</v>
      </c>
      <c r="C75" s="23"/>
      <c r="D75" s="484">
        <f t="shared" si="161"/>
        <v>2715</v>
      </c>
      <c r="E75" s="302">
        <f t="shared" si="161"/>
        <v>3028</v>
      </c>
      <c r="F75" s="302">
        <f t="shared" si="161"/>
        <v>3322</v>
      </c>
      <c r="G75" s="302">
        <f t="shared" si="161"/>
        <v>3257</v>
      </c>
      <c r="H75" s="302">
        <f t="shared" si="161"/>
        <v>3270</v>
      </c>
      <c r="I75" s="302">
        <f t="shared" si="162"/>
        <v>3091</v>
      </c>
      <c r="K75" s="366">
        <v>2339</v>
      </c>
      <c r="L75" s="366">
        <v>2589</v>
      </c>
      <c r="M75" s="366">
        <v>2855</v>
      </c>
      <c r="N75" s="366">
        <v>2715</v>
      </c>
      <c r="O75" s="715">
        <v>2749</v>
      </c>
      <c r="P75" s="81">
        <v>3288</v>
      </c>
      <c r="Q75" s="81">
        <v>3038</v>
      </c>
      <c r="R75" s="81">
        <v>3028</v>
      </c>
      <c r="S75" s="743">
        <v>2899</v>
      </c>
      <c r="T75" s="81">
        <v>3072</v>
      </c>
      <c r="U75" s="81">
        <v>3396</v>
      </c>
      <c r="V75" s="81">
        <v>3322</v>
      </c>
      <c r="W75" s="743">
        <v>3287</v>
      </c>
      <c r="X75" s="81">
        <v>3588</v>
      </c>
      <c r="Y75" s="81">
        <v>3619</v>
      </c>
      <c r="Z75" s="81">
        <v>3257</v>
      </c>
      <c r="AA75" s="743">
        <v>3282</v>
      </c>
      <c r="AB75" s="81">
        <v>3365</v>
      </c>
      <c r="AC75" s="81">
        <v>3390</v>
      </c>
      <c r="AD75" s="81">
        <v>3270</v>
      </c>
      <c r="AE75" s="743">
        <v>3180</v>
      </c>
      <c r="AF75" s="81">
        <v>3271</v>
      </c>
      <c r="AG75" s="81">
        <v>3352</v>
      </c>
      <c r="AH75" s="81">
        <v>3091</v>
      </c>
      <c r="AI75" s="743">
        <v>2977</v>
      </c>
      <c r="AJ75" s="743">
        <v>3105</v>
      </c>
      <c r="AK75" s="743">
        <v>2955</v>
      </c>
      <c r="AL75" s="743">
        <v>2994</v>
      </c>
    </row>
    <row r="76" spans="2:38" x14ac:dyDescent="0.2">
      <c r="B76" s="10" t="s">
        <v>47</v>
      </c>
      <c r="C76" s="23"/>
      <c r="D76" s="484">
        <f t="shared" si="161"/>
        <v>1930</v>
      </c>
      <c r="E76" s="302">
        <f t="shared" si="161"/>
        <v>11117</v>
      </c>
      <c r="F76" s="302">
        <f t="shared" si="161"/>
        <v>12188</v>
      </c>
      <c r="G76" s="302">
        <f t="shared" si="161"/>
        <v>12234</v>
      </c>
      <c r="H76" s="302">
        <f t="shared" si="161"/>
        <v>12234</v>
      </c>
      <c r="I76" s="302">
        <f t="shared" si="162"/>
        <v>13005</v>
      </c>
      <c r="K76" s="366">
        <v>1901</v>
      </c>
      <c r="L76" s="366">
        <v>1901</v>
      </c>
      <c r="M76" s="366">
        <v>1930</v>
      </c>
      <c r="N76" s="366">
        <v>1930</v>
      </c>
      <c r="O76" s="715">
        <v>1930</v>
      </c>
      <c r="P76" s="81">
        <v>10910</v>
      </c>
      <c r="Q76" s="81">
        <v>10906</v>
      </c>
      <c r="R76" s="81">
        <v>11117</v>
      </c>
      <c r="S76" s="743">
        <v>11158</v>
      </c>
      <c r="T76" s="81">
        <v>11152</v>
      </c>
      <c r="U76" s="81">
        <v>12188</v>
      </c>
      <c r="V76" s="81">
        <v>12188</v>
      </c>
      <c r="W76" s="743">
        <v>12234</v>
      </c>
      <c r="X76" s="81">
        <v>12234</v>
      </c>
      <c r="Y76" s="81">
        <v>12234</v>
      </c>
      <c r="Z76" s="81">
        <v>12234</v>
      </c>
      <c r="AA76" s="743">
        <v>12234</v>
      </c>
      <c r="AB76" s="81">
        <v>12234</v>
      </c>
      <c r="AC76" s="81">
        <v>12234</v>
      </c>
      <c r="AD76" s="81">
        <v>12234</v>
      </c>
      <c r="AE76" s="743">
        <v>12234</v>
      </c>
      <c r="AF76" s="81">
        <v>13015</v>
      </c>
      <c r="AG76" s="81">
        <v>13015</v>
      </c>
      <c r="AH76" s="81">
        <v>13005</v>
      </c>
      <c r="AI76" s="743">
        <v>13467</v>
      </c>
      <c r="AJ76" s="743">
        <v>13460</v>
      </c>
      <c r="AK76" s="743">
        <v>13690</v>
      </c>
      <c r="AL76" s="743">
        <v>13667</v>
      </c>
    </row>
    <row r="77" spans="2:38" x14ac:dyDescent="0.2">
      <c r="B77" s="10" t="s">
        <v>48</v>
      </c>
      <c r="C77" s="23"/>
      <c r="D77" s="484">
        <f t="shared" si="161"/>
        <v>36465</v>
      </c>
      <c r="E77" s="302">
        <f t="shared" si="161"/>
        <v>82828</v>
      </c>
      <c r="F77" s="302">
        <f t="shared" si="161"/>
        <v>92606</v>
      </c>
      <c r="G77" s="302">
        <f t="shared" si="161"/>
        <v>95798</v>
      </c>
      <c r="H77" s="302">
        <f t="shared" si="161"/>
        <v>96707</v>
      </c>
      <c r="I77" s="302">
        <f t="shared" si="162"/>
        <v>100558</v>
      </c>
      <c r="K77" s="366">
        <v>35618</v>
      </c>
      <c r="L77" s="366">
        <v>36430</v>
      </c>
      <c r="M77" s="366">
        <v>36442</v>
      </c>
      <c r="N77" s="366">
        <v>36465</v>
      </c>
      <c r="O77" s="715">
        <v>36471</v>
      </c>
      <c r="P77" s="81">
        <v>82870</v>
      </c>
      <c r="Q77" s="81">
        <v>82891</v>
      </c>
      <c r="R77" s="81">
        <v>82828</v>
      </c>
      <c r="S77" s="743">
        <v>82901</v>
      </c>
      <c r="T77" s="81">
        <v>82917</v>
      </c>
      <c r="U77" s="81">
        <v>92589</v>
      </c>
      <c r="V77" s="81">
        <v>92606</v>
      </c>
      <c r="W77" s="743">
        <v>92661</v>
      </c>
      <c r="X77" s="81">
        <v>95632</v>
      </c>
      <c r="Y77" s="81">
        <v>95767</v>
      </c>
      <c r="Z77" s="81">
        <v>95798</v>
      </c>
      <c r="AA77" s="743">
        <v>95878</v>
      </c>
      <c r="AB77" s="81">
        <v>95889</v>
      </c>
      <c r="AC77" s="81">
        <v>96689</v>
      </c>
      <c r="AD77" s="81">
        <v>96707</v>
      </c>
      <c r="AE77" s="743">
        <v>97154</v>
      </c>
      <c r="AF77" s="81">
        <v>98661</v>
      </c>
      <c r="AG77" s="81">
        <v>98736</v>
      </c>
      <c r="AH77" s="81">
        <v>100558</v>
      </c>
      <c r="AI77" s="743">
        <v>98733</v>
      </c>
      <c r="AJ77" s="743">
        <v>95928</v>
      </c>
      <c r="AK77" s="743">
        <v>97749</v>
      </c>
      <c r="AL77" s="743">
        <v>98178</v>
      </c>
    </row>
    <row r="78" spans="2:38" x14ac:dyDescent="0.2">
      <c r="B78" s="10" t="s">
        <v>49</v>
      </c>
      <c r="C78" s="23"/>
      <c r="D78" s="484">
        <f t="shared" si="161"/>
        <v>115</v>
      </c>
      <c r="E78" s="302">
        <f t="shared" si="161"/>
        <v>5298</v>
      </c>
      <c r="F78" s="302">
        <f t="shared" si="161"/>
        <v>4733</v>
      </c>
      <c r="G78" s="302">
        <f t="shared" si="161"/>
        <v>3508</v>
      </c>
      <c r="H78" s="302">
        <f t="shared" si="161"/>
        <v>2618</v>
      </c>
      <c r="I78" s="302">
        <f t="shared" si="162"/>
        <v>2512</v>
      </c>
      <c r="K78" s="366">
        <v>174</v>
      </c>
      <c r="L78" s="366">
        <v>157</v>
      </c>
      <c r="M78" s="366">
        <v>144</v>
      </c>
      <c r="N78" s="366">
        <v>115</v>
      </c>
      <c r="O78" s="715">
        <v>91</v>
      </c>
      <c r="P78" s="81">
        <v>6038</v>
      </c>
      <c r="Q78" s="81">
        <v>5660</v>
      </c>
      <c r="R78" s="81">
        <v>5298</v>
      </c>
      <c r="S78" s="743">
        <v>4892</v>
      </c>
      <c r="T78" s="81">
        <v>4600</v>
      </c>
      <c r="U78" s="81">
        <v>5047</v>
      </c>
      <c r="V78" s="81">
        <v>4733</v>
      </c>
      <c r="W78" s="743">
        <v>4448</v>
      </c>
      <c r="X78" s="81">
        <v>4140</v>
      </c>
      <c r="Y78" s="81">
        <v>3763</v>
      </c>
      <c r="Z78" s="81">
        <v>3508</v>
      </c>
      <c r="AA78" s="743">
        <v>3245</v>
      </c>
      <c r="AB78" s="81">
        <v>3032</v>
      </c>
      <c r="AC78" s="81">
        <v>2824</v>
      </c>
      <c r="AD78" s="81">
        <v>2618</v>
      </c>
      <c r="AE78" s="743">
        <v>2445</v>
      </c>
      <c r="AF78" s="81">
        <v>2978</v>
      </c>
      <c r="AG78" s="81">
        <v>2762</v>
      </c>
      <c r="AH78" s="81">
        <v>2512</v>
      </c>
      <c r="AI78" s="743">
        <v>2618</v>
      </c>
      <c r="AJ78" s="743">
        <v>2438</v>
      </c>
      <c r="AK78" s="743">
        <v>4117</v>
      </c>
      <c r="AL78" s="743">
        <v>3295</v>
      </c>
    </row>
    <row r="79" spans="2:38" x14ac:dyDescent="0.2">
      <c r="B79" s="137" t="s">
        <v>190</v>
      </c>
      <c r="C79" s="23"/>
      <c r="D79" s="484">
        <f t="shared" si="161"/>
        <v>1583</v>
      </c>
      <c r="E79" s="302">
        <f t="shared" si="161"/>
        <v>2031</v>
      </c>
      <c r="F79" s="302">
        <f t="shared" si="161"/>
        <v>2829</v>
      </c>
      <c r="G79" s="302">
        <f t="shared" si="161"/>
        <v>2546</v>
      </c>
      <c r="H79" s="302">
        <f t="shared" si="161"/>
        <v>2042</v>
      </c>
      <c r="I79" s="302">
        <f t="shared" si="162"/>
        <v>2209</v>
      </c>
      <c r="K79" s="366">
        <v>1662</v>
      </c>
      <c r="L79" s="366">
        <v>1604</v>
      </c>
      <c r="M79" s="366">
        <v>1469</v>
      </c>
      <c r="N79" s="366">
        <v>1583</v>
      </c>
      <c r="O79" s="715">
        <v>1367</v>
      </c>
      <c r="P79" s="81">
        <v>1399</v>
      </c>
      <c r="Q79" s="81">
        <v>1398</v>
      </c>
      <c r="R79" s="81">
        <v>2031</v>
      </c>
      <c r="S79" s="743">
        <v>2221</v>
      </c>
      <c r="T79" s="81">
        <v>2284</v>
      </c>
      <c r="U79" s="81">
        <v>2280</v>
      </c>
      <c r="V79" s="81">
        <v>2829</v>
      </c>
      <c r="W79" s="743">
        <v>2837</v>
      </c>
      <c r="X79" s="81">
        <v>2605</v>
      </c>
      <c r="Y79" s="81">
        <v>2514</v>
      </c>
      <c r="Z79" s="81">
        <v>2546</v>
      </c>
      <c r="AA79" s="743">
        <v>2250</v>
      </c>
      <c r="AB79" s="81">
        <v>1966</v>
      </c>
      <c r="AC79" s="81">
        <v>1879</v>
      </c>
      <c r="AD79" s="81">
        <v>2042</v>
      </c>
      <c r="AE79" s="743">
        <v>1908</v>
      </c>
      <c r="AF79" s="81">
        <v>1780</v>
      </c>
      <c r="AG79" s="81">
        <v>1752</v>
      </c>
      <c r="AH79" s="81">
        <v>2209</v>
      </c>
      <c r="AI79" s="743">
        <v>2111</v>
      </c>
      <c r="AJ79" s="743">
        <v>1975</v>
      </c>
      <c r="AK79" s="743">
        <v>2316</v>
      </c>
      <c r="AL79" s="743">
        <v>2458</v>
      </c>
    </row>
    <row r="80" spans="2:38" x14ac:dyDescent="0.2">
      <c r="B80" s="16" t="s">
        <v>50</v>
      </c>
      <c r="C80" s="24"/>
      <c r="D80" s="484">
        <f t="shared" si="161"/>
        <v>1891</v>
      </c>
      <c r="E80" s="302">
        <f t="shared" si="161"/>
        <v>2779</v>
      </c>
      <c r="F80" s="302">
        <f t="shared" si="161"/>
        <v>3232</v>
      </c>
      <c r="G80" s="302">
        <f t="shared" si="161"/>
        <v>4127</v>
      </c>
      <c r="H80" s="302">
        <f t="shared" si="161"/>
        <v>4229</v>
      </c>
      <c r="I80" s="302">
        <f t="shared" si="162"/>
        <v>4325</v>
      </c>
      <c r="K80" s="366">
        <v>1661</v>
      </c>
      <c r="L80" s="366">
        <v>1707</v>
      </c>
      <c r="M80" s="366">
        <v>1799</v>
      </c>
      <c r="N80" s="366">
        <v>1891</v>
      </c>
      <c r="O80" s="715">
        <v>2026</v>
      </c>
      <c r="P80" s="82">
        <v>2326</v>
      </c>
      <c r="Q80" s="82">
        <v>2519</v>
      </c>
      <c r="R80" s="82">
        <v>2779</v>
      </c>
      <c r="S80" s="744">
        <v>12140</v>
      </c>
      <c r="T80" s="82">
        <v>12266</v>
      </c>
      <c r="U80" s="82">
        <v>3052</v>
      </c>
      <c r="V80" s="82">
        <v>3232</v>
      </c>
      <c r="W80" s="744">
        <v>6276</v>
      </c>
      <c r="X80" s="82">
        <v>3433</v>
      </c>
      <c r="Y80" s="82">
        <v>3877</v>
      </c>
      <c r="Z80" s="82">
        <v>4127</v>
      </c>
      <c r="AA80" s="744">
        <v>4209</v>
      </c>
      <c r="AB80" s="82">
        <v>4184</v>
      </c>
      <c r="AC80" s="82">
        <v>4246</v>
      </c>
      <c r="AD80" s="82">
        <v>4229</v>
      </c>
      <c r="AE80" s="744">
        <v>4000</v>
      </c>
      <c r="AF80" s="82">
        <v>5093</v>
      </c>
      <c r="AG80" s="82">
        <v>5158</v>
      </c>
      <c r="AH80" s="82">
        <v>4325</v>
      </c>
      <c r="AI80" s="744">
        <v>4364</v>
      </c>
      <c r="AJ80" s="744">
        <v>6749</v>
      </c>
      <c r="AK80" s="744">
        <v>9862</v>
      </c>
      <c r="AL80" s="744">
        <v>9973</v>
      </c>
    </row>
    <row r="81" spans="2:38" s="30" customFormat="1" ht="12.75" thickBot="1" x14ac:dyDescent="0.25">
      <c r="B81" s="212" t="s">
        <v>51</v>
      </c>
      <c r="C81" s="158"/>
      <c r="D81" s="476">
        <f t="shared" ref="D81:I81" si="163">+SUM(D72:D80)</f>
        <v>86921</v>
      </c>
      <c r="E81" s="158">
        <f t="shared" si="163"/>
        <v>200162</v>
      </c>
      <c r="F81" s="158">
        <f t="shared" si="163"/>
        <v>206563</v>
      </c>
      <c r="G81" s="158">
        <f t="shared" si="163"/>
        <v>211338</v>
      </c>
      <c r="H81" s="158">
        <f t="shared" si="163"/>
        <v>207682</v>
      </c>
      <c r="I81" s="158">
        <f t="shared" si="163"/>
        <v>208035</v>
      </c>
      <c r="K81" s="348">
        <f t="shared" ref="K81:Q81" si="164">+SUM(K72:K80)</f>
        <v>83073</v>
      </c>
      <c r="L81" s="348">
        <f t="shared" si="164"/>
        <v>84788</v>
      </c>
      <c r="M81" s="348">
        <f t="shared" si="164"/>
        <v>86109</v>
      </c>
      <c r="N81" s="348">
        <f t="shared" si="164"/>
        <v>86921</v>
      </c>
      <c r="O81" s="718">
        <f t="shared" si="164"/>
        <v>87226</v>
      </c>
      <c r="P81" s="158">
        <f t="shared" si="164"/>
        <v>187199</v>
      </c>
      <c r="Q81" s="158">
        <f t="shared" si="164"/>
        <v>192443</v>
      </c>
      <c r="R81" s="158">
        <f t="shared" ref="R81:V81" si="165">+SUM(R72:R80)</f>
        <v>200162</v>
      </c>
      <c r="S81" s="697">
        <f t="shared" si="165"/>
        <v>203332</v>
      </c>
      <c r="T81" s="158">
        <f t="shared" si="165"/>
        <v>204124</v>
      </c>
      <c r="U81" s="158">
        <f t="shared" si="165"/>
        <v>202125</v>
      </c>
      <c r="V81" s="158">
        <f t="shared" si="165"/>
        <v>206563</v>
      </c>
      <c r="W81" s="697">
        <f>+SUM(W72:W80)</f>
        <v>210653</v>
      </c>
      <c r="X81" s="158">
        <f t="shared" ref="X81:AG81" si="166">+SUM(X72:X80)</f>
        <v>209463</v>
      </c>
      <c r="Y81" s="158">
        <f t="shared" si="166"/>
        <v>213499</v>
      </c>
      <c r="Z81" s="158">
        <f t="shared" si="166"/>
        <v>211338</v>
      </c>
      <c r="AA81" s="697">
        <f t="shared" si="166"/>
        <v>210173</v>
      </c>
      <c r="AB81" s="158">
        <f t="shared" si="166"/>
        <v>210602</v>
      </c>
      <c r="AC81" s="158">
        <f t="shared" si="166"/>
        <v>208579</v>
      </c>
      <c r="AD81" s="158">
        <f t="shared" si="166"/>
        <v>207682</v>
      </c>
      <c r="AE81" s="697">
        <f t="shared" si="166"/>
        <v>206268</v>
      </c>
      <c r="AF81" s="158">
        <f t="shared" si="166"/>
        <v>208557</v>
      </c>
      <c r="AG81" s="158">
        <f t="shared" si="166"/>
        <v>210742</v>
      </c>
      <c r="AH81" s="158">
        <f t="shared" ref="AH81:AK81" si="167">+SUM(AH72:AH80)</f>
        <v>208035</v>
      </c>
      <c r="AI81" s="697">
        <f t="shared" si="167"/>
        <v>214633</v>
      </c>
      <c r="AJ81" s="697">
        <f t="shared" si="167"/>
        <v>212643</v>
      </c>
      <c r="AK81" s="697">
        <f t="shared" si="167"/>
        <v>217180</v>
      </c>
      <c r="AL81" s="697">
        <f>+SUM(AL72:AL80)</f>
        <v>213553</v>
      </c>
    </row>
    <row r="82" spans="2:38" x14ac:dyDescent="0.2">
      <c r="B82" s="14" t="s">
        <v>52</v>
      </c>
      <c r="C82" s="17"/>
      <c r="D82" s="487"/>
      <c r="E82" s="69"/>
      <c r="F82" s="69"/>
      <c r="G82" s="69"/>
      <c r="H82" s="69"/>
      <c r="I82" s="69"/>
      <c r="K82" s="349"/>
      <c r="L82" s="349"/>
      <c r="M82" s="349"/>
      <c r="N82" s="349"/>
      <c r="O82" s="719"/>
      <c r="P82" s="69"/>
      <c r="Q82" s="69"/>
      <c r="R82" s="69"/>
      <c r="S82" s="736"/>
      <c r="T82" s="69"/>
      <c r="U82" s="69"/>
      <c r="V82" s="69"/>
      <c r="W82" s="736"/>
      <c r="X82" s="69"/>
      <c r="Y82" s="69"/>
      <c r="Z82" s="69"/>
      <c r="AA82" s="736"/>
      <c r="AB82" s="69"/>
      <c r="AC82" s="69"/>
      <c r="AD82" s="69"/>
      <c r="AE82" s="736"/>
      <c r="AF82" s="69"/>
      <c r="AG82" s="69"/>
      <c r="AH82" s="69"/>
      <c r="AI82" s="736"/>
      <c r="AJ82" s="736"/>
      <c r="AK82" s="736"/>
      <c r="AL82" s="736"/>
    </row>
    <row r="83" spans="2:38" x14ac:dyDescent="0.2">
      <c r="B83" s="10" t="s">
        <v>53</v>
      </c>
      <c r="C83" s="15"/>
      <c r="D83" s="474"/>
      <c r="E83" s="67"/>
      <c r="F83" s="67"/>
      <c r="G83" s="67"/>
      <c r="H83" s="67"/>
      <c r="I83" s="67"/>
      <c r="K83" s="350"/>
      <c r="L83" s="350"/>
      <c r="M83" s="350"/>
      <c r="N83" s="350"/>
      <c r="O83" s="714"/>
      <c r="P83" s="67"/>
      <c r="Q83" s="67"/>
      <c r="R83" s="67"/>
      <c r="S83" s="694"/>
      <c r="T83" s="67"/>
      <c r="U83" s="67"/>
      <c r="V83" s="67"/>
      <c r="W83" s="694"/>
      <c r="Y83" s="67"/>
      <c r="Z83" s="67"/>
      <c r="AA83" s="694"/>
      <c r="AB83" s="67"/>
      <c r="AC83" s="67"/>
      <c r="AD83" s="67"/>
      <c r="AE83" s="694"/>
      <c r="AF83" s="67"/>
      <c r="AG83" s="67"/>
      <c r="AH83" s="67"/>
      <c r="AI83" s="694"/>
      <c r="AJ83" s="694"/>
      <c r="AK83" s="694"/>
      <c r="AL83" s="694"/>
    </row>
    <row r="84" spans="2:38" x14ac:dyDescent="0.2">
      <c r="B84" s="29" t="s">
        <v>54</v>
      </c>
      <c r="C84" s="84"/>
      <c r="D84" s="484">
        <f t="shared" ref="D84:H90" si="168">SUMIFS($K84:$AF84,$K$3:$AF$3,D$4,$K$2:$AF$2,4)</f>
        <v>6933</v>
      </c>
      <c r="E84" s="302">
        <f t="shared" si="168"/>
        <v>10353</v>
      </c>
      <c r="F84" s="302">
        <f t="shared" si="168"/>
        <v>11508</v>
      </c>
      <c r="G84" s="302">
        <f t="shared" si="168"/>
        <v>12275</v>
      </c>
      <c r="H84" s="302">
        <f t="shared" si="168"/>
        <v>10373</v>
      </c>
      <c r="I84" s="302">
        <f t="shared" ref="I84:I90" si="169">SUMIFS($K84:$AZ84,$K$3:$AZ$3,I$4,$K$2:$AZ$2,4)</f>
        <v>8463</v>
      </c>
      <c r="K84" s="366">
        <f>7330+242</f>
        <v>7572</v>
      </c>
      <c r="L84" s="366">
        <f>7260+198</f>
        <v>7458</v>
      </c>
      <c r="M84" s="366">
        <f>6406+252</f>
        <v>6658</v>
      </c>
      <c r="N84" s="366">
        <f>6746+187</f>
        <v>6933</v>
      </c>
      <c r="O84" s="715">
        <f>6003+228</f>
        <v>6231</v>
      </c>
      <c r="P84" s="78">
        <f>9348+126</f>
        <v>9474</v>
      </c>
      <c r="Q84" s="78">
        <f>8389+135</f>
        <v>8524</v>
      </c>
      <c r="R84" s="78">
        <f>10196+157</f>
        <v>10353</v>
      </c>
      <c r="S84" s="687">
        <f>8712+108</f>
        <v>8820</v>
      </c>
      <c r="T84" s="78">
        <f>8411+105</f>
        <v>8516</v>
      </c>
      <c r="U84" s="78">
        <f>8735+92</f>
        <v>8827</v>
      </c>
      <c r="V84" s="78">
        <f>11405+103</f>
        <v>11508</v>
      </c>
      <c r="W84" s="687">
        <v>11134</v>
      </c>
      <c r="X84" s="78">
        <v>11182</v>
      </c>
      <c r="Y84" s="78">
        <v>11971</v>
      </c>
      <c r="Z84" s="78">
        <v>12275</v>
      </c>
      <c r="AA84" s="687">
        <v>11091</v>
      </c>
      <c r="AB84" s="78">
        <v>9872</v>
      </c>
      <c r="AC84" s="78">
        <v>9665</v>
      </c>
      <c r="AD84" s="78">
        <v>10373</v>
      </c>
      <c r="AE84" s="687">
        <v>7720</v>
      </c>
      <c r="AF84" s="78">
        <v>7591</v>
      </c>
      <c r="AG84" s="78">
        <v>7496</v>
      </c>
      <c r="AH84" s="78">
        <v>8463</v>
      </c>
      <c r="AI84" s="687">
        <v>7900</v>
      </c>
      <c r="AJ84" s="687">
        <v>7802</v>
      </c>
      <c r="AK84" s="687">
        <v>9193</v>
      </c>
      <c r="AL84" s="687">
        <v>8774</v>
      </c>
    </row>
    <row r="85" spans="2:38" x14ac:dyDescent="0.2">
      <c r="B85" s="29" t="s">
        <v>55</v>
      </c>
      <c r="C85" s="85"/>
      <c r="D85" s="484">
        <f t="shared" si="168"/>
        <v>25</v>
      </c>
      <c r="E85" s="302">
        <f t="shared" si="168"/>
        <v>4579</v>
      </c>
      <c r="F85" s="302">
        <f t="shared" si="168"/>
        <v>3378</v>
      </c>
      <c r="G85" s="302">
        <f t="shared" si="168"/>
        <v>5164</v>
      </c>
      <c r="H85" s="302">
        <f t="shared" si="168"/>
        <v>3619</v>
      </c>
      <c r="I85" s="302">
        <f t="shared" si="169"/>
        <v>4068</v>
      </c>
      <c r="K85" s="366">
        <v>250</v>
      </c>
      <c r="L85" s="366">
        <v>300</v>
      </c>
      <c r="M85" s="366">
        <v>475</v>
      </c>
      <c r="N85" s="366">
        <v>25</v>
      </c>
      <c r="O85" s="715">
        <v>0</v>
      </c>
      <c r="P85" s="81">
        <v>3818</v>
      </c>
      <c r="Q85" s="81">
        <v>3713</v>
      </c>
      <c r="R85" s="81">
        <v>4579</v>
      </c>
      <c r="S85" s="743">
        <v>4423</v>
      </c>
      <c r="T85" s="81">
        <v>4648</v>
      </c>
      <c r="U85" s="81">
        <v>2096</v>
      </c>
      <c r="V85" s="81">
        <v>3378</v>
      </c>
      <c r="W85" s="743">
        <v>2865</v>
      </c>
      <c r="X85" s="81">
        <v>2942</v>
      </c>
      <c r="Y85" s="81">
        <v>7398</v>
      </c>
      <c r="Z85" s="81">
        <v>5164</v>
      </c>
      <c r="AA85" s="743">
        <v>5215</v>
      </c>
      <c r="AB85" s="81">
        <v>7731</v>
      </c>
      <c r="AC85" s="81">
        <v>3437</v>
      </c>
      <c r="AD85" s="81">
        <v>3619</v>
      </c>
      <c r="AE85" s="743">
        <v>5356</v>
      </c>
      <c r="AF85" s="81">
        <v>5867</v>
      </c>
      <c r="AG85" s="81">
        <v>5851</v>
      </c>
      <c r="AH85" s="81">
        <v>4068</v>
      </c>
      <c r="AI85" s="743">
        <v>8214</v>
      </c>
      <c r="AJ85" s="743">
        <v>6408</v>
      </c>
      <c r="AK85" s="743">
        <v>6333</v>
      </c>
      <c r="AL85" s="743">
        <v>6117</v>
      </c>
    </row>
    <row r="86" spans="2:38" x14ac:dyDescent="0.2">
      <c r="B86" s="29" t="s">
        <v>56</v>
      </c>
      <c r="C86" s="85"/>
      <c r="D86" s="484">
        <f t="shared" si="168"/>
        <v>0</v>
      </c>
      <c r="E86" s="302">
        <f t="shared" si="168"/>
        <v>0</v>
      </c>
      <c r="F86" s="302">
        <f t="shared" si="168"/>
        <v>2245</v>
      </c>
      <c r="G86" s="302">
        <f t="shared" si="168"/>
        <v>0</v>
      </c>
      <c r="H86" s="302">
        <f t="shared" si="168"/>
        <v>0</v>
      </c>
      <c r="I86" s="302">
        <f t="shared" si="169"/>
        <v>0</v>
      </c>
      <c r="K86" s="366">
        <v>598</v>
      </c>
      <c r="L86" s="366"/>
      <c r="M86" s="366"/>
      <c r="N86" s="366">
        <v>0</v>
      </c>
      <c r="O86" s="715">
        <v>2000</v>
      </c>
      <c r="P86" s="81">
        <v>1235</v>
      </c>
      <c r="Q86" s="81"/>
      <c r="R86" s="81">
        <v>0</v>
      </c>
      <c r="S86" s="743">
        <v>0</v>
      </c>
      <c r="T86" s="81">
        <v>2235</v>
      </c>
      <c r="U86" s="81">
        <v>2240</v>
      </c>
      <c r="V86" s="81">
        <v>2245</v>
      </c>
      <c r="W86" s="743">
        <v>1250</v>
      </c>
      <c r="X86" s="81">
        <v>0</v>
      </c>
      <c r="Y86" s="81">
        <v>0</v>
      </c>
      <c r="Z86" s="81">
        <v>0</v>
      </c>
      <c r="AA86" s="743">
        <v>0</v>
      </c>
      <c r="AB86" s="81">
        <v>0</v>
      </c>
      <c r="AC86" s="81">
        <v>0</v>
      </c>
      <c r="AD86" s="81">
        <v>0</v>
      </c>
      <c r="AE86" s="743">
        <v>0</v>
      </c>
      <c r="AF86" s="81"/>
      <c r="AG86" s="81"/>
      <c r="AH86" s="81"/>
      <c r="AI86" s="743"/>
      <c r="AJ86" s="743"/>
      <c r="AK86" s="743"/>
      <c r="AL86" s="743"/>
    </row>
    <row r="87" spans="2:38" x14ac:dyDescent="0.2">
      <c r="B87" s="29" t="s">
        <v>57</v>
      </c>
      <c r="C87" s="85"/>
      <c r="D87" s="484">
        <f t="shared" si="168"/>
        <v>631</v>
      </c>
      <c r="E87" s="302">
        <f t="shared" si="168"/>
        <v>1030</v>
      </c>
      <c r="F87" s="302">
        <f t="shared" si="168"/>
        <v>856</v>
      </c>
      <c r="G87" s="302">
        <f t="shared" si="168"/>
        <v>780</v>
      </c>
      <c r="H87" s="302">
        <f t="shared" si="168"/>
        <v>825</v>
      </c>
      <c r="I87" s="302">
        <f t="shared" si="169"/>
        <v>1222</v>
      </c>
      <c r="K87" s="366">
        <v>665</v>
      </c>
      <c r="L87" s="366">
        <v>620</v>
      </c>
      <c r="M87" s="366">
        <v>608</v>
      </c>
      <c r="N87" s="366">
        <v>631</v>
      </c>
      <c r="O87" s="715">
        <v>619</v>
      </c>
      <c r="P87" s="81">
        <v>1185</v>
      </c>
      <c r="Q87" s="81">
        <v>1078</v>
      </c>
      <c r="R87" s="81">
        <v>1030</v>
      </c>
      <c r="S87" s="743">
        <v>972</v>
      </c>
      <c r="T87" s="81">
        <v>939</v>
      </c>
      <c r="U87" s="81">
        <v>914</v>
      </c>
      <c r="V87" s="81">
        <v>856</v>
      </c>
      <c r="W87" s="743">
        <v>842</v>
      </c>
      <c r="X87" s="81">
        <v>810</v>
      </c>
      <c r="Y87" s="81">
        <v>777</v>
      </c>
      <c r="Z87" s="81">
        <v>780</v>
      </c>
      <c r="AA87" s="743">
        <v>804</v>
      </c>
      <c r="AB87" s="81">
        <v>810</v>
      </c>
      <c r="AC87" s="81">
        <v>830</v>
      </c>
      <c r="AD87" s="81">
        <v>825</v>
      </c>
      <c r="AE87" s="743">
        <v>846</v>
      </c>
      <c r="AF87" s="81">
        <v>1098</v>
      </c>
      <c r="AG87" s="81">
        <v>1125</v>
      </c>
      <c r="AH87" s="81">
        <v>1222</v>
      </c>
      <c r="AI87" s="743">
        <v>1193</v>
      </c>
      <c r="AJ87" s="743">
        <v>1217</v>
      </c>
      <c r="AK87" s="743">
        <v>1487</v>
      </c>
      <c r="AL87" s="743">
        <v>1439</v>
      </c>
    </row>
    <row r="88" spans="2:38" x14ac:dyDescent="0.2">
      <c r="B88" s="29" t="s">
        <v>58</v>
      </c>
      <c r="C88" s="85"/>
      <c r="D88" s="484">
        <f t="shared" si="168"/>
        <v>2287</v>
      </c>
      <c r="E88" s="302">
        <f t="shared" si="168"/>
        <v>3868</v>
      </c>
      <c r="F88" s="302">
        <f t="shared" si="168"/>
        <v>3425</v>
      </c>
      <c r="G88" s="302">
        <f t="shared" si="168"/>
        <v>3512</v>
      </c>
      <c r="H88" s="302">
        <f t="shared" si="168"/>
        <v>3555</v>
      </c>
      <c r="I88" s="302">
        <f t="shared" si="169"/>
        <v>3281</v>
      </c>
      <c r="K88" s="366">
        <v>2202</v>
      </c>
      <c r="L88" s="366">
        <v>2268</v>
      </c>
      <c r="M88" s="366">
        <v>2232</v>
      </c>
      <c r="N88" s="366">
        <v>2287</v>
      </c>
      <c r="O88" s="715">
        <v>2187</v>
      </c>
      <c r="P88" s="81">
        <v>4164</v>
      </c>
      <c r="Q88" s="81">
        <v>3658</v>
      </c>
      <c r="R88" s="81">
        <v>3868</v>
      </c>
      <c r="S88" s="743">
        <v>3498</v>
      </c>
      <c r="T88" s="81">
        <v>3577</v>
      </c>
      <c r="U88" s="81">
        <v>3077</v>
      </c>
      <c r="V88" s="81">
        <v>3425</v>
      </c>
      <c r="W88" s="743">
        <v>3252</v>
      </c>
      <c r="X88" s="81">
        <v>3348</v>
      </c>
      <c r="Y88" s="81">
        <v>3367</v>
      </c>
      <c r="Z88" s="81">
        <v>3512</v>
      </c>
      <c r="AA88" s="743">
        <v>3441</v>
      </c>
      <c r="AB88" s="81">
        <v>3289</v>
      </c>
      <c r="AC88" s="81">
        <v>3545</v>
      </c>
      <c r="AD88" s="81">
        <v>3555</v>
      </c>
      <c r="AE88" s="743">
        <v>3443</v>
      </c>
      <c r="AF88" s="81">
        <v>3202</v>
      </c>
      <c r="AG88" s="81">
        <v>3328</v>
      </c>
      <c r="AH88" s="81">
        <v>3281</v>
      </c>
      <c r="AI88" s="743">
        <v>3305</v>
      </c>
      <c r="AJ88" s="743">
        <v>3343</v>
      </c>
      <c r="AK88" s="743">
        <v>3550</v>
      </c>
      <c r="AL88" s="743">
        <v>3620</v>
      </c>
    </row>
    <row r="89" spans="2:38" x14ac:dyDescent="0.2">
      <c r="B89" s="29" t="s">
        <v>59</v>
      </c>
      <c r="C89" s="85"/>
      <c r="D89" s="484">
        <f t="shared" si="168"/>
        <v>957</v>
      </c>
      <c r="E89" s="302">
        <f t="shared" si="168"/>
        <v>1063</v>
      </c>
      <c r="F89" s="302">
        <f t="shared" si="168"/>
        <v>1120</v>
      </c>
      <c r="G89" s="302">
        <f t="shared" si="168"/>
        <v>1161</v>
      </c>
      <c r="H89" s="302">
        <f t="shared" si="168"/>
        <v>1260</v>
      </c>
      <c r="I89" s="302">
        <f t="shared" si="169"/>
        <v>1175</v>
      </c>
      <c r="K89" s="366">
        <v>911</v>
      </c>
      <c r="L89" s="366">
        <v>963</v>
      </c>
      <c r="M89" s="366">
        <v>1013</v>
      </c>
      <c r="N89" s="366">
        <v>957</v>
      </c>
      <c r="O89" s="715">
        <v>918</v>
      </c>
      <c r="P89" s="81">
        <v>1040</v>
      </c>
      <c r="Q89" s="81">
        <v>1050</v>
      </c>
      <c r="R89" s="81">
        <v>1063</v>
      </c>
      <c r="S89" s="743">
        <v>1013</v>
      </c>
      <c r="T89" s="81">
        <v>1045</v>
      </c>
      <c r="U89" s="81">
        <v>1154</v>
      </c>
      <c r="V89" s="81">
        <v>1120</v>
      </c>
      <c r="W89" s="743">
        <v>1121</v>
      </c>
      <c r="X89" s="81">
        <v>1220</v>
      </c>
      <c r="Y89" s="81">
        <v>1239</v>
      </c>
      <c r="Z89" s="81">
        <v>1161</v>
      </c>
      <c r="AA89" s="743">
        <v>1180</v>
      </c>
      <c r="AB89" s="81">
        <v>1220</v>
      </c>
      <c r="AC89" s="81">
        <v>1286</v>
      </c>
      <c r="AD89" s="81">
        <v>1260</v>
      </c>
      <c r="AE89" s="743">
        <v>1265</v>
      </c>
      <c r="AF89" s="81">
        <v>1252</v>
      </c>
      <c r="AG89" s="81">
        <v>1252</v>
      </c>
      <c r="AH89" s="81">
        <v>1175</v>
      </c>
      <c r="AI89" s="743">
        <v>1136</v>
      </c>
      <c r="AJ89" s="743">
        <v>1157</v>
      </c>
      <c r="AK89" s="743">
        <v>1157</v>
      </c>
      <c r="AL89" s="743">
        <v>1178</v>
      </c>
    </row>
    <row r="90" spans="2:38" x14ac:dyDescent="0.2">
      <c r="B90" s="29" t="s">
        <v>60</v>
      </c>
      <c r="C90" s="86"/>
      <c r="D90" s="484">
        <f t="shared" si="168"/>
        <v>1673</v>
      </c>
      <c r="E90" s="302">
        <f t="shared" si="168"/>
        <v>810</v>
      </c>
      <c r="F90" s="302">
        <f t="shared" si="168"/>
        <v>967</v>
      </c>
      <c r="G90" s="302">
        <f t="shared" si="168"/>
        <v>1850</v>
      </c>
      <c r="H90" s="302">
        <f t="shared" si="168"/>
        <v>1296</v>
      </c>
      <c r="I90" s="302">
        <f t="shared" si="169"/>
        <v>1965</v>
      </c>
      <c r="K90" s="366">
        <v>1129</v>
      </c>
      <c r="L90" s="366">
        <v>1564</v>
      </c>
      <c r="M90" s="366">
        <v>1883</v>
      </c>
      <c r="N90" s="366">
        <v>1673</v>
      </c>
      <c r="O90" s="715">
        <v>2801</v>
      </c>
      <c r="P90" s="79">
        <f>606+1669</f>
        <v>2275</v>
      </c>
      <c r="Q90" s="79">
        <v>1817</v>
      </c>
      <c r="R90" s="79">
        <v>810</v>
      </c>
      <c r="S90" s="690">
        <v>769</v>
      </c>
      <c r="T90" s="79">
        <v>877</v>
      </c>
      <c r="U90" s="79">
        <v>939</v>
      </c>
      <c r="V90" s="79">
        <v>967</v>
      </c>
      <c r="W90" s="690">
        <v>959</v>
      </c>
      <c r="X90" s="79">
        <v>1120</v>
      </c>
      <c r="Y90" s="79">
        <v>1610</v>
      </c>
      <c r="Z90" s="79">
        <v>1850</v>
      </c>
      <c r="AA90" s="690">
        <v>2115</v>
      </c>
      <c r="AB90" s="79">
        <v>1647</v>
      </c>
      <c r="AC90" s="79">
        <v>2948</v>
      </c>
      <c r="AD90" s="79">
        <v>1296</v>
      </c>
      <c r="AE90" s="690">
        <v>1933</v>
      </c>
      <c r="AF90" s="79">
        <v>4028</v>
      </c>
      <c r="AG90" s="79">
        <v>1903</v>
      </c>
      <c r="AH90" s="79">
        <v>1965</v>
      </c>
      <c r="AI90" s="690">
        <v>1881</v>
      </c>
      <c r="AJ90" s="690">
        <v>2175</v>
      </c>
      <c r="AK90" s="690">
        <v>2581</v>
      </c>
      <c r="AL90" s="690">
        <v>2426</v>
      </c>
    </row>
    <row r="91" spans="2:38" x14ac:dyDescent="0.2">
      <c r="B91" s="185" t="s">
        <v>61</v>
      </c>
      <c r="C91" s="65"/>
      <c r="D91" s="471">
        <f t="shared" ref="D91:I91" si="170">+SUM(D84:D90)</f>
        <v>12506</v>
      </c>
      <c r="E91" s="65">
        <f t="shared" si="170"/>
        <v>21703</v>
      </c>
      <c r="F91" s="65">
        <f t="shared" si="170"/>
        <v>23499</v>
      </c>
      <c r="G91" s="65">
        <f t="shared" si="170"/>
        <v>24742</v>
      </c>
      <c r="H91" s="65">
        <f t="shared" si="170"/>
        <v>20928</v>
      </c>
      <c r="I91" s="65">
        <f t="shared" si="170"/>
        <v>20174</v>
      </c>
      <c r="K91" s="347">
        <f t="shared" ref="K91:Q91" si="171">+SUM(K84:K90)</f>
        <v>13327</v>
      </c>
      <c r="L91" s="347">
        <f t="shared" si="171"/>
        <v>13173</v>
      </c>
      <c r="M91" s="347">
        <f t="shared" si="171"/>
        <v>12869</v>
      </c>
      <c r="N91" s="347">
        <f t="shared" si="171"/>
        <v>12506</v>
      </c>
      <c r="O91" s="717">
        <f t="shared" si="171"/>
        <v>14756</v>
      </c>
      <c r="P91" s="65">
        <f t="shared" si="171"/>
        <v>23191</v>
      </c>
      <c r="Q91" s="65">
        <f t="shared" si="171"/>
        <v>19840</v>
      </c>
      <c r="R91" s="65">
        <f t="shared" ref="R91:V91" si="172">+SUM(R84:R90)</f>
        <v>21703</v>
      </c>
      <c r="S91" s="691">
        <f t="shared" si="172"/>
        <v>19495</v>
      </c>
      <c r="T91" s="65">
        <f t="shared" si="172"/>
        <v>21837</v>
      </c>
      <c r="U91" s="65">
        <f t="shared" si="172"/>
        <v>19247</v>
      </c>
      <c r="V91" s="65">
        <f t="shared" si="172"/>
        <v>23499</v>
      </c>
      <c r="W91" s="691">
        <f>+SUM(W84:W90)</f>
        <v>21423</v>
      </c>
      <c r="X91" s="65">
        <f t="shared" ref="X91:AG91" si="173">+SUM(X84:X90)</f>
        <v>20622</v>
      </c>
      <c r="Y91" s="65">
        <f t="shared" si="173"/>
        <v>26362</v>
      </c>
      <c r="Z91" s="65">
        <f t="shared" si="173"/>
        <v>24742</v>
      </c>
      <c r="AA91" s="691">
        <f t="shared" si="173"/>
        <v>23846</v>
      </c>
      <c r="AB91" s="65">
        <f t="shared" si="173"/>
        <v>24569</v>
      </c>
      <c r="AC91" s="65">
        <f t="shared" si="173"/>
        <v>21711</v>
      </c>
      <c r="AD91" s="65">
        <f t="shared" si="173"/>
        <v>20928</v>
      </c>
      <c r="AE91" s="691">
        <f t="shared" si="173"/>
        <v>20563</v>
      </c>
      <c r="AF91" s="65">
        <f t="shared" si="173"/>
        <v>23038</v>
      </c>
      <c r="AG91" s="65">
        <f t="shared" si="173"/>
        <v>20955</v>
      </c>
      <c r="AH91" s="65">
        <f t="shared" ref="AH91:AI91" si="174">+SUM(AH84:AH90)</f>
        <v>20174</v>
      </c>
      <c r="AI91" s="691">
        <f t="shared" si="174"/>
        <v>23629</v>
      </c>
      <c r="AJ91" s="691">
        <f>+SUM(AJ84:AJ90)</f>
        <v>22102</v>
      </c>
      <c r="AK91" s="691">
        <f>+SUM(AK84:AK90)</f>
        <v>24301</v>
      </c>
      <c r="AL91" s="691">
        <f>+SUM(AL84:AL90)</f>
        <v>23554</v>
      </c>
    </row>
    <row r="92" spans="2:38" x14ac:dyDescent="0.2">
      <c r="B92" s="10" t="s">
        <v>62</v>
      </c>
      <c r="C92" s="87"/>
      <c r="D92" s="484">
        <f t="shared" ref="D92:H98" si="175">SUMIFS($K92:$AF92,$K$3:$AF$3,D$4,$K$2:$AF$2,4)</f>
        <v>10958</v>
      </c>
      <c r="E92" s="302">
        <f t="shared" si="175"/>
        <v>61830</v>
      </c>
      <c r="F92" s="302">
        <f t="shared" si="175"/>
        <v>67076</v>
      </c>
      <c r="G92" s="302">
        <f t="shared" si="175"/>
        <v>65301</v>
      </c>
      <c r="H92" s="302">
        <f t="shared" si="175"/>
        <v>69903</v>
      </c>
      <c r="I92" s="302">
        <f t="shared" ref="I92:I98" si="176">SUMIFS($K92:$AZ92,$K$3:$AZ$3,I$4,$K$2:$AZ$2,4)</f>
        <v>72700</v>
      </c>
      <c r="K92" s="366">
        <v>10952</v>
      </c>
      <c r="L92" s="366">
        <v>10954</v>
      </c>
      <c r="M92" s="366">
        <v>10956</v>
      </c>
      <c r="N92" s="366">
        <v>10958</v>
      </c>
      <c r="O92" s="715">
        <v>10959</v>
      </c>
      <c r="P92" s="80">
        <v>62783</v>
      </c>
      <c r="Q92" s="80">
        <v>58345</v>
      </c>
      <c r="R92" s="80">
        <v>61830</v>
      </c>
      <c r="S92" s="742">
        <v>66395</v>
      </c>
      <c r="T92" s="80">
        <v>65897</v>
      </c>
      <c r="U92" s="80">
        <v>66645</v>
      </c>
      <c r="V92" s="80">
        <v>67076</v>
      </c>
      <c r="W92" s="742">
        <v>66861</v>
      </c>
      <c r="X92" s="80">
        <v>66552</v>
      </c>
      <c r="Y92" s="80">
        <v>64834</v>
      </c>
      <c r="Z92" s="80">
        <v>65301</v>
      </c>
      <c r="AA92" s="742">
        <v>68035</v>
      </c>
      <c r="AB92" s="80">
        <v>68646</v>
      </c>
      <c r="AC92" s="80">
        <v>70365</v>
      </c>
      <c r="AD92" s="80">
        <v>69903</v>
      </c>
      <c r="AE92" s="742">
        <v>71361</v>
      </c>
      <c r="AF92" s="80">
        <v>70203</v>
      </c>
      <c r="AG92" s="80">
        <v>72522</v>
      </c>
      <c r="AH92" s="80">
        <v>72700</v>
      </c>
      <c r="AI92" s="742">
        <v>76033</v>
      </c>
      <c r="AJ92" s="742">
        <v>75018</v>
      </c>
      <c r="AK92" s="742">
        <v>76365</v>
      </c>
      <c r="AL92" s="742">
        <v>78504</v>
      </c>
    </row>
    <row r="93" spans="2:38" x14ac:dyDescent="0.2">
      <c r="B93" s="10" t="s">
        <v>63</v>
      </c>
      <c r="C93" s="85"/>
      <c r="D93" s="484">
        <f t="shared" si="175"/>
        <v>13986</v>
      </c>
      <c r="E93" s="302">
        <f t="shared" si="175"/>
        <v>4716</v>
      </c>
      <c r="F93" s="302">
        <f t="shared" si="175"/>
        <v>1494</v>
      </c>
      <c r="G93" s="302">
        <f t="shared" si="175"/>
        <v>1495</v>
      </c>
      <c r="H93" s="302">
        <f t="shared" si="175"/>
        <v>1496</v>
      </c>
      <c r="I93" s="302">
        <f t="shared" si="176"/>
        <v>1497</v>
      </c>
      <c r="K93" s="366">
        <v>13985</v>
      </c>
      <c r="L93" s="366">
        <v>13985</v>
      </c>
      <c r="M93" s="366">
        <v>13986</v>
      </c>
      <c r="N93" s="366">
        <v>13986</v>
      </c>
      <c r="O93" s="715">
        <v>11987</v>
      </c>
      <c r="P93" s="81">
        <v>4706</v>
      </c>
      <c r="Q93" s="81">
        <v>4711</v>
      </c>
      <c r="R93" s="81">
        <v>4716</v>
      </c>
      <c r="S93" s="743">
        <v>4721</v>
      </c>
      <c r="T93" s="81">
        <v>2490</v>
      </c>
      <c r="U93" s="81">
        <v>1494</v>
      </c>
      <c r="V93" s="81">
        <v>1494</v>
      </c>
      <c r="W93" s="743">
        <v>1494</v>
      </c>
      <c r="X93" s="81">
        <v>1495</v>
      </c>
      <c r="Y93" s="81">
        <v>1495</v>
      </c>
      <c r="Z93" s="81">
        <v>1495</v>
      </c>
      <c r="AA93" s="743">
        <v>1495</v>
      </c>
      <c r="AB93" s="81">
        <v>1495</v>
      </c>
      <c r="AC93" s="81">
        <v>1496</v>
      </c>
      <c r="AD93" s="81">
        <v>1496</v>
      </c>
      <c r="AE93" s="743">
        <v>1496</v>
      </c>
      <c r="AF93" s="81">
        <v>1496</v>
      </c>
      <c r="AG93" s="81">
        <v>1497</v>
      </c>
      <c r="AH93" s="81">
        <v>1497</v>
      </c>
      <c r="AI93" s="743">
        <v>1497</v>
      </c>
      <c r="AJ93" s="743">
        <v>1497</v>
      </c>
      <c r="AK93" s="743">
        <v>1498</v>
      </c>
      <c r="AL93" s="743">
        <v>0</v>
      </c>
    </row>
    <row r="94" spans="2:38" x14ac:dyDescent="0.2">
      <c r="B94" s="10" t="s">
        <v>64</v>
      </c>
      <c r="C94" s="85"/>
      <c r="D94" s="484">
        <f t="shared" si="175"/>
        <v>2236</v>
      </c>
      <c r="E94" s="302">
        <f t="shared" si="175"/>
        <v>3028</v>
      </c>
      <c r="F94" s="302">
        <f t="shared" si="175"/>
        <v>2806</v>
      </c>
      <c r="G94" s="302">
        <f t="shared" si="175"/>
        <v>3934</v>
      </c>
      <c r="H94" s="302">
        <f t="shared" si="175"/>
        <v>3777</v>
      </c>
      <c r="I94" s="302">
        <f t="shared" si="176"/>
        <v>3664</v>
      </c>
      <c r="K94" s="366">
        <v>2244</v>
      </c>
      <c r="L94" s="366">
        <v>2247</v>
      </c>
      <c r="M94" s="366">
        <v>2241</v>
      </c>
      <c r="N94" s="366">
        <v>2236</v>
      </c>
      <c r="O94" s="715">
        <v>2230</v>
      </c>
      <c r="P94" s="81">
        <v>3130</v>
      </c>
      <c r="Q94" s="81">
        <v>3079</v>
      </c>
      <c r="R94" s="81">
        <v>3028</v>
      </c>
      <c r="S94" s="743">
        <v>2974</v>
      </c>
      <c r="T94" s="81">
        <v>2919</v>
      </c>
      <c r="U94" s="81">
        <v>2862</v>
      </c>
      <c r="V94" s="81">
        <v>2806</v>
      </c>
      <c r="W94" s="743">
        <v>4037</v>
      </c>
      <c r="X94" s="81">
        <v>4006</v>
      </c>
      <c r="Y94" s="81">
        <v>3970</v>
      </c>
      <c r="Z94" s="81">
        <v>3934</v>
      </c>
      <c r="AA94" s="743">
        <v>3897</v>
      </c>
      <c r="AB94" s="81">
        <v>3860</v>
      </c>
      <c r="AC94" s="81">
        <v>3819</v>
      </c>
      <c r="AD94" s="81">
        <v>3777</v>
      </c>
      <c r="AE94" s="743">
        <v>3751</v>
      </c>
      <c r="AF94" s="81">
        <v>3725</v>
      </c>
      <c r="AG94" s="81">
        <v>3695</v>
      </c>
      <c r="AH94" s="81">
        <v>3664</v>
      </c>
      <c r="AI94" s="743">
        <v>3634</v>
      </c>
      <c r="AJ94" s="743">
        <v>3603</v>
      </c>
      <c r="AK94" s="743">
        <v>3568</v>
      </c>
      <c r="AL94" s="743">
        <v>3461</v>
      </c>
    </row>
    <row r="95" spans="2:38" x14ac:dyDescent="0.2">
      <c r="B95" s="10" t="s">
        <v>65</v>
      </c>
      <c r="C95" s="85"/>
      <c r="D95" s="484">
        <f t="shared" si="175"/>
        <v>5607</v>
      </c>
      <c r="E95" s="302">
        <f t="shared" si="175"/>
        <v>9966</v>
      </c>
      <c r="F95" s="302">
        <f t="shared" si="175"/>
        <v>10216</v>
      </c>
      <c r="G95" s="302">
        <f t="shared" si="175"/>
        <v>10884</v>
      </c>
      <c r="H95" s="302">
        <f t="shared" si="175"/>
        <v>13458</v>
      </c>
      <c r="I95" s="302">
        <f t="shared" si="176"/>
        <v>16700</v>
      </c>
      <c r="K95" s="366">
        <v>4925</v>
      </c>
      <c r="L95" s="366">
        <v>5090</v>
      </c>
      <c r="M95" s="366">
        <v>5296</v>
      </c>
      <c r="N95" s="366">
        <v>5607</v>
      </c>
      <c r="O95" s="715">
        <v>5618</v>
      </c>
      <c r="P95" s="81">
        <v>9996</v>
      </c>
      <c r="Q95" s="81">
        <v>10373</v>
      </c>
      <c r="R95" s="81">
        <v>9966</v>
      </c>
      <c r="S95" s="743">
        <v>10154</v>
      </c>
      <c r="T95" s="81">
        <v>10391</v>
      </c>
      <c r="U95" s="81">
        <v>10370</v>
      </c>
      <c r="V95" s="81">
        <v>10216</v>
      </c>
      <c r="W95" s="743">
        <v>10410</v>
      </c>
      <c r="X95" s="81">
        <v>10433</v>
      </c>
      <c r="Y95" s="81">
        <v>10397</v>
      </c>
      <c r="Z95" s="81">
        <v>10884</v>
      </c>
      <c r="AA95" s="743">
        <v>11510</v>
      </c>
      <c r="AB95" s="81">
        <v>12226</v>
      </c>
      <c r="AC95" s="81">
        <v>12900</v>
      </c>
      <c r="AD95" s="81">
        <v>13458</v>
      </c>
      <c r="AE95" s="743">
        <v>14187</v>
      </c>
      <c r="AF95" s="81">
        <v>15022</v>
      </c>
      <c r="AG95" s="81">
        <v>15849</v>
      </c>
      <c r="AH95" s="81">
        <v>16700</v>
      </c>
      <c r="AI95" s="743">
        <v>17505</v>
      </c>
      <c r="AJ95" s="743">
        <v>18468</v>
      </c>
      <c r="AK95" s="743">
        <v>19222</v>
      </c>
      <c r="AL95" s="743">
        <v>21225</v>
      </c>
    </row>
    <row r="96" spans="2:38" x14ac:dyDescent="0.2">
      <c r="B96" s="10" t="s">
        <v>66</v>
      </c>
      <c r="C96" s="85"/>
      <c r="D96" s="484">
        <f t="shared" si="175"/>
        <v>10539</v>
      </c>
      <c r="E96" s="302">
        <f t="shared" si="175"/>
        <v>26719</v>
      </c>
      <c r="F96" s="302">
        <f t="shared" si="175"/>
        <v>25818</v>
      </c>
      <c r="G96" s="302">
        <f t="shared" si="175"/>
        <v>29855</v>
      </c>
      <c r="H96" s="302">
        <f t="shared" si="175"/>
        <v>28240</v>
      </c>
      <c r="I96" s="302">
        <f t="shared" si="176"/>
        <v>26408</v>
      </c>
      <c r="K96" s="366">
        <v>9339</v>
      </c>
      <c r="L96" s="366">
        <v>10145</v>
      </c>
      <c r="M96" s="366">
        <v>10614</v>
      </c>
      <c r="N96" s="366">
        <v>10539</v>
      </c>
      <c r="O96" s="715">
        <v>10464</v>
      </c>
      <c r="P96" s="81">
        <v>15487</v>
      </c>
      <c r="Q96" s="81">
        <v>26658</v>
      </c>
      <c r="R96" s="81">
        <v>26719</v>
      </c>
      <c r="S96" s="743">
        <v>26602</v>
      </c>
      <c r="T96" s="81">
        <v>26515</v>
      </c>
      <c r="U96" s="81">
        <v>26279</v>
      </c>
      <c r="V96" s="81">
        <v>25818</v>
      </c>
      <c r="W96" s="743">
        <v>31187</v>
      </c>
      <c r="X96" s="81">
        <v>30916</v>
      </c>
      <c r="Y96" s="81">
        <v>30271</v>
      </c>
      <c r="Z96" s="81">
        <v>29855</v>
      </c>
      <c r="AA96" s="743">
        <v>29379</v>
      </c>
      <c r="AB96" s="81">
        <v>29053</v>
      </c>
      <c r="AC96" s="81">
        <v>28677</v>
      </c>
      <c r="AD96" s="81">
        <v>28240</v>
      </c>
      <c r="AE96" s="743">
        <v>27827</v>
      </c>
      <c r="AF96" s="81">
        <v>27272</v>
      </c>
      <c r="AG96" s="81">
        <v>26821</v>
      </c>
      <c r="AH96" s="81">
        <v>26408</v>
      </c>
      <c r="AI96" s="743">
        <v>25974</v>
      </c>
      <c r="AJ96" s="743">
        <v>25646</v>
      </c>
      <c r="AK96" s="743">
        <v>26780</v>
      </c>
      <c r="AL96" s="743">
        <v>25438</v>
      </c>
    </row>
    <row r="97" spans="2:38" x14ac:dyDescent="0.2">
      <c r="B97" s="10" t="s">
        <v>67</v>
      </c>
      <c r="C97" s="85"/>
      <c r="D97" s="484">
        <f t="shared" si="175"/>
        <v>1346</v>
      </c>
      <c r="E97" s="302">
        <f t="shared" si="175"/>
        <v>1444</v>
      </c>
      <c r="F97" s="302">
        <f t="shared" si="175"/>
        <v>1455</v>
      </c>
      <c r="G97" s="302">
        <f t="shared" si="175"/>
        <v>1370</v>
      </c>
      <c r="H97" s="302">
        <f t="shared" si="175"/>
        <v>1236</v>
      </c>
      <c r="I97" s="302">
        <f t="shared" si="176"/>
        <v>1151</v>
      </c>
      <c r="K97" s="366">
        <v>1224</v>
      </c>
      <c r="L97" s="366">
        <v>1314</v>
      </c>
      <c r="M97" s="366">
        <v>1440</v>
      </c>
      <c r="N97" s="366">
        <v>1346</v>
      </c>
      <c r="O97" s="715">
        <v>1276</v>
      </c>
      <c r="P97" s="81">
        <v>1416</v>
      </c>
      <c r="Q97" s="81">
        <v>1373</v>
      </c>
      <c r="R97" s="81">
        <v>1444</v>
      </c>
      <c r="S97" s="743">
        <v>1316</v>
      </c>
      <c r="T97" s="81">
        <v>1376</v>
      </c>
      <c r="U97" s="81">
        <v>1587</v>
      </c>
      <c r="V97" s="81">
        <v>1455</v>
      </c>
      <c r="W97" s="743">
        <v>1447</v>
      </c>
      <c r="X97" s="81">
        <v>1597</v>
      </c>
      <c r="Y97" s="81">
        <v>1590</v>
      </c>
      <c r="Z97" s="81">
        <v>1370</v>
      </c>
      <c r="AA97" s="743">
        <v>1284</v>
      </c>
      <c r="AB97" s="81">
        <v>1254</v>
      </c>
      <c r="AC97" s="81">
        <v>1273</v>
      </c>
      <c r="AD97" s="81">
        <v>1236</v>
      </c>
      <c r="AE97" s="743">
        <v>1163</v>
      </c>
      <c r="AF97" s="81">
        <v>1133</v>
      </c>
      <c r="AG97" s="81">
        <v>1185</v>
      </c>
      <c r="AH97" s="81">
        <v>1151</v>
      </c>
      <c r="AI97" s="743">
        <v>1117</v>
      </c>
      <c r="AJ97" s="743">
        <v>1188</v>
      </c>
      <c r="AK97" s="743">
        <v>1186</v>
      </c>
      <c r="AL97" s="743">
        <v>1121</v>
      </c>
    </row>
    <row r="98" spans="2:38" x14ac:dyDescent="0.2">
      <c r="B98" s="10" t="s">
        <v>68</v>
      </c>
      <c r="C98" s="86"/>
      <c r="D98" s="484">
        <f t="shared" si="175"/>
        <v>954</v>
      </c>
      <c r="E98" s="302">
        <f t="shared" si="175"/>
        <v>5412</v>
      </c>
      <c r="F98" s="302">
        <f t="shared" si="175"/>
        <v>5097</v>
      </c>
      <c r="G98" s="302">
        <f t="shared" si="175"/>
        <v>4101</v>
      </c>
      <c r="H98" s="302">
        <f t="shared" si="175"/>
        <v>3929</v>
      </c>
      <c r="I98" s="302">
        <f t="shared" si="176"/>
        <v>4000</v>
      </c>
      <c r="K98" s="366">
        <v>896</v>
      </c>
      <c r="L98" s="366">
        <v>913</v>
      </c>
      <c r="M98" s="366">
        <v>936</v>
      </c>
      <c r="N98" s="366">
        <v>954</v>
      </c>
      <c r="O98" s="715">
        <v>959</v>
      </c>
      <c r="P98" s="79">
        <v>3494</v>
      </c>
      <c r="Q98" s="79">
        <v>3577</v>
      </c>
      <c r="R98" s="79">
        <v>5412</v>
      </c>
      <c r="S98" s="690">
        <v>5298</v>
      </c>
      <c r="T98" s="79">
        <v>5229</v>
      </c>
      <c r="U98" s="79">
        <v>5214</v>
      </c>
      <c r="V98" s="79">
        <v>5097</v>
      </c>
      <c r="W98" s="690">
        <v>3818</v>
      </c>
      <c r="X98" s="79">
        <v>3808</v>
      </c>
      <c r="Y98" s="79">
        <v>4430</v>
      </c>
      <c r="Z98" s="79">
        <v>4101</v>
      </c>
      <c r="AA98" s="690">
        <v>3802</v>
      </c>
      <c r="AB98" s="79">
        <v>3749</v>
      </c>
      <c r="AC98" s="79">
        <v>3640</v>
      </c>
      <c r="AD98" s="79">
        <v>3929</v>
      </c>
      <c r="AE98" s="690">
        <v>3846</v>
      </c>
      <c r="AF98" s="79">
        <v>4032</v>
      </c>
      <c r="AG98" s="79">
        <v>3968</v>
      </c>
      <c r="AH98" s="79">
        <v>4000</v>
      </c>
      <c r="AI98" s="690">
        <v>4139</v>
      </c>
      <c r="AJ98" s="690">
        <v>4014</v>
      </c>
      <c r="AK98" s="690">
        <v>3783</v>
      </c>
      <c r="AL98" s="690">
        <v>3985</v>
      </c>
    </row>
    <row r="99" spans="2:38" x14ac:dyDescent="0.2">
      <c r="B99" s="185" t="s">
        <v>69</v>
      </c>
      <c r="C99" s="74"/>
      <c r="D99" s="488">
        <f t="shared" ref="D99:I99" si="177">+SUM(D92:D98)</f>
        <v>45626</v>
      </c>
      <c r="E99" s="74">
        <f t="shared" si="177"/>
        <v>113115</v>
      </c>
      <c r="F99" s="74">
        <f t="shared" si="177"/>
        <v>113962</v>
      </c>
      <c r="G99" s="74">
        <f t="shared" si="177"/>
        <v>116940</v>
      </c>
      <c r="H99" s="74">
        <f t="shared" si="177"/>
        <v>122039</v>
      </c>
      <c r="I99" s="74">
        <f t="shared" si="177"/>
        <v>126120</v>
      </c>
      <c r="K99" s="351">
        <f t="shared" ref="K99:Q99" si="178">+SUM(K92:K98)</f>
        <v>43565</v>
      </c>
      <c r="L99" s="351">
        <f t="shared" si="178"/>
        <v>44648</v>
      </c>
      <c r="M99" s="351">
        <f t="shared" si="178"/>
        <v>45469</v>
      </c>
      <c r="N99" s="351">
        <f t="shared" si="178"/>
        <v>45626</v>
      </c>
      <c r="O99" s="720">
        <f t="shared" si="178"/>
        <v>43493</v>
      </c>
      <c r="P99" s="74">
        <f t="shared" si="178"/>
        <v>101012</v>
      </c>
      <c r="Q99" s="74">
        <f t="shared" si="178"/>
        <v>108116</v>
      </c>
      <c r="R99" s="74">
        <f t="shared" ref="R99:V99" si="179">+SUM(R92:R98)</f>
        <v>113115</v>
      </c>
      <c r="S99" s="745">
        <f t="shared" si="179"/>
        <v>117460</v>
      </c>
      <c r="T99" s="74">
        <f t="shared" si="179"/>
        <v>114817</v>
      </c>
      <c r="U99" s="74">
        <f t="shared" si="179"/>
        <v>114451</v>
      </c>
      <c r="V99" s="74">
        <f t="shared" si="179"/>
        <v>113962</v>
      </c>
      <c r="W99" s="745">
        <f>+SUM(W92:W98)</f>
        <v>119254</v>
      </c>
      <c r="X99" s="74">
        <f t="shared" ref="X99:AG99" si="180">+SUM(X92:X98)</f>
        <v>118807</v>
      </c>
      <c r="Y99" s="74">
        <f t="shared" si="180"/>
        <v>116987</v>
      </c>
      <c r="Z99" s="74">
        <f t="shared" si="180"/>
        <v>116940</v>
      </c>
      <c r="AA99" s="745">
        <f t="shared" si="180"/>
        <v>119402</v>
      </c>
      <c r="AB99" s="74">
        <f t="shared" si="180"/>
        <v>120283</v>
      </c>
      <c r="AC99" s="74">
        <f t="shared" si="180"/>
        <v>122170</v>
      </c>
      <c r="AD99" s="74">
        <f t="shared" si="180"/>
        <v>122039</v>
      </c>
      <c r="AE99" s="745">
        <f t="shared" si="180"/>
        <v>123631</v>
      </c>
      <c r="AF99" s="74">
        <f t="shared" si="180"/>
        <v>122883</v>
      </c>
      <c r="AG99" s="74">
        <f t="shared" si="180"/>
        <v>125537</v>
      </c>
      <c r="AH99" s="74">
        <f t="shared" ref="AH99:AK99" si="181">+SUM(AH92:AH98)</f>
        <v>126120</v>
      </c>
      <c r="AI99" s="745">
        <f t="shared" si="181"/>
        <v>129899</v>
      </c>
      <c r="AJ99" s="745">
        <f t="shared" si="181"/>
        <v>129434</v>
      </c>
      <c r="AK99" s="745">
        <f t="shared" si="181"/>
        <v>132402</v>
      </c>
      <c r="AL99" s="745">
        <f>+SUM(AL92:AL98)</f>
        <v>133734</v>
      </c>
    </row>
    <row r="100" spans="2:38" x14ac:dyDescent="0.2">
      <c r="B100" s="10" t="s">
        <v>70</v>
      </c>
      <c r="C100" s="25"/>
      <c r="D100" s="484">
        <f>SUMIFS($K100:$AF100,$K$3:$AF$3,D$4,$K$2:$AF$2,4)</f>
        <v>0</v>
      </c>
      <c r="E100" s="302">
        <f>SUMIFS($K100:$AF100,$K$3:$AF$3,E$4,$K$2:$AF$2,4)</f>
        <v>0</v>
      </c>
      <c r="F100" s="302">
        <f>SUMIFS($K100:$AF100,$K$3:$AF$3,F$4,$K$2:$AF$2,4)</f>
        <v>0</v>
      </c>
      <c r="G100" s="302">
        <f>SUMIFS($K100:$AF100,$K$3:$AF$3,G$4,$K$2:$AF$2,4)</f>
        <v>0</v>
      </c>
      <c r="H100" s="302">
        <f>SUMIFS($K100:$AF100,$K$3:$AF$3,H$4,$K$2:$AF$2,4)</f>
        <v>0</v>
      </c>
      <c r="I100" s="302">
        <f>SUMIFS($K100:$AZ100,$K$3:$AZ$3,I$4,$K$2:$AZ$2,4)</f>
        <v>0</v>
      </c>
      <c r="K100" s="352"/>
      <c r="L100" s="352"/>
      <c r="M100" s="352"/>
      <c r="N100" s="352"/>
      <c r="O100" s="721"/>
      <c r="P100" s="75"/>
      <c r="Q100" s="75"/>
      <c r="R100" s="75"/>
      <c r="S100" s="746"/>
      <c r="T100" s="75"/>
      <c r="U100" s="75"/>
      <c r="V100" s="75"/>
      <c r="W100" s="746"/>
      <c r="X100" s="67">
        <v>0</v>
      </c>
      <c r="Y100" s="67">
        <v>0</v>
      </c>
      <c r="Z100" s="67">
        <v>0</v>
      </c>
      <c r="AA100" s="694">
        <v>0</v>
      </c>
      <c r="AB100" s="67">
        <v>0</v>
      </c>
      <c r="AC100" s="67">
        <v>0</v>
      </c>
      <c r="AD100" s="67">
        <v>0</v>
      </c>
      <c r="AE100" s="694">
        <v>0</v>
      </c>
      <c r="AF100" s="75"/>
      <c r="AG100" s="75"/>
      <c r="AH100" s="67"/>
      <c r="AI100" s="694"/>
      <c r="AJ100" s="694"/>
      <c r="AK100" s="694"/>
      <c r="AL100" s="694"/>
    </row>
    <row r="101" spans="2:38" x14ac:dyDescent="0.2">
      <c r="B101" s="10" t="s">
        <v>71</v>
      </c>
      <c r="C101" s="15"/>
      <c r="D101" s="474"/>
      <c r="E101" s="67"/>
      <c r="F101" s="67"/>
      <c r="G101" s="67"/>
      <c r="H101" s="67"/>
      <c r="I101" s="67"/>
      <c r="K101" s="350"/>
      <c r="L101" s="350"/>
      <c r="M101" s="350"/>
      <c r="N101" s="350"/>
      <c r="O101" s="714"/>
      <c r="P101" s="67"/>
      <c r="Q101" s="67"/>
      <c r="R101" s="67"/>
      <c r="S101" s="694"/>
      <c r="T101" s="67"/>
      <c r="U101" s="67"/>
      <c r="V101" s="67"/>
      <c r="W101" s="694"/>
      <c r="X101" s="67"/>
      <c r="Y101" s="67"/>
      <c r="Z101" s="67"/>
      <c r="AA101" s="694"/>
      <c r="AB101" s="67"/>
      <c r="AC101" s="67"/>
      <c r="AD101" s="67"/>
      <c r="AE101" s="694"/>
      <c r="AF101" s="67"/>
      <c r="AG101" s="67"/>
      <c r="AH101" s="67"/>
      <c r="AI101" s="694"/>
      <c r="AJ101" s="694"/>
      <c r="AK101" s="694"/>
      <c r="AL101" s="694"/>
    </row>
    <row r="102" spans="2:38" x14ac:dyDescent="0.2">
      <c r="B102" s="29" t="s">
        <v>191</v>
      </c>
      <c r="C102" s="85"/>
      <c r="D102" s="484">
        <f t="shared" ref="D102:H106" si="182">SUMIFS($K102:$AF102,$K$3:$AF$3,D$4,$K$2:$AF$2,4)</f>
        <v>0</v>
      </c>
      <c r="E102" s="302">
        <f t="shared" si="182"/>
        <v>0</v>
      </c>
      <c r="F102" s="302">
        <f t="shared" si="182"/>
        <v>0</v>
      </c>
      <c r="G102" s="302">
        <f t="shared" si="182"/>
        <v>0</v>
      </c>
      <c r="H102" s="302">
        <f t="shared" si="182"/>
        <v>0</v>
      </c>
      <c r="I102" s="302">
        <f t="shared" ref="I102:I106" si="183">SUMIFS($K102:$AZ102,$K$3:$AZ$3,I$4,$K$2:$AZ$2,4)</f>
        <v>0</v>
      </c>
      <c r="K102" s="366"/>
      <c r="L102" s="366"/>
      <c r="M102" s="366"/>
      <c r="N102" s="366"/>
      <c r="O102" s="715"/>
      <c r="P102" s="81"/>
      <c r="Q102" s="81"/>
      <c r="R102" s="81"/>
      <c r="S102" s="743"/>
      <c r="T102" s="81"/>
      <c r="U102" s="81"/>
      <c r="V102" s="81"/>
      <c r="W102" s="743">
        <v>0</v>
      </c>
      <c r="X102" s="81">
        <v>0</v>
      </c>
      <c r="Y102" s="81">
        <v>0</v>
      </c>
      <c r="Z102" s="81">
        <v>0</v>
      </c>
      <c r="AA102" s="743">
        <v>0</v>
      </c>
      <c r="AB102" s="81">
        <v>0</v>
      </c>
      <c r="AC102" s="81">
        <v>0</v>
      </c>
      <c r="AD102" s="81">
        <v>0</v>
      </c>
      <c r="AE102" s="743">
        <v>0</v>
      </c>
      <c r="AF102" s="81">
        <v>0</v>
      </c>
      <c r="AG102" s="81">
        <v>0</v>
      </c>
      <c r="AH102" s="81">
        <v>0</v>
      </c>
      <c r="AI102" s="743">
        <v>0</v>
      </c>
      <c r="AJ102" s="743"/>
      <c r="AK102" s="743"/>
      <c r="AL102" s="743"/>
    </row>
    <row r="103" spans="2:38" x14ac:dyDescent="0.2">
      <c r="B103" s="29" t="s">
        <v>72</v>
      </c>
      <c r="C103" s="85"/>
      <c r="D103" s="484">
        <f t="shared" si="182"/>
        <v>38498</v>
      </c>
      <c r="E103" s="302">
        <f t="shared" si="182"/>
        <v>72772</v>
      </c>
      <c r="F103" s="302">
        <f t="shared" si="182"/>
        <v>73292</v>
      </c>
      <c r="G103" s="302">
        <f t="shared" si="182"/>
        <v>73941</v>
      </c>
      <c r="H103" s="302">
        <f t="shared" si="182"/>
        <v>67705</v>
      </c>
      <c r="I103" s="302">
        <f t="shared" si="183"/>
        <v>68798</v>
      </c>
      <c r="K103" s="366">
        <v>38100</v>
      </c>
      <c r="L103" s="366">
        <v>38242</v>
      </c>
      <c r="M103" s="366">
        <v>38433</v>
      </c>
      <c r="N103" s="366">
        <v>38498</v>
      </c>
      <c r="O103" s="715">
        <v>38597</v>
      </c>
      <c r="P103" s="81">
        <v>72505</v>
      </c>
      <c r="Q103" s="81">
        <v>72705</v>
      </c>
      <c r="R103" s="81">
        <v>72772</v>
      </c>
      <c r="S103" s="743">
        <v>72839</v>
      </c>
      <c r="T103" s="81">
        <v>72919</v>
      </c>
      <c r="U103" s="81">
        <v>73152</v>
      </c>
      <c r="V103" s="81">
        <v>73292</v>
      </c>
      <c r="W103" s="743">
        <v>73420</v>
      </c>
      <c r="X103" s="81">
        <v>73552</v>
      </c>
      <c r="Y103" s="81">
        <v>73797</v>
      </c>
      <c r="Z103" s="81">
        <v>73941</v>
      </c>
      <c r="AA103" s="743">
        <v>74043</v>
      </c>
      <c r="AB103" s="81">
        <v>74161</v>
      </c>
      <c r="AC103" s="81">
        <v>74404</v>
      </c>
      <c r="AD103" s="81">
        <v>67705</v>
      </c>
      <c r="AE103" s="743">
        <v>67786</v>
      </c>
      <c r="AF103" s="81">
        <v>68463</v>
      </c>
      <c r="AG103" s="81">
        <v>68659</v>
      </c>
      <c r="AH103" s="81">
        <v>68798</v>
      </c>
      <c r="AI103" s="743">
        <v>68837</v>
      </c>
      <c r="AJ103" s="743">
        <v>69008</v>
      </c>
      <c r="AK103" s="743">
        <v>69267</v>
      </c>
      <c r="AL103" s="743">
        <v>69879</v>
      </c>
    </row>
    <row r="104" spans="2:38" x14ac:dyDescent="0.2">
      <c r="B104" s="29" t="s">
        <v>73</v>
      </c>
      <c r="C104" s="85"/>
      <c r="D104" s="484">
        <f t="shared" si="182"/>
        <v>-8</v>
      </c>
      <c r="E104" s="302">
        <f t="shared" si="182"/>
        <v>-11</v>
      </c>
      <c r="F104" s="302">
        <f t="shared" si="182"/>
        <v>-13</v>
      </c>
      <c r="G104" s="302">
        <f t="shared" si="182"/>
        <v>-3016</v>
      </c>
      <c r="H104" s="302">
        <f t="shared" si="182"/>
        <v>-9373</v>
      </c>
      <c r="I104" s="302">
        <f t="shared" si="183"/>
        <v>-20584</v>
      </c>
      <c r="K104" s="366">
        <v>-5</v>
      </c>
      <c r="L104" s="366">
        <v>-8</v>
      </c>
      <c r="M104" s="366">
        <v>-8</v>
      </c>
      <c r="N104" s="366">
        <v>-8</v>
      </c>
      <c r="O104" s="715">
        <v>-11</v>
      </c>
      <c r="P104" s="81">
        <v>-12</v>
      </c>
      <c r="Q104" s="81">
        <v>-11</v>
      </c>
      <c r="R104" s="81">
        <v>-11</v>
      </c>
      <c r="S104" s="743">
        <v>-14</v>
      </c>
      <c r="T104" s="81">
        <v>-14</v>
      </c>
      <c r="U104" s="81">
        <v>-13</v>
      </c>
      <c r="V104" s="81">
        <v>-13</v>
      </c>
      <c r="W104" s="743">
        <v>-16</v>
      </c>
      <c r="X104" s="81">
        <v>-16</v>
      </c>
      <c r="Y104" s="81">
        <v>-685</v>
      </c>
      <c r="Z104" s="81">
        <v>-3016</v>
      </c>
      <c r="AA104" s="743">
        <v>-7831</v>
      </c>
      <c r="AB104" s="81">
        <v>-11392</v>
      </c>
      <c r="AC104" s="81">
        <v>-14092</v>
      </c>
      <c r="AD104" s="81">
        <v>-9373</v>
      </c>
      <c r="AE104" s="743">
        <v>-12982</v>
      </c>
      <c r="AF104" s="81">
        <v>-15270</v>
      </c>
      <c r="AG104" s="81">
        <v>-15921</v>
      </c>
      <c r="AH104" s="81">
        <v>-20584</v>
      </c>
      <c r="AI104" s="743">
        <v>-23085</v>
      </c>
      <c r="AJ104" s="743">
        <v>-25569</v>
      </c>
      <c r="AK104" s="743">
        <v>-28064</v>
      </c>
      <c r="AL104" s="743">
        <v>-37667</v>
      </c>
    </row>
    <row r="105" spans="2:38" x14ac:dyDescent="0.2">
      <c r="B105" s="29" t="s">
        <v>74</v>
      </c>
      <c r="C105" s="85"/>
      <c r="D105" s="484">
        <f t="shared" si="182"/>
        <v>-868</v>
      </c>
      <c r="E105" s="302">
        <f t="shared" si="182"/>
        <v>-1581</v>
      </c>
      <c r="F105" s="302">
        <f t="shared" si="182"/>
        <v>-1365</v>
      </c>
      <c r="G105" s="302">
        <f t="shared" si="182"/>
        <v>-1046</v>
      </c>
      <c r="H105" s="302">
        <f t="shared" si="182"/>
        <v>-964</v>
      </c>
      <c r="I105" s="302">
        <f t="shared" si="183"/>
        <v>-857</v>
      </c>
      <c r="K105" s="366">
        <v>-521</v>
      </c>
      <c r="L105" s="366">
        <v>-813</v>
      </c>
      <c r="M105" s="366">
        <v>-1070</v>
      </c>
      <c r="N105" s="366">
        <v>-868</v>
      </c>
      <c r="O105" s="715">
        <v>-1660</v>
      </c>
      <c r="P105" s="81">
        <v>-1658</v>
      </c>
      <c r="Q105" s="81">
        <v>-1621</v>
      </c>
      <c r="R105" s="81">
        <v>-1581</v>
      </c>
      <c r="S105" s="743">
        <v>-1545</v>
      </c>
      <c r="T105" s="81">
        <v>-1510</v>
      </c>
      <c r="U105" s="81">
        <v>-1478</v>
      </c>
      <c r="V105" s="81">
        <v>-1365</v>
      </c>
      <c r="W105" s="743">
        <v>-1329</v>
      </c>
      <c r="X105" s="81">
        <v>-1295</v>
      </c>
      <c r="Y105" s="81">
        <v>-1263</v>
      </c>
      <c r="Z105" s="81">
        <v>-1046</v>
      </c>
      <c r="AA105" s="743">
        <v>-1004</v>
      </c>
      <c r="AB105" s="81">
        <v>-957</v>
      </c>
      <c r="AC105" s="81">
        <v>-949</v>
      </c>
      <c r="AD105" s="81">
        <v>-964</v>
      </c>
      <c r="AE105" s="743">
        <v>-926</v>
      </c>
      <c r="AF105" s="81">
        <v>-917</v>
      </c>
      <c r="AG105" s="81">
        <v>-889</v>
      </c>
      <c r="AH105" s="81">
        <v>-857</v>
      </c>
      <c r="AI105" s="743">
        <v>-989</v>
      </c>
      <c r="AJ105" s="743">
        <v>-908</v>
      </c>
      <c r="AK105" s="743">
        <v>-881</v>
      </c>
      <c r="AL105" s="743">
        <v>-635</v>
      </c>
    </row>
    <row r="106" spans="2:38" x14ac:dyDescent="0.2">
      <c r="B106" s="29" t="s">
        <v>75</v>
      </c>
      <c r="C106" s="89"/>
      <c r="D106" s="484">
        <f t="shared" si="182"/>
        <v>-8833</v>
      </c>
      <c r="E106" s="302">
        <f t="shared" si="182"/>
        <v>-5836</v>
      </c>
      <c r="F106" s="302">
        <f t="shared" si="182"/>
        <v>-2812</v>
      </c>
      <c r="G106" s="302">
        <f t="shared" si="182"/>
        <v>-223</v>
      </c>
      <c r="H106" s="302">
        <f t="shared" si="182"/>
        <v>7347</v>
      </c>
      <c r="I106" s="302">
        <f t="shared" si="183"/>
        <v>14384</v>
      </c>
      <c r="K106" s="366">
        <v>-11393</v>
      </c>
      <c r="L106" s="366">
        <v>-10454</v>
      </c>
      <c r="M106" s="366">
        <v>-9584</v>
      </c>
      <c r="N106" s="366">
        <v>-8833</v>
      </c>
      <c r="O106" s="715">
        <v>-7949</v>
      </c>
      <c r="P106" s="82">
        <v>-7839</v>
      </c>
      <c r="Q106" s="82">
        <v>-6586</v>
      </c>
      <c r="R106" s="82">
        <v>-5836</v>
      </c>
      <c r="S106" s="744">
        <v>-4903</v>
      </c>
      <c r="T106" s="82">
        <v>-3925</v>
      </c>
      <c r="U106" s="82">
        <v>-3234</v>
      </c>
      <c r="V106" s="82">
        <v>-2812</v>
      </c>
      <c r="W106" s="744">
        <v>-2099</v>
      </c>
      <c r="X106" s="82">
        <v>-2207</v>
      </c>
      <c r="Y106" s="82">
        <v>-1699</v>
      </c>
      <c r="Z106" s="82">
        <v>-223</v>
      </c>
      <c r="AA106" s="744">
        <v>1717</v>
      </c>
      <c r="AB106" s="82">
        <v>3938</v>
      </c>
      <c r="AC106" s="82">
        <v>5335</v>
      </c>
      <c r="AD106" s="82">
        <v>7347</v>
      </c>
      <c r="AE106" s="744">
        <v>8196</v>
      </c>
      <c r="AF106" s="82">
        <v>10360</v>
      </c>
      <c r="AG106" s="82">
        <v>12401</v>
      </c>
      <c r="AH106" s="82">
        <v>14384</v>
      </c>
      <c r="AI106" s="744">
        <v>16342</v>
      </c>
      <c r="AJ106" s="744">
        <v>18576</v>
      </c>
      <c r="AK106" s="744">
        <v>20155</v>
      </c>
      <c r="AL106" s="744">
        <v>24688</v>
      </c>
    </row>
    <row r="107" spans="2:38" x14ac:dyDescent="0.2">
      <c r="B107" s="185" t="s">
        <v>76</v>
      </c>
      <c r="C107" s="74"/>
      <c r="D107" s="488">
        <f t="shared" ref="D107:H107" si="184">+SUM(D102:D106)</f>
        <v>28789</v>
      </c>
      <c r="E107" s="74">
        <f t="shared" si="184"/>
        <v>65344</v>
      </c>
      <c r="F107" s="74">
        <f t="shared" si="184"/>
        <v>69102</v>
      </c>
      <c r="G107" s="74">
        <f t="shared" si="184"/>
        <v>69656</v>
      </c>
      <c r="H107" s="74">
        <f t="shared" si="184"/>
        <v>64715</v>
      </c>
      <c r="I107" s="74">
        <f t="shared" ref="I107" si="185">+SUM(I102:I106)</f>
        <v>61741</v>
      </c>
      <c r="K107" s="351">
        <f t="shared" ref="K107:Q107" si="186">+SUM(K102:K106)</f>
        <v>26181</v>
      </c>
      <c r="L107" s="351">
        <f t="shared" si="186"/>
        <v>26967</v>
      </c>
      <c r="M107" s="351">
        <f t="shared" si="186"/>
        <v>27771</v>
      </c>
      <c r="N107" s="351">
        <f t="shared" si="186"/>
        <v>28789</v>
      </c>
      <c r="O107" s="720">
        <f t="shared" si="186"/>
        <v>28977</v>
      </c>
      <c r="P107" s="74">
        <f t="shared" si="186"/>
        <v>62996</v>
      </c>
      <c r="Q107" s="74">
        <f t="shared" si="186"/>
        <v>64487</v>
      </c>
      <c r="R107" s="74">
        <f t="shared" ref="R107:V107" si="187">+SUM(R102:R106)</f>
        <v>65344</v>
      </c>
      <c r="S107" s="745">
        <f t="shared" si="187"/>
        <v>66377</v>
      </c>
      <c r="T107" s="74">
        <f t="shared" si="187"/>
        <v>67470</v>
      </c>
      <c r="U107" s="74">
        <f t="shared" si="187"/>
        <v>68427</v>
      </c>
      <c r="V107" s="74">
        <f t="shared" si="187"/>
        <v>69102</v>
      </c>
      <c r="W107" s="745">
        <f>+SUM(W102:W106)</f>
        <v>69976</v>
      </c>
      <c r="X107" s="74">
        <f t="shared" ref="X107:AF107" si="188">+SUM(X102:X106)</f>
        <v>70034</v>
      </c>
      <c r="Y107" s="74">
        <f t="shared" si="188"/>
        <v>70150</v>
      </c>
      <c r="Z107" s="74">
        <f t="shared" si="188"/>
        <v>69656</v>
      </c>
      <c r="AA107" s="745">
        <f t="shared" si="188"/>
        <v>66925</v>
      </c>
      <c r="AB107" s="74">
        <f t="shared" si="188"/>
        <v>65750</v>
      </c>
      <c r="AC107" s="74">
        <f t="shared" si="188"/>
        <v>64698</v>
      </c>
      <c r="AD107" s="74">
        <f t="shared" si="188"/>
        <v>64715</v>
      </c>
      <c r="AE107" s="745">
        <f t="shared" si="188"/>
        <v>62074</v>
      </c>
      <c r="AF107" s="74">
        <f t="shared" si="188"/>
        <v>62636</v>
      </c>
      <c r="AG107" s="74">
        <f t="shared" ref="AG107:AK107" si="189">+SUM(AG102:AG106)</f>
        <v>64250</v>
      </c>
      <c r="AH107" s="74">
        <f t="shared" si="189"/>
        <v>61741</v>
      </c>
      <c r="AI107" s="745">
        <f t="shared" si="189"/>
        <v>61105</v>
      </c>
      <c r="AJ107" s="745">
        <f t="shared" si="189"/>
        <v>61107</v>
      </c>
      <c r="AK107" s="745">
        <f t="shared" si="189"/>
        <v>60477</v>
      </c>
      <c r="AL107" s="745">
        <f>+SUM(AL102:AL106)</f>
        <v>56265</v>
      </c>
    </row>
    <row r="108" spans="2:38" s="30" customFormat="1" ht="12.75" thickBot="1" x14ac:dyDescent="0.25">
      <c r="B108" s="181" t="s">
        <v>77</v>
      </c>
      <c r="C108" s="158"/>
      <c r="D108" s="476">
        <f t="shared" ref="D108:H108" si="190">+D107+D99+D91+D100</f>
        <v>86921</v>
      </c>
      <c r="E108" s="158">
        <f t="shared" si="190"/>
        <v>200162</v>
      </c>
      <c r="F108" s="158">
        <f t="shared" si="190"/>
        <v>206563</v>
      </c>
      <c r="G108" s="158">
        <f t="shared" si="190"/>
        <v>211338</v>
      </c>
      <c r="H108" s="158">
        <f t="shared" si="190"/>
        <v>207682</v>
      </c>
      <c r="I108" s="158">
        <f t="shared" ref="I108" si="191">+I107+I99+I91+I100</f>
        <v>208035</v>
      </c>
      <c r="K108" s="348">
        <f t="shared" ref="K108:Q108" si="192">+K107+K99+K91+K100</f>
        <v>83073</v>
      </c>
      <c r="L108" s="348">
        <f t="shared" si="192"/>
        <v>84788</v>
      </c>
      <c r="M108" s="348">
        <f t="shared" si="192"/>
        <v>86109</v>
      </c>
      <c r="N108" s="348">
        <f t="shared" si="192"/>
        <v>86921</v>
      </c>
      <c r="O108" s="718">
        <f t="shared" si="192"/>
        <v>87226</v>
      </c>
      <c r="P108" s="158">
        <f t="shared" si="192"/>
        <v>187199</v>
      </c>
      <c r="Q108" s="158">
        <f t="shared" si="192"/>
        <v>192443</v>
      </c>
      <c r="R108" s="158">
        <f t="shared" ref="R108:V108" si="193">+R107+R99+R91+R100</f>
        <v>200162</v>
      </c>
      <c r="S108" s="697">
        <f t="shared" si="193"/>
        <v>203332</v>
      </c>
      <c r="T108" s="158">
        <f t="shared" si="193"/>
        <v>204124</v>
      </c>
      <c r="U108" s="158">
        <f t="shared" si="193"/>
        <v>202125</v>
      </c>
      <c r="V108" s="158">
        <f t="shared" si="193"/>
        <v>206563</v>
      </c>
      <c r="W108" s="697">
        <f>+W107+W99+W91+W100</f>
        <v>210653</v>
      </c>
      <c r="X108" s="158">
        <f t="shared" ref="X108:AF108" si="194">+X107+X99+X91+X100</f>
        <v>209463</v>
      </c>
      <c r="Y108" s="158">
        <f t="shared" si="194"/>
        <v>213499</v>
      </c>
      <c r="Z108" s="158">
        <f t="shared" si="194"/>
        <v>211338</v>
      </c>
      <c r="AA108" s="697">
        <f t="shared" si="194"/>
        <v>210173</v>
      </c>
      <c r="AB108" s="158">
        <f t="shared" si="194"/>
        <v>210602</v>
      </c>
      <c r="AC108" s="158">
        <f t="shared" si="194"/>
        <v>208579</v>
      </c>
      <c r="AD108" s="158">
        <f t="shared" si="194"/>
        <v>207682</v>
      </c>
      <c r="AE108" s="697">
        <f t="shared" si="194"/>
        <v>206268</v>
      </c>
      <c r="AF108" s="158">
        <f t="shared" si="194"/>
        <v>208557</v>
      </c>
      <c r="AG108" s="158">
        <f t="shared" ref="AG108:AK108" si="195">+AG107+AG99+AG91+AG100</f>
        <v>210742</v>
      </c>
      <c r="AH108" s="158">
        <f t="shared" si="195"/>
        <v>208035</v>
      </c>
      <c r="AI108" s="697">
        <f t="shared" si="195"/>
        <v>214633</v>
      </c>
      <c r="AJ108" s="697">
        <f t="shared" si="195"/>
        <v>212643</v>
      </c>
      <c r="AK108" s="697">
        <f t="shared" si="195"/>
        <v>217180</v>
      </c>
      <c r="AL108" s="697">
        <f>+AL107+AL99+AL91+AL100</f>
        <v>213553</v>
      </c>
    </row>
    <row r="109" spans="2:38" x14ac:dyDescent="0.2">
      <c r="B109" s="214" t="s">
        <v>232</v>
      </c>
      <c r="D109" s="205">
        <f t="shared" ref="D109" si="196">+D81-D108</f>
        <v>0</v>
      </c>
      <c r="E109" s="205">
        <f t="shared" ref="E109" si="197">+E81-E108</f>
        <v>0</v>
      </c>
      <c r="F109" s="205">
        <f t="shared" ref="F109" si="198">+F81-F108</f>
        <v>0</v>
      </c>
      <c r="G109" s="205">
        <f t="shared" ref="G109" si="199">+G81-G108</f>
        <v>0</v>
      </c>
      <c r="H109" s="205">
        <f t="shared" ref="H109:I109" si="200">+H81-H108</f>
        <v>0</v>
      </c>
      <c r="I109" s="205">
        <f t="shared" si="200"/>
        <v>0</v>
      </c>
      <c r="K109" s="353">
        <f t="shared" ref="K109:V109" si="201">+K81-K108</f>
        <v>0</v>
      </c>
      <c r="L109" s="353">
        <f t="shared" si="201"/>
        <v>0</v>
      </c>
      <c r="M109" s="353">
        <f t="shared" si="201"/>
        <v>0</v>
      </c>
      <c r="N109" s="353">
        <f t="shared" si="201"/>
        <v>0</v>
      </c>
      <c r="O109" s="722">
        <f t="shared" si="201"/>
        <v>0</v>
      </c>
      <c r="P109" s="205">
        <f t="shared" si="201"/>
        <v>0</v>
      </c>
      <c r="Q109" s="205">
        <f t="shared" si="201"/>
        <v>0</v>
      </c>
      <c r="R109" s="205">
        <f t="shared" si="201"/>
        <v>0</v>
      </c>
      <c r="S109" s="747">
        <f t="shared" si="201"/>
        <v>0</v>
      </c>
      <c r="T109" s="205">
        <f t="shared" si="201"/>
        <v>0</v>
      </c>
      <c r="U109" s="205">
        <f t="shared" si="201"/>
        <v>0</v>
      </c>
      <c r="V109" s="205">
        <f t="shared" si="201"/>
        <v>0</v>
      </c>
      <c r="W109" s="747">
        <f>+W81-W108</f>
        <v>0</v>
      </c>
      <c r="X109" s="205">
        <f t="shared" ref="X109:AF109" si="202">+X81-X108</f>
        <v>0</v>
      </c>
      <c r="Y109" s="205">
        <f t="shared" si="202"/>
        <v>0</v>
      </c>
      <c r="Z109" s="205">
        <f t="shared" si="202"/>
        <v>0</v>
      </c>
      <c r="AA109" s="747">
        <f t="shared" si="202"/>
        <v>0</v>
      </c>
      <c r="AB109" s="205">
        <f t="shared" si="202"/>
        <v>0</v>
      </c>
      <c r="AC109" s="205">
        <f t="shared" si="202"/>
        <v>0</v>
      </c>
      <c r="AD109" s="205">
        <f t="shared" si="202"/>
        <v>0</v>
      </c>
      <c r="AE109" s="747">
        <f t="shared" si="202"/>
        <v>0</v>
      </c>
      <c r="AF109" s="205">
        <f t="shared" si="202"/>
        <v>0</v>
      </c>
      <c r="AG109" s="205">
        <f t="shared" ref="AG109:AI109" si="203">+AG81-AG108</f>
        <v>0</v>
      </c>
      <c r="AH109" s="205">
        <f t="shared" si="203"/>
        <v>0</v>
      </c>
      <c r="AI109" s="747">
        <f t="shared" si="203"/>
        <v>0</v>
      </c>
      <c r="AJ109" s="747"/>
      <c r="AK109" s="747"/>
      <c r="AL109" s="747"/>
    </row>
    <row r="110" spans="2:38" x14ac:dyDescent="0.2">
      <c r="B110" s="14" t="s">
        <v>78</v>
      </c>
      <c r="C110" s="159"/>
      <c r="D110" s="204"/>
      <c r="E110" s="204"/>
      <c r="F110" s="204"/>
      <c r="G110" s="204"/>
      <c r="H110" s="204"/>
      <c r="I110" s="204"/>
      <c r="K110" s="159"/>
      <c r="L110" s="159"/>
      <c r="M110" s="159"/>
      <c r="N110" s="159"/>
      <c r="O110" s="699"/>
      <c r="P110" s="204"/>
      <c r="Q110" s="204"/>
      <c r="R110" s="204"/>
      <c r="S110" s="748"/>
      <c r="T110" s="204"/>
      <c r="U110" s="204"/>
      <c r="V110" s="204"/>
      <c r="W110" s="748"/>
      <c r="X110" s="159"/>
      <c r="Y110" s="159"/>
      <c r="Z110" s="159"/>
      <c r="AA110" s="699"/>
      <c r="AB110" s="159"/>
      <c r="AC110" s="159"/>
      <c r="AD110" s="159"/>
      <c r="AE110" s="699"/>
      <c r="AF110" s="159"/>
      <c r="AG110" s="159"/>
      <c r="AH110" s="159"/>
      <c r="AI110" s="699"/>
      <c r="AJ110" s="699"/>
      <c r="AK110" s="699"/>
      <c r="AL110" s="699"/>
    </row>
    <row r="111" spans="2:38" x14ac:dyDescent="0.2">
      <c r="B111" s="29" t="s">
        <v>79</v>
      </c>
      <c r="C111" s="100"/>
      <c r="D111" s="302">
        <f t="shared" ref="D111:H113" si="204">SUMIFS($K111:$AF111,$K$3:$AF$3,D$4,$K$2:$AF$2,4)</f>
        <v>0</v>
      </c>
      <c r="E111" s="302">
        <f t="shared" si="204"/>
        <v>0</v>
      </c>
      <c r="F111" s="302">
        <f t="shared" si="204"/>
        <v>0</v>
      </c>
      <c r="G111" s="302">
        <f t="shared" si="204"/>
        <v>1256.8765269999999</v>
      </c>
      <c r="H111" s="302">
        <f t="shared" si="204"/>
        <v>1262.9041540000001</v>
      </c>
      <c r="I111" s="302">
        <f t="shared" ref="I111:I113" si="205">SUMIFS($K111:$AZ111,$K$3:$AZ$3,I$4,$K$2:$AZ$2,4)</f>
        <v>0</v>
      </c>
      <c r="K111" s="100"/>
      <c r="L111" s="100"/>
      <c r="M111" s="100"/>
      <c r="N111" s="100"/>
      <c r="O111" s="723"/>
      <c r="P111" s="99"/>
      <c r="Q111" s="99"/>
      <c r="R111" s="99"/>
      <c r="S111" s="749"/>
      <c r="T111" s="99"/>
      <c r="U111" s="99"/>
      <c r="V111" s="99"/>
      <c r="W111" s="749">
        <v>1254.9178830000001</v>
      </c>
      <c r="X111" s="100">
        <v>1255.5746200000001</v>
      </c>
      <c r="Y111" s="100">
        <v>1256.555323</v>
      </c>
      <c r="Z111" s="100">
        <v>1256.8765269999999</v>
      </c>
      <c r="AA111" s="723">
        <v>1260.6069890000001</v>
      </c>
      <c r="AB111" s="100">
        <v>1261.4892870000001</v>
      </c>
      <c r="AC111" s="100">
        <v>1262.375765</v>
      </c>
      <c r="AD111" s="100">
        <v>1262.9041540000001</v>
      </c>
      <c r="AE111" s="723">
        <v>1266.294032</v>
      </c>
      <c r="AF111" s="100">
        <v>1269.805042</v>
      </c>
      <c r="AG111" s="100"/>
      <c r="AH111" s="100"/>
      <c r="AI111" s="723"/>
      <c r="AJ111" s="723">
        <f>1274176396/1000000</f>
        <v>1274.1763960000001</v>
      </c>
      <c r="AK111" s="723">
        <f>1275435436/1000000</f>
        <v>1275.435436</v>
      </c>
      <c r="AL111" s="723">
        <f>1278405439/1000000</f>
        <v>1278.4054389999999</v>
      </c>
    </row>
    <row r="112" spans="2:38" x14ac:dyDescent="0.2">
      <c r="B112" s="29" t="s">
        <v>80</v>
      </c>
      <c r="C112" s="100"/>
      <c r="D112" s="302">
        <f t="shared" si="204"/>
        <v>0</v>
      </c>
      <c r="E112" s="302">
        <f t="shared" si="204"/>
        <v>0</v>
      </c>
      <c r="F112" s="302">
        <f t="shared" si="204"/>
        <v>0</v>
      </c>
      <c r="G112" s="302">
        <f t="shared" si="204"/>
        <v>1233.9600780000001</v>
      </c>
      <c r="H112" s="302">
        <f t="shared" si="204"/>
        <v>1195.807331</v>
      </c>
      <c r="I112" s="302">
        <f t="shared" si="205"/>
        <v>0</v>
      </c>
      <c r="K112" s="100"/>
      <c r="L112" s="100"/>
      <c r="M112" s="100"/>
      <c r="N112" s="100"/>
      <c r="O112" s="723"/>
      <c r="P112" s="99"/>
      <c r="Q112" s="99"/>
      <c r="R112" s="99"/>
      <c r="S112" s="749"/>
      <c r="T112" s="99"/>
      <c r="U112" s="99"/>
      <c r="V112" s="99"/>
      <c r="W112" s="749">
        <v>1253.3526999999999</v>
      </c>
      <c r="X112" s="100">
        <v>1254.010072</v>
      </c>
      <c r="Y112" s="100">
        <v>1250.1044260000001</v>
      </c>
      <c r="Z112" s="100">
        <v>1233.9600780000001</v>
      </c>
      <c r="AA112" s="723">
        <v>1204.6963249999999</v>
      </c>
      <c r="AB112" s="100">
        <v>1180.3987480000001</v>
      </c>
      <c r="AC112" s="100">
        <v>1161.9797080000001</v>
      </c>
      <c r="AD112" s="100">
        <v>1195.807331</v>
      </c>
      <c r="AE112" s="723">
        <v>1177.24011</v>
      </c>
      <c r="AF112" s="100">
        <v>1166.7728910000001</v>
      </c>
      <c r="AG112" s="100"/>
      <c r="AH112" s="100"/>
      <c r="AI112" s="723"/>
      <c r="AJ112" s="723">
        <f>1127450618/1000000</f>
        <v>1127.4506180000001</v>
      </c>
      <c r="AK112" s="723">
        <f>1118506240/1000000</f>
        <v>1118.5062399999999</v>
      </c>
      <c r="AL112" s="723">
        <f>1074817571/1000000</f>
        <v>1074.817571</v>
      </c>
    </row>
    <row r="113" spans="2:38" x14ac:dyDescent="0.2">
      <c r="B113" s="29" t="s">
        <v>81</v>
      </c>
      <c r="C113" s="100"/>
      <c r="D113" s="302">
        <f t="shared" si="204"/>
        <v>0</v>
      </c>
      <c r="E113" s="302">
        <f t="shared" si="204"/>
        <v>0</v>
      </c>
      <c r="F113" s="302">
        <f t="shared" si="204"/>
        <v>0</v>
      </c>
      <c r="G113" s="302">
        <f t="shared" si="204"/>
        <v>22.916449</v>
      </c>
      <c r="H113" s="302">
        <f t="shared" si="204"/>
        <v>67.096823000000001</v>
      </c>
      <c r="I113" s="302">
        <f t="shared" si="205"/>
        <v>0</v>
      </c>
      <c r="K113" s="100"/>
      <c r="L113" s="100"/>
      <c r="M113" s="100"/>
      <c r="N113" s="100"/>
      <c r="O113" s="723"/>
      <c r="P113" s="99"/>
      <c r="Q113" s="99"/>
      <c r="R113" s="99"/>
      <c r="S113" s="749"/>
      <c r="T113" s="99"/>
      <c r="U113" s="99"/>
      <c r="V113" s="99"/>
      <c r="W113" s="749">
        <v>1.565183</v>
      </c>
      <c r="X113" s="100">
        <v>1.564549</v>
      </c>
      <c r="Y113" s="100">
        <v>6.4508960000000002</v>
      </c>
      <c r="Z113" s="100">
        <v>22.916449</v>
      </c>
      <c r="AA113" s="723">
        <v>55.910663999999997</v>
      </c>
      <c r="AB113" s="100">
        <v>81.090539000000007</v>
      </c>
      <c r="AC113" s="100">
        <v>100.396057</v>
      </c>
      <c r="AD113" s="100">
        <v>67.096823000000001</v>
      </c>
      <c r="AE113" s="723">
        <v>89.053922</v>
      </c>
      <c r="AF113" s="100">
        <v>103.032151</v>
      </c>
      <c r="AG113" s="100"/>
      <c r="AH113" s="100"/>
      <c r="AI113" s="723"/>
      <c r="AJ113" s="723">
        <f>146725778/1000000</f>
        <v>146.72577799999999</v>
      </c>
      <c r="AK113" s="723">
        <f>156929196/1000000</f>
        <v>156.92919599999999</v>
      </c>
      <c r="AL113" s="723">
        <f>203587868/1000000</f>
        <v>203.58786799999999</v>
      </c>
    </row>
    <row r="114" spans="2:38" x14ac:dyDescent="0.2">
      <c r="O114" s="684"/>
      <c r="S114" s="684"/>
      <c r="W114" s="684"/>
      <c r="AA114" s="684"/>
      <c r="AE114" s="684"/>
      <c r="AI114" s="684"/>
      <c r="AJ114" s="684"/>
      <c r="AK114" s="684"/>
      <c r="AL114" s="684"/>
    </row>
    <row r="115" spans="2:38" x14ac:dyDescent="0.2">
      <c r="B115" s="8" t="s">
        <v>82</v>
      </c>
      <c r="C115" s="9"/>
      <c r="D115" s="9"/>
      <c r="E115" s="9"/>
      <c r="F115" s="9"/>
      <c r="G115" s="9"/>
      <c r="H115" s="9"/>
      <c r="I115" s="9"/>
      <c r="K115" s="9"/>
      <c r="L115" s="9"/>
      <c r="M115" s="9"/>
      <c r="N115" s="9"/>
      <c r="O115" s="712"/>
      <c r="P115" s="9"/>
      <c r="Q115" s="9"/>
      <c r="R115" s="9"/>
      <c r="S115" s="712"/>
      <c r="T115" s="9"/>
      <c r="U115" s="9"/>
      <c r="V115" s="9"/>
      <c r="W115" s="712"/>
      <c r="X115" s="9"/>
      <c r="Y115" s="9"/>
      <c r="Z115" s="9"/>
      <c r="AA115" s="712"/>
      <c r="AB115" s="9"/>
      <c r="AC115" s="9"/>
      <c r="AD115" s="9"/>
      <c r="AE115" s="712"/>
      <c r="AF115" s="9"/>
      <c r="AG115" s="9"/>
      <c r="AH115" s="9"/>
      <c r="AI115" s="712"/>
      <c r="AJ115" s="712"/>
      <c r="AK115" s="712"/>
      <c r="AL115" s="712"/>
    </row>
    <row r="116" spans="2:38" x14ac:dyDescent="0.2">
      <c r="B116" s="20" t="s">
        <v>83</v>
      </c>
      <c r="C116" s="27"/>
      <c r="D116" s="61"/>
      <c r="E116" s="61"/>
      <c r="F116" s="61"/>
      <c r="G116" s="61"/>
      <c r="H116" s="61"/>
      <c r="I116" s="61"/>
      <c r="K116" s="369" t="s">
        <v>381</v>
      </c>
      <c r="L116" s="346"/>
      <c r="M116" s="346"/>
      <c r="N116" s="346"/>
      <c r="O116" s="713"/>
      <c r="P116" s="61"/>
      <c r="Q116" s="61"/>
      <c r="R116" s="61"/>
      <c r="S116" s="696"/>
      <c r="T116" s="61"/>
      <c r="U116" s="61"/>
      <c r="V116" s="61"/>
      <c r="W116" s="696"/>
      <c r="X116" s="61"/>
      <c r="Y116" s="61"/>
      <c r="Z116" s="61"/>
      <c r="AA116" s="696"/>
      <c r="AB116" s="61"/>
      <c r="AC116" s="61"/>
      <c r="AD116" s="61"/>
      <c r="AE116" s="696"/>
      <c r="AF116" s="28"/>
      <c r="AG116" s="28"/>
      <c r="AH116" s="61"/>
      <c r="AI116" s="696"/>
      <c r="AJ116" s="696"/>
      <c r="AK116" s="696"/>
      <c r="AL116" s="696"/>
    </row>
    <row r="117" spans="2:38" x14ac:dyDescent="0.2">
      <c r="B117" s="10" t="s">
        <v>31</v>
      </c>
      <c r="C117" s="61"/>
      <c r="D117" s="483">
        <f t="shared" ref="D117:I117" si="206">+D32</f>
        <v>3468</v>
      </c>
      <c r="E117" s="61">
        <f t="shared" si="206"/>
        <v>3064</v>
      </c>
      <c r="F117" s="61">
        <f t="shared" si="206"/>
        <v>3024</v>
      </c>
      <c r="G117" s="61">
        <f t="shared" si="206"/>
        <v>2590</v>
      </c>
      <c r="H117" s="61">
        <f t="shared" si="206"/>
        <v>8317</v>
      </c>
      <c r="I117" s="61">
        <f t="shared" si="206"/>
        <v>11339</v>
      </c>
      <c r="K117" s="366">
        <v>908</v>
      </c>
      <c r="L117" s="366">
        <v>939</v>
      </c>
      <c r="M117" s="366">
        <v>870</v>
      </c>
      <c r="N117" s="366">
        <v>751</v>
      </c>
      <c r="O117" s="715">
        <v>951</v>
      </c>
      <c r="P117" s="61">
        <f t="shared" ref="P117:Q117" si="207">+P32</f>
        <v>110</v>
      </c>
      <c r="Q117" s="61">
        <f t="shared" si="207"/>
        <v>1253</v>
      </c>
      <c r="R117" s="61">
        <f>+R32</f>
        <v>750</v>
      </c>
      <c r="S117" s="696">
        <f t="shared" ref="S117:AG117" si="208">+S32</f>
        <v>933</v>
      </c>
      <c r="T117" s="61">
        <f t="shared" si="208"/>
        <v>978</v>
      </c>
      <c r="U117" s="61">
        <f t="shared" si="208"/>
        <v>691</v>
      </c>
      <c r="V117" s="61">
        <f t="shared" si="208"/>
        <v>422</v>
      </c>
      <c r="W117" s="696">
        <f t="shared" si="208"/>
        <v>713</v>
      </c>
      <c r="X117" s="61">
        <f t="shared" si="208"/>
        <v>-108</v>
      </c>
      <c r="Y117" s="61">
        <f t="shared" si="208"/>
        <v>508</v>
      </c>
      <c r="Z117" s="61">
        <f t="shared" si="208"/>
        <v>1477</v>
      </c>
      <c r="AA117" s="696">
        <f t="shared" si="208"/>
        <v>1940</v>
      </c>
      <c r="AB117" s="61">
        <f t="shared" si="208"/>
        <v>2221</v>
      </c>
      <c r="AC117" s="61">
        <f t="shared" si="208"/>
        <v>2142</v>
      </c>
      <c r="AD117" s="61">
        <f t="shared" si="208"/>
        <v>2014</v>
      </c>
      <c r="AE117" s="696">
        <f t="shared" si="208"/>
        <v>2374</v>
      </c>
      <c r="AF117" s="61">
        <f t="shared" si="208"/>
        <v>2925</v>
      </c>
      <c r="AG117" s="61">
        <f t="shared" si="208"/>
        <v>3059</v>
      </c>
      <c r="AH117" s="61">
        <f t="shared" ref="AH117:AK117" si="209">+AH32</f>
        <v>2981</v>
      </c>
      <c r="AI117" s="696">
        <f t="shared" si="209"/>
        <v>2953</v>
      </c>
      <c r="AJ117" s="696">
        <f t="shared" si="209"/>
        <v>3222</v>
      </c>
      <c r="AK117" s="696">
        <f t="shared" si="209"/>
        <v>2714</v>
      </c>
      <c r="AL117" s="696">
        <f>+AL32</f>
        <v>3239</v>
      </c>
    </row>
    <row r="118" spans="2:38" x14ac:dyDescent="0.2">
      <c r="B118" s="10" t="s">
        <v>192</v>
      </c>
      <c r="C118" s="15"/>
      <c r="D118" s="474"/>
      <c r="E118" s="67"/>
      <c r="F118" s="67"/>
      <c r="G118" s="67"/>
      <c r="H118" s="67"/>
      <c r="I118" s="67"/>
      <c r="K118" s="350"/>
      <c r="L118" s="350"/>
      <c r="M118" s="350"/>
      <c r="N118" s="350"/>
      <c r="O118" s="714"/>
      <c r="P118" s="67"/>
      <c r="Q118" s="67"/>
      <c r="R118" s="67"/>
      <c r="S118" s="694"/>
      <c r="T118" s="67"/>
      <c r="U118" s="67"/>
      <c r="V118" s="67"/>
      <c r="W118" s="694"/>
      <c r="X118" s="67"/>
      <c r="Y118" s="67"/>
      <c r="Z118" s="67"/>
      <c r="AA118" s="694"/>
      <c r="AB118" s="67"/>
      <c r="AC118" s="67"/>
      <c r="AD118" s="67"/>
      <c r="AE118" s="694"/>
      <c r="AF118" s="67"/>
      <c r="AG118" s="67"/>
      <c r="AH118" s="67"/>
      <c r="AI118" s="694"/>
      <c r="AJ118" s="694"/>
      <c r="AK118" s="694"/>
      <c r="AL118" s="694"/>
    </row>
    <row r="119" spans="2:38" x14ac:dyDescent="0.2">
      <c r="B119" s="29" t="s">
        <v>22</v>
      </c>
      <c r="C119" s="101"/>
      <c r="D119" s="484">
        <f t="shared" ref="D119:H126" si="210">SUMIFS($K119:$AF119,$K$3:$AF$3,D$4)</f>
        <v>6616</v>
      </c>
      <c r="E119" s="302">
        <f t="shared" si="210"/>
        <v>14151</v>
      </c>
      <c r="F119" s="302">
        <f t="shared" si="210"/>
        <v>16383</v>
      </c>
      <c r="G119" s="302">
        <f t="shared" si="210"/>
        <v>13651</v>
      </c>
      <c r="H119" s="302">
        <f t="shared" si="210"/>
        <v>12818</v>
      </c>
      <c r="I119" s="302">
        <f t="shared" ref="I119:I126" si="211">SUMIFS($K119:$AZ119,$K$3:$AZ$3,I$4)</f>
        <v>12919</v>
      </c>
      <c r="K119" s="366">
        <v>1600</v>
      </c>
      <c r="L119" s="366">
        <v>1585</v>
      </c>
      <c r="M119" s="366">
        <v>1655</v>
      </c>
      <c r="N119" s="366">
        <v>1776</v>
      </c>
      <c r="O119" s="715">
        <v>1718</v>
      </c>
      <c r="P119" s="78">
        <v>4064</v>
      </c>
      <c r="Q119" s="78">
        <v>4150</v>
      </c>
      <c r="R119" s="78">
        <v>4219</v>
      </c>
      <c r="S119" s="687">
        <v>4289</v>
      </c>
      <c r="T119" s="78">
        <v>4077</v>
      </c>
      <c r="U119" s="78">
        <v>4145</v>
      </c>
      <c r="V119" s="78">
        <v>3872</v>
      </c>
      <c r="W119" s="687">
        <v>3585</v>
      </c>
      <c r="X119" s="78">
        <v>3491</v>
      </c>
      <c r="Y119" s="78">
        <v>3313</v>
      </c>
      <c r="Z119" s="78">
        <v>3262</v>
      </c>
      <c r="AA119" s="687">
        <v>3203</v>
      </c>
      <c r="AB119" s="78">
        <v>3110</v>
      </c>
      <c r="AC119" s="78">
        <v>3187</v>
      </c>
      <c r="AD119" s="78">
        <v>3318</v>
      </c>
      <c r="AE119" s="687">
        <v>3371</v>
      </c>
      <c r="AF119" s="78">
        <v>3248</v>
      </c>
      <c r="AG119" s="78">
        <v>3151</v>
      </c>
      <c r="AH119" s="78">
        <v>3149</v>
      </c>
      <c r="AI119" s="687">
        <v>3198</v>
      </c>
      <c r="AJ119" s="687">
        <v>3146</v>
      </c>
      <c r="AK119" s="687">
        <v>3408</v>
      </c>
      <c r="AL119" s="687">
        <v>3434</v>
      </c>
    </row>
    <row r="120" spans="2:38" x14ac:dyDescent="0.2">
      <c r="B120" s="29" t="s">
        <v>84</v>
      </c>
      <c r="C120" s="101"/>
      <c r="D120" s="484">
        <f t="shared" si="210"/>
        <v>495</v>
      </c>
      <c r="E120" s="302">
        <f t="shared" si="210"/>
        <v>694</v>
      </c>
      <c r="F120" s="302">
        <f t="shared" si="210"/>
        <v>540</v>
      </c>
      <c r="G120" s="302">
        <f t="shared" si="210"/>
        <v>595</v>
      </c>
      <c r="H120" s="302">
        <f t="shared" si="210"/>
        <v>667</v>
      </c>
      <c r="I120" s="302">
        <f t="shared" si="211"/>
        <v>649</v>
      </c>
      <c r="K120" s="366">
        <v>110</v>
      </c>
      <c r="L120" s="366">
        <v>130</v>
      </c>
      <c r="M120" s="366">
        <v>126</v>
      </c>
      <c r="N120" s="366">
        <v>129</v>
      </c>
      <c r="O120" s="715">
        <v>138</v>
      </c>
      <c r="P120" s="78">
        <v>259</v>
      </c>
      <c r="Q120" s="78">
        <v>161</v>
      </c>
      <c r="R120" s="78">
        <v>136</v>
      </c>
      <c r="S120" s="687">
        <v>138</v>
      </c>
      <c r="T120" s="78">
        <v>134</v>
      </c>
      <c r="U120" s="78">
        <v>131</v>
      </c>
      <c r="V120" s="78">
        <v>137</v>
      </c>
      <c r="W120" s="687">
        <v>141</v>
      </c>
      <c r="X120" s="78">
        <v>154</v>
      </c>
      <c r="Y120" s="78">
        <v>150</v>
      </c>
      <c r="Z120" s="78">
        <v>150</v>
      </c>
      <c r="AA120" s="687">
        <v>177</v>
      </c>
      <c r="AB120" s="78">
        <v>167</v>
      </c>
      <c r="AC120" s="78">
        <v>156</v>
      </c>
      <c r="AD120" s="78">
        <v>167</v>
      </c>
      <c r="AE120" s="687">
        <v>140</v>
      </c>
      <c r="AF120" s="78">
        <v>164</v>
      </c>
      <c r="AG120" s="78">
        <v>170</v>
      </c>
      <c r="AH120" s="78">
        <v>175</v>
      </c>
      <c r="AI120" s="687">
        <v>186</v>
      </c>
      <c r="AJ120" s="687">
        <v>200</v>
      </c>
      <c r="AK120" s="687">
        <v>227</v>
      </c>
      <c r="AL120" s="687">
        <v>214</v>
      </c>
    </row>
    <row r="121" spans="2:38" x14ac:dyDescent="0.2">
      <c r="B121" s="29" t="s">
        <v>85</v>
      </c>
      <c r="C121" s="101"/>
      <c r="D121" s="484">
        <f t="shared" si="210"/>
        <v>1091</v>
      </c>
      <c r="E121" s="302">
        <f t="shared" si="210"/>
        <v>822</v>
      </c>
      <c r="F121" s="302">
        <f t="shared" si="210"/>
        <v>197</v>
      </c>
      <c r="G121" s="302">
        <f t="shared" si="210"/>
        <v>492</v>
      </c>
      <c r="H121" s="302">
        <f t="shared" si="210"/>
        <v>2600</v>
      </c>
      <c r="I121" s="302">
        <f t="shared" si="211"/>
        <v>3120</v>
      </c>
      <c r="K121" s="366">
        <v>288</v>
      </c>
      <c r="L121" s="366">
        <v>267</v>
      </c>
      <c r="M121" s="366">
        <v>294</v>
      </c>
      <c r="N121" s="366">
        <v>242</v>
      </c>
      <c r="O121" s="715">
        <v>310</v>
      </c>
      <c r="P121" s="78">
        <v>98</v>
      </c>
      <c r="Q121" s="78">
        <v>335</v>
      </c>
      <c r="R121" s="78">
        <v>79</v>
      </c>
      <c r="S121" s="687">
        <v>211</v>
      </c>
      <c r="T121" s="78">
        <v>226</v>
      </c>
      <c r="U121" s="78">
        <v>-27</v>
      </c>
      <c r="V121" s="78">
        <v>-213</v>
      </c>
      <c r="W121" s="687">
        <v>185</v>
      </c>
      <c r="X121" s="78">
        <v>-76</v>
      </c>
      <c r="Y121" s="78">
        <v>-36</v>
      </c>
      <c r="Z121" s="78">
        <v>419</v>
      </c>
      <c r="AA121" s="687">
        <v>611</v>
      </c>
      <c r="AB121" s="78">
        <v>703</v>
      </c>
      <c r="AC121" s="78">
        <v>671</v>
      </c>
      <c r="AD121" s="78">
        <v>615</v>
      </c>
      <c r="AE121" s="687">
        <v>715</v>
      </c>
      <c r="AF121" s="78">
        <v>747</v>
      </c>
      <c r="AG121" s="78">
        <v>817</v>
      </c>
      <c r="AH121" s="78">
        <v>841</v>
      </c>
      <c r="AI121" s="687">
        <v>771</v>
      </c>
      <c r="AJ121" s="687">
        <v>937</v>
      </c>
      <c r="AK121" s="687">
        <v>797</v>
      </c>
      <c r="AL121" s="687">
        <v>893</v>
      </c>
    </row>
    <row r="122" spans="2:38" x14ac:dyDescent="0.2">
      <c r="B122" s="29" t="s">
        <v>86</v>
      </c>
      <c r="C122" s="101"/>
      <c r="D122" s="484">
        <f t="shared" si="210"/>
        <v>307</v>
      </c>
      <c r="E122" s="302">
        <f t="shared" si="210"/>
        <v>602</v>
      </c>
      <c r="F122" s="302">
        <f t="shared" si="210"/>
        <v>452</v>
      </c>
      <c r="G122" s="302">
        <f t="shared" si="210"/>
        <v>1026</v>
      </c>
      <c r="H122" s="302">
        <f t="shared" si="210"/>
        <v>898</v>
      </c>
      <c r="I122" s="302">
        <f t="shared" si="211"/>
        <v>1192</v>
      </c>
      <c r="K122" s="366">
        <v>73</v>
      </c>
      <c r="L122" s="366">
        <v>71</v>
      </c>
      <c r="M122" s="366">
        <v>74</v>
      </c>
      <c r="N122" s="366">
        <v>89</v>
      </c>
      <c r="O122" s="715">
        <v>113</v>
      </c>
      <c r="P122" s="78">
        <v>233</v>
      </c>
      <c r="Q122" s="78">
        <v>143</v>
      </c>
      <c r="R122" s="78">
        <v>113</v>
      </c>
      <c r="S122" s="687">
        <v>82</v>
      </c>
      <c r="T122" s="78">
        <v>72</v>
      </c>
      <c r="U122" s="78">
        <v>105</v>
      </c>
      <c r="V122" s="78">
        <v>193</v>
      </c>
      <c r="W122" s="687">
        <v>210</v>
      </c>
      <c r="X122" s="78">
        <v>311</v>
      </c>
      <c r="Y122" s="78">
        <v>239</v>
      </c>
      <c r="Z122" s="78">
        <v>266</v>
      </c>
      <c r="AA122" s="687">
        <v>222</v>
      </c>
      <c r="AB122" s="78">
        <v>213</v>
      </c>
      <c r="AC122" s="78">
        <v>228</v>
      </c>
      <c r="AD122" s="78">
        <v>235</v>
      </c>
      <c r="AE122" s="687">
        <v>282</v>
      </c>
      <c r="AF122" s="78">
        <v>255</v>
      </c>
      <c r="AG122" s="78">
        <v>299</v>
      </c>
      <c r="AH122" s="78">
        <v>356</v>
      </c>
      <c r="AI122" s="687">
        <v>323</v>
      </c>
      <c r="AJ122" s="687">
        <v>265</v>
      </c>
      <c r="AK122" s="687">
        <v>337</v>
      </c>
      <c r="AL122" s="687">
        <v>398</v>
      </c>
    </row>
    <row r="123" spans="2:38" x14ac:dyDescent="0.2">
      <c r="B123" s="29" t="s">
        <v>87</v>
      </c>
      <c r="C123" s="101"/>
      <c r="D123" s="484">
        <f t="shared" si="210"/>
        <v>130</v>
      </c>
      <c r="E123" s="302">
        <f t="shared" si="210"/>
        <v>36</v>
      </c>
      <c r="F123" s="302">
        <f t="shared" si="210"/>
        <v>15</v>
      </c>
      <c r="G123" s="302">
        <f t="shared" si="210"/>
        <v>214</v>
      </c>
      <c r="H123" s="302">
        <f t="shared" si="210"/>
        <v>165</v>
      </c>
      <c r="I123" s="302">
        <f t="shared" si="211"/>
        <v>62</v>
      </c>
      <c r="K123" s="366">
        <v>35</v>
      </c>
      <c r="L123" s="366">
        <v>28</v>
      </c>
      <c r="M123" s="366">
        <v>28</v>
      </c>
      <c r="N123" s="366">
        <v>39</v>
      </c>
      <c r="O123" s="715">
        <v>25</v>
      </c>
      <c r="P123" s="78">
        <v>30</v>
      </c>
      <c r="Q123" s="78">
        <v>-18</v>
      </c>
      <c r="R123" s="78">
        <v>-1</v>
      </c>
      <c r="S123" s="687">
        <v>-18</v>
      </c>
      <c r="T123" s="78">
        <v>-12</v>
      </c>
      <c r="U123" s="78">
        <v>4</v>
      </c>
      <c r="V123" s="78">
        <v>41</v>
      </c>
      <c r="W123" s="687">
        <v>46</v>
      </c>
      <c r="X123" s="78">
        <v>62</v>
      </c>
      <c r="Y123" s="78">
        <v>60</v>
      </c>
      <c r="Z123" s="78">
        <v>46</v>
      </c>
      <c r="AA123" s="687">
        <v>38</v>
      </c>
      <c r="AB123" s="78">
        <v>51</v>
      </c>
      <c r="AC123" s="78">
        <v>46</v>
      </c>
      <c r="AD123" s="78">
        <v>30</v>
      </c>
      <c r="AE123" s="687">
        <v>21</v>
      </c>
      <c r="AF123" s="78">
        <v>25</v>
      </c>
      <c r="AG123" s="78">
        <v>23</v>
      </c>
      <c r="AH123" s="78">
        <v>-7</v>
      </c>
      <c r="AI123" s="687">
        <v>22</v>
      </c>
      <c r="AJ123" s="687">
        <v>19</v>
      </c>
      <c r="AK123" s="687">
        <v>17</v>
      </c>
      <c r="AL123" s="687">
        <v>17</v>
      </c>
    </row>
    <row r="124" spans="2:38" x14ac:dyDescent="0.2">
      <c r="B124" s="29" t="s">
        <v>377</v>
      </c>
      <c r="C124" s="101"/>
      <c r="D124" s="484">
        <f t="shared" si="210"/>
        <v>19</v>
      </c>
      <c r="E124" s="302">
        <f t="shared" si="210"/>
        <v>371</v>
      </c>
      <c r="F124" s="302">
        <f t="shared" si="210"/>
        <v>184</v>
      </c>
      <c r="G124" s="302">
        <f t="shared" si="210"/>
        <v>0</v>
      </c>
      <c r="H124" s="302">
        <f t="shared" si="210"/>
        <v>0</v>
      </c>
      <c r="I124" s="302">
        <f t="shared" si="211"/>
        <v>0</v>
      </c>
      <c r="K124" s="366"/>
      <c r="L124" s="366">
        <v>19</v>
      </c>
      <c r="M124" s="366"/>
      <c r="N124" s="366"/>
      <c r="O124" s="715"/>
      <c r="P124" s="78">
        <v>163</v>
      </c>
      <c r="Q124" s="78">
        <v>108</v>
      </c>
      <c r="R124" s="78">
        <v>100</v>
      </c>
      <c r="S124" s="687">
        <v>101</v>
      </c>
      <c r="T124" s="78">
        <v>28</v>
      </c>
      <c r="U124" s="78">
        <v>55</v>
      </c>
      <c r="V124" s="78"/>
      <c r="W124" s="687"/>
      <c r="X124" s="78"/>
      <c r="Y124" s="78"/>
      <c r="Z124" s="78"/>
      <c r="AA124" s="687"/>
      <c r="AB124" s="78"/>
      <c r="AC124" s="78"/>
      <c r="AD124" s="78"/>
      <c r="AE124" s="687"/>
      <c r="AF124" s="78"/>
      <c r="AG124" s="78"/>
      <c r="AH124" s="78"/>
      <c r="AI124" s="687"/>
      <c r="AJ124" s="687"/>
      <c r="AK124" s="687"/>
      <c r="AL124" s="687"/>
    </row>
    <row r="125" spans="2:38" x14ac:dyDescent="0.2">
      <c r="B125" s="29" t="s">
        <v>20</v>
      </c>
      <c r="C125" s="101"/>
      <c r="D125" s="484">
        <f t="shared" si="210"/>
        <v>0</v>
      </c>
      <c r="E125" s="302">
        <f t="shared" si="210"/>
        <v>418</v>
      </c>
      <c r="F125" s="302">
        <f t="shared" si="210"/>
        <v>0</v>
      </c>
      <c r="G125" s="302">
        <f t="shared" si="210"/>
        <v>477</v>
      </c>
      <c r="H125" s="302">
        <f t="shared" si="210"/>
        <v>0</v>
      </c>
      <c r="I125" s="302">
        <f t="shared" si="211"/>
        <v>0</v>
      </c>
      <c r="K125" s="366"/>
      <c r="L125" s="366"/>
      <c r="M125" s="366"/>
      <c r="N125" s="366"/>
      <c r="O125" s="715"/>
      <c r="P125" s="78">
        <v>418</v>
      </c>
      <c r="Q125" s="78">
        <v>0</v>
      </c>
      <c r="R125" s="78">
        <v>0</v>
      </c>
      <c r="S125" s="687">
        <v>0</v>
      </c>
      <c r="T125" s="78">
        <v>0</v>
      </c>
      <c r="U125" s="78">
        <v>0</v>
      </c>
      <c r="V125" s="78">
        <v>0</v>
      </c>
      <c r="W125" s="687">
        <v>0</v>
      </c>
      <c r="X125" s="78">
        <v>477</v>
      </c>
      <c r="Y125" s="78">
        <v>0</v>
      </c>
      <c r="Z125" s="78">
        <v>0</v>
      </c>
      <c r="AA125" s="687">
        <v>0</v>
      </c>
      <c r="AB125" s="78">
        <v>0</v>
      </c>
      <c r="AC125" s="78">
        <v>0</v>
      </c>
      <c r="AD125" s="78">
        <v>0</v>
      </c>
      <c r="AE125" s="687">
        <v>0</v>
      </c>
      <c r="AF125" s="78">
        <v>0</v>
      </c>
      <c r="AG125" s="78"/>
      <c r="AH125" s="78">
        <v>0</v>
      </c>
      <c r="AI125" s="687"/>
      <c r="AJ125" s="687"/>
      <c r="AK125" s="687">
        <v>278</v>
      </c>
      <c r="AL125" s="687"/>
    </row>
    <row r="126" spans="2:38" x14ac:dyDescent="0.2">
      <c r="B126" s="138" t="s">
        <v>88</v>
      </c>
      <c r="C126" s="101"/>
      <c r="D126" s="484">
        <f t="shared" si="210"/>
        <v>0</v>
      </c>
      <c r="E126" s="302">
        <f t="shared" si="210"/>
        <v>0</v>
      </c>
      <c r="F126" s="302">
        <f t="shared" si="210"/>
        <v>0</v>
      </c>
      <c r="G126" s="302">
        <f t="shared" si="210"/>
        <v>377</v>
      </c>
      <c r="H126" s="302">
        <f t="shared" si="210"/>
        <v>9</v>
      </c>
      <c r="I126" s="302">
        <f t="shared" si="211"/>
        <v>0</v>
      </c>
      <c r="K126" s="366"/>
      <c r="L126" s="366"/>
      <c r="M126" s="366"/>
      <c r="N126" s="366"/>
      <c r="O126" s="715"/>
      <c r="P126" s="78"/>
      <c r="Q126" s="78"/>
      <c r="R126" s="78"/>
      <c r="S126" s="687"/>
      <c r="T126" s="78"/>
      <c r="U126" s="78"/>
      <c r="V126" s="78">
        <v>0</v>
      </c>
      <c r="W126" s="687">
        <v>0</v>
      </c>
      <c r="X126" s="78">
        <v>0</v>
      </c>
      <c r="Y126" s="78">
        <v>371</v>
      </c>
      <c r="Z126" s="78">
        <v>6</v>
      </c>
      <c r="AA126" s="687">
        <v>-13</v>
      </c>
      <c r="AB126" s="78">
        <v>22</v>
      </c>
      <c r="AC126" s="78">
        <v>0</v>
      </c>
      <c r="AD126" s="78">
        <v>0</v>
      </c>
      <c r="AE126" s="687">
        <v>0</v>
      </c>
      <c r="AF126" s="78">
        <v>0</v>
      </c>
      <c r="AG126" s="78"/>
      <c r="AH126" s="78">
        <v>0</v>
      </c>
      <c r="AI126" s="687"/>
      <c r="AJ126" s="687"/>
      <c r="AK126" s="687"/>
      <c r="AL126" s="687"/>
    </row>
    <row r="127" spans="2:38" x14ac:dyDescent="0.2">
      <c r="B127" s="29" t="s">
        <v>89</v>
      </c>
      <c r="C127" s="102"/>
      <c r="D127" s="484"/>
      <c r="E127" s="302"/>
      <c r="F127" s="302"/>
      <c r="G127" s="302"/>
      <c r="H127" s="302"/>
      <c r="I127" s="302"/>
      <c r="K127" s="366"/>
      <c r="L127" s="366"/>
      <c r="M127" s="366"/>
      <c r="N127" s="366"/>
      <c r="O127" s="715"/>
      <c r="P127" s="83"/>
      <c r="Q127" s="83"/>
      <c r="R127" s="83"/>
      <c r="S127" s="750"/>
      <c r="T127" s="83"/>
      <c r="U127" s="83"/>
      <c r="V127" s="83"/>
      <c r="W127" s="750"/>
      <c r="X127" s="83"/>
      <c r="Y127" s="83"/>
      <c r="Z127" s="83"/>
      <c r="AA127" s="750"/>
      <c r="AB127" s="83"/>
      <c r="AC127" s="83"/>
      <c r="AD127" s="83"/>
      <c r="AE127" s="750"/>
      <c r="AF127" s="83"/>
      <c r="AG127" s="83"/>
      <c r="AH127" s="83"/>
      <c r="AI127" s="750"/>
      <c r="AJ127" s="750"/>
      <c r="AK127" s="750"/>
      <c r="AL127" s="750"/>
    </row>
    <row r="128" spans="2:38" x14ac:dyDescent="0.2">
      <c r="B128" s="26" t="s">
        <v>90</v>
      </c>
      <c r="C128" s="101"/>
      <c r="D128" s="484">
        <f t="shared" ref="D128:H136" si="212">SUMIFS($K128:$AF128,$K$3:$AF$3,D$4)</f>
        <v>-3709</v>
      </c>
      <c r="E128" s="302">
        <f t="shared" si="212"/>
        <v>-3273</v>
      </c>
      <c r="F128" s="302">
        <f t="shared" si="212"/>
        <v>-3225</v>
      </c>
      <c r="G128" s="302">
        <f t="shared" si="212"/>
        <v>-5158</v>
      </c>
      <c r="H128" s="302">
        <f t="shared" si="212"/>
        <v>-5038</v>
      </c>
      <c r="I128" s="302">
        <f t="shared" ref="I128:I136" si="213">SUMIFS($K128:$AZ128,$K$3:$AZ$3,I$4)</f>
        <v>-3088</v>
      </c>
      <c r="K128" s="366">
        <v>-1143</v>
      </c>
      <c r="L128" s="366">
        <v>-805</v>
      </c>
      <c r="M128" s="366">
        <v>-745</v>
      </c>
      <c r="N128" s="366">
        <v>-1016</v>
      </c>
      <c r="O128" s="715">
        <v>-748</v>
      </c>
      <c r="P128" s="78">
        <v>-498</v>
      </c>
      <c r="Q128" s="78">
        <v>-1538</v>
      </c>
      <c r="R128" s="78">
        <v>-489</v>
      </c>
      <c r="S128" s="687">
        <v>96</v>
      </c>
      <c r="T128" s="78">
        <v>-1839</v>
      </c>
      <c r="U128" s="78">
        <v>-454</v>
      </c>
      <c r="V128" s="78">
        <v>-1028</v>
      </c>
      <c r="W128" s="687">
        <v>-984</v>
      </c>
      <c r="X128" s="78">
        <v>-1573</v>
      </c>
      <c r="Y128" s="78">
        <v>-1224</v>
      </c>
      <c r="Z128" s="78">
        <v>-1377</v>
      </c>
      <c r="AA128" s="687">
        <v>-1268</v>
      </c>
      <c r="AB128" s="78">
        <v>-1514</v>
      </c>
      <c r="AC128" s="78">
        <v>-1046</v>
      </c>
      <c r="AD128" s="78">
        <v>-1210</v>
      </c>
      <c r="AE128" s="687">
        <v>-416</v>
      </c>
      <c r="AF128" s="78">
        <v>-1286</v>
      </c>
      <c r="AG128" s="78">
        <v>-734</v>
      </c>
      <c r="AH128" s="78">
        <v>-652</v>
      </c>
      <c r="AI128" s="687">
        <v>-93</v>
      </c>
      <c r="AJ128" s="687">
        <v>-338</v>
      </c>
      <c r="AK128" s="687">
        <v>-366</v>
      </c>
      <c r="AL128" s="687">
        <v>-498</v>
      </c>
    </row>
    <row r="129" spans="2:38" x14ac:dyDescent="0.2">
      <c r="B129" s="26" t="s">
        <v>91</v>
      </c>
      <c r="C129" s="101"/>
      <c r="D129" s="484">
        <f t="shared" si="212"/>
        <v>-1015</v>
      </c>
      <c r="E129" s="302">
        <f t="shared" si="212"/>
        <v>-1453</v>
      </c>
      <c r="F129" s="302">
        <f t="shared" si="212"/>
        <v>-3141</v>
      </c>
      <c r="G129" s="302">
        <f t="shared" si="212"/>
        <v>-1184</v>
      </c>
      <c r="H129" s="302">
        <f t="shared" si="212"/>
        <v>170</v>
      </c>
      <c r="I129" s="302">
        <f t="shared" si="213"/>
        <v>-523</v>
      </c>
      <c r="K129" s="366">
        <v>-250</v>
      </c>
      <c r="L129" s="366">
        <v>-150</v>
      </c>
      <c r="M129" s="366">
        <v>-78</v>
      </c>
      <c r="N129" s="366">
        <v>-537</v>
      </c>
      <c r="O129" s="715">
        <v>69</v>
      </c>
      <c r="P129" s="78">
        <v>127</v>
      </c>
      <c r="Q129" s="78">
        <v>-306</v>
      </c>
      <c r="R129" s="78">
        <v>-1343</v>
      </c>
      <c r="S129" s="687">
        <v>-727</v>
      </c>
      <c r="T129" s="78">
        <v>-568</v>
      </c>
      <c r="U129" s="78">
        <v>-530</v>
      </c>
      <c r="V129" s="78">
        <v>-1316</v>
      </c>
      <c r="W129" s="687">
        <v>-535</v>
      </c>
      <c r="X129" s="78">
        <v>-189</v>
      </c>
      <c r="Y129" s="78">
        <v>-77</v>
      </c>
      <c r="Z129" s="78">
        <v>-383</v>
      </c>
      <c r="AA129" s="687">
        <v>152</v>
      </c>
      <c r="AB129" s="78">
        <v>246</v>
      </c>
      <c r="AC129" s="78">
        <v>165</v>
      </c>
      <c r="AD129" s="78">
        <v>-393</v>
      </c>
      <c r="AE129" s="687">
        <v>277</v>
      </c>
      <c r="AF129" s="78">
        <v>155</v>
      </c>
      <c r="AG129" s="78">
        <v>-72</v>
      </c>
      <c r="AH129" s="78">
        <v>-883</v>
      </c>
      <c r="AI129" s="687">
        <v>24</v>
      </c>
      <c r="AJ129" s="687">
        <v>65</v>
      </c>
      <c r="AK129" s="687">
        <v>44</v>
      </c>
      <c r="AL129" s="687">
        <v>103</v>
      </c>
    </row>
    <row r="130" spans="2:38" x14ac:dyDescent="0.2">
      <c r="B130" s="26" t="s">
        <v>40</v>
      </c>
      <c r="C130" s="101"/>
      <c r="D130" s="484">
        <f t="shared" si="212"/>
        <v>-617</v>
      </c>
      <c r="E130" s="302">
        <f t="shared" si="212"/>
        <v>-2222</v>
      </c>
      <c r="F130" s="302">
        <f t="shared" si="212"/>
        <v>201</v>
      </c>
      <c r="G130" s="302">
        <f t="shared" si="212"/>
        <v>744</v>
      </c>
      <c r="H130" s="302">
        <f t="shared" si="212"/>
        <v>197</v>
      </c>
      <c r="I130" s="302">
        <f t="shared" si="213"/>
        <v>131</v>
      </c>
      <c r="K130" s="366">
        <v>-265</v>
      </c>
      <c r="L130" s="366">
        <v>162</v>
      </c>
      <c r="M130" s="366">
        <v>-36</v>
      </c>
      <c r="N130" s="366">
        <v>-478</v>
      </c>
      <c r="O130" s="715">
        <v>-511</v>
      </c>
      <c r="P130" s="78">
        <v>-553</v>
      </c>
      <c r="Q130" s="78">
        <v>-549</v>
      </c>
      <c r="R130" s="78">
        <v>-609</v>
      </c>
      <c r="S130" s="687">
        <v>279</v>
      </c>
      <c r="T130" s="78">
        <v>584</v>
      </c>
      <c r="U130" s="78">
        <v>41</v>
      </c>
      <c r="V130" s="78">
        <v>-703</v>
      </c>
      <c r="W130" s="687">
        <v>-93</v>
      </c>
      <c r="X130" s="78">
        <v>484</v>
      </c>
      <c r="Y130" s="78">
        <v>-7</v>
      </c>
      <c r="Z130" s="78">
        <v>360</v>
      </c>
      <c r="AA130" s="687">
        <v>129</v>
      </c>
      <c r="AB130" s="78">
        <v>362</v>
      </c>
      <c r="AC130" s="78">
        <v>-309</v>
      </c>
      <c r="AD130" s="78">
        <v>15</v>
      </c>
      <c r="AE130" s="687">
        <v>170</v>
      </c>
      <c r="AF130" s="78">
        <v>221</v>
      </c>
      <c r="AG130" s="78">
        <v>-448</v>
      </c>
      <c r="AH130" s="78">
        <v>188</v>
      </c>
      <c r="AI130" s="687">
        <v>-318</v>
      </c>
      <c r="AJ130" s="687">
        <v>264</v>
      </c>
      <c r="AK130" s="687">
        <v>-537</v>
      </c>
      <c r="AL130" s="687">
        <v>142</v>
      </c>
    </row>
    <row r="131" spans="2:38" x14ac:dyDescent="0.2">
      <c r="B131" s="26" t="s">
        <v>45</v>
      </c>
      <c r="C131" s="101"/>
      <c r="D131" s="484">
        <f t="shared" si="212"/>
        <v>1896</v>
      </c>
      <c r="E131" s="302">
        <f t="shared" si="212"/>
        <v>3465</v>
      </c>
      <c r="F131" s="302">
        <f t="shared" si="212"/>
        <v>4964</v>
      </c>
      <c r="G131" s="302">
        <f t="shared" si="212"/>
        <v>5227</v>
      </c>
      <c r="H131" s="302">
        <f t="shared" si="212"/>
        <v>3721</v>
      </c>
      <c r="I131" s="302">
        <f t="shared" si="213"/>
        <v>3480</v>
      </c>
      <c r="K131" s="366">
        <v>435</v>
      </c>
      <c r="L131" s="366">
        <v>469</v>
      </c>
      <c r="M131" s="366">
        <v>491</v>
      </c>
      <c r="N131" s="366">
        <v>501</v>
      </c>
      <c r="O131" s="715">
        <v>527</v>
      </c>
      <c r="P131" s="78">
        <v>937</v>
      </c>
      <c r="Q131" s="78">
        <v>1062</v>
      </c>
      <c r="R131" s="78">
        <v>939</v>
      </c>
      <c r="S131" s="687">
        <v>1124</v>
      </c>
      <c r="T131" s="78">
        <v>1272</v>
      </c>
      <c r="U131" s="78">
        <v>1334</v>
      </c>
      <c r="V131" s="78">
        <v>1234</v>
      </c>
      <c r="W131" s="687">
        <v>1469</v>
      </c>
      <c r="X131" s="78">
        <v>1693</v>
      </c>
      <c r="Y131" s="78">
        <v>1113</v>
      </c>
      <c r="Z131" s="78">
        <v>952</v>
      </c>
      <c r="AA131" s="687">
        <v>1008</v>
      </c>
      <c r="AB131" s="78">
        <v>929</v>
      </c>
      <c r="AC131" s="78">
        <v>886</v>
      </c>
      <c r="AD131" s="78">
        <v>898</v>
      </c>
      <c r="AE131" s="687">
        <v>856</v>
      </c>
      <c r="AF131" s="78">
        <v>872</v>
      </c>
      <c r="AG131" s="78">
        <v>877</v>
      </c>
      <c r="AH131" s="78">
        <v>875</v>
      </c>
      <c r="AI131" s="687">
        <v>855</v>
      </c>
      <c r="AJ131" s="687">
        <v>883</v>
      </c>
      <c r="AK131" s="687">
        <v>929</v>
      </c>
      <c r="AL131" s="687">
        <v>965</v>
      </c>
    </row>
    <row r="132" spans="2:38" x14ac:dyDescent="0.2">
      <c r="B132" s="26" t="s">
        <v>92</v>
      </c>
      <c r="C132" s="101"/>
      <c r="D132" s="484">
        <f t="shared" si="212"/>
        <v>-144</v>
      </c>
      <c r="E132" s="302">
        <f t="shared" si="212"/>
        <v>-402</v>
      </c>
      <c r="F132" s="302">
        <f t="shared" si="212"/>
        <v>-573</v>
      </c>
      <c r="G132" s="302">
        <f t="shared" si="212"/>
        <v>-754</v>
      </c>
      <c r="H132" s="302">
        <f t="shared" si="212"/>
        <v>-358</v>
      </c>
      <c r="I132" s="302">
        <f t="shared" si="213"/>
        <v>-411</v>
      </c>
      <c r="K132" s="366">
        <v>-87</v>
      </c>
      <c r="L132" s="366">
        <v>-83</v>
      </c>
      <c r="M132" s="366">
        <v>-118</v>
      </c>
      <c r="N132" s="366">
        <v>144</v>
      </c>
      <c r="O132" s="715">
        <v>6</v>
      </c>
      <c r="P132" s="78">
        <v>-104</v>
      </c>
      <c r="Q132" s="78">
        <v>-8</v>
      </c>
      <c r="R132" s="78">
        <v>-296</v>
      </c>
      <c r="S132" s="687">
        <v>54</v>
      </c>
      <c r="T132" s="78">
        <v>-154</v>
      </c>
      <c r="U132" s="78">
        <v>-88</v>
      </c>
      <c r="V132" s="78">
        <v>-385</v>
      </c>
      <c r="W132" s="687">
        <v>-4</v>
      </c>
      <c r="X132" s="78">
        <v>-112</v>
      </c>
      <c r="Y132" s="78">
        <v>-334</v>
      </c>
      <c r="Z132" s="78">
        <v>-304</v>
      </c>
      <c r="AA132" s="687">
        <v>-142</v>
      </c>
      <c r="AB132" s="78">
        <v>354</v>
      </c>
      <c r="AC132" s="78">
        <v>-135</v>
      </c>
      <c r="AD132" s="78">
        <v>-435</v>
      </c>
      <c r="AE132" s="687">
        <v>160</v>
      </c>
      <c r="AF132" s="78">
        <v>-416</v>
      </c>
      <c r="AG132" s="78">
        <v>-19</v>
      </c>
      <c r="AH132" s="78">
        <v>-136</v>
      </c>
      <c r="AI132" s="687">
        <v>10</v>
      </c>
      <c r="AJ132" s="687">
        <v>-671</v>
      </c>
      <c r="AK132" s="687">
        <v>-322</v>
      </c>
      <c r="AL132" s="687">
        <v>-354</v>
      </c>
    </row>
    <row r="133" spans="2:38" x14ac:dyDescent="0.2">
      <c r="B133" s="26" t="s">
        <v>54</v>
      </c>
      <c r="C133" s="101"/>
      <c r="D133" s="484">
        <f t="shared" si="212"/>
        <v>17</v>
      </c>
      <c r="E133" s="302">
        <f t="shared" si="212"/>
        <v>-2123</v>
      </c>
      <c r="F133" s="302">
        <f t="shared" si="212"/>
        <v>549</v>
      </c>
      <c r="G133" s="302">
        <f t="shared" si="212"/>
        <v>558</v>
      </c>
      <c r="H133" s="302">
        <f t="shared" si="212"/>
        <v>-1126</v>
      </c>
      <c r="I133" s="302">
        <f t="shared" si="213"/>
        <v>-2041</v>
      </c>
      <c r="K133" s="366">
        <v>13</v>
      </c>
      <c r="L133" s="366">
        <v>43</v>
      </c>
      <c r="M133" s="366">
        <v>-395</v>
      </c>
      <c r="N133" s="366">
        <v>356</v>
      </c>
      <c r="O133" s="715">
        <v>-405</v>
      </c>
      <c r="P133" s="78">
        <v>-1261</v>
      </c>
      <c r="Q133" s="78">
        <v>-964</v>
      </c>
      <c r="R133" s="78">
        <v>507</v>
      </c>
      <c r="S133" s="687">
        <v>-1384</v>
      </c>
      <c r="T133" s="78">
        <v>28</v>
      </c>
      <c r="U133" s="78">
        <v>111</v>
      </c>
      <c r="V133" s="78">
        <v>1794</v>
      </c>
      <c r="W133" s="687">
        <v>-59</v>
      </c>
      <c r="X133" s="78">
        <v>36</v>
      </c>
      <c r="Y133" s="78">
        <v>342</v>
      </c>
      <c r="Z133" s="78">
        <v>239</v>
      </c>
      <c r="AA133" s="687">
        <v>-882</v>
      </c>
      <c r="AB133" s="78">
        <v>-864</v>
      </c>
      <c r="AC133" s="78">
        <v>208</v>
      </c>
      <c r="AD133" s="78">
        <v>412</v>
      </c>
      <c r="AE133" s="687">
        <v>-1734</v>
      </c>
      <c r="AF133" s="78">
        <v>38</v>
      </c>
      <c r="AG133" s="78">
        <v>-165</v>
      </c>
      <c r="AH133" s="78">
        <v>-180</v>
      </c>
      <c r="AI133" s="687">
        <v>-268</v>
      </c>
      <c r="AJ133" s="687">
        <v>107</v>
      </c>
      <c r="AK133" s="687">
        <v>890</v>
      </c>
      <c r="AL133" s="687">
        <v>-265</v>
      </c>
    </row>
    <row r="134" spans="2:38" x14ac:dyDescent="0.2">
      <c r="B134" s="26" t="s">
        <v>93</v>
      </c>
      <c r="C134" s="101"/>
      <c r="D134" s="484">
        <f t="shared" si="212"/>
        <v>-2131</v>
      </c>
      <c r="E134" s="302">
        <f t="shared" si="212"/>
        <v>-3699</v>
      </c>
      <c r="F134" s="302">
        <f t="shared" si="212"/>
        <v>-5358</v>
      </c>
      <c r="G134" s="302">
        <f t="shared" si="212"/>
        <v>-2947</v>
      </c>
      <c r="H134" s="302">
        <f t="shared" si="212"/>
        <v>-3785</v>
      </c>
      <c r="I134" s="302">
        <f t="shared" si="213"/>
        <v>-3879</v>
      </c>
      <c r="K134" s="366">
        <v>-522</v>
      </c>
      <c r="L134" s="366">
        <v>-521</v>
      </c>
      <c r="M134" s="366">
        <v>-549</v>
      </c>
      <c r="N134" s="366">
        <v>-539</v>
      </c>
      <c r="O134" s="715">
        <v>-725</v>
      </c>
      <c r="P134" s="78">
        <v>-1077</v>
      </c>
      <c r="Q134" s="78">
        <v>-1145</v>
      </c>
      <c r="R134" s="78">
        <v>-752</v>
      </c>
      <c r="S134" s="687">
        <v>-1369</v>
      </c>
      <c r="T134" s="78">
        <v>-996</v>
      </c>
      <c r="U134" s="78">
        <v>-2046</v>
      </c>
      <c r="V134" s="78">
        <v>-947</v>
      </c>
      <c r="W134" s="687">
        <v>-771</v>
      </c>
      <c r="X134" s="78">
        <v>-747</v>
      </c>
      <c r="Y134" s="78">
        <v>-700</v>
      </c>
      <c r="Z134" s="78">
        <v>-729</v>
      </c>
      <c r="AA134" s="687">
        <v>-1009</v>
      </c>
      <c r="AB134" s="78">
        <v>-1183</v>
      </c>
      <c r="AC134" s="78">
        <v>-692</v>
      </c>
      <c r="AD134" s="78">
        <v>-901</v>
      </c>
      <c r="AE134" s="687">
        <v>-1017</v>
      </c>
      <c r="AF134" s="78">
        <v>-1148</v>
      </c>
      <c r="AG134" s="78">
        <v>-805</v>
      </c>
      <c r="AH134" s="78">
        <v>-909</v>
      </c>
      <c r="AI134" s="687">
        <v>-898</v>
      </c>
      <c r="AJ134" s="687">
        <v>-886</v>
      </c>
      <c r="AK134" s="687">
        <v>-936</v>
      </c>
      <c r="AL134" s="687">
        <v>-976</v>
      </c>
    </row>
    <row r="135" spans="2:38" x14ac:dyDescent="0.2">
      <c r="B135" s="26" t="s">
        <v>94</v>
      </c>
      <c r="C135" s="101"/>
      <c r="D135" s="484">
        <f t="shared" si="212"/>
        <v>144</v>
      </c>
      <c r="E135" s="302">
        <f t="shared" si="212"/>
        <v>-2178</v>
      </c>
      <c r="F135" s="302">
        <f t="shared" si="212"/>
        <v>-531</v>
      </c>
      <c r="G135" s="302">
        <f t="shared" si="212"/>
        <v>459</v>
      </c>
      <c r="H135" s="302">
        <f t="shared" si="212"/>
        <v>-839</v>
      </c>
      <c r="I135" s="302">
        <f t="shared" si="213"/>
        <v>-678</v>
      </c>
      <c r="K135" s="366">
        <v>121</v>
      </c>
      <c r="L135" s="366">
        <v>-27</v>
      </c>
      <c r="M135" s="366">
        <v>42</v>
      </c>
      <c r="N135" s="366">
        <v>8</v>
      </c>
      <c r="O135" s="715">
        <v>79</v>
      </c>
      <c r="P135" s="78">
        <v>-2190</v>
      </c>
      <c r="Q135" s="78">
        <v>-51</v>
      </c>
      <c r="R135" s="78">
        <v>-16</v>
      </c>
      <c r="S135" s="687">
        <v>-217</v>
      </c>
      <c r="T135" s="78">
        <v>-47</v>
      </c>
      <c r="U135" s="78">
        <v>-87</v>
      </c>
      <c r="V135" s="78">
        <v>-180</v>
      </c>
      <c r="W135" s="687">
        <v>-163</v>
      </c>
      <c r="X135" s="78">
        <v>200</v>
      </c>
      <c r="Y135" s="78">
        <v>550</v>
      </c>
      <c r="Z135" s="78">
        <v>-128</v>
      </c>
      <c r="AA135" s="687">
        <v>-183</v>
      </c>
      <c r="AB135" s="78">
        <v>-466</v>
      </c>
      <c r="AC135" s="78">
        <v>-260</v>
      </c>
      <c r="AD135" s="78">
        <v>70</v>
      </c>
      <c r="AE135" s="687">
        <v>-172</v>
      </c>
      <c r="AF135" s="78">
        <v>-360</v>
      </c>
      <c r="AG135" s="78">
        <v>-125</v>
      </c>
      <c r="AH135" s="78">
        <v>-21</v>
      </c>
      <c r="AI135" s="687">
        <v>-88</v>
      </c>
      <c r="AJ135" s="687">
        <v>-82</v>
      </c>
      <c r="AK135" s="687">
        <v>-239</v>
      </c>
      <c r="AL135" s="687">
        <v>-3</v>
      </c>
    </row>
    <row r="136" spans="2:38" x14ac:dyDescent="0.2">
      <c r="B136" s="29" t="s">
        <v>95</v>
      </c>
      <c r="C136" s="86"/>
      <c r="D136" s="484">
        <f t="shared" si="212"/>
        <v>257</v>
      </c>
      <c r="E136" s="302">
        <f t="shared" si="212"/>
        <v>367</v>
      </c>
      <c r="F136" s="302">
        <f t="shared" si="212"/>
        <v>236</v>
      </c>
      <c r="G136" s="302">
        <f t="shared" si="212"/>
        <v>414</v>
      </c>
      <c r="H136" s="302">
        <f t="shared" si="212"/>
        <v>143</v>
      </c>
      <c r="I136" s="302">
        <f t="shared" si="213"/>
        <v>21</v>
      </c>
      <c r="K136" s="366">
        <v>76</v>
      </c>
      <c r="L136" s="366">
        <v>20</v>
      </c>
      <c r="M136" s="366">
        <v>89</v>
      </c>
      <c r="N136" s="366">
        <v>72</v>
      </c>
      <c r="O136" s="715">
        <v>70</v>
      </c>
      <c r="P136" s="79">
        <v>21</v>
      </c>
      <c r="Q136" s="79">
        <v>139</v>
      </c>
      <c r="R136" s="79">
        <v>137</v>
      </c>
      <c r="S136" s="690">
        <v>69</v>
      </c>
      <c r="T136" s="79">
        <v>-4</v>
      </c>
      <c r="U136" s="79">
        <v>92</v>
      </c>
      <c r="V136" s="79">
        <v>79</v>
      </c>
      <c r="W136" s="690">
        <v>105</v>
      </c>
      <c r="X136" s="79">
        <v>106</v>
      </c>
      <c r="Y136" s="79">
        <v>123</v>
      </c>
      <c r="Z136" s="79">
        <v>80</v>
      </c>
      <c r="AA136" s="690">
        <v>68</v>
      </c>
      <c r="AB136" s="79">
        <v>4</v>
      </c>
      <c r="AC136" s="79">
        <v>47</v>
      </c>
      <c r="AD136" s="79">
        <v>24</v>
      </c>
      <c r="AE136" s="690">
        <v>57</v>
      </c>
      <c r="AF136" s="79">
        <v>81</v>
      </c>
      <c r="AG136" s="79">
        <v>111</v>
      </c>
      <c r="AH136" s="79">
        <v>-228</v>
      </c>
      <c r="AI136" s="690">
        <v>170</v>
      </c>
      <c r="AJ136" s="690">
        <v>-139</v>
      </c>
      <c r="AK136" s="690">
        <v>216</v>
      </c>
      <c r="AL136" s="690">
        <v>191</v>
      </c>
    </row>
    <row r="137" spans="2:38" s="30" customFormat="1" x14ac:dyDescent="0.2">
      <c r="B137" s="197" t="s">
        <v>96</v>
      </c>
      <c r="C137" s="222"/>
      <c r="D137" s="489">
        <f t="shared" ref="D137:I137" si="214">+SUM(D117:D136)</f>
        <v>6824</v>
      </c>
      <c r="E137" s="222">
        <f t="shared" si="214"/>
        <v>8640</v>
      </c>
      <c r="F137" s="222">
        <f t="shared" si="214"/>
        <v>13917</v>
      </c>
      <c r="G137" s="222">
        <f t="shared" si="214"/>
        <v>16781</v>
      </c>
      <c r="H137" s="222">
        <f t="shared" si="214"/>
        <v>18559</v>
      </c>
      <c r="I137" s="222">
        <f t="shared" si="214"/>
        <v>22293</v>
      </c>
      <c r="K137" s="355">
        <f t="shared" ref="K137:Q137" si="215">+SUM(K117:K136)</f>
        <v>1392</v>
      </c>
      <c r="L137" s="355">
        <f t="shared" si="215"/>
        <v>2147</v>
      </c>
      <c r="M137" s="355">
        <f t="shared" si="215"/>
        <v>1748</v>
      </c>
      <c r="N137" s="355">
        <f t="shared" si="215"/>
        <v>1537</v>
      </c>
      <c r="O137" s="724">
        <f t="shared" si="215"/>
        <v>1617</v>
      </c>
      <c r="P137" s="222">
        <f t="shared" si="215"/>
        <v>777</v>
      </c>
      <c r="Q137" s="222">
        <f t="shared" si="215"/>
        <v>2772</v>
      </c>
      <c r="R137" s="222">
        <f t="shared" ref="R137:V137" si="216">+SUM(R117:R136)</f>
        <v>3474</v>
      </c>
      <c r="S137" s="751">
        <f t="shared" si="216"/>
        <v>3661</v>
      </c>
      <c r="T137" s="222">
        <f t="shared" si="216"/>
        <v>3779</v>
      </c>
      <c r="U137" s="222">
        <f t="shared" si="216"/>
        <v>3477</v>
      </c>
      <c r="V137" s="222">
        <f t="shared" si="216"/>
        <v>3000</v>
      </c>
      <c r="W137" s="751">
        <f>+SUM(W117:W136)</f>
        <v>3845</v>
      </c>
      <c r="X137" s="222">
        <f t="shared" ref="X137:AE137" si="217">+SUM(X117:X136)</f>
        <v>4209</v>
      </c>
      <c r="Y137" s="222">
        <f t="shared" si="217"/>
        <v>4391</v>
      </c>
      <c r="Z137" s="222">
        <f t="shared" si="217"/>
        <v>4336</v>
      </c>
      <c r="AA137" s="751">
        <f t="shared" si="217"/>
        <v>4051</v>
      </c>
      <c r="AB137" s="222">
        <f t="shared" si="217"/>
        <v>4355</v>
      </c>
      <c r="AC137" s="222">
        <f t="shared" si="217"/>
        <v>5294</v>
      </c>
      <c r="AD137" s="222">
        <f t="shared" si="217"/>
        <v>4859</v>
      </c>
      <c r="AE137" s="751">
        <f t="shared" si="217"/>
        <v>5084</v>
      </c>
      <c r="AF137" s="222">
        <f t="shared" ref="AF137:AK137" si="218">+SUM(AF117:AF136)</f>
        <v>5521</v>
      </c>
      <c r="AG137" s="222">
        <f t="shared" si="218"/>
        <v>6139</v>
      </c>
      <c r="AH137" s="222">
        <f t="shared" si="218"/>
        <v>5549</v>
      </c>
      <c r="AI137" s="751">
        <f t="shared" si="218"/>
        <v>6847</v>
      </c>
      <c r="AJ137" s="751">
        <f t="shared" si="218"/>
        <v>6992</v>
      </c>
      <c r="AK137" s="751">
        <f t="shared" si="218"/>
        <v>7457</v>
      </c>
      <c r="AL137" s="751">
        <f>+SUM(AL117:AL136)</f>
        <v>7500</v>
      </c>
    </row>
    <row r="138" spans="2:38" x14ac:dyDescent="0.2">
      <c r="B138" s="14" t="s">
        <v>97</v>
      </c>
      <c r="C138" s="25"/>
      <c r="D138" s="490"/>
      <c r="E138" s="25"/>
      <c r="F138" s="25"/>
      <c r="G138" s="25"/>
      <c r="H138" s="25"/>
      <c r="I138" s="25"/>
      <c r="K138" s="352"/>
      <c r="L138" s="352"/>
      <c r="M138" s="352"/>
      <c r="N138" s="352"/>
      <c r="O138" s="721"/>
      <c r="P138" s="25"/>
      <c r="Q138" s="25"/>
      <c r="R138" s="25"/>
      <c r="S138" s="752"/>
      <c r="T138" s="25"/>
      <c r="U138" s="25"/>
      <c r="V138" s="25"/>
      <c r="W138" s="752"/>
      <c r="X138" s="25"/>
      <c r="Y138" s="25"/>
      <c r="Z138" s="25"/>
      <c r="AA138" s="752"/>
      <c r="AB138" s="25"/>
      <c r="AC138" s="25"/>
      <c r="AD138" s="25"/>
      <c r="AE138" s="752"/>
      <c r="AF138" s="25"/>
      <c r="AG138" s="25"/>
      <c r="AH138" s="25"/>
      <c r="AI138" s="752"/>
      <c r="AJ138" s="752"/>
      <c r="AK138" s="752"/>
      <c r="AL138" s="752"/>
    </row>
    <row r="139" spans="2:38" x14ac:dyDescent="0.2">
      <c r="B139" s="10" t="s">
        <v>193</v>
      </c>
      <c r="C139" s="101"/>
      <c r="D139" s="484">
        <f t="shared" ref="D139:H144" si="219">SUMIFS($K139:$AF139,$K$3:$AF$3,D$4)</f>
        <v>-6391</v>
      </c>
      <c r="E139" s="302">
        <f t="shared" si="219"/>
        <v>-11034</v>
      </c>
      <c r="F139" s="302">
        <f t="shared" si="219"/>
        <v>-12326</v>
      </c>
      <c r="G139" s="302">
        <f t="shared" si="219"/>
        <v>-13970</v>
      </c>
      <c r="H139" s="302">
        <f t="shared" si="219"/>
        <v>-9801</v>
      </c>
      <c r="I139" s="302">
        <f t="shared" ref="I139:I144" si="220">SUMIFS($K139:$AZ139,$K$3:$AZ$3,I$4)</f>
        <v>-8840</v>
      </c>
      <c r="K139" s="366">
        <v>-1931</v>
      </c>
      <c r="L139" s="366">
        <v>-1789</v>
      </c>
      <c r="M139" s="366">
        <v>-1514</v>
      </c>
      <c r="N139" s="366">
        <v>-1157</v>
      </c>
      <c r="O139" s="715">
        <v>-1753</v>
      </c>
      <c r="P139" s="78">
        <v>-2257</v>
      </c>
      <c r="Q139" s="78">
        <v>-3217</v>
      </c>
      <c r="R139" s="78">
        <v>-3807</v>
      </c>
      <c r="S139" s="687">
        <v>-3183</v>
      </c>
      <c r="T139" s="78">
        <v>-3270</v>
      </c>
      <c r="U139" s="78">
        <v>-2944</v>
      </c>
      <c r="V139" s="78">
        <v>-2929</v>
      </c>
      <c r="W139" s="687">
        <v>-3381</v>
      </c>
      <c r="X139" s="78">
        <v>-3572</v>
      </c>
      <c r="Y139" s="78">
        <v>-3634</v>
      </c>
      <c r="Z139" s="78">
        <v>-3383</v>
      </c>
      <c r="AA139" s="687">
        <v>-3001</v>
      </c>
      <c r="AB139" s="78">
        <v>-2789</v>
      </c>
      <c r="AC139" s="78">
        <v>-2424</v>
      </c>
      <c r="AD139" s="78">
        <v>-1587</v>
      </c>
      <c r="AE139" s="687">
        <v>-2627</v>
      </c>
      <c r="AF139" s="78">
        <v>-2040</v>
      </c>
      <c r="AG139" s="78">
        <v>-1961</v>
      </c>
      <c r="AH139" s="78">
        <v>-2212</v>
      </c>
      <c r="AI139" s="687">
        <v>-2451</v>
      </c>
      <c r="AJ139" s="687">
        <v>-2396</v>
      </c>
      <c r="AK139" s="687">
        <v>-2639</v>
      </c>
      <c r="AL139" s="687">
        <v>-2703</v>
      </c>
    </row>
    <row r="140" spans="2:38" x14ac:dyDescent="0.2">
      <c r="B140" s="137" t="s">
        <v>98</v>
      </c>
      <c r="C140" s="101"/>
      <c r="D140" s="484">
        <f t="shared" si="219"/>
        <v>-967</v>
      </c>
      <c r="E140" s="302">
        <f t="shared" si="219"/>
        <v>-1333</v>
      </c>
      <c r="F140" s="302">
        <f t="shared" si="219"/>
        <v>-9366</v>
      </c>
      <c r="G140" s="302">
        <f t="shared" si="219"/>
        <v>-3331</v>
      </c>
      <c r="H140" s="302">
        <f t="shared" si="219"/>
        <v>-1010</v>
      </c>
      <c r="I140" s="302">
        <f t="shared" si="220"/>
        <v>-3471</v>
      </c>
      <c r="K140" s="366">
        <v>-185</v>
      </c>
      <c r="L140" s="366">
        <v>-665</v>
      </c>
      <c r="M140" s="366">
        <v>-13</v>
      </c>
      <c r="N140" s="366">
        <v>-104</v>
      </c>
      <c r="O140" s="715">
        <v>-99</v>
      </c>
      <c r="P140" s="78">
        <v>-745</v>
      </c>
      <c r="Q140" s="78">
        <v>17</v>
      </c>
      <c r="R140" s="78">
        <v>-506</v>
      </c>
      <c r="S140" s="687">
        <v>-8922</v>
      </c>
      <c r="T140" s="78">
        <v>-8</v>
      </c>
      <c r="U140" s="78">
        <v>-407</v>
      </c>
      <c r="V140" s="78">
        <v>-29</v>
      </c>
      <c r="W140" s="687">
        <v>-2843</v>
      </c>
      <c r="X140" s="78">
        <v>-116</v>
      </c>
      <c r="Y140" s="78">
        <v>-360</v>
      </c>
      <c r="Z140" s="78">
        <v>-12</v>
      </c>
      <c r="AA140" s="687">
        <v>-73</v>
      </c>
      <c r="AB140" s="78">
        <v>-33</v>
      </c>
      <c r="AC140" s="78">
        <v>-119</v>
      </c>
      <c r="AD140" s="78">
        <v>-785</v>
      </c>
      <c r="AE140" s="687">
        <v>-61</v>
      </c>
      <c r="AF140" s="78">
        <v>-156</v>
      </c>
      <c r="AG140" s="78">
        <v>-2419</v>
      </c>
      <c r="AH140" s="78">
        <v>-835</v>
      </c>
      <c r="AI140" s="687">
        <v>-73</v>
      </c>
      <c r="AJ140" s="687">
        <v>-842</v>
      </c>
      <c r="AK140" s="687">
        <v>-1590</v>
      </c>
      <c r="AL140" s="687">
        <v>-484</v>
      </c>
    </row>
    <row r="141" spans="2:38" x14ac:dyDescent="0.2">
      <c r="B141" s="10" t="s">
        <v>99</v>
      </c>
      <c r="C141" s="101"/>
      <c r="D141" s="484">
        <f t="shared" si="219"/>
        <v>38</v>
      </c>
      <c r="E141" s="302">
        <f t="shared" si="219"/>
        <v>0</v>
      </c>
      <c r="F141" s="302">
        <f t="shared" si="219"/>
        <v>40</v>
      </c>
      <c r="G141" s="302">
        <f t="shared" si="219"/>
        <v>9</v>
      </c>
      <c r="H141" s="302">
        <f t="shared" si="219"/>
        <v>12</v>
      </c>
      <c r="I141" s="302">
        <f t="shared" si="220"/>
        <v>0</v>
      </c>
      <c r="K141" s="366">
        <v>0</v>
      </c>
      <c r="L141" s="366"/>
      <c r="M141" s="366"/>
      <c r="N141" s="366">
        <v>38</v>
      </c>
      <c r="O141" s="715">
        <v>0</v>
      </c>
      <c r="P141" s="78">
        <v>0</v>
      </c>
      <c r="Q141" s="78">
        <v>0</v>
      </c>
      <c r="R141" s="78">
        <v>0</v>
      </c>
      <c r="S141" s="687"/>
      <c r="T141" s="78">
        <v>31</v>
      </c>
      <c r="U141" s="78">
        <v>0</v>
      </c>
      <c r="V141" s="78">
        <v>9</v>
      </c>
      <c r="W141" s="687">
        <v>0</v>
      </c>
      <c r="X141" s="78">
        <v>0</v>
      </c>
      <c r="Y141" s="78">
        <v>0</v>
      </c>
      <c r="Z141" s="78">
        <v>9</v>
      </c>
      <c r="AA141" s="687">
        <v>6</v>
      </c>
      <c r="AB141" s="78">
        <v>2</v>
      </c>
      <c r="AC141" s="78">
        <v>2</v>
      </c>
      <c r="AD141" s="78">
        <v>2</v>
      </c>
      <c r="AE141" s="687">
        <v>0</v>
      </c>
      <c r="AF141" s="78">
        <v>0</v>
      </c>
      <c r="AG141" s="78"/>
      <c r="AH141" s="78">
        <v>0</v>
      </c>
      <c r="AI141" s="687">
        <v>0</v>
      </c>
      <c r="AJ141" s="687"/>
      <c r="AK141" s="687"/>
      <c r="AL141" s="687"/>
    </row>
    <row r="142" spans="2:38" x14ac:dyDescent="0.2">
      <c r="B142" s="137" t="s">
        <v>100</v>
      </c>
      <c r="C142" s="101"/>
      <c r="D142" s="484">
        <f t="shared" si="219"/>
        <v>3876</v>
      </c>
      <c r="E142" s="302">
        <f t="shared" si="219"/>
        <v>3134</v>
      </c>
      <c r="F142" s="302">
        <f t="shared" si="219"/>
        <v>4131</v>
      </c>
      <c r="G142" s="302">
        <f t="shared" si="219"/>
        <v>4836</v>
      </c>
      <c r="H142" s="302">
        <f t="shared" si="219"/>
        <v>4816</v>
      </c>
      <c r="I142" s="302">
        <f t="shared" si="220"/>
        <v>3579</v>
      </c>
      <c r="K142" s="366">
        <v>1157</v>
      </c>
      <c r="L142" s="366">
        <v>839</v>
      </c>
      <c r="M142" s="366">
        <v>900</v>
      </c>
      <c r="N142" s="366">
        <v>980</v>
      </c>
      <c r="O142" s="715">
        <v>868</v>
      </c>
      <c r="P142" s="78">
        <v>602</v>
      </c>
      <c r="Q142" s="78">
        <v>855</v>
      </c>
      <c r="R142" s="78">
        <v>809</v>
      </c>
      <c r="S142" s="687">
        <v>891</v>
      </c>
      <c r="T142" s="78">
        <v>1137</v>
      </c>
      <c r="U142" s="78">
        <v>1071</v>
      </c>
      <c r="V142" s="78">
        <v>1032</v>
      </c>
      <c r="W142" s="687">
        <v>1185</v>
      </c>
      <c r="X142" s="78">
        <v>1121</v>
      </c>
      <c r="Y142" s="78">
        <v>1308</v>
      </c>
      <c r="Z142" s="78">
        <v>1222</v>
      </c>
      <c r="AA142" s="687">
        <v>1345</v>
      </c>
      <c r="AB142" s="78">
        <v>1309</v>
      </c>
      <c r="AC142" s="78">
        <v>1131</v>
      </c>
      <c r="AD142" s="78">
        <v>1031</v>
      </c>
      <c r="AE142" s="687">
        <v>890</v>
      </c>
      <c r="AF142" s="78">
        <v>958</v>
      </c>
      <c r="AG142" s="78">
        <v>984</v>
      </c>
      <c r="AH142" s="78">
        <v>747</v>
      </c>
      <c r="AI142" s="687"/>
      <c r="AJ142" s="687"/>
      <c r="AK142" s="687"/>
      <c r="AL142" s="687"/>
    </row>
    <row r="143" spans="2:38" ht="12.75" customHeight="1" x14ac:dyDescent="0.2">
      <c r="B143" s="137" t="s">
        <v>101</v>
      </c>
      <c r="C143" s="101"/>
      <c r="D143" s="484">
        <f t="shared" si="219"/>
        <v>-31</v>
      </c>
      <c r="E143" s="302">
        <f t="shared" si="219"/>
        <v>-5000</v>
      </c>
      <c r="F143" s="302">
        <f t="shared" si="219"/>
        <v>-1916</v>
      </c>
      <c r="G143" s="302">
        <f t="shared" si="219"/>
        <v>-52</v>
      </c>
      <c r="H143" s="302">
        <f t="shared" si="219"/>
        <v>0</v>
      </c>
      <c r="I143" s="302">
        <f t="shared" si="220"/>
        <v>-373</v>
      </c>
      <c r="K143" s="366"/>
      <c r="L143" s="366"/>
      <c r="M143" s="366">
        <v>-31</v>
      </c>
      <c r="N143" s="366"/>
      <c r="O143" s="715"/>
      <c r="P143" s="78">
        <v>-5000</v>
      </c>
      <c r="Q143" s="78"/>
      <c r="R143" s="78"/>
      <c r="S143" s="687">
        <v>-29</v>
      </c>
      <c r="T143" s="78">
        <v>-1</v>
      </c>
      <c r="U143" s="78">
        <v>-1886</v>
      </c>
      <c r="V143" s="78"/>
      <c r="W143" s="687">
        <v>-52</v>
      </c>
      <c r="X143" s="78">
        <v>0</v>
      </c>
      <c r="Y143" s="78">
        <v>0</v>
      </c>
      <c r="Z143" s="78">
        <v>0</v>
      </c>
      <c r="AA143" s="687">
        <v>0</v>
      </c>
      <c r="AB143" s="78">
        <v>0</v>
      </c>
      <c r="AC143" s="78">
        <v>0</v>
      </c>
      <c r="AD143" s="78">
        <v>0</v>
      </c>
      <c r="AE143" s="687">
        <v>0</v>
      </c>
      <c r="AF143" s="78">
        <v>-390</v>
      </c>
      <c r="AG143" s="78"/>
      <c r="AH143" s="78">
        <v>17</v>
      </c>
      <c r="AI143" s="687">
        <v>-727</v>
      </c>
      <c r="AJ143" s="687">
        <v>1</v>
      </c>
      <c r="AK143" s="687">
        <v>-2797</v>
      </c>
      <c r="AL143" s="687">
        <v>0</v>
      </c>
    </row>
    <row r="144" spans="2:38" x14ac:dyDescent="0.2">
      <c r="B144" s="10" t="s">
        <v>95</v>
      </c>
      <c r="C144" s="86"/>
      <c r="D144" s="484">
        <f t="shared" si="219"/>
        <v>-650</v>
      </c>
      <c r="E144" s="302">
        <f t="shared" si="219"/>
        <v>1518</v>
      </c>
      <c r="F144" s="302">
        <f t="shared" si="219"/>
        <v>51</v>
      </c>
      <c r="G144" s="302">
        <f t="shared" si="219"/>
        <v>149</v>
      </c>
      <c r="H144" s="302">
        <f t="shared" si="219"/>
        <v>154</v>
      </c>
      <c r="I144" s="302">
        <f t="shared" si="220"/>
        <v>33</v>
      </c>
      <c r="K144" s="365">
        <v>-7</v>
      </c>
      <c r="L144" s="365"/>
      <c r="M144" s="365">
        <v>1</v>
      </c>
      <c r="N144" s="365">
        <f>-632-12</f>
        <v>-644</v>
      </c>
      <c r="O144" s="716">
        <f>-580-16</f>
        <v>-596</v>
      </c>
      <c r="P144" s="79">
        <f>-168+1212</f>
        <v>1044</v>
      </c>
      <c r="Q144" s="79">
        <f>1238-25</f>
        <v>1213</v>
      </c>
      <c r="R144" s="79">
        <f>-14-129</f>
        <v>-143</v>
      </c>
      <c r="S144" s="690">
        <v>4</v>
      </c>
      <c r="T144" s="79">
        <v>28</v>
      </c>
      <c r="U144" s="79">
        <v>14</v>
      </c>
      <c r="V144" s="79">
        <v>5</v>
      </c>
      <c r="W144" s="690">
        <v>-1</v>
      </c>
      <c r="X144" s="79">
        <v>8</v>
      </c>
      <c r="Y144" s="79">
        <v>131</v>
      </c>
      <c r="Z144" s="79">
        <v>11</v>
      </c>
      <c r="AA144" s="690">
        <v>-5</v>
      </c>
      <c r="AB144" s="79">
        <v>24</v>
      </c>
      <c r="AC144" s="79">
        <v>17</v>
      </c>
      <c r="AD144" s="79">
        <v>118</v>
      </c>
      <c r="AE144" s="690">
        <v>11</v>
      </c>
      <c r="AF144" s="79">
        <v>-50</v>
      </c>
      <c r="AG144" s="79">
        <v>89</v>
      </c>
      <c r="AH144" s="79">
        <v>-17</v>
      </c>
      <c r="AI144" s="690">
        <v>-158</v>
      </c>
      <c r="AJ144" s="690">
        <v>1678</v>
      </c>
      <c r="AK144" s="690">
        <f>18-3072-59</f>
        <v>-3113</v>
      </c>
      <c r="AL144" s="690">
        <f>16-3+122</f>
        <v>135</v>
      </c>
    </row>
    <row r="145" spans="2:38" s="30" customFormat="1" x14ac:dyDescent="0.2">
      <c r="B145" s="197" t="s">
        <v>102</v>
      </c>
      <c r="C145" s="222"/>
      <c r="D145" s="489">
        <f t="shared" ref="D145:I145" si="221">+SUM(D139:D144)</f>
        <v>-4125</v>
      </c>
      <c r="E145" s="222">
        <f t="shared" si="221"/>
        <v>-12715</v>
      </c>
      <c r="F145" s="222">
        <f t="shared" si="221"/>
        <v>-19386</v>
      </c>
      <c r="G145" s="222">
        <f t="shared" si="221"/>
        <v>-12359</v>
      </c>
      <c r="H145" s="222">
        <f t="shared" si="221"/>
        <v>-5829</v>
      </c>
      <c r="I145" s="222">
        <f t="shared" si="221"/>
        <v>-9072</v>
      </c>
      <c r="K145" s="355">
        <f t="shared" ref="K145:Q145" si="222">+SUM(K139:K144)</f>
        <v>-966</v>
      </c>
      <c r="L145" s="355">
        <f t="shared" si="222"/>
        <v>-1615</v>
      </c>
      <c r="M145" s="355">
        <f t="shared" si="222"/>
        <v>-657</v>
      </c>
      <c r="N145" s="355">
        <f t="shared" si="222"/>
        <v>-887</v>
      </c>
      <c r="O145" s="724">
        <f t="shared" si="222"/>
        <v>-1580</v>
      </c>
      <c r="P145" s="222">
        <f t="shared" si="222"/>
        <v>-6356</v>
      </c>
      <c r="Q145" s="222">
        <f t="shared" si="222"/>
        <v>-1132</v>
      </c>
      <c r="R145" s="222">
        <f t="shared" ref="R145:V145" si="223">+SUM(R139:R144)</f>
        <v>-3647</v>
      </c>
      <c r="S145" s="751">
        <f t="shared" si="223"/>
        <v>-11239</v>
      </c>
      <c r="T145" s="222">
        <f t="shared" si="223"/>
        <v>-2083</v>
      </c>
      <c r="U145" s="222">
        <f t="shared" si="223"/>
        <v>-4152</v>
      </c>
      <c r="V145" s="222">
        <f t="shared" si="223"/>
        <v>-1912</v>
      </c>
      <c r="W145" s="751">
        <f>+SUM(W139:W144)</f>
        <v>-5092</v>
      </c>
      <c r="X145" s="222">
        <f t="shared" ref="X145:AG145" si="224">+SUM(X139:X144)</f>
        <v>-2559</v>
      </c>
      <c r="Y145" s="222">
        <f t="shared" si="224"/>
        <v>-2555</v>
      </c>
      <c r="Z145" s="222">
        <f t="shared" si="224"/>
        <v>-2153</v>
      </c>
      <c r="AA145" s="751">
        <f t="shared" si="224"/>
        <v>-1728</v>
      </c>
      <c r="AB145" s="222">
        <f t="shared" si="224"/>
        <v>-1487</v>
      </c>
      <c r="AC145" s="222">
        <f t="shared" si="224"/>
        <v>-1393</v>
      </c>
      <c r="AD145" s="222">
        <f t="shared" si="224"/>
        <v>-1221</v>
      </c>
      <c r="AE145" s="751">
        <f t="shared" si="224"/>
        <v>-1787</v>
      </c>
      <c r="AF145" s="222">
        <f t="shared" si="224"/>
        <v>-1678</v>
      </c>
      <c r="AG145" s="222">
        <f t="shared" si="224"/>
        <v>-3307</v>
      </c>
      <c r="AH145" s="222">
        <f t="shared" ref="AH145:AK145" si="225">+SUM(AH139:AH144)</f>
        <v>-2300</v>
      </c>
      <c r="AI145" s="751">
        <f t="shared" si="225"/>
        <v>-3409</v>
      </c>
      <c r="AJ145" s="751">
        <f t="shared" si="225"/>
        <v>-1559</v>
      </c>
      <c r="AK145" s="751">
        <f t="shared" si="225"/>
        <v>-10139</v>
      </c>
      <c r="AL145" s="751">
        <f>+SUM(AL139:AL144)</f>
        <v>-3052</v>
      </c>
    </row>
    <row r="146" spans="2:38" x14ac:dyDescent="0.2">
      <c r="B146" s="14" t="s">
        <v>103</v>
      </c>
      <c r="C146" s="25"/>
      <c r="D146" s="490"/>
      <c r="E146" s="25"/>
      <c r="F146" s="25"/>
      <c r="G146" s="25"/>
      <c r="H146" s="25"/>
      <c r="I146" s="25"/>
      <c r="K146" s="352"/>
      <c r="L146" s="352"/>
      <c r="M146" s="352"/>
      <c r="N146" s="352"/>
      <c r="O146" s="721"/>
      <c r="P146" s="25"/>
      <c r="Q146" s="25"/>
      <c r="R146" s="25"/>
      <c r="S146" s="752"/>
      <c r="T146" s="25"/>
      <c r="U146" s="25"/>
      <c r="V146" s="25"/>
      <c r="W146" s="752"/>
      <c r="X146" s="25"/>
      <c r="Y146" s="25"/>
      <c r="Z146" s="25"/>
      <c r="AA146" s="752"/>
      <c r="AB146" s="25"/>
      <c r="AC146" s="25"/>
      <c r="AD146" s="25"/>
      <c r="AE146" s="752"/>
      <c r="AF146" s="25"/>
      <c r="AG146" s="25"/>
      <c r="AH146" s="25"/>
      <c r="AI146" s="752"/>
      <c r="AJ146" s="752"/>
      <c r="AK146" s="752"/>
      <c r="AL146" s="752"/>
    </row>
    <row r="147" spans="2:38" x14ac:dyDescent="0.2">
      <c r="B147" s="10" t="s">
        <v>104</v>
      </c>
      <c r="C147" s="101"/>
      <c r="D147" s="484">
        <f t="shared" ref="D147:H157" si="226">SUMIFS($K147:$AF147,$K$3:$AF$3,D$4)</f>
        <v>0</v>
      </c>
      <c r="E147" s="302">
        <f t="shared" si="226"/>
        <v>35337</v>
      </c>
      <c r="F147" s="302">
        <f t="shared" si="226"/>
        <v>14727</v>
      </c>
      <c r="G147" s="302">
        <f t="shared" si="226"/>
        <v>3714</v>
      </c>
      <c r="H147" s="302">
        <f t="shared" si="226"/>
        <v>8446</v>
      </c>
      <c r="I147" s="302">
        <f t="shared" ref="I147:I157" si="227">SUMIFS($K147:$AZ147,$K$3:$AZ$3,I$4)</f>
        <v>8587</v>
      </c>
      <c r="K147" s="366"/>
      <c r="L147" s="366"/>
      <c r="M147" s="366"/>
      <c r="N147" s="366"/>
      <c r="O147" s="715"/>
      <c r="P147" s="78">
        <v>26694</v>
      </c>
      <c r="Q147" s="78">
        <v>0</v>
      </c>
      <c r="R147" s="78">
        <v>8643</v>
      </c>
      <c r="S147" s="687">
        <v>6763</v>
      </c>
      <c r="T147" s="78">
        <v>3006</v>
      </c>
      <c r="U147" s="78">
        <v>1989</v>
      </c>
      <c r="V147" s="78">
        <v>2969</v>
      </c>
      <c r="W147" s="687">
        <v>0</v>
      </c>
      <c r="X147" s="78">
        <v>0</v>
      </c>
      <c r="Y147" s="78">
        <v>2972</v>
      </c>
      <c r="Z147" s="78">
        <v>742</v>
      </c>
      <c r="AA147" s="687">
        <v>3013</v>
      </c>
      <c r="AB147" s="78">
        <v>3450</v>
      </c>
      <c r="AC147" s="78">
        <v>1983</v>
      </c>
      <c r="AD147" s="78">
        <v>0</v>
      </c>
      <c r="AE147" s="687">
        <v>3473</v>
      </c>
      <c r="AF147" s="78">
        <v>2136</v>
      </c>
      <c r="AG147" s="78">
        <v>2480</v>
      </c>
      <c r="AH147" s="78">
        <v>498</v>
      </c>
      <c r="AI147" s="687">
        <v>7774</v>
      </c>
      <c r="AJ147" s="687">
        <v>-6</v>
      </c>
      <c r="AK147" s="687">
        <v>498</v>
      </c>
      <c r="AL147" s="687">
        <v>-5</v>
      </c>
    </row>
    <row r="148" spans="2:38" x14ac:dyDescent="0.2">
      <c r="B148" s="10" t="s">
        <v>105</v>
      </c>
      <c r="C148" s="101"/>
      <c r="D148" s="484">
        <f t="shared" si="226"/>
        <v>-798</v>
      </c>
      <c r="E148" s="302">
        <f t="shared" si="226"/>
        <v>-1021</v>
      </c>
      <c r="F148" s="302">
        <f t="shared" si="226"/>
        <v>-1111</v>
      </c>
      <c r="G148" s="302">
        <f t="shared" si="226"/>
        <v>-1239</v>
      </c>
      <c r="H148" s="302">
        <f t="shared" si="226"/>
        <v>-1227</v>
      </c>
      <c r="I148" s="302">
        <f t="shared" si="227"/>
        <v>-1367</v>
      </c>
      <c r="K148" s="366">
        <v>-86</v>
      </c>
      <c r="L148" s="366">
        <v>-229</v>
      </c>
      <c r="M148" s="366">
        <v>-235</v>
      </c>
      <c r="N148" s="366">
        <v>-248</v>
      </c>
      <c r="O148" s="715">
        <v>-282</v>
      </c>
      <c r="P148" s="78">
        <v>-236</v>
      </c>
      <c r="Q148" s="78">
        <v>-246</v>
      </c>
      <c r="R148" s="78">
        <v>-257</v>
      </c>
      <c r="S148" s="687">
        <v>-287</v>
      </c>
      <c r="T148" s="78">
        <v>-269</v>
      </c>
      <c r="U148" s="78">
        <v>-266</v>
      </c>
      <c r="V148" s="78">
        <v>-289</v>
      </c>
      <c r="W148" s="687">
        <v>-302</v>
      </c>
      <c r="X148" s="78">
        <v>-288</v>
      </c>
      <c r="Y148" s="78">
        <v>-311</v>
      </c>
      <c r="Z148" s="78">
        <v>-338</v>
      </c>
      <c r="AA148" s="687">
        <v>-306</v>
      </c>
      <c r="AB148" s="78">
        <v>-304</v>
      </c>
      <c r="AC148" s="78">
        <v>-304</v>
      </c>
      <c r="AD148" s="78">
        <v>-313</v>
      </c>
      <c r="AE148" s="687">
        <v>-327</v>
      </c>
      <c r="AF148" s="78">
        <v>-351</v>
      </c>
      <c r="AG148" s="78">
        <v>-347</v>
      </c>
      <c r="AH148" s="78">
        <v>-342</v>
      </c>
      <c r="AI148" s="687">
        <v>-315</v>
      </c>
      <c r="AJ148" s="687">
        <v>-331</v>
      </c>
      <c r="AK148" s="687">
        <v>-318</v>
      </c>
      <c r="AL148" s="687">
        <v>-360</v>
      </c>
    </row>
    <row r="149" spans="2:38" x14ac:dyDescent="0.2">
      <c r="B149" s="137" t="s">
        <v>106</v>
      </c>
      <c r="C149" s="101"/>
      <c r="D149" s="484">
        <f t="shared" si="226"/>
        <v>-775</v>
      </c>
      <c r="E149" s="302">
        <f t="shared" si="226"/>
        <v>-481</v>
      </c>
      <c r="F149" s="302">
        <f t="shared" si="226"/>
        <v>-184</v>
      </c>
      <c r="G149" s="302">
        <f t="shared" si="226"/>
        <v>0</v>
      </c>
      <c r="H149" s="302">
        <f t="shared" si="226"/>
        <v>0</v>
      </c>
      <c r="I149" s="302">
        <f t="shared" si="227"/>
        <v>0</v>
      </c>
      <c r="K149" s="366">
        <v>0</v>
      </c>
      <c r="L149" s="366"/>
      <c r="M149" s="366">
        <v>-300</v>
      </c>
      <c r="N149" s="366">
        <v>-475</v>
      </c>
      <c r="O149" s="715">
        <v>-25</v>
      </c>
      <c r="P149" s="78">
        <v>-151</v>
      </c>
      <c r="Q149" s="78">
        <v>-231</v>
      </c>
      <c r="R149" s="78">
        <v>-74</v>
      </c>
      <c r="S149" s="687">
        <v>-55</v>
      </c>
      <c r="T149" s="78">
        <v>-36</v>
      </c>
      <c r="U149" s="78">
        <v>-76</v>
      </c>
      <c r="V149" s="78">
        <v>-17</v>
      </c>
      <c r="W149" s="687">
        <v>0</v>
      </c>
      <c r="X149" s="78">
        <v>0</v>
      </c>
      <c r="Y149" s="78">
        <v>0</v>
      </c>
      <c r="Z149" s="78">
        <v>0</v>
      </c>
      <c r="AA149" s="687">
        <v>0</v>
      </c>
      <c r="AB149" s="78">
        <v>0</v>
      </c>
      <c r="AC149" s="78">
        <v>0</v>
      </c>
      <c r="AD149" s="78">
        <v>0</v>
      </c>
      <c r="AE149" s="687">
        <v>0</v>
      </c>
      <c r="AF149" s="78">
        <v>0</v>
      </c>
      <c r="AG149" s="78"/>
      <c r="AH149" s="78"/>
      <c r="AI149" s="687"/>
      <c r="AJ149" s="687"/>
      <c r="AK149" s="687"/>
      <c r="AL149" s="687"/>
    </row>
    <row r="150" spans="2:38" x14ac:dyDescent="0.2">
      <c r="B150" s="10" t="s">
        <v>107</v>
      </c>
      <c r="C150" s="101"/>
      <c r="D150" s="484">
        <f t="shared" si="226"/>
        <v>-600</v>
      </c>
      <c r="E150" s="302">
        <f t="shared" si="226"/>
        <v>-20525</v>
      </c>
      <c r="F150" s="302">
        <f t="shared" si="226"/>
        <v>-11100</v>
      </c>
      <c r="G150" s="302">
        <f t="shared" si="226"/>
        <v>-5556</v>
      </c>
      <c r="H150" s="302">
        <f t="shared" si="226"/>
        <v>-5051</v>
      </c>
      <c r="I150" s="302">
        <f t="shared" si="227"/>
        <v>-5073</v>
      </c>
      <c r="K150" s="366"/>
      <c r="L150" s="366">
        <v>-600</v>
      </c>
      <c r="M150" s="366"/>
      <c r="N150" s="366"/>
      <c r="O150" s="715"/>
      <c r="P150" s="78">
        <f>-10529-109</f>
        <v>-10638</v>
      </c>
      <c r="Q150" s="78">
        <v>-5678</v>
      </c>
      <c r="R150" s="78">
        <v>-4209</v>
      </c>
      <c r="S150" s="687">
        <v>-2219</v>
      </c>
      <c r="T150" s="78">
        <v>-3150</v>
      </c>
      <c r="U150" s="78">
        <v>-4600</v>
      </c>
      <c r="V150" s="78">
        <v>-1131</v>
      </c>
      <c r="W150" s="687">
        <v>-1632</v>
      </c>
      <c r="X150" s="78">
        <v>-1381</v>
      </c>
      <c r="Y150" s="78">
        <v>-132</v>
      </c>
      <c r="Z150" s="78">
        <v>-2411</v>
      </c>
      <c r="AA150" s="687">
        <v>-131</v>
      </c>
      <c r="AB150" s="78">
        <v>-223</v>
      </c>
      <c r="AC150" s="78">
        <v>-4474</v>
      </c>
      <c r="AD150" s="78">
        <v>-223</v>
      </c>
      <c r="AE150" s="687">
        <v>-223</v>
      </c>
      <c r="AF150" s="78">
        <v>-2723</v>
      </c>
      <c r="AG150" s="78">
        <v>-223</v>
      </c>
      <c r="AH150" s="78">
        <v>-1904</v>
      </c>
      <c r="AI150" s="687">
        <v>-479</v>
      </c>
      <c r="AJ150" s="687">
        <v>-3257</v>
      </c>
      <c r="AK150" s="687">
        <v>-828</v>
      </c>
      <c r="AL150" s="687">
        <v>-1336</v>
      </c>
    </row>
    <row r="151" spans="2:38" x14ac:dyDescent="0.2">
      <c r="B151" s="10" t="s">
        <v>378</v>
      </c>
      <c r="C151" s="101"/>
      <c r="D151" s="484">
        <f t="shared" si="226"/>
        <v>0</v>
      </c>
      <c r="E151" s="302">
        <f t="shared" si="226"/>
        <v>19840</v>
      </c>
      <c r="F151" s="302">
        <f t="shared" si="226"/>
        <v>0</v>
      </c>
      <c r="G151" s="302">
        <f t="shared" si="226"/>
        <v>0</v>
      </c>
      <c r="H151" s="302">
        <f t="shared" si="226"/>
        <v>0</v>
      </c>
      <c r="I151" s="302">
        <f t="shared" si="227"/>
        <v>0</v>
      </c>
      <c r="K151" s="366"/>
      <c r="L151" s="366"/>
      <c r="M151" s="366"/>
      <c r="N151" s="366"/>
      <c r="O151" s="715"/>
      <c r="P151" s="78">
        <v>17290</v>
      </c>
      <c r="Q151" s="78">
        <v>2550</v>
      </c>
      <c r="R151" s="78"/>
      <c r="S151" s="687"/>
      <c r="T151" s="78"/>
      <c r="U151" s="78"/>
      <c r="V151" s="78"/>
      <c r="W151" s="687"/>
      <c r="X151" s="78"/>
      <c r="Y151" s="78"/>
      <c r="Z151" s="78"/>
      <c r="AA151" s="687"/>
      <c r="AB151" s="78"/>
      <c r="AC151" s="78"/>
      <c r="AD151" s="78"/>
      <c r="AE151" s="687"/>
      <c r="AF151" s="78"/>
      <c r="AG151" s="78"/>
      <c r="AH151" s="78"/>
      <c r="AI151" s="687"/>
      <c r="AJ151" s="687"/>
      <c r="AK151" s="687"/>
      <c r="AL151" s="687"/>
    </row>
    <row r="152" spans="2:38" x14ac:dyDescent="0.2">
      <c r="B152" s="10" t="s">
        <v>108</v>
      </c>
      <c r="C152" s="101"/>
      <c r="D152" s="484">
        <f t="shared" si="226"/>
        <v>0</v>
      </c>
      <c r="E152" s="302">
        <f t="shared" si="226"/>
        <v>-19536</v>
      </c>
      <c r="F152" s="302">
        <f t="shared" si="226"/>
        <v>0</v>
      </c>
      <c r="G152" s="302">
        <f t="shared" si="226"/>
        <v>-3000</v>
      </c>
      <c r="H152" s="302">
        <f t="shared" si="226"/>
        <v>-13074</v>
      </c>
      <c r="I152" s="302">
        <f t="shared" si="227"/>
        <v>-11228</v>
      </c>
      <c r="K152" s="366"/>
      <c r="L152" s="366"/>
      <c r="M152" s="366"/>
      <c r="N152" s="366"/>
      <c r="O152" s="715"/>
      <c r="P152" s="78">
        <v>-16990</v>
      </c>
      <c r="Q152" s="78">
        <v>-2546</v>
      </c>
      <c r="R152" s="78"/>
      <c r="S152" s="687"/>
      <c r="T152" s="78"/>
      <c r="U152" s="78"/>
      <c r="V152" s="78"/>
      <c r="W152" s="687">
        <v>0</v>
      </c>
      <c r="X152" s="78">
        <v>0</v>
      </c>
      <c r="Y152" s="78">
        <v>-557</v>
      </c>
      <c r="Z152" s="78">
        <v>-2443</v>
      </c>
      <c r="AA152" s="687">
        <v>-4619</v>
      </c>
      <c r="AB152" s="78">
        <v>-3591</v>
      </c>
      <c r="AC152" s="78">
        <v>-2681</v>
      </c>
      <c r="AD152" s="78">
        <v>-2183</v>
      </c>
      <c r="AE152" s="687">
        <v>-3594</v>
      </c>
      <c r="AF152" s="78">
        <v>-2387</v>
      </c>
      <c r="AG152" s="78">
        <v>-560</v>
      </c>
      <c r="AH152" s="78">
        <v>-4687</v>
      </c>
      <c r="AI152" s="687">
        <v>-2494</v>
      </c>
      <c r="AJ152" s="687">
        <v>-2555</v>
      </c>
      <c r="AK152" s="687">
        <v>-2479</v>
      </c>
      <c r="AL152" s="687">
        <v>-2320</v>
      </c>
    </row>
    <row r="153" spans="2:38" x14ac:dyDescent="0.2">
      <c r="B153" s="10" t="s">
        <v>109</v>
      </c>
      <c r="C153" s="101"/>
      <c r="D153" s="484">
        <f t="shared" si="226"/>
        <v>0</v>
      </c>
      <c r="E153" s="302">
        <f t="shared" si="226"/>
        <v>0</v>
      </c>
      <c r="F153" s="302">
        <f t="shared" si="226"/>
        <v>0</v>
      </c>
      <c r="G153" s="302">
        <f t="shared" si="226"/>
        <v>0</v>
      </c>
      <c r="H153" s="302">
        <f t="shared" si="226"/>
        <v>-747</v>
      </c>
      <c r="I153" s="302">
        <f t="shared" si="227"/>
        <v>-3300</v>
      </c>
      <c r="K153" s="366"/>
      <c r="L153" s="366"/>
      <c r="M153" s="366"/>
      <c r="N153" s="366"/>
      <c r="O153" s="715"/>
      <c r="P153" s="78"/>
      <c r="Q153" s="78"/>
      <c r="R153" s="78"/>
      <c r="S153" s="687"/>
      <c r="T153" s="78"/>
      <c r="U153" s="78"/>
      <c r="V153" s="78"/>
      <c r="W153" s="687">
        <v>0</v>
      </c>
      <c r="X153" s="78">
        <v>0</v>
      </c>
      <c r="Y153" s="78">
        <v>0</v>
      </c>
      <c r="Z153" s="78">
        <v>0</v>
      </c>
      <c r="AA153" s="687">
        <v>0</v>
      </c>
      <c r="AB153" s="78">
        <v>0</v>
      </c>
      <c r="AC153" s="78">
        <v>0</v>
      </c>
      <c r="AD153" s="78">
        <v>-747</v>
      </c>
      <c r="AE153" s="687">
        <v>-769</v>
      </c>
      <c r="AF153" s="78">
        <v>-759</v>
      </c>
      <c r="AG153" s="78">
        <v>-758</v>
      </c>
      <c r="AH153" s="78">
        <v>-1014</v>
      </c>
      <c r="AI153" s="687">
        <v>-1003</v>
      </c>
      <c r="AJ153" s="687">
        <v>-996</v>
      </c>
      <c r="AK153" s="687">
        <v>-987</v>
      </c>
      <c r="AL153" s="687">
        <v>-1101</v>
      </c>
    </row>
    <row r="154" spans="2:38" x14ac:dyDescent="0.2">
      <c r="B154" s="10" t="s">
        <v>110</v>
      </c>
      <c r="C154" s="101"/>
      <c r="D154" s="484">
        <f t="shared" si="226"/>
        <v>-156</v>
      </c>
      <c r="E154" s="302">
        <f t="shared" si="226"/>
        <v>-439</v>
      </c>
      <c r="F154" s="302">
        <f t="shared" si="226"/>
        <v>-316</v>
      </c>
      <c r="G154" s="302">
        <f t="shared" si="226"/>
        <v>-243</v>
      </c>
      <c r="H154" s="302">
        <f t="shared" si="226"/>
        <v>-297</v>
      </c>
      <c r="I154" s="302">
        <f t="shared" si="227"/>
        <v>-269</v>
      </c>
      <c r="K154" s="366">
        <v>-100</v>
      </c>
      <c r="L154" s="366">
        <v>-4</v>
      </c>
      <c r="M154" s="366">
        <v>-4</v>
      </c>
      <c r="N154" s="366">
        <v>-48</v>
      </c>
      <c r="O154" s="715">
        <v>-141</v>
      </c>
      <c r="P154" s="78">
        <v>-138</v>
      </c>
      <c r="Q154" s="78">
        <v>-72</v>
      </c>
      <c r="R154" s="78">
        <v>-88</v>
      </c>
      <c r="S154" s="687">
        <v>-218</v>
      </c>
      <c r="T154" s="78">
        <v>-76</v>
      </c>
      <c r="U154" s="78">
        <v>-14</v>
      </c>
      <c r="V154" s="78">
        <v>-8</v>
      </c>
      <c r="W154" s="687">
        <v>-172</v>
      </c>
      <c r="X154" s="78">
        <v>-43</v>
      </c>
      <c r="Y154" s="78">
        <v>-10</v>
      </c>
      <c r="Z154" s="78">
        <v>-18</v>
      </c>
      <c r="AA154" s="687">
        <v>-187</v>
      </c>
      <c r="AB154" s="78">
        <v>-70</v>
      </c>
      <c r="AC154" s="78">
        <v>-10</v>
      </c>
      <c r="AD154" s="78">
        <v>-30</v>
      </c>
      <c r="AE154" s="687">
        <v>-192</v>
      </c>
      <c r="AF154" s="78">
        <v>-16</v>
      </c>
      <c r="AG154" s="78">
        <v>-36</v>
      </c>
      <c r="AH154" s="78">
        <v>-25</v>
      </c>
      <c r="AI154" s="687">
        <v>-272</v>
      </c>
      <c r="AJ154" s="687">
        <v>-30</v>
      </c>
      <c r="AK154" s="687">
        <v>-92</v>
      </c>
      <c r="AL154" s="687">
        <v>-31</v>
      </c>
    </row>
    <row r="155" spans="2:38" x14ac:dyDescent="0.2">
      <c r="B155" s="10" t="s">
        <v>379</v>
      </c>
      <c r="C155" s="101"/>
      <c r="D155" s="484">
        <f t="shared" si="226"/>
        <v>0</v>
      </c>
      <c r="E155" s="302">
        <f t="shared" si="226"/>
        <v>18743</v>
      </c>
      <c r="F155" s="302">
        <f t="shared" si="226"/>
        <v>0</v>
      </c>
      <c r="G155" s="302">
        <f t="shared" si="226"/>
        <v>0</v>
      </c>
      <c r="H155" s="302">
        <f t="shared" si="226"/>
        <v>0</v>
      </c>
      <c r="I155" s="302">
        <f t="shared" si="227"/>
        <v>0</v>
      </c>
      <c r="K155" s="366"/>
      <c r="L155" s="366"/>
      <c r="M155" s="366"/>
      <c r="N155" s="366"/>
      <c r="O155" s="715"/>
      <c r="P155" s="78">
        <v>18743</v>
      </c>
      <c r="Q155" s="78"/>
      <c r="R155" s="78"/>
      <c r="S155" s="687"/>
      <c r="T155" s="78"/>
      <c r="U155" s="78"/>
      <c r="V155" s="78"/>
      <c r="W155" s="687"/>
      <c r="X155" s="78"/>
      <c r="Y155" s="78"/>
      <c r="Z155" s="78"/>
      <c r="AA155" s="687"/>
      <c r="AB155" s="78"/>
      <c r="AC155" s="78"/>
      <c r="AD155" s="78"/>
      <c r="AE155" s="687"/>
      <c r="AF155" s="78"/>
      <c r="AG155" s="78"/>
      <c r="AH155" s="78"/>
      <c r="AI155" s="687"/>
      <c r="AJ155" s="687"/>
      <c r="AK155" s="687"/>
      <c r="AL155" s="687"/>
    </row>
    <row r="156" spans="2:38" x14ac:dyDescent="0.2">
      <c r="B156" s="10" t="s">
        <v>317</v>
      </c>
      <c r="C156" s="101"/>
      <c r="D156" s="484">
        <f t="shared" si="226"/>
        <v>0</v>
      </c>
      <c r="E156" s="302">
        <f t="shared" si="226"/>
        <v>-18929</v>
      </c>
      <c r="F156" s="302">
        <f t="shared" si="226"/>
        <v>0</v>
      </c>
      <c r="G156" s="302">
        <f t="shared" si="226"/>
        <v>0</v>
      </c>
      <c r="H156" s="302">
        <f t="shared" si="226"/>
        <v>0</v>
      </c>
      <c r="I156" s="302">
        <f t="shared" si="227"/>
        <v>0</v>
      </c>
      <c r="K156" s="366"/>
      <c r="L156" s="366"/>
      <c r="M156" s="366"/>
      <c r="N156" s="366"/>
      <c r="O156" s="715"/>
      <c r="P156" s="78">
        <v>-18929</v>
      </c>
      <c r="Q156" s="78"/>
      <c r="R156" s="78"/>
      <c r="S156" s="687"/>
      <c r="T156" s="78"/>
      <c r="U156" s="78"/>
      <c r="V156" s="78"/>
      <c r="W156" s="687"/>
      <c r="X156" s="78"/>
      <c r="Y156" s="78"/>
      <c r="Z156" s="78"/>
      <c r="AA156" s="687"/>
      <c r="AB156" s="78"/>
      <c r="AC156" s="78"/>
      <c r="AD156" s="78"/>
      <c r="AE156" s="687"/>
      <c r="AF156" s="78"/>
      <c r="AG156" s="78"/>
      <c r="AH156" s="78"/>
      <c r="AI156" s="687"/>
      <c r="AJ156" s="687"/>
      <c r="AK156" s="687"/>
      <c r="AL156" s="687"/>
    </row>
    <row r="157" spans="2:38" x14ac:dyDescent="0.2">
      <c r="B157" s="10" t="s">
        <v>95</v>
      </c>
      <c r="C157" s="86"/>
      <c r="D157" s="484">
        <f t="shared" si="226"/>
        <v>-45</v>
      </c>
      <c r="E157" s="302">
        <f t="shared" si="226"/>
        <v>21</v>
      </c>
      <c r="F157" s="302">
        <f t="shared" si="226"/>
        <v>-307</v>
      </c>
      <c r="G157" s="302">
        <f t="shared" si="226"/>
        <v>-127</v>
      </c>
      <c r="H157" s="302">
        <f t="shared" si="226"/>
        <v>-147</v>
      </c>
      <c r="I157" s="302">
        <f t="shared" si="227"/>
        <v>-165</v>
      </c>
      <c r="K157" s="365">
        <v>-4</v>
      </c>
      <c r="L157" s="365">
        <f>-28-5</f>
        <v>-33</v>
      </c>
      <c r="M157" s="365">
        <v>-4</v>
      </c>
      <c r="N157" s="365">
        <v>-4</v>
      </c>
      <c r="O157" s="716">
        <v>-5</v>
      </c>
      <c r="P157" s="79">
        <f>-24+7</f>
        <v>-17</v>
      </c>
      <c r="Q157" s="79">
        <f>-58+137</f>
        <v>79</v>
      </c>
      <c r="R157" s="79">
        <v>-36</v>
      </c>
      <c r="S157" s="690">
        <f>-45-65</f>
        <v>-110</v>
      </c>
      <c r="T157" s="79">
        <f>-46-6</f>
        <v>-52</v>
      </c>
      <c r="U157" s="79">
        <f>-45-48</f>
        <v>-93</v>
      </c>
      <c r="V157" s="79">
        <v>-52</v>
      </c>
      <c r="W157" s="690">
        <v>-30</v>
      </c>
      <c r="X157" s="79">
        <v>-32</v>
      </c>
      <c r="Y157" s="79">
        <v>-35</v>
      </c>
      <c r="Z157" s="79">
        <v>-30</v>
      </c>
      <c r="AA157" s="690">
        <v>-43</v>
      </c>
      <c r="AB157" s="79">
        <v>-46</v>
      </c>
      <c r="AC157" s="79">
        <v>-24</v>
      </c>
      <c r="AD157" s="79">
        <v>-34</v>
      </c>
      <c r="AE157" s="690">
        <v>-34</v>
      </c>
      <c r="AF157" s="79">
        <v>-34</v>
      </c>
      <c r="AG157" s="79">
        <v>-49</v>
      </c>
      <c r="AH157" s="79">
        <v>-48</v>
      </c>
      <c r="AI157" s="690">
        <v>-18</v>
      </c>
      <c r="AJ157" s="690">
        <v>-30</v>
      </c>
      <c r="AK157" s="690">
        <v>-32</v>
      </c>
      <c r="AL157" s="690">
        <v>-29</v>
      </c>
    </row>
    <row r="158" spans="2:38" s="30" customFormat="1" x14ac:dyDescent="0.2">
      <c r="B158" s="224" t="s">
        <v>111</v>
      </c>
      <c r="C158" s="222"/>
      <c r="D158" s="489">
        <f t="shared" ref="D158:H158" si="228">+SUM(D147:D157)</f>
        <v>-2374</v>
      </c>
      <c r="E158" s="222">
        <f t="shared" si="228"/>
        <v>13010</v>
      </c>
      <c r="F158" s="222">
        <f t="shared" si="228"/>
        <v>1709</v>
      </c>
      <c r="G158" s="222">
        <f t="shared" si="228"/>
        <v>-6451</v>
      </c>
      <c r="H158" s="222">
        <f t="shared" si="228"/>
        <v>-12097</v>
      </c>
      <c r="I158" s="222">
        <f t="shared" ref="I158" si="229">+SUM(I147:I157)</f>
        <v>-12815</v>
      </c>
      <c r="K158" s="355">
        <f t="shared" ref="K158:AG158" si="230">+SUM(K147:K157)</f>
        <v>-190</v>
      </c>
      <c r="L158" s="355">
        <f t="shared" si="230"/>
        <v>-866</v>
      </c>
      <c r="M158" s="355">
        <f t="shared" si="230"/>
        <v>-543</v>
      </c>
      <c r="N158" s="355">
        <f t="shared" si="230"/>
        <v>-775</v>
      </c>
      <c r="O158" s="724">
        <f t="shared" si="230"/>
        <v>-453</v>
      </c>
      <c r="P158" s="222">
        <f t="shared" si="230"/>
        <v>15628</v>
      </c>
      <c r="Q158" s="222">
        <f t="shared" si="230"/>
        <v>-6144</v>
      </c>
      <c r="R158" s="222">
        <f t="shared" si="230"/>
        <v>3979</v>
      </c>
      <c r="S158" s="751">
        <f t="shared" si="230"/>
        <v>3874</v>
      </c>
      <c r="T158" s="222">
        <f t="shared" si="230"/>
        <v>-577</v>
      </c>
      <c r="U158" s="222">
        <f t="shared" si="230"/>
        <v>-3060</v>
      </c>
      <c r="V158" s="222">
        <f t="shared" si="230"/>
        <v>1472</v>
      </c>
      <c r="W158" s="751">
        <f t="shared" si="230"/>
        <v>-2136</v>
      </c>
      <c r="X158" s="222">
        <f t="shared" si="230"/>
        <v>-1744</v>
      </c>
      <c r="Y158" s="222">
        <f t="shared" si="230"/>
        <v>1927</v>
      </c>
      <c r="Z158" s="222">
        <f t="shared" si="230"/>
        <v>-4498</v>
      </c>
      <c r="AA158" s="751">
        <f t="shared" si="230"/>
        <v>-2273</v>
      </c>
      <c r="AB158" s="222">
        <f t="shared" si="230"/>
        <v>-784</v>
      </c>
      <c r="AC158" s="222">
        <f t="shared" si="230"/>
        <v>-5510</v>
      </c>
      <c r="AD158" s="222">
        <f t="shared" si="230"/>
        <v>-3530</v>
      </c>
      <c r="AE158" s="751">
        <f t="shared" si="230"/>
        <v>-1666</v>
      </c>
      <c r="AF158" s="222">
        <f t="shared" si="230"/>
        <v>-4134</v>
      </c>
      <c r="AG158" s="222">
        <f t="shared" si="230"/>
        <v>507</v>
      </c>
      <c r="AH158" s="222">
        <f t="shared" ref="AH158:AK158" si="231">+SUM(AH147:AH157)</f>
        <v>-7522</v>
      </c>
      <c r="AI158" s="751">
        <f t="shared" si="231"/>
        <v>3193</v>
      </c>
      <c r="AJ158" s="751">
        <f t="shared" si="231"/>
        <v>-7205</v>
      </c>
      <c r="AK158" s="751">
        <f t="shared" si="231"/>
        <v>-4238</v>
      </c>
      <c r="AL158" s="751">
        <f>+SUM(AL147:AL157)</f>
        <v>-5182</v>
      </c>
    </row>
    <row r="159" spans="2:38" s="30" customFormat="1" ht="24" x14ac:dyDescent="0.2">
      <c r="B159" s="10" t="s">
        <v>940</v>
      </c>
      <c r="C159" s="202"/>
      <c r="D159" s="469"/>
      <c r="E159" s="202"/>
      <c r="F159" s="202"/>
      <c r="G159" s="202"/>
      <c r="H159" s="202"/>
      <c r="I159" s="202"/>
      <c r="K159" s="1300"/>
      <c r="L159" s="1300"/>
      <c r="M159" s="1300"/>
      <c r="N159" s="1300"/>
      <c r="O159" s="1301"/>
      <c r="P159" s="202"/>
      <c r="Q159" s="202"/>
      <c r="R159" s="202"/>
      <c r="S159" s="735"/>
      <c r="T159" s="202"/>
      <c r="U159" s="202"/>
      <c r="V159" s="202"/>
      <c r="W159" s="735"/>
      <c r="X159" s="202"/>
      <c r="Y159" s="202"/>
      <c r="Z159" s="202"/>
      <c r="AA159" s="735"/>
      <c r="AB159" s="202"/>
      <c r="AC159" s="202"/>
      <c r="AD159" s="202"/>
      <c r="AE159" s="735"/>
      <c r="AF159" s="202"/>
      <c r="AG159" s="202"/>
      <c r="AH159" s="202"/>
      <c r="AI159" s="735"/>
      <c r="AJ159" s="735">
        <v>13</v>
      </c>
      <c r="AK159" s="735"/>
      <c r="AL159" s="735"/>
    </row>
    <row r="160" spans="2:38" x14ac:dyDescent="0.2">
      <c r="B160" s="138" t="s">
        <v>112</v>
      </c>
      <c r="C160" s="63"/>
      <c r="D160" s="473">
        <f t="shared" ref="D160:H160" si="232">+D158+D145+D137</f>
        <v>325</v>
      </c>
      <c r="E160" s="63">
        <f t="shared" si="232"/>
        <v>8935</v>
      </c>
      <c r="F160" s="63">
        <f t="shared" si="232"/>
        <v>-3760</v>
      </c>
      <c r="G160" s="63">
        <f t="shared" si="232"/>
        <v>-2029</v>
      </c>
      <c r="H160" s="63">
        <f t="shared" si="232"/>
        <v>633</v>
      </c>
      <c r="I160" s="63">
        <f t="shared" ref="I160" si="233">+I158+I145+I137</f>
        <v>406</v>
      </c>
      <c r="K160" s="356">
        <f t="shared" ref="K160:AG160" si="234">+K158+K145+K137</f>
        <v>236</v>
      </c>
      <c r="L160" s="356">
        <f t="shared" si="234"/>
        <v>-334</v>
      </c>
      <c r="M160" s="356">
        <f t="shared" si="234"/>
        <v>548</v>
      </c>
      <c r="N160" s="356">
        <f t="shared" si="234"/>
        <v>-125</v>
      </c>
      <c r="O160" s="725">
        <f t="shared" si="234"/>
        <v>-416</v>
      </c>
      <c r="P160" s="63">
        <f t="shared" si="234"/>
        <v>10049</v>
      </c>
      <c r="Q160" s="63">
        <f t="shared" si="234"/>
        <v>-4504</v>
      </c>
      <c r="R160" s="63">
        <f t="shared" si="234"/>
        <v>3806</v>
      </c>
      <c r="S160" s="693">
        <f t="shared" si="234"/>
        <v>-3704</v>
      </c>
      <c r="T160" s="63">
        <f t="shared" si="234"/>
        <v>1119</v>
      </c>
      <c r="U160" s="63">
        <f t="shared" si="234"/>
        <v>-3735</v>
      </c>
      <c r="V160" s="63">
        <f t="shared" si="234"/>
        <v>2560</v>
      </c>
      <c r="W160" s="693">
        <f t="shared" si="234"/>
        <v>-3383</v>
      </c>
      <c r="X160" s="63">
        <f t="shared" si="234"/>
        <v>-94</v>
      </c>
      <c r="Y160" s="63">
        <f t="shared" si="234"/>
        <v>3763</v>
      </c>
      <c r="Z160" s="63">
        <f t="shared" si="234"/>
        <v>-2315</v>
      </c>
      <c r="AA160" s="693">
        <f t="shared" si="234"/>
        <v>50</v>
      </c>
      <c r="AB160" s="63">
        <f t="shared" si="234"/>
        <v>2084</v>
      </c>
      <c r="AC160" s="63">
        <f t="shared" si="234"/>
        <v>-1609</v>
      </c>
      <c r="AD160" s="63">
        <f t="shared" si="234"/>
        <v>108</v>
      </c>
      <c r="AE160" s="693">
        <f t="shared" si="234"/>
        <v>1631</v>
      </c>
      <c r="AF160" s="63">
        <f t="shared" si="234"/>
        <v>-291</v>
      </c>
      <c r="AG160" s="63">
        <f t="shared" si="234"/>
        <v>3339</v>
      </c>
      <c r="AH160" s="63">
        <f t="shared" ref="AH160:AI160" si="235">+AH158+AH145+AH137</f>
        <v>-4273</v>
      </c>
      <c r="AI160" s="693">
        <f t="shared" si="235"/>
        <v>6631</v>
      </c>
      <c r="AJ160" s="693">
        <f>+AJ158+AJ145+AJ137+AJ159</f>
        <v>-1759</v>
      </c>
      <c r="AK160" s="693">
        <f>+AK158+AK145+AK137+AK159</f>
        <v>-6920</v>
      </c>
      <c r="AL160" s="693">
        <f>+AL158+AL145+AL137+AL159</f>
        <v>-734</v>
      </c>
    </row>
    <row r="161" spans="2:38" x14ac:dyDescent="0.2">
      <c r="B161" s="139" t="s">
        <v>113</v>
      </c>
      <c r="C161" s="15"/>
      <c r="D161" s="474"/>
      <c r="E161" s="67"/>
      <c r="F161" s="67"/>
      <c r="G161" s="67"/>
      <c r="H161" s="67"/>
      <c r="I161" s="67"/>
      <c r="K161" s="350"/>
      <c r="L161" s="350"/>
      <c r="M161" s="350"/>
      <c r="N161" s="350"/>
      <c r="O161" s="714"/>
      <c r="P161" s="67"/>
      <c r="Q161" s="67"/>
      <c r="R161" s="67"/>
      <c r="S161" s="694"/>
      <c r="T161" s="67"/>
      <c r="U161" s="67"/>
      <c r="V161" s="67"/>
      <c r="W161" s="694"/>
      <c r="X161" s="67"/>
      <c r="Y161" s="67"/>
      <c r="Z161" s="67"/>
      <c r="AA161" s="694"/>
      <c r="AB161" s="67"/>
      <c r="AC161" s="67"/>
      <c r="AD161" s="67"/>
      <c r="AE161" s="694"/>
      <c r="AF161" s="67"/>
      <c r="AG161" s="67"/>
      <c r="AH161" s="67"/>
      <c r="AI161" s="694"/>
      <c r="AJ161" s="694"/>
      <c r="AK161" s="694"/>
      <c r="AL161" s="694"/>
    </row>
    <row r="162" spans="2:38" x14ac:dyDescent="0.2">
      <c r="B162" s="10" t="s">
        <v>114</v>
      </c>
      <c r="C162" s="13"/>
      <c r="D162" s="470">
        <v>1203</v>
      </c>
      <c r="E162" s="315">
        <f>+D163</f>
        <v>1528</v>
      </c>
      <c r="F162" s="315">
        <f t="shared" ref="F162" si="236">+E163</f>
        <v>10463</v>
      </c>
      <c r="G162" s="315">
        <f>+F163</f>
        <v>6703</v>
      </c>
      <c r="H162" s="64">
        <f t="shared" ref="H162:I162" si="237">+G163</f>
        <v>4674</v>
      </c>
      <c r="I162" s="64">
        <f t="shared" si="237"/>
        <v>5307</v>
      </c>
      <c r="K162" s="365">
        <v>1203</v>
      </c>
      <c r="L162" s="361">
        <f>+K163</f>
        <v>1439</v>
      </c>
      <c r="M162" s="361">
        <f t="shared" ref="M162:O162" si="238">+L163</f>
        <v>1105</v>
      </c>
      <c r="N162" s="361">
        <f t="shared" si="238"/>
        <v>1653</v>
      </c>
      <c r="O162" s="726">
        <f t="shared" si="238"/>
        <v>1528</v>
      </c>
      <c r="P162" s="315">
        <f t="shared" ref="P162:U162" si="239">+O163</f>
        <v>1112</v>
      </c>
      <c r="Q162" s="315">
        <f t="shared" si="239"/>
        <v>11161</v>
      </c>
      <c r="R162" s="315">
        <f t="shared" si="239"/>
        <v>6657</v>
      </c>
      <c r="S162" s="753">
        <f t="shared" si="239"/>
        <v>10463</v>
      </c>
      <c r="T162" s="315">
        <f t="shared" si="239"/>
        <v>6759</v>
      </c>
      <c r="U162" s="315">
        <f t="shared" si="239"/>
        <v>7878</v>
      </c>
      <c r="V162" s="315">
        <f>+U163</f>
        <v>4143</v>
      </c>
      <c r="W162" s="753">
        <f>+V163</f>
        <v>6703</v>
      </c>
      <c r="X162" s="64">
        <f>+W163</f>
        <v>3320</v>
      </c>
      <c r="Y162" s="64">
        <f t="shared" ref="Y162:AK162" si="240">+X163</f>
        <v>3226</v>
      </c>
      <c r="Z162" s="64">
        <f t="shared" si="240"/>
        <v>6989</v>
      </c>
      <c r="AA162" s="756">
        <f t="shared" si="240"/>
        <v>4674</v>
      </c>
      <c r="AB162" s="64">
        <f t="shared" si="240"/>
        <v>4724</v>
      </c>
      <c r="AC162" s="64">
        <f t="shared" si="240"/>
        <v>6808</v>
      </c>
      <c r="AD162" s="64">
        <f t="shared" si="240"/>
        <v>5199</v>
      </c>
      <c r="AE162" s="756">
        <f t="shared" si="240"/>
        <v>5307</v>
      </c>
      <c r="AF162" s="64">
        <f t="shared" si="240"/>
        <v>6938</v>
      </c>
      <c r="AG162" s="64">
        <f t="shared" si="240"/>
        <v>6647</v>
      </c>
      <c r="AH162" s="64">
        <f t="shared" si="240"/>
        <v>9986</v>
      </c>
      <c r="AI162" s="756">
        <f t="shared" si="240"/>
        <v>5713</v>
      </c>
      <c r="AJ162" s="756">
        <f t="shared" si="240"/>
        <v>12344</v>
      </c>
      <c r="AK162" s="756">
        <f t="shared" si="240"/>
        <v>10585</v>
      </c>
      <c r="AL162" s="756">
        <v>3909</v>
      </c>
    </row>
    <row r="163" spans="2:38" ht="12.75" thickBot="1" x14ac:dyDescent="0.25">
      <c r="B163" s="223" t="s">
        <v>115</v>
      </c>
      <c r="C163" s="68"/>
      <c r="D163" s="491">
        <f>+D162+D160</f>
        <v>1528</v>
      </c>
      <c r="E163" s="498">
        <f t="shared" ref="E163:F163" si="241">+E162+E160</f>
        <v>10463</v>
      </c>
      <c r="F163" s="498">
        <f t="shared" si="241"/>
        <v>6703</v>
      </c>
      <c r="G163" s="68">
        <f t="shared" ref="G163:H163" si="242">+G162+G160</f>
        <v>4674</v>
      </c>
      <c r="H163" s="68">
        <f t="shared" si="242"/>
        <v>5307</v>
      </c>
      <c r="I163" s="68">
        <f t="shared" ref="I163" si="243">+I162+I160</f>
        <v>5713</v>
      </c>
      <c r="K163" s="357">
        <f t="shared" ref="K163:V163" si="244">+K162+K160</f>
        <v>1439</v>
      </c>
      <c r="L163" s="357">
        <f t="shared" si="244"/>
        <v>1105</v>
      </c>
      <c r="M163" s="357">
        <f t="shared" si="244"/>
        <v>1653</v>
      </c>
      <c r="N163" s="357">
        <f t="shared" si="244"/>
        <v>1528</v>
      </c>
      <c r="O163" s="727">
        <f t="shared" si="244"/>
        <v>1112</v>
      </c>
      <c r="P163" s="68">
        <f t="shared" si="244"/>
        <v>11161</v>
      </c>
      <c r="Q163" s="68">
        <f t="shared" si="244"/>
        <v>6657</v>
      </c>
      <c r="R163" s="68">
        <f t="shared" si="244"/>
        <v>10463</v>
      </c>
      <c r="S163" s="754">
        <f t="shared" si="244"/>
        <v>6759</v>
      </c>
      <c r="T163" s="68">
        <f t="shared" si="244"/>
        <v>7878</v>
      </c>
      <c r="U163" s="68">
        <f t="shared" si="244"/>
        <v>4143</v>
      </c>
      <c r="V163" s="68">
        <f t="shared" si="244"/>
        <v>6703</v>
      </c>
      <c r="W163" s="754">
        <f>+W162+W160</f>
        <v>3320</v>
      </c>
      <c r="X163" s="68">
        <f t="shared" ref="X163:AF163" si="245">+X162+X160</f>
        <v>3226</v>
      </c>
      <c r="Y163" s="68">
        <f t="shared" si="245"/>
        <v>6989</v>
      </c>
      <c r="Z163" s="68">
        <f t="shared" si="245"/>
        <v>4674</v>
      </c>
      <c r="AA163" s="754">
        <f t="shared" si="245"/>
        <v>4724</v>
      </c>
      <c r="AB163" s="68">
        <f t="shared" si="245"/>
        <v>6808</v>
      </c>
      <c r="AC163" s="68">
        <f t="shared" si="245"/>
        <v>5199</v>
      </c>
      <c r="AD163" s="68">
        <f t="shared" si="245"/>
        <v>5307</v>
      </c>
      <c r="AE163" s="754">
        <f t="shared" si="245"/>
        <v>6938</v>
      </c>
      <c r="AF163" s="68">
        <f t="shared" si="245"/>
        <v>6647</v>
      </c>
      <c r="AG163" s="68">
        <f t="shared" ref="AG163:AK163" si="246">+AG162+AG160</f>
        <v>9986</v>
      </c>
      <c r="AH163" s="68">
        <f t="shared" si="246"/>
        <v>5713</v>
      </c>
      <c r="AI163" s="754">
        <f t="shared" si="246"/>
        <v>12344</v>
      </c>
      <c r="AJ163" s="754">
        <f t="shared" si="246"/>
        <v>10585</v>
      </c>
      <c r="AK163" s="754">
        <f t="shared" si="246"/>
        <v>3665</v>
      </c>
      <c r="AL163" s="754">
        <f>+AL162+AL160</f>
        <v>3175</v>
      </c>
    </row>
    <row r="164" spans="2:38" x14ac:dyDescent="0.2">
      <c r="B164" s="29" t="s">
        <v>237</v>
      </c>
      <c r="C164" s="11"/>
      <c r="D164" s="467">
        <f t="shared" ref="D164:H164" si="247">D163-D66</f>
        <v>0</v>
      </c>
      <c r="E164" s="62">
        <f t="shared" si="247"/>
        <v>78</v>
      </c>
      <c r="F164" s="62">
        <f t="shared" si="247"/>
        <v>72</v>
      </c>
      <c r="G164" s="62">
        <f t="shared" si="247"/>
        <v>167</v>
      </c>
      <c r="H164" s="62">
        <f t="shared" si="247"/>
        <v>172</v>
      </c>
      <c r="I164" s="62">
        <f t="shared" ref="I164" si="248">I163-I66</f>
        <v>304</v>
      </c>
      <c r="K164" s="358">
        <f t="shared" ref="K164:AF164" si="249">K163-K66</f>
        <v>0</v>
      </c>
      <c r="L164" s="358">
        <f t="shared" si="249"/>
        <v>0</v>
      </c>
      <c r="M164" s="358">
        <f t="shared" si="249"/>
        <v>0</v>
      </c>
      <c r="N164" s="358">
        <f t="shared" si="249"/>
        <v>0</v>
      </c>
      <c r="O164" s="728">
        <f t="shared" si="249"/>
        <v>0</v>
      </c>
      <c r="P164" s="62">
        <f t="shared" si="249"/>
        <v>85</v>
      </c>
      <c r="Q164" s="62">
        <f t="shared" si="249"/>
        <v>86</v>
      </c>
      <c r="R164" s="62">
        <f t="shared" si="249"/>
        <v>78</v>
      </c>
      <c r="S164" s="696">
        <f t="shared" si="249"/>
        <v>82</v>
      </c>
      <c r="T164" s="62">
        <f t="shared" si="249"/>
        <v>85</v>
      </c>
      <c r="U164" s="62">
        <f t="shared" si="249"/>
        <v>88</v>
      </c>
      <c r="V164" s="62">
        <f t="shared" si="249"/>
        <v>72</v>
      </c>
      <c r="W164" s="696">
        <f t="shared" si="249"/>
        <v>75</v>
      </c>
      <c r="X164" s="62">
        <f t="shared" si="249"/>
        <v>75</v>
      </c>
      <c r="Y164" s="62">
        <f t="shared" si="249"/>
        <v>101</v>
      </c>
      <c r="Z164" s="62">
        <f t="shared" si="249"/>
        <v>167</v>
      </c>
      <c r="AA164" s="696">
        <f t="shared" si="249"/>
        <v>184</v>
      </c>
      <c r="AB164" s="62">
        <f t="shared" si="249"/>
        <v>161</v>
      </c>
      <c r="AC164" s="62">
        <f t="shared" si="249"/>
        <v>169</v>
      </c>
      <c r="AD164" s="62">
        <f t="shared" si="249"/>
        <v>172</v>
      </c>
      <c r="AE164" s="696">
        <f t="shared" si="249"/>
        <v>230</v>
      </c>
      <c r="AF164" s="62">
        <f t="shared" si="249"/>
        <v>230</v>
      </c>
      <c r="AG164" s="62">
        <f t="shared" ref="AG164:AK164" si="250">AG163-AG66</f>
        <v>232</v>
      </c>
      <c r="AH164" s="62">
        <f t="shared" si="250"/>
        <v>304</v>
      </c>
      <c r="AI164" s="696">
        <f t="shared" si="250"/>
        <v>341</v>
      </c>
      <c r="AJ164" s="696">
        <f t="shared" si="250"/>
        <v>326</v>
      </c>
      <c r="AK164" s="696">
        <f t="shared" si="250"/>
        <v>355</v>
      </c>
      <c r="AL164" s="696">
        <f>AL163-AL66</f>
        <v>350</v>
      </c>
    </row>
    <row r="165" spans="2:38" x14ac:dyDescent="0.2">
      <c r="D165" s="492"/>
      <c r="K165" s="359"/>
      <c r="L165" s="359"/>
      <c r="M165" s="359"/>
      <c r="N165" s="359"/>
      <c r="O165" s="729"/>
      <c r="S165" s="684"/>
      <c r="W165" s="684"/>
      <c r="AA165" s="684"/>
      <c r="AE165" s="684"/>
      <c r="AI165" s="684"/>
      <c r="AJ165" s="684"/>
      <c r="AK165" s="684"/>
      <c r="AL165" s="684"/>
    </row>
    <row r="166" spans="2:38" x14ac:dyDescent="0.2">
      <c r="B166" s="30" t="s">
        <v>118</v>
      </c>
      <c r="D166" s="492"/>
      <c r="K166" s="359"/>
      <c r="L166" s="359"/>
      <c r="M166" s="359"/>
      <c r="N166" s="359"/>
      <c r="O166" s="729"/>
      <c r="S166" s="684"/>
      <c r="W166" s="684"/>
      <c r="AA166" s="684"/>
      <c r="AE166" s="684"/>
      <c r="AI166" s="684"/>
      <c r="AJ166" s="684"/>
      <c r="AK166" s="684"/>
      <c r="AL166" s="684"/>
    </row>
    <row r="167" spans="2:38" x14ac:dyDescent="0.2">
      <c r="B167" s="31" t="s">
        <v>96</v>
      </c>
      <c r="C167" s="76"/>
      <c r="D167" s="493">
        <f t="shared" ref="D167:H167" si="251">+D137</f>
        <v>6824</v>
      </c>
      <c r="E167" s="76">
        <f t="shared" si="251"/>
        <v>8640</v>
      </c>
      <c r="F167" s="76">
        <f t="shared" si="251"/>
        <v>13917</v>
      </c>
      <c r="G167" s="76">
        <f t="shared" si="251"/>
        <v>16781</v>
      </c>
      <c r="H167" s="76">
        <f t="shared" si="251"/>
        <v>18559</v>
      </c>
      <c r="I167" s="76">
        <f t="shared" ref="I167" si="252">+I137</f>
        <v>22293</v>
      </c>
      <c r="K167" s="360">
        <f t="shared" ref="K167:O167" si="253">+K137</f>
        <v>1392</v>
      </c>
      <c r="L167" s="360">
        <f t="shared" si="253"/>
        <v>2147</v>
      </c>
      <c r="M167" s="360">
        <f t="shared" si="253"/>
        <v>1748</v>
      </c>
      <c r="N167" s="360">
        <f t="shared" si="253"/>
        <v>1537</v>
      </c>
      <c r="O167" s="730">
        <f t="shared" si="253"/>
        <v>1617</v>
      </c>
      <c r="P167" s="76">
        <f t="shared" ref="P167:Q167" si="254">+P137</f>
        <v>777</v>
      </c>
      <c r="Q167" s="76">
        <f t="shared" si="254"/>
        <v>2772</v>
      </c>
      <c r="R167" s="76">
        <f t="shared" ref="R167:AF167" si="255">+R137</f>
        <v>3474</v>
      </c>
      <c r="S167" s="755">
        <f t="shared" si="255"/>
        <v>3661</v>
      </c>
      <c r="T167" s="76">
        <f t="shared" si="255"/>
        <v>3779</v>
      </c>
      <c r="U167" s="76">
        <f t="shared" si="255"/>
        <v>3477</v>
      </c>
      <c r="V167" s="76">
        <f t="shared" si="255"/>
        <v>3000</v>
      </c>
      <c r="W167" s="755">
        <f t="shared" si="255"/>
        <v>3845</v>
      </c>
      <c r="X167" s="76">
        <f t="shared" si="255"/>
        <v>4209</v>
      </c>
      <c r="Y167" s="76">
        <f t="shared" si="255"/>
        <v>4391</v>
      </c>
      <c r="Z167" s="76">
        <f t="shared" si="255"/>
        <v>4336</v>
      </c>
      <c r="AA167" s="755">
        <f t="shared" si="255"/>
        <v>4051</v>
      </c>
      <c r="AB167" s="76">
        <f t="shared" si="255"/>
        <v>4355</v>
      </c>
      <c r="AC167" s="76">
        <f t="shared" si="255"/>
        <v>5294</v>
      </c>
      <c r="AD167" s="76">
        <f t="shared" si="255"/>
        <v>4859</v>
      </c>
      <c r="AE167" s="755">
        <f t="shared" si="255"/>
        <v>5084</v>
      </c>
      <c r="AF167" s="76">
        <f t="shared" si="255"/>
        <v>5521</v>
      </c>
      <c r="AG167" s="76">
        <f t="shared" ref="AG167:AK167" si="256">+AG137</f>
        <v>6139</v>
      </c>
      <c r="AH167" s="76">
        <f t="shared" si="256"/>
        <v>5549</v>
      </c>
      <c r="AI167" s="755">
        <f t="shared" si="256"/>
        <v>6847</v>
      </c>
      <c r="AJ167" s="755">
        <f t="shared" si="256"/>
        <v>6992</v>
      </c>
      <c r="AK167" s="755">
        <f t="shared" si="256"/>
        <v>7457</v>
      </c>
      <c r="AL167" s="755">
        <f>+AL137</f>
        <v>7500</v>
      </c>
    </row>
    <row r="168" spans="2:38" x14ac:dyDescent="0.2">
      <c r="B168" s="137" t="s">
        <v>116</v>
      </c>
      <c r="C168" s="61"/>
      <c r="D168" s="483">
        <f t="shared" ref="D168:H168" si="257">+D139</f>
        <v>-6391</v>
      </c>
      <c r="E168" s="61">
        <f t="shared" si="257"/>
        <v>-11034</v>
      </c>
      <c r="F168" s="61">
        <f t="shared" si="257"/>
        <v>-12326</v>
      </c>
      <c r="G168" s="61">
        <f t="shared" si="257"/>
        <v>-13970</v>
      </c>
      <c r="H168" s="61">
        <f t="shared" si="257"/>
        <v>-9801</v>
      </c>
      <c r="I168" s="61">
        <f t="shared" ref="I168" si="258">+I139</f>
        <v>-8840</v>
      </c>
      <c r="K168" s="354">
        <f t="shared" ref="K168:O168" si="259">+K139</f>
        <v>-1931</v>
      </c>
      <c r="L168" s="354">
        <f t="shared" si="259"/>
        <v>-1789</v>
      </c>
      <c r="M168" s="354">
        <f t="shared" si="259"/>
        <v>-1514</v>
      </c>
      <c r="N168" s="354">
        <f t="shared" si="259"/>
        <v>-1157</v>
      </c>
      <c r="O168" s="728">
        <f t="shared" si="259"/>
        <v>-1753</v>
      </c>
      <c r="P168" s="61">
        <f t="shared" ref="P168:Q168" si="260">+P139</f>
        <v>-2257</v>
      </c>
      <c r="Q168" s="61">
        <f t="shared" si="260"/>
        <v>-3217</v>
      </c>
      <c r="R168" s="61">
        <f t="shared" ref="R168:AF168" si="261">+R139</f>
        <v>-3807</v>
      </c>
      <c r="S168" s="696">
        <f t="shared" si="261"/>
        <v>-3183</v>
      </c>
      <c r="T168" s="61">
        <f t="shared" si="261"/>
        <v>-3270</v>
      </c>
      <c r="U168" s="61">
        <f t="shared" si="261"/>
        <v>-2944</v>
      </c>
      <c r="V168" s="61">
        <f t="shared" si="261"/>
        <v>-2929</v>
      </c>
      <c r="W168" s="696">
        <f t="shared" si="261"/>
        <v>-3381</v>
      </c>
      <c r="X168" s="61">
        <f t="shared" si="261"/>
        <v>-3572</v>
      </c>
      <c r="Y168" s="61">
        <f t="shared" si="261"/>
        <v>-3634</v>
      </c>
      <c r="Z168" s="61">
        <f t="shared" si="261"/>
        <v>-3383</v>
      </c>
      <c r="AA168" s="696">
        <f t="shared" si="261"/>
        <v>-3001</v>
      </c>
      <c r="AB168" s="61">
        <f t="shared" si="261"/>
        <v>-2789</v>
      </c>
      <c r="AC168" s="61">
        <f t="shared" si="261"/>
        <v>-2424</v>
      </c>
      <c r="AD168" s="61">
        <f t="shared" si="261"/>
        <v>-1587</v>
      </c>
      <c r="AE168" s="696">
        <f t="shared" si="261"/>
        <v>-2627</v>
      </c>
      <c r="AF168" s="61">
        <f t="shared" si="261"/>
        <v>-2040</v>
      </c>
      <c r="AG168" s="61">
        <f t="shared" ref="AG168:AK168" si="262">+AG139</f>
        <v>-1961</v>
      </c>
      <c r="AH168" s="61">
        <f t="shared" si="262"/>
        <v>-2212</v>
      </c>
      <c r="AI168" s="696">
        <f t="shared" si="262"/>
        <v>-2451</v>
      </c>
      <c r="AJ168" s="696">
        <f t="shared" si="262"/>
        <v>-2396</v>
      </c>
      <c r="AK168" s="696">
        <f t="shared" si="262"/>
        <v>-2639</v>
      </c>
      <c r="AL168" s="696">
        <f>+AL139</f>
        <v>-2703</v>
      </c>
    </row>
    <row r="169" spans="2:38" x14ac:dyDescent="0.2">
      <c r="B169" s="10" t="s">
        <v>117</v>
      </c>
      <c r="C169" s="61"/>
      <c r="D169" s="483">
        <f t="shared" ref="D169:H170" si="263">+D141</f>
        <v>38</v>
      </c>
      <c r="E169" s="61">
        <f t="shared" si="263"/>
        <v>0</v>
      </c>
      <c r="F169" s="61">
        <f t="shared" si="263"/>
        <v>40</v>
      </c>
      <c r="G169" s="61">
        <f t="shared" si="263"/>
        <v>9</v>
      </c>
      <c r="H169" s="61">
        <f t="shared" si="263"/>
        <v>12</v>
      </c>
      <c r="I169" s="61">
        <f t="shared" ref="I169" si="264">+I141</f>
        <v>0</v>
      </c>
      <c r="K169" s="354">
        <f t="shared" ref="K169:O169" si="265">+K141</f>
        <v>0</v>
      </c>
      <c r="L169" s="354">
        <f t="shared" si="265"/>
        <v>0</v>
      </c>
      <c r="M169" s="354">
        <f t="shared" si="265"/>
        <v>0</v>
      </c>
      <c r="N169" s="354">
        <f t="shared" si="265"/>
        <v>38</v>
      </c>
      <c r="O169" s="728">
        <f t="shared" si="265"/>
        <v>0</v>
      </c>
      <c r="P169" s="61">
        <f t="shared" ref="P169:Q169" si="266">+P141</f>
        <v>0</v>
      </c>
      <c r="Q169" s="61">
        <f t="shared" si="266"/>
        <v>0</v>
      </c>
      <c r="R169" s="61">
        <f t="shared" ref="R169:AF169" si="267">+R141</f>
        <v>0</v>
      </c>
      <c r="S169" s="696">
        <f t="shared" si="267"/>
        <v>0</v>
      </c>
      <c r="T169" s="61">
        <f t="shared" si="267"/>
        <v>31</v>
      </c>
      <c r="U169" s="61">
        <f t="shared" si="267"/>
        <v>0</v>
      </c>
      <c r="V169" s="61">
        <f t="shared" si="267"/>
        <v>9</v>
      </c>
      <c r="W169" s="696">
        <f t="shared" si="267"/>
        <v>0</v>
      </c>
      <c r="X169" s="61">
        <f t="shared" si="267"/>
        <v>0</v>
      </c>
      <c r="Y169" s="61">
        <f t="shared" si="267"/>
        <v>0</v>
      </c>
      <c r="Z169" s="61">
        <f t="shared" si="267"/>
        <v>9</v>
      </c>
      <c r="AA169" s="696">
        <f t="shared" si="267"/>
        <v>6</v>
      </c>
      <c r="AB169" s="61">
        <f t="shared" si="267"/>
        <v>2</v>
      </c>
      <c r="AC169" s="61">
        <f t="shared" si="267"/>
        <v>2</v>
      </c>
      <c r="AD169" s="61">
        <f t="shared" si="267"/>
        <v>2</v>
      </c>
      <c r="AE169" s="696">
        <f t="shared" si="267"/>
        <v>0</v>
      </c>
      <c r="AF169" s="61">
        <f t="shared" si="267"/>
        <v>0</v>
      </c>
      <c r="AG169" s="61">
        <f t="shared" ref="AG169:AK169" si="268">+AG141</f>
        <v>0</v>
      </c>
      <c r="AH169" s="61">
        <f t="shared" si="268"/>
        <v>0</v>
      </c>
      <c r="AI169" s="696">
        <f t="shared" si="268"/>
        <v>0</v>
      </c>
      <c r="AJ169" s="696">
        <f t="shared" si="268"/>
        <v>0</v>
      </c>
      <c r="AK169" s="696">
        <f t="shared" si="268"/>
        <v>0</v>
      </c>
      <c r="AL169" s="696">
        <f>+AL141</f>
        <v>0</v>
      </c>
    </row>
    <row r="170" spans="2:38" x14ac:dyDescent="0.2">
      <c r="B170" s="137" t="s">
        <v>100</v>
      </c>
      <c r="C170" s="64"/>
      <c r="D170" s="494">
        <f t="shared" si="263"/>
        <v>3876</v>
      </c>
      <c r="E170" s="64">
        <f t="shared" si="263"/>
        <v>3134</v>
      </c>
      <c r="F170" s="64">
        <f t="shared" si="263"/>
        <v>4131</v>
      </c>
      <c r="G170" s="64">
        <f t="shared" si="263"/>
        <v>4836</v>
      </c>
      <c r="H170" s="64">
        <f t="shared" si="263"/>
        <v>4816</v>
      </c>
      <c r="I170" s="64">
        <f t="shared" ref="I170" si="269">+I142</f>
        <v>3579</v>
      </c>
      <c r="K170" s="361">
        <f t="shared" ref="K170:O170" si="270">+K142</f>
        <v>1157</v>
      </c>
      <c r="L170" s="361">
        <f t="shared" si="270"/>
        <v>839</v>
      </c>
      <c r="M170" s="361">
        <f t="shared" si="270"/>
        <v>900</v>
      </c>
      <c r="N170" s="361">
        <f t="shared" si="270"/>
        <v>980</v>
      </c>
      <c r="O170" s="726">
        <f t="shared" si="270"/>
        <v>868</v>
      </c>
      <c r="P170" s="64">
        <f t="shared" ref="P170:Q170" si="271">+P142</f>
        <v>602</v>
      </c>
      <c r="Q170" s="64">
        <f t="shared" si="271"/>
        <v>855</v>
      </c>
      <c r="R170" s="64">
        <f t="shared" ref="R170:AF170" si="272">+R142</f>
        <v>809</v>
      </c>
      <c r="S170" s="756">
        <f t="shared" si="272"/>
        <v>891</v>
      </c>
      <c r="T170" s="64">
        <f t="shared" si="272"/>
        <v>1137</v>
      </c>
      <c r="U170" s="64">
        <f t="shared" si="272"/>
        <v>1071</v>
      </c>
      <c r="V170" s="64">
        <f t="shared" si="272"/>
        <v>1032</v>
      </c>
      <c r="W170" s="756">
        <f t="shared" si="272"/>
        <v>1185</v>
      </c>
      <c r="X170" s="64">
        <f t="shared" si="272"/>
        <v>1121</v>
      </c>
      <c r="Y170" s="64">
        <f t="shared" si="272"/>
        <v>1308</v>
      </c>
      <c r="Z170" s="64">
        <f t="shared" si="272"/>
        <v>1222</v>
      </c>
      <c r="AA170" s="756">
        <f t="shared" si="272"/>
        <v>1345</v>
      </c>
      <c r="AB170" s="64">
        <f t="shared" si="272"/>
        <v>1309</v>
      </c>
      <c r="AC170" s="64">
        <f t="shared" si="272"/>
        <v>1131</v>
      </c>
      <c r="AD170" s="64">
        <f t="shared" si="272"/>
        <v>1031</v>
      </c>
      <c r="AE170" s="756">
        <f t="shared" si="272"/>
        <v>890</v>
      </c>
      <c r="AF170" s="64">
        <f t="shared" si="272"/>
        <v>958</v>
      </c>
      <c r="AG170" s="64">
        <f t="shared" ref="AG170:AK170" si="273">+AG142</f>
        <v>984</v>
      </c>
      <c r="AH170" s="64">
        <f t="shared" si="273"/>
        <v>747</v>
      </c>
      <c r="AI170" s="756">
        <f t="shared" si="273"/>
        <v>0</v>
      </c>
      <c r="AJ170" s="756">
        <f t="shared" si="273"/>
        <v>0</v>
      </c>
      <c r="AK170" s="756">
        <f t="shared" si="273"/>
        <v>0</v>
      </c>
      <c r="AL170" s="756">
        <f>+AL142</f>
        <v>0</v>
      </c>
    </row>
    <row r="171" spans="2:38" s="30" customFormat="1" ht="12.75" thickBot="1" x14ac:dyDescent="0.25">
      <c r="B171" s="226" t="s">
        <v>118</v>
      </c>
      <c r="C171" s="218"/>
      <c r="D171" s="495">
        <f t="shared" ref="D171:H171" si="274">+SUM(D167:D170)</f>
        <v>4347</v>
      </c>
      <c r="E171" s="218">
        <f t="shared" si="274"/>
        <v>740</v>
      </c>
      <c r="F171" s="218">
        <f t="shared" si="274"/>
        <v>5762</v>
      </c>
      <c r="G171" s="218">
        <f t="shared" si="274"/>
        <v>7656</v>
      </c>
      <c r="H171" s="218">
        <f t="shared" si="274"/>
        <v>13586</v>
      </c>
      <c r="I171" s="218">
        <f t="shared" ref="I171" si="275">+SUM(I167:I170)</f>
        <v>17032</v>
      </c>
      <c r="K171" s="362">
        <f t="shared" ref="K171:O171" si="276">+SUM(K167:K170)</f>
        <v>618</v>
      </c>
      <c r="L171" s="362">
        <f t="shared" si="276"/>
        <v>1197</v>
      </c>
      <c r="M171" s="362">
        <f t="shared" si="276"/>
        <v>1134</v>
      </c>
      <c r="N171" s="362">
        <f t="shared" si="276"/>
        <v>1398</v>
      </c>
      <c r="O171" s="731">
        <f t="shared" si="276"/>
        <v>732</v>
      </c>
      <c r="P171" s="218">
        <f t="shared" ref="P171:Q171" si="277">+SUM(P167:P170)</f>
        <v>-878</v>
      </c>
      <c r="Q171" s="218">
        <f t="shared" si="277"/>
        <v>410</v>
      </c>
      <c r="R171" s="218">
        <f t="shared" ref="R171:V171" si="278">+SUM(R167:R170)</f>
        <v>476</v>
      </c>
      <c r="S171" s="757">
        <f t="shared" si="278"/>
        <v>1369</v>
      </c>
      <c r="T171" s="218">
        <f t="shared" si="278"/>
        <v>1677</v>
      </c>
      <c r="U171" s="218">
        <f t="shared" si="278"/>
        <v>1604</v>
      </c>
      <c r="V171" s="218">
        <f t="shared" si="278"/>
        <v>1112</v>
      </c>
      <c r="W171" s="757">
        <f>+SUM(W167:W170)</f>
        <v>1649</v>
      </c>
      <c r="X171" s="218">
        <f t="shared" ref="X171:AF171" si="279">+SUM(X167:X170)</f>
        <v>1758</v>
      </c>
      <c r="Y171" s="218">
        <f t="shared" si="279"/>
        <v>2065</v>
      </c>
      <c r="Z171" s="218">
        <f t="shared" si="279"/>
        <v>2184</v>
      </c>
      <c r="AA171" s="757">
        <f t="shared" si="279"/>
        <v>2401</v>
      </c>
      <c r="AB171" s="218">
        <f t="shared" si="279"/>
        <v>2877</v>
      </c>
      <c r="AC171" s="218">
        <f t="shared" si="279"/>
        <v>4003</v>
      </c>
      <c r="AD171" s="218">
        <f t="shared" si="279"/>
        <v>4305</v>
      </c>
      <c r="AE171" s="757">
        <f t="shared" si="279"/>
        <v>3347</v>
      </c>
      <c r="AF171" s="218">
        <f t="shared" si="279"/>
        <v>4439</v>
      </c>
      <c r="AG171" s="218">
        <f t="shared" ref="AG171:AK171" si="280">+SUM(AG167:AG170)</f>
        <v>5162</v>
      </c>
      <c r="AH171" s="218">
        <f t="shared" si="280"/>
        <v>4084</v>
      </c>
      <c r="AI171" s="757">
        <f t="shared" si="280"/>
        <v>4396</v>
      </c>
      <c r="AJ171" s="757">
        <f t="shared" si="280"/>
        <v>4596</v>
      </c>
      <c r="AK171" s="757">
        <f t="shared" si="280"/>
        <v>4818</v>
      </c>
      <c r="AL171" s="757">
        <f>+SUM(AL167:AL170)</f>
        <v>4797</v>
      </c>
    </row>
    <row r="172" spans="2:38" x14ac:dyDescent="0.2">
      <c r="B172" s="138" t="s">
        <v>196</v>
      </c>
      <c r="C172" s="32"/>
      <c r="D172" s="496">
        <f t="shared" ref="D172:H172" si="281">+D137/D11</f>
        <v>0.19779710144927537</v>
      </c>
      <c r="E172" s="32">
        <f t="shared" si="281"/>
        <v>0.17144557991864273</v>
      </c>
      <c r="F172" s="32">
        <f t="shared" si="281"/>
        <v>0.23843135911185731</v>
      </c>
      <c r="G172" s="32">
        <f t="shared" si="281"/>
        <v>0.27364936483864127</v>
      </c>
      <c r="H172" s="32">
        <f t="shared" si="281"/>
        <v>0.2934646827216521</v>
      </c>
      <c r="I172" s="32">
        <f t="shared" ref="I172" si="282">+I137/I11</f>
        <v>0.33686421469370487</v>
      </c>
      <c r="K172" s="363">
        <f t="shared" ref="K172:O172" si="283">+K137/K11</f>
        <v>0.10789861251065809</v>
      </c>
      <c r="L172" s="363">
        <f t="shared" si="283"/>
        <v>0.16505227552275523</v>
      </c>
      <c r="M172" s="363">
        <f t="shared" si="283"/>
        <v>0.13539891556932609</v>
      </c>
      <c r="N172" s="363">
        <f t="shared" si="283"/>
        <v>0.11636886735311933</v>
      </c>
      <c r="O172" s="732">
        <f t="shared" si="283"/>
        <v>0.12252784723800864</v>
      </c>
      <c r="P172" s="32">
        <f t="shared" ref="P172:Q172" si="284">+P137/P11</f>
        <v>5.873015873015873E-2</v>
      </c>
      <c r="Q172" s="32">
        <f t="shared" si="284"/>
        <v>0.196053469127944</v>
      </c>
      <c r="R172" s="32">
        <f t="shared" ref="R172:AF172" si="285">+R137/R11</f>
        <v>0.24499294781382228</v>
      </c>
      <c r="S172" s="758">
        <f t="shared" si="285"/>
        <v>0.2579622322435175</v>
      </c>
      <c r="T172" s="32">
        <f t="shared" si="285"/>
        <v>0.26076455975710738</v>
      </c>
      <c r="U172" s="32">
        <f t="shared" si="285"/>
        <v>0.23617714984377122</v>
      </c>
      <c r="V172" s="32">
        <f t="shared" si="285"/>
        <v>0.20049455323130388</v>
      </c>
      <c r="W172" s="758">
        <f t="shared" si="285"/>
        <v>0.25416446324695929</v>
      </c>
      <c r="X172" s="32">
        <f t="shared" si="285"/>
        <v>0.27481065552363543</v>
      </c>
      <c r="Y172" s="32">
        <f t="shared" si="285"/>
        <v>0.2858537855608359</v>
      </c>
      <c r="Z172" s="32">
        <f t="shared" si="285"/>
        <v>0.27941745070241009</v>
      </c>
      <c r="AA172" s="758">
        <f t="shared" si="285"/>
        <v>0.26058150006432523</v>
      </c>
      <c r="AB172" s="32">
        <f t="shared" si="285"/>
        <v>0.27671876985639854</v>
      </c>
      <c r="AC172" s="32">
        <f t="shared" si="285"/>
        <v>0.3326630639688325</v>
      </c>
      <c r="AD172" s="32">
        <f t="shared" si="285"/>
        <v>0.30287352739512557</v>
      </c>
      <c r="AE172" s="758">
        <f t="shared" si="285"/>
        <v>0.31585487077534791</v>
      </c>
      <c r="AF172" s="32">
        <f t="shared" si="285"/>
        <v>0.33605210298861771</v>
      </c>
      <c r="AG172" s="32">
        <f t="shared" ref="AG172:AI172" si="286">+AG137/AG11</f>
        <v>0.36705530642750372</v>
      </c>
      <c r="AH172" s="32">
        <f t="shared" si="286"/>
        <v>0.32780009451795838</v>
      </c>
      <c r="AI172" s="758">
        <f t="shared" si="286"/>
        <v>0.40454948301329396</v>
      </c>
      <c r="AJ172" s="758">
        <f t="shared" ref="AJ172:AK172" si="287">+AJ137/AJ11</f>
        <v>0.40096341323546281</v>
      </c>
      <c r="AK172" s="758">
        <f t="shared" si="287"/>
        <v>0.4088043418672222</v>
      </c>
      <c r="AL172" s="758">
        <f>+AL137/AL11</f>
        <v>0.39509034399199283</v>
      </c>
    </row>
    <row r="173" spans="2:38" x14ac:dyDescent="0.2">
      <c r="B173" s="29" t="s">
        <v>197</v>
      </c>
      <c r="C173" s="33"/>
      <c r="D173" s="497">
        <f t="shared" ref="D173:H173" si="288">+D171/D11</f>
        <v>0.126</v>
      </c>
      <c r="E173" s="33">
        <f t="shared" si="288"/>
        <v>1.4683996428217085E-2</v>
      </c>
      <c r="F173" s="33">
        <f t="shared" si="288"/>
        <v>9.8716784594562179E-2</v>
      </c>
      <c r="G173" s="33">
        <f t="shared" si="288"/>
        <v>0.12484712098233941</v>
      </c>
      <c r="H173" s="33">
        <f t="shared" si="288"/>
        <v>0.21482898752391644</v>
      </c>
      <c r="I173" s="33">
        <f t="shared" ref="I173" si="289">+I171/I11</f>
        <v>0.25736649641874942</v>
      </c>
      <c r="K173" s="364">
        <f t="shared" ref="K173:O173" si="290">+K171/K11</f>
        <v>4.7903263312921482E-2</v>
      </c>
      <c r="L173" s="364">
        <f t="shared" si="290"/>
        <v>9.2020295202952032E-2</v>
      </c>
      <c r="M173" s="364">
        <f t="shared" si="290"/>
        <v>8.7838884585592567E-2</v>
      </c>
      <c r="N173" s="364">
        <f t="shared" si="290"/>
        <v>0.10584494245911569</v>
      </c>
      <c r="O173" s="733">
        <f t="shared" si="290"/>
        <v>5.5467151625369401E-2</v>
      </c>
      <c r="P173" s="33">
        <f t="shared" ref="P173:Q173" si="291">+P171/P11</f>
        <v>-6.6364323507180648E-2</v>
      </c>
      <c r="Q173" s="33">
        <f t="shared" si="291"/>
        <v>2.8997807482848859E-2</v>
      </c>
      <c r="R173" s="33">
        <f t="shared" ref="R173:AF173" si="292">+R171/R11</f>
        <v>3.3568406205923836E-2</v>
      </c>
      <c r="S173" s="759">
        <f t="shared" si="292"/>
        <v>9.6462795941375426E-2</v>
      </c>
      <c r="T173" s="33">
        <f t="shared" si="292"/>
        <v>0.11571901738890422</v>
      </c>
      <c r="U173" s="33">
        <f t="shared" si="292"/>
        <v>0.1089525879635919</v>
      </c>
      <c r="V173" s="33">
        <f t="shared" si="292"/>
        <v>7.4316647731069968E-2</v>
      </c>
      <c r="W173" s="759">
        <f t="shared" si="292"/>
        <v>0.10900317292437864</v>
      </c>
      <c r="X173" s="33">
        <f t="shared" si="292"/>
        <v>0.11478192739618699</v>
      </c>
      <c r="Y173" s="33">
        <f t="shared" si="292"/>
        <v>0.13443135212551266</v>
      </c>
      <c r="Z173" s="33">
        <f t="shared" si="292"/>
        <v>0.14073978605490398</v>
      </c>
      <c r="AA173" s="759">
        <f t="shared" si="292"/>
        <v>0.15444487327930015</v>
      </c>
      <c r="AB173" s="33">
        <f t="shared" si="292"/>
        <v>0.18280594738848646</v>
      </c>
      <c r="AC173" s="33">
        <f t="shared" si="292"/>
        <v>0.25153952494658793</v>
      </c>
      <c r="AD173" s="33">
        <f t="shared" si="292"/>
        <v>0.26834133266845356</v>
      </c>
      <c r="AE173" s="759">
        <f t="shared" si="292"/>
        <v>0.20793986083499005</v>
      </c>
      <c r="AF173" s="33">
        <f t="shared" si="292"/>
        <v>0.27019295148822203</v>
      </c>
      <c r="AG173" s="33">
        <f t="shared" ref="AG173:AI173" si="293">+AG171/AG11</f>
        <v>0.30863976083707023</v>
      </c>
      <c r="AH173" s="33">
        <f t="shared" si="293"/>
        <v>0.24125708884688091</v>
      </c>
      <c r="AI173" s="759">
        <f t="shared" si="293"/>
        <v>0.25973412112259969</v>
      </c>
      <c r="AJ173" s="759">
        <f t="shared" ref="AJ173:AK173" si="294">+AJ171/AJ11</f>
        <v>0.26356233513017546</v>
      </c>
      <c r="AK173" s="759">
        <f t="shared" si="294"/>
        <v>0.26413025601666573</v>
      </c>
      <c r="AL173" s="759">
        <f>+AL171/AL11</f>
        <v>0.25269978401727861</v>
      </c>
    </row>
    <row r="174" spans="2:38" x14ac:dyDescent="0.2">
      <c r="K174" s="359"/>
      <c r="L174" s="359"/>
      <c r="M174" s="359"/>
      <c r="N174" s="359"/>
      <c r="O174" s="729"/>
      <c r="P174" s="98"/>
      <c r="Q174" s="98"/>
      <c r="R174" s="98"/>
      <c r="S174" s="739"/>
      <c r="T174" s="98"/>
      <c r="U174" s="98"/>
      <c r="V174" s="98"/>
      <c r="W174" s="739"/>
      <c r="X174" s="98"/>
      <c r="Y174" s="98"/>
      <c r="Z174" s="98"/>
      <c r="AA174" s="739"/>
      <c r="AB174" s="98"/>
      <c r="AC174" s="98"/>
      <c r="AD174" s="98"/>
      <c r="AE174" s="739"/>
      <c r="AH174" s="98"/>
      <c r="AI174" s="739"/>
      <c r="AJ174" s="739"/>
      <c r="AK174" s="739"/>
      <c r="AL174" s="739"/>
    </row>
    <row r="175" spans="2:38" x14ac:dyDescent="0.2">
      <c r="B175" s="30" t="s">
        <v>372</v>
      </c>
      <c r="K175" s="359"/>
      <c r="L175" s="359"/>
      <c r="M175" s="359"/>
      <c r="N175" s="359"/>
      <c r="O175" s="729"/>
      <c r="S175" s="684"/>
      <c r="W175" s="684"/>
      <c r="AA175" s="684"/>
      <c r="AE175" s="684"/>
      <c r="AI175" s="684"/>
      <c r="AJ175" s="684"/>
      <c r="AK175" s="684"/>
      <c r="AL175" s="684"/>
    </row>
    <row r="176" spans="2:38" x14ac:dyDescent="0.2">
      <c r="B176" s="6" t="s">
        <v>370</v>
      </c>
      <c r="D176" s="83"/>
      <c r="E176" s="83"/>
      <c r="F176" s="83"/>
      <c r="G176" s="83"/>
      <c r="H176" s="83"/>
      <c r="I176" s="83"/>
      <c r="K176" s="367">
        <v>694</v>
      </c>
      <c r="L176" s="367">
        <v>1400</v>
      </c>
      <c r="M176" s="367">
        <v>989</v>
      </c>
      <c r="N176" s="367">
        <v>538</v>
      </c>
      <c r="O176" s="734">
        <v>555</v>
      </c>
      <c r="P176" s="83">
        <v>658</v>
      </c>
      <c r="Q176" s="83">
        <v>11833</v>
      </c>
      <c r="R176" s="83">
        <v>1083</v>
      </c>
      <c r="S176" s="750">
        <v>911</v>
      </c>
      <c r="T176" s="83">
        <v>1043</v>
      </c>
      <c r="U176" s="83">
        <v>985</v>
      </c>
      <c r="V176" s="83">
        <v>834</v>
      </c>
      <c r="W176" s="750"/>
      <c r="X176" s="83"/>
      <c r="Y176" s="83"/>
      <c r="Z176" s="83"/>
      <c r="AA176" s="750"/>
      <c r="AB176" s="83"/>
      <c r="AC176" s="83"/>
      <c r="AD176" s="83"/>
      <c r="AE176" s="750"/>
      <c r="AF176" s="83"/>
      <c r="AG176" s="83"/>
      <c r="AH176" s="83"/>
      <c r="AI176" s="750"/>
      <c r="AJ176" s="750"/>
      <c r="AK176" s="750"/>
      <c r="AL176" s="750">
        <v>540</v>
      </c>
    </row>
    <row r="177" spans="2:38" x14ac:dyDescent="0.2">
      <c r="B177" s="6" t="s">
        <v>371</v>
      </c>
      <c r="D177" s="83"/>
      <c r="E177" s="83"/>
      <c r="F177" s="83"/>
      <c r="G177" s="83"/>
      <c r="H177" s="83"/>
      <c r="I177" s="83"/>
      <c r="K177" s="367">
        <v>180</v>
      </c>
      <c r="L177" s="367">
        <v>368</v>
      </c>
      <c r="M177" s="367">
        <v>395</v>
      </c>
      <c r="N177" s="367">
        <v>98</v>
      </c>
      <c r="O177" s="734">
        <v>178</v>
      </c>
      <c r="P177" s="83">
        <v>515</v>
      </c>
      <c r="Q177" s="83">
        <v>219</v>
      </c>
      <c r="R177" s="83">
        <v>361</v>
      </c>
      <c r="S177" s="750">
        <v>109</v>
      </c>
      <c r="T177" s="83">
        <v>377</v>
      </c>
      <c r="U177" s="83">
        <v>623</v>
      </c>
      <c r="V177" s="83">
        <v>152</v>
      </c>
      <c r="W177" s="750"/>
      <c r="X177" s="83"/>
      <c r="Y177" s="83"/>
      <c r="Z177" s="83"/>
      <c r="AA177" s="750"/>
      <c r="AB177" s="83"/>
      <c r="AC177" s="83"/>
      <c r="AD177" s="83"/>
      <c r="AE177" s="750"/>
      <c r="AF177" s="83"/>
      <c r="AG177" s="83"/>
      <c r="AH177" s="83"/>
      <c r="AI177" s="750"/>
      <c r="AJ177" s="750"/>
      <c r="AK177" s="750"/>
      <c r="AL177" s="750">
        <v>488</v>
      </c>
    </row>
  </sheetData>
  <conditionalFormatting sqref="D109:I109 K109:AL109">
    <cfRule type="cellIs" dxfId="1" priority="7" operator="lessThan">
      <formula>0</formula>
    </cfRule>
    <cfRule type="cellIs" dxfId="0" priority="8" operator="greaterThan">
      <formula>0</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208A-7311-4861-A919-1E767F95EB3F}">
  <dimension ref="B1:AM158"/>
  <sheetViews>
    <sheetView showGridLines="0" tabSelected="1" zoomScale="145" zoomScaleNormal="145" workbookViewId="0">
      <pane xSplit="3" ySplit="4" topLeftCell="AH83" activePane="bottomRight" state="frozen"/>
      <selection pane="topRight" activeCell="D1" sqref="D1"/>
      <selection pane="bottomLeft" activeCell="A5" sqref="A5"/>
      <selection pane="bottomRight" activeCell="AO99" sqref="AO99"/>
    </sheetView>
  </sheetViews>
  <sheetFormatPr defaultColWidth="9" defaultRowHeight="12" x14ac:dyDescent="0.2"/>
  <cols>
    <col min="1" max="1" width="3.125" style="2" customWidth="1"/>
    <col min="2" max="2" width="34.125" style="2" customWidth="1"/>
    <col min="3" max="3" width="3.125" style="2" customWidth="1"/>
    <col min="4" max="7" width="9.5" style="2" bestFit="1" customWidth="1"/>
    <col min="8" max="8" width="10.125" style="2" customWidth="1"/>
    <col min="9" max="10" width="9.5" style="2" customWidth="1"/>
    <col min="11" max="11" width="9" style="2"/>
    <col min="12" max="38" width="9.375" style="2" bestFit="1" customWidth="1"/>
    <col min="39" max="16384" width="9" style="2"/>
  </cols>
  <sheetData>
    <row r="1" spans="2:39" x14ac:dyDescent="0.2">
      <c r="L1" s="532" t="s">
        <v>637</v>
      </c>
      <c r="M1" s="316"/>
      <c r="N1" s="103"/>
      <c r="O1" s="103"/>
      <c r="P1" s="544"/>
    </row>
    <row r="2" spans="2:39" x14ac:dyDescent="0.2">
      <c r="B2" s="6"/>
      <c r="C2" s="6"/>
      <c r="D2" s="6"/>
      <c r="E2" s="6"/>
      <c r="F2" s="6"/>
      <c r="G2" s="6"/>
      <c r="H2" s="6"/>
      <c r="I2" s="6"/>
      <c r="J2" s="6"/>
      <c r="L2" s="6">
        <v>1</v>
      </c>
      <c r="M2" s="6">
        <v>2</v>
      </c>
      <c r="N2" s="6">
        <v>3</v>
      </c>
      <c r="O2" s="6">
        <v>4</v>
      </c>
      <c r="P2" s="6">
        <v>1</v>
      </c>
      <c r="Q2" s="6">
        <v>2</v>
      </c>
      <c r="R2" s="6">
        <v>3</v>
      </c>
      <c r="S2" s="6">
        <v>4</v>
      </c>
      <c r="T2" s="6">
        <v>1</v>
      </c>
      <c r="U2" s="6">
        <v>2</v>
      </c>
      <c r="V2" s="6">
        <v>3</v>
      </c>
      <c r="W2" s="6">
        <v>4</v>
      </c>
      <c r="X2" s="684">
        <v>1</v>
      </c>
      <c r="Y2" s="6">
        <v>2</v>
      </c>
      <c r="Z2" s="6">
        <v>3</v>
      </c>
      <c r="AA2" s="6">
        <v>4</v>
      </c>
      <c r="AB2" s="6">
        <f>+X2</f>
        <v>1</v>
      </c>
      <c r="AC2" s="6">
        <f t="shared" ref="AC2:AL2" si="0">+Y2</f>
        <v>2</v>
      </c>
      <c r="AD2" s="6">
        <f t="shared" si="0"/>
        <v>3</v>
      </c>
      <c r="AE2" s="6">
        <f t="shared" si="0"/>
        <v>4</v>
      </c>
      <c r="AF2" s="6">
        <f t="shared" si="0"/>
        <v>1</v>
      </c>
      <c r="AG2" s="6">
        <f t="shared" si="0"/>
        <v>2</v>
      </c>
      <c r="AH2" s="6">
        <v>3</v>
      </c>
      <c r="AI2" s="6">
        <f t="shared" si="0"/>
        <v>4</v>
      </c>
      <c r="AJ2" s="6">
        <f t="shared" si="0"/>
        <v>1</v>
      </c>
      <c r="AK2" s="6">
        <f t="shared" si="0"/>
        <v>2</v>
      </c>
      <c r="AL2" s="6">
        <f t="shared" si="0"/>
        <v>3</v>
      </c>
      <c r="AM2" s="6">
        <v>2</v>
      </c>
    </row>
    <row r="3" spans="2:39" x14ac:dyDescent="0.2">
      <c r="B3" s="6"/>
      <c r="C3" s="6"/>
      <c r="D3" s="6"/>
      <c r="E3" s="6"/>
      <c r="F3" s="6"/>
      <c r="G3" s="6"/>
      <c r="H3" s="6"/>
      <c r="I3" s="6"/>
      <c r="J3" s="6"/>
      <c r="L3" s="6">
        <v>2019</v>
      </c>
      <c r="M3" s="6">
        <v>2019</v>
      </c>
      <c r="N3" s="6">
        <v>2019</v>
      </c>
      <c r="O3" s="6">
        <v>2019</v>
      </c>
      <c r="P3" s="6">
        <v>2020</v>
      </c>
      <c r="Q3" s="6">
        <v>2020</v>
      </c>
      <c r="R3" s="6">
        <v>2020</v>
      </c>
      <c r="S3" s="6">
        <v>2020</v>
      </c>
      <c r="T3" s="6">
        <v>2021</v>
      </c>
      <c r="U3" s="6">
        <v>2021</v>
      </c>
      <c r="V3" s="6">
        <v>2021</v>
      </c>
      <c r="W3" s="6">
        <v>2021</v>
      </c>
      <c r="X3" s="684">
        <v>2022</v>
      </c>
      <c r="Y3" s="6">
        <v>2022</v>
      </c>
      <c r="Z3" s="6">
        <v>2022</v>
      </c>
      <c r="AA3" s="6">
        <v>2022</v>
      </c>
      <c r="AB3" s="6">
        <f>+X3+1</f>
        <v>2023</v>
      </c>
      <c r="AC3" s="6">
        <f t="shared" ref="AC3:AL3" si="1">+Y3+1</f>
        <v>2023</v>
      </c>
      <c r="AD3" s="6">
        <f t="shared" si="1"/>
        <v>2023</v>
      </c>
      <c r="AE3" s="6">
        <f t="shared" si="1"/>
        <v>2023</v>
      </c>
      <c r="AF3" s="6">
        <f t="shared" si="1"/>
        <v>2024</v>
      </c>
      <c r="AG3" s="6">
        <f t="shared" si="1"/>
        <v>2024</v>
      </c>
      <c r="AH3" s="6">
        <v>2024</v>
      </c>
      <c r="AI3" s="6">
        <f t="shared" si="1"/>
        <v>2024</v>
      </c>
      <c r="AJ3" s="6">
        <f t="shared" si="1"/>
        <v>2025</v>
      </c>
      <c r="AK3" s="6">
        <f t="shared" si="1"/>
        <v>2025</v>
      </c>
      <c r="AL3" s="6">
        <f t="shared" si="1"/>
        <v>2025</v>
      </c>
      <c r="AM3" s="6">
        <v>2026</v>
      </c>
    </row>
    <row r="4" spans="2:39" x14ac:dyDescent="0.2">
      <c r="B4" s="36"/>
      <c r="C4" s="36"/>
      <c r="D4" s="7">
        <v>2018</v>
      </c>
      <c r="E4" s="7">
        <v>2019</v>
      </c>
      <c r="F4" s="7">
        <v>2020</v>
      </c>
      <c r="G4" s="7">
        <v>2021</v>
      </c>
      <c r="H4" s="7">
        <v>2022</v>
      </c>
      <c r="I4" s="7">
        <v>2023</v>
      </c>
      <c r="J4" s="7">
        <v>2024</v>
      </c>
      <c r="L4" s="7" t="s">
        <v>239</v>
      </c>
      <c r="M4" s="7" t="s">
        <v>240</v>
      </c>
      <c r="N4" s="7" t="s">
        <v>202</v>
      </c>
      <c r="O4" s="7" t="s">
        <v>201</v>
      </c>
      <c r="P4" s="685" t="s">
        <v>200</v>
      </c>
      <c r="Q4" s="7" t="s">
        <v>199</v>
      </c>
      <c r="R4" s="7" t="s">
        <v>198</v>
      </c>
      <c r="S4" s="7" t="s">
        <v>180</v>
      </c>
      <c r="T4" s="685" t="s">
        <v>174</v>
      </c>
      <c r="U4" s="7" t="s">
        <v>175</v>
      </c>
      <c r="V4" s="7" t="s">
        <v>176</v>
      </c>
      <c r="W4" s="7" t="s">
        <v>177</v>
      </c>
      <c r="X4" s="685" t="s">
        <v>1</v>
      </c>
      <c r="Y4" s="7" t="s">
        <v>2</v>
      </c>
      <c r="Z4" s="7" t="s">
        <v>3</v>
      </c>
      <c r="AA4" s="7" t="s">
        <v>4</v>
      </c>
      <c r="AB4" s="685" t="s">
        <v>5</v>
      </c>
      <c r="AC4" s="7" t="s">
        <v>6</v>
      </c>
      <c r="AD4" s="7" t="s">
        <v>7</v>
      </c>
      <c r="AE4" s="7" t="s">
        <v>8</v>
      </c>
      <c r="AF4" s="685" t="s">
        <v>9</v>
      </c>
      <c r="AG4" s="7" t="s">
        <v>10</v>
      </c>
      <c r="AH4" s="7" t="s">
        <v>716</v>
      </c>
      <c r="AI4" s="7" t="s">
        <v>717</v>
      </c>
      <c r="AJ4" s="685" t="s">
        <v>718</v>
      </c>
      <c r="AK4" s="685" t="s">
        <v>719</v>
      </c>
      <c r="AL4" s="685" t="s">
        <v>720</v>
      </c>
      <c r="AM4" s="685" t="s">
        <v>723</v>
      </c>
    </row>
    <row r="5" spans="2:39" x14ac:dyDescent="0.2">
      <c r="B5" s="148" t="s">
        <v>226</v>
      </c>
      <c r="C5" s="147"/>
      <c r="D5" s="499" t="s">
        <v>636</v>
      </c>
      <c r="E5" s="499"/>
      <c r="F5" s="146"/>
      <c r="G5" s="146"/>
      <c r="H5" s="146"/>
      <c r="I5" s="146"/>
      <c r="J5" s="146"/>
      <c r="L5" s="146"/>
      <c r="M5" s="146"/>
      <c r="N5" s="146"/>
      <c r="O5" s="146"/>
      <c r="P5" s="760"/>
      <c r="Q5" s="146"/>
      <c r="R5" s="146"/>
      <c r="S5" s="146"/>
      <c r="T5" s="760"/>
      <c r="U5" s="146"/>
      <c r="V5" s="146"/>
      <c r="W5" s="146"/>
      <c r="X5" s="760"/>
      <c r="Y5" s="146"/>
      <c r="Z5" s="146"/>
      <c r="AA5" s="146"/>
      <c r="AB5" s="760"/>
      <c r="AC5" s="146"/>
      <c r="AD5" s="146"/>
      <c r="AE5" s="146"/>
      <c r="AF5" s="760"/>
      <c r="AG5" s="146"/>
      <c r="AH5" s="146"/>
      <c r="AI5" s="146"/>
      <c r="AJ5" s="760"/>
      <c r="AK5" s="760"/>
      <c r="AL5" s="760"/>
      <c r="AM5" s="760"/>
    </row>
    <row r="6" spans="2:39" x14ac:dyDescent="0.2">
      <c r="B6" s="43" t="s">
        <v>134</v>
      </c>
      <c r="C6" s="43"/>
      <c r="D6" s="500"/>
      <c r="E6" s="500"/>
      <c r="F6" s="44"/>
      <c r="G6" s="44"/>
      <c r="H6" s="44"/>
      <c r="I6" s="44"/>
      <c r="J6" s="44"/>
      <c r="L6" s="500"/>
      <c r="M6" s="500"/>
      <c r="N6" s="500"/>
      <c r="O6" s="500"/>
      <c r="P6" s="809"/>
      <c r="Q6" s="44"/>
      <c r="R6" s="44"/>
      <c r="S6" s="44"/>
      <c r="T6" s="809"/>
      <c r="U6" s="44"/>
      <c r="V6" s="44"/>
      <c r="W6" s="44"/>
      <c r="X6" s="809"/>
      <c r="Y6" s="44"/>
      <c r="Z6" s="44"/>
      <c r="AA6" s="44"/>
      <c r="AB6" s="806"/>
      <c r="AC6" s="44"/>
      <c r="AD6" s="44"/>
      <c r="AE6" s="44"/>
      <c r="AF6" s="761"/>
      <c r="AG6" s="46"/>
      <c r="AH6" s="46"/>
      <c r="AI6" s="44"/>
      <c r="AJ6" s="761"/>
      <c r="AK6" s="761"/>
      <c r="AL6" s="761"/>
      <c r="AM6" s="761"/>
    </row>
    <row r="7" spans="2:39" x14ac:dyDescent="0.2">
      <c r="B7" s="47" t="s">
        <v>138</v>
      </c>
      <c r="C7" s="47"/>
      <c r="D7" s="329">
        <v>37224</v>
      </c>
      <c r="E7" s="334">
        <f t="shared" ref="E7:I8" si="2">SUMIFS($L7:$AG7,$L$3:$AG$3,E$4,$L$2:$AG$2, 4)</f>
        <v>40345</v>
      </c>
      <c r="F7" s="128">
        <f t="shared" si="2"/>
        <v>66618</v>
      </c>
      <c r="G7" s="128">
        <f t="shared" si="2"/>
        <v>70262</v>
      </c>
      <c r="H7" s="128">
        <f t="shared" si="2"/>
        <v>72834</v>
      </c>
      <c r="I7" s="128">
        <f t="shared" si="2"/>
        <v>75936</v>
      </c>
      <c r="J7" s="128">
        <f>SUMIFS($L7:$AZ7,$L$3:$AZ$3,J$4,$L$2:$AZ$2, 4)</f>
        <v>79013</v>
      </c>
      <c r="L7" s="329">
        <v>37880</v>
      </c>
      <c r="M7" s="329">
        <v>38590</v>
      </c>
      <c r="N7" s="329">
        <v>39344</v>
      </c>
      <c r="O7" s="329">
        <v>40345</v>
      </c>
      <c r="P7" s="811">
        <v>64852</v>
      </c>
      <c r="Q7" s="121">
        <v>65105</v>
      </c>
      <c r="R7" s="121">
        <v>65794</v>
      </c>
      <c r="S7" s="121">
        <v>66618</v>
      </c>
      <c r="T7" s="762">
        <v>67402</v>
      </c>
      <c r="U7" s="121">
        <v>68029</v>
      </c>
      <c r="V7" s="121">
        <v>69418</v>
      </c>
      <c r="W7" s="121">
        <v>70262</v>
      </c>
      <c r="X7" s="762">
        <v>70656</v>
      </c>
      <c r="Y7" s="121">
        <v>71053</v>
      </c>
      <c r="Z7" s="121">
        <v>71907</v>
      </c>
      <c r="AA7" s="121">
        <v>72834</v>
      </c>
      <c r="AB7" s="762">
        <v>73372</v>
      </c>
      <c r="AC7" s="121">
        <v>74132</v>
      </c>
      <c r="AD7" s="121">
        <v>74982</v>
      </c>
      <c r="AE7" s="121">
        <v>75936</v>
      </c>
      <c r="AF7" s="762">
        <v>76468</v>
      </c>
      <c r="AG7" s="121">
        <v>77245</v>
      </c>
      <c r="AH7" s="121">
        <v>78110</v>
      </c>
      <c r="AI7" s="121">
        <v>79013</v>
      </c>
      <c r="AJ7" s="762">
        <v>79508</v>
      </c>
      <c r="AK7" s="762">
        <v>80338</v>
      </c>
      <c r="AL7" s="762">
        <v>84632</v>
      </c>
      <c r="AM7" s="762"/>
    </row>
    <row r="8" spans="2:39" x14ac:dyDescent="0.2">
      <c r="B8" s="234" t="s">
        <v>139</v>
      </c>
      <c r="C8" s="234"/>
      <c r="D8" s="330">
        <v>5295</v>
      </c>
      <c r="E8" s="501">
        <f t="shared" si="2"/>
        <v>6689</v>
      </c>
      <c r="F8" s="288">
        <f t="shared" si="2"/>
        <v>14732</v>
      </c>
      <c r="G8" s="288">
        <f t="shared" si="2"/>
        <v>17401</v>
      </c>
      <c r="H8" s="288">
        <f t="shared" si="2"/>
        <v>19398</v>
      </c>
      <c r="I8" s="288">
        <f t="shared" si="2"/>
        <v>22116</v>
      </c>
      <c r="J8" s="288">
        <f>SUMIFS($L8:$AZ8,$L$3:$AZ$3,J$4,$L$2:$AZ$2, 4)</f>
        <v>25105</v>
      </c>
      <c r="L8" s="330">
        <v>5658</v>
      </c>
      <c r="M8" s="330">
        <v>6056</v>
      </c>
      <c r="N8" s="330">
        <v>6376</v>
      </c>
      <c r="O8" s="330">
        <v>6689</v>
      </c>
      <c r="P8" s="811">
        <v>11789</v>
      </c>
      <c r="Q8" s="122">
        <v>12648</v>
      </c>
      <c r="R8" s="122">
        <v>13938</v>
      </c>
      <c r="S8" s="122">
        <v>14732</v>
      </c>
      <c r="T8" s="762">
        <v>15170</v>
      </c>
      <c r="U8" s="122">
        <v>15819</v>
      </c>
      <c r="V8" s="122">
        <v>16495</v>
      </c>
      <c r="W8" s="122">
        <v>17401</v>
      </c>
      <c r="X8" s="762">
        <v>17767</v>
      </c>
      <c r="Y8" s="122">
        <v>17734</v>
      </c>
      <c r="Z8" s="122">
        <v>18507</v>
      </c>
      <c r="AA8" s="122">
        <v>19398</v>
      </c>
      <c r="AB8" s="762">
        <v>20153</v>
      </c>
      <c r="AC8" s="122">
        <v>20954</v>
      </c>
      <c r="AD8" s="122">
        <v>21330</v>
      </c>
      <c r="AE8" s="122">
        <v>22116</v>
      </c>
      <c r="AF8" s="762">
        <v>22804</v>
      </c>
      <c r="AG8" s="122">
        <v>23365</v>
      </c>
      <c r="AH8" s="122">
        <v>24075</v>
      </c>
      <c r="AI8" s="122">
        <v>25105</v>
      </c>
      <c r="AJ8" s="762">
        <v>25947</v>
      </c>
      <c r="AK8" s="762">
        <v>26946</v>
      </c>
      <c r="AL8" s="762">
        <v>29431</v>
      </c>
      <c r="AM8" s="762"/>
    </row>
    <row r="9" spans="2:39" x14ac:dyDescent="0.2">
      <c r="B9" s="48" t="s">
        <v>135</v>
      </c>
      <c r="C9" s="48"/>
      <c r="D9" s="502">
        <f t="shared" ref="D9" si="3">+D8+D7</f>
        <v>42519</v>
      </c>
      <c r="E9" s="502">
        <f t="shared" ref="E9" si="4">+E8+E7</f>
        <v>47034</v>
      </c>
      <c r="F9" s="120">
        <f t="shared" ref="F9" si="5">+F8+F7</f>
        <v>81350</v>
      </c>
      <c r="G9" s="120">
        <f t="shared" ref="G9" si="6">+G8+G7</f>
        <v>87663</v>
      </c>
      <c r="H9" s="120">
        <f t="shared" ref="H9" si="7">+H8+H7</f>
        <v>92232</v>
      </c>
      <c r="I9" s="120">
        <f t="shared" ref="I9:J9" si="8">+I8+I7</f>
        <v>98052</v>
      </c>
      <c r="J9" s="120">
        <f t="shared" si="8"/>
        <v>104118</v>
      </c>
      <c r="L9" s="502">
        <f t="shared" ref="L9:W9" si="9">+L8+L7</f>
        <v>43538</v>
      </c>
      <c r="M9" s="502">
        <f t="shared" si="9"/>
        <v>44646</v>
      </c>
      <c r="N9" s="502">
        <f t="shared" si="9"/>
        <v>45720</v>
      </c>
      <c r="O9" s="502">
        <f t="shared" si="9"/>
        <v>47034</v>
      </c>
      <c r="P9" s="812">
        <f t="shared" si="9"/>
        <v>76641</v>
      </c>
      <c r="Q9" s="120">
        <f t="shared" si="9"/>
        <v>77753</v>
      </c>
      <c r="R9" s="120">
        <f t="shared" si="9"/>
        <v>79732</v>
      </c>
      <c r="S9" s="120">
        <f t="shared" si="9"/>
        <v>81350</v>
      </c>
      <c r="T9" s="763">
        <f t="shared" si="9"/>
        <v>82572</v>
      </c>
      <c r="U9" s="120">
        <f t="shared" si="9"/>
        <v>83848</v>
      </c>
      <c r="V9" s="120">
        <f t="shared" si="9"/>
        <v>85913</v>
      </c>
      <c r="W9" s="120">
        <f t="shared" si="9"/>
        <v>87663</v>
      </c>
      <c r="X9" s="763">
        <f>+X8+X7</f>
        <v>88423</v>
      </c>
      <c r="Y9" s="120">
        <f t="shared" ref="Y9:AH9" si="10">+Y8+Y7</f>
        <v>88787</v>
      </c>
      <c r="Z9" s="120">
        <f t="shared" si="10"/>
        <v>90414</v>
      </c>
      <c r="AA9" s="120">
        <f t="shared" si="10"/>
        <v>92232</v>
      </c>
      <c r="AB9" s="763">
        <f t="shared" si="10"/>
        <v>93525</v>
      </c>
      <c r="AC9" s="120">
        <f t="shared" si="10"/>
        <v>95086</v>
      </c>
      <c r="AD9" s="120">
        <f t="shared" si="10"/>
        <v>96312</v>
      </c>
      <c r="AE9" s="120">
        <f t="shared" si="10"/>
        <v>98052</v>
      </c>
      <c r="AF9" s="763">
        <f t="shared" si="10"/>
        <v>99272</v>
      </c>
      <c r="AG9" s="120">
        <f t="shared" si="10"/>
        <v>100610</v>
      </c>
      <c r="AH9" s="120">
        <f t="shared" si="10"/>
        <v>102185</v>
      </c>
      <c r="AI9" s="120">
        <f t="shared" ref="AI9:AL9" si="11">+AI8+AI7</f>
        <v>104118</v>
      </c>
      <c r="AJ9" s="763">
        <f t="shared" si="11"/>
        <v>105455</v>
      </c>
      <c r="AK9" s="763">
        <f t="shared" si="11"/>
        <v>107284</v>
      </c>
      <c r="AL9" s="763">
        <f t="shared" si="11"/>
        <v>114063</v>
      </c>
      <c r="AM9" s="763"/>
    </row>
    <row r="10" spans="2:39" x14ac:dyDescent="0.2">
      <c r="B10" s="47" t="s">
        <v>140</v>
      </c>
      <c r="C10" s="47"/>
      <c r="D10" s="330">
        <v>21137</v>
      </c>
      <c r="E10" s="501">
        <f>SUMIFS($L10:$AG10,$L$3:$AG$3,E$4,$L$2:$AG$2, 4)</f>
        <v>20860</v>
      </c>
      <c r="F10" s="288">
        <f>SUMIFS($L10:$AG10,$L$3:$AG$3,F$4,$L$2:$AG$2, 4)</f>
        <v>20714</v>
      </c>
      <c r="G10" s="288">
        <f>SUMIFS($L10:$AG10,$L$3:$AG$3,G$4,$L$2:$AG$2, 4)</f>
        <v>21056</v>
      </c>
      <c r="H10" s="288">
        <f>SUMIFS($L10:$AG10,$L$3:$AG$3,H$4,$L$2:$AG$2, 4)</f>
        <v>21366</v>
      </c>
      <c r="I10" s="288">
        <f>SUMIFS($L10:$AG10,$L$3:$AG$3,I$4,$L$2:$AG$2, 4)</f>
        <v>21648</v>
      </c>
      <c r="J10" s="288">
        <f>SUMIFS($L10:$AZ10,$L$3:$AZ$3,J$4,$L$2:$AZ$2, 4)</f>
        <v>25410</v>
      </c>
      <c r="L10" s="330">
        <v>21206</v>
      </c>
      <c r="M10" s="330">
        <v>21337</v>
      </c>
      <c r="N10" s="330">
        <v>20783</v>
      </c>
      <c r="O10" s="330">
        <v>20860</v>
      </c>
      <c r="P10" s="811">
        <v>20442</v>
      </c>
      <c r="Q10" s="122">
        <v>20574</v>
      </c>
      <c r="R10" s="122">
        <v>20630</v>
      </c>
      <c r="S10" s="122">
        <v>20714</v>
      </c>
      <c r="T10" s="762">
        <v>20865</v>
      </c>
      <c r="U10" s="122">
        <v>20941</v>
      </c>
      <c r="V10" s="122">
        <v>21007</v>
      </c>
      <c r="W10" s="122">
        <v>21056</v>
      </c>
      <c r="X10" s="762">
        <v>21118</v>
      </c>
      <c r="Y10" s="122">
        <v>21236</v>
      </c>
      <c r="Z10" s="122">
        <v>21341</v>
      </c>
      <c r="AA10" s="122">
        <v>21366</v>
      </c>
      <c r="AB10" s="762">
        <v>21392</v>
      </c>
      <c r="AC10" s="122">
        <v>21516</v>
      </c>
      <c r="AD10" s="122">
        <v>21595</v>
      </c>
      <c r="AE10" s="122">
        <v>21648</v>
      </c>
      <c r="AF10" s="762">
        <v>21600</v>
      </c>
      <c r="AG10" s="122">
        <v>25283</v>
      </c>
      <c r="AH10" s="122">
        <v>25307</v>
      </c>
      <c r="AI10" s="122">
        <v>25410</v>
      </c>
      <c r="AJ10" s="762">
        <v>25455</v>
      </c>
      <c r="AK10" s="762">
        <v>25494</v>
      </c>
      <c r="AL10" s="762">
        <v>25886</v>
      </c>
      <c r="AM10" s="762"/>
    </row>
    <row r="11" spans="2:39" ht="12.75" thickBot="1" x14ac:dyDescent="0.25">
      <c r="B11" s="233" t="s">
        <v>136</v>
      </c>
      <c r="C11" s="233"/>
      <c r="D11" s="502">
        <f t="shared" ref="D11" si="12">+D10+D9</f>
        <v>63656</v>
      </c>
      <c r="E11" s="502">
        <f t="shared" ref="E11" si="13">+E10+E9</f>
        <v>67894</v>
      </c>
      <c r="F11" s="120">
        <f t="shared" ref="F11" si="14">+F10+F9</f>
        <v>102064</v>
      </c>
      <c r="G11" s="120">
        <f t="shared" ref="G11" si="15">+G10+G9</f>
        <v>108719</v>
      </c>
      <c r="H11" s="120">
        <f t="shared" ref="H11" si="16">+H10+H9</f>
        <v>113598</v>
      </c>
      <c r="I11" s="120">
        <f t="shared" ref="I11:J11" si="17">+I10+I9</f>
        <v>119700</v>
      </c>
      <c r="J11" s="120">
        <f t="shared" si="17"/>
        <v>129528</v>
      </c>
      <c r="L11" s="502">
        <f t="shared" ref="L11:W11" si="18">+L10+L9</f>
        <v>64744</v>
      </c>
      <c r="M11" s="502">
        <f t="shared" si="18"/>
        <v>65983</v>
      </c>
      <c r="N11" s="502">
        <f t="shared" si="18"/>
        <v>66503</v>
      </c>
      <c r="O11" s="502">
        <f t="shared" si="18"/>
        <v>67894</v>
      </c>
      <c r="P11" s="812">
        <f t="shared" si="18"/>
        <v>97083</v>
      </c>
      <c r="Q11" s="120">
        <f t="shared" si="18"/>
        <v>98327</v>
      </c>
      <c r="R11" s="120">
        <f t="shared" si="18"/>
        <v>100362</v>
      </c>
      <c r="S11" s="120">
        <f t="shared" si="18"/>
        <v>102064</v>
      </c>
      <c r="T11" s="763">
        <f t="shared" si="18"/>
        <v>103437</v>
      </c>
      <c r="U11" s="120">
        <f t="shared" si="18"/>
        <v>104789</v>
      </c>
      <c r="V11" s="120">
        <f t="shared" si="18"/>
        <v>106920</v>
      </c>
      <c r="W11" s="120">
        <f t="shared" si="18"/>
        <v>108719</v>
      </c>
      <c r="X11" s="763">
        <f>+X10+X9</f>
        <v>109541</v>
      </c>
      <c r="Y11" s="120">
        <f t="shared" ref="Y11:AH11" si="19">+Y10+Y9</f>
        <v>110023</v>
      </c>
      <c r="Z11" s="120">
        <f t="shared" si="19"/>
        <v>111755</v>
      </c>
      <c r="AA11" s="120">
        <f t="shared" si="19"/>
        <v>113598</v>
      </c>
      <c r="AB11" s="763">
        <f t="shared" si="19"/>
        <v>114917</v>
      </c>
      <c r="AC11" s="120">
        <f t="shared" si="19"/>
        <v>116602</v>
      </c>
      <c r="AD11" s="120">
        <f t="shared" si="19"/>
        <v>117907</v>
      </c>
      <c r="AE11" s="120">
        <f t="shared" si="19"/>
        <v>119700</v>
      </c>
      <c r="AF11" s="763">
        <f t="shared" si="19"/>
        <v>120872</v>
      </c>
      <c r="AG11" s="120">
        <f t="shared" si="19"/>
        <v>125893</v>
      </c>
      <c r="AH11" s="120">
        <f t="shared" si="19"/>
        <v>127492</v>
      </c>
      <c r="AI11" s="120">
        <f t="shared" ref="AI11:AL11" si="20">+AI10+AI9</f>
        <v>129528</v>
      </c>
      <c r="AJ11" s="763">
        <f t="shared" si="20"/>
        <v>130910</v>
      </c>
      <c r="AK11" s="763">
        <f t="shared" si="20"/>
        <v>132778</v>
      </c>
      <c r="AL11" s="763">
        <f t="shared" si="20"/>
        <v>139949</v>
      </c>
      <c r="AM11" s="763"/>
    </row>
    <row r="12" spans="2:39" x14ac:dyDescent="0.2">
      <c r="B12" s="49" t="s">
        <v>209</v>
      </c>
      <c r="C12" s="49"/>
      <c r="D12" s="503">
        <v>0</v>
      </c>
      <c r="E12" s="504">
        <f>SUMIFS($L12:$AG12,$L$3:$AG$3,E$4)</f>
        <v>-616</v>
      </c>
      <c r="F12" s="289">
        <f>SUMIFS($L12:$AG12,$L$3:$AG$3,F$4)</f>
        <v>29228</v>
      </c>
      <c r="G12" s="289">
        <f>SUMIFS($L12:$AG12,$L$3:$AG$3,G$4)</f>
        <v>818</v>
      </c>
      <c r="H12" s="289">
        <f>SUMIFS($L12:$AG12,$L$3:$AG$3,H$4)</f>
        <v>-1878</v>
      </c>
      <c r="I12" s="289">
        <f>SUMIFS($L12:$AG12,$L$3:$AG$3,I$4)</f>
        <v>170</v>
      </c>
      <c r="J12" s="289">
        <f>SUMIFS($L12:$AZ12,$L$3:$AZ$3,J$4)</f>
        <v>3504</v>
      </c>
      <c r="L12" s="503"/>
      <c r="M12" s="503"/>
      <c r="N12" s="503">
        <v>-616</v>
      </c>
      <c r="O12" s="503"/>
      <c r="P12" s="813"/>
      <c r="Q12" s="123">
        <v>29228</v>
      </c>
      <c r="R12" s="123"/>
      <c r="S12" s="123"/>
      <c r="T12" s="807">
        <v>12</v>
      </c>
      <c r="U12" s="123"/>
      <c r="V12" s="123">
        <v>806</v>
      </c>
      <c r="W12" s="123"/>
      <c r="X12" s="807">
        <v>-558</v>
      </c>
      <c r="Y12" s="123">
        <v>-1320</v>
      </c>
      <c r="Z12" s="123">
        <v>0</v>
      </c>
      <c r="AA12" s="123">
        <v>0</v>
      </c>
      <c r="AB12" s="807">
        <v>0</v>
      </c>
      <c r="AC12" s="123">
        <v>0</v>
      </c>
      <c r="AD12" s="123">
        <v>0</v>
      </c>
      <c r="AE12" s="123">
        <v>170</v>
      </c>
      <c r="AF12" s="764">
        <v>0</v>
      </c>
      <c r="AG12" s="124">
        <v>3504</v>
      </c>
      <c r="AH12" s="124">
        <v>0</v>
      </c>
      <c r="AI12" s="123">
        <v>0</v>
      </c>
      <c r="AJ12" s="764">
        <v>0</v>
      </c>
      <c r="AK12" s="764">
        <v>97</v>
      </c>
      <c r="AL12" s="764">
        <v>4781</v>
      </c>
      <c r="AM12" s="764"/>
    </row>
    <row r="13" spans="2:39" x14ac:dyDescent="0.2">
      <c r="B13" s="50"/>
      <c r="C13" s="50"/>
      <c r="D13" s="370"/>
      <c r="E13" s="370"/>
      <c r="F13" s="50"/>
      <c r="G13" s="50"/>
      <c r="H13" s="50"/>
      <c r="I13" s="50"/>
      <c r="J13" s="50"/>
      <c r="L13" s="370"/>
      <c r="M13" s="370"/>
      <c r="N13" s="370"/>
      <c r="O13" s="370"/>
      <c r="P13" s="594"/>
      <c r="Q13" s="50"/>
      <c r="R13" s="50"/>
      <c r="S13" s="50"/>
      <c r="T13" s="765"/>
      <c r="U13" s="50"/>
      <c r="V13" s="50"/>
      <c r="W13" s="50"/>
      <c r="X13" s="765"/>
      <c r="Y13" s="50"/>
      <c r="Z13" s="50"/>
      <c r="AA13" s="50"/>
      <c r="AB13" s="765"/>
      <c r="AC13" s="50"/>
      <c r="AD13" s="50"/>
      <c r="AE13" s="50"/>
      <c r="AF13" s="765"/>
      <c r="AG13" s="50"/>
      <c r="AH13" s="50"/>
      <c r="AI13" s="50"/>
      <c r="AJ13" s="765"/>
      <c r="AK13" s="765"/>
      <c r="AL13" s="765"/>
      <c r="AM13" s="765"/>
    </row>
    <row r="14" spans="2:39" x14ac:dyDescent="0.2">
      <c r="B14" s="43" t="s">
        <v>137</v>
      </c>
      <c r="C14" s="43"/>
      <c r="D14" s="505"/>
      <c r="E14" s="505"/>
      <c r="F14" s="45"/>
      <c r="G14" s="45"/>
      <c r="H14" s="45"/>
      <c r="I14" s="45"/>
      <c r="J14" s="45"/>
      <c r="L14" s="505"/>
      <c r="M14" s="505"/>
      <c r="N14" s="505"/>
      <c r="O14" s="505"/>
      <c r="P14" s="814"/>
      <c r="Q14" s="45"/>
      <c r="R14" s="45"/>
      <c r="S14" s="45"/>
      <c r="T14" s="806"/>
      <c r="U14" s="45"/>
      <c r="V14" s="45"/>
      <c r="W14" s="45"/>
      <c r="X14" s="806"/>
      <c r="Y14" s="45"/>
      <c r="Z14" s="45"/>
      <c r="AA14" s="45"/>
      <c r="AB14" s="806"/>
      <c r="AC14" s="45"/>
      <c r="AD14" s="45"/>
      <c r="AE14" s="45"/>
      <c r="AF14" s="761"/>
      <c r="AG14" s="46"/>
      <c r="AH14" s="46"/>
      <c r="AI14" s="45"/>
      <c r="AJ14" s="761"/>
      <c r="AK14" s="761"/>
      <c r="AL14" s="761"/>
      <c r="AM14" s="761"/>
    </row>
    <row r="15" spans="2:39" x14ac:dyDescent="0.2">
      <c r="B15" s="47" t="s">
        <v>138</v>
      </c>
      <c r="C15" s="47"/>
      <c r="D15" s="329">
        <v>3097</v>
      </c>
      <c r="E15" s="334">
        <f t="shared" ref="E15:I16" si="21">SUMIFS($L15:$AG15,$L$3:$AG$3,E$4)</f>
        <v>3121</v>
      </c>
      <c r="F15" s="128">
        <f t="shared" si="21"/>
        <v>2218</v>
      </c>
      <c r="G15" s="128">
        <f t="shared" si="21"/>
        <v>2917</v>
      </c>
      <c r="H15" s="128">
        <f t="shared" si="21"/>
        <v>3093</v>
      </c>
      <c r="I15" s="128">
        <f t="shared" si="21"/>
        <v>3082</v>
      </c>
      <c r="J15" s="128">
        <f t="shared" ref="J15:J16" si="22">SUMIFS($L15:$AZ15,$L$3:$AZ$3,J$4,$L$2:$AZ$2, 4)</f>
        <v>903</v>
      </c>
      <c r="L15" s="329">
        <v>656</v>
      </c>
      <c r="M15" s="329">
        <v>710</v>
      </c>
      <c r="N15" s="329">
        <v>754</v>
      </c>
      <c r="O15" s="329">
        <v>1001</v>
      </c>
      <c r="P15" s="811">
        <v>452</v>
      </c>
      <c r="Q15" s="121">
        <v>253</v>
      </c>
      <c r="R15" s="121">
        <v>689</v>
      </c>
      <c r="S15" s="121">
        <v>824</v>
      </c>
      <c r="T15" s="762">
        <v>773</v>
      </c>
      <c r="U15" s="121">
        <v>627</v>
      </c>
      <c r="V15" s="121">
        <v>673</v>
      </c>
      <c r="W15" s="121">
        <v>844</v>
      </c>
      <c r="X15" s="762">
        <v>589</v>
      </c>
      <c r="Y15" s="121">
        <v>723</v>
      </c>
      <c r="Z15" s="121">
        <v>854</v>
      </c>
      <c r="AA15" s="121">
        <v>927</v>
      </c>
      <c r="AB15" s="762">
        <v>538</v>
      </c>
      <c r="AC15" s="121">
        <v>760</v>
      </c>
      <c r="AD15" s="121">
        <v>850</v>
      </c>
      <c r="AE15" s="121">
        <v>934</v>
      </c>
      <c r="AF15" s="762">
        <v>532</v>
      </c>
      <c r="AG15" s="121">
        <v>777</v>
      </c>
      <c r="AH15" s="121">
        <v>865</v>
      </c>
      <c r="AI15" s="121">
        <v>903</v>
      </c>
      <c r="AJ15" s="762">
        <v>495</v>
      </c>
      <c r="AK15" s="762">
        <v>830</v>
      </c>
      <c r="AL15" s="762">
        <v>1007</v>
      </c>
      <c r="AM15" s="762"/>
    </row>
    <row r="16" spans="2:39" x14ac:dyDescent="0.2">
      <c r="B16" s="234" t="s">
        <v>139</v>
      </c>
      <c r="C16" s="234"/>
      <c r="D16" s="330">
        <v>1362</v>
      </c>
      <c r="E16" s="501">
        <f t="shared" si="21"/>
        <v>1394</v>
      </c>
      <c r="F16" s="288">
        <f t="shared" si="21"/>
        <v>3268</v>
      </c>
      <c r="G16" s="288">
        <f t="shared" si="21"/>
        <v>2578</v>
      </c>
      <c r="H16" s="288">
        <f t="shared" si="21"/>
        <v>3326</v>
      </c>
      <c r="I16" s="288">
        <f t="shared" si="21"/>
        <v>2568</v>
      </c>
      <c r="J16" s="288">
        <f t="shared" si="22"/>
        <v>1030</v>
      </c>
      <c r="L16" s="330">
        <v>363</v>
      </c>
      <c r="M16" s="330">
        <v>398</v>
      </c>
      <c r="N16" s="330">
        <v>320</v>
      </c>
      <c r="O16" s="330">
        <v>313</v>
      </c>
      <c r="P16" s="811">
        <v>325</v>
      </c>
      <c r="Q16" s="122">
        <v>859</v>
      </c>
      <c r="R16" s="122">
        <v>1290</v>
      </c>
      <c r="S16" s="122">
        <v>794</v>
      </c>
      <c r="T16" s="762">
        <v>437</v>
      </c>
      <c r="U16" s="122">
        <v>649</v>
      </c>
      <c r="V16" s="122">
        <v>586</v>
      </c>
      <c r="W16" s="122">
        <v>906</v>
      </c>
      <c r="X16" s="762">
        <v>729</v>
      </c>
      <c r="Y16" s="122">
        <v>933</v>
      </c>
      <c r="Z16" s="122">
        <v>773</v>
      </c>
      <c r="AA16" s="122">
        <v>891</v>
      </c>
      <c r="AB16" s="762">
        <v>755</v>
      </c>
      <c r="AC16" s="122">
        <v>801</v>
      </c>
      <c r="AD16" s="122">
        <v>376</v>
      </c>
      <c r="AE16" s="122">
        <v>636</v>
      </c>
      <c r="AF16" s="762">
        <v>688</v>
      </c>
      <c r="AG16" s="122">
        <v>561</v>
      </c>
      <c r="AH16" s="122">
        <v>710</v>
      </c>
      <c r="AI16" s="122">
        <v>1030</v>
      </c>
      <c r="AJ16" s="762">
        <v>842</v>
      </c>
      <c r="AK16" s="762">
        <v>902</v>
      </c>
      <c r="AL16" s="762">
        <v>1340</v>
      </c>
      <c r="AM16" s="762"/>
    </row>
    <row r="17" spans="2:39" x14ac:dyDescent="0.2">
      <c r="B17" s="48" t="s">
        <v>135</v>
      </c>
      <c r="C17" s="48"/>
      <c r="D17" s="502">
        <f t="shared" ref="D17" si="23">+D16+D15</f>
        <v>4459</v>
      </c>
      <c r="E17" s="502">
        <f t="shared" ref="E17" si="24">+E16+E15</f>
        <v>4515</v>
      </c>
      <c r="F17" s="120">
        <f t="shared" ref="F17" si="25">+F16+F15</f>
        <v>5486</v>
      </c>
      <c r="G17" s="120">
        <f t="shared" ref="G17" si="26">+G16+G15</f>
        <v>5495</v>
      </c>
      <c r="H17" s="120">
        <f t="shared" ref="H17" si="27">+H16+H15</f>
        <v>6419</v>
      </c>
      <c r="I17" s="120">
        <f t="shared" ref="I17:J17" si="28">+I16+I15</f>
        <v>5650</v>
      </c>
      <c r="J17" s="120">
        <f t="shared" si="28"/>
        <v>1933</v>
      </c>
      <c r="L17" s="502">
        <f t="shared" ref="L17:W17" si="29">+L16+L15</f>
        <v>1019</v>
      </c>
      <c r="M17" s="502">
        <f t="shared" si="29"/>
        <v>1108</v>
      </c>
      <c r="N17" s="502">
        <f t="shared" si="29"/>
        <v>1074</v>
      </c>
      <c r="O17" s="502">
        <f t="shared" si="29"/>
        <v>1314</v>
      </c>
      <c r="P17" s="812">
        <f t="shared" si="29"/>
        <v>777</v>
      </c>
      <c r="Q17" s="120">
        <f t="shared" si="29"/>
        <v>1112</v>
      </c>
      <c r="R17" s="120">
        <f t="shared" si="29"/>
        <v>1979</v>
      </c>
      <c r="S17" s="120">
        <f t="shared" si="29"/>
        <v>1618</v>
      </c>
      <c r="T17" s="763">
        <f t="shared" si="29"/>
        <v>1210</v>
      </c>
      <c r="U17" s="120">
        <f t="shared" si="29"/>
        <v>1276</v>
      </c>
      <c r="V17" s="120">
        <f t="shared" si="29"/>
        <v>1259</v>
      </c>
      <c r="W17" s="120">
        <f t="shared" si="29"/>
        <v>1750</v>
      </c>
      <c r="X17" s="763">
        <f>+X16+X15</f>
        <v>1318</v>
      </c>
      <c r="Y17" s="120">
        <f t="shared" ref="Y17:AH17" si="30">+Y16+Y15</f>
        <v>1656</v>
      </c>
      <c r="Z17" s="120">
        <f t="shared" si="30"/>
        <v>1627</v>
      </c>
      <c r="AA17" s="120">
        <f t="shared" si="30"/>
        <v>1818</v>
      </c>
      <c r="AB17" s="763">
        <f t="shared" si="30"/>
        <v>1293</v>
      </c>
      <c r="AC17" s="120">
        <f t="shared" si="30"/>
        <v>1561</v>
      </c>
      <c r="AD17" s="120">
        <f t="shared" si="30"/>
        <v>1226</v>
      </c>
      <c r="AE17" s="120">
        <f t="shared" si="30"/>
        <v>1570</v>
      </c>
      <c r="AF17" s="763">
        <f t="shared" si="30"/>
        <v>1220</v>
      </c>
      <c r="AG17" s="120">
        <f t="shared" si="30"/>
        <v>1338</v>
      </c>
      <c r="AH17" s="120">
        <f t="shared" si="30"/>
        <v>1575</v>
      </c>
      <c r="AI17" s="120">
        <f t="shared" ref="AI17:AL17" si="31">+AI16+AI15</f>
        <v>1933</v>
      </c>
      <c r="AJ17" s="763">
        <f t="shared" si="31"/>
        <v>1337</v>
      </c>
      <c r="AK17" s="763">
        <f t="shared" si="31"/>
        <v>1732</v>
      </c>
      <c r="AL17" s="763">
        <f t="shared" si="31"/>
        <v>2347</v>
      </c>
      <c r="AM17" s="763"/>
    </row>
    <row r="18" spans="2:39" x14ac:dyDescent="0.2">
      <c r="B18" s="234" t="s">
        <v>140</v>
      </c>
      <c r="C18" s="234"/>
      <c r="D18" s="330">
        <v>460</v>
      </c>
      <c r="E18" s="501">
        <f>SUMIFS($L18:$AG18,$L$3:$AG$3,E$4)</f>
        <v>339</v>
      </c>
      <c r="F18" s="288">
        <f>SUMIFS($L18:$AG18,$L$3:$AG$3,F$4)</f>
        <v>145</v>
      </c>
      <c r="G18" s="288">
        <f>SUMIFS($L18:$AG18,$L$3:$AG$3,G$4)</f>
        <v>342</v>
      </c>
      <c r="H18" s="288">
        <f>SUMIFS($L18:$AG18,$L$3:$AG$3,H$4)</f>
        <v>338</v>
      </c>
      <c r="I18" s="288">
        <f>SUMIFS($L18:$AG18,$L$3:$AG$3,I$4)</f>
        <v>282</v>
      </c>
      <c r="J18" s="288">
        <f>SUMIFS($L18:$AZ18,$L$3:$AZ$3,J$4,$L$2:$AZ$2, 4)</f>
        <v>103</v>
      </c>
      <c r="L18" s="330">
        <v>69</v>
      </c>
      <c r="M18" s="330">
        <v>131</v>
      </c>
      <c r="N18" s="330">
        <v>62</v>
      </c>
      <c r="O18" s="330">
        <v>77</v>
      </c>
      <c r="P18" s="811">
        <v>-128</v>
      </c>
      <c r="Q18" s="122">
        <v>133</v>
      </c>
      <c r="R18" s="122">
        <v>56</v>
      </c>
      <c r="S18" s="122">
        <v>84</v>
      </c>
      <c r="T18" s="762">
        <v>151</v>
      </c>
      <c r="U18" s="122">
        <v>76</v>
      </c>
      <c r="V18" s="122">
        <v>66</v>
      </c>
      <c r="W18" s="122">
        <v>49</v>
      </c>
      <c r="X18" s="762">
        <v>62</v>
      </c>
      <c r="Y18" s="122">
        <v>146</v>
      </c>
      <c r="Z18" s="122">
        <v>105</v>
      </c>
      <c r="AA18" s="122">
        <v>25</v>
      </c>
      <c r="AB18" s="762">
        <v>26</v>
      </c>
      <c r="AC18" s="122">
        <v>124</v>
      </c>
      <c r="AD18" s="122">
        <v>79</v>
      </c>
      <c r="AE18" s="122">
        <v>53</v>
      </c>
      <c r="AF18" s="762">
        <v>-48</v>
      </c>
      <c r="AG18" s="122">
        <v>179</v>
      </c>
      <c r="AH18" s="122">
        <v>24</v>
      </c>
      <c r="AI18" s="122">
        <v>103</v>
      </c>
      <c r="AJ18" s="762">
        <v>45</v>
      </c>
      <c r="AK18" s="762">
        <v>39</v>
      </c>
      <c r="AL18" s="762">
        <v>43</v>
      </c>
      <c r="AM18" s="762"/>
    </row>
    <row r="19" spans="2:39" x14ac:dyDescent="0.2">
      <c r="B19" s="48" t="s">
        <v>141</v>
      </c>
      <c r="C19" s="48"/>
      <c r="D19" s="502">
        <f t="shared" ref="D19" si="32">+D18+D17</f>
        <v>4919</v>
      </c>
      <c r="E19" s="502">
        <f t="shared" ref="E19" si="33">+E18+E17</f>
        <v>4854</v>
      </c>
      <c r="F19" s="120">
        <f t="shared" ref="F19" si="34">+F18+F17</f>
        <v>5631</v>
      </c>
      <c r="G19" s="120">
        <f t="shared" ref="G19" si="35">+G18+G17</f>
        <v>5837</v>
      </c>
      <c r="H19" s="120">
        <f t="shared" ref="H19" si="36">+H18+H17</f>
        <v>6757</v>
      </c>
      <c r="I19" s="120">
        <f t="shared" ref="I19:J19" si="37">+I18+I17</f>
        <v>5932</v>
      </c>
      <c r="J19" s="120">
        <f t="shared" si="37"/>
        <v>2036</v>
      </c>
      <c r="L19" s="502">
        <f t="shared" ref="L19:W19" si="38">+L18+L17</f>
        <v>1088</v>
      </c>
      <c r="M19" s="502">
        <f t="shared" si="38"/>
        <v>1239</v>
      </c>
      <c r="N19" s="502">
        <f t="shared" si="38"/>
        <v>1136</v>
      </c>
      <c r="O19" s="502">
        <f t="shared" si="38"/>
        <v>1391</v>
      </c>
      <c r="P19" s="812">
        <f t="shared" si="38"/>
        <v>649</v>
      </c>
      <c r="Q19" s="120">
        <f t="shared" si="38"/>
        <v>1245</v>
      </c>
      <c r="R19" s="120">
        <f t="shared" si="38"/>
        <v>2035</v>
      </c>
      <c r="S19" s="120">
        <f t="shared" si="38"/>
        <v>1702</v>
      </c>
      <c r="T19" s="763">
        <f t="shared" si="38"/>
        <v>1361</v>
      </c>
      <c r="U19" s="120">
        <f t="shared" si="38"/>
        <v>1352</v>
      </c>
      <c r="V19" s="120">
        <f t="shared" si="38"/>
        <v>1325</v>
      </c>
      <c r="W19" s="120">
        <f t="shared" si="38"/>
        <v>1799</v>
      </c>
      <c r="X19" s="763">
        <f>+X18+X17</f>
        <v>1380</v>
      </c>
      <c r="Y19" s="120">
        <f t="shared" ref="Y19:AH19" si="39">+Y18+Y17</f>
        <v>1802</v>
      </c>
      <c r="Z19" s="120">
        <f t="shared" si="39"/>
        <v>1732</v>
      </c>
      <c r="AA19" s="120">
        <f t="shared" si="39"/>
        <v>1843</v>
      </c>
      <c r="AB19" s="763">
        <f t="shared" si="39"/>
        <v>1319</v>
      </c>
      <c r="AC19" s="120">
        <f t="shared" si="39"/>
        <v>1685</v>
      </c>
      <c r="AD19" s="120">
        <f t="shared" si="39"/>
        <v>1305</v>
      </c>
      <c r="AE19" s="120">
        <f t="shared" si="39"/>
        <v>1623</v>
      </c>
      <c r="AF19" s="763">
        <f t="shared" si="39"/>
        <v>1172</v>
      </c>
      <c r="AG19" s="120">
        <f t="shared" si="39"/>
        <v>1517</v>
      </c>
      <c r="AH19" s="120">
        <f t="shared" si="39"/>
        <v>1599</v>
      </c>
      <c r="AI19" s="120">
        <f t="shared" ref="AI19:AL19" si="40">+AI18+AI17</f>
        <v>2036</v>
      </c>
      <c r="AJ19" s="763">
        <f t="shared" si="40"/>
        <v>1382</v>
      </c>
      <c r="AK19" s="763">
        <f t="shared" si="40"/>
        <v>1771</v>
      </c>
      <c r="AL19" s="763">
        <f t="shared" si="40"/>
        <v>2390</v>
      </c>
      <c r="AM19" s="763"/>
    </row>
    <row r="20" spans="2:39" ht="15" customHeight="1" x14ac:dyDescent="0.2">
      <c r="B20" s="47" t="s">
        <v>142</v>
      </c>
      <c r="C20" s="47"/>
      <c r="D20" s="334">
        <f t="shared" ref="D20:I20" si="41">SUMIFS($L20:$AG20,$L$3:$AG$3,D$4)</f>
        <v>0</v>
      </c>
      <c r="E20" s="334">
        <f t="shared" si="41"/>
        <v>0</v>
      </c>
      <c r="F20" s="128">
        <f t="shared" si="41"/>
        <v>0</v>
      </c>
      <c r="G20" s="128">
        <f t="shared" si="41"/>
        <v>0</v>
      </c>
      <c r="H20" s="128">
        <f t="shared" si="41"/>
        <v>650</v>
      </c>
      <c r="I20" s="128">
        <f t="shared" si="41"/>
        <v>610</v>
      </c>
      <c r="J20" s="128">
        <f>SUMIFS($L20:$AZ20,$L$3:$AZ$3,J$4)</f>
        <v>620</v>
      </c>
      <c r="L20" s="329"/>
      <c r="M20" s="329"/>
      <c r="N20" s="329"/>
      <c r="O20" s="329"/>
      <c r="P20" s="811"/>
      <c r="Q20" s="121"/>
      <c r="R20" s="121"/>
      <c r="S20" s="121"/>
      <c r="T20" s="762"/>
      <c r="U20" s="121"/>
      <c r="V20" s="121"/>
      <c r="W20" s="121"/>
      <c r="X20" s="762">
        <v>165</v>
      </c>
      <c r="Y20" s="121">
        <v>155</v>
      </c>
      <c r="Z20" s="121">
        <v>155</v>
      </c>
      <c r="AA20" s="121">
        <v>175</v>
      </c>
      <c r="AB20" s="762">
        <v>145</v>
      </c>
      <c r="AC20" s="121">
        <v>140</v>
      </c>
      <c r="AD20" s="121">
        <v>155</v>
      </c>
      <c r="AE20" s="121">
        <v>170</v>
      </c>
      <c r="AF20" s="762">
        <v>145</v>
      </c>
      <c r="AG20" s="121">
        <v>140</v>
      </c>
      <c r="AH20" s="121">
        <v>175</v>
      </c>
      <c r="AI20" s="121">
        <v>160</v>
      </c>
      <c r="AJ20" s="762">
        <v>115</v>
      </c>
      <c r="AK20" s="762">
        <v>205</v>
      </c>
      <c r="AL20" s="762">
        <v>215</v>
      </c>
      <c r="AM20" s="762"/>
    </row>
    <row r="21" spans="2:39" x14ac:dyDescent="0.2">
      <c r="B21" s="50"/>
      <c r="C21" s="50"/>
      <c r="D21" s="506"/>
      <c r="E21" s="506"/>
      <c r="F21" s="290"/>
      <c r="G21" s="290"/>
      <c r="H21" s="290"/>
      <c r="I21" s="290"/>
      <c r="J21" s="290"/>
      <c r="L21" s="370"/>
      <c r="M21" s="370"/>
      <c r="N21" s="370"/>
      <c r="O21" s="370"/>
      <c r="P21" s="594"/>
      <c r="Q21" s="50"/>
      <c r="R21" s="50"/>
      <c r="S21" s="50"/>
      <c r="T21" s="765"/>
      <c r="U21" s="50"/>
      <c r="V21" s="50"/>
      <c r="W21" s="50"/>
      <c r="X21" s="765"/>
      <c r="Y21" s="50"/>
      <c r="Z21" s="50"/>
      <c r="AA21" s="50"/>
      <c r="AB21" s="765"/>
      <c r="AC21" s="50"/>
      <c r="AD21" s="50"/>
      <c r="AE21" s="50"/>
      <c r="AF21" s="765"/>
      <c r="AG21" s="259"/>
      <c r="AH21" s="259"/>
      <c r="AI21" s="50"/>
      <c r="AJ21" s="765"/>
      <c r="AK21" s="765"/>
      <c r="AL21" s="765"/>
      <c r="AM21" s="765"/>
    </row>
    <row r="22" spans="2:39" x14ac:dyDescent="0.2">
      <c r="B22" s="51" t="s">
        <v>143</v>
      </c>
      <c r="C22" s="51"/>
      <c r="D22" s="507"/>
      <c r="E22" s="507"/>
      <c r="F22" s="291"/>
      <c r="G22" s="291"/>
      <c r="H22" s="291"/>
      <c r="I22" s="291"/>
      <c r="J22" s="291"/>
      <c r="L22" s="527"/>
      <c r="M22" s="527"/>
      <c r="N22" s="527"/>
      <c r="O22" s="527"/>
      <c r="P22" s="815"/>
      <c r="Q22" s="52"/>
      <c r="R22" s="52"/>
      <c r="S22" s="52"/>
      <c r="T22" s="766"/>
      <c r="U22" s="52"/>
      <c r="V22" s="52"/>
      <c r="W22" s="52"/>
      <c r="X22" s="766"/>
      <c r="Y22" s="52"/>
      <c r="Z22" s="52"/>
      <c r="AA22" s="52"/>
      <c r="AB22" s="766"/>
      <c r="AC22" s="52"/>
      <c r="AD22" s="52"/>
      <c r="AE22" s="52"/>
      <c r="AF22" s="766"/>
      <c r="AG22" s="52"/>
      <c r="AH22" s="52"/>
      <c r="AI22" s="52"/>
      <c r="AJ22" s="766"/>
      <c r="AK22" s="766"/>
      <c r="AL22" s="766"/>
      <c r="AM22" s="766"/>
    </row>
    <row r="23" spans="2:39" x14ac:dyDescent="0.2">
      <c r="B23" s="1367" t="s">
        <v>1044</v>
      </c>
      <c r="C23" s="1360"/>
      <c r="D23" s="1361"/>
      <c r="E23" s="1361"/>
      <c r="F23" s="1362"/>
      <c r="G23" s="1362"/>
      <c r="H23" s="1362"/>
      <c r="I23" s="1362"/>
      <c r="J23" s="1362"/>
      <c r="L23" s="1363"/>
      <c r="M23" s="1363"/>
      <c r="N23" s="1363"/>
      <c r="O23" s="1363"/>
      <c r="P23" s="1364"/>
      <c r="Q23" s="1365"/>
      <c r="R23" s="1365"/>
      <c r="S23" s="1365"/>
      <c r="T23" s="1366"/>
      <c r="U23" s="1365"/>
      <c r="V23" s="1365"/>
      <c r="W23" s="1365"/>
      <c r="X23" s="1366"/>
      <c r="Y23" s="1365"/>
      <c r="Z23" s="1365"/>
      <c r="AA23" s="1365"/>
      <c r="AB23" s="1366"/>
      <c r="AC23" s="1365"/>
      <c r="AD23" s="1365"/>
      <c r="AE23" s="1365"/>
      <c r="AF23" s="1366"/>
      <c r="AG23" s="1365"/>
      <c r="AH23" s="1365"/>
      <c r="AI23" s="1365"/>
      <c r="AJ23" s="1366"/>
      <c r="AK23" s="1366"/>
      <c r="AL23" s="1366"/>
      <c r="AM23" s="1368">
        <v>9.9000000000000008E-3</v>
      </c>
    </row>
    <row r="24" spans="2:39" x14ac:dyDescent="0.2">
      <c r="B24" s="47" t="s">
        <v>144</v>
      </c>
      <c r="C24" s="47"/>
      <c r="D24" s="331">
        <v>1.01E-2</v>
      </c>
      <c r="E24" s="331">
        <v>8.8999999999999999E-3</v>
      </c>
      <c r="F24" s="126">
        <v>8.9999999999999993E-3</v>
      </c>
      <c r="G24" s="126">
        <v>9.7999999999999997E-3</v>
      </c>
      <c r="H24" s="126">
        <v>8.8000000000000005E-3</v>
      </c>
      <c r="I24" s="126">
        <v>8.6999999999999994E-3</v>
      </c>
      <c r="J24" s="126">
        <v>8.6E-3</v>
      </c>
      <c r="L24" s="331">
        <v>8.8000000000000005E-3</v>
      </c>
      <c r="M24" s="331">
        <v>7.7999999999999996E-3</v>
      </c>
      <c r="N24" s="331">
        <v>8.8999999999999999E-3</v>
      </c>
      <c r="O24" s="331">
        <v>1.01E-2</v>
      </c>
      <c r="P24" s="816">
        <v>8.6E-3</v>
      </c>
      <c r="Q24" s="126">
        <v>8.0000000000000002E-3</v>
      </c>
      <c r="R24" s="126">
        <v>8.9999999999999993E-3</v>
      </c>
      <c r="S24" s="126">
        <v>1.03E-2</v>
      </c>
      <c r="T24" s="767">
        <v>9.7999999999999997E-3</v>
      </c>
      <c r="U24" s="126">
        <v>8.6999999999999994E-3</v>
      </c>
      <c r="V24" s="126">
        <v>9.5999999999999992E-3</v>
      </c>
      <c r="W24" s="126">
        <v>1.0999999999999999E-2</v>
      </c>
      <c r="X24" s="767">
        <v>9.300000000000001E-3</v>
      </c>
      <c r="Y24" s="126">
        <v>8.0000000000000002E-3</v>
      </c>
      <c r="Z24" s="126">
        <v>8.8000000000000005E-3</v>
      </c>
      <c r="AA24" s="126">
        <v>9.1999999999999998E-3</v>
      </c>
      <c r="AB24" s="767">
        <v>8.8999999999999999E-3</v>
      </c>
      <c r="AC24" s="126">
        <v>7.7000000000000002E-3</v>
      </c>
      <c r="AD24" s="126">
        <v>8.6999999999999994E-3</v>
      </c>
      <c r="AE24" s="126">
        <v>9.5999999999999992E-3</v>
      </c>
      <c r="AF24" s="767">
        <v>8.6E-3</v>
      </c>
      <c r="AG24" s="126">
        <v>8.0000000000000002E-3</v>
      </c>
      <c r="AH24" s="126">
        <v>8.6E-3</v>
      </c>
      <c r="AI24" s="126">
        <v>9.1999999999999998E-3</v>
      </c>
      <c r="AJ24" s="767">
        <v>9.1000000000000004E-3</v>
      </c>
      <c r="AK24" s="767">
        <v>9.0000000000000011E-3</v>
      </c>
      <c r="AL24" s="767">
        <v>8.8999999999999999E-3</v>
      </c>
      <c r="AM24" s="767"/>
    </row>
    <row r="25" spans="2:39" x14ac:dyDescent="0.2">
      <c r="B25" s="47" t="s">
        <v>145</v>
      </c>
      <c r="C25" s="47"/>
      <c r="D25" s="331">
        <v>3.9600000000000003E-2</v>
      </c>
      <c r="E25" s="331">
        <v>3.8199999999999998E-2</v>
      </c>
      <c r="F25" s="126">
        <v>3.0300000000000001E-2</v>
      </c>
      <c r="G25" s="126">
        <v>2.8299999999999999E-2</v>
      </c>
      <c r="H25" s="126">
        <v>2.7699999999999999E-2</v>
      </c>
      <c r="I25" s="126">
        <v>2.76E-2</v>
      </c>
      <c r="J25" s="126">
        <v>2.7300000000000001E-2</v>
      </c>
      <c r="L25" s="331">
        <v>3.85E-2</v>
      </c>
      <c r="M25" s="331">
        <v>3.49E-2</v>
      </c>
      <c r="N25" s="331">
        <v>3.9800000000000002E-2</v>
      </c>
      <c r="O25" s="331">
        <v>3.9699999999999999E-2</v>
      </c>
      <c r="P25" s="816">
        <v>3.5200000000000002E-2</v>
      </c>
      <c r="Q25" s="126">
        <v>2.81E-2</v>
      </c>
      <c r="R25" s="126">
        <v>2.86E-2</v>
      </c>
      <c r="S25" s="126">
        <v>2.92E-2</v>
      </c>
      <c r="T25" s="767">
        <v>2.7799999999999998E-2</v>
      </c>
      <c r="U25" s="126">
        <v>2.6200000000000001E-2</v>
      </c>
      <c r="V25" s="126">
        <v>2.9000000000000001E-2</v>
      </c>
      <c r="W25" s="126">
        <v>3.0099999999999998E-2</v>
      </c>
      <c r="X25" s="767">
        <v>2.6700000000000002E-2</v>
      </c>
      <c r="Y25" s="126">
        <v>2.58E-2</v>
      </c>
      <c r="Z25" s="126">
        <v>2.8799999999999999E-2</v>
      </c>
      <c r="AA25" s="126">
        <v>2.9300000000000003E-2</v>
      </c>
      <c r="AB25" s="767">
        <v>2.76E-2</v>
      </c>
      <c r="AC25" s="126">
        <v>2.6200000000000001E-2</v>
      </c>
      <c r="AD25" s="126">
        <v>2.81E-2</v>
      </c>
      <c r="AE25" s="126">
        <v>2.86E-2</v>
      </c>
      <c r="AF25" s="767">
        <v>2.75E-2</v>
      </c>
      <c r="AG25" s="126">
        <v>2.5399999999999999E-2</v>
      </c>
      <c r="AH25" s="126">
        <v>2.7799999999999998E-2</v>
      </c>
      <c r="AI25" s="126">
        <v>2.8500000000000001E-2</v>
      </c>
      <c r="AJ25" s="767">
        <v>2.6800000000000001E-2</v>
      </c>
      <c r="AK25" s="767">
        <v>2.6499999999999999E-2</v>
      </c>
      <c r="AL25" s="767">
        <v>2.7700000000000002E-2</v>
      </c>
      <c r="AM25" s="767"/>
    </row>
    <row r="26" spans="2:39" x14ac:dyDescent="0.2">
      <c r="B26" s="50"/>
      <c r="C26" s="50"/>
      <c r="D26" s="506"/>
      <c r="E26" s="506"/>
      <c r="F26" s="290"/>
      <c r="G26" s="290"/>
      <c r="H26" s="290"/>
      <c r="I26" s="290"/>
      <c r="J26" s="290"/>
      <c r="L26" s="370"/>
      <c r="M26" s="370"/>
      <c r="N26" s="370"/>
      <c r="O26" s="370"/>
      <c r="P26" s="594"/>
      <c r="Q26" s="50"/>
      <c r="R26" s="50"/>
      <c r="S26" s="50"/>
      <c r="T26" s="765"/>
      <c r="U26" s="50"/>
      <c r="V26" s="50"/>
      <c r="W26" s="50"/>
      <c r="X26" s="765"/>
      <c r="Y26" s="50"/>
      <c r="Z26" s="50"/>
      <c r="AA26" s="50"/>
      <c r="AB26" s="765"/>
      <c r="AC26" s="50"/>
      <c r="AD26" s="50"/>
      <c r="AE26" s="50"/>
      <c r="AF26" s="765"/>
      <c r="AG26" s="50"/>
      <c r="AH26" s="50"/>
      <c r="AI26" s="50"/>
      <c r="AJ26" s="765"/>
      <c r="AK26" s="765"/>
      <c r="AL26" s="765"/>
      <c r="AM26" s="765"/>
    </row>
    <row r="27" spans="2:39" x14ac:dyDescent="0.2">
      <c r="B27" s="317" t="s">
        <v>373</v>
      </c>
      <c r="C27" s="50"/>
      <c r="D27" s="506"/>
      <c r="E27" s="506"/>
      <c r="F27" s="290"/>
      <c r="G27" s="290"/>
      <c r="H27" s="290"/>
      <c r="I27" s="290"/>
      <c r="J27" s="290"/>
      <c r="L27" s="370"/>
      <c r="M27" s="370"/>
      <c r="N27" s="370"/>
      <c r="O27" s="370"/>
      <c r="P27" s="594"/>
      <c r="Q27" s="50"/>
      <c r="R27" s="50"/>
      <c r="S27" s="50"/>
      <c r="T27" s="765"/>
      <c r="U27" s="50"/>
      <c r="V27" s="50"/>
      <c r="W27" s="50"/>
      <c r="X27" s="765"/>
      <c r="Y27" s="50"/>
      <c r="Z27" s="50"/>
      <c r="AA27" s="50"/>
      <c r="AB27" s="765"/>
      <c r="AC27" s="50"/>
      <c r="AD27" s="50"/>
      <c r="AE27" s="50"/>
      <c r="AF27" s="765"/>
      <c r="AG27" s="50"/>
      <c r="AH27" s="50"/>
      <c r="AI27" s="50"/>
      <c r="AJ27" s="765"/>
      <c r="AK27" s="765"/>
      <c r="AL27" s="765"/>
      <c r="AM27" s="765"/>
    </row>
    <row r="28" spans="2:39" x14ac:dyDescent="0.2">
      <c r="B28" s="50" t="s">
        <v>374</v>
      </c>
      <c r="C28" s="50"/>
      <c r="D28" s="332">
        <v>33000</v>
      </c>
      <c r="E28" s="332">
        <v>29600</v>
      </c>
      <c r="F28" s="290"/>
      <c r="G28" s="290"/>
      <c r="H28" s="290"/>
      <c r="I28" s="290"/>
      <c r="J28" s="290"/>
      <c r="L28" s="332">
        <v>7400</v>
      </c>
      <c r="M28" s="332">
        <f>6500</f>
        <v>6500</v>
      </c>
      <c r="N28" s="332">
        <v>7400</v>
      </c>
      <c r="O28" s="332">
        <v>8300</v>
      </c>
      <c r="P28" s="817">
        <v>6400</v>
      </c>
      <c r="Q28" s="318">
        <v>8900</v>
      </c>
      <c r="R28" s="318">
        <v>9200</v>
      </c>
      <c r="S28" s="318">
        <v>10100</v>
      </c>
      <c r="T28" s="841">
        <v>9600</v>
      </c>
      <c r="U28" s="318">
        <v>9600</v>
      </c>
      <c r="V28" s="318">
        <v>9800</v>
      </c>
      <c r="W28" s="318">
        <v>11600</v>
      </c>
      <c r="X28" s="765"/>
      <c r="Y28" s="50"/>
      <c r="Z28" s="50"/>
      <c r="AA28" s="50"/>
      <c r="AB28" s="765"/>
      <c r="AC28" s="50"/>
      <c r="AD28" s="50"/>
      <c r="AE28" s="50"/>
      <c r="AF28" s="765"/>
      <c r="AG28" s="50"/>
      <c r="AH28" s="50"/>
      <c r="AI28" s="50"/>
      <c r="AJ28" s="765"/>
      <c r="AK28" s="765"/>
      <c r="AL28" s="765"/>
      <c r="AM28" s="765"/>
    </row>
    <row r="29" spans="2:39" x14ac:dyDescent="0.2">
      <c r="B29" s="50" t="s">
        <v>375</v>
      </c>
      <c r="C29" s="50"/>
      <c r="D29" s="506"/>
      <c r="E29" s="506"/>
      <c r="F29" s="290"/>
      <c r="G29" s="290"/>
      <c r="H29" s="290"/>
      <c r="I29" s="290"/>
      <c r="J29" s="290"/>
      <c r="L29" s="332"/>
      <c r="M29" s="332"/>
      <c r="N29" s="332"/>
      <c r="O29" s="332"/>
      <c r="P29" s="817">
        <v>800</v>
      </c>
      <c r="Q29" s="318">
        <v>1200</v>
      </c>
      <c r="R29" s="318">
        <v>2200</v>
      </c>
      <c r="S29" s="318">
        <v>1600</v>
      </c>
      <c r="T29" s="841">
        <v>1000</v>
      </c>
      <c r="U29" s="318">
        <v>1400</v>
      </c>
      <c r="V29" s="318">
        <v>1500</v>
      </c>
      <c r="W29" s="318">
        <v>2200</v>
      </c>
      <c r="X29" s="765"/>
      <c r="Y29" s="50"/>
      <c r="Z29" s="50"/>
      <c r="AA29" s="50"/>
      <c r="AB29" s="765"/>
      <c r="AC29" s="50"/>
      <c r="AD29" s="50"/>
      <c r="AE29" s="50"/>
      <c r="AF29" s="765"/>
      <c r="AG29" s="50"/>
      <c r="AH29" s="50"/>
      <c r="AI29" s="50"/>
      <c r="AJ29" s="765"/>
      <c r="AK29" s="765"/>
      <c r="AL29" s="765"/>
      <c r="AM29" s="765"/>
    </row>
    <row r="30" spans="2:39" s="3" customFormat="1" x14ac:dyDescent="0.2">
      <c r="B30" s="51" t="s">
        <v>376</v>
      </c>
      <c r="C30" s="51"/>
      <c r="D30" s="508"/>
      <c r="E30" s="508"/>
      <c r="F30" s="321"/>
      <c r="G30" s="321"/>
      <c r="H30" s="321"/>
      <c r="I30" s="321"/>
      <c r="J30" s="321"/>
      <c r="L30" s="528"/>
      <c r="M30" s="528"/>
      <c r="N30" s="528"/>
      <c r="O30" s="528"/>
      <c r="P30" s="818">
        <f>+P29+P28</f>
        <v>7200</v>
      </c>
      <c r="Q30" s="320">
        <f t="shared" ref="Q30:W30" si="42">+Q29+Q28</f>
        <v>10100</v>
      </c>
      <c r="R30" s="320">
        <f t="shared" si="42"/>
        <v>11400</v>
      </c>
      <c r="S30" s="320">
        <f t="shared" si="42"/>
        <v>11700</v>
      </c>
      <c r="T30" s="842">
        <f t="shared" si="42"/>
        <v>10600</v>
      </c>
      <c r="U30" s="320">
        <f t="shared" si="42"/>
        <v>11000</v>
      </c>
      <c r="V30" s="320">
        <f t="shared" si="42"/>
        <v>11300</v>
      </c>
      <c r="W30" s="320">
        <f t="shared" si="42"/>
        <v>13800</v>
      </c>
      <c r="X30" s="768"/>
      <c r="Y30" s="319"/>
      <c r="Z30" s="319"/>
      <c r="AA30" s="319"/>
      <c r="AB30" s="768"/>
      <c r="AC30" s="319"/>
      <c r="AD30" s="319"/>
      <c r="AE30" s="319"/>
      <c r="AF30" s="768"/>
      <c r="AG30" s="319"/>
      <c r="AH30" s="319"/>
      <c r="AI30" s="319"/>
      <c r="AJ30" s="768"/>
      <c r="AK30" s="768"/>
      <c r="AL30" s="768"/>
      <c r="AM30" s="768"/>
    </row>
    <row r="31" spans="2:39" x14ac:dyDescent="0.2">
      <c r="B31" s="47" t="s">
        <v>146</v>
      </c>
      <c r="C31" s="47"/>
      <c r="D31" s="333">
        <v>0.23</v>
      </c>
      <c r="E31" s="333">
        <v>0.21</v>
      </c>
      <c r="F31" s="125">
        <v>0.187</v>
      </c>
      <c r="G31" s="125">
        <v>0.19600000000000001</v>
      </c>
      <c r="H31" s="125">
        <v>0.16600000000000001</v>
      </c>
      <c r="I31" s="125">
        <v>0.11700000000000001</v>
      </c>
      <c r="J31" s="125">
        <v>0.111</v>
      </c>
      <c r="L31" s="333">
        <v>0.05</v>
      </c>
      <c r="M31" s="333">
        <v>0.05</v>
      </c>
      <c r="N31" s="333">
        <v>0.05</v>
      </c>
      <c r="O31" s="333">
        <v>0.06</v>
      </c>
      <c r="P31" s="819">
        <v>3.7999999999999999E-2</v>
      </c>
      <c r="Q31" s="125">
        <v>4.4999999999999998E-2</v>
      </c>
      <c r="R31" s="125">
        <v>4.2999999999999997E-2</v>
      </c>
      <c r="S31" s="125">
        <v>5.7000000000000002E-2</v>
      </c>
      <c r="T31" s="769">
        <v>4.8000000000000001E-2</v>
      </c>
      <c r="U31" s="125">
        <v>4.7E-2</v>
      </c>
      <c r="V31" s="125">
        <v>4.2999999999999997E-2</v>
      </c>
      <c r="W31" s="125">
        <v>5.8000000000000003E-2</v>
      </c>
      <c r="X31" s="769">
        <v>4.8000000000000001E-2</v>
      </c>
      <c r="Y31" s="125">
        <v>4.0999999999999995E-2</v>
      </c>
      <c r="Z31" s="125">
        <v>3.7999999999999999E-2</v>
      </c>
      <c r="AA31" s="125">
        <v>3.9E-2</v>
      </c>
      <c r="AB31" s="769">
        <v>3.2000000000000001E-2</v>
      </c>
      <c r="AC31" s="125">
        <v>2.6000000000000002E-2</v>
      </c>
      <c r="AD31" s="125">
        <v>2.7000000000000003E-2</v>
      </c>
      <c r="AE31" s="125">
        <v>3.2000000000000001E-2</v>
      </c>
      <c r="AF31" s="769">
        <v>2.4E-2</v>
      </c>
      <c r="AG31" s="125">
        <v>2.3E-2</v>
      </c>
      <c r="AH31" s="125">
        <v>2.5999999999999999E-2</v>
      </c>
      <c r="AI31" s="125">
        <v>3.5999999999999997E-2</v>
      </c>
      <c r="AJ31" s="769">
        <v>2.8000000000000001E-2</v>
      </c>
      <c r="AK31" s="769">
        <v>2.5000000000000001E-2</v>
      </c>
      <c r="AL31" s="769">
        <v>2.7000000000000003E-2</v>
      </c>
      <c r="AM31" s="769">
        <v>2.5999999999999999E-2</v>
      </c>
    </row>
    <row r="32" spans="2:39" x14ac:dyDescent="0.2">
      <c r="B32" s="50"/>
      <c r="C32" s="50"/>
      <c r="D32" s="506"/>
      <c r="E32" s="506"/>
      <c r="F32" s="290"/>
      <c r="G32" s="290"/>
      <c r="H32" s="290"/>
      <c r="I32" s="290"/>
      <c r="J32" s="290"/>
      <c r="L32" s="370"/>
      <c r="M32" s="370"/>
      <c r="N32" s="370"/>
      <c r="O32" s="370"/>
      <c r="P32" s="594"/>
      <c r="Q32" s="50"/>
      <c r="R32" s="50"/>
      <c r="S32" s="50"/>
      <c r="T32" s="765"/>
      <c r="U32" s="50"/>
      <c r="V32" s="50"/>
      <c r="W32" s="50"/>
      <c r="X32" s="765"/>
      <c r="Y32" s="50"/>
      <c r="Z32" s="50"/>
      <c r="AA32" s="50"/>
      <c r="AB32" s="765"/>
      <c r="AC32" s="50"/>
      <c r="AD32" s="50"/>
      <c r="AE32" s="50"/>
      <c r="AF32" s="765"/>
      <c r="AG32" s="50"/>
      <c r="AH32" s="50"/>
      <c r="AI32" s="50"/>
      <c r="AJ32" s="765"/>
      <c r="AK32" s="765"/>
      <c r="AL32" s="765"/>
      <c r="AM32" s="765"/>
    </row>
    <row r="33" spans="2:39" x14ac:dyDescent="0.2">
      <c r="B33" s="51" t="s">
        <v>147</v>
      </c>
      <c r="C33" s="51"/>
      <c r="D33" s="509"/>
      <c r="E33" s="509"/>
      <c r="F33" s="292"/>
      <c r="G33" s="292"/>
      <c r="H33" s="292"/>
      <c r="I33" s="292"/>
      <c r="J33" s="292"/>
      <c r="L33" s="529"/>
      <c r="M33" s="529"/>
      <c r="N33" s="529"/>
      <c r="O33" s="529"/>
      <c r="P33" s="820"/>
      <c r="Q33" s="127"/>
      <c r="R33" s="127"/>
      <c r="S33" s="127"/>
      <c r="T33" s="810"/>
      <c r="U33" s="127"/>
      <c r="V33" s="127"/>
      <c r="W33" s="127"/>
      <c r="X33" s="810"/>
      <c r="Y33" s="127"/>
      <c r="Z33" s="53"/>
      <c r="AA33" s="53"/>
      <c r="AB33" s="770"/>
      <c r="AC33" s="53"/>
      <c r="AD33" s="53"/>
      <c r="AE33" s="53"/>
      <c r="AF33" s="770"/>
      <c r="AG33" s="53"/>
      <c r="AH33" s="53"/>
      <c r="AI33" s="53"/>
      <c r="AJ33" s="770"/>
      <c r="AK33" s="770"/>
      <c r="AL33" s="770"/>
      <c r="AM33" s="770"/>
    </row>
    <row r="34" spans="2:39" x14ac:dyDescent="0.2">
      <c r="B34" s="47" t="s">
        <v>229</v>
      </c>
      <c r="C34" s="47"/>
      <c r="D34" s="501">
        <f t="shared" ref="D34:I34" si="43">SUMIFS($L34:$AG34,$L$3:$AG$3,D$4,$L$2:$AG$2, 4)</f>
        <v>0</v>
      </c>
      <c r="E34" s="501">
        <f t="shared" si="43"/>
        <v>15047</v>
      </c>
      <c r="F34" s="288">
        <f t="shared" si="43"/>
        <v>25754</v>
      </c>
      <c r="G34" s="288">
        <f t="shared" si="43"/>
        <v>27216</v>
      </c>
      <c r="H34" s="288">
        <f t="shared" si="43"/>
        <v>28526</v>
      </c>
      <c r="I34" s="288">
        <f t="shared" si="43"/>
        <v>29797</v>
      </c>
      <c r="J34" s="288">
        <f>SUMIFS($L34:$AZ34,$L$3:$AZ$3,J$4,$L$2:$AZ$2, 4)</f>
        <v>30894</v>
      </c>
      <c r="L34" s="329">
        <v>14234</v>
      </c>
      <c r="M34" s="329">
        <v>14480</v>
      </c>
      <c r="N34" s="329">
        <v>14734</v>
      </c>
      <c r="O34" s="329">
        <v>15047</v>
      </c>
      <c r="P34" s="811">
        <v>25385</v>
      </c>
      <c r="Q34" s="121">
        <v>25486</v>
      </c>
      <c r="R34" s="121">
        <v>25623</v>
      </c>
      <c r="S34" s="121">
        <v>25754</v>
      </c>
      <c r="T34" s="762">
        <v>26014</v>
      </c>
      <c r="U34" s="121">
        <v>26363</v>
      </c>
      <c r="V34" s="121">
        <v>26901</v>
      </c>
      <c r="W34" s="121">
        <v>27216</v>
      </c>
      <c r="X34" s="762">
        <v>27507</v>
      </c>
      <c r="Y34" s="154">
        <v>27818</v>
      </c>
      <c r="Z34" s="121">
        <v>28212</v>
      </c>
      <c r="AA34" s="121">
        <v>28526</v>
      </c>
      <c r="AB34" s="762">
        <v>28813</v>
      </c>
      <c r="AC34" s="121">
        <v>29112</v>
      </c>
      <c r="AD34" s="121">
        <v>29498</v>
      </c>
      <c r="AE34" s="121">
        <v>29797</v>
      </c>
      <c r="AF34" s="762">
        <v>30015</v>
      </c>
      <c r="AG34" s="121">
        <v>30316</v>
      </c>
      <c r="AH34" s="121">
        <v>30631</v>
      </c>
      <c r="AI34" s="121">
        <v>30894</v>
      </c>
      <c r="AJ34" s="762">
        <v>31099</v>
      </c>
      <c r="AK34" s="762">
        <v>31502</v>
      </c>
      <c r="AL34" s="762">
        <v>33979</v>
      </c>
      <c r="AM34" s="762">
        <v>34700</v>
      </c>
    </row>
    <row r="35" spans="2:39" x14ac:dyDescent="0.2">
      <c r="B35" s="48" t="s">
        <v>148</v>
      </c>
      <c r="C35" s="47"/>
      <c r="D35" s="334">
        <f>SUMIFS($L35:$AG35,$L$3:$AG$3,D$4)</f>
        <v>0</v>
      </c>
      <c r="E35" s="334">
        <f>SUMIFS($L35:$AG35,$L$3:$AG$3,E$4)</f>
        <v>0</v>
      </c>
      <c r="F35" s="128"/>
      <c r="G35" s="128">
        <f>SUMIFS($L35:$AG35,$L$3:$AG$3,G$4)</f>
        <v>1188</v>
      </c>
      <c r="H35" s="128">
        <f>SUMIFS($L35:$AG35,$L$3:$AG$3,H$4)</f>
        <v>1436</v>
      </c>
      <c r="I35" s="128">
        <f>SUMIFS($L35:$AG35,$L$3:$AG$3,I$4)</f>
        <v>1271</v>
      </c>
      <c r="J35" s="128">
        <f>SUMIFS($L35:$AZ35,$L$3:$AZ$3,J$4)</f>
        <v>1097</v>
      </c>
      <c r="L35" s="334"/>
      <c r="M35" s="334"/>
      <c r="N35" s="334"/>
      <c r="O35" s="334"/>
      <c r="P35" s="811">
        <v>197</v>
      </c>
      <c r="Q35" s="121">
        <v>101</v>
      </c>
      <c r="R35" s="121">
        <v>137</v>
      </c>
      <c r="S35" s="121">
        <v>131</v>
      </c>
      <c r="T35" s="762">
        <v>257</v>
      </c>
      <c r="U35" s="121">
        <v>348</v>
      </c>
      <c r="V35" s="121">
        <v>268</v>
      </c>
      <c r="W35" s="121">
        <v>315</v>
      </c>
      <c r="X35" s="771">
        <f>+X34-W34+57</f>
        <v>348</v>
      </c>
      <c r="Y35" s="128">
        <f>+Y34-X34+69</f>
        <v>380</v>
      </c>
      <c r="Z35" s="128">
        <f t="shared" ref="Z35:AJ35" si="44">+Z34-Y34</f>
        <v>394</v>
      </c>
      <c r="AA35" s="128">
        <f t="shared" si="44"/>
        <v>314</v>
      </c>
      <c r="AB35" s="771">
        <f t="shared" si="44"/>
        <v>287</v>
      </c>
      <c r="AC35" s="128">
        <f t="shared" si="44"/>
        <v>299</v>
      </c>
      <c r="AD35" s="128">
        <f t="shared" si="44"/>
        <v>386</v>
      </c>
      <c r="AE35" s="128">
        <f t="shared" si="44"/>
        <v>299</v>
      </c>
      <c r="AF35" s="771">
        <f t="shared" si="44"/>
        <v>218</v>
      </c>
      <c r="AG35" s="128">
        <f t="shared" si="44"/>
        <v>301</v>
      </c>
      <c r="AH35" s="128">
        <f t="shared" si="44"/>
        <v>315</v>
      </c>
      <c r="AI35" s="128">
        <f t="shared" si="44"/>
        <v>263</v>
      </c>
      <c r="AJ35" s="771">
        <f t="shared" si="44"/>
        <v>205</v>
      </c>
      <c r="AK35" s="771">
        <v>318</v>
      </c>
      <c r="AL35" s="771">
        <v>396</v>
      </c>
      <c r="AM35" s="771">
        <v>277</v>
      </c>
    </row>
    <row r="36" spans="2:39" x14ac:dyDescent="0.2">
      <c r="B36" s="47" t="s">
        <v>638</v>
      </c>
      <c r="C36" s="47"/>
      <c r="D36" s="536">
        <v>3.03</v>
      </c>
      <c r="E36" s="536">
        <v>3.13</v>
      </c>
      <c r="F36" s="128"/>
      <c r="G36" s="128"/>
      <c r="H36" s="128"/>
      <c r="I36" s="128"/>
      <c r="J36" s="128"/>
      <c r="L36" s="536">
        <v>3.06</v>
      </c>
      <c r="M36" s="536">
        <v>3.08</v>
      </c>
      <c r="N36" s="536">
        <v>3.1</v>
      </c>
      <c r="O36" s="536">
        <v>3.13</v>
      </c>
      <c r="P36" s="811"/>
      <c r="Q36" s="121"/>
      <c r="R36" s="121"/>
      <c r="S36" s="121"/>
      <c r="T36" s="762"/>
      <c r="U36" s="121"/>
      <c r="V36" s="121"/>
      <c r="W36" s="121"/>
      <c r="X36" s="771"/>
      <c r="Y36" s="128"/>
      <c r="Z36" s="128"/>
      <c r="AA36" s="128"/>
      <c r="AB36" s="771"/>
      <c r="AC36" s="128"/>
      <c r="AD36" s="128"/>
      <c r="AE36" s="128"/>
      <c r="AF36" s="771"/>
      <c r="AG36" s="128"/>
      <c r="AH36" s="128"/>
      <c r="AI36" s="128"/>
      <c r="AJ36" s="771"/>
      <c r="AK36" s="771"/>
      <c r="AL36" s="771"/>
      <c r="AM36" s="771"/>
    </row>
    <row r="37" spans="2:39" x14ac:dyDescent="0.2">
      <c r="B37" s="50"/>
      <c r="C37" s="50"/>
      <c r="D37" s="506"/>
      <c r="E37" s="506"/>
      <c r="F37" s="290"/>
      <c r="G37" s="290"/>
      <c r="H37" s="290"/>
      <c r="I37" s="290"/>
      <c r="J37" s="290"/>
      <c r="L37" s="370"/>
      <c r="M37" s="370"/>
      <c r="N37" s="370"/>
      <c r="O37" s="370"/>
      <c r="P37" s="594"/>
      <c r="Q37" s="50"/>
      <c r="R37" s="50"/>
      <c r="S37" s="50"/>
      <c r="T37" s="765"/>
      <c r="U37" s="50"/>
      <c r="V37" s="50"/>
      <c r="W37" s="50"/>
      <c r="X37" s="765"/>
      <c r="Y37" s="50"/>
      <c r="Z37" s="50"/>
      <c r="AA37" s="50"/>
      <c r="AB37" s="765"/>
      <c r="AC37" s="50"/>
      <c r="AD37" s="50"/>
      <c r="AE37" s="50"/>
      <c r="AF37" s="765"/>
      <c r="AG37" s="50"/>
      <c r="AH37" s="50"/>
      <c r="AI37" s="50"/>
      <c r="AJ37" s="765"/>
      <c r="AK37" s="765"/>
      <c r="AL37" s="765"/>
      <c r="AM37" s="765"/>
    </row>
    <row r="38" spans="2:39" x14ac:dyDescent="0.2">
      <c r="B38" s="51" t="s">
        <v>210</v>
      </c>
      <c r="C38" s="51"/>
      <c r="D38" s="507"/>
      <c r="E38" s="507"/>
      <c r="F38" s="291"/>
      <c r="G38" s="291"/>
      <c r="H38" s="291"/>
      <c r="I38" s="291"/>
      <c r="J38" s="291"/>
      <c r="L38" s="530"/>
      <c r="M38" s="530"/>
      <c r="N38" s="530"/>
      <c r="O38" s="530"/>
      <c r="P38" s="821"/>
      <c r="Q38" s="54"/>
      <c r="R38" s="54"/>
      <c r="S38" s="54"/>
      <c r="T38" s="808"/>
      <c r="U38" s="54"/>
      <c r="V38" s="54"/>
      <c r="W38" s="54"/>
      <c r="X38" s="808"/>
      <c r="Y38" s="54"/>
      <c r="Z38" s="54"/>
      <c r="AA38" s="54"/>
      <c r="AB38" s="808"/>
      <c r="AC38" s="54"/>
      <c r="AD38" s="54"/>
      <c r="AE38" s="54"/>
      <c r="AF38" s="772"/>
      <c r="AG38" s="55"/>
      <c r="AH38" s="55"/>
      <c r="AI38" s="54"/>
      <c r="AJ38" s="772"/>
      <c r="AK38" s="772"/>
      <c r="AL38" s="772"/>
      <c r="AM38" s="772"/>
    </row>
    <row r="39" spans="2:39" ht="12.75" customHeight="1" x14ac:dyDescent="0.2">
      <c r="B39" s="47" t="s">
        <v>149</v>
      </c>
      <c r="C39" s="47"/>
      <c r="D39" s="501">
        <f t="shared" ref="D39:I40" si="45">SUMIFS($L39:$AG39,$L$3:$AG$3,D$4,$L$2:$AG$2, 4)</f>
        <v>0</v>
      </c>
      <c r="E39" s="501">
        <f t="shared" si="45"/>
        <v>0</v>
      </c>
      <c r="F39" s="288">
        <f t="shared" si="45"/>
        <v>100</v>
      </c>
      <c r="G39" s="288">
        <f t="shared" si="45"/>
        <v>646</v>
      </c>
      <c r="H39" s="288">
        <f t="shared" si="45"/>
        <v>2410</v>
      </c>
      <c r="I39" s="288">
        <f t="shared" si="45"/>
        <v>4288</v>
      </c>
      <c r="J39" s="288">
        <f t="shared" ref="J39:J40" si="46">SUMIFS($L39:$AZ39,$L$3:$AZ$3,J$4,$L$2:$AZ$2, 4)</f>
        <v>5742</v>
      </c>
      <c r="L39" s="329"/>
      <c r="M39" s="329"/>
      <c r="N39" s="329"/>
      <c r="O39" s="329"/>
      <c r="P39" s="811"/>
      <c r="Q39" s="121"/>
      <c r="R39" s="121"/>
      <c r="S39" s="128">
        <f>+T39-T49</f>
        <v>100</v>
      </c>
      <c r="T39" s="762">
        <v>193</v>
      </c>
      <c r="U39" s="121">
        <v>288</v>
      </c>
      <c r="V39" s="121">
        <v>422</v>
      </c>
      <c r="W39" s="121">
        <v>646</v>
      </c>
      <c r="X39" s="762">
        <v>975</v>
      </c>
      <c r="Y39" s="121">
        <v>1472</v>
      </c>
      <c r="Z39" s="121">
        <v>1960</v>
      </c>
      <c r="AA39" s="121">
        <v>2410</v>
      </c>
      <c r="AB39" s="762">
        <v>2855</v>
      </c>
      <c r="AC39" s="121">
        <v>3302</v>
      </c>
      <c r="AD39" s="121">
        <v>3807</v>
      </c>
      <c r="AE39" s="121">
        <v>4288</v>
      </c>
      <c r="AF39" s="762">
        <v>4634</v>
      </c>
      <c r="AG39" s="121">
        <v>4992</v>
      </c>
      <c r="AH39" s="121">
        <v>5377</v>
      </c>
      <c r="AI39" s="121">
        <v>5742</v>
      </c>
      <c r="AJ39" s="762">
        <v>6129</v>
      </c>
      <c r="AK39" s="762">
        <v>6556</v>
      </c>
      <c r="AL39" s="762">
        <v>7163</v>
      </c>
      <c r="AM39" s="762"/>
    </row>
    <row r="40" spans="2:39" ht="15" customHeight="1" x14ac:dyDescent="0.2">
      <c r="B40" s="47" t="s">
        <v>150</v>
      </c>
      <c r="C40" s="47"/>
      <c r="D40" s="501">
        <f t="shared" si="45"/>
        <v>0</v>
      </c>
      <c r="E40" s="501">
        <f t="shared" si="45"/>
        <v>0</v>
      </c>
      <c r="F40" s="288">
        <f t="shared" si="45"/>
        <v>0</v>
      </c>
      <c r="G40" s="288">
        <f t="shared" si="45"/>
        <v>0</v>
      </c>
      <c r="H40" s="288">
        <f t="shared" si="45"/>
        <v>236</v>
      </c>
      <c r="I40" s="288">
        <f t="shared" si="45"/>
        <v>488</v>
      </c>
      <c r="J40" s="288">
        <f t="shared" si="46"/>
        <v>688</v>
      </c>
      <c r="L40" s="330"/>
      <c r="M40" s="330"/>
      <c r="N40" s="330"/>
      <c r="O40" s="330"/>
      <c r="P40" s="811"/>
      <c r="Q40" s="122"/>
      <c r="R40" s="122"/>
      <c r="S40" s="122"/>
      <c r="T40" s="762">
        <v>0</v>
      </c>
      <c r="U40" s="122">
        <v>0</v>
      </c>
      <c r="V40" s="122">
        <v>0</v>
      </c>
      <c r="W40" s="122">
        <v>0</v>
      </c>
      <c r="X40" s="762">
        <v>9</v>
      </c>
      <c r="Y40" s="122">
        <v>72</v>
      </c>
      <c r="Z40" s="122">
        <v>162</v>
      </c>
      <c r="AA40" s="122">
        <v>236</v>
      </c>
      <c r="AB40" s="762">
        <v>314</v>
      </c>
      <c r="AC40" s="122">
        <v>376</v>
      </c>
      <c r="AD40" s="122">
        <v>428</v>
      </c>
      <c r="AE40" s="122">
        <v>488</v>
      </c>
      <c r="AF40" s="762">
        <v>547</v>
      </c>
      <c r="AG40" s="122">
        <v>595</v>
      </c>
      <c r="AH40" s="122">
        <v>625</v>
      </c>
      <c r="AI40" s="122">
        <v>688</v>
      </c>
      <c r="AJ40" s="762">
        <v>725</v>
      </c>
      <c r="AK40" s="762">
        <v>752</v>
      </c>
      <c r="AL40" s="762">
        <v>792</v>
      </c>
      <c r="AM40" s="762"/>
    </row>
    <row r="41" spans="2:39" ht="15" customHeight="1" thickBot="1" x14ac:dyDescent="0.25">
      <c r="B41" s="232" t="s">
        <v>211</v>
      </c>
      <c r="C41" s="232"/>
      <c r="D41" s="510">
        <f t="shared" ref="D41" si="47">+D40+D39</f>
        <v>0</v>
      </c>
      <c r="E41" s="510">
        <f t="shared" ref="E41" si="48">+E40+E39</f>
        <v>0</v>
      </c>
      <c r="F41" s="129">
        <f t="shared" ref="F41" si="49">+F40+F39</f>
        <v>100</v>
      </c>
      <c r="G41" s="129">
        <f t="shared" ref="G41" si="50">+G40+G39</f>
        <v>646</v>
      </c>
      <c r="H41" s="129">
        <f t="shared" ref="H41" si="51">+H40+H39</f>
        <v>2646</v>
      </c>
      <c r="I41" s="129">
        <f t="shared" ref="I41:J41" si="52">+I40+I39</f>
        <v>4776</v>
      </c>
      <c r="J41" s="129">
        <f t="shared" si="52"/>
        <v>6430</v>
      </c>
      <c r="L41" s="510"/>
      <c r="M41" s="510"/>
      <c r="N41" s="510"/>
      <c r="O41" s="510"/>
      <c r="P41" s="822"/>
      <c r="Q41" s="129"/>
      <c r="R41" s="129"/>
      <c r="S41" s="129"/>
      <c r="T41" s="773">
        <f t="shared" ref="T41:W41" si="53">+T40+T39</f>
        <v>193</v>
      </c>
      <c r="U41" s="129">
        <f t="shared" si="53"/>
        <v>288</v>
      </c>
      <c r="V41" s="129">
        <f t="shared" si="53"/>
        <v>422</v>
      </c>
      <c r="W41" s="129">
        <f t="shared" si="53"/>
        <v>646</v>
      </c>
      <c r="X41" s="773">
        <f>+X40+X39</f>
        <v>984</v>
      </c>
      <c r="Y41" s="129">
        <f t="shared" ref="Y41:AH41" si="54">+Y40+Y39</f>
        <v>1544</v>
      </c>
      <c r="Z41" s="129">
        <f t="shared" si="54"/>
        <v>2122</v>
      </c>
      <c r="AA41" s="129">
        <f t="shared" si="54"/>
        <v>2646</v>
      </c>
      <c r="AB41" s="773">
        <f t="shared" si="54"/>
        <v>3169</v>
      </c>
      <c r="AC41" s="129">
        <f t="shared" si="54"/>
        <v>3678</v>
      </c>
      <c r="AD41" s="129">
        <f t="shared" si="54"/>
        <v>4235</v>
      </c>
      <c r="AE41" s="129">
        <f t="shared" si="54"/>
        <v>4776</v>
      </c>
      <c r="AF41" s="773">
        <f t="shared" si="54"/>
        <v>5181</v>
      </c>
      <c r="AG41" s="129">
        <f t="shared" si="54"/>
        <v>5587</v>
      </c>
      <c r="AH41" s="129">
        <f t="shared" si="54"/>
        <v>6002</v>
      </c>
      <c r="AI41" s="129">
        <f t="shared" ref="AI41:AL41" si="55">+AI40+AI39</f>
        <v>6430</v>
      </c>
      <c r="AJ41" s="773">
        <f t="shared" si="55"/>
        <v>6854</v>
      </c>
      <c r="AK41" s="773">
        <f t="shared" si="55"/>
        <v>7308</v>
      </c>
      <c r="AL41" s="773">
        <f t="shared" si="55"/>
        <v>7955</v>
      </c>
      <c r="AM41" s="773"/>
    </row>
    <row r="42" spans="2:39" ht="15" customHeight="1" x14ac:dyDescent="0.2">
      <c r="B42" s="47"/>
      <c r="C42" s="47"/>
      <c r="D42" s="1334"/>
      <c r="E42" s="1334"/>
      <c r="F42" s="1333"/>
      <c r="G42" s="1333"/>
      <c r="H42" s="1333"/>
      <c r="I42" s="1333"/>
      <c r="J42" s="1333"/>
      <c r="L42" s="1334"/>
      <c r="M42" s="1334"/>
      <c r="N42" s="1334"/>
      <c r="O42" s="1334"/>
      <c r="P42" s="1336"/>
      <c r="Q42" s="1333"/>
      <c r="R42" s="1333"/>
      <c r="S42" s="1333"/>
      <c r="T42" s="1335"/>
      <c r="U42" s="1333"/>
      <c r="V42" s="1333"/>
      <c r="W42" s="1333"/>
      <c r="X42" s="1335"/>
      <c r="Y42" s="1333"/>
      <c r="Z42" s="1333"/>
      <c r="AA42" s="1333"/>
      <c r="AB42" s="1335"/>
      <c r="AC42" s="1333"/>
      <c r="AD42" s="1333"/>
      <c r="AE42" s="1333"/>
      <c r="AF42" s="1335"/>
      <c r="AG42" s="1333"/>
      <c r="AH42" s="1333"/>
      <c r="AI42" s="1333"/>
      <c r="AJ42" s="1335"/>
      <c r="AK42" s="1335"/>
      <c r="AL42" s="1335"/>
      <c r="AM42" s="1335"/>
    </row>
    <row r="43" spans="2:39" ht="12.75" customHeight="1" x14ac:dyDescent="0.2">
      <c r="B43" s="281" t="s">
        <v>975</v>
      </c>
      <c r="C43" s="47"/>
      <c r="D43" s="501"/>
      <c r="E43" s="501"/>
      <c r="F43" s="288"/>
      <c r="G43" s="288"/>
      <c r="H43" s="288"/>
      <c r="I43" s="288"/>
      <c r="J43" s="288"/>
      <c r="L43" s="329"/>
      <c r="M43" s="329"/>
      <c r="N43" s="329"/>
      <c r="O43" s="329"/>
      <c r="P43" s="811"/>
      <c r="Q43" s="121"/>
      <c r="R43" s="121"/>
      <c r="S43" s="128"/>
      <c r="T43" s="762"/>
      <c r="U43" s="121"/>
      <c r="V43" s="121"/>
      <c r="W43" s="121"/>
      <c r="X43" s="762"/>
      <c r="Y43" s="121"/>
      <c r="Z43" s="121"/>
      <c r="AA43" s="121"/>
      <c r="AB43" s="762"/>
      <c r="AC43" s="121"/>
      <c r="AD43" s="121"/>
      <c r="AE43" s="121">
        <v>1</v>
      </c>
      <c r="AF43" s="762">
        <v>1</v>
      </c>
      <c r="AG43" s="121">
        <v>2</v>
      </c>
      <c r="AH43" s="121">
        <v>5</v>
      </c>
      <c r="AI43" s="121">
        <v>9</v>
      </c>
      <c r="AJ43" s="762">
        <v>12</v>
      </c>
      <c r="AK43" s="762">
        <v>125</v>
      </c>
      <c r="AL43" s="762">
        <v>934</v>
      </c>
      <c r="AM43" s="762"/>
    </row>
    <row r="44" spans="2:39" ht="12.75" customHeight="1" x14ac:dyDescent="0.2">
      <c r="B44" s="47" t="s">
        <v>883</v>
      </c>
      <c r="C44" s="47"/>
      <c r="D44" s="501"/>
      <c r="E44" s="501"/>
      <c r="F44" s="288"/>
      <c r="G44" s="288"/>
      <c r="H44" s="288"/>
      <c r="I44" s="288"/>
      <c r="J44" s="288"/>
      <c r="L44" s="329"/>
      <c r="M44" s="329"/>
      <c r="N44" s="329"/>
      <c r="O44" s="329"/>
      <c r="P44" s="811"/>
      <c r="Q44" s="121"/>
      <c r="R44" s="121"/>
      <c r="S44" s="128"/>
      <c r="T44" s="762"/>
      <c r="U44" s="121"/>
      <c r="V44" s="121"/>
      <c r="W44" s="121"/>
      <c r="X44" s="762"/>
      <c r="Y44" s="121"/>
      <c r="Z44" s="121"/>
      <c r="AA44" s="121"/>
      <c r="AB44" s="762"/>
      <c r="AC44" s="121"/>
      <c r="AD44" s="121"/>
      <c r="AE44" s="121"/>
      <c r="AF44" s="762">
        <f>AF43-AE43</f>
        <v>0</v>
      </c>
      <c r="AG44" s="121">
        <f t="shared" ref="AG44:AL44" si="56">AG43-AF43</f>
        <v>1</v>
      </c>
      <c r="AH44" s="121">
        <f t="shared" si="56"/>
        <v>3</v>
      </c>
      <c r="AI44" s="121">
        <f t="shared" si="56"/>
        <v>4</v>
      </c>
      <c r="AJ44" s="762">
        <f t="shared" si="56"/>
        <v>3</v>
      </c>
      <c r="AK44" s="762">
        <f t="shared" si="56"/>
        <v>113</v>
      </c>
      <c r="AL44" s="762">
        <f t="shared" si="56"/>
        <v>809</v>
      </c>
      <c r="AM44" s="762"/>
    </row>
    <row r="45" spans="2:39" ht="12.75" customHeight="1" x14ac:dyDescent="0.2">
      <c r="B45" s="1338" t="s">
        <v>279</v>
      </c>
      <c r="C45" s="47"/>
      <c r="D45" s="501"/>
      <c r="E45" s="501"/>
      <c r="F45" s="288"/>
      <c r="G45" s="288"/>
      <c r="H45" s="288"/>
      <c r="I45" s="288"/>
      <c r="J45" s="288"/>
      <c r="L45" s="329"/>
      <c r="M45" s="329"/>
      <c r="N45" s="329"/>
      <c r="O45" s="329"/>
      <c r="P45" s="811"/>
      <c r="Q45" s="121"/>
      <c r="R45" s="121"/>
      <c r="S45" s="128"/>
      <c r="T45" s="762"/>
      <c r="U45" s="121"/>
      <c r="V45" s="121"/>
      <c r="W45" s="121"/>
      <c r="X45" s="762"/>
      <c r="Y45" s="121"/>
      <c r="Z45" s="121"/>
      <c r="AA45" s="121"/>
      <c r="AB45" s="762"/>
      <c r="AC45" s="121"/>
      <c r="AD45" s="121"/>
      <c r="AE45" s="121"/>
      <c r="AF45" s="762"/>
      <c r="AG45" s="121"/>
      <c r="AH45" s="121"/>
      <c r="AI45" s="121"/>
      <c r="AJ45" s="762"/>
      <c r="AK45" s="762">
        <v>-97</v>
      </c>
      <c r="AL45" s="762">
        <v>-755</v>
      </c>
      <c r="AM45" s="762"/>
    </row>
    <row r="46" spans="2:39" ht="15" customHeight="1" x14ac:dyDescent="0.2">
      <c r="B46" s="281"/>
      <c r="C46" s="47"/>
      <c r="D46" s="1334"/>
      <c r="E46" s="1334"/>
      <c r="F46" s="1333"/>
      <c r="G46" s="1333"/>
      <c r="H46" s="1333"/>
      <c r="I46" s="1333"/>
      <c r="J46" s="1333"/>
      <c r="L46" s="1334"/>
      <c r="M46" s="1334"/>
      <c r="N46" s="1334"/>
      <c r="O46" s="1334"/>
      <c r="P46" s="1336"/>
      <c r="Q46" s="1333"/>
      <c r="R46" s="1333"/>
      <c r="S46" s="1333"/>
      <c r="T46" s="1335"/>
      <c r="U46" s="1333"/>
      <c r="V46" s="1333"/>
      <c r="W46" s="1333"/>
      <c r="X46" s="1335"/>
      <c r="Y46" s="1333"/>
      <c r="Z46" s="1333"/>
      <c r="AA46" s="1333"/>
      <c r="AB46" s="1335"/>
      <c r="AC46" s="1333"/>
      <c r="AD46" s="1333"/>
      <c r="AE46" s="1333"/>
      <c r="AF46" s="1335"/>
      <c r="AG46" s="1333"/>
      <c r="AH46" s="1333"/>
      <c r="AI46" s="1333"/>
      <c r="AJ46" s="1335"/>
      <c r="AK46" s="1335"/>
      <c r="AL46" s="1335"/>
      <c r="AM46" s="1335"/>
    </row>
    <row r="47" spans="2:39" ht="15" customHeight="1" x14ac:dyDescent="0.2">
      <c r="B47" s="281"/>
      <c r="C47" s="47"/>
      <c r="D47" s="1334"/>
      <c r="E47" s="1334"/>
      <c r="F47" s="1333"/>
      <c r="G47" s="1333"/>
      <c r="H47" s="1333"/>
      <c r="I47" s="1333"/>
      <c r="J47" s="1333"/>
      <c r="L47" s="1334"/>
      <c r="M47" s="1334"/>
      <c r="N47" s="1334"/>
      <c r="O47" s="1334"/>
      <c r="P47" s="1336"/>
      <c r="Q47" s="1333"/>
      <c r="R47" s="1333"/>
      <c r="S47" s="1333"/>
      <c r="T47" s="1335"/>
      <c r="U47" s="1333"/>
      <c r="V47" s="1333"/>
      <c r="W47" s="1333"/>
      <c r="X47" s="1335"/>
      <c r="Y47" s="1333"/>
      <c r="Z47" s="1333"/>
      <c r="AA47" s="1333"/>
      <c r="AB47" s="1335"/>
      <c r="AC47" s="1333"/>
      <c r="AD47" s="1333"/>
      <c r="AE47" s="1333"/>
      <c r="AF47" s="1335"/>
      <c r="AG47" s="1333"/>
      <c r="AH47" s="1333"/>
      <c r="AI47" s="1333"/>
      <c r="AJ47" s="1335"/>
      <c r="AK47" s="1335"/>
      <c r="AL47" s="1335"/>
      <c r="AM47" s="1335"/>
    </row>
    <row r="48" spans="2:39" ht="15" customHeight="1" x14ac:dyDescent="0.2">
      <c r="B48" s="56" t="s">
        <v>151</v>
      </c>
      <c r="C48" s="56"/>
      <c r="D48" s="507"/>
      <c r="E48" s="507"/>
      <c r="F48" s="291"/>
      <c r="G48" s="291"/>
      <c r="H48" s="291"/>
      <c r="I48" s="291"/>
      <c r="J48" s="291"/>
      <c r="L48" s="530"/>
      <c r="M48" s="530"/>
      <c r="N48" s="530"/>
      <c r="O48" s="530"/>
      <c r="P48" s="821"/>
      <c r="Q48" s="54"/>
      <c r="R48" s="54"/>
      <c r="S48" s="54"/>
      <c r="T48" s="808"/>
      <c r="U48" s="54"/>
      <c r="V48" s="54"/>
      <c r="W48" s="54"/>
      <c r="X48" s="808"/>
      <c r="Y48" s="54"/>
      <c r="Z48" s="54"/>
      <c r="AA48" s="54"/>
      <c r="AB48" s="808"/>
      <c r="AC48" s="54"/>
      <c r="AD48" s="54"/>
      <c r="AE48" s="54"/>
      <c r="AF48" s="772"/>
      <c r="AG48" s="55"/>
      <c r="AH48" s="55"/>
      <c r="AI48" s="54"/>
      <c r="AJ48" s="772"/>
      <c r="AK48" s="772"/>
      <c r="AL48" s="772"/>
      <c r="AM48" s="772"/>
    </row>
    <row r="49" spans="2:39" x14ac:dyDescent="0.2">
      <c r="B49" s="47" t="s">
        <v>149</v>
      </c>
      <c r="C49" s="47"/>
      <c r="D49" s="334">
        <f t="shared" ref="D49:I50" si="57">SUMIFS($L49:$AG49,$L$3:$AG$3,D$4)</f>
        <v>0</v>
      </c>
      <c r="E49" s="334">
        <f t="shared" si="57"/>
        <v>0</v>
      </c>
      <c r="F49" s="128">
        <f t="shared" si="57"/>
        <v>0</v>
      </c>
      <c r="G49" s="128">
        <f t="shared" si="57"/>
        <v>546</v>
      </c>
      <c r="H49" s="128">
        <f t="shared" si="57"/>
        <v>1764</v>
      </c>
      <c r="I49" s="128">
        <f t="shared" si="57"/>
        <v>1878</v>
      </c>
      <c r="J49" s="128">
        <f t="shared" ref="J49:J50" si="58">SUMIFS($L49:$AZ49,$L$3:$AZ$3,J$4)</f>
        <v>1454</v>
      </c>
      <c r="L49" s="329"/>
      <c r="M49" s="329"/>
      <c r="N49" s="329"/>
      <c r="O49" s="329"/>
      <c r="P49" s="811"/>
      <c r="Q49" s="121"/>
      <c r="R49" s="121"/>
      <c r="S49" s="121"/>
      <c r="T49" s="762">
        <v>93</v>
      </c>
      <c r="U49" s="121">
        <v>95</v>
      </c>
      <c r="V49" s="121">
        <v>134</v>
      </c>
      <c r="W49" s="121">
        <v>224</v>
      </c>
      <c r="X49" s="762">
        <v>329</v>
      </c>
      <c r="Y49" s="121">
        <v>497</v>
      </c>
      <c r="Z49" s="121">
        <v>488</v>
      </c>
      <c r="AA49" s="121">
        <v>450</v>
      </c>
      <c r="AB49" s="762">
        <v>445</v>
      </c>
      <c r="AC49" s="121">
        <v>447</v>
      </c>
      <c r="AD49" s="121">
        <v>505</v>
      </c>
      <c r="AE49" s="121">
        <v>481</v>
      </c>
      <c r="AF49" s="762">
        <v>346</v>
      </c>
      <c r="AG49" s="121">
        <v>358</v>
      </c>
      <c r="AH49" s="121">
        <v>385</v>
      </c>
      <c r="AI49" s="121">
        <v>365</v>
      </c>
      <c r="AJ49" s="762">
        <v>387</v>
      </c>
      <c r="AK49" s="762">
        <v>427</v>
      </c>
      <c r="AL49" s="762">
        <v>466</v>
      </c>
      <c r="AM49" s="762"/>
    </row>
    <row r="50" spans="2:39" x14ac:dyDescent="0.2">
      <c r="B50" s="47" t="s">
        <v>150</v>
      </c>
      <c r="C50" s="47"/>
      <c r="D50" s="501">
        <f t="shared" si="57"/>
        <v>0</v>
      </c>
      <c r="E50" s="501">
        <f t="shared" si="57"/>
        <v>0</v>
      </c>
      <c r="F50" s="288">
        <f t="shared" si="57"/>
        <v>0</v>
      </c>
      <c r="G50" s="288">
        <f t="shared" si="57"/>
        <v>0</v>
      </c>
      <c r="H50" s="288">
        <f t="shared" si="57"/>
        <v>236</v>
      </c>
      <c r="I50" s="288">
        <f t="shared" si="57"/>
        <v>252</v>
      </c>
      <c r="J50" s="288">
        <f t="shared" si="58"/>
        <v>200</v>
      </c>
      <c r="L50" s="330"/>
      <c r="M50" s="330"/>
      <c r="N50" s="330"/>
      <c r="O50" s="330"/>
      <c r="P50" s="811"/>
      <c r="Q50" s="122"/>
      <c r="R50" s="122"/>
      <c r="S50" s="122"/>
      <c r="T50" s="762">
        <v>0</v>
      </c>
      <c r="U50" s="122">
        <v>0</v>
      </c>
      <c r="V50" s="122">
        <v>0</v>
      </c>
      <c r="W50" s="122">
        <v>0</v>
      </c>
      <c r="X50" s="762">
        <v>9</v>
      </c>
      <c r="Y50" s="122">
        <v>63</v>
      </c>
      <c r="Z50" s="122">
        <v>90</v>
      </c>
      <c r="AA50" s="122">
        <v>74</v>
      </c>
      <c r="AB50" s="762">
        <v>78</v>
      </c>
      <c r="AC50" s="122">
        <v>62</v>
      </c>
      <c r="AD50" s="122">
        <v>52</v>
      </c>
      <c r="AE50" s="122">
        <v>60</v>
      </c>
      <c r="AF50" s="762">
        <v>59</v>
      </c>
      <c r="AG50" s="122">
        <v>48</v>
      </c>
      <c r="AH50" s="122">
        <v>30</v>
      </c>
      <c r="AI50" s="122">
        <v>63</v>
      </c>
      <c r="AJ50" s="762">
        <v>37</v>
      </c>
      <c r="AK50" s="762">
        <v>27</v>
      </c>
      <c r="AL50" s="762">
        <v>40</v>
      </c>
      <c r="AM50" s="762"/>
    </row>
    <row r="51" spans="2:39" ht="15" customHeight="1" thickBot="1" x14ac:dyDescent="0.25">
      <c r="B51" s="232" t="s">
        <v>152</v>
      </c>
      <c r="C51" s="232"/>
      <c r="D51" s="510">
        <f t="shared" ref="D51" si="59">+D49+D50</f>
        <v>0</v>
      </c>
      <c r="E51" s="510">
        <f t="shared" ref="E51" si="60">+E49+E50</f>
        <v>0</v>
      </c>
      <c r="F51" s="129">
        <f t="shared" ref="F51" si="61">+F49+F50</f>
        <v>0</v>
      </c>
      <c r="G51" s="129">
        <f t="shared" ref="G51" si="62">+G49+G50</f>
        <v>546</v>
      </c>
      <c r="H51" s="129">
        <f t="shared" ref="H51" si="63">+H49+H50</f>
        <v>2000</v>
      </c>
      <c r="I51" s="129">
        <f t="shared" ref="I51:J51" si="64">+I49+I50</f>
        <v>2130</v>
      </c>
      <c r="J51" s="129">
        <f t="shared" si="64"/>
        <v>1654</v>
      </c>
      <c r="L51" s="510"/>
      <c r="M51" s="510"/>
      <c r="N51" s="510"/>
      <c r="O51" s="510"/>
      <c r="P51" s="822"/>
      <c r="Q51" s="129"/>
      <c r="R51" s="129"/>
      <c r="S51" s="129"/>
      <c r="T51" s="773">
        <f t="shared" ref="T51:W51" si="65">+T49+T50</f>
        <v>93</v>
      </c>
      <c r="U51" s="129">
        <f t="shared" si="65"/>
        <v>95</v>
      </c>
      <c r="V51" s="129">
        <f t="shared" si="65"/>
        <v>134</v>
      </c>
      <c r="W51" s="129">
        <f t="shared" si="65"/>
        <v>224</v>
      </c>
      <c r="X51" s="773">
        <f>+X49+X50</f>
        <v>338</v>
      </c>
      <c r="Y51" s="129">
        <f t="shared" ref="Y51:AH51" si="66">+Y49+Y50</f>
        <v>560</v>
      </c>
      <c r="Z51" s="129">
        <f t="shared" si="66"/>
        <v>578</v>
      </c>
      <c r="AA51" s="129">
        <f t="shared" si="66"/>
        <v>524</v>
      </c>
      <c r="AB51" s="773">
        <f t="shared" si="66"/>
        <v>523</v>
      </c>
      <c r="AC51" s="129">
        <f t="shared" si="66"/>
        <v>509</v>
      </c>
      <c r="AD51" s="129">
        <f t="shared" si="66"/>
        <v>557</v>
      </c>
      <c r="AE51" s="129">
        <f t="shared" si="66"/>
        <v>541</v>
      </c>
      <c r="AF51" s="773">
        <f t="shared" si="66"/>
        <v>405</v>
      </c>
      <c r="AG51" s="129">
        <f t="shared" si="66"/>
        <v>406</v>
      </c>
      <c r="AH51" s="129">
        <f t="shared" si="66"/>
        <v>415</v>
      </c>
      <c r="AI51" s="129">
        <f t="shared" ref="AI51:AL51" si="67">+AI49+AI50</f>
        <v>428</v>
      </c>
      <c r="AJ51" s="773">
        <f t="shared" si="67"/>
        <v>424</v>
      </c>
      <c r="AK51" s="773">
        <f t="shared" si="67"/>
        <v>454</v>
      </c>
      <c r="AL51" s="773">
        <f t="shared" si="67"/>
        <v>506</v>
      </c>
      <c r="AM51" s="773"/>
    </row>
    <row r="52" spans="2:39" x14ac:dyDescent="0.2">
      <c r="B52" s="50"/>
      <c r="C52" s="50"/>
      <c r="D52" s="506"/>
      <c r="E52" s="506"/>
      <c r="F52" s="290"/>
      <c r="G52" s="290"/>
      <c r="H52" s="290"/>
      <c r="I52" s="290"/>
      <c r="J52" s="290"/>
      <c r="L52" s="370"/>
      <c r="M52" s="370"/>
      <c r="N52" s="370"/>
      <c r="O52" s="370"/>
      <c r="P52" s="594"/>
      <c r="Q52" s="50"/>
      <c r="R52" s="50"/>
      <c r="S52" s="50"/>
      <c r="T52" s="765"/>
      <c r="U52" s="50"/>
      <c r="V52" s="50"/>
      <c r="W52" s="50"/>
      <c r="X52" s="765"/>
      <c r="Y52" s="50"/>
      <c r="Z52" s="50"/>
      <c r="AA52" s="50"/>
      <c r="AB52" s="765"/>
      <c r="AC52" s="50"/>
      <c r="AD52" s="50"/>
      <c r="AE52" s="50"/>
      <c r="AF52" s="765"/>
      <c r="AG52" s="50"/>
      <c r="AH52" s="50"/>
      <c r="AI52" s="50"/>
      <c r="AJ52" s="765"/>
      <c r="AK52" s="765"/>
      <c r="AL52" s="765"/>
      <c r="AM52" s="765"/>
    </row>
    <row r="53" spans="2:39" ht="13.5" customHeight="1" x14ac:dyDescent="0.2">
      <c r="B53" s="132" t="s">
        <v>215</v>
      </c>
      <c r="C53" s="132"/>
      <c r="D53" s="511"/>
      <c r="E53" s="511"/>
      <c r="F53" s="293"/>
      <c r="G53" s="293"/>
      <c r="H53" s="293"/>
      <c r="I53" s="293"/>
      <c r="J53" s="293"/>
      <c r="L53" s="531"/>
      <c r="M53" s="531"/>
      <c r="N53" s="531"/>
      <c r="O53" s="531"/>
      <c r="P53" s="823"/>
      <c r="Q53" s="57"/>
      <c r="R53" s="57"/>
      <c r="S53" s="57"/>
      <c r="T53" s="774"/>
      <c r="U53" s="57"/>
      <c r="V53" s="57"/>
      <c r="W53" s="57"/>
      <c r="X53" s="774"/>
      <c r="Y53" s="57"/>
      <c r="Z53" s="57"/>
      <c r="AA53" s="57"/>
      <c r="AB53" s="774"/>
      <c r="AC53" s="57"/>
      <c r="AD53" s="57"/>
      <c r="AE53" s="57"/>
      <c r="AF53" s="774"/>
      <c r="AG53" s="57"/>
      <c r="AH53" s="57"/>
      <c r="AI53" s="57"/>
      <c r="AJ53" s="774"/>
      <c r="AK53" s="774"/>
      <c r="AL53" s="774"/>
      <c r="AM53" s="774"/>
    </row>
    <row r="54" spans="2:39" x14ac:dyDescent="0.2">
      <c r="B54" s="47" t="s">
        <v>153</v>
      </c>
      <c r="C54" s="47"/>
      <c r="D54" s="330">
        <v>7242</v>
      </c>
      <c r="E54" s="330">
        <v>7137</v>
      </c>
      <c r="F54" s="122">
        <v>9747</v>
      </c>
      <c r="G54" s="122">
        <v>15443</v>
      </c>
      <c r="H54" s="122">
        <v>15688</v>
      </c>
      <c r="I54" s="122">
        <v>13584</v>
      </c>
      <c r="J54" s="122">
        <v>14248</v>
      </c>
      <c r="L54" s="335">
        <v>1742</v>
      </c>
      <c r="M54" s="335">
        <v>1625</v>
      </c>
      <c r="N54" s="335">
        <v>1535</v>
      </c>
      <c r="O54" s="335">
        <v>2235</v>
      </c>
      <c r="P54" s="824">
        <v>1440</v>
      </c>
      <c r="Q54" s="131">
        <v>1825</v>
      </c>
      <c r="R54" s="131">
        <v>2656</v>
      </c>
      <c r="S54" s="131">
        <v>4126</v>
      </c>
      <c r="T54" s="775">
        <v>3379</v>
      </c>
      <c r="U54" s="131">
        <v>3748</v>
      </c>
      <c r="V54" s="131">
        <v>3434</v>
      </c>
      <c r="W54" s="131">
        <v>5282</v>
      </c>
      <c r="X54" s="775">
        <v>4247</v>
      </c>
      <c r="Y54" s="131">
        <v>3580</v>
      </c>
      <c r="Z54" s="131">
        <v>3758</v>
      </c>
      <c r="AA54" s="131">
        <v>4103</v>
      </c>
      <c r="AB54" s="775">
        <v>3335</v>
      </c>
      <c r="AC54" s="131">
        <v>2858</v>
      </c>
      <c r="AD54" s="131">
        <v>3116</v>
      </c>
      <c r="AE54" s="131">
        <v>4275</v>
      </c>
      <c r="AF54" s="775">
        <v>3218</v>
      </c>
      <c r="AG54" s="131">
        <v>3037</v>
      </c>
      <c r="AH54" s="131">
        <v>3304</v>
      </c>
      <c r="AI54" s="131">
        <v>4689</v>
      </c>
      <c r="AJ54" s="775">
        <v>3565</v>
      </c>
      <c r="AK54" s="775">
        <v>3503</v>
      </c>
      <c r="AL54" s="775">
        <v>3871</v>
      </c>
      <c r="AM54" s="775">
        <v>3958</v>
      </c>
    </row>
    <row r="55" spans="2:39" x14ac:dyDescent="0.2">
      <c r="B55" s="47" t="s">
        <v>154</v>
      </c>
      <c r="C55" s="47"/>
      <c r="D55" s="330">
        <v>6548</v>
      </c>
      <c r="E55" s="501">
        <f>SUMIFS($L55:$AG55,$L$3:$AG$3,E$4)</f>
        <v>6758</v>
      </c>
      <c r="F55" s="288">
        <f>SUMIFS($L55:$AG55,$L$3:$AG$3,F$4)</f>
        <v>8422</v>
      </c>
      <c r="G55" s="288">
        <f>SUMIFS($L55:$AG55,$L$3:$AG$3,G$4)</f>
        <v>11116</v>
      </c>
      <c r="H55" s="288">
        <f>SUMIFS($L55:$AG55,$L$3:$AG$3,H$4)</f>
        <v>14386</v>
      </c>
      <c r="I55" s="288">
        <f>SUMIFS($L55:$AG55,$L$3:$AG$3,I$4)</f>
        <v>15054</v>
      </c>
      <c r="J55" s="288">
        <f>SUMIFS($L55:$AZ55,$L$3:$AZ$3,J$4,$L$2:$AZ$2, 4)</f>
        <v>3509</v>
      </c>
      <c r="L55" s="335">
        <v>1663</v>
      </c>
      <c r="M55" s="335">
        <v>1645</v>
      </c>
      <c r="N55" s="335">
        <v>1688</v>
      </c>
      <c r="O55" s="335">
        <v>1762</v>
      </c>
      <c r="P55" s="824">
        <v>1790</v>
      </c>
      <c r="Q55" s="131">
        <v>2217</v>
      </c>
      <c r="R55" s="131">
        <v>2130</v>
      </c>
      <c r="S55" s="131">
        <v>2285</v>
      </c>
      <c r="T55" s="775">
        <v>2556</v>
      </c>
      <c r="U55" s="131">
        <v>2639</v>
      </c>
      <c r="V55" s="131">
        <v>2795</v>
      </c>
      <c r="W55" s="131">
        <v>3126</v>
      </c>
      <c r="X55" s="775">
        <v>3333</v>
      </c>
      <c r="Y55" s="131">
        <v>3447</v>
      </c>
      <c r="Z55" s="131">
        <v>3717</v>
      </c>
      <c r="AA55" s="131">
        <v>3889</v>
      </c>
      <c r="AB55" s="775">
        <v>3871</v>
      </c>
      <c r="AC55" s="131">
        <v>3732</v>
      </c>
      <c r="AD55" s="131">
        <v>3622</v>
      </c>
      <c r="AE55" s="131">
        <v>3829</v>
      </c>
      <c r="AF55" s="775">
        <v>3880</v>
      </c>
      <c r="AG55" s="131">
        <v>3604</v>
      </c>
      <c r="AH55" s="131">
        <v>3423</v>
      </c>
      <c r="AI55" s="131">
        <v>3509</v>
      </c>
      <c r="AJ55" s="775">
        <v>3551</v>
      </c>
      <c r="AK55" s="775">
        <v>3553</v>
      </c>
      <c r="AL55" s="775">
        <v>3766</v>
      </c>
      <c r="AM55" s="775">
        <v>4132</v>
      </c>
    </row>
    <row r="56" spans="2:39" x14ac:dyDescent="0.2">
      <c r="B56" s="47" t="s">
        <v>155</v>
      </c>
      <c r="C56" s="47"/>
      <c r="D56" s="330">
        <v>4085</v>
      </c>
      <c r="E56" s="501">
        <f>SUMIFS($L56:$AG56,$L$3:$AG$3,E$4,$L$2:$AG$2, 4)</f>
        <v>4183</v>
      </c>
      <c r="F56" s="288">
        <f>SUMIFS($L56:$AG56,$L$3:$AG$3,F$4,$L$2:$AG$2, 4)</f>
        <v>5608</v>
      </c>
      <c r="G56" s="288">
        <f>SUMIFS($L56:$AG56,$L$3:$AG$3,G$4,$L$2:$AG$2, 4)</f>
        <v>7577</v>
      </c>
      <c r="H56" s="288">
        <f>SUMIFS($L56:$AG56,$L$3:$AG$3,H$4,$L$2:$AG$2, 4)</f>
        <v>7669</v>
      </c>
      <c r="I56" s="288">
        <f>SUMIFS($L56:$AG56,$L$3:$AG$3,I$4,$L$2:$AG$2, 4)</f>
        <v>6498</v>
      </c>
      <c r="J56" s="288">
        <f>SUMIFS($L56:$AZ56,$L$3:$AZ$3,J$4,$L$2:$AZ$2, 4)</f>
        <v>6588</v>
      </c>
      <c r="L56" s="335">
        <v>4128</v>
      </c>
      <c r="M56" s="335">
        <v>4050</v>
      </c>
      <c r="N56" s="335">
        <v>3894</v>
      </c>
      <c r="O56" s="335">
        <v>4183</v>
      </c>
      <c r="P56" s="824">
        <v>3773</v>
      </c>
      <c r="Q56" s="131">
        <v>4593</v>
      </c>
      <c r="R56" s="131">
        <v>4481</v>
      </c>
      <c r="S56" s="131">
        <v>5608</v>
      </c>
      <c r="T56" s="775">
        <v>6062</v>
      </c>
      <c r="U56" s="131">
        <v>6348</v>
      </c>
      <c r="V56" s="131">
        <v>6586</v>
      </c>
      <c r="W56" s="131">
        <v>7577</v>
      </c>
      <c r="X56" s="775">
        <v>7898</v>
      </c>
      <c r="Y56" s="131">
        <v>7734</v>
      </c>
      <c r="Z56" s="131">
        <v>7562</v>
      </c>
      <c r="AA56" s="131">
        <v>7669</v>
      </c>
      <c r="AB56" s="775">
        <v>7262</v>
      </c>
      <c r="AC56" s="131">
        <v>6745</v>
      </c>
      <c r="AD56" s="131">
        <v>6349</v>
      </c>
      <c r="AE56" s="131">
        <v>6498</v>
      </c>
      <c r="AF56" s="775">
        <v>5967</v>
      </c>
      <c r="AG56" s="131">
        <v>5556</v>
      </c>
      <c r="AH56" s="131">
        <v>5347</v>
      </c>
      <c r="AI56" s="131">
        <v>6588</v>
      </c>
      <c r="AJ56" s="775">
        <v>6405</v>
      </c>
      <c r="AK56" s="775">
        <v>6201</v>
      </c>
      <c r="AL56" s="775">
        <v>6915</v>
      </c>
      <c r="AM56" s="775">
        <v>7173</v>
      </c>
    </row>
    <row r="57" spans="2:39" x14ac:dyDescent="0.2">
      <c r="B57" s="49"/>
      <c r="C57" s="49"/>
      <c r="D57" s="512"/>
      <c r="E57" s="512"/>
      <c r="F57" s="58"/>
      <c r="G57" s="58"/>
      <c r="H57" s="58"/>
      <c r="I57" s="58"/>
      <c r="J57" s="58"/>
      <c r="L57" s="512"/>
      <c r="M57" s="512"/>
      <c r="N57" s="512"/>
      <c r="O57" s="512"/>
      <c r="P57" s="825"/>
      <c r="Q57" s="58"/>
      <c r="R57" s="58"/>
      <c r="S57" s="58"/>
      <c r="T57" s="776"/>
      <c r="U57" s="58"/>
      <c r="V57" s="58"/>
      <c r="W57" s="58"/>
      <c r="X57" s="776"/>
      <c r="Y57" s="58"/>
      <c r="Z57" s="58"/>
      <c r="AA57" s="58"/>
      <c r="AB57" s="776"/>
      <c r="AC57" s="58"/>
      <c r="AD57" s="58"/>
      <c r="AE57" s="58"/>
      <c r="AF57" s="776"/>
      <c r="AG57" s="58"/>
      <c r="AH57" s="58"/>
      <c r="AI57" s="58"/>
      <c r="AJ57" s="776"/>
      <c r="AK57" s="776"/>
      <c r="AL57" s="776"/>
      <c r="AM57" s="776"/>
    </row>
    <row r="58" spans="2:39" x14ac:dyDescent="0.2">
      <c r="B58" s="56" t="s">
        <v>214</v>
      </c>
      <c r="C58" s="56"/>
      <c r="D58" s="513"/>
      <c r="E58" s="513"/>
      <c r="F58" s="59"/>
      <c r="G58" s="59"/>
      <c r="H58" s="59"/>
      <c r="I58" s="59"/>
      <c r="J58" s="59"/>
      <c r="L58" s="513"/>
      <c r="M58" s="513"/>
      <c r="N58" s="513"/>
      <c r="O58" s="513"/>
      <c r="P58" s="826"/>
      <c r="Q58" s="59"/>
      <c r="R58" s="59"/>
      <c r="S58" s="59"/>
      <c r="T58" s="777"/>
      <c r="U58" s="59"/>
      <c r="V58" s="59"/>
      <c r="W58" s="59"/>
      <c r="X58" s="777"/>
      <c r="Y58" s="59"/>
      <c r="Z58" s="59"/>
      <c r="AA58" s="59"/>
      <c r="AB58" s="777"/>
      <c r="AC58" s="59"/>
      <c r="AD58" s="59"/>
      <c r="AE58" s="59"/>
      <c r="AF58" s="777"/>
      <c r="AG58" s="59"/>
      <c r="AH58" s="59"/>
      <c r="AI58" s="59"/>
      <c r="AJ58" s="777"/>
      <c r="AK58" s="777"/>
      <c r="AL58" s="777"/>
      <c r="AM58" s="777"/>
    </row>
    <row r="59" spans="2:39" x14ac:dyDescent="0.2">
      <c r="B59" s="49" t="s">
        <v>212</v>
      </c>
      <c r="C59" s="49"/>
      <c r="D59" s="335">
        <v>692</v>
      </c>
      <c r="E59" s="514">
        <f>SUMIFS($L59:$AG59,$L$3:$AG$3,E$4)</f>
        <v>599</v>
      </c>
      <c r="F59" s="130">
        <f>SUMIFS($L59:$AG59,$L$3:$AG$3,F$4)</f>
        <v>4181</v>
      </c>
      <c r="G59" s="130">
        <f>SUMIFS($L59:$AG59,$L$3:$AG$3,G$4)</f>
        <v>3348</v>
      </c>
      <c r="H59" s="130">
        <f>SUMIFS($L59:$AG59,$L$3:$AG$3,H$4)</f>
        <v>1430</v>
      </c>
      <c r="I59" s="130">
        <f>SUMIFS($L59:$AG59,$L$3:$AG$3,I$4)</f>
        <v>312</v>
      </c>
      <c r="J59" s="130">
        <f t="shared" ref="J59:J60" si="68">SUMIFS($L59:$AZ59,$L$3:$AZ$3,J$4)</f>
        <v>93</v>
      </c>
      <c r="L59" s="335">
        <v>161</v>
      </c>
      <c r="M59" s="335">
        <v>143</v>
      </c>
      <c r="N59" s="335">
        <v>142</v>
      </c>
      <c r="O59" s="335">
        <v>153</v>
      </c>
      <c r="P59" s="824">
        <v>165</v>
      </c>
      <c r="Q59" s="131">
        <v>1421</v>
      </c>
      <c r="R59" s="131">
        <v>1350</v>
      </c>
      <c r="S59" s="131">
        <v>1245</v>
      </c>
      <c r="T59" s="775">
        <v>1041</v>
      </c>
      <c r="U59" s="131">
        <v>914</v>
      </c>
      <c r="V59" s="131">
        <v>770</v>
      </c>
      <c r="W59" s="131">
        <v>623</v>
      </c>
      <c r="X59" s="775">
        <v>487</v>
      </c>
      <c r="Y59" s="131">
        <v>386</v>
      </c>
      <c r="Z59" s="131">
        <v>311</v>
      </c>
      <c r="AA59" s="131">
        <v>246</v>
      </c>
      <c r="AB59" s="775">
        <v>147</v>
      </c>
      <c r="AC59" s="131">
        <v>69</v>
      </c>
      <c r="AD59" s="131">
        <v>53</v>
      </c>
      <c r="AE59" s="131">
        <v>43</v>
      </c>
      <c r="AF59" s="775">
        <v>35</v>
      </c>
      <c r="AG59" s="131">
        <v>26</v>
      </c>
      <c r="AH59" s="131">
        <v>21</v>
      </c>
      <c r="AI59" s="131">
        <v>11</v>
      </c>
      <c r="AJ59" s="775">
        <v>1</v>
      </c>
      <c r="AK59" s="775">
        <v>6</v>
      </c>
      <c r="AL59" s="775">
        <v>4</v>
      </c>
      <c r="AM59" s="1369">
        <v>0</v>
      </c>
    </row>
    <row r="60" spans="2:39" x14ac:dyDescent="0.2">
      <c r="B60" s="47" t="s">
        <v>213</v>
      </c>
      <c r="C60" s="47"/>
      <c r="D60" s="514"/>
      <c r="E60" s="514"/>
      <c r="F60" s="130">
        <f>SUMIFS($L60:$AG60,$L$3:$AG$3,F$4)</f>
        <v>3091</v>
      </c>
      <c r="G60" s="130">
        <f>SUMIFS($L60:$AG60,$L$3:$AG$3,G$4)</f>
        <v>3121</v>
      </c>
      <c r="H60" s="130">
        <f>SUMIFS($L60:$AG60,$L$3:$AG$3,H$4)</f>
        <v>1129</v>
      </c>
      <c r="I60" s="130">
        <f>SUMIFS($L60:$AG60,$L$3:$AG$3,I$4)</f>
        <v>170</v>
      </c>
      <c r="J60" s="130">
        <f t="shared" si="68"/>
        <v>54</v>
      </c>
      <c r="L60" s="335"/>
      <c r="M60" s="335"/>
      <c r="N60" s="335"/>
      <c r="O60" s="335"/>
      <c r="P60" s="824">
        <v>163</v>
      </c>
      <c r="Q60" s="131">
        <v>946</v>
      </c>
      <c r="R60" s="131">
        <v>1000</v>
      </c>
      <c r="S60" s="131">
        <v>982</v>
      </c>
      <c r="T60" s="775">
        <v>897</v>
      </c>
      <c r="U60" s="131">
        <v>842</v>
      </c>
      <c r="V60" s="131">
        <v>755</v>
      </c>
      <c r="W60" s="131">
        <v>627</v>
      </c>
      <c r="X60" s="775">
        <v>445</v>
      </c>
      <c r="Y60" s="131">
        <v>317</v>
      </c>
      <c r="Z60" s="131">
        <v>226</v>
      </c>
      <c r="AA60" s="131">
        <v>141</v>
      </c>
      <c r="AB60" s="775">
        <v>58</v>
      </c>
      <c r="AC60" s="131">
        <v>46</v>
      </c>
      <c r="AD60" s="131">
        <v>37</v>
      </c>
      <c r="AE60" s="131">
        <v>29</v>
      </c>
      <c r="AF60" s="775">
        <v>22</v>
      </c>
      <c r="AG60" s="131">
        <v>15</v>
      </c>
      <c r="AH60" s="131">
        <v>11</v>
      </c>
      <c r="AI60" s="131">
        <v>6</v>
      </c>
      <c r="AJ60" s="775">
        <v>4</v>
      </c>
      <c r="AK60" s="775">
        <v>1</v>
      </c>
      <c r="AL60" s="775"/>
      <c r="AM60" s="1369">
        <v>0</v>
      </c>
    </row>
    <row r="61" spans="2:39" x14ac:dyDescent="0.2">
      <c r="B61" s="50"/>
      <c r="C61" s="50"/>
      <c r="D61" s="506"/>
      <c r="E61" s="506"/>
      <c r="F61" s="290"/>
      <c r="G61" s="290"/>
      <c r="H61" s="290"/>
      <c r="I61" s="290"/>
      <c r="J61" s="290"/>
      <c r="L61" s="370"/>
      <c r="M61" s="370"/>
      <c r="N61" s="370"/>
      <c r="O61" s="370"/>
      <c r="P61" s="594"/>
      <c r="Q61" s="50"/>
      <c r="R61" s="50"/>
      <c r="S61" s="50"/>
      <c r="T61" s="765"/>
      <c r="U61" s="50"/>
      <c r="V61" s="50"/>
      <c r="W61" s="50"/>
      <c r="X61" s="765"/>
      <c r="Y61" s="50"/>
      <c r="Z61" s="50"/>
      <c r="AA61" s="50"/>
      <c r="AB61" s="765"/>
      <c r="AC61" s="50"/>
      <c r="AD61" s="50"/>
      <c r="AE61" s="50"/>
      <c r="AF61" s="765"/>
      <c r="AG61" s="50"/>
      <c r="AH61" s="50"/>
      <c r="AI61" s="50"/>
      <c r="AJ61" s="765"/>
      <c r="AK61" s="765"/>
      <c r="AL61" s="765"/>
      <c r="AM61" s="765"/>
    </row>
    <row r="62" spans="2:39" x14ac:dyDescent="0.2">
      <c r="B62" s="51" t="s">
        <v>216</v>
      </c>
      <c r="C62" s="51"/>
      <c r="D62" s="511"/>
      <c r="E62" s="511"/>
      <c r="F62" s="293"/>
      <c r="G62" s="293"/>
      <c r="H62" s="293"/>
      <c r="I62" s="293"/>
      <c r="J62" s="293"/>
      <c r="L62" s="531"/>
      <c r="M62" s="531"/>
      <c r="N62" s="531"/>
      <c r="O62" s="531"/>
      <c r="P62" s="823"/>
      <c r="Q62" s="57"/>
      <c r="R62" s="57"/>
      <c r="S62" s="57"/>
      <c r="T62" s="774"/>
      <c r="U62" s="57"/>
      <c r="V62" s="57"/>
      <c r="W62" s="57"/>
      <c r="X62" s="774"/>
      <c r="Y62" s="57"/>
      <c r="Z62" s="57"/>
      <c r="AA62" s="57"/>
      <c r="AB62" s="774"/>
      <c r="AC62" s="57"/>
      <c r="AD62" s="57"/>
      <c r="AE62" s="57"/>
      <c r="AF62" s="774"/>
      <c r="AG62" s="57"/>
      <c r="AH62" s="57"/>
      <c r="AI62" s="57"/>
      <c r="AJ62" s="774"/>
      <c r="AK62" s="774"/>
      <c r="AL62" s="774"/>
      <c r="AM62" s="774"/>
    </row>
    <row r="63" spans="2:39" x14ac:dyDescent="0.2">
      <c r="B63" s="47" t="s">
        <v>156</v>
      </c>
      <c r="C63" s="47"/>
      <c r="D63" s="336"/>
      <c r="E63" s="336"/>
      <c r="F63" s="133">
        <v>131.78</v>
      </c>
      <c r="G63" s="133">
        <v>134.03</v>
      </c>
      <c r="H63" s="133">
        <v>137.43</v>
      </c>
      <c r="I63" s="133">
        <v>139.27000000000001</v>
      </c>
      <c r="J63" s="133">
        <v>143.85</v>
      </c>
      <c r="L63" s="336">
        <v>129.77000000000001</v>
      </c>
      <c r="M63" s="336">
        <v>130.36000000000001</v>
      </c>
      <c r="N63" s="336">
        <v>131.15</v>
      </c>
      <c r="O63" s="336">
        <v>130.38999999999999</v>
      </c>
      <c r="P63" s="827">
        <v>129.47</v>
      </c>
      <c r="Q63" s="133">
        <v>130.57</v>
      </c>
      <c r="R63" s="133">
        <v>133.03</v>
      </c>
      <c r="S63" s="133">
        <v>133.08000000000001</v>
      </c>
      <c r="T63" s="778">
        <v>132.91</v>
      </c>
      <c r="U63" s="133">
        <v>133.55000000000001</v>
      </c>
      <c r="V63" s="133">
        <v>134.54</v>
      </c>
      <c r="W63" s="133">
        <v>135.04</v>
      </c>
      <c r="X63" s="778">
        <v>136.53</v>
      </c>
      <c r="Y63" s="133">
        <v>137.91999999999999</v>
      </c>
      <c r="Z63" s="133">
        <v>137.49</v>
      </c>
      <c r="AA63" s="133">
        <v>137.78</v>
      </c>
      <c r="AB63" s="778">
        <v>138.04</v>
      </c>
      <c r="AC63" s="133">
        <v>138.94</v>
      </c>
      <c r="AD63" s="133">
        <v>139.83000000000001</v>
      </c>
      <c r="AE63" s="133">
        <v>140.22999999999999</v>
      </c>
      <c r="AF63" s="778">
        <v>140.88</v>
      </c>
      <c r="AG63" s="133">
        <v>142.54</v>
      </c>
      <c r="AH63" s="133">
        <v>145.6</v>
      </c>
      <c r="AI63" s="133">
        <v>146.28</v>
      </c>
      <c r="AJ63" s="778">
        <v>146.22</v>
      </c>
      <c r="AK63" s="778">
        <v>149.87</v>
      </c>
      <c r="AL63" s="778">
        <v>149.44</v>
      </c>
      <c r="AM63" s="778">
        <v>152.91</v>
      </c>
    </row>
    <row r="64" spans="2:39" x14ac:dyDescent="0.2">
      <c r="B64" s="47" t="s">
        <v>157</v>
      </c>
      <c r="C64" s="47"/>
      <c r="D64" s="336">
        <v>46.4</v>
      </c>
      <c r="E64" s="336">
        <v>46.04</v>
      </c>
      <c r="F64" s="133">
        <v>47.74</v>
      </c>
      <c r="G64" s="133">
        <v>47.75</v>
      </c>
      <c r="H64" s="133">
        <v>48.78</v>
      </c>
      <c r="I64" s="133">
        <v>48.83</v>
      </c>
      <c r="J64" s="133">
        <v>49.35</v>
      </c>
      <c r="L64" s="336">
        <v>46.07</v>
      </c>
      <c r="M64" s="336">
        <v>46.1</v>
      </c>
      <c r="N64" s="336">
        <v>46.22</v>
      </c>
      <c r="O64" s="336">
        <v>45.79</v>
      </c>
      <c r="P64" s="827">
        <v>45.8</v>
      </c>
      <c r="Q64" s="133">
        <v>47.99</v>
      </c>
      <c r="R64" s="133">
        <v>48.55</v>
      </c>
      <c r="S64" s="133">
        <v>47.86</v>
      </c>
      <c r="T64" s="778">
        <v>47.3</v>
      </c>
      <c r="U64" s="133">
        <v>47.61</v>
      </c>
      <c r="V64" s="133">
        <v>48.06</v>
      </c>
      <c r="W64" s="133">
        <v>48.03</v>
      </c>
      <c r="X64" s="778">
        <v>48.41</v>
      </c>
      <c r="Y64" s="133">
        <v>48.96</v>
      </c>
      <c r="Z64" s="133">
        <v>48.89</v>
      </c>
      <c r="AA64" s="133">
        <v>48.86</v>
      </c>
      <c r="AB64" s="778">
        <v>48.63</v>
      </c>
      <c r="AC64" s="133">
        <v>48.84</v>
      </c>
      <c r="AD64" s="133">
        <v>48.93</v>
      </c>
      <c r="AE64" s="133">
        <v>48.91</v>
      </c>
      <c r="AF64" s="778">
        <v>48.79</v>
      </c>
      <c r="AG64" s="133">
        <v>49.07</v>
      </c>
      <c r="AH64" s="133">
        <v>49.79</v>
      </c>
      <c r="AI64" s="133">
        <v>49.73</v>
      </c>
      <c r="AJ64" s="778">
        <v>49.38</v>
      </c>
      <c r="AK64" s="778">
        <v>50.62</v>
      </c>
      <c r="AL64" s="778">
        <v>50.71</v>
      </c>
      <c r="AM64" s="778"/>
    </row>
    <row r="65" spans="2:39" x14ac:dyDescent="0.2">
      <c r="B65" s="47" t="s">
        <v>158</v>
      </c>
      <c r="C65" s="47"/>
      <c r="D65" s="336">
        <v>38.53</v>
      </c>
      <c r="E65" s="336">
        <v>37.950000000000003</v>
      </c>
      <c r="F65" s="133">
        <v>38.119999999999997</v>
      </c>
      <c r="G65" s="133">
        <v>38.79</v>
      </c>
      <c r="H65" s="133">
        <v>38.76</v>
      </c>
      <c r="I65" s="133">
        <v>37.92</v>
      </c>
      <c r="J65" s="133">
        <v>36.06</v>
      </c>
      <c r="L65" s="336">
        <v>37.65</v>
      </c>
      <c r="M65" s="336">
        <v>37.46</v>
      </c>
      <c r="N65" s="336">
        <v>38.159999999999997</v>
      </c>
      <c r="O65" s="336">
        <v>38.54</v>
      </c>
      <c r="P65" s="827">
        <v>38.11</v>
      </c>
      <c r="Q65" s="133">
        <v>37.799999999999997</v>
      </c>
      <c r="R65" s="133">
        <v>38.49</v>
      </c>
      <c r="S65" s="133">
        <v>38.08</v>
      </c>
      <c r="T65" s="778">
        <v>37.81</v>
      </c>
      <c r="U65" s="133">
        <v>38.53</v>
      </c>
      <c r="V65" s="133">
        <v>39.49</v>
      </c>
      <c r="W65" s="133">
        <v>39.32</v>
      </c>
      <c r="X65" s="778">
        <v>39.19</v>
      </c>
      <c r="Y65" s="133">
        <v>38.71</v>
      </c>
      <c r="Z65" s="133">
        <v>38.86</v>
      </c>
      <c r="AA65" s="133">
        <v>38.29</v>
      </c>
      <c r="AB65" s="778">
        <v>37.979999999999997</v>
      </c>
      <c r="AC65" s="133">
        <v>37.979999999999997</v>
      </c>
      <c r="AD65" s="133">
        <v>38.18</v>
      </c>
      <c r="AE65" s="133">
        <v>37.549999999999997</v>
      </c>
      <c r="AF65" s="778">
        <v>37.18</v>
      </c>
      <c r="AG65" s="133">
        <v>35.94</v>
      </c>
      <c r="AH65" s="133">
        <v>35.81</v>
      </c>
      <c r="AI65" s="133">
        <v>35.49</v>
      </c>
      <c r="AJ65" s="778">
        <v>34.67</v>
      </c>
      <c r="AK65" s="778">
        <v>34.630000000000003</v>
      </c>
      <c r="AL65" s="778">
        <v>33.93</v>
      </c>
      <c r="AM65" s="778"/>
    </row>
    <row r="66" spans="2:39" x14ac:dyDescent="0.2">
      <c r="B66" s="50"/>
      <c r="C66" s="50"/>
      <c r="D66" s="290"/>
      <c r="E66" s="290"/>
      <c r="F66" s="290"/>
      <c r="G66" s="290"/>
      <c r="H66" s="290"/>
      <c r="I66" s="290"/>
      <c r="J66" s="290"/>
      <c r="L66" s="370"/>
      <c r="M66" s="370"/>
      <c r="N66" s="370"/>
      <c r="O66" s="370"/>
      <c r="P66" s="594"/>
      <c r="Q66" s="50"/>
      <c r="R66" s="50"/>
      <c r="S66" s="50"/>
      <c r="T66" s="765"/>
      <c r="U66" s="50"/>
      <c r="V66" s="50"/>
      <c r="W66" s="50"/>
      <c r="X66" s="765"/>
      <c r="Y66" s="50"/>
      <c r="Z66" s="50"/>
      <c r="AA66" s="50"/>
      <c r="AB66" s="765"/>
      <c r="AC66" s="50"/>
      <c r="AD66" s="50"/>
      <c r="AE66" s="50"/>
      <c r="AF66" s="765"/>
      <c r="AG66" s="50"/>
      <c r="AH66" s="50"/>
      <c r="AI66" s="50"/>
      <c r="AJ66" s="765"/>
      <c r="AK66" s="765"/>
      <c r="AL66" s="765"/>
      <c r="AM66" s="765"/>
    </row>
    <row r="67" spans="2:39" x14ac:dyDescent="0.2">
      <c r="B67" s="140" t="s">
        <v>225</v>
      </c>
      <c r="C67" s="140"/>
      <c r="D67" s="294"/>
      <c r="E67" s="294"/>
      <c r="F67" s="294"/>
      <c r="G67" s="294"/>
      <c r="H67" s="294"/>
      <c r="I67" s="294"/>
      <c r="J67" s="294"/>
      <c r="L67" s="141"/>
      <c r="M67" s="141"/>
      <c r="N67" s="141"/>
      <c r="O67" s="141"/>
      <c r="P67" s="779"/>
      <c r="Q67" s="141"/>
      <c r="R67" s="141"/>
      <c r="S67" s="141"/>
      <c r="T67" s="779"/>
      <c r="U67" s="141"/>
      <c r="V67" s="141"/>
      <c r="W67" s="141"/>
      <c r="X67" s="779"/>
      <c r="Y67" s="141"/>
      <c r="Z67" s="141"/>
      <c r="AA67" s="141"/>
      <c r="AB67" s="779"/>
      <c r="AC67" s="141"/>
      <c r="AD67" s="141"/>
      <c r="AE67" s="141"/>
      <c r="AF67" s="779"/>
      <c r="AG67" s="141"/>
      <c r="AH67" s="141"/>
      <c r="AI67" s="141"/>
      <c r="AJ67" s="779"/>
      <c r="AK67" s="779"/>
      <c r="AL67" s="779"/>
      <c r="AM67" s="779"/>
    </row>
    <row r="68" spans="2:39" x14ac:dyDescent="0.2">
      <c r="B68" s="540" t="s">
        <v>639</v>
      </c>
      <c r="C68" s="540"/>
      <c r="D68" s="327">
        <v>20862</v>
      </c>
      <c r="E68" s="327">
        <v>22673</v>
      </c>
      <c r="F68" s="295">
        <f t="shared" ref="F68:I70" si="69">SUMIFS($L68:$AG68,$L$3:$AG$3,F$4)</f>
        <v>36306</v>
      </c>
      <c r="G68" s="295">
        <f t="shared" si="69"/>
        <v>42562</v>
      </c>
      <c r="H68" s="295">
        <f t="shared" si="69"/>
        <v>45919</v>
      </c>
      <c r="I68" s="295">
        <f t="shared" si="69"/>
        <v>48692</v>
      </c>
      <c r="J68" s="295">
        <f t="shared" ref="J68:J70" si="70">SUMIFS($L68:$AZ68,$L$3:$AZ$3,J$4)</f>
        <v>52340</v>
      </c>
      <c r="L68" s="533">
        <v>5493</v>
      </c>
      <c r="M68" s="533">
        <v>5613</v>
      </c>
      <c r="N68" s="533">
        <v>5746</v>
      </c>
      <c r="O68" s="533">
        <v>5821</v>
      </c>
      <c r="P68" s="782">
        <v>5887</v>
      </c>
      <c r="Q68" s="548">
        <f>'3FS'!P6</f>
        <v>9959</v>
      </c>
      <c r="R68" s="548">
        <f>'3FS'!Q6</f>
        <v>10209</v>
      </c>
      <c r="S68" s="548">
        <f>'3FS'!R6</f>
        <v>10251</v>
      </c>
      <c r="T68" s="780">
        <f>'3FS'!S6</f>
        <v>10303</v>
      </c>
      <c r="U68" s="548">
        <f>'3FS'!T6</f>
        <v>10492</v>
      </c>
      <c r="V68" s="548">
        <f>'3FS'!U6</f>
        <v>10804</v>
      </c>
      <c r="W68" s="548">
        <f>'3FS'!V6</f>
        <v>10963</v>
      </c>
      <c r="X68" s="780">
        <f>'3FS'!W6</f>
        <v>11201</v>
      </c>
      <c r="Y68" s="548">
        <f>'3FS'!X6</f>
        <v>11445</v>
      </c>
      <c r="Z68" s="548">
        <f>'3FS'!Y6</f>
        <v>11548</v>
      </c>
      <c r="AA68" s="548">
        <f>'3FS'!Z6</f>
        <v>11725</v>
      </c>
      <c r="AB68" s="780">
        <f>'3FS'!AA6</f>
        <v>11862</v>
      </c>
      <c r="AC68" s="548">
        <f>'3FS'!AB6</f>
        <v>12070</v>
      </c>
      <c r="AD68" s="548">
        <f>'3FS'!AC6</f>
        <v>12288</v>
      </c>
      <c r="AE68" s="548">
        <f>'3FS'!AD6</f>
        <v>12472</v>
      </c>
      <c r="AF68" s="780">
        <f>'3FS'!AE6</f>
        <v>12631</v>
      </c>
      <c r="AG68" s="548">
        <f>'3FS'!AF6</f>
        <v>12899</v>
      </c>
      <c r="AH68" s="548">
        <f>'3FS'!AG6</f>
        <v>13308</v>
      </c>
      <c r="AI68" s="548">
        <f>'3FS'!AH6</f>
        <v>13502</v>
      </c>
      <c r="AJ68" s="780">
        <f>'3FS'!AI6</f>
        <v>13594</v>
      </c>
      <c r="AK68" s="780">
        <f>'3FS'!AJ6</f>
        <v>14078</v>
      </c>
      <c r="AL68" s="780">
        <f>'3FS'!AK6</f>
        <v>14882</v>
      </c>
      <c r="AM68" s="780">
        <f>'3FS'!AL6</f>
        <v>15853</v>
      </c>
    </row>
    <row r="69" spans="2:39" x14ac:dyDescent="0.2">
      <c r="B69" s="541" t="s">
        <v>640</v>
      </c>
      <c r="C69" s="540"/>
      <c r="D69" s="516">
        <f>+D68-D70</f>
        <v>19745</v>
      </c>
      <c r="E69" s="516">
        <f>+E68-E70</f>
        <v>21329</v>
      </c>
      <c r="F69" s="295">
        <f t="shared" si="69"/>
        <v>33939</v>
      </c>
      <c r="G69" s="295">
        <f t="shared" si="69"/>
        <v>39154</v>
      </c>
      <c r="H69" s="295">
        <f t="shared" si="69"/>
        <v>0</v>
      </c>
      <c r="I69" s="295">
        <f t="shared" si="69"/>
        <v>0</v>
      </c>
      <c r="J69" s="295">
        <f t="shared" si="70"/>
        <v>0</v>
      </c>
      <c r="L69" s="515">
        <f>+L68-L70</f>
        <v>5183</v>
      </c>
      <c r="M69" s="515">
        <f t="shared" ref="M69:O69" si="71">+M68-M70</f>
        <v>5287</v>
      </c>
      <c r="N69" s="515">
        <f t="shared" si="71"/>
        <v>5400</v>
      </c>
      <c r="O69" s="515">
        <f t="shared" si="71"/>
        <v>5459</v>
      </c>
      <c r="P69" s="781">
        <f>+P68-P70</f>
        <v>5577</v>
      </c>
      <c r="Q69" s="547">
        <f t="shared" ref="Q69:T69" si="72">+Q68-Q70</f>
        <v>9341</v>
      </c>
      <c r="R69" s="547">
        <f t="shared" si="72"/>
        <v>9532</v>
      </c>
      <c r="S69" s="547">
        <f t="shared" si="72"/>
        <v>9489</v>
      </c>
      <c r="T69" s="781">
        <f t="shared" si="72"/>
        <v>9483</v>
      </c>
      <c r="U69" s="547">
        <f t="shared" ref="U69" si="73">+U68-U70</f>
        <v>9667</v>
      </c>
      <c r="V69" s="547">
        <f t="shared" ref="V69" si="74">+V68-V70</f>
        <v>9952</v>
      </c>
      <c r="W69" s="547">
        <f t="shared" ref="W69" si="75">+W68-W70</f>
        <v>10052</v>
      </c>
      <c r="X69" s="781"/>
      <c r="Y69" s="547"/>
      <c r="Z69" s="547"/>
      <c r="AA69" s="547"/>
      <c r="AB69" s="781"/>
      <c r="AC69" s="547"/>
      <c r="AD69" s="547"/>
      <c r="AE69" s="547"/>
      <c r="AF69" s="781"/>
      <c r="AG69" s="547"/>
      <c r="AH69" s="547"/>
      <c r="AI69" s="547"/>
      <c r="AJ69" s="781"/>
      <c r="AK69" s="781"/>
      <c r="AL69" s="781"/>
      <c r="AM69" s="781"/>
    </row>
    <row r="70" spans="2:39" x14ac:dyDescent="0.2">
      <c r="B70" s="541" t="s">
        <v>641</v>
      </c>
      <c r="C70" s="540"/>
      <c r="D70" s="327">
        <v>1117</v>
      </c>
      <c r="E70" s="327">
        <v>1344</v>
      </c>
      <c r="F70" s="295">
        <f t="shared" si="69"/>
        <v>2367</v>
      </c>
      <c r="G70" s="295">
        <f t="shared" si="69"/>
        <v>3408</v>
      </c>
      <c r="H70" s="295">
        <f t="shared" si="69"/>
        <v>0</v>
      </c>
      <c r="I70" s="295">
        <f t="shared" si="69"/>
        <v>0</v>
      </c>
      <c r="J70" s="295">
        <f t="shared" si="70"/>
        <v>0</v>
      </c>
      <c r="L70" s="533">
        <v>310</v>
      </c>
      <c r="M70" s="533">
        <v>326</v>
      </c>
      <c r="N70" s="533">
        <v>346</v>
      </c>
      <c r="O70" s="533">
        <v>362</v>
      </c>
      <c r="P70" s="782">
        <v>310</v>
      </c>
      <c r="Q70" s="546">
        <v>618</v>
      </c>
      <c r="R70" s="546">
        <v>677</v>
      </c>
      <c r="S70" s="546">
        <v>762</v>
      </c>
      <c r="T70" s="782">
        <v>820</v>
      </c>
      <c r="U70" s="546">
        <v>825</v>
      </c>
      <c r="V70" s="546">
        <v>852</v>
      </c>
      <c r="W70" s="546">
        <v>911</v>
      </c>
      <c r="X70" s="782"/>
      <c r="Y70" s="546"/>
      <c r="Z70" s="546"/>
      <c r="AA70" s="546"/>
      <c r="AB70" s="782"/>
      <c r="AC70" s="546"/>
      <c r="AD70" s="546"/>
      <c r="AE70" s="546"/>
      <c r="AF70" s="782"/>
      <c r="AG70" s="546"/>
      <c r="AH70" s="546"/>
      <c r="AI70" s="546"/>
      <c r="AJ70" s="782"/>
      <c r="AK70" s="782"/>
      <c r="AL70" s="782"/>
      <c r="AM70" s="782"/>
    </row>
    <row r="71" spans="2:39" x14ac:dyDescent="0.2">
      <c r="B71" s="537"/>
      <c r="C71" s="537"/>
      <c r="D71" s="543"/>
      <c r="E71" s="543"/>
      <c r="F71" s="539"/>
      <c r="G71" s="539"/>
      <c r="H71" s="539"/>
      <c r="I71" s="539"/>
      <c r="J71" s="539"/>
      <c r="L71" s="542"/>
      <c r="M71" s="542"/>
      <c r="N71" s="542"/>
      <c r="O71" s="542"/>
      <c r="P71" s="783"/>
      <c r="Q71" s="538"/>
      <c r="R71" s="538"/>
      <c r="S71" s="538"/>
      <c r="T71" s="783"/>
      <c r="U71" s="538"/>
      <c r="V71" s="538"/>
      <c r="W71" s="538"/>
      <c r="X71" s="783"/>
      <c r="Y71" s="538"/>
      <c r="Z71" s="538"/>
      <c r="AA71" s="538"/>
      <c r="AB71" s="783"/>
      <c r="AC71" s="538"/>
      <c r="AD71" s="538"/>
      <c r="AE71" s="538"/>
      <c r="AF71" s="783"/>
      <c r="AG71" s="538"/>
      <c r="AH71" s="538"/>
      <c r="AI71" s="538"/>
      <c r="AJ71" s="783"/>
      <c r="AK71" s="783"/>
      <c r="AL71" s="783"/>
      <c r="AM71" s="783"/>
    </row>
    <row r="72" spans="2:39" x14ac:dyDescent="0.2">
      <c r="B72" s="39" t="s">
        <v>159</v>
      </c>
      <c r="C72" s="39"/>
      <c r="D72" s="515">
        <v>31992</v>
      </c>
      <c r="E72" s="515">
        <f>SUMIFS($L72:$AG72,$L$3:$AG$3,E$4)</f>
        <v>33994</v>
      </c>
      <c r="F72" s="111">
        <f>'3FS'!E11</f>
        <v>50395</v>
      </c>
      <c r="G72" s="111">
        <f>'3FS'!F11</f>
        <v>58369</v>
      </c>
      <c r="H72" s="111">
        <f>'3FS'!G11</f>
        <v>61323</v>
      </c>
      <c r="I72" s="111">
        <f>'3FS'!H11</f>
        <v>63241</v>
      </c>
      <c r="J72" s="111">
        <f>'3FS'!I11</f>
        <v>66178</v>
      </c>
      <c r="L72" s="533">
        <v>8277</v>
      </c>
      <c r="M72" s="533">
        <v>8426</v>
      </c>
      <c r="N72" s="533">
        <v>8583</v>
      </c>
      <c r="O72" s="533">
        <v>8708</v>
      </c>
      <c r="P72" s="784">
        <f>'3FS'!O11</f>
        <v>13197</v>
      </c>
      <c r="Q72" s="111">
        <f>'3FS'!P11</f>
        <v>13230</v>
      </c>
      <c r="R72" s="111">
        <f>'3FS'!Q11</f>
        <v>14139</v>
      </c>
      <c r="S72" s="111">
        <f>'3FS'!R11</f>
        <v>14180</v>
      </c>
      <c r="T72" s="784">
        <f>'3FS'!S11</f>
        <v>14192</v>
      </c>
      <c r="U72" s="111">
        <f>'3FS'!T11</f>
        <v>14492</v>
      </c>
      <c r="V72" s="111">
        <f>'3FS'!U11</f>
        <v>14722</v>
      </c>
      <c r="W72" s="111">
        <f>'3FS'!V11</f>
        <v>14963</v>
      </c>
      <c r="X72" s="784">
        <f>'3FS'!W11</f>
        <v>15128</v>
      </c>
      <c r="Y72" s="111">
        <f>'3FS'!X11</f>
        <v>15316</v>
      </c>
      <c r="Z72" s="111">
        <f>'3FS'!Y11</f>
        <v>15361</v>
      </c>
      <c r="AA72" s="111">
        <f>'3FS'!Z11</f>
        <v>15518</v>
      </c>
      <c r="AB72" s="784">
        <f>'3FS'!AA11</f>
        <v>15546</v>
      </c>
      <c r="AC72" s="111">
        <f>'3FS'!AB11</f>
        <v>15738</v>
      </c>
      <c r="AD72" s="111">
        <f>'3FS'!AC11</f>
        <v>15914</v>
      </c>
      <c r="AE72" s="111">
        <f>'3FS'!AD11</f>
        <v>16043</v>
      </c>
      <c r="AF72" s="784">
        <f>'3FS'!AE11</f>
        <v>16096</v>
      </c>
      <c r="AG72" s="111">
        <f>'3FS'!AF11</f>
        <v>16429</v>
      </c>
      <c r="AH72" s="111">
        <f>'3FS'!AG11</f>
        <v>16725</v>
      </c>
      <c r="AI72" s="111">
        <f>'3FS'!AH11</f>
        <v>16928</v>
      </c>
      <c r="AJ72" s="784">
        <f>'3FS'!AI11</f>
        <v>16925</v>
      </c>
      <c r="AK72" s="784">
        <f>'3FS'!AJ11</f>
        <v>17438</v>
      </c>
      <c r="AL72" s="784">
        <f>'3FS'!AK11</f>
        <v>18241</v>
      </c>
      <c r="AM72" s="784">
        <f>'3FS'!AL11</f>
        <v>18983</v>
      </c>
    </row>
    <row r="73" spans="2:39" x14ac:dyDescent="0.2">
      <c r="B73" s="39" t="s">
        <v>15</v>
      </c>
      <c r="C73" s="39"/>
      <c r="D73" s="516">
        <f>SUMIFS($L73:$AG73,$L$3:$AG$3,D$4)</f>
        <v>0</v>
      </c>
      <c r="E73" s="516">
        <f>SUMIFS($L73:$AG73,$L$3:$AG$3,E$4)</f>
        <v>11004</v>
      </c>
      <c r="F73" s="326">
        <f>'3FS'!E12</f>
        <v>17312</v>
      </c>
      <c r="G73" s="326">
        <f>'3FS'!F12</f>
        <v>20727</v>
      </c>
      <c r="H73" s="326">
        <f>'3FS'!G12</f>
        <v>17130</v>
      </c>
      <c r="I73" s="326">
        <f>'3FS'!H12</f>
        <v>14138</v>
      </c>
      <c r="J73" s="326">
        <f>'3FS'!I12</f>
        <v>14263</v>
      </c>
      <c r="L73" s="516">
        <f>+L76-L72</f>
        <v>2803</v>
      </c>
      <c r="M73" s="516">
        <f t="shared" ref="M73:O73" si="76">+M76-M72</f>
        <v>2553</v>
      </c>
      <c r="N73" s="516">
        <f t="shared" si="76"/>
        <v>2478</v>
      </c>
      <c r="O73" s="516">
        <f t="shared" si="76"/>
        <v>3170</v>
      </c>
      <c r="P73" s="784">
        <f>'3FS'!O12</f>
        <v>3876</v>
      </c>
      <c r="Q73" s="326">
        <f>'3FS'!P12</f>
        <v>4269</v>
      </c>
      <c r="R73" s="326">
        <f>'3FS'!Q12</f>
        <v>4953</v>
      </c>
      <c r="S73" s="326">
        <f>'3FS'!R12</f>
        <v>5973</v>
      </c>
      <c r="T73" s="784">
        <f>'3FS'!S12</f>
        <v>5346</v>
      </c>
      <c r="U73" s="326">
        <f>'3FS'!T12</f>
        <v>5215</v>
      </c>
      <c r="V73" s="326">
        <f>'3FS'!U12</f>
        <v>4660</v>
      </c>
      <c r="W73" s="326">
        <f>'3FS'!V12</f>
        <v>5506</v>
      </c>
      <c r="X73" s="784">
        <f>'3FS'!W12</f>
        <v>4694</v>
      </c>
      <c r="Y73" s="326">
        <f>'3FS'!X12</f>
        <v>4130</v>
      </c>
      <c r="Z73" s="326">
        <f>'3FS'!Y12</f>
        <v>3855</v>
      </c>
      <c r="AA73" s="326">
        <f>'3FS'!Z12</f>
        <v>4451</v>
      </c>
      <c r="AB73" s="784">
        <f>'3FS'!AA12</f>
        <v>3719</v>
      </c>
      <c r="AC73" s="326">
        <f>'3FS'!AB12</f>
        <v>3169</v>
      </c>
      <c r="AD73" s="326">
        <f>'3FS'!AC12</f>
        <v>3076</v>
      </c>
      <c r="AE73" s="326">
        <f>'3FS'!AD12</f>
        <v>4174</v>
      </c>
      <c r="AF73" s="784">
        <f>'3FS'!AE12</f>
        <v>3251</v>
      </c>
      <c r="AG73" s="326">
        <f>'3FS'!AF12</f>
        <v>3106</v>
      </c>
      <c r="AH73" s="326">
        <f>'3FS'!AG12</f>
        <v>3207</v>
      </c>
      <c r="AI73" s="326">
        <f>'3FS'!AH12</f>
        <v>4699</v>
      </c>
      <c r="AJ73" s="784">
        <f>'3FS'!AI12</f>
        <v>3704</v>
      </c>
      <c r="AK73" s="784">
        <f>'3FS'!AJ12</f>
        <v>3439</v>
      </c>
      <c r="AL73" s="784">
        <f>'3FS'!AK12</f>
        <v>3465</v>
      </c>
      <c r="AM73" s="784">
        <f>'3FS'!AL12</f>
        <v>3524</v>
      </c>
    </row>
    <row r="74" spans="2:39" x14ac:dyDescent="0.2">
      <c r="B74" s="40" t="s">
        <v>132</v>
      </c>
      <c r="C74" s="40"/>
      <c r="D74" s="516">
        <f>SUMIFS($L74:$AG74,$L$3:$AG$3,D$4)</f>
        <v>0</v>
      </c>
      <c r="E74" s="516">
        <f>SUMIFS($L74:$AG74,$L$3:$AG$3,E$4)</f>
        <v>0</v>
      </c>
      <c r="F74" s="295">
        <f t="shared" ref="F74:I75" si="77">SUMIFS($L74:$AG74,$L$3:$AG$3,F$4)</f>
        <v>5418</v>
      </c>
      <c r="G74" s="295">
        <f t="shared" si="77"/>
        <v>3348</v>
      </c>
      <c r="H74" s="295">
        <f t="shared" si="77"/>
        <v>1430</v>
      </c>
      <c r="I74" s="295">
        <f t="shared" si="77"/>
        <v>312</v>
      </c>
      <c r="J74" s="295">
        <f t="shared" ref="J74:J75" si="78">SUMIFS($L74:$AZ74,$L$3:$AZ$3,J$4)</f>
        <v>93</v>
      </c>
      <c r="L74" s="327"/>
      <c r="M74" s="327"/>
      <c r="N74" s="327"/>
      <c r="O74" s="327"/>
      <c r="P74" s="782">
        <v>1402</v>
      </c>
      <c r="Q74" s="112">
        <v>1421</v>
      </c>
      <c r="R74" s="112">
        <v>1350</v>
      </c>
      <c r="S74" s="112">
        <v>1245</v>
      </c>
      <c r="T74" s="785">
        <v>1041</v>
      </c>
      <c r="U74" s="112">
        <v>914</v>
      </c>
      <c r="V74" s="112">
        <v>770</v>
      </c>
      <c r="W74" s="112">
        <v>623</v>
      </c>
      <c r="X74" s="785">
        <v>487</v>
      </c>
      <c r="Y74" s="112">
        <v>386</v>
      </c>
      <c r="Z74" s="112">
        <v>311</v>
      </c>
      <c r="AA74" s="112">
        <v>246</v>
      </c>
      <c r="AB74" s="785">
        <v>147</v>
      </c>
      <c r="AC74" s="112">
        <v>69</v>
      </c>
      <c r="AD74" s="112">
        <v>53</v>
      </c>
      <c r="AE74" s="112">
        <v>43</v>
      </c>
      <c r="AF74" s="785">
        <v>35</v>
      </c>
      <c r="AG74" s="112">
        <v>26</v>
      </c>
      <c r="AH74" s="112">
        <v>21</v>
      </c>
      <c r="AI74" s="112">
        <v>11</v>
      </c>
      <c r="AJ74" s="785">
        <v>1</v>
      </c>
      <c r="AK74" s="785">
        <v>6</v>
      </c>
      <c r="AL74" s="785">
        <v>4</v>
      </c>
      <c r="AM74" s="785">
        <v>0</v>
      </c>
    </row>
    <row r="75" spans="2:39" x14ac:dyDescent="0.2">
      <c r="B75" s="42" t="s">
        <v>160</v>
      </c>
      <c r="C75" s="39"/>
      <c r="D75" s="328">
        <f>SUMIFS($L75:$AG75,$L$3:$AG$3,D$4)</f>
        <v>0</v>
      </c>
      <c r="E75" s="328">
        <f>SUMIFS($L75:$AG75,$L$3:$AG$3,E$4)</f>
        <v>0</v>
      </c>
      <c r="F75" s="298">
        <f t="shared" si="77"/>
        <v>13653</v>
      </c>
      <c r="G75" s="298">
        <f t="shared" si="77"/>
        <v>17379</v>
      </c>
      <c r="H75" s="298">
        <f t="shared" si="77"/>
        <v>15700</v>
      </c>
      <c r="I75" s="298">
        <f t="shared" si="77"/>
        <v>13826</v>
      </c>
      <c r="J75" s="298">
        <f t="shared" si="78"/>
        <v>14170</v>
      </c>
      <c r="L75" s="328"/>
      <c r="M75" s="328"/>
      <c r="N75" s="328"/>
      <c r="O75" s="328"/>
      <c r="P75" s="786">
        <f t="shared" ref="P75:W75" si="79">+P73-P74</f>
        <v>2474</v>
      </c>
      <c r="Q75" s="298">
        <f t="shared" si="79"/>
        <v>2848</v>
      </c>
      <c r="R75" s="298">
        <f t="shared" si="79"/>
        <v>3603</v>
      </c>
      <c r="S75" s="298">
        <f t="shared" si="79"/>
        <v>4728</v>
      </c>
      <c r="T75" s="786">
        <f t="shared" si="79"/>
        <v>4305</v>
      </c>
      <c r="U75" s="298">
        <f t="shared" si="79"/>
        <v>4301</v>
      </c>
      <c r="V75" s="298">
        <f t="shared" si="79"/>
        <v>3890</v>
      </c>
      <c r="W75" s="298">
        <f t="shared" si="79"/>
        <v>4883</v>
      </c>
      <c r="X75" s="786">
        <f t="shared" ref="X75:AG75" si="80">+X73-X74</f>
        <v>4207</v>
      </c>
      <c r="Y75" s="298">
        <f t="shared" si="80"/>
        <v>3744</v>
      </c>
      <c r="Z75" s="298">
        <f t="shared" si="80"/>
        <v>3544</v>
      </c>
      <c r="AA75" s="298">
        <f t="shared" si="80"/>
        <v>4205</v>
      </c>
      <c r="AB75" s="786">
        <f t="shared" si="80"/>
        <v>3572</v>
      </c>
      <c r="AC75" s="298">
        <f t="shared" si="80"/>
        <v>3100</v>
      </c>
      <c r="AD75" s="298">
        <f t="shared" si="80"/>
        <v>3023</v>
      </c>
      <c r="AE75" s="298">
        <f t="shared" si="80"/>
        <v>4131</v>
      </c>
      <c r="AF75" s="786">
        <f t="shared" si="80"/>
        <v>3216</v>
      </c>
      <c r="AG75" s="298">
        <f t="shared" si="80"/>
        <v>3080</v>
      </c>
      <c r="AH75" s="298">
        <f t="shared" ref="AH75:AJ75" si="81">+AH73-AH74</f>
        <v>3186</v>
      </c>
      <c r="AI75" s="298">
        <f t="shared" si="81"/>
        <v>4688</v>
      </c>
      <c r="AJ75" s="786">
        <f t="shared" si="81"/>
        <v>3703</v>
      </c>
      <c r="AK75" s="786">
        <v>3433</v>
      </c>
      <c r="AL75" s="786">
        <v>3461</v>
      </c>
      <c r="AM75" s="786">
        <f>+AM73-AM74</f>
        <v>3524</v>
      </c>
    </row>
    <row r="76" spans="2:39" x14ac:dyDescent="0.2">
      <c r="B76" s="324" t="s">
        <v>17</v>
      </c>
      <c r="C76" s="324"/>
      <c r="D76" s="549">
        <f>SUMIFS($L76:$AG76,$L$3:$AG$3,D$4)</f>
        <v>0</v>
      </c>
      <c r="E76" s="549">
        <f>SUMIFS($L76:$AG76,$L$3:$AG$3,E$4)</f>
        <v>44998</v>
      </c>
      <c r="F76" s="325">
        <f>+'3FS'!E14</f>
        <v>68397</v>
      </c>
      <c r="G76" s="325">
        <f>+'3FS'!F14</f>
        <v>80118</v>
      </c>
      <c r="H76" s="325">
        <f>+'3FS'!G14</f>
        <v>79571</v>
      </c>
      <c r="I76" s="325">
        <f>+'3FS'!H14</f>
        <v>78558</v>
      </c>
      <c r="J76" s="325">
        <f>+'3FS'!I14</f>
        <v>81400</v>
      </c>
      <c r="L76" s="534">
        <v>11080</v>
      </c>
      <c r="M76" s="534">
        <v>10979</v>
      </c>
      <c r="N76" s="534">
        <v>11061</v>
      </c>
      <c r="O76" s="534">
        <v>11878</v>
      </c>
      <c r="P76" s="787">
        <f>+'3FS'!O14</f>
        <v>17408</v>
      </c>
      <c r="Q76" s="325">
        <f>+'3FS'!P14</f>
        <v>17671</v>
      </c>
      <c r="R76" s="325">
        <f>+'3FS'!Q14</f>
        <v>19272</v>
      </c>
      <c r="S76" s="325">
        <f>+'3FS'!R14</f>
        <v>20341</v>
      </c>
      <c r="T76" s="787">
        <f>+'3FS'!S14</f>
        <v>19759</v>
      </c>
      <c r="U76" s="325">
        <f>+'3FS'!T14</f>
        <v>19950</v>
      </c>
      <c r="V76" s="325">
        <f>+'3FS'!U14</f>
        <v>19624</v>
      </c>
      <c r="W76" s="325">
        <f>+'3FS'!V14</f>
        <v>20785</v>
      </c>
      <c r="X76" s="787">
        <f>+'3FS'!W14</f>
        <v>20120</v>
      </c>
      <c r="Y76" s="325">
        <f>+'3FS'!X14</f>
        <v>19701</v>
      </c>
      <c r="Z76" s="325">
        <f>+'3FS'!Y14</f>
        <v>19477</v>
      </c>
      <c r="AA76" s="325">
        <f>+'3FS'!Z14</f>
        <v>20273</v>
      </c>
      <c r="AB76" s="787">
        <f>+'3FS'!AA14</f>
        <v>19632</v>
      </c>
      <c r="AC76" s="325">
        <f>+'3FS'!AB14</f>
        <v>19196</v>
      </c>
      <c r="AD76" s="325">
        <f>+'3FS'!AC14</f>
        <v>19252</v>
      </c>
      <c r="AE76" s="325">
        <f>+'3FS'!AD14</f>
        <v>20478</v>
      </c>
      <c r="AF76" s="787">
        <f>+'3FS'!AE14</f>
        <v>19594</v>
      </c>
      <c r="AG76" s="325">
        <f>+'3FS'!AF14</f>
        <v>19772</v>
      </c>
      <c r="AH76" s="325">
        <f>+'3FS'!AG14</f>
        <v>20162</v>
      </c>
      <c r="AI76" s="325">
        <f>+'3FS'!AH14</f>
        <v>21872</v>
      </c>
      <c r="AJ76" s="787">
        <f>+'3FS'!AI14</f>
        <v>20886</v>
      </c>
      <c r="AK76" s="787">
        <f>+'3FS'!AJ14</f>
        <v>21132</v>
      </c>
      <c r="AL76" s="787">
        <f>+'3FS'!AK14</f>
        <v>21957</v>
      </c>
      <c r="AM76" s="787">
        <f>+'3FS'!AL14</f>
        <v>22791</v>
      </c>
    </row>
    <row r="77" spans="2:39" x14ac:dyDescent="0.2">
      <c r="B77" s="38"/>
      <c r="C77" s="38"/>
      <c r="D77" s="517"/>
      <c r="E77" s="517"/>
      <c r="F77" s="296"/>
      <c r="G77" s="296"/>
      <c r="H77" s="296"/>
      <c r="I77" s="296"/>
      <c r="J77" s="296"/>
      <c r="L77" s="526"/>
      <c r="M77" s="526"/>
      <c r="N77" s="526"/>
      <c r="O77" s="526"/>
      <c r="P77" s="828"/>
      <c r="Q77" s="107"/>
      <c r="R77" s="107"/>
      <c r="S77" s="107"/>
      <c r="T77" s="788"/>
      <c r="U77" s="107"/>
      <c r="V77" s="107"/>
      <c r="W77" s="107"/>
      <c r="X77" s="788"/>
      <c r="Y77" s="107"/>
      <c r="Z77" s="107"/>
      <c r="AA77" s="107"/>
      <c r="AB77" s="788"/>
      <c r="AC77" s="107"/>
      <c r="AD77" s="107"/>
      <c r="AE77" s="107"/>
      <c r="AF77" s="788"/>
      <c r="AG77" s="107"/>
      <c r="AH77" s="107"/>
      <c r="AI77" s="107"/>
      <c r="AJ77" s="788"/>
      <c r="AK77" s="788"/>
      <c r="AL77" s="788"/>
      <c r="AM77" s="788"/>
    </row>
    <row r="78" spans="2:39" x14ac:dyDescent="0.2">
      <c r="B78" s="41" t="s">
        <v>184</v>
      </c>
      <c r="C78" s="41"/>
      <c r="D78" s="515">
        <f t="shared" ref="D78:E80" si="82">SUMIFS($L78:$AG78,$L$3:$AG$3,D$4)</f>
        <v>0</v>
      </c>
      <c r="E78" s="515">
        <f t="shared" si="82"/>
        <v>6622</v>
      </c>
      <c r="F78" s="111">
        <f>'3FS'!E16</f>
        <v>11878</v>
      </c>
      <c r="G78" s="111">
        <f>'3FS'!F16</f>
        <v>13934</v>
      </c>
      <c r="H78" s="111">
        <f>'3FS'!G16</f>
        <v>14666</v>
      </c>
      <c r="I78" s="111">
        <f>'3FS'!H16</f>
        <v>11655</v>
      </c>
      <c r="J78" s="111">
        <f>'3FS'!I16</f>
        <v>10771</v>
      </c>
      <c r="L78" s="533">
        <v>1546</v>
      </c>
      <c r="M78" s="533">
        <v>1649</v>
      </c>
      <c r="N78" s="533">
        <v>1733</v>
      </c>
      <c r="O78" s="533">
        <v>1694</v>
      </c>
      <c r="P78" s="784">
        <f>'3FS'!O16</f>
        <v>3200</v>
      </c>
      <c r="Q78" s="111">
        <f>'3FS'!P16</f>
        <v>3098</v>
      </c>
      <c r="R78" s="111">
        <f>'3FS'!Q16</f>
        <v>3314</v>
      </c>
      <c r="S78" s="111">
        <f>'3FS'!R16</f>
        <v>3827</v>
      </c>
      <c r="T78" s="784">
        <f>'3FS'!S16</f>
        <v>3384</v>
      </c>
      <c r="U78" s="111">
        <f>'3FS'!T16</f>
        <v>3491</v>
      </c>
      <c r="V78" s="111">
        <f>'3FS'!U16</f>
        <v>3538</v>
      </c>
      <c r="W78" s="111">
        <f>'3FS'!V16</f>
        <v>3521</v>
      </c>
      <c r="X78" s="784">
        <f>'3FS'!W16</f>
        <v>3727</v>
      </c>
      <c r="Y78" s="111">
        <f>'3FS'!X16</f>
        <v>4060</v>
      </c>
      <c r="Z78" s="111">
        <f>'3FS'!Y16</f>
        <v>3712</v>
      </c>
      <c r="AA78" s="111">
        <f>'3FS'!Z16</f>
        <v>3167</v>
      </c>
      <c r="AB78" s="784">
        <f>'3FS'!AA16</f>
        <v>3061</v>
      </c>
      <c r="AC78" s="111">
        <f>'3FS'!AB16</f>
        <v>2916</v>
      </c>
      <c r="AD78" s="111">
        <f>'3FS'!AC16</f>
        <v>2886</v>
      </c>
      <c r="AE78" s="111">
        <f>'3FS'!AD16</f>
        <v>2792</v>
      </c>
      <c r="AF78" s="784">
        <f>'3FS'!AE16</f>
        <v>2688</v>
      </c>
      <c r="AG78" s="111">
        <f>'3FS'!AF16</f>
        <v>2664</v>
      </c>
      <c r="AH78" s="111">
        <f>'3FS'!AG16</f>
        <v>2722</v>
      </c>
      <c r="AI78" s="111">
        <f>'3FS'!AH16</f>
        <v>2697</v>
      </c>
      <c r="AJ78" s="784">
        <f>'3FS'!AI16</f>
        <v>2602</v>
      </c>
      <c r="AK78" s="784">
        <f>'3FS'!AJ16</f>
        <v>2717</v>
      </c>
      <c r="AL78" s="784">
        <f>'3FS'!AK16</f>
        <v>2873</v>
      </c>
      <c r="AM78" s="784">
        <f>'3FS'!AL16</f>
        <v>2978</v>
      </c>
    </row>
    <row r="79" spans="2:39" x14ac:dyDescent="0.2">
      <c r="B79" s="40" t="s">
        <v>131</v>
      </c>
      <c r="C79" s="40"/>
      <c r="D79" s="518">
        <f t="shared" si="82"/>
        <v>0</v>
      </c>
      <c r="E79" s="518">
        <f t="shared" si="82"/>
        <v>0</v>
      </c>
      <c r="F79" s="297">
        <f t="shared" ref="F79:I80" si="83">SUMIFS($L79:$AG79,$L$3:$AG$3,F$4)</f>
        <v>646</v>
      </c>
      <c r="G79" s="297">
        <f t="shared" si="83"/>
        <v>1015</v>
      </c>
      <c r="H79" s="297">
        <f t="shared" si="83"/>
        <v>2670</v>
      </c>
      <c r="I79" s="297">
        <f t="shared" si="83"/>
        <v>652</v>
      </c>
      <c r="J79" s="297">
        <f t="shared" ref="J79:J80" si="84">SUMIFS($L79:$AZ79,$L$3:$AZ$3,J$4)</f>
        <v>180</v>
      </c>
      <c r="L79" s="337"/>
      <c r="M79" s="337"/>
      <c r="N79" s="337"/>
      <c r="O79" s="337"/>
      <c r="P79" s="829"/>
      <c r="Q79" s="114">
        <v>40</v>
      </c>
      <c r="R79" s="114">
        <v>79</v>
      </c>
      <c r="S79" s="114">
        <v>527</v>
      </c>
      <c r="T79" s="789">
        <v>136</v>
      </c>
      <c r="U79" s="114">
        <v>273</v>
      </c>
      <c r="V79" s="114">
        <v>279</v>
      </c>
      <c r="W79" s="114">
        <v>327</v>
      </c>
      <c r="X79" s="789">
        <v>607</v>
      </c>
      <c r="Y79" s="114">
        <v>961</v>
      </c>
      <c r="Z79" s="114">
        <v>812</v>
      </c>
      <c r="AA79" s="114">
        <v>290</v>
      </c>
      <c r="AB79" s="789">
        <v>208</v>
      </c>
      <c r="AC79" s="114">
        <v>178</v>
      </c>
      <c r="AD79" s="114">
        <v>120</v>
      </c>
      <c r="AE79" s="114">
        <v>146</v>
      </c>
      <c r="AF79" s="789">
        <v>107</v>
      </c>
      <c r="AG79" s="114">
        <v>73</v>
      </c>
      <c r="AH79" s="114">
        <v>0</v>
      </c>
      <c r="AI79" s="114">
        <v>0</v>
      </c>
      <c r="AJ79" s="789">
        <v>0</v>
      </c>
      <c r="AK79" s="789">
        <v>0</v>
      </c>
      <c r="AL79" s="789">
        <v>7</v>
      </c>
      <c r="AM79" s="789">
        <v>44</v>
      </c>
    </row>
    <row r="80" spans="2:39" x14ac:dyDescent="0.2">
      <c r="B80" s="40" t="s">
        <v>161</v>
      </c>
      <c r="C80" s="40"/>
      <c r="D80" s="328">
        <f t="shared" si="82"/>
        <v>0</v>
      </c>
      <c r="E80" s="328">
        <f t="shared" si="82"/>
        <v>0</v>
      </c>
      <c r="F80" s="298">
        <f t="shared" si="83"/>
        <v>0</v>
      </c>
      <c r="G80" s="298">
        <f t="shared" si="83"/>
        <v>0</v>
      </c>
      <c r="H80" s="298">
        <f t="shared" si="83"/>
        <v>17</v>
      </c>
      <c r="I80" s="298">
        <f t="shared" si="83"/>
        <v>195</v>
      </c>
      <c r="J80" s="298">
        <f t="shared" si="84"/>
        <v>143</v>
      </c>
      <c r="L80" s="338"/>
      <c r="M80" s="338"/>
      <c r="N80" s="338"/>
      <c r="O80" s="338"/>
      <c r="P80" s="829"/>
      <c r="Q80" s="115"/>
      <c r="R80" s="115"/>
      <c r="S80" s="115"/>
      <c r="T80" s="789"/>
      <c r="U80" s="115"/>
      <c r="V80" s="115"/>
      <c r="W80" s="115"/>
      <c r="X80" s="789">
        <v>0</v>
      </c>
      <c r="Y80" s="115">
        <v>16</v>
      </c>
      <c r="Z80" s="115">
        <v>-1</v>
      </c>
      <c r="AA80" s="115">
        <v>2</v>
      </c>
      <c r="AB80" s="789">
        <v>23</v>
      </c>
      <c r="AC80" s="115">
        <v>18</v>
      </c>
      <c r="AD80" s="115">
        <v>154</v>
      </c>
      <c r="AE80" s="115">
        <v>0</v>
      </c>
      <c r="AF80" s="789">
        <v>1</v>
      </c>
      <c r="AG80" s="115">
        <v>0</v>
      </c>
      <c r="AH80" s="115">
        <v>67</v>
      </c>
      <c r="AI80" s="115">
        <v>75</v>
      </c>
      <c r="AJ80" s="789">
        <v>20</v>
      </c>
      <c r="AK80" s="789">
        <v>28</v>
      </c>
      <c r="AL80" s="789">
        <v>55</v>
      </c>
      <c r="AM80" s="789">
        <v>69</v>
      </c>
    </row>
    <row r="81" spans="2:39" ht="12.75" thickBot="1" x14ac:dyDescent="0.25">
      <c r="B81" s="231" t="s">
        <v>204</v>
      </c>
      <c r="C81" s="231"/>
      <c r="D81" s="339">
        <f t="shared" ref="D81:I81" si="85">+D78-D79-D80</f>
        <v>0</v>
      </c>
      <c r="E81" s="339">
        <f t="shared" si="85"/>
        <v>6622</v>
      </c>
      <c r="F81" s="113">
        <f t="shared" ref="F81" si="86">+F78-F79-F80</f>
        <v>11232</v>
      </c>
      <c r="G81" s="113">
        <f t="shared" si="85"/>
        <v>12919</v>
      </c>
      <c r="H81" s="113">
        <f t="shared" si="85"/>
        <v>11979</v>
      </c>
      <c r="I81" s="113">
        <f t="shared" si="85"/>
        <v>10808</v>
      </c>
      <c r="J81" s="113">
        <f t="shared" ref="J81" si="87">+J78-J79-J80</f>
        <v>10448</v>
      </c>
      <c r="L81" s="339">
        <f t="shared" ref="L81:W81" si="88">+L78-L79-L80</f>
        <v>1546</v>
      </c>
      <c r="M81" s="339">
        <f t="shared" si="88"/>
        <v>1649</v>
      </c>
      <c r="N81" s="339">
        <f t="shared" si="88"/>
        <v>1733</v>
      </c>
      <c r="O81" s="339">
        <f t="shared" si="88"/>
        <v>1694</v>
      </c>
      <c r="P81" s="830">
        <f t="shared" si="88"/>
        <v>3200</v>
      </c>
      <c r="Q81" s="113">
        <f t="shared" si="88"/>
        <v>3058</v>
      </c>
      <c r="R81" s="113">
        <f t="shared" si="88"/>
        <v>3235</v>
      </c>
      <c r="S81" s="113">
        <f t="shared" si="88"/>
        <v>3300</v>
      </c>
      <c r="T81" s="790">
        <f t="shared" si="88"/>
        <v>3248</v>
      </c>
      <c r="U81" s="113">
        <f t="shared" si="88"/>
        <v>3218</v>
      </c>
      <c r="V81" s="113">
        <f t="shared" si="88"/>
        <v>3259</v>
      </c>
      <c r="W81" s="113">
        <f t="shared" si="88"/>
        <v>3194</v>
      </c>
      <c r="X81" s="790">
        <f t="shared" ref="X81:AH81" si="89">+X78-X79-X80</f>
        <v>3120</v>
      </c>
      <c r="Y81" s="113">
        <f t="shared" si="89"/>
        <v>3083</v>
      </c>
      <c r="Z81" s="113">
        <f t="shared" si="89"/>
        <v>2901</v>
      </c>
      <c r="AA81" s="113">
        <f t="shared" si="89"/>
        <v>2875</v>
      </c>
      <c r="AB81" s="790">
        <f t="shared" si="89"/>
        <v>2830</v>
      </c>
      <c r="AC81" s="113">
        <f t="shared" si="89"/>
        <v>2720</v>
      </c>
      <c r="AD81" s="113">
        <f t="shared" si="89"/>
        <v>2612</v>
      </c>
      <c r="AE81" s="113">
        <f t="shared" si="89"/>
        <v>2646</v>
      </c>
      <c r="AF81" s="790">
        <f t="shared" si="89"/>
        <v>2580</v>
      </c>
      <c r="AG81" s="113">
        <f t="shared" si="89"/>
        <v>2591</v>
      </c>
      <c r="AH81" s="113">
        <f t="shared" si="89"/>
        <v>2655</v>
      </c>
      <c r="AI81" s="113">
        <f t="shared" ref="AI81:AL81" si="90">+AI78-AI79-AI80</f>
        <v>2622</v>
      </c>
      <c r="AJ81" s="790">
        <f t="shared" si="90"/>
        <v>2582</v>
      </c>
      <c r="AK81" s="790">
        <f t="shared" si="90"/>
        <v>2689</v>
      </c>
      <c r="AL81" s="790">
        <f t="shared" si="90"/>
        <v>2811</v>
      </c>
      <c r="AM81" s="790">
        <f>+AM78-AM79-AM80</f>
        <v>2865</v>
      </c>
    </row>
    <row r="82" spans="2:39" x14ac:dyDescent="0.2">
      <c r="B82" s="38"/>
      <c r="C82" s="38"/>
      <c r="D82" s="519"/>
      <c r="E82" s="519"/>
      <c r="F82" s="299"/>
      <c r="G82" s="299"/>
      <c r="H82" s="299"/>
      <c r="I82" s="299"/>
      <c r="J82" s="299"/>
      <c r="L82" s="487"/>
      <c r="M82" s="487"/>
      <c r="N82" s="487"/>
      <c r="O82" s="487"/>
      <c r="P82" s="831"/>
      <c r="Q82" s="108"/>
      <c r="R82" s="108"/>
      <c r="S82" s="108"/>
      <c r="T82" s="791"/>
      <c r="U82" s="108"/>
      <c r="V82" s="108"/>
      <c r="W82" s="108"/>
      <c r="X82" s="791"/>
      <c r="Y82" s="108"/>
      <c r="Z82" s="108"/>
      <c r="AA82" s="108"/>
      <c r="AB82" s="791"/>
      <c r="AC82" s="108"/>
      <c r="AD82" s="108"/>
      <c r="AE82" s="108"/>
      <c r="AF82" s="791"/>
      <c r="AG82" s="108"/>
      <c r="AH82" s="108"/>
      <c r="AI82" s="108"/>
      <c r="AJ82" s="791"/>
      <c r="AK82" s="791"/>
      <c r="AL82" s="791"/>
      <c r="AM82" s="791"/>
    </row>
    <row r="83" spans="2:39" x14ac:dyDescent="0.2">
      <c r="B83" s="41" t="s">
        <v>185</v>
      </c>
      <c r="C83" s="41"/>
      <c r="D83" s="515">
        <f>SUMIFS($L83:$AG83,$L$3:$AG$3,D$4)</f>
        <v>0</v>
      </c>
      <c r="E83" s="515">
        <f>SUMIFS($L83:$AG83,$L$3:$AG$3,E$4)</f>
        <v>11899</v>
      </c>
      <c r="F83" s="111">
        <f>'3FS'!E17</f>
        <v>16388</v>
      </c>
      <c r="G83" s="111">
        <f>'3FS'!F17</f>
        <v>22671</v>
      </c>
      <c r="H83" s="111">
        <f>'3FS'!G17</f>
        <v>21540</v>
      </c>
      <c r="I83" s="111">
        <f>'3FS'!H17</f>
        <v>18533</v>
      </c>
      <c r="J83" s="111">
        <f>'3FS'!I17</f>
        <v>18882</v>
      </c>
      <c r="L83" s="533">
        <v>3016</v>
      </c>
      <c r="M83" s="533">
        <v>2661</v>
      </c>
      <c r="N83" s="533">
        <v>2704</v>
      </c>
      <c r="O83" s="533">
        <v>3518</v>
      </c>
      <c r="P83" s="780">
        <f>'3FS'!O17</f>
        <v>3268</v>
      </c>
      <c r="Q83" s="111">
        <f>'3FS'!P17</f>
        <v>3667</v>
      </c>
      <c r="R83" s="111">
        <f>'3FS'!Q17</f>
        <v>4367</v>
      </c>
      <c r="S83" s="111">
        <f>'3FS'!R17</f>
        <v>5825</v>
      </c>
      <c r="T83" s="784">
        <f>'3FS'!S17</f>
        <v>5142</v>
      </c>
      <c r="U83" s="111">
        <f>'3FS'!T17</f>
        <v>5453</v>
      </c>
      <c r="V83" s="111">
        <f>'3FS'!U17</f>
        <v>5145</v>
      </c>
      <c r="W83" s="111">
        <f>'3FS'!V17</f>
        <v>6931</v>
      </c>
      <c r="X83" s="784">
        <f>'3FS'!W17</f>
        <v>5946</v>
      </c>
      <c r="Y83" s="111">
        <f>'3FS'!X17</f>
        <v>5108</v>
      </c>
      <c r="Z83" s="111">
        <f>'3FS'!Y17</f>
        <v>4982</v>
      </c>
      <c r="AA83" s="111">
        <f>'3FS'!Z17</f>
        <v>5504</v>
      </c>
      <c r="AB83" s="784">
        <f>'3FS'!AA17</f>
        <v>4588</v>
      </c>
      <c r="AC83" s="111">
        <f>'3FS'!AB17</f>
        <v>4088</v>
      </c>
      <c r="AD83" s="111">
        <f>'3FS'!AC17</f>
        <v>4249</v>
      </c>
      <c r="AE83" s="111">
        <f>'3FS'!AD17</f>
        <v>5608</v>
      </c>
      <c r="AF83" s="784">
        <f>'3FS'!AE17</f>
        <v>4399</v>
      </c>
      <c r="AG83" s="111">
        <f>'3FS'!AF17</f>
        <v>4088</v>
      </c>
      <c r="AH83" s="111">
        <f>'3FS'!AG17</f>
        <v>4307</v>
      </c>
      <c r="AI83" s="111">
        <f>'3FS'!AH17</f>
        <v>6088</v>
      </c>
      <c r="AJ83" s="784">
        <f>'3FS'!AI17</f>
        <v>4798</v>
      </c>
      <c r="AK83" s="784">
        <f>'3FS'!AJ17</f>
        <v>4659</v>
      </c>
      <c r="AL83" s="784">
        <f>'3FS'!AK17</f>
        <v>4853</v>
      </c>
      <c r="AM83" s="784">
        <f>'3FS'!AL17</f>
        <v>5055</v>
      </c>
    </row>
    <row r="84" spans="2:39" x14ac:dyDescent="0.2">
      <c r="B84" s="40" t="s">
        <v>162</v>
      </c>
      <c r="C84" s="40"/>
      <c r="D84" s="328">
        <f>SUMIFS($L84:$AG84,$L$3:$AG$3,D$4)</f>
        <v>0</v>
      </c>
      <c r="E84" s="328">
        <f>SUMIFS($L84:$AG84,$L$3:$AG$3,E$4)</f>
        <v>0</v>
      </c>
      <c r="F84" s="298">
        <f>SUMIFS($L84:$AG84,$L$3:$AG$3,F$4)</f>
        <v>6</v>
      </c>
      <c r="G84" s="298">
        <f>SUMIFS($L84:$AG84,$L$3:$AG$3,G$4)</f>
        <v>1018</v>
      </c>
      <c r="H84" s="298">
        <f>SUMIFS($L84:$AG84,$L$3:$AG$3,H$4)</f>
        <v>1524</v>
      </c>
      <c r="I84" s="298">
        <f>SUMIFS($L84:$AG84,$L$3:$AG$3,I$4)</f>
        <v>-12</v>
      </c>
      <c r="J84" s="298">
        <f t="shared" ref="J84" si="91">SUMIFS($L84:$AZ84,$L$3:$AZ$3,J$4)</f>
        <v>0</v>
      </c>
      <c r="L84" s="338"/>
      <c r="M84" s="338"/>
      <c r="N84" s="338"/>
      <c r="O84" s="338"/>
      <c r="P84" s="829">
        <v>0</v>
      </c>
      <c r="Q84" s="115">
        <v>0</v>
      </c>
      <c r="R84" s="115">
        <v>0</v>
      </c>
      <c r="S84" s="115">
        <v>6</v>
      </c>
      <c r="T84" s="789">
        <v>17</v>
      </c>
      <c r="U84" s="115">
        <v>87</v>
      </c>
      <c r="V84" s="115">
        <v>236</v>
      </c>
      <c r="W84" s="115">
        <v>678</v>
      </c>
      <c r="X84" s="789">
        <v>751</v>
      </c>
      <c r="Y84" s="115">
        <v>459</v>
      </c>
      <c r="Z84" s="115">
        <v>258</v>
      </c>
      <c r="AA84" s="115">
        <v>56</v>
      </c>
      <c r="AB84" s="789">
        <v>-9</v>
      </c>
      <c r="AC84" s="115">
        <v>0</v>
      </c>
      <c r="AD84" s="115">
        <v>-3</v>
      </c>
      <c r="AE84" s="115">
        <v>0</v>
      </c>
      <c r="AF84" s="789">
        <v>0</v>
      </c>
      <c r="AG84" s="115">
        <v>0</v>
      </c>
      <c r="AH84" s="115">
        <v>0</v>
      </c>
      <c r="AI84" s="115">
        <v>0</v>
      </c>
      <c r="AJ84" s="789">
        <v>0</v>
      </c>
      <c r="AK84" s="789">
        <v>0</v>
      </c>
      <c r="AL84" s="789">
        <v>2</v>
      </c>
      <c r="AM84" s="789">
        <v>23</v>
      </c>
    </row>
    <row r="85" spans="2:39" x14ac:dyDescent="0.2">
      <c r="B85" s="40" t="s">
        <v>161</v>
      </c>
      <c r="C85" s="40"/>
      <c r="D85" s="328"/>
      <c r="E85" s="328"/>
      <c r="F85" s="298"/>
      <c r="G85" s="298"/>
      <c r="H85" s="298"/>
      <c r="I85" s="298"/>
      <c r="J85" s="298"/>
      <c r="L85" s="338"/>
      <c r="M85" s="338"/>
      <c r="N85" s="338"/>
      <c r="O85" s="338"/>
      <c r="P85" s="829"/>
      <c r="Q85" s="115"/>
      <c r="R85" s="115"/>
      <c r="S85" s="115"/>
      <c r="T85" s="789"/>
      <c r="U85" s="115"/>
      <c r="V85" s="115"/>
      <c r="W85" s="115"/>
      <c r="X85" s="789"/>
      <c r="Y85" s="115"/>
      <c r="Z85" s="115"/>
      <c r="AA85" s="115"/>
      <c r="AB85" s="789"/>
      <c r="AC85" s="115"/>
      <c r="AD85" s="115"/>
      <c r="AE85" s="115"/>
      <c r="AF85" s="789"/>
      <c r="AG85" s="115"/>
      <c r="AH85" s="115"/>
      <c r="AI85" s="115"/>
      <c r="AJ85" s="789"/>
      <c r="AK85" s="789"/>
      <c r="AL85" s="789"/>
      <c r="AM85" s="789">
        <v>0</v>
      </c>
    </row>
    <row r="86" spans="2:39" ht="12.75" thickBot="1" x14ac:dyDescent="0.25">
      <c r="B86" s="231" t="s">
        <v>205</v>
      </c>
      <c r="C86" s="231"/>
      <c r="D86" s="339">
        <f t="shared" ref="D86:I86" si="92">+D83-D84</f>
        <v>0</v>
      </c>
      <c r="E86" s="339">
        <f t="shared" si="92"/>
        <v>11899</v>
      </c>
      <c r="F86" s="113">
        <f t="shared" ref="F86" si="93">+F83-F84</f>
        <v>16382</v>
      </c>
      <c r="G86" s="113">
        <f t="shared" si="92"/>
        <v>21653</v>
      </c>
      <c r="H86" s="113">
        <f t="shared" si="92"/>
        <v>20016</v>
      </c>
      <c r="I86" s="113">
        <f t="shared" si="92"/>
        <v>18545</v>
      </c>
      <c r="J86" s="113">
        <f t="shared" ref="J86" si="94">+J83-J84</f>
        <v>18882</v>
      </c>
      <c r="L86" s="339">
        <f t="shared" ref="L86:W86" si="95">+L83-L84</f>
        <v>3016</v>
      </c>
      <c r="M86" s="339">
        <f t="shared" si="95"/>
        <v>2661</v>
      </c>
      <c r="N86" s="339">
        <f t="shared" si="95"/>
        <v>2704</v>
      </c>
      <c r="O86" s="339">
        <f t="shared" si="95"/>
        <v>3518</v>
      </c>
      <c r="P86" s="830">
        <f t="shared" si="95"/>
        <v>3268</v>
      </c>
      <c r="Q86" s="113">
        <f t="shared" si="95"/>
        <v>3667</v>
      </c>
      <c r="R86" s="113">
        <f t="shared" si="95"/>
        <v>4367</v>
      </c>
      <c r="S86" s="113">
        <f t="shared" si="95"/>
        <v>5819</v>
      </c>
      <c r="T86" s="790">
        <f t="shared" si="95"/>
        <v>5125</v>
      </c>
      <c r="U86" s="113">
        <f t="shared" si="95"/>
        <v>5366</v>
      </c>
      <c r="V86" s="113">
        <f t="shared" si="95"/>
        <v>4909</v>
      </c>
      <c r="W86" s="113">
        <f t="shared" si="95"/>
        <v>6253</v>
      </c>
      <c r="X86" s="790">
        <f t="shared" ref="X86:AH86" si="96">+X83-X84</f>
        <v>5195</v>
      </c>
      <c r="Y86" s="113">
        <f t="shared" si="96"/>
        <v>4649</v>
      </c>
      <c r="Z86" s="113">
        <f t="shared" si="96"/>
        <v>4724</v>
      </c>
      <c r="AA86" s="113">
        <f t="shared" si="96"/>
        <v>5448</v>
      </c>
      <c r="AB86" s="790">
        <f t="shared" si="96"/>
        <v>4597</v>
      </c>
      <c r="AC86" s="113">
        <f t="shared" si="96"/>
        <v>4088</v>
      </c>
      <c r="AD86" s="113">
        <f t="shared" si="96"/>
        <v>4252</v>
      </c>
      <c r="AE86" s="113">
        <f t="shared" si="96"/>
        <v>5608</v>
      </c>
      <c r="AF86" s="790">
        <f t="shared" si="96"/>
        <v>4399</v>
      </c>
      <c r="AG86" s="113">
        <f t="shared" si="96"/>
        <v>4088</v>
      </c>
      <c r="AH86" s="113">
        <f t="shared" si="96"/>
        <v>4307</v>
      </c>
      <c r="AI86" s="113">
        <f t="shared" ref="AI86:AL86" si="97">+AI83-AI84</f>
        <v>6088</v>
      </c>
      <c r="AJ86" s="790">
        <f t="shared" si="97"/>
        <v>4798</v>
      </c>
      <c r="AK86" s="790">
        <f t="shared" si="97"/>
        <v>4659</v>
      </c>
      <c r="AL86" s="790">
        <f t="shared" si="97"/>
        <v>4851</v>
      </c>
      <c r="AM86" s="790">
        <f>+AM83-AM84-AM85</f>
        <v>5032</v>
      </c>
    </row>
    <row r="87" spans="2:39" x14ac:dyDescent="0.2">
      <c r="B87" s="38"/>
      <c r="C87" s="38"/>
      <c r="D87" s="519"/>
      <c r="E87" s="519"/>
      <c r="F87" s="299"/>
      <c r="G87" s="299"/>
      <c r="H87" s="299"/>
      <c r="I87" s="299"/>
      <c r="J87" s="299"/>
      <c r="L87" s="487"/>
      <c r="M87" s="487"/>
      <c r="N87" s="487"/>
      <c r="O87" s="487"/>
      <c r="P87" s="831"/>
      <c r="Q87" s="108"/>
      <c r="R87" s="108"/>
      <c r="S87" s="108"/>
      <c r="T87" s="791"/>
      <c r="U87" s="108"/>
      <c r="V87" s="108"/>
      <c r="W87" s="108"/>
      <c r="X87" s="791"/>
      <c r="Y87" s="108"/>
      <c r="Z87" s="108"/>
      <c r="AA87" s="108"/>
      <c r="AB87" s="791"/>
      <c r="AC87" s="108"/>
      <c r="AD87" s="108"/>
      <c r="AE87" s="108"/>
      <c r="AF87" s="791"/>
      <c r="AG87" s="108"/>
      <c r="AH87" s="108"/>
      <c r="AI87" s="108"/>
      <c r="AJ87" s="791"/>
      <c r="AK87" s="791"/>
      <c r="AL87" s="791"/>
      <c r="AM87" s="791"/>
    </row>
    <row r="88" spans="2:39" x14ac:dyDescent="0.2">
      <c r="B88" s="41" t="s">
        <v>19</v>
      </c>
      <c r="C88" s="41"/>
      <c r="D88" s="515">
        <f t="shared" ref="D88:E90" si="98">SUMIFS($L88:$AG88,$L$3:$AG$3,D$4)</f>
        <v>0</v>
      </c>
      <c r="E88" s="515">
        <f t="shared" si="98"/>
        <v>0</v>
      </c>
      <c r="F88" s="111">
        <f>'3FS'!E18</f>
        <v>18926</v>
      </c>
      <c r="G88" s="106">
        <f t="shared" ref="G88:I90" si="99">SUMIFS($L88:$AG88,$L$3:$AG$3,G$4)</f>
        <v>20238</v>
      </c>
      <c r="H88" s="106">
        <f t="shared" si="99"/>
        <v>21607</v>
      </c>
      <c r="I88" s="106">
        <f t="shared" si="99"/>
        <v>21311</v>
      </c>
      <c r="J88" s="106">
        <f t="shared" ref="J88" si="100">SUMIFS($L88:$AZ88,$L$3:$AZ$3,J$4)</f>
        <v>20818</v>
      </c>
      <c r="L88" s="340"/>
      <c r="M88" s="340"/>
      <c r="N88" s="340"/>
      <c r="O88" s="340"/>
      <c r="P88" s="784">
        <f>'3FS'!O18</f>
        <v>5280</v>
      </c>
      <c r="Q88" s="111">
        <f>'3FS'!P18</f>
        <v>5604</v>
      </c>
      <c r="R88" s="111">
        <f>'3FS'!Q18</f>
        <v>4876</v>
      </c>
      <c r="S88" s="111">
        <f>'3FS'!R18</f>
        <v>4758</v>
      </c>
      <c r="T88" s="784">
        <f>'3FS'!S18</f>
        <v>4805</v>
      </c>
      <c r="U88" s="111">
        <f>'3FS'!T18</f>
        <v>4823</v>
      </c>
      <c r="V88" s="111">
        <f>'3FS'!U18</f>
        <v>5212</v>
      </c>
      <c r="W88" s="111">
        <f>'3FS'!V18</f>
        <v>5398</v>
      </c>
      <c r="X88" s="784">
        <f>'3FS'!W18</f>
        <v>5056</v>
      </c>
      <c r="Y88" s="111">
        <f>'3FS'!X18</f>
        <v>5856</v>
      </c>
      <c r="Z88" s="111">
        <f>'3FS'!Y18</f>
        <v>5118</v>
      </c>
      <c r="AA88" s="111">
        <f>'3FS'!Z18</f>
        <v>5577</v>
      </c>
      <c r="AB88" s="784">
        <f>'3FS'!AA18</f>
        <v>5425</v>
      </c>
      <c r="AC88" s="111">
        <f>'3FS'!AB18</f>
        <v>5272</v>
      </c>
      <c r="AD88" s="111">
        <f>'3FS'!AC18</f>
        <v>5334</v>
      </c>
      <c r="AE88" s="111">
        <f>'3FS'!AD18</f>
        <v>5280</v>
      </c>
      <c r="AF88" s="784">
        <f>'3FS'!AE18</f>
        <v>5138</v>
      </c>
      <c r="AG88" s="111">
        <f>'3FS'!AF18</f>
        <v>5142</v>
      </c>
      <c r="AH88" s="111">
        <f>'3FS'!AG18</f>
        <v>5186</v>
      </c>
      <c r="AI88" s="111">
        <f>'3FS'!AH18</f>
        <v>5352</v>
      </c>
      <c r="AJ88" s="784">
        <f>'3FS'!AI18</f>
        <v>5488</v>
      </c>
      <c r="AK88" s="784">
        <f>'3FS'!AJ18</f>
        <v>5397</v>
      </c>
      <c r="AL88" s="784">
        <f>'3FS'!AK18</f>
        <v>6015</v>
      </c>
      <c r="AM88" s="784">
        <f>'3FS'!AL18</f>
        <v>5834</v>
      </c>
    </row>
    <row r="89" spans="2:39" x14ac:dyDescent="0.2">
      <c r="B89" s="40" t="s">
        <v>131</v>
      </c>
      <c r="C89" s="40"/>
      <c r="D89" s="518">
        <f t="shared" si="98"/>
        <v>0</v>
      </c>
      <c r="E89" s="518">
        <f t="shared" si="98"/>
        <v>0</v>
      </c>
      <c r="F89" s="297">
        <f>SUMIFS($L89:$AG89,$L$3:$AG$3,F$4)</f>
        <v>1263</v>
      </c>
      <c r="G89" s="297">
        <f t="shared" si="99"/>
        <v>1074</v>
      </c>
      <c r="H89" s="297">
        <f t="shared" si="99"/>
        <v>775</v>
      </c>
      <c r="I89" s="297">
        <f t="shared" si="99"/>
        <v>394</v>
      </c>
      <c r="J89" s="297">
        <f t="shared" ref="J89:J90" si="101">SUMIFS($L89:$AZ89,$L$3:$AZ$3,J$4)</f>
        <v>-59</v>
      </c>
      <c r="L89" s="337"/>
      <c r="M89" s="337"/>
      <c r="N89" s="337"/>
      <c r="O89" s="337"/>
      <c r="P89" s="829">
        <v>143</v>
      </c>
      <c r="Q89" s="114">
        <v>758</v>
      </c>
      <c r="R89" s="114">
        <v>209</v>
      </c>
      <c r="S89" s="114">
        <v>153</v>
      </c>
      <c r="T89" s="789">
        <v>145</v>
      </c>
      <c r="U89" s="114">
        <v>251</v>
      </c>
      <c r="V89" s="114">
        <v>440</v>
      </c>
      <c r="W89" s="114">
        <v>238</v>
      </c>
      <c r="X89" s="789">
        <v>55</v>
      </c>
      <c r="Y89" s="114">
        <v>248</v>
      </c>
      <c r="Z89" s="114">
        <v>226</v>
      </c>
      <c r="AA89" s="114">
        <v>246</v>
      </c>
      <c r="AB89" s="789">
        <v>159</v>
      </c>
      <c r="AC89" s="114">
        <v>98</v>
      </c>
      <c r="AD89" s="114">
        <v>35</v>
      </c>
      <c r="AE89" s="114">
        <v>102</v>
      </c>
      <c r="AF89" s="789">
        <v>23</v>
      </c>
      <c r="AG89" s="114">
        <v>-82</v>
      </c>
      <c r="AH89" s="114">
        <v>0</v>
      </c>
      <c r="AI89" s="114">
        <v>0</v>
      </c>
      <c r="AJ89" s="789"/>
      <c r="AK89" s="789"/>
      <c r="AL89" s="789">
        <v>64</v>
      </c>
      <c r="AM89" s="789">
        <v>115</v>
      </c>
    </row>
    <row r="90" spans="2:39" x14ac:dyDescent="0.2">
      <c r="B90" s="40" t="s">
        <v>161</v>
      </c>
      <c r="C90" s="40"/>
      <c r="D90" s="328">
        <f t="shared" si="98"/>
        <v>0</v>
      </c>
      <c r="E90" s="328">
        <f t="shared" si="98"/>
        <v>0</v>
      </c>
      <c r="F90" s="298">
        <f>SUMIFS($L90:$AG90,$L$3:$AG$3,F$4)</f>
        <v>458</v>
      </c>
      <c r="G90" s="298">
        <f t="shared" si="99"/>
        <v>0</v>
      </c>
      <c r="H90" s="298">
        <f t="shared" si="99"/>
        <v>501</v>
      </c>
      <c r="I90" s="298">
        <f t="shared" si="99"/>
        <v>496</v>
      </c>
      <c r="J90" s="298">
        <f t="shared" si="101"/>
        <v>85</v>
      </c>
      <c r="L90" s="338"/>
      <c r="M90" s="338"/>
      <c r="N90" s="338"/>
      <c r="O90" s="338"/>
      <c r="P90" s="789">
        <v>117</v>
      </c>
      <c r="Q90" s="115">
        <v>341</v>
      </c>
      <c r="R90" s="115"/>
      <c r="S90" s="115"/>
      <c r="T90" s="789"/>
      <c r="U90" s="115"/>
      <c r="V90" s="115"/>
      <c r="W90" s="115"/>
      <c r="X90" s="789">
        <v>10</v>
      </c>
      <c r="Y90" s="115">
        <v>494</v>
      </c>
      <c r="Z90" s="115">
        <v>-66</v>
      </c>
      <c r="AA90" s="115">
        <v>63</v>
      </c>
      <c r="AB90" s="789">
        <v>87</v>
      </c>
      <c r="AC90" s="115">
        <v>36</v>
      </c>
      <c r="AD90" s="115">
        <v>359</v>
      </c>
      <c r="AE90" s="115">
        <v>14</v>
      </c>
      <c r="AF90" s="789">
        <v>12</v>
      </c>
      <c r="AG90" s="115">
        <v>37</v>
      </c>
      <c r="AH90" s="115">
        <v>86</v>
      </c>
      <c r="AI90" s="115">
        <v>-50</v>
      </c>
      <c r="AJ90" s="789">
        <v>73</v>
      </c>
      <c r="AK90" s="789">
        <v>-18</v>
      </c>
      <c r="AL90" s="789">
        <v>123</v>
      </c>
      <c r="AM90" s="789">
        <v>150</v>
      </c>
    </row>
    <row r="91" spans="2:39" ht="12.75" thickBot="1" x14ac:dyDescent="0.25">
      <c r="B91" s="231" t="s">
        <v>163</v>
      </c>
      <c r="C91" s="231"/>
      <c r="D91" s="339">
        <f t="shared" ref="D91:I91" si="102">+D88-D89-D90</f>
        <v>0</v>
      </c>
      <c r="E91" s="339">
        <f t="shared" si="102"/>
        <v>0</v>
      </c>
      <c r="F91" s="113">
        <f t="shared" ref="F91" si="103">+F88-F89-F90</f>
        <v>17205</v>
      </c>
      <c r="G91" s="113">
        <f t="shared" si="102"/>
        <v>19164</v>
      </c>
      <c r="H91" s="113">
        <f t="shared" si="102"/>
        <v>20331</v>
      </c>
      <c r="I91" s="113">
        <f t="shared" si="102"/>
        <v>20421</v>
      </c>
      <c r="J91" s="113">
        <f t="shared" ref="J91" si="104">+J88-J89-J90</f>
        <v>20792</v>
      </c>
      <c r="L91" s="535">
        <v>3329</v>
      </c>
      <c r="M91" s="535">
        <v>3321</v>
      </c>
      <c r="N91" s="535">
        <v>3339</v>
      </c>
      <c r="O91" s="535">
        <v>3530</v>
      </c>
      <c r="P91" s="830">
        <f t="shared" ref="P91:W91" si="105">+P88-P89-P90</f>
        <v>5020</v>
      </c>
      <c r="Q91" s="113">
        <f t="shared" si="105"/>
        <v>4505</v>
      </c>
      <c r="R91" s="113">
        <f t="shared" si="105"/>
        <v>4667</v>
      </c>
      <c r="S91" s="113">
        <f t="shared" si="105"/>
        <v>4605</v>
      </c>
      <c r="T91" s="790">
        <f t="shared" si="105"/>
        <v>4660</v>
      </c>
      <c r="U91" s="113">
        <f t="shared" si="105"/>
        <v>4572</v>
      </c>
      <c r="V91" s="113">
        <f t="shared" si="105"/>
        <v>4772</v>
      </c>
      <c r="W91" s="113">
        <f t="shared" si="105"/>
        <v>5160</v>
      </c>
      <c r="X91" s="790">
        <f t="shared" ref="X91:AH91" si="106">+X88-X89-X90</f>
        <v>4991</v>
      </c>
      <c r="Y91" s="113">
        <f t="shared" si="106"/>
        <v>5114</v>
      </c>
      <c r="Z91" s="113">
        <f t="shared" si="106"/>
        <v>4958</v>
      </c>
      <c r="AA91" s="113">
        <f t="shared" si="106"/>
        <v>5268</v>
      </c>
      <c r="AB91" s="790">
        <f t="shared" si="106"/>
        <v>5179</v>
      </c>
      <c r="AC91" s="113">
        <f t="shared" si="106"/>
        <v>5138</v>
      </c>
      <c r="AD91" s="113">
        <f t="shared" si="106"/>
        <v>4940</v>
      </c>
      <c r="AE91" s="113">
        <f t="shared" si="106"/>
        <v>5164</v>
      </c>
      <c r="AF91" s="790">
        <f t="shared" si="106"/>
        <v>5103</v>
      </c>
      <c r="AG91" s="113">
        <f t="shared" si="106"/>
        <v>5187</v>
      </c>
      <c r="AH91" s="113">
        <f t="shared" si="106"/>
        <v>5100</v>
      </c>
      <c r="AI91" s="113">
        <f t="shared" ref="AI91:AL91" si="107">+AI88-AI89-AI90</f>
        <v>5402</v>
      </c>
      <c r="AJ91" s="790">
        <f t="shared" si="107"/>
        <v>5415</v>
      </c>
      <c r="AK91" s="790">
        <f t="shared" si="107"/>
        <v>5415</v>
      </c>
      <c r="AL91" s="790">
        <f t="shared" si="107"/>
        <v>5828</v>
      </c>
      <c r="AM91" s="790">
        <f>+AM88-AM89-AM90</f>
        <v>5569</v>
      </c>
    </row>
    <row r="92" spans="2:39" x14ac:dyDescent="0.2">
      <c r="B92" s="38"/>
      <c r="C92" s="38"/>
      <c r="D92" s="519"/>
      <c r="E92" s="519"/>
      <c r="F92" s="299"/>
      <c r="G92" s="299"/>
      <c r="H92" s="299"/>
      <c r="I92" s="299"/>
      <c r="J92" s="299"/>
      <c r="L92" s="487"/>
      <c r="M92" s="487"/>
      <c r="N92" s="487"/>
      <c r="O92" s="487"/>
      <c r="P92" s="832"/>
      <c r="Q92" s="108"/>
      <c r="R92" s="108"/>
      <c r="S92" s="108"/>
      <c r="T92" s="791"/>
      <c r="U92" s="108"/>
      <c r="V92" s="108"/>
      <c r="W92" s="108"/>
      <c r="X92" s="791"/>
      <c r="Y92" s="108"/>
      <c r="Z92" s="108"/>
      <c r="AA92" s="108"/>
      <c r="AB92" s="791"/>
      <c r="AC92" s="108"/>
      <c r="AD92" s="108"/>
      <c r="AE92" s="108"/>
      <c r="AF92" s="791"/>
      <c r="AG92" s="108"/>
      <c r="AH92" s="108"/>
      <c r="AI92" s="108"/>
      <c r="AJ92" s="791"/>
      <c r="AK92" s="791"/>
      <c r="AL92" s="791"/>
      <c r="AM92" s="791"/>
    </row>
    <row r="93" spans="2:39" x14ac:dyDescent="0.2">
      <c r="B93" s="143" t="s">
        <v>207</v>
      </c>
      <c r="C93" s="143"/>
      <c r="D93" s="533">
        <v>454</v>
      </c>
      <c r="E93" s="533">
        <v>437</v>
      </c>
      <c r="F93" s="111">
        <f>+'3FS'!E122+'3FS'!E123</f>
        <v>638</v>
      </c>
      <c r="G93" s="106">
        <f>SUMIFS($L93:$AG93,$L$3:$AG$3,G$4)</f>
        <v>467</v>
      </c>
      <c r="H93" s="106">
        <f>SUMIFS($L93:$AG93,$L$3:$AG$3,H$4)</f>
        <v>1240</v>
      </c>
      <c r="I93" s="106">
        <f>SUMIFS($L93:$AG93,$L$3:$AG$3,I$4)</f>
        <v>1063</v>
      </c>
      <c r="J93" s="106">
        <f t="shared" ref="J93" si="108">SUMIFS($L93:$AZ93,$L$3:$AZ$3,J$4)</f>
        <v>1254</v>
      </c>
      <c r="L93" s="533">
        <v>108</v>
      </c>
      <c r="M93" s="533">
        <v>99</v>
      </c>
      <c r="N93" s="533">
        <v>102</v>
      </c>
      <c r="O93" s="533">
        <v>128</v>
      </c>
      <c r="P93" s="833">
        <f>+'3FS'!O122+'3FS'!O123</f>
        <v>138</v>
      </c>
      <c r="Q93" s="111">
        <f>+'3FS'!P122+'3FS'!P123</f>
        <v>263</v>
      </c>
      <c r="R93" s="111">
        <f>+'3FS'!Q122+'3FS'!Q123</f>
        <v>125</v>
      </c>
      <c r="S93" s="111">
        <f>+'3FS'!R122+'3FS'!R123</f>
        <v>112</v>
      </c>
      <c r="T93" s="784">
        <f>+'3FS'!S122+'3FS'!S123</f>
        <v>64</v>
      </c>
      <c r="U93" s="111">
        <f>+'3FS'!T122+'3FS'!T123</f>
        <v>60</v>
      </c>
      <c r="V93" s="111">
        <f>+'3FS'!U122+'3FS'!U123</f>
        <v>109</v>
      </c>
      <c r="W93" s="111">
        <f>+'3FS'!V122+'3FS'!V123</f>
        <v>234</v>
      </c>
      <c r="X93" s="784">
        <f>+'3FS'!W122+'3FS'!W123</f>
        <v>256</v>
      </c>
      <c r="Y93" s="111">
        <f>+'3FS'!X122+'3FS'!X123</f>
        <v>373</v>
      </c>
      <c r="Z93" s="111">
        <f>+'3FS'!Y122+'3FS'!Y123</f>
        <v>299</v>
      </c>
      <c r="AA93" s="111">
        <f>+'3FS'!Z122+'3FS'!Z123</f>
        <v>312</v>
      </c>
      <c r="AB93" s="784">
        <f>+'3FS'!AA122+'3FS'!AA123</f>
        <v>260</v>
      </c>
      <c r="AC93" s="111">
        <f>+'3FS'!AB122+'3FS'!AB123</f>
        <v>264</v>
      </c>
      <c r="AD93" s="111">
        <f>+'3FS'!AC122+'3FS'!AC123</f>
        <v>274</v>
      </c>
      <c r="AE93" s="111">
        <f>+'3FS'!AD122+'3FS'!AD123</f>
        <v>265</v>
      </c>
      <c r="AF93" s="784">
        <f>+'3FS'!AE122+'3FS'!AE123</f>
        <v>303</v>
      </c>
      <c r="AG93" s="111">
        <f>+'3FS'!AF122+'3FS'!AF123</f>
        <v>280</v>
      </c>
      <c r="AH93" s="111">
        <f>+'3FS'!AG122+'3FS'!AG123</f>
        <v>322</v>
      </c>
      <c r="AI93" s="111">
        <f>+'3FS'!AH122+'3FS'!AH123</f>
        <v>349</v>
      </c>
      <c r="AJ93" s="784">
        <f>+'3FS'!AI122+'3FS'!AI123</f>
        <v>345</v>
      </c>
      <c r="AK93" s="784">
        <f>+'3FS'!AJ122+'3FS'!AJ123</f>
        <v>284</v>
      </c>
      <c r="AL93" s="784">
        <f>+'3FS'!AK122+'3FS'!AK123</f>
        <v>354</v>
      </c>
      <c r="AM93" s="784">
        <f>+'3FS'!AL122+'3FS'!AL123</f>
        <v>415</v>
      </c>
    </row>
    <row r="94" spans="2:39" x14ac:dyDescent="0.2">
      <c r="B94" s="40" t="s">
        <v>206</v>
      </c>
      <c r="C94" s="40"/>
      <c r="D94" s="341" t="e">
        <f t="shared" ref="D94:I94" si="109">+D93/D76</f>
        <v>#DIV/0!</v>
      </c>
      <c r="E94" s="341">
        <f t="shared" si="109"/>
        <v>9.7115427352326769E-3</v>
      </c>
      <c r="F94" s="116">
        <f t="shared" si="109"/>
        <v>9.3278944982967092E-3</v>
      </c>
      <c r="G94" s="116">
        <f t="shared" si="109"/>
        <v>5.828902369005717E-3</v>
      </c>
      <c r="H94" s="116">
        <f t="shared" si="109"/>
        <v>1.558356687737995E-2</v>
      </c>
      <c r="I94" s="116">
        <f t="shared" si="109"/>
        <v>1.3531403548970188E-2</v>
      </c>
      <c r="J94" s="116">
        <f t="shared" ref="J94" si="110">+J93/J76</f>
        <v>1.5405405405405406E-2</v>
      </c>
      <c r="L94" s="341"/>
      <c r="M94" s="341"/>
      <c r="N94" s="341"/>
      <c r="O94" s="341"/>
      <c r="P94" s="834"/>
      <c r="Q94" s="116">
        <f t="shared" ref="Q94:W94" si="111">+Q93/Q76</f>
        <v>1.4883141870861864E-2</v>
      </c>
      <c r="R94" s="116">
        <f t="shared" si="111"/>
        <v>6.4860938148609383E-3</v>
      </c>
      <c r="S94" s="116">
        <f t="shared" si="111"/>
        <v>5.5061206430362325E-3</v>
      </c>
      <c r="T94" s="792">
        <f t="shared" si="111"/>
        <v>3.2390303152993573E-3</v>
      </c>
      <c r="U94" s="116">
        <f t="shared" si="111"/>
        <v>3.0075187969924814E-3</v>
      </c>
      <c r="V94" s="116">
        <f t="shared" si="111"/>
        <v>5.5544231553200166E-3</v>
      </c>
      <c r="W94" s="116">
        <f t="shared" si="111"/>
        <v>1.1258118835698822E-2</v>
      </c>
      <c r="X94" s="792">
        <f t="shared" ref="X94:AG94" si="112">+X93/X76</f>
        <v>1.2723658051689861E-2</v>
      </c>
      <c r="Y94" s="116">
        <f t="shared" si="112"/>
        <v>1.8933049083802854E-2</v>
      </c>
      <c r="Z94" s="116">
        <f t="shared" si="112"/>
        <v>1.5351440160188941E-2</v>
      </c>
      <c r="AA94" s="116">
        <f t="shared" si="112"/>
        <v>1.5389927489764711E-2</v>
      </c>
      <c r="AB94" s="792">
        <f t="shared" si="112"/>
        <v>1.3243683781581092E-2</v>
      </c>
      <c r="AC94" s="116">
        <f t="shared" si="112"/>
        <v>1.3752865180245884E-2</v>
      </c>
      <c r="AD94" s="116">
        <f t="shared" si="112"/>
        <v>1.4232287554539789E-2</v>
      </c>
      <c r="AE94" s="116">
        <f t="shared" si="112"/>
        <v>1.2940716866881532E-2</v>
      </c>
      <c r="AF94" s="792">
        <f t="shared" si="112"/>
        <v>1.5463917525773196E-2</v>
      </c>
      <c r="AG94" s="116">
        <f t="shared" si="112"/>
        <v>1.4161440420797087E-2</v>
      </c>
      <c r="AH94" s="116">
        <f t="shared" ref="AH94:AK94" si="113">+AH93/AH76</f>
        <v>1.5970637833548258E-2</v>
      </c>
      <c r="AI94" s="116">
        <f t="shared" si="113"/>
        <v>1.5956474030724213E-2</v>
      </c>
      <c r="AJ94" s="792">
        <f t="shared" si="113"/>
        <v>1.6518241884515943E-2</v>
      </c>
      <c r="AK94" s="792">
        <f t="shared" si="113"/>
        <v>1.3439333711906113E-2</v>
      </c>
      <c r="AL94" s="792">
        <f t="shared" ref="AL94" si="114">+AL93/AL76</f>
        <v>1.6122421095778112E-2</v>
      </c>
      <c r="AM94" s="792">
        <f>+AM93/AM76</f>
        <v>1.8208942126277917E-2</v>
      </c>
    </row>
    <row r="95" spans="2:39" x14ac:dyDescent="0.2">
      <c r="B95" s="38"/>
      <c r="C95" s="38"/>
      <c r="D95" s="517"/>
      <c r="E95" s="517"/>
      <c r="F95" s="296"/>
      <c r="G95" s="296"/>
      <c r="H95" s="296"/>
      <c r="I95" s="296"/>
      <c r="J95" s="296"/>
      <c r="L95" s="526"/>
      <c r="M95" s="526"/>
      <c r="N95" s="526"/>
      <c r="O95" s="526"/>
      <c r="P95" s="835"/>
      <c r="Q95" s="107"/>
      <c r="R95" s="107"/>
      <c r="S95" s="107"/>
      <c r="T95" s="788"/>
      <c r="U95" s="107"/>
      <c r="V95" s="107"/>
      <c r="W95" s="107"/>
      <c r="X95" s="788"/>
      <c r="Y95" s="107"/>
      <c r="Z95" s="107"/>
      <c r="AA95" s="107"/>
      <c r="AB95" s="788"/>
      <c r="AC95" s="107"/>
      <c r="AD95" s="107"/>
      <c r="AE95" s="107"/>
      <c r="AF95" s="788"/>
      <c r="AG95" s="107"/>
      <c r="AH95" s="107"/>
      <c r="AI95" s="107"/>
      <c r="AJ95" s="788"/>
      <c r="AK95" s="788"/>
      <c r="AL95" s="788"/>
      <c r="AM95" s="788"/>
    </row>
    <row r="96" spans="2:39" x14ac:dyDescent="0.2">
      <c r="B96" s="142" t="s">
        <v>208</v>
      </c>
      <c r="C96" s="41"/>
      <c r="D96" s="515">
        <f>SUMIFS($L96:$AG96,$L$3:$AG$3,D$4)</f>
        <v>0</v>
      </c>
      <c r="E96" s="515">
        <f>SUMIFS($L96:$AG96,$L$3:$AG$3,E$4)</f>
        <v>0</v>
      </c>
      <c r="F96" s="111">
        <f>-'3FS'!E139</f>
        <v>11034</v>
      </c>
      <c r="G96" s="106">
        <f t="shared" ref="G96:I97" si="115">SUMIFS($L96:$AG96,$L$3:$AG$3,G$4)</f>
        <v>12326</v>
      </c>
      <c r="H96" s="106">
        <f t="shared" si="115"/>
        <v>13970</v>
      </c>
      <c r="I96" s="106">
        <f t="shared" si="115"/>
        <v>9801</v>
      </c>
      <c r="J96" s="106">
        <f t="shared" ref="J96:J97" si="116">SUMIFS($L96:$AZ96,$L$3:$AZ$3,J$4)</f>
        <v>8840</v>
      </c>
      <c r="L96" s="340"/>
      <c r="M96" s="340"/>
      <c r="N96" s="340"/>
      <c r="O96" s="340"/>
      <c r="P96" s="833"/>
      <c r="Q96" s="111">
        <f>-'3FS'!P139</f>
        <v>2257</v>
      </c>
      <c r="R96" s="111">
        <f>-'3FS'!Q139</f>
        <v>3217</v>
      </c>
      <c r="S96" s="111">
        <f>-'3FS'!R139</f>
        <v>3807</v>
      </c>
      <c r="T96" s="784">
        <f>-'3FS'!S139</f>
        <v>3183</v>
      </c>
      <c r="U96" s="111">
        <f>-'3FS'!T139</f>
        <v>3270</v>
      </c>
      <c r="V96" s="111">
        <f>-'3FS'!U139</f>
        <v>2944</v>
      </c>
      <c r="W96" s="111">
        <f>-'3FS'!V139</f>
        <v>2929</v>
      </c>
      <c r="X96" s="784">
        <f>-'3FS'!W139</f>
        <v>3381</v>
      </c>
      <c r="Y96" s="111">
        <f>-'3FS'!X139</f>
        <v>3572</v>
      </c>
      <c r="Z96" s="111">
        <f>-'3FS'!Y139</f>
        <v>3634</v>
      </c>
      <c r="AA96" s="111">
        <f>-'3FS'!Z139</f>
        <v>3383</v>
      </c>
      <c r="AB96" s="784">
        <f>-'3FS'!AA139</f>
        <v>3001</v>
      </c>
      <c r="AC96" s="111">
        <f>-'3FS'!AB139</f>
        <v>2789</v>
      </c>
      <c r="AD96" s="111">
        <f>-'3FS'!AC139</f>
        <v>2424</v>
      </c>
      <c r="AE96" s="111">
        <f>-'3FS'!AD139</f>
        <v>1587</v>
      </c>
      <c r="AF96" s="784">
        <f>-'3FS'!AE139</f>
        <v>2627</v>
      </c>
      <c r="AG96" s="111">
        <f>-'3FS'!AF139</f>
        <v>2040</v>
      </c>
      <c r="AH96" s="111">
        <f>-'3FS'!AG139</f>
        <v>1961</v>
      </c>
      <c r="AI96" s="111">
        <f>-'3FS'!AH139</f>
        <v>2212</v>
      </c>
      <c r="AJ96" s="784">
        <f>-'3FS'!AI139</f>
        <v>2451</v>
      </c>
      <c r="AK96" s="784">
        <f>-'3FS'!AJ139</f>
        <v>2396</v>
      </c>
      <c r="AL96" s="784">
        <f>-'3FS'!AK139</f>
        <v>2639</v>
      </c>
      <c r="AM96" s="784">
        <f>-'3FS'!AL139</f>
        <v>2703</v>
      </c>
    </row>
    <row r="97" spans="2:39" x14ac:dyDescent="0.2">
      <c r="B97" s="42" t="s">
        <v>164</v>
      </c>
      <c r="C97" s="42"/>
      <c r="D97" s="515">
        <f>SUMIFS($L97:$AG97,$L$3:$AG$3,D$4)</f>
        <v>0</v>
      </c>
      <c r="E97" s="515">
        <f>SUMIFS($L97:$AG97,$L$3:$AG$3,E$4)</f>
        <v>0</v>
      </c>
      <c r="F97" s="106">
        <f>SUMIFS($L97:$AG97,$L$3:$AG$3,F$4)</f>
        <v>328</v>
      </c>
      <c r="G97" s="106">
        <f t="shared" si="115"/>
        <v>210</v>
      </c>
      <c r="H97" s="106">
        <f t="shared" si="115"/>
        <v>61</v>
      </c>
      <c r="I97" s="106">
        <f t="shared" si="115"/>
        <v>104</v>
      </c>
      <c r="J97" s="106">
        <f t="shared" si="116"/>
        <v>34</v>
      </c>
      <c r="L97" s="337"/>
      <c r="M97" s="337"/>
      <c r="N97" s="337"/>
      <c r="O97" s="337"/>
      <c r="P97" s="836"/>
      <c r="Q97" s="114">
        <v>119</v>
      </c>
      <c r="R97" s="114">
        <v>108</v>
      </c>
      <c r="S97" s="114">
        <v>101</v>
      </c>
      <c r="T97" s="789">
        <v>84</v>
      </c>
      <c r="U97" s="114">
        <v>57</v>
      </c>
      <c r="V97" s="114">
        <v>46</v>
      </c>
      <c r="W97" s="114">
        <v>23</v>
      </c>
      <c r="X97" s="789">
        <v>15</v>
      </c>
      <c r="Y97" s="114">
        <v>13</v>
      </c>
      <c r="Z97" s="114">
        <v>16</v>
      </c>
      <c r="AA97" s="114">
        <v>17</v>
      </c>
      <c r="AB97" s="789">
        <v>14</v>
      </c>
      <c r="AC97" s="114">
        <v>14</v>
      </c>
      <c r="AD97" s="114">
        <v>66</v>
      </c>
      <c r="AE97" s="114">
        <v>10</v>
      </c>
      <c r="AF97" s="789">
        <v>9</v>
      </c>
      <c r="AG97" s="114">
        <v>8</v>
      </c>
      <c r="AH97" s="114">
        <v>9</v>
      </c>
      <c r="AI97" s="114">
        <v>8</v>
      </c>
      <c r="AJ97" s="789">
        <v>10</v>
      </c>
      <c r="AK97" s="789">
        <v>10</v>
      </c>
      <c r="AL97" s="789">
        <v>13</v>
      </c>
      <c r="AM97" s="789">
        <v>6</v>
      </c>
    </row>
    <row r="98" spans="2:39" x14ac:dyDescent="0.2">
      <c r="B98" s="38"/>
      <c r="C98" s="38"/>
      <c r="D98" s="517"/>
      <c r="E98" s="517"/>
      <c r="F98" s="296"/>
      <c r="G98" s="296"/>
      <c r="H98" s="296"/>
      <c r="I98" s="296"/>
      <c r="J98" s="296"/>
      <c r="L98" s="526"/>
      <c r="M98" s="526"/>
      <c r="N98" s="526"/>
      <c r="O98" s="526"/>
      <c r="P98" s="835"/>
      <c r="Q98" s="107"/>
      <c r="R98" s="107"/>
      <c r="S98" s="107"/>
      <c r="T98" s="788"/>
      <c r="U98" s="107"/>
      <c r="V98" s="107"/>
      <c r="W98" s="107"/>
      <c r="X98" s="788"/>
      <c r="Y98" s="107"/>
      <c r="Z98" s="107"/>
      <c r="AA98" s="107"/>
      <c r="AB98" s="788"/>
      <c r="AC98" s="107"/>
      <c r="AD98" s="107"/>
      <c r="AE98" s="107"/>
      <c r="AF98" s="788"/>
      <c r="AG98" s="107"/>
      <c r="AH98" s="107"/>
      <c r="AI98" s="107"/>
      <c r="AJ98" s="788"/>
      <c r="AK98" s="788"/>
      <c r="AL98" s="788"/>
      <c r="AM98" s="788"/>
    </row>
    <row r="99" spans="2:39" x14ac:dyDescent="0.2">
      <c r="B99" s="39" t="s">
        <v>165</v>
      </c>
      <c r="C99" s="39"/>
      <c r="D99" s="515">
        <f t="shared" ref="D99:I100" si="117">SUMIFS($L99:$AG99,$L$3:$AG$3,D$4)</f>
        <v>0</v>
      </c>
      <c r="E99" s="515">
        <f t="shared" si="117"/>
        <v>0</v>
      </c>
      <c r="F99" s="106">
        <f t="shared" si="117"/>
        <v>-224</v>
      </c>
      <c r="G99" s="106">
        <f t="shared" si="117"/>
        <v>39</v>
      </c>
      <c r="H99" s="106">
        <f t="shared" si="117"/>
        <v>-57</v>
      </c>
      <c r="I99" s="106">
        <f t="shared" si="117"/>
        <v>-114</v>
      </c>
      <c r="J99" s="106">
        <f t="shared" ref="J99:J100" si="118">SUMIFS($L99:$AZ99,$L$3:$AZ$3,J$4)</f>
        <v>-115</v>
      </c>
      <c r="L99" s="337"/>
      <c r="M99" s="337"/>
      <c r="N99" s="337"/>
      <c r="O99" s="337"/>
      <c r="P99" s="836"/>
      <c r="Q99" s="114">
        <v>-99</v>
      </c>
      <c r="R99" s="114">
        <v>5</v>
      </c>
      <c r="S99" s="114">
        <v>-130</v>
      </c>
      <c r="T99" s="789">
        <v>22</v>
      </c>
      <c r="U99" s="114">
        <v>18</v>
      </c>
      <c r="V99" s="114">
        <v>-2</v>
      </c>
      <c r="W99" s="114">
        <v>1</v>
      </c>
      <c r="X99" s="789">
        <v>-3</v>
      </c>
      <c r="Y99" s="114">
        <v>-10</v>
      </c>
      <c r="Z99" s="114">
        <v>-18</v>
      </c>
      <c r="AA99" s="114">
        <v>-26</v>
      </c>
      <c r="AB99" s="789">
        <v>-29</v>
      </c>
      <c r="AC99" s="114">
        <v>-31</v>
      </c>
      <c r="AD99" s="114">
        <v>-33</v>
      </c>
      <c r="AE99" s="114">
        <v>-21</v>
      </c>
      <c r="AF99" s="789">
        <v>-29</v>
      </c>
      <c r="AG99" s="114">
        <v>-30</v>
      </c>
      <c r="AH99" s="114">
        <v>-29</v>
      </c>
      <c r="AI99" s="114">
        <v>-27</v>
      </c>
      <c r="AJ99" s="789">
        <v>-26</v>
      </c>
      <c r="AK99" s="789">
        <v>-23</v>
      </c>
      <c r="AL99" s="789">
        <v>-25</v>
      </c>
      <c r="AM99" s="789">
        <v>-22</v>
      </c>
    </row>
    <row r="100" spans="2:39" x14ac:dyDescent="0.2">
      <c r="B100" s="39" t="s">
        <v>166</v>
      </c>
      <c r="C100" s="39"/>
      <c r="D100" s="515">
        <f t="shared" si="117"/>
        <v>0</v>
      </c>
      <c r="E100" s="515">
        <f t="shared" si="117"/>
        <v>0</v>
      </c>
      <c r="F100" s="106">
        <f t="shared" si="117"/>
        <v>0</v>
      </c>
      <c r="G100" s="106">
        <f t="shared" si="117"/>
        <v>0</v>
      </c>
      <c r="H100" s="106">
        <f t="shared" si="117"/>
        <v>3364</v>
      </c>
      <c r="I100" s="106">
        <f t="shared" si="117"/>
        <v>1973</v>
      </c>
      <c r="J100" s="106">
        <f t="shared" si="118"/>
        <v>819</v>
      </c>
      <c r="L100" s="342"/>
      <c r="M100" s="342"/>
      <c r="N100" s="342"/>
      <c r="O100" s="342"/>
      <c r="P100" s="837"/>
      <c r="Q100" s="134"/>
      <c r="R100" s="134"/>
      <c r="S100" s="134"/>
      <c r="T100" s="843"/>
      <c r="U100" s="134"/>
      <c r="V100" s="134"/>
      <c r="W100" s="134"/>
      <c r="X100" s="789">
        <v>893</v>
      </c>
      <c r="Y100" s="114">
        <v>907</v>
      </c>
      <c r="Z100" s="114">
        <v>942</v>
      </c>
      <c r="AA100" s="114">
        <v>622</v>
      </c>
      <c r="AB100" s="789">
        <v>484</v>
      </c>
      <c r="AC100" s="114">
        <v>728</v>
      </c>
      <c r="AD100" s="114">
        <v>345</v>
      </c>
      <c r="AE100" s="114">
        <v>416</v>
      </c>
      <c r="AF100" s="789">
        <v>293</v>
      </c>
      <c r="AG100" s="114">
        <v>293</v>
      </c>
      <c r="AH100" s="114">
        <v>124</v>
      </c>
      <c r="AI100" s="114">
        <v>109</v>
      </c>
      <c r="AJ100" s="789">
        <v>61</v>
      </c>
      <c r="AK100" s="789">
        <v>61</v>
      </c>
      <c r="AL100" s="789">
        <v>96</v>
      </c>
      <c r="AM100" s="789">
        <v>181</v>
      </c>
    </row>
    <row r="101" spans="2:39" x14ac:dyDescent="0.2">
      <c r="B101" s="38"/>
      <c r="C101" s="38"/>
      <c r="D101" s="520"/>
      <c r="E101" s="520"/>
      <c r="F101" s="300"/>
      <c r="G101" s="300"/>
      <c r="H101" s="300"/>
      <c r="I101" s="300"/>
      <c r="J101" s="300"/>
      <c r="L101" s="38"/>
      <c r="M101" s="38"/>
      <c r="N101" s="38"/>
      <c r="O101" s="38"/>
      <c r="P101" s="793"/>
      <c r="Q101" s="38"/>
      <c r="R101" s="38"/>
      <c r="S101" s="38"/>
      <c r="T101" s="793"/>
      <c r="U101" s="38"/>
      <c r="V101" s="38"/>
      <c r="W101" s="38"/>
      <c r="X101" s="793"/>
      <c r="Y101" s="38"/>
      <c r="Z101" s="38"/>
      <c r="AA101" s="38"/>
      <c r="AB101" s="793"/>
      <c r="AC101" s="38"/>
      <c r="AD101" s="38"/>
      <c r="AE101" s="38"/>
      <c r="AF101" s="793"/>
      <c r="AG101" s="38"/>
      <c r="AH101" s="38"/>
      <c r="AI101" s="38"/>
      <c r="AJ101" s="793"/>
      <c r="AK101" s="793"/>
      <c r="AL101" s="793"/>
      <c r="AM101" s="793"/>
    </row>
    <row r="102" spans="2:39" x14ac:dyDescent="0.2">
      <c r="B102" s="37" t="s">
        <v>167</v>
      </c>
      <c r="C102" s="144"/>
      <c r="D102" s="520"/>
      <c r="E102" s="520"/>
      <c r="F102" s="300"/>
      <c r="G102" s="300"/>
      <c r="H102" s="300"/>
      <c r="I102" s="300"/>
      <c r="J102" s="300"/>
      <c r="L102" s="38"/>
      <c r="M102" s="38"/>
      <c r="N102" s="38"/>
      <c r="O102" s="38"/>
      <c r="P102" s="793"/>
      <c r="Q102" s="38"/>
      <c r="R102" s="38"/>
      <c r="S102" s="38"/>
      <c r="T102" s="793"/>
      <c r="U102" s="38"/>
      <c r="V102" s="38"/>
      <c r="W102" s="38"/>
      <c r="X102" s="793"/>
      <c r="Y102" s="38"/>
      <c r="Z102" s="117"/>
      <c r="AA102" s="38"/>
      <c r="AB102" s="793"/>
      <c r="AC102" s="38"/>
      <c r="AD102" s="38"/>
      <c r="AE102" s="38"/>
      <c r="AF102" s="793"/>
      <c r="AG102" s="38"/>
      <c r="AH102" s="38"/>
      <c r="AI102" s="38"/>
      <c r="AJ102" s="793"/>
      <c r="AK102" s="793"/>
      <c r="AL102" s="793"/>
      <c r="AM102" s="793"/>
    </row>
    <row r="103" spans="2:39" x14ac:dyDescent="0.2">
      <c r="B103" s="41" t="s">
        <v>168</v>
      </c>
      <c r="C103" s="41"/>
      <c r="D103" s="515">
        <f t="shared" ref="D103:I104" si="119">SUMIFS($L103:$AG103,$L$3:$AG$3,D$4)</f>
        <v>0</v>
      </c>
      <c r="E103" s="515">
        <f t="shared" si="119"/>
        <v>0</v>
      </c>
      <c r="F103" s="106">
        <f t="shared" si="119"/>
        <v>0</v>
      </c>
      <c r="G103" s="106">
        <f t="shared" si="119"/>
        <v>0</v>
      </c>
      <c r="H103" s="106">
        <f t="shared" si="119"/>
        <v>3000</v>
      </c>
      <c r="I103" s="106">
        <f t="shared" si="119"/>
        <v>13207</v>
      </c>
      <c r="J103" s="106">
        <f t="shared" ref="J103:J104" si="120">SUMIFS($L103:$AZ103,$L$3:$AZ$3,J$4)</f>
        <v>11108</v>
      </c>
      <c r="L103" s="118"/>
      <c r="M103" s="118"/>
      <c r="N103" s="118"/>
      <c r="O103" s="118"/>
      <c r="P103" s="794"/>
      <c r="Q103" s="118"/>
      <c r="R103" s="118"/>
      <c r="S103" s="118"/>
      <c r="T103" s="794"/>
      <c r="U103" s="118"/>
      <c r="V103" s="118"/>
      <c r="W103" s="118"/>
      <c r="X103" s="794">
        <v>0</v>
      </c>
      <c r="Y103" s="118">
        <v>0</v>
      </c>
      <c r="Z103" s="118">
        <v>669</v>
      </c>
      <c r="AA103" s="118">
        <v>2331</v>
      </c>
      <c r="AB103" s="794">
        <v>4766</v>
      </c>
      <c r="AC103" s="118">
        <v>3525</v>
      </c>
      <c r="AD103" s="118">
        <v>2675</v>
      </c>
      <c r="AE103" s="118">
        <v>2241</v>
      </c>
      <c r="AF103" s="794">
        <v>3568</v>
      </c>
      <c r="AG103" s="118">
        <v>2277</v>
      </c>
      <c r="AH103" s="118">
        <v>644</v>
      </c>
      <c r="AI103" s="118">
        <v>4619</v>
      </c>
      <c r="AJ103" s="794">
        <v>2470</v>
      </c>
      <c r="AK103" s="794">
        <v>2469</v>
      </c>
      <c r="AL103" s="794">
        <v>2470</v>
      </c>
      <c r="AM103" s="794">
        <v>2156</v>
      </c>
    </row>
    <row r="104" spans="2:39" x14ac:dyDescent="0.2">
      <c r="B104" s="42" t="s">
        <v>819</v>
      </c>
      <c r="C104" s="42"/>
      <c r="D104" s="515">
        <f t="shared" si="119"/>
        <v>0</v>
      </c>
      <c r="E104" s="515">
        <f t="shared" si="119"/>
        <v>0</v>
      </c>
      <c r="F104" s="106">
        <f t="shared" si="119"/>
        <v>0</v>
      </c>
      <c r="G104" s="106">
        <f t="shared" si="119"/>
        <v>0</v>
      </c>
      <c r="H104" s="106">
        <f t="shared" si="119"/>
        <v>21.361071819109938</v>
      </c>
      <c r="I104" s="106">
        <f t="shared" si="119"/>
        <v>92.922672832685791</v>
      </c>
      <c r="J104" s="106">
        <f t="shared" si="120"/>
        <v>59.37818661859626</v>
      </c>
      <c r="L104" s="109"/>
      <c r="M104" s="109"/>
      <c r="N104" s="109"/>
      <c r="O104" s="109"/>
      <c r="P104" s="795"/>
      <c r="Q104" s="109"/>
      <c r="R104" s="109"/>
      <c r="S104" s="109"/>
      <c r="T104" s="795"/>
      <c r="U104" s="109"/>
      <c r="V104" s="109"/>
      <c r="W104" s="109"/>
      <c r="X104" s="795">
        <v>0</v>
      </c>
      <c r="Y104" s="109">
        <v>0</v>
      </c>
      <c r="Z104" s="109">
        <f t="shared" ref="Z104:AH104" si="121">+Z103/Z105</f>
        <v>4.8957189901207459</v>
      </c>
      <c r="AA104" s="109">
        <f t="shared" si="121"/>
        <v>16.465352828989193</v>
      </c>
      <c r="AB104" s="795">
        <f t="shared" si="121"/>
        <v>32.966728920246247</v>
      </c>
      <c r="AC104" s="109">
        <f t="shared" si="121"/>
        <v>25.178571428571427</v>
      </c>
      <c r="AD104" s="109">
        <f t="shared" si="121"/>
        <v>19.316868861929521</v>
      </c>
      <c r="AE104" s="109">
        <f t="shared" si="121"/>
        <v>15.460503621938601</v>
      </c>
      <c r="AF104" s="795">
        <f t="shared" si="121"/>
        <v>21.931280349130247</v>
      </c>
      <c r="AG104" s="109">
        <f t="shared" si="121"/>
        <v>13.982192201412342</v>
      </c>
      <c r="AH104" s="109">
        <f t="shared" si="121"/>
        <v>3.1810323536675722</v>
      </c>
      <c r="AI104" s="109">
        <f t="shared" ref="AI104:AK104" si="122">+AI103/AI105</f>
        <v>20.283681714386088</v>
      </c>
      <c r="AJ104" s="795">
        <f t="shared" si="122"/>
        <v>10.09110593618499</v>
      </c>
      <c r="AK104" s="795">
        <f t="shared" si="122"/>
        <v>10.147131349662995</v>
      </c>
      <c r="AL104" s="795">
        <f>10204072/1000000</f>
        <v>10.204072</v>
      </c>
      <c r="AM104" s="795">
        <f>11420845/1000000</f>
        <v>11.420845</v>
      </c>
    </row>
    <row r="105" spans="2:39" x14ac:dyDescent="0.2">
      <c r="B105" s="42" t="s">
        <v>170</v>
      </c>
      <c r="C105" s="42"/>
      <c r="D105" s="521"/>
      <c r="E105" s="521"/>
      <c r="F105" s="301"/>
      <c r="G105" s="301"/>
      <c r="H105" s="301">
        <f>+H103/H104</f>
        <v>140.44239097198084</v>
      </c>
      <c r="I105" s="301">
        <f>+I103/I104</f>
        <v>142.12892932793903</v>
      </c>
      <c r="J105" s="301">
        <f>+J103/J104</f>
        <v>187.07206522405249</v>
      </c>
      <c r="L105" s="119"/>
      <c r="M105" s="119"/>
      <c r="N105" s="119"/>
      <c r="O105" s="119"/>
      <c r="P105" s="796"/>
      <c r="Q105" s="119"/>
      <c r="R105" s="119"/>
      <c r="S105" s="119"/>
      <c r="T105" s="796"/>
      <c r="U105" s="119"/>
      <c r="V105" s="119"/>
      <c r="W105" s="119"/>
      <c r="X105" s="796">
        <v>0</v>
      </c>
      <c r="Y105" s="119">
        <v>0</v>
      </c>
      <c r="Z105" s="119">
        <v>136.65</v>
      </c>
      <c r="AA105" s="119">
        <v>141.57</v>
      </c>
      <c r="AB105" s="796">
        <v>144.57</v>
      </c>
      <c r="AC105" s="119">
        <v>140</v>
      </c>
      <c r="AD105" s="119">
        <v>138.47999999999999</v>
      </c>
      <c r="AE105" s="119">
        <v>144.94999999999999</v>
      </c>
      <c r="AF105" s="796">
        <v>162.69</v>
      </c>
      <c r="AG105" s="119">
        <v>162.85</v>
      </c>
      <c r="AH105" s="119">
        <v>202.45</v>
      </c>
      <c r="AI105" s="119">
        <v>227.72</v>
      </c>
      <c r="AJ105" s="796">
        <v>244.77</v>
      </c>
      <c r="AK105" s="796">
        <v>243.32</v>
      </c>
      <c r="AL105" s="796">
        <v>242.01</v>
      </c>
      <c r="AM105" s="796">
        <v>188.76</v>
      </c>
    </row>
    <row r="106" spans="2:39" x14ac:dyDescent="0.2">
      <c r="B106" s="39" t="s">
        <v>171</v>
      </c>
      <c r="C106" s="39"/>
      <c r="D106" s="515">
        <f t="shared" ref="D106:I106" si="123">SUMIFS($L106:$AG106,$L$3:$AG$3,D$4)</f>
        <v>0</v>
      </c>
      <c r="E106" s="515">
        <f t="shared" si="123"/>
        <v>0</v>
      </c>
      <c r="F106" s="106">
        <f t="shared" si="123"/>
        <v>0</v>
      </c>
      <c r="G106" s="106">
        <f t="shared" si="123"/>
        <v>0</v>
      </c>
      <c r="H106" s="106">
        <f t="shared" si="123"/>
        <v>0</v>
      </c>
      <c r="I106" s="106">
        <f t="shared" si="123"/>
        <v>747</v>
      </c>
      <c r="J106" s="106">
        <f t="shared" ref="J106" si="124">SUMIFS($L106:$AZ106,$L$3:$AZ$3,J$4)</f>
        <v>3300</v>
      </c>
      <c r="L106" s="118"/>
      <c r="M106" s="118"/>
      <c r="N106" s="118"/>
      <c r="O106" s="118"/>
      <c r="P106" s="794"/>
      <c r="Q106" s="118"/>
      <c r="R106" s="118"/>
      <c r="S106" s="118"/>
      <c r="T106" s="794"/>
      <c r="U106" s="118"/>
      <c r="V106" s="118"/>
      <c r="W106" s="118"/>
      <c r="X106" s="794">
        <v>0</v>
      </c>
      <c r="Y106" s="118">
        <v>0</v>
      </c>
      <c r="Z106" s="118">
        <v>0</v>
      </c>
      <c r="AA106" s="118">
        <v>0</v>
      </c>
      <c r="AB106" s="794">
        <v>0</v>
      </c>
      <c r="AC106" s="118">
        <v>0</v>
      </c>
      <c r="AD106" s="118">
        <v>0</v>
      </c>
      <c r="AE106" s="118">
        <v>747</v>
      </c>
      <c r="AF106" s="794">
        <v>769</v>
      </c>
      <c r="AG106" s="118">
        <v>759</v>
      </c>
      <c r="AH106" s="118">
        <v>758</v>
      </c>
      <c r="AI106" s="118">
        <v>1014</v>
      </c>
      <c r="AJ106" s="794">
        <v>1003</v>
      </c>
      <c r="AK106" s="794">
        <v>996</v>
      </c>
      <c r="AL106" s="794">
        <v>987</v>
      </c>
      <c r="AM106" s="794">
        <v>1101</v>
      </c>
    </row>
    <row r="107" spans="2:39" x14ac:dyDescent="0.2">
      <c r="B107" s="42" t="s">
        <v>172</v>
      </c>
      <c r="C107" s="42"/>
      <c r="D107" s="521"/>
      <c r="E107" s="521"/>
      <c r="F107" s="301"/>
      <c r="G107" s="301"/>
      <c r="H107" s="301"/>
      <c r="I107" s="301">
        <f>+I106/'3FS'!H42</f>
        <v>0.63031508661387425</v>
      </c>
      <c r="J107" s="301">
        <f>+J106/'3FS'!I42</f>
        <v>2.8224538654584634</v>
      </c>
      <c r="L107" s="119"/>
      <c r="M107" s="119"/>
      <c r="N107" s="119"/>
      <c r="O107" s="119"/>
      <c r="P107" s="796"/>
      <c r="Q107" s="119"/>
      <c r="R107" s="119"/>
      <c r="S107" s="119"/>
      <c r="T107" s="796"/>
      <c r="U107" s="119"/>
      <c r="V107" s="119"/>
      <c r="W107" s="119"/>
      <c r="X107" s="796">
        <v>0</v>
      </c>
      <c r="Y107" s="119">
        <v>0</v>
      </c>
      <c r="Z107" s="119">
        <v>0</v>
      </c>
      <c r="AA107" s="119">
        <v>0</v>
      </c>
      <c r="AB107" s="796">
        <v>0</v>
      </c>
      <c r="AC107" s="119">
        <v>0</v>
      </c>
      <c r="AD107" s="119">
        <v>0</v>
      </c>
      <c r="AE107" s="119">
        <v>0.65</v>
      </c>
      <c r="AF107" s="796">
        <v>0.65</v>
      </c>
      <c r="AG107" s="119">
        <v>0.65</v>
      </c>
      <c r="AH107" s="119">
        <v>0.65</v>
      </c>
      <c r="AI107" s="119">
        <v>0.88</v>
      </c>
      <c r="AJ107" s="796">
        <v>0.88</v>
      </c>
      <c r="AK107" s="796">
        <v>0.88</v>
      </c>
      <c r="AL107" s="796">
        <v>0.88</v>
      </c>
      <c r="AM107" s="796">
        <v>1.02</v>
      </c>
    </row>
    <row r="108" spans="2:39" x14ac:dyDescent="0.2">
      <c r="B108" s="39" t="s">
        <v>173</v>
      </c>
      <c r="C108" s="39"/>
      <c r="D108" s="515">
        <f t="shared" ref="D108:I108" si="125">SUMIFS($L108:$AG108,$L$3:$AG$3,D$4)</f>
        <v>0</v>
      </c>
      <c r="E108" s="515">
        <f t="shared" si="125"/>
        <v>0</v>
      </c>
      <c r="F108" s="106">
        <f t="shared" si="125"/>
        <v>0</v>
      </c>
      <c r="G108" s="106">
        <f t="shared" si="125"/>
        <v>0</v>
      </c>
      <c r="H108" s="106">
        <f t="shared" si="125"/>
        <v>3000</v>
      </c>
      <c r="I108" s="106">
        <f t="shared" si="125"/>
        <v>13954</v>
      </c>
      <c r="J108" s="106">
        <f t="shared" ref="J108" si="126">SUMIFS($L108:$AZ108,$L$3:$AZ$3,J$4)</f>
        <v>14408</v>
      </c>
      <c r="L108" s="135"/>
      <c r="M108" s="135"/>
      <c r="N108" s="135"/>
      <c r="O108" s="135"/>
      <c r="P108" s="797"/>
      <c r="Q108" s="135"/>
      <c r="R108" s="135"/>
      <c r="S108" s="135"/>
      <c r="T108" s="797"/>
      <c r="U108" s="135"/>
      <c r="V108" s="135"/>
      <c r="W108" s="135"/>
      <c r="X108" s="797">
        <f t="shared" ref="X108:AG108" si="127">+X106+X103</f>
        <v>0</v>
      </c>
      <c r="Y108" s="135">
        <f t="shared" si="127"/>
        <v>0</v>
      </c>
      <c r="Z108" s="135">
        <f t="shared" si="127"/>
        <v>669</v>
      </c>
      <c r="AA108" s="135">
        <f t="shared" si="127"/>
        <v>2331</v>
      </c>
      <c r="AB108" s="797">
        <f t="shared" si="127"/>
        <v>4766</v>
      </c>
      <c r="AC108" s="135">
        <f t="shared" si="127"/>
        <v>3525</v>
      </c>
      <c r="AD108" s="135">
        <f t="shared" si="127"/>
        <v>2675</v>
      </c>
      <c r="AE108" s="135">
        <f t="shared" si="127"/>
        <v>2988</v>
      </c>
      <c r="AF108" s="797">
        <f t="shared" si="127"/>
        <v>4337</v>
      </c>
      <c r="AG108" s="135">
        <f t="shared" si="127"/>
        <v>3036</v>
      </c>
      <c r="AH108" s="135">
        <f t="shared" ref="AH108:AJ108" si="128">+AH106+AH103</f>
        <v>1402</v>
      </c>
      <c r="AI108" s="135">
        <f t="shared" si="128"/>
        <v>5633</v>
      </c>
      <c r="AJ108" s="797">
        <f t="shared" si="128"/>
        <v>3473</v>
      </c>
      <c r="AK108" s="797">
        <f t="shared" ref="AK108:AL108" si="129">+AK106+AK103</f>
        <v>3465</v>
      </c>
      <c r="AL108" s="797">
        <f t="shared" si="129"/>
        <v>3457</v>
      </c>
      <c r="AM108" s="797">
        <f>+AM106+AM103</f>
        <v>3257</v>
      </c>
    </row>
    <row r="109" spans="2:39" x14ac:dyDescent="0.2">
      <c r="B109" s="42" t="s">
        <v>217</v>
      </c>
      <c r="C109" s="42"/>
      <c r="D109" s="515">
        <f t="shared" ref="D109:I109" si="130">SUMIFS($L109:$AG109,$L$3:$AG$3,D$4,$L$2:$AG$2, 4)</f>
        <v>0</v>
      </c>
      <c r="E109" s="515">
        <f t="shared" si="130"/>
        <v>0</v>
      </c>
      <c r="F109" s="106">
        <f t="shared" si="130"/>
        <v>0</v>
      </c>
      <c r="G109" s="106">
        <f t="shared" si="130"/>
        <v>0</v>
      </c>
      <c r="H109" s="106">
        <f t="shared" si="130"/>
        <v>3000</v>
      </c>
      <c r="I109" s="106">
        <f t="shared" si="130"/>
        <v>16954</v>
      </c>
      <c r="J109" s="106">
        <f t="shared" ref="J109" si="131">SUMIFS($L109:$AZ109,$L$3:$AZ$3,J$4,$L$2:$AZ$2, 4)</f>
        <v>31362</v>
      </c>
      <c r="L109" s="109"/>
      <c r="M109" s="109"/>
      <c r="N109" s="109"/>
      <c r="O109" s="109"/>
      <c r="P109" s="795"/>
      <c r="Q109" s="109"/>
      <c r="R109" s="109"/>
      <c r="S109" s="109"/>
      <c r="T109" s="795"/>
      <c r="U109" s="109"/>
      <c r="V109" s="109"/>
      <c r="W109" s="109"/>
      <c r="X109" s="795"/>
      <c r="Y109" s="109"/>
      <c r="Z109" s="110">
        <f>+Z108</f>
        <v>669</v>
      </c>
      <c r="AA109" s="110">
        <f t="shared" ref="AA109:AL109" si="132">+Z109+AA108</f>
        <v>3000</v>
      </c>
      <c r="AB109" s="798">
        <f t="shared" si="132"/>
        <v>7766</v>
      </c>
      <c r="AC109" s="110">
        <f t="shared" si="132"/>
        <v>11291</v>
      </c>
      <c r="AD109" s="110">
        <f t="shared" si="132"/>
        <v>13966</v>
      </c>
      <c r="AE109" s="110">
        <f t="shared" si="132"/>
        <v>16954</v>
      </c>
      <c r="AF109" s="798">
        <f t="shared" si="132"/>
        <v>21291</v>
      </c>
      <c r="AG109" s="110">
        <f t="shared" si="132"/>
        <v>24327</v>
      </c>
      <c r="AH109" s="110">
        <f t="shared" si="132"/>
        <v>25729</v>
      </c>
      <c r="AI109" s="110">
        <f t="shared" si="132"/>
        <v>31362</v>
      </c>
      <c r="AJ109" s="798">
        <f t="shared" si="132"/>
        <v>34835</v>
      </c>
      <c r="AK109" s="798">
        <f t="shared" si="132"/>
        <v>38300</v>
      </c>
      <c r="AL109" s="798">
        <f t="shared" si="132"/>
        <v>41757</v>
      </c>
      <c r="AM109" s="798">
        <v>54630</v>
      </c>
    </row>
    <row r="110" spans="2:39" x14ac:dyDescent="0.2">
      <c r="B110" s="42"/>
      <c r="C110" s="42"/>
      <c r="D110" s="521"/>
      <c r="E110" s="521"/>
      <c r="F110" s="301"/>
      <c r="G110" s="301"/>
      <c r="H110" s="301"/>
      <c r="I110" s="301"/>
      <c r="J110" s="301"/>
      <c r="L110" s="109"/>
      <c r="M110" s="109"/>
      <c r="N110" s="109"/>
      <c r="O110" s="109"/>
      <c r="P110" s="795"/>
      <c r="Q110" s="109"/>
      <c r="R110" s="109"/>
      <c r="S110" s="109"/>
      <c r="T110" s="795"/>
      <c r="U110" s="109"/>
      <c r="V110" s="109"/>
      <c r="W110" s="109"/>
      <c r="X110" s="795"/>
      <c r="Y110" s="109"/>
      <c r="Z110" s="110"/>
      <c r="AA110" s="110"/>
      <c r="AB110" s="798"/>
      <c r="AC110" s="110"/>
      <c r="AD110" s="110"/>
      <c r="AE110" s="110"/>
      <c r="AF110" s="798"/>
      <c r="AG110" s="110"/>
      <c r="AH110" s="110"/>
      <c r="AI110" s="110"/>
      <c r="AJ110" s="798"/>
      <c r="AK110" s="798"/>
      <c r="AL110" s="798"/>
      <c r="AM110" s="798"/>
    </row>
    <row r="111" spans="2:39" x14ac:dyDescent="0.2">
      <c r="B111" s="144" t="s">
        <v>219</v>
      </c>
      <c r="D111" s="506"/>
      <c r="E111" s="506"/>
      <c r="F111" s="251"/>
      <c r="G111" s="251"/>
      <c r="H111" s="251"/>
      <c r="I111" s="251"/>
      <c r="J111" s="251"/>
      <c r="P111" s="594"/>
      <c r="T111" s="594"/>
      <c r="X111" s="594"/>
      <c r="AB111" s="594"/>
      <c r="AF111" s="594"/>
      <c r="AJ111" s="594"/>
      <c r="AK111" s="594"/>
      <c r="AL111" s="594"/>
      <c r="AM111" s="594"/>
    </row>
    <row r="112" spans="2:39" x14ac:dyDescent="0.2">
      <c r="B112" s="39" t="s">
        <v>55</v>
      </c>
      <c r="D112" s="501">
        <f t="shared" ref="D112:I112" si="133">SUMIFS($L112:$AG112,$L$3:$AG$3,D$4,$L$2:$AG$2, 4)</f>
        <v>0</v>
      </c>
      <c r="E112" s="501">
        <f t="shared" si="133"/>
        <v>25</v>
      </c>
      <c r="F112" s="288">
        <f t="shared" si="133"/>
        <v>4579</v>
      </c>
      <c r="G112" s="288">
        <f t="shared" si="133"/>
        <v>3378</v>
      </c>
      <c r="H112" s="288">
        <f t="shared" si="133"/>
        <v>5164</v>
      </c>
      <c r="I112" s="288">
        <f t="shared" si="133"/>
        <v>3619</v>
      </c>
      <c r="J112" s="288">
        <f t="shared" ref="J112:J118" si="134">SUMIFS($L112:$AZ112,$L$3:$AZ$3,J$4,$L$2:$AZ$2, 4)</f>
        <v>4068</v>
      </c>
      <c r="K112" s="312"/>
      <c r="L112" s="343">
        <f>'3FS'!K85</f>
        <v>250</v>
      </c>
      <c r="M112" s="343">
        <f>'3FS'!L85</f>
        <v>300</v>
      </c>
      <c r="N112" s="343">
        <f>'3FS'!M85</f>
        <v>475</v>
      </c>
      <c r="O112" s="343">
        <f>'3FS'!N85</f>
        <v>25</v>
      </c>
      <c r="P112" s="838">
        <f>'3FS'!O85</f>
        <v>0</v>
      </c>
      <c r="Q112" s="149">
        <f>'3FS'!P85</f>
        <v>3818</v>
      </c>
      <c r="R112" s="149">
        <f>'3FS'!Q85</f>
        <v>3713</v>
      </c>
      <c r="S112" s="149">
        <f>'3FS'!R85</f>
        <v>4579</v>
      </c>
      <c r="T112" s="799">
        <f>'3FS'!S85</f>
        <v>4423</v>
      </c>
      <c r="U112" s="149">
        <f>'3FS'!T85</f>
        <v>4648</v>
      </c>
      <c r="V112" s="149">
        <f>'3FS'!U85</f>
        <v>2096</v>
      </c>
      <c r="W112" s="149">
        <f>'3FS'!V85</f>
        <v>3378</v>
      </c>
      <c r="X112" s="799">
        <f>'3FS'!W85</f>
        <v>2865</v>
      </c>
      <c r="Y112" s="149">
        <f>'3FS'!X85</f>
        <v>2942</v>
      </c>
      <c r="Z112" s="149">
        <f>'3FS'!Y85</f>
        <v>7398</v>
      </c>
      <c r="AA112" s="149">
        <f>'3FS'!Z85</f>
        <v>5164</v>
      </c>
      <c r="AB112" s="799">
        <f>'3FS'!AA85</f>
        <v>5215</v>
      </c>
      <c r="AC112" s="149">
        <f>'3FS'!AB85</f>
        <v>7731</v>
      </c>
      <c r="AD112" s="149">
        <f>'3FS'!AC85</f>
        <v>3437</v>
      </c>
      <c r="AE112" s="149">
        <f>'3FS'!AD85</f>
        <v>3619</v>
      </c>
      <c r="AF112" s="799">
        <f>'3FS'!AE85</f>
        <v>5356</v>
      </c>
      <c r="AG112" s="149">
        <f>'3FS'!AF85</f>
        <v>5867</v>
      </c>
      <c r="AH112" s="149">
        <f>'3FS'!AG85</f>
        <v>5851</v>
      </c>
      <c r="AI112" s="149">
        <f>'3FS'!AH85</f>
        <v>4068</v>
      </c>
      <c r="AJ112" s="799">
        <f>'3FS'!AI85</f>
        <v>8214</v>
      </c>
      <c r="AK112" s="799">
        <f>'3FS'!AJ85</f>
        <v>6408</v>
      </c>
      <c r="AL112" s="799">
        <f>'3FS'!AK85</f>
        <v>6333</v>
      </c>
      <c r="AM112" s="799">
        <f>'3FS'!AL85</f>
        <v>6117</v>
      </c>
    </row>
    <row r="113" spans="2:39" x14ac:dyDescent="0.2">
      <c r="B113" s="39" t="s">
        <v>56</v>
      </c>
      <c r="D113" s="501"/>
      <c r="E113" s="501"/>
      <c r="F113" s="288"/>
      <c r="G113" s="288"/>
      <c r="H113" s="288"/>
      <c r="I113" s="288"/>
      <c r="J113" s="288">
        <f t="shared" si="134"/>
        <v>0</v>
      </c>
      <c r="K113" s="545"/>
      <c r="L113" s="343">
        <f>'3FS'!K86</f>
        <v>598</v>
      </c>
      <c r="M113" s="343">
        <f>'3FS'!L86</f>
        <v>0</v>
      </c>
      <c r="N113" s="343">
        <f>'3FS'!M86</f>
        <v>0</v>
      </c>
      <c r="O113" s="343">
        <f>'3FS'!N86</f>
        <v>0</v>
      </c>
      <c r="P113" s="838">
        <f>'3FS'!O86</f>
        <v>2000</v>
      </c>
      <c r="Q113" s="149">
        <f>'3FS'!P86</f>
        <v>1235</v>
      </c>
      <c r="R113" s="149">
        <f>'3FS'!Q86</f>
        <v>0</v>
      </c>
      <c r="S113" s="149">
        <f>'3FS'!R86</f>
        <v>0</v>
      </c>
      <c r="T113" s="799">
        <f>'3FS'!S86</f>
        <v>0</v>
      </c>
      <c r="U113" s="149">
        <f>'3FS'!T86</f>
        <v>2235</v>
      </c>
      <c r="V113" s="149">
        <f>'3FS'!U86</f>
        <v>2240</v>
      </c>
      <c r="W113" s="149">
        <f>'3FS'!V86</f>
        <v>2245</v>
      </c>
      <c r="X113" s="799">
        <f>'3FS'!W86</f>
        <v>1250</v>
      </c>
      <c r="Y113" s="149">
        <f>'3FS'!X86</f>
        <v>0</v>
      </c>
      <c r="Z113" s="149">
        <f>'3FS'!Y86</f>
        <v>0</v>
      </c>
      <c r="AA113" s="149">
        <f>'3FS'!Z86</f>
        <v>0</v>
      </c>
      <c r="AB113" s="799">
        <f>'3FS'!AA86</f>
        <v>0</v>
      </c>
      <c r="AC113" s="149">
        <f>'3FS'!AB86</f>
        <v>0</v>
      </c>
      <c r="AD113" s="149">
        <f>'3FS'!AC86</f>
        <v>0</v>
      </c>
      <c r="AE113" s="149">
        <f>'3FS'!AD86</f>
        <v>0</v>
      </c>
      <c r="AF113" s="799">
        <f>'3FS'!AE86</f>
        <v>0</v>
      </c>
      <c r="AG113" s="149">
        <f>'3FS'!AF86</f>
        <v>0</v>
      </c>
      <c r="AH113" s="149">
        <f>'3FS'!AG86</f>
        <v>0</v>
      </c>
      <c r="AI113" s="149">
        <f>'3FS'!AH86</f>
        <v>0</v>
      </c>
      <c r="AJ113" s="799">
        <f>'3FS'!AI86</f>
        <v>0</v>
      </c>
      <c r="AK113" s="799">
        <f>'3FS'!AJ86</f>
        <v>0</v>
      </c>
      <c r="AL113" s="799">
        <f>'3FS'!AK86</f>
        <v>0</v>
      </c>
      <c r="AM113" s="799">
        <f>'3FS'!AL86</f>
        <v>0</v>
      </c>
    </row>
    <row r="114" spans="2:39" x14ac:dyDescent="0.2">
      <c r="B114" s="39" t="s">
        <v>59</v>
      </c>
      <c r="D114" s="501">
        <f t="shared" ref="D114:I118" si="135">SUMIFS($L114:$AG114,$L$3:$AG$3,D$4,$L$2:$AG$2, 4)</f>
        <v>0</v>
      </c>
      <c r="E114" s="501">
        <f t="shared" si="135"/>
        <v>957</v>
      </c>
      <c r="F114" s="288">
        <f t="shared" si="135"/>
        <v>1063</v>
      </c>
      <c r="G114" s="288">
        <f t="shared" si="135"/>
        <v>1120</v>
      </c>
      <c r="H114" s="288">
        <f t="shared" si="135"/>
        <v>1161</v>
      </c>
      <c r="I114" s="288">
        <f t="shared" si="135"/>
        <v>1260</v>
      </c>
      <c r="J114" s="288">
        <f t="shared" si="134"/>
        <v>1175</v>
      </c>
      <c r="K114" s="313"/>
      <c r="L114" s="343">
        <f>'3FS'!K89</f>
        <v>911</v>
      </c>
      <c r="M114" s="343">
        <f>'3FS'!L89</f>
        <v>963</v>
      </c>
      <c r="N114" s="343">
        <f>'3FS'!M89</f>
        <v>1013</v>
      </c>
      <c r="O114" s="343">
        <f>'3FS'!N89</f>
        <v>957</v>
      </c>
      <c r="P114" s="838">
        <f>'3FS'!O89</f>
        <v>918</v>
      </c>
      <c r="Q114" s="149">
        <f>'3FS'!P89</f>
        <v>1040</v>
      </c>
      <c r="R114" s="149">
        <f>'3FS'!Q89</f>
        <v>1050</v>
      </c>
      <c r="S114" s="149">
        <f>'3FS'!R89</f>
        <v>1063</v>
      </c>
      <c r="T114" s="799">
        <f>'3FS'!S89</f>
        <v>1013</v>
      </c>
      <c r="U114" s="149">
        <f>'3FS'!T89</f>
        <v>1045</v>
      </c>
      <c r="V114" s="149">
        <f>'3FS'!U89</f>
        <v>1154</v>
      </c>
      <c r="W114" s="149">
        <f>'3FS'!V89</f>
        <v>1120</v>
      </c>
      <c r="X114" s="799">
        <f>'3FS'!W89</f>
        <v>1121</v>
      </c>
      <c r="Y114" s="149">
        <f>'3FS'!X89</f>
        <v>1220</v>
      </c>
      <c r="Z114" s="149">
        <f>'3FS'!Y89</f>
        <v>1239</v>
      </c>
      <c r="AA114" s="149">
        <f>'3FS'!Z89</f>
        <v>1161</v>
      </c>
      <c r="AB114" s="799">
        <f>'3FS'!AA89</f>
        <v>1180</v>
      </c>
      <c r="AC114" s="149">
        <f>'3FS'!AB89</f>
        <v>1220</v>
      </c>
      <c r="AD114" s="149">
        <f>'3FS'!AC89</f>
        <v>1286</v>
      </c>
      <c r="AE114" s="149">
        <f>'3FS'!AD89</f>
        <v>1260</v>
      </c>
      <c r="AF114" s="799">
        <f>'3FS'!AE89</f>
        <v>1265</v>
      </c>
      <c r="AG114" s="149">
        <f>'3FS'!AF89</f>
        <v>1252</v>
      </c>
      <c r="AH114" s="149">
        <f>'3FS'!AG89</f>
        <v>1252</v>
      </c>
      <c r="AI114" s="149">
        <f>'3FS'!AH89</f>
        <v>1175</v>
      </c>
      <c r="AJ114" s="799">
        <f>'3FS'!AI89</f>
        <v>1136</v>
      </c>
      <c r="AK114" s="799">
        <f>'3FS'!AJ89</f>
        <v>1157</v>
      </c>
      <c r="AL114" s="799">
        <f>'3FS'!AK89</f>
        <v>1157</v>
      </c>
      <c r="AM114" s="799">
        <f>'3FS'!AL89</f>
        <v>1178</v>
      </c>
    </row>
    <row r="115" spans="2:39" x14ac:dyDescent="0.2">
      <c r="B115" s="39" t="s">
        <v>62</v>
      </c>
      <c r="D115" s="501">
        <f t="shared" si="135"/>
        <v>0</v>
      </c>
      <c r="E115" s="501">
        <f t="shared" si="135"/>
        <v>10958</v>
      </c>
      <c r="F115" s="288">
        <f t="shared" si="135"/>
        <v>61830</v>
      </c>
      <c r="G115" s="288">
        <f t="shared" si="135"/>
        <v>67076</v>
      </c>
      <c r="H115" s="288">
        <f t="shared" si="135"/>
        <v>65301</v>
      </c>
      <c r="I115" s="288">
        <f t="shared" si="135"/>
        <v>69903</v>
      </c>
      <c r="J115" s="288">
        <f t="shared" si="134"/>
        <v>72700</v>
      </c>
      <c r="K115" s="313"/>
      <c r="L115" s="343">
        <f>'3FS'!K92</f>
        <v>10952</v>
      </c>
      <c r="M115" s="343">
        <f>'3FS'!L92</f>
        <v>10954</v>
      </c>
      <c r="N115" s="343">
        <f>'3FS'!M92</f>
        <v>10956</v>
      </c>
      <c r="O115" s="343">
        <f>'3FS'!N92</f>
        <v>10958</v>
      </c>
      <c r="P115" s="838">
        <f>'3FS'!O92</f>
        <v>10959</v>
      </c>
      <c r="Q115" s="149">
        <f>'3FS'!P92</f>
        <v>62783</v>
      </c>
      <c r="R115" s="149">
        <f>'3FS'!Q92</f>
        <v>58345</v>
      </c>
      <c r="S115" s="149">
        <f>'3FS'!R92</f>
        <v>61830</v>
      </c>
      <c r="T115" s="799">
        <f>'3FS'!S92</f>
        <v>66395</v>
      </c>
      <c r="U115" s="149">
        <f>'3FS'!T92</f>
        <v>65897</v>
      </c>
      <c r="V115" s="149">
        <f>'3FS'!U92</f>
        <v>66645</v>
      </c>
      <c r="W115" s="149">
        <f>'3FS'!V92</f>
        <v>67076</v>
      </c>
      <c r="X115" s="799">
        <f>'3FS'!W92</f>
        <v>66861</v>
      </c>
      <c r="Y115" s="149">
        <f>'3FS'!X92</f>
        <v>66552</v>
      </c>
      <c r="Z115" s="149">
        <f>'3FS'!Y92</f>
        <v>64834</v>
      </c>
      <c r="AA115" s="149">
        <f>'3FS'!Z92</f>
        <v>65301</v>
      </c>
      <c r="AB115" s="799">
        <f>'3FS'!AA92</f>
        <v>68035</v>
      </c>
      <c r="AC115" s="149">
        <f>'3FS'!AB92</f>
        <v>68646</v>
      </c>
      <c r="AD115" s="149">
        <f>'3FS'!AC92</f>
        <v>70365</v>
      </c>
      <c r="AE115" s="149">
        <f>'3FS'!AD92</f>
        <v>69903</v>
      </c>
      <c r="AF115" s="799">
        <f>'3FS'!AE92</f>
        <v>71361</v>
      </c>
      <c r="AG115" s="149">
        <f>'3FS'!AF92</f>
        <v>70203</v>
      </c>
      <c r="AH115" s="149">
        <f>'3FS'!AG92</f>
        <v>72522</v>
      </c>
      <c r="AI115" s="149">
        <f>'3FS'!AH92</f>
        <v>72700</v>
      </c>
      <c r="AJ115" s="799">
        <f>'3FS'!AI92</f>
        <v>76033</v>
      </c>
      <c r="AK115" s="799">
        <f>'3FS'!AJ92</f>
        <v>75018</v>
      </c>
      <c r="AL115" s="799">
        <f>'3FS'!AK92</f>
        <v>76365</v>
      </c>
      <c r="AM115" s="799">
        <f>'3FS'!AL92</f>
        <v>78504</v>
      </c>
    </row>
    <row r="116" spans="2:39" x14ac:dyDescent="0.2">
      <c r="B116" s="39" t="s">
        <v>63</v>
      </c>
      <c r="D116" s="501">
        <f t="shared" si="135"/>
        <v>0</v>
      </c>
      <c r="E116" s="501">
        <f t="shared" si="135"/>
        <v>13986</v>
      </c>
      <c r="F116" s="288">
        <f t="shared" si="135"/>
        <v>4716</v>
      </c>
      <c r="G116" s="288">
        <f t="shared" si="135"/>
        <v>1494</v>
      </c>
      <c r="H116" s="288">
        <f t="shared" si="135"/>
        <v>1495</v>
      </c>
      <c r="I116" s="288">
        <f t="shared" si="135"/>
        <v>1496</v>
      </c>
      <c r="J116" s="288">
        <f t="shared" si="134"/>
        <v>1497</v>
      </c>
      <c r="K116" s="313"/>
      <c r="L116" s="343">
        <f>'3FS'!K93</f>
        <v>13985</v>
      </c>
      <c r="M116" s="343">
        <f>'3FS'!L93</f>
        <v>13985</v>
      </c>
      <c r="N116" s="343">
        <f>'3FS'!M93</f>
        <v>13986</v>
      </c>
      <c r="O116" s="343">
        <f>'3FS'!N93</f>
        <v>13986</v>
      </c>
      <c r="P116" s="838">
        <f>'3FS'!O93</f>
        <v>11987</v>
      </c>
      <c r="Q116" s="149">
        <f>'3FS'!P93</f>
        <v>4706</v>
      </c>
      <c r="R116" s="149">
        <f>'3FS'!Q93</f>
        <v>4711</v>
      </c>
      <c r="S116" s="149">
        <f>'3FS'!R93</f>
        <v>4716</v>
      </c>
      <c r="T116" s="799">
        <f>'3FS'!S93</f>
        <v>4721</v>
      </c>
      <c r="U116" s="149">
        <f>'3FS'!T93</f>
        <v>2490</v>
      </c>
      <c r="V116" s="149">
        <f>'3FS'!U93</f>
        <v>1494</v>
      </c>
      <c r="W116" s="149">
        <f>'3FS'!V93</f>
        <v>1494</v>
      </c>
      <c r="X116" s="799">
        <f>'3FS'!W93</f>
        <v>1494</v>
      </c>
      <c r="Y116" s="149">
        <f>'3FS'!X93</f>
        <v>1495</v>
      </c>
      <c r="Z116" s="149">
        <f>'3FS'!Y93</f>
        <v>1495</v>
      </c>
      <c r="AA116" s="149">
        <f>'3FS'!Z93</f>
        <v>1495</v>
      </c>
      <c r="AB116" s="799">
        <f>'3FS'!AA93</f>
        <v>1495</v>
      </c>
      <c r="AC116" s="149">
        <f>'3FS'!AB93</f>
        <v>1495</v>
      </c>
      <c r="AD116" s="149">
        <f>'3FS'!AC93</f>
        <v>1496</v>
      </c>
      <c r="AE116" s="149">
        <f>'3FS'!AD93</f>
        <v>1496</v>
      </c>
      <c r="AF116" s="799">
        <f>'3FS'!AE93</f>
        <v>1496</v>
      </c>
      <c r="AG116" s="149">
        <f>'3FS'!AF93</f>
        <v>1496</v>
      </c>
      <c r="AH116" s="149">
        <f>'3FS'!AG93</f>
        <v>1497</v>
      </c>
      <c r="AI116" s="149">
        <f>'3FS'!AH93</f>
        <v>1497</v>
      </c>
      <c r="AJ116" s="799">
        <f>'3FS'!AI93</f>
        <v>1497</v>
      </c>
      <c r="AK116" s="799">
        <f>'3FS'!AJ93</f>
        <v>1497</v>
      </c>
      <c r="AL116" s="799">
        <f>'3FS'!AK93</f>
        <v>1498</v>
      </c>
      <c r="AM116" s="799">
        <f>'3FS'!AL93</f>
        <v>0</v>
      </c>
    </row>
    <row r="117" spans="2:39" x14ac:dyDescent="0.2">
      <c r="B117" s="39" t="s">
        <v>67</v>
      </c>
      <c r="D117" s="501">
        <f t="shared" si="135"/>
        <v>0</v>
      </c>
      <c r="E117" s="501">
        <f t="shared" si="135"/>
        <v>1346</v>
      </c>
      <c r="F117" s="288">
        <f t="shared" si="135"/>
        <v>1444</v>
      </c>
      <c r="G117" s="288">
        <f t="shared" si="135"/>
        <v>1455</v>
      </c>
      <c r="H117" s="288">
        <f t="shared" si="135"/>
        <v>1370</v>
      </c>
      <c r="I117" s="288">
        <f t="shared" si="135"/>
        <v>1236</v>
      </c>
      <c r="J117" s="288">
        <f t="shared" si="134"/>
        <v>1151</v>
      </c>
      <c r="K117" s="313"/>
      <c r="L117" s="343">
        <f>'3FS'!K97</f>
        <v>1224</v>
      </c>
      <c r="M117" s="343">
        <f>'3FS'!L97</f>
        <v>1314</v>
      </c>
      <c r="N117" s="343">
        <f>'3FS'!M97</f>
        <v>1440</v>
      </c>
      <c r="O117" s="343">
        <f>'3FS'!N97</f>
        <v>1346</v>
      </c>
      <c r="P117" s="838">
        <f>'3FS'!O97</f>
        <v>1276</v>
      </c>
      <c r="Q117" s="149">
        <f>'3FS'!P97</f>
        <v>1416</v>
      </c>
      <c r="R117" s="149">
        <f>'3FS'!Q97</f>
        <v>1373</v>
      </c>
      <c r="S117" s="149">
        <f>'3FS'!R97</f>
        <v>1444</v>
      </c>
      <c r="T117" s="799">
        <f>'3FS'!S97</f>
        <v>1316</v>
      </c>
      <c r="U117" s="149">
        <f>'3FS'!T97</f>
        <v>1376</v>
      </c>
      <c r="V117" s="149">
        <f>'3FS'!U97</f>
        <v>1587</v>
      </c>
      <c r="W117" s="149">
        <f>'3FS'!V97</f>
        <v>1455</v>
      </c>
      <c r="X117" s="799">
        <f>'3FS'!W97</f>
        <v>1447</v>
      </c>
      <c r="Y117" s="149">
        <f>'3FS'!X97</f>
        <v>1597</v>
      </c>
      <c r="Z117" s="149">
        <f>'3FS'!Y97</f>
        <v>1590</v>
      </c>
      <c r="AA117" s="149">
        <f>'3FS'!Z97</f>
        <v>1370</v>
      </c>
      <c r="AB117" s="799">
        <f>'3FS'!AA97</f>
        <v>1284</v>
      </c>
      <c r="AC117" s="149">
        <f>'3FS'!AB97</f>
        <v>1254</v>
      </c>
      <c r="AD117" s="149">
        <f>'3FS'!AC97</f>
        <v>1273</v>
      </c>
      <c r="AE117" s="149">
        <f>'3FS'!AD97</f>
        <v>1236</v>
      </c>
      <c r="AF117" s="799">
        <f>'3FS'!AE97</f>
        <v>1163</v>
      </c>
      <c r="AG117" s="149">
        <f>'3FS'!AF97</f>
        <v>1133</v>
      </c>
      <c r="AH117" s="149">
        <f>'3FS'!AG97</f>
        <v>1185</v>
      </c>
      <c r="AI117" s="149">
        <f>'3FS'!AH97</f>
        <v>1151</v>
      </c>
      <c r="AJ117" s="799">
        <f>'3FS'!AI97</f>
        <v>1117</v>
      </c>
      <c r="AK117" s="799">
        <f>'3FS'!AJ97</f>
        <v>1188</v>
      </c>
      <c r="AL117" s="799">
        <f>'3FS'!AK97</f>
        <v>1186</v>
      </c>
      <c r="AM117" s="799">
        <f>'3FS'!AL97</f>
        <v>1121</v>
      </c>
    </row>
    <row r="118" spans="2:39" x14ac:dyDescent="0.2">
      <c r="B118" s="42" t="s">
        <v>218</v>
      </c>
      <c r="D118" s="501">
        <f t="shared" si="135"/>
        <v>0</v>
      </c>
      <c r="E118" s="501">
        <f t="shared" si="135"/>
        <v>-1528</v>
      </c>
      <c r="F118" s="288">
        <f t="shared" si="135"/>
        <v>-10385</v>
      </c>
      <c r="G118" s="288">
        <f t="shared" si="135"/>
        <v>-6631</v>
      </c>
      <c r="H118" s="288">
        <f t="shared" si="135"/>
        <v>-4507</v>
      </c>
      <c r="I118" s="288">
        <f t="shared" si="135"/>
        <v>-5135</v>
      </c>
      <c r="J118" s="288">
        <f t="shared" si="134"/>
        <v>-5409</v>
      </c>
      <c r="K118" s="313"/>
      <c r="L118" s="343">
        <f>-'3FS'!K66</f>
        <v>-1439</v>
      </c>
      <c r="M118" s="343">
        <f>-'3FS'!L66</f>
        <v>-1105</v>
      </c>
      <c r="N118" s="343">
        <f>-'3FS'!M66</f>
        <v>-1653</v>
      </c>
      <c r="O118" s="343">
        <f>-'3FS'!N66</f>
        <v>-1528</v>
      </c>
      <c r="P118" s="838">
        <f>-'3FS'!O66</f>
        <v>-1112</v>
      </c>
      <c r="Q118" s="149">
        <f>-'3FS'!P66</f>
        <v>-11076</v>
      </c>
      <c r="R118" s="149">
        <f>-'3FS'!Q66</f>
        <v>-6571</v>
      </c>
      <c r="S118" s="149">
        <f>-'3FS'!R66</f>
        <v>-10385</v>
      </c>
      <c r="T118" s="799">
        <f>-'3FS'!S66</f>
        <v>-6677</v>
      </c>
      <c r="U118" s="149">
        <f>-'3FS'!T66</f>
        <v>-7793</v>
      </c>
      <c r="V118" s="149">
        <f>-'3FS'!U66</f>
        <v>-4055</v>
      </c>
      <c r="W118" s="149">
        <f>-'3FS'!V66</f>
        <v>-6631</v>
      </c>
      <c r="X118" s="799">
        <f>-'3FS'!W66</f>
        <v>-3245</v>
      </c>
      <c r="Y118" s="149">
        <f>-'3FS'!X66</f>
        <v>-3151</v>
      </c>
      <c r="Z118" s="149">
        <f>-'3FS'!Y66</f>
        <v>-6888</v>
      </c>
      <c r="AA118" s="149">
        <f>-'3FS'!Z66</f>
        <v>-4507</v>
      </c>
      <c r="AB118" s="799">
        <f>-'3FS'!AA66</f>
        <v>-4540</v>
      </c>
      <c r="AC118" s="149">
        <f>-'3FS'!AB66</f>
        <v>-6647</v>
      </c>
      <c r="AD118" s="149">
        <f>-'3FS'!AC66</f>
        <v>-5030</v>
      </c>
      <c r="AE118" s="149">
        <f>-'3FS'!AD66</f>
        <v>-5135</v>
      </c>
      <c r="AF118" s="799">
        <f>-'3FS'!AE66</f>
        <v>-6708</v>
      </c>
      <c r="AG118" s="149">
        <f>-'3FS'!AF66</f>
        <v>-6417</v>
      </c>
      <c r="AH118" s="149">
        <f>-'3FS'!AG66</f>
        <v>-9754</v>
      </c>
      <c r="AI118" s="149">
        <f>-'3FS'!AH66</f>
        <v>-5409</v>
      </c>
      <c r="AJ118" s="799">
        <f>-'3FS'!AI66</f>
        <v>-12003</v>
      </c>
      <c r="AK118" s="799">
        <f>-'3FS'!AJ66</f>
        <v>-10259</v>
      </c>
      <c r="AL118" s="799">
        <f>-'3FS'!AK66</f>
        <v>-3310</v>
      </c>
      <c r="AM118" s="799">
        <f>-'3FS'!AL66</f>
        <v>-2825</v>
      </c>
    </row>
    <row r="119" spans="2:39" s="3" customFormat="1" x14ac:dyDescent="0.2">
      <c r="B119" s="152" t="s">
        <v>221</v>
      </c>
      <c r="C119" s="180"/>
      <c r="D119" s="344">
        <f t="shared" ref="D119" si="136">+SUM(D112:D118)</f>
        <v>0</v>
      </c>
      <c r="E119" s="344">
        <f t="shared" ref="E119" si="137">+SUM(E112:E118)</f>
        <v>25744</v>
      </c>
      <c r="F119" s="153">
        <f t="shared" ref="F119" si="138">+SUM(F112:F118)</f>
        <v>63247</v>
      </c>
      <c r="G119" s="153">
        <f t="shared" ref="G119" si="139">+SUM(G112:G118)</f>
        <v>67892</v>
      </c>
      <c r="H119" s="153">
        <f t="shared" ref="H119" si="140">+SUM(H112:H118)</f>
        <v>69984</v>
      </c>
      <c r="I119" s="153">
        <f t="shared" ref="I119:J119" si="141">+SUM(I112:I118)</f>
        <v>72379</v>
      </c>
      <c r="J119" s="153">
        <f t="shared" si="141"/>
        <v>75182</v>
      </c>
      <c r="K119" s="314"/>
      <c r="L119" s="344">
        <f t="shared" ref="L119:W119" si="142">+SUM(L112:L118)</f>
        <v>26481</v>
      </c>
      <c r="M119" s="344">
        <f t="shared" si="142"/>
        <v>26411</v>
      </c>
      <c r="N119" s="344">
        <f t="shared" si="142"/>
        <v>26217</v>
      </c>
      <c r="O119" s="344">
        <f t="shared" si="142"/>
        <v>25744</v>
      </c>
      <c r="P119" s="839">
        <f t="shared" si="142"/>
        <v>26028</v>
      </c>
      <c r="Q119" s="153">
        <f t="shared" si="142"/>
        <v>63922</v>
      </c>
      <c r="R119" s="153">
        <f t="shared" si="142"/>
        <v>62621</v>
      </c>
      <c r="S119" s="153">
        <f t="shared" si="142"/>
        <v>63247</v>
      </c>
      <c r="T119" s="800">
        <f t="shared" si="142"/>
        <v>71191</v>
      </c>
      <c r="U119" s="153">
        <f t="shared" si="142"/>
        <v>69898</v>
      </c>
      <c r="V119" s="153">
        <f t="shared" si="142"/>
        <v>71161</v>
      </c>
      <c r="W119" s="153">
        <f t="shared" si="142"/>
        <v>70137</v>
      </c>
      <c r="X119" s="800">
        <f>+SUM(X112:X118)</f>
        <v>71793</v>
      </c>
      <c r="Y119" s="153">
        <f>+SUM(Y112:Y118)</f>
        <v>70655</v>
      </c>
      <c r="Z119" s="153">
        <f t="shared" ref="Z119:AG119" si="143">+SUM(Z112:Z118)</f>
        <v>69668</v>
      </c>
      <c r="AA119" s="153">
        <f t="shared" si="143"/>
        <v>69984</v>
      </c>
      <c r="AB119" s="800">
        <f t="shared" si="143"/>
        <v>72669</v>
      </c>
      <c r="AC119" s="153">
        <f t="shared" si="143"/>
        <v>73699</v>
      </c>
      <c r="AD119" s="153">
        <f t="shared" si="143"/>
        <v>72827</v>
      </c>
      <c r="AE119" s="153">
        <f t="shared" si="143"/>
        <v>72379</v>
      </c>
      <c r="AF119" s="800">
        <f t="shared" si="143"/>
        <v>73933</v>
      </c>
      <c r="AG119" s="153">
        <f t="shared" si="143"/>
        <v>73534</v>
      </c>
      <c r="AH119" s="153">
        <f t="shared" ref="AH119:AL119" si="144">+SUM(AH112:AH118)</f>
        <v>72553</v>
      </c>
      <c r="AI119" s="153">
        <f t="shared" si="144"/>
        <v>75182</v>
      </c>
      <c r="AJ119" s="800">
        <f t="shared" si="144"/>
        <v>75994</v>
      </c>
      <c r="AK119" s="800">
        <f t="shared" si="144"/>
        <v>75009</v>
      </c>
      <c r="AL119" s="800">
        <f t="shared" si="144"/>
        <v>83229</v>
      </c>
      <c r="AM119" s="800">
        <f>+SUM(AM112:AM118)</f>
        <v>84095</v>
      </c>
    </row>
    <row r="120" spans="2:39" x14ac:dyDescent="0.2">
      <c r="B120" s="42" t="s">
        <v>222</v>
      </c>
      <c r="D120" s="501">
        <f t="shared" ref="D120:I120" si="145">SUMIFS($L120:$AG120,$L$3:$AG$3,D$4,$L$2:$AG$2, 4)</f>
        <v>0</v>
      </c>
      <c r="E120" s="501">
        <f t="shared" si="145"/>
        <v>2203</v>
      </c>
      <c r="F120" s="288">
        <f t="shared" si="145"/>
        <v>3575</v>
      </c>
      <c r="G120" s="288">
        <f t="shared" si="145"/>
        <v>3024</v>
      </c>
      <c r="H120" s="288">
        <f t="shared" si="145"/>
        <v>2590</v>
      </c>
      <c r="I120" s="288">
        <f t="shared" si="145"/>
        <v>8317</v>
      </c>
      <c r="J120" s="288">
        <f t="shared" ref="J120" si="146">SUMIFS($L120:$AZ120,$L$3:$AZ$3,J$4,$L$2:$AZ$2, 4)</f>
        <v>11339</v>
      </c>
      <c r="L120" s="151"/>
      <c r="M120" s="151"/>
      <c r="N120" s="151"/>
      <c r="O120" s="151">
        <f>SUM('3FS'!K32:N32)</f>
        <v>2203</v>
      </c>
      <c r="P120" s="838">
        <f>SUM('3FS'!L32:O32)</f>
        <v>4605</v>
      </c>
      <c r="Q120" s="151">
        <f>SUM('3FS'!M32:P32)</f>
        <v>3564</v>
      </c>
      <c r="R120" s="151">
        <f>SUM('3FS'!N32:Q32)</f>
        <v>3973</v>
      </c>
      <c r="S120" s="151">
        <f>SUM('3FS'!O32:R32)</f>
        <v>3575</v>
      </c>
      <c r="T120" s="799">
        <f>SUM('3FS'!P32:S32)</f>
        <v>3046</v>
      </c>
      <c r="U120" s="151">
        <f>SUM('3FS'!Q32:T32)</f>
        <v>3914</v>
      </c>
      <c r="V120" s="151">
        <f>SUM('3FS'!R32:U32)</f>
        <v>3352</v>
      </c>
      <c r="W120" s="151">
        <f>SUM('3FS'!S32:V32)</f>
        <v>3024</v>
      </c>
      <c r="X120" s="799">
        <f>SUM('3FS'!T32:W32)</f>
        <v>2804</v>
      </c>
      <c r="Y120" s="151">
        <f>SUM('3FS'!U32:X32)</f>
        <v>1718</v>
      </c>
      <c r="Z120" s="151">
        <f>SUM('3FS'!V32:Y32)</f>
        <v>1535</v>
      </c>
      <c r="AA120" s="151">
        <f>SUM('3FS'!W32:Z32)</f>
        <v>2590</v>
      </c>
      <c r="AB120" s="799">
        <f>SUM('3FS'!X32:AA32)</f>
        <v>3817</v>
      </c>
      <c r="AC120" s="151">
        <f>SUM('3FS'!Y32:AB32)</f>
        <v>6146</v>
      </c>
      <c r="AD120" s="151">
        <f>SUM('3FS'!Z32:AC32)</f>
        <v>7780</v>
      </c>
      <c r="AE120" s="151">
        <f>SUM('3FS'!AA32:AD32)</f>
        <v>8317</v>
      </c>
      <c r="AF120" s="799">
        <f>SUM('3FS'!AB32:AE32)</f>
        <v>8751</v>
      </c>
      <c r="AG120" s="151">
        <f>SUM('3FS'!AC32:AF32)</f>
        <v>9455</v>
      </c>
      <c r="AH120" s="151">
        <f>SUM('3FS'!AD32:AG32)</f>
        <v>10372</v>
      </c>
      <c r="AI120" s="151">
        <f>SUM('3FS'!AE32:AH32)</f>
        <v>11339</v>
      </c>
      <c r="AJ120" s="799">
        <f>SUM('3FS'!AF32:AI32)</f>
        <v>11918</v>
      </c>
      <c r="AK120" s="799">
        <f>SUM('3FS'!AG32:AJ32)</f>
        <v>12215</v>
      </c>
      <c r="AL120" s="799">
        <f>SUM('3FS'!AH32:AK32)</f>
        <v>11870</v>
      </c>
      <c r="AM120" s="799">
        <v>10560</v>
      </c>
    </row>
    <row r="121" spans="2:39" x14ac:dyDescent="0.2">
      <c r="B121" s="143" t="s">
        <v>220</v>
      </c>
      <c r="D121" s="522" t="e">
        <f t="shared" ref="D121" si="147">+D119/D120</f>
        <v>#DIV/0!</v>
      </c>
      <c r="E121" s="522">
        <f t="shared" ref="E121" si="148">+E119/E120</f>
        <v>11.68588288697231</v>
      </c>
      <c r="F121" s="150">
        <f t="shared" ref="F121" si="149">+F119/F120</f>
        <v>17.69146853146853</v>
      </c>
      <c r="G121" s="150">
        <f t="shared" ref="G121" si="150">+G119/G120</f>
        <v>22.451058201058203</v>
      </c>
      <c r="H121" s="150">
        <f t="shared" ref="H121" si="151">+H119/H120</f>
        <v>27.020849420849419</v>
      </c>
      <c r="I121" s="150">
        <f t="shared" ref="I121:J121" si="152">+I119/I120</f>
        <v>8.7025369724660333</v>
      </c>
      <c r="J121" s="150">
        <f t="shared" si="152"/>
        <v>6.6303906870094362</v>
      </c>
      <c r="L121" s="150"/>
      <c r="M121" s="150"/>
      <c r="N121" s="150"/>
      <c r="O121" s="150">
        <f t="shared" ref="O121:W121" si="153">+O119/O120</f>
        <v>11.68588288697231</v>
      </c>
      <c r="P121" s="840">
        <f t="shared" si="153"/>
        <v>5.6521172638436479</v>
      </c>
      <c r="Q121" s="150">
        <f t="shared" si="153"/>
        <v>17.935465768799101</v>
      </c>
      <c r="R121" s="150">
        <f t="shared" si="153"/>
        <v>15.761641077271584</v>
      </c>
      <c r="S121" s="150">
        <f t="shared" si="153"/>
        <v>17.69146853146853</v>
      </c>
      <c r="T121" s="801">
        <f t="shared" si="153"/>
        <v>23.371963230466186</v>
      </c>
      <c r="U121" s="150">
        <f t="shared" si="153"/>
        <v>17.858456821665815</v>
      </c>
      <c r="V121" s="150">
        <f t="shared" si="153"/>
        <v>21.229415274463008</v>
      </c>
      <c r="W121" s="150">
        <f t="shared" si="153"/>
        <v>23.19345238095238</v>
      </c>
      <c r="X121" s="801">
        <f>+X119/X120</f>
        <v>25.603780313837376</v>
      </c>
      <c r="Y121" s="150">
        <f>+Y119/Y120</f>
        <v>41.126309662398135</v>
      </c>
      <c r="Z121" s="150">
        <f t="shared" ref="Z121:AG121" si="154">+Z119/Z120</f>
        <v>45.386319218241042</v>
      </c>
      <c r="AA121" s="150">
        <f t="shared" si="154"/>
        <v>27.020849420849419</v>
      </c>
      <c r="AB121" s="801">
        <f t="shared" si="154"/>
        <v>19.038249934503536</v>
      </c>
      <c r="AC121" s="150">
        <f t="shared" si="154"/>
        <v>11.991376505043931</v>
      </c>
      <c r="AD121" s="150">
        <f t="shared" si="154"/>
        <v>9.3607969151670947</v>
      </c>
      <c r="AE121" s="150">
        <f t="shared" si="154"/>
        <v>8.7025369724660333</v>
      </c>
      <c r="AF121" s="801">
        <f t="shared" si="154"/>
        <v>8.4485201691235279</v>
      </c>
      <c r="AG121" s="150">
        <f t="shared" si="154"/>
        <v>7.777260708619778</v>
      </c>
      <c r="AH121" s="150">
        <f t="shared" ref="AH121:AK121" si="155">+AH119/AH120</f>
        <v>6.9950829155418432</v>
      </c>
      <c r="AI121" s="150">
        <f t="shared" si="155"/>
        <v>6.6303906870094362</v>
      </c>
      <c r="AJ121" s="801">
        <f t="shared" si="155"/>
        <v>6.3764054371538847</v>
      </c>
      <c r="AK121" s="801">
        <f t="shared" si="155"/>
        <v>6.1407286123618503</v>
      </c>
      <c r="AL121" s="801">
        <f t="shared" ref="AL121" si="156">+AL119/AL120</f>
        <v>7.0117101937657962</v>
      </c>
      <c r="AM121" s="801">
        <f>+AM119/AM120</f>
        <v>7.963541666666667</v>
      </c>
    </row>
    <row r="122" spans="2:39" x14ac:dyDescent="0.2">
      <c r="B122" s="145" t="s">
        <v>223</v>
      </c>
      <c r="D122" s="501">
        <f t="shared" ref="D122:I122" si="157">SUMIFS($L122:$AG122,$L$3:$AG$3,D$4,$L$2:$AG$2, 4)</f>
        <v>0</v>
      </c>
      <c r="E122" s="501">
        <f t="shared" si="157"/>
        <v>26418</v>
      </c>
      <c r="F122" s="288">
        <f t="shared" si="157"/>
        <v>27543</v>
      </c>
      <c r="G122" s="288">
        <f t="shared" si="157"/>
        <v>26924</v>
      </c>
      <c r="H122" s="288">
        <f t="shared" si="157"/>
        <v>27821</v>
      </c>
      <c r="I122" s="288">
        <f t="shared" si="157"/>
        <v>29428</v>
      </c>
      <c r="J122" s="288">
        <f t="shared" ref="J122" si="158">SUMIFS($L122:$AZ122,$L$3:$AZ$3,J$4,$L$2:$AZ$2, 4)</f>
        <v>31864</v>
      </c>
      <c r="L122" s="149"/>
      <c r="M122" s="149"/>
      <c r="N122" s="149"/>
      <c r="O122" s="149">
        <f>+SUM('3FS'!K56:N56)</f>
        <v>26418</v>
      </c>
      <c r="P122" s="838">
        <f>+SUM('3FS'!L56:O56)</f>
        <v>26197</v>
      </c>
      <c r="Q122" s="149">
        <f>+SUM('3FS'!M56:P56)</f>
        <v>26251</v>
      </c>
      <c r="R122" s="149">
        <f>+SUM('3FS'!N56:Q56)</f>
        <v>26975</v>
      </c>
      <c r="S122" s="149">
        <f>+SUM('3FS'!O56:R56)</f>
        <v>27543</v>
      </c>
      <c r="T122" s="799">
        <f>+SUM('3FS'!P56:S56)</f>
        <v>27797</v>
      </c>
      <c r="U122" s="149">
        <f>+SUM('3FS'!Q56:T56)</f>
        <v>27686</v>
      </c>
      <c r="V122" s="149">
        <f>+SUM('3FS'!R56:U56)</f>
        <v>27368</v>
      </c>
      <c r="W122" s="149">
        <f>+SUM('3FS'!S56:V56)</f>
        <v>26924</v>
      </c>
      <c r="X122" s="799">
        <f>+SUM('3FS'!T56:W56)</f>
        <v>26969</v>
      </c>
      <c r="Y122" s="149">
        <f>+SUM('3FS'!U56:X56)</f>
        <v>27067</v>
      </c>
      <c r="Z122" s="149">
        <f>+SUM('3FS'!V56:Y56)</f>
        <v>27295</v>
      </c>
      <c r="AA122" s="149">
        <f>+SUM('3FS'!W56:Z56)</f>
        <v>27821</v>
      </c>
      <c r="AB122" s="799">
        <f>+SUM('3FS'!X56:AA56)</f>
        <v>28070</v>
      </c>
      <c r="AC122" s="149">
        <f>+SUM('3FS'!Y56:AB56)</f>
        <v>28471</v>
      </c>
      <c r="AD122" s="149">
        <f>+SUM('3FS'!Z56:AC56)</f>
        <v>29032</v>
      </c>
      <c r="AE122" s="149">
        <f>+SUM('3FS'!AA56:AD56)</f>
        <v>29428</v>
      </c>
      <c r="AF122" s="799">
        <f>+SUM('3FS'!AB56:AE56)</f>
        <v>29881</v>
      </c>
      <c r="AG122" s="149">
        <f>+SUM('3FS'!AC56:AF56)</f>
        <v>30529</v>
      </c>
      <c r="AH122" s="149">
        <f>+SUM('3FS'!AD56:AG56)</f>
        <v>31172</v>
      </c>
      <c r="AI122" s="149">
        <f>+SUM('3FS'!AE56:AH56)</f>
        <v>31864</v>
      </c>
      <c r="AJ122" s="799">
        <f>+SUM('3FS'!AF56:AI56)</f>
        <v>32471</v>
      </c>
      <c r="AK122" s="799">
        <f>+SUM('3FS'!AG56:AJ56)</f>
        <v>32965</v>
      </c>
      <c r="AL122" s="799">
        <f>+SUM('3FS'!AH56:AK56)</f>
        <v>33406</v>
      </c>
      <c r="AM122" s="799">
        <v>35909</v>
      </c>
    </row>
    <row r="123" spans="2:39" x14ac:dyDescent="0.2">
      <c r="B123" s="143" t="s">
        <v>227</v>
      </c>
      <c r="D123" s="522" t="e">
        <f t="shared" ref="D123" si="159">+D119/D122</f>
        <v>#DIV/0!</v>
      </c>
      <c r="E123" s="522">
        <f t="shared" ref="E123" si="160">+E119/E122</f>
        <v>0.97448709213415097</v>
      </c>
      <c r="F123" s="150">
        <f t="shared" ref="F123" si="161">+F119/F122</f>
        <v>2.2963003303924774</v>
      </c>
      <c r="G123" s="150">
        <f t="shared" ref="G123" si="162">+G119/G122</f>
        <v>2.5216164017233695</v>
      </c>
      <c r="H123" s="150">
        <f t="shared" ref="H123" si="163">+H119/H122</f>
        <v>2.5155098666474967</v>
      </c>
      <c r="I123" s="150">
        <f t="shared" ref="I123:J123" si="164">+I119/I122</f>
        <v>2.4595283403561234</v>
      </c>
      <c r="J123" s="150">
        <f t="shared" si="164"/>
        <v>2.3594652272156664</v>
      </c>
      <c r="L123" s="150"/>
      <c r="M123" s="150"/>
      <c r="N123" s="150"/>
      <c r="O123" s="150">
        <f t="shared" ref="O123:W123" si="165">+O119/O122</f>
        <v>0.97448709213415097</v>
      </c>
      <c r="P123" s="840">
        <f t="shared" si="165"/>
        <v>0.99354887964270722</v>
      </c>
      <c r="Q123" s="150">
        <f t="shared" si="165"/>
        <v>2.4350310464363263</v>
      </c>
      <c r="R123" s="150">
        <f t="shared" si="165"/>
        <v>2.3214457831325301</v>
      </c>
      <c r="S123" s="150">
        <f t="shared" si="165"/>
        <v>2.2963003303924774</v>
      </c>
      <c r="T123" s="801">
        <f t="shared" si="165"/>
        <v>2.5611037162283701</v>
      </c>
      <c r="U123" s="150">
        <f t="shared" si="165"/>
        <v>2.5246695080546124</v>
      </c>
      <c r="V123" s="150">
        <f t="shared" si="165"/>
        <v>2.6001534638994448</v>
      </c>
      <c r="W123" s="150">
        <f t="shared" si="165"/>
        <v>2.6049992571683256</v>
      </c>
      <c r="X123" s="801">
        <f>+X119/X122</f>
        <v>2.6620564351663019</v>
      </c>
      <c r="Y123" s="150">
        <f>+Y119/Y122</f>
        <v>2.6103742564746741</v>
      </c>
      <c r="Z123" s="150">
        <f t="shared" ref="Z123:AG123" si="166">+Z119/Z122</f>
        <v>2.5524088660926911</v>
      </c>
      <c r="AA123" s="150">
        <f t="shared" si="166"/>
        <v>2.5155098666474967</v>
      </c>
      <c r="AB123" s="801">
        <f t="shared" si="166"/>
        <v>2.588849305308158</v>
      </c>
      <c r="AC123" s="150">
        <f t="shared" si="166"/>
        <v>2.5885638017631978</v>
      </c>
      <c r="AD123" s="150">
        <f t="shared" si="166"/>
        <v>2.5085078534031413</v>
      </c>
      <c r="AE123" s="150">
        <f t="shared" si="166"/>
        <v>2.4595283403561234</v>
      </c>
      <c r="AF123" s="801">
        <f t="shared" si="166"/>
        <v>2.4742478498042235</v>
      </c>
      <c r="AG123" s="150">
        <f t="shared" si="166"/>
        <v>2.4086606177732648</v>
      </c>
      <c r="AH123" s="150">
        <f t="shared" ref="AH123:AJ123" si="167">+AH119/AH122</f>
        <v>2.3275054536122162</v>
      </c>
      <c r="AI123" s="150">
        <f t="shared" si="167"/>
        <v>2.3594652272156664</v>
      </c>
      <c r="AJ123" s="801">
        <f t="shared" si="167"/>
        <v>2.3403652489914077</v>
      </c>
      <c r="AK123" s="801">
        <f t="shared" ref="AK123:AL123" si="168">+AK119/AK122</f>
        <v>2.2754133171545581</v>
      </c>
      <c r="AL123" s="801">
        <f t="shared" si="168"/>
        <v>2.4914386637131054</v>
      </c>
      <c r="AM123" s="801">
        <f>+AM119/AM122</f>
        <v>2.3418920047898855</v>
      </c>
    </row>
    <row r="124" spans="2:39" x14ac:dyDescent="0.2">
      <c r="B124" s="145" t="s">
        <v>224</v>
      </c>
      <c r="D124" s="501">
        <f t="shared" ref="D124:I124" si="169">SUMIFS($L124:$AG124,$L$3:$AG$3,D$4,$L$2:$AG$2, 4)</f>
        <v>0</v>
      </c>
      <c r="E124" s="501">
        <f t="shared" si="169"/>
        <v>0</v>
      </c>
      <c r="F124" s="288">
        <f t="shared" si="169"/>
        <v>22125</v>
      </c>
      <c r="G124" s="288">
        <f t="shared" si="169"/>
        <v>23576</v>
      </c>
      <c r="H124" s="288">
        <f t="shared" si="169"/>
        <v>26391</v>
      </c>
      <c r="I124" s="288">
        <f t="shared" si="169"/>
        <v>29116</v>
      </c>
      <c r="J124" s="288">
        <f t="shared" ref="J124" si="170">SUMIFS($L124:$AZ124,$L$3:$AZ$3,J$4,$L$2:$AZ$2, 4)</f>
        <v>31771</v>
      </c>
      <c r="L124" s="149"/>
      <c r="M124" s="149"/>
      <c r="N124" s="149"/>
      <c r="O124" s="149"/>
      <c r="P124" s="838"/>
      <c r="Q124" s="149">
        <f>SUM('3FS'!M58:P58)</f>
        <v>20511</v>
      </c>
      <c r="R124" s="149">
        <f>SUM('3FS'!N58:Q58)</f>
        <v>21357</v>
      </c>
      <c r="S124" s="149">
        <f>SUM('3FS'!O58:R58)</f>
        <v>22125</v>
      </c>
      <c r="T124" s="799">
        <f>SUM('3FS'!P58:S58)</f>
        <v>22740</v>
      </c>
      <c r="U124" s="149">
        <f>SUM('3FS'!Q58:T58)</f>
        <v>23136</v>
      </c>
      <c r="V124" s="149">
        <f>SUM('3FS'!R58:U58)</f>
        <v>23398</v>
      </c>
      <c r="W124" s="149">
        <f>SUM('3FS'!S58:V58)</f>
        <v>23576</v>
      </c>
      <c r="X124" s="799">
        <f>SUM('3FS'!T58:W58)</f>
        <v>24175</v>
      </c>
      <c r="Y124" s="149">
        <f>SUM('3FS'!U58:X58)</f>
        <v>24801</v>
      </c>
      <c r="Z124" s="149">
        <f>SUM('3FS'!V58:Y58)</f>
        <v>25488</v>
      </c>
      <c r="AA124" s="149">
        <f>SUM('3FS'!W58:Z58)</f>
        <v>26391</v>
      </c>
      <c r="AB124" s="799">
        <f>SUM('3FS'!X58:AA58)</f>
        <v>26980</v>
      </c>
      <c r="AC124" s="149">
        <f>SUM('3FS'!Y58:AB58)</f>
        <v>27698</v>
      </c>
      <c r="AD124" s="149">
        <f>SUM('3FS'!Z58:AC58)</f>
        <v>28517</v>
      </c>
      <c r="AE124" s="149">
        <f>SUM('3FS'!AA58:AD58)</f>
        <v>29116</v>
      </c>
      <c r="AF124" s="799">
        <f>SUM('3FS'!AB58:AE58)</f>
        <v>29681</v>
      </c>
      <c r="AG124" s="149">
        <f>SUM('3FS'!AC58:AF58)</f>
        <v>30372</v>
      </c>
      <c r="AH124" s="149">
        <f>SUM('3FS'!AD58:AG58)</f>
        <v>31047</v>
      </c>
      <c r="AI124" s="149">
        <f>SUM('3FS'!AE58:AH58)</f>
        <v>31771</v>
      </c>
      <c r="AJ124" s="799">
        <f>SUM('3FS'!AF58:AI58)</f>
        <v>32412</v>
      </c>
      <c r="AK124" s="799">
        <f>SUM('3FS'!AG58:AJ58)</f>
        <v>32926</v>
      </c>
      <c r="AL124" s="799">
        <f>SUM('3FS'!AH58:AK58)</f>
        <v>33384</v>
      </c>
      <c r="AM124" s="799">
        <v>35902</v>
      </c>
    </row>
    <row r="125" spans="2:39" x14ac:dyDescent="0.2">
      <c r="B125" s="143" t="s">
        <v>228</v>
      </c>
      <c r="D125" s="522" t="e">
        <f t="shared" ref="D125" si="171">+D119/D124</f>
        <v>#DIV/0!</v>
      </c>
      <c r="E125" s="522" t="e">
        <f t="shared" ref="E125" si="172">+E119/E124</f>
        <v>#DIV/0!</v>
      </c>
      <c r="F125" s="150">
        <f t="shared" ref="F125" si="173">+F119/F124</f>
        <v>2.8586214689265539</v>
      </c>
      <c r="G125" s="150">
        <f t="shared" ref="G125" si="174">+G119/G124</f>
        <v>2.8797081778079403</v>
      </c>
      <c r="H125" s="150">
        <f t="shared" ref="H125" si="175">+H119/H124</f>
        <v>2.6518131181084459</v>
      </c>
      <c r="I125" s="150">
        <f t="shared" ref="I125:J125" si="176">+I119/I124</f>
        <v>2.4858840500068693</v>
      </c>
      <c r="J125" s="150">
        <f t="shared" si="176"/>
        <v>2.3663718485411223</v>
      </c>
      <c r="L125" s="150"/>
      <c r="M125" s="150"/>
      <c r="N125" s="150"/>
      <c r="O125" s="150"/>
      <c r="P125" s="840"/>
      <c r="Q125" s="150">
        <f t="shared" ref="Q125:W125" si="177">+Q119/Q124</f>
        <v>3.1164740870752281</v>
      </c>
      <c r="R125" s="150">
        <f t="shared" si="177"/>
        <v>2.932106569274711</v>
      </c>
      <c r="S125" s="150">
        <f t="shared" si="177"/>
        <v>2.8586214689265539</v>
      </c>
      <c r="T125" s="801">
        <f t="shared" si="177"/>
        <v>3.1306508355321019</v>
      </c>
      <c r="U125" s="150">
        <f t="shared" si="177"/>
        <v>3.0211791147994469</v>
      </c>
      <c r="V125" s="150">
        <f t="shared" si="177"/>
        <v>3.0413283186597146</v>
      </c>
      <c r="W125" s="150">
        <f t="shared" si="177"/>
        <v>2.9749321343739394</v>
      </c>
      <c r="X125" s="801">
        <f>+X119/X124</f>
        <v>2.9697207859358841</v>
      </c>
      <c r="Y125" s="150">
        <f t="shared" ref="Y125:AG125" si="178">+Y119/Y124</f>
        <v>2.8488770614088144</v>
      </c>
      <c r="Z125" s="150">
        <f t="shared" si="178"/>
        <v>2.7333647206528564</v>
      </c>
      <c r="AA125" s="150">
        <f t="shared" si="178"/>
        <v>2.6518131181084459</v>
      </c>
      <c r="AB125" s="801">
        <f t="shared" si="178"/>
        <v>2.6934395848776873</v>
      </c>
      <c r="AC125" s="150">
        <f t="shared" si="178"/>
        <v>2.660805834356271</v>
      </c>
      <c r="AD125" s="150">
        <f t="shared" si="178"/>
        <v>2.5538100080653647</v>
      </c>
      <c r="AE125" s="150">
        <f t="shared" si="178"/>
        <v>2.4858840500068693</v>
      </c>
      <c r="AF125" s="801">
        <f t="shared" si="178"/>
        <v>2.4909201172467235</v>
      </c>
      <c r="AG125" s="150">
        <f t="shared" si="178"/>
        <v>2.4211115501119451</v>
      </c>
      <c r="AH125" s="150">
        <f t="shared" ref="AH125:AJ125" si="179">+AH119/AH124</f>
        <v>2.3368763487615549</v>
      </c>
      <c r="AI125" s="150">
        <f t="shared" si="179"/>
        <v>2.3663718485411223</v>
      </c>
      <c r="AJ125" s="801">
        <f t="shared" si="179"/>
        <v>2.3446254473651735</v>
      </c>
      <c r="AK125" s="801">
        <f t="shared" ref="AK125:AL125" si="180">+AK119/AK124</f>
        <v>2.2781084856951952</v>
      </c>
      <c r="AL125" s="801">
        <f t="shared" si="180"/>
        <v>2.4930805176132278</v>
      </c>
      <c r="AM125" s="801">
        <f>+AM119/AM124</f>
        <v>2.3423486156760069</v>
      </c>
    </row>
    <row r="126" spans="2:39" x14ac:dyDescent="0.2">
      <c r="D126" s="370"/>
      <c r="E126" s="370"/>
      <c r="P126" s="594"/>
      <c r="T126" s="594"/>
      <c r="X126" s="594"/>
      <c r="AB126" s="594"/>
      <c r="AF126" s="594"/>
      <c r="AJ126" s="594"/>
      <c r="AK126" s="594"/>
      <c r="AL126" s="594"/>
      <c r="AM126" s="594"/>
    </row>
    <row r="127" spans="2:39" x14ac:dyDescent="0.2">
      <c r="B127" s="3" t="s">
        <v>344</v>
      </c>
      <c r="D127" s="370"/>
      <c r="E127" s="370"/>
      <c r="P127" s="594"/>
      <c r="T127" s="594"/>
      <c r="X127" s="594"/>
      <c r="AB127" s="594"/>
      <c r="AF127" s="594"/>
      <c r="AJ127" s="594"/>
      <c r="AK127" s="594"/>
      <c r="AL127" s="594"/>
      <c r="AM127" s="594"/>
    </row>
    <row r="128" spans="2:39" x14ac:dyDescent="0.2">
      <c r="B128" s="2" t="s">
        <v>345</v>
      </c>
      <c r="D128" s="332"/>
      <c r="E128" s="332"/>
      <c r="F128" s="4"/>
      <c r="G128" s="4"/>
      <c r="H128" s="4">
        <v>109</v>
      </c>
      <c r="I128" s="4">
        <v>72</v>
      </c>
      <c r="J128" s="4"/>
      <c r="L128" s="4"/>
      <c r="M128" s="4"/>
      <c r="N128" s="4"/>
      <c r="O128" s="4"/>
      <c r="P128" s="802"/>
      <c r="Q128" s="4"/>
      <c r="R128" s="4"/>
      <c r="S128" s="4"/>
      <c r="T128" s="802"/>
      <c r="U128" s="4"/>
      <c r="V128" s="4"/>
      <c r="W128" s="4"/>
      <c r="X128" s="802"/>
      <c r="Y128" s="4"/>
      <c r="Z128" s="4"/>
      <c r="AA128" s="4"/>
      <c r="AB128" s="802"/>
      <c r="AC128" s="4"/>
      <c r="AD128" s="4"/>
      <c r="AE128" s="4"/>
      <c r="AF128" s="802"/>
      <c r="AG128" s="4"/>
      <c r="AH128" s="4"/>
      <c r="AI128" s="4"/>
      <c r="AJ128" s="802"/>
      <c r="AK128" s="802"/>
      <c r="AL128" s="802"/>
      <c r="AM128" s="802"/>
    </row>
    <row r="129" spans="2:39" x14ac:dyDescent="0.2">
      <c r="B129" s="2" t="s">
        <v>346</v>
      </c>
      <c r="D129" s="332"/>
      <c r="E129" s="332"/>
      <c r="F129" s="4"/>
      <c r="G129" s="4"/>
      <c r="H129" s="4">
        <v>4659</v>
      </c>
      <c r="I129" s="4">
        <v>4465</v>
      </c>
      <c r="J129" s="4"/>
      <c r="L129" s="4"/>
      <c r="M129" s="4"/>
      <c r="N129" s="4"/>
      <c r="O129" s="4"/>
      <c r="P129" s="802"/>
      <c r="Q129" s="4"/>
      <c r="R129" s="4"/>
      <c r="S129" s="4"/>
      <c r="T129" s="802"/>
      <c r="U129" s="4"/>
      <c r="V129" s="4"/>
      <c r="W129" s="4"/>
      <c r="X129" s="802"/>
      <c r="Y129" s="4"/>
      <c r="Z129" s="4"/>
      <c r="AA129" s="4"/>
      <c r="AB129" s="802"/>
      <c r="AC129" s="4"/>
      <c r="AD129" s="4"/>
      <c r="AE129" s="4"/>
      <c r="AF129" s="802"/>
      <c r="AG129" s="4"/>
      <c r="AH129" s="4"/>
      <c r="AI129" s="4"/>
      <c r="AJ129" s="802"/>
      <c r="AK129" s="802"/>
      <c r="AL129" s="802"/>
      <c r="AM129" s="802"/>
    </row>
    <row r="130" spans="2:39" x14ac:dyDescent="0.2">
      <c r="B130" s="2" t="s">
        <v>347</v>
      </c>
      <c r="D130" s="332"/>
      <c r="E130" s="332"/>
      <c r="F130" s="4"/>
      <c r="G130" s="4"/>
      <c r="H130" s="4">
        <v>61738</v>
      </c>
      <c r="I130" s="4">
        <v>65628</v>
      </c>
      <c r="J130" s="4"/>
      <c r="L130" s="4"/>
      <c r="M130" s="4"/>
      <c r="N130" s="4"/>
      <c r="O130" s="4"/>
      <c r="P130" s="802"/>
      <c r="Q130" s="4"/>
      <c r="R130" s="4"/>
      <c r="S130" s="4"/>
      <c r="T130" s="802"/>
      <c r="U130" s="4"/>
      <c r="V130" s="4"/>
      <c r="W130" s="4"/>
      <c r="X130" s="802"/>
      <c r="Y130" s="4"/>
      <c r="Z130" s="4"/>
      <c r="AA130" s="4"/>
      <c r="AB130" s="802"/>
      <c r="AC130" s="4"/>
      <c r="AD130" s="4"/>
      <c r="AE130" s="4"/>
      <c r="AF130" s="802"/>
      <c r="AG130" s="4"/>
      <c r="AH130" s="4"/>
      <c r="AI130" s="4"/>
      <c r="AJ130" s="802"/>
      <c r="AK130" s="802"/>
      <c r="AL130" s="802"/>
      <c r="AM130" s="802"/>
    </row>
    <row r="131" spans="2:39" x14ac:dyDescent="0.2">
      <c r="B131" s="2" t="s">
        <v>348</v>
      </c>
      <c r="D131" s="332"/>
      <c r="E131" s="332"/>
      <c r="F131" s="4"/>
      <c r="G131" s="4"/>
      <c r="H131" s="4">
        <v>2326</v>
      </c>
      <c r="I131" s="4">
        <v>2489</v>
      </c>
      <c r="J131" s="4"/>
      <c r="L131" s="4"/>
      <c r="M131" s="4"/>
      <c r="N131" s="4"/>
      <c r="O131" s="4"/>
      <c r="P131" s="802"/>
      <c r="Q131" s="4"/>
      <c r="R131" s="4"/>
      <c r="S131" s="4"/>
      <c r="T131" s="802"/>
      <c r="U131" s="4"/>
      <c r="V131" s="4"/>
      <c r="W131" s="4"/>
      <c r="X131" s="802"/>
      <c r="Y131" s="4"/>
      <c r="Z131" s="4"/>
      <c r="AA131" s="4"/>
      <c r="AB131" s="802"/>
      <c r="AC131" s="4"/>
      <c r="AD131" s="4"/>
      <c r="AE131" s="4"/>
      <c r="AF131" s="802"/>
      <c r="AG131" s="4"/>
      <c r="AH131" s="4"/>
      <c r="AI131" s="4"/>
      <c r="AJ131" s="802"/>
      <c r="AK131" s="802"/>
      <c r="AL131" s="802"/>
      <c r="AM131" s="802"/>
    </row>
    <row r="132" spans="2:39" x14ac:dyDescent="0.2">
      <c r="B132" s="2" t="s">
        <v>349</v>
      </c>
      <c r="D132" s="332"/>
      <c r="E132" s="332"/>
      <c r="F132" s="4"/>
      <c r="G132" s="4"/>
      <c r="H132" s="4">
        <v>20342</v>
      </c>
      <c r="I132" s="4">
        <v>22573</v>
      </c>
      <c r="J132" s="4"/>
      <c r="L132" s="4"/>
      <c r="M132" s="4"/>
      <c r="N132" s="4"/>
      <c r="O132" s="4"/>
      <c r="P132" s="802"/>
      <c r="Q132" s="4"/>
      <c r="R132" s="4"/>
      <c r="S132" s="4"/>
      <c r="T132" s="802"/>
      <c r="U132" s="4"/>
      <c r="V132" s="4"/>
      <c r="W132" s="4"/>
      <c r="X132" s="802"/>
      <c r="Y132" s="4"/>
      <c r="Z132" s="4"/>
      <c r="AA132" s="4"/>
      <c r="AB132" s="802"/>
      <c r="AC132" s="4"/>
      <c r="AD132" s="4"/>
      <c r="AE132" s="4"/>
      <c r="AF132" s="802"/>
      <c r="AG132" s="4"/>
      <c r="AH132" s="4"/>
      <c r="AI132" s="4"/>
      <c r="AJ132" s="802"/>
      <c r="AK132" s="802"/>
      <c r="AL132" s="802"/>
      <c r="AM132" s="802"/>
    </row>
    <row r="133" spans="2:39" x14ac:dyDescent="0.2">
      <c r="B133" s="2" t="s">
        <v>350</v>
      </c>
      <c r="D133" s="332"/>
      <c r="E133" s="332"/>
      <c r="F133" s="4"/>
      <c r="G133" s="4"/>
      <c r="H133" s="4">
        <v>1415</v>
      </c>
      <c r="I133" s="4">
        <v>400</v>
      </c>
      <c r="J133" s="4"/>
      <c r="L133" s="4"/>
      <c r="M133" s="4"/>
      <c r="N133" s="4"/>
      <c r="O133" s="4"/>
      <c r="P133" s="802"/>
      <c r="Q133" s="4"/>
      <c r="R133" s="4"/>
      <c r="S133" s="4"/>
      <c r="T133" s="802"/>
      <c r="U133" s="4"/>
      <c r="V133" s="4"/>
      <c r="W133" s="4"/>
      <c r="X133" s="802"/>
      <c r="Y133" s="4"/>
      <c r="Z133" s="4"/>
      <c r="AA133" s="4"/>
      <c r="AB133" s="802"/>
      <c r="AC133" s="4"/>
      <c r="AD133" s="4"/>
      <c r="AE133" s="4"/>
      <c r="AF133" s="802"/>
      <c r="AG133" s="4"/>
      <c r="AH133" s="4"/>
      <c r="AI133" s="4"/>
      <c r="AJ133" s="802"/>
      <c r="AK133" s="802"/>
      <c r="AL133" s="802"/>
      <c r="AM133" s="802"/>
    </row>
    <row r="134" spans="2:39" x14ac:dyDescent="0.2">
      <c r="B134" s="2" t="s">
        <v>351</v>
      </c>
      <c r="D134" s="332"/>
      <c r="E134" s="332"/>
      <c r="F134" s="4"/>
      <c r="G134" s="4"/>
      <c r="H134" s="4">
        <v>4599</v>
      </c>
      <c r="I134" s="4">
        <v>3286</v>
      </c>
      <c r="J134" s="4"/>
      <c r="L134" s="4"/>
      <c r="M134" s="4"/>
      <c r="N134" s="4"/>
      <c r="O134" s="4"/>
      <c r="P134" s="802"/>
      <c r="Q134" s="4"/>
      <c r="R134" s="4"/>
      <c r="S134" s="4"/>
      <c r="T134" s="802"/>
      <c r="U134" s="4"/>
      <c r="V134" s="4"/>
      <c r="W134" s="4"/>
      <c r="X134" s="802"/>
      <c r="Y134" s="4"/>
      <c r="Z134" s="4"/>
      <c r="AA134" s="4"/>
      <c r="AB134" s="802"/>
      <c r="AC134" s="4"/>
      <c r="AD134" s="4"/>
      <c r="AE134" s="4"/>
      <c r="AF134" s="802"/>
      <c r="AG134" s="4"/>
      <c r="AH134" s="4"/>
      <c r="AI134" s="4"/>
      <c r="AJ134" s="802"/>
      <c r="AK134" s="802"/>
      <c r="AL134" s="802"/>
      <c r="AM134" s="802"/>
    </row>
    <row r="135" spans="2:39" x14ac:dyDescent="0.2">
      <c r="B135" s="237" t="s">
        <v>352</v>
      </c>
      <c r="D135" s="332"/>
      <c r="E135" s="332"/>
      <c r="F135" s="4"/>
      <c r="G135" s="4"/>
      <c r="H135" s="4">
        <v>-53102</v>
      </c>
      <c r="I135" s="4">
        <v>-58481</v>
      </c>
      <c r="J135" s="4"/>
      <c r="L135" s="4"/>
      <c r="M135" s="4"/>
      <c r="N135" s="4"/>
      <c r="O135" s="4"/>
      <c r="P135" s="802"/>
      <c r="Q135" s="4"/>
      <c r="R135" s="4"/>
      <c r="S135" s="4"/>
      <c r="T135" s="802"/>
      <c r="U135" s="4"/>
      <c r="V135" s="4"/>
      <c r="W135" s="4"/>
      <c r="X135" s="802"/>
      <c r="Y135" s="4"/>
      <c r="Z135" s="4"/>
      <c r="AA135" s="4"/>
      <c r="AB135" s="802"/>
      <c r="AC135" s="4"/>
      <c r="AD135" s="4"/>
      <c r="AE135" s="4"/>
      <c r="AF135" s="802"/>
      <c r="AG135" s="4"/>
      <c r="AH135" s="4"/>
      <c r="AI135" s="4"/>
      <c r="AJ135" s="802"/>
      <c r="AK135" s="802"/>
      <c r="AL135" s="802"/>
      <c r="AM135" s="802"/>
    </row>
    <row r="136" spans="2:39" s="3" customFormat="1" x14ac:dyDescent="0.2">
      <c r="B136" s="3" t="s">
        <v>44</v>
      </c>
      <c r="D136" s="523"/>
      <c r="E136" s="523"/>
      <c r="F136" s="171"/>
      <c r="G136" s="171"/>
      <c r="H136" s="171">
        <f>+SUM(H128:H135)</f>
        <v>42086</v>
      </c>
      <c r="I136" s="171">
        <f>+SUM(I128:I135)</f>
        <v>40432</v>
      </c>
      <c r="J136" s="171">
        <f>+SUM(J128:J135)</f>
        <v>0</v>
      </c>
      <c r="L136" s="171"/>
      <c r="M136" s="171"/>
      <c r="N136" s="171"/>
      <c r="O136" s="171"/>
      <c r="P136" s="803"/>
      <c r="Q136" s="171"/>
      <c r="R136" s="171"/>
      <c r="S136" s="171"/>
      <c r="T136" s="803"/>
      <c r="U136" s="171"/>
      <c r="V136" s="171"/>
      <c r="W136" s="171"/>
      <c r="X136" s="803"/>
      <c r="Y136" s="171"/>
      <c r="Z136" s="171"/>
      <c r="AA136" s="171"/>
      <c r="AB136" s="803"/>
      <c r="AC136" s="171"/>
      <c r="AD136" s="171"/>
      <c r="AE136" s="171"/>
      <c r="AF136" s="803"/>
      <c r="AG136" s="171"/>
      <c r="AH136" s="171"/>
      <c r="AI136" s="171"/>
      <c r="AJ136" s="803"/>
      <c r="AK136" s="803"/>
      <c r="AL136" s="803"/>
      <c r="AM136" s="803"/>
    </row>
    <row r="137" spans="2:39" s="3" customFormat="1" x14ac:dyDescent="0.2">
      <c r="B137" s="2" t="s">
        <v>368</v>
      </c>
      <c r="D137" s="332"/>
      <c r="E137" s="332"/>
      <c r="F137" s="4"/>
      <c r="G137" s="4">
        <v>15200</v>
      </c>
      <c r="H137" s="4">
        <v>12700</v>
      </c>
      <c r="I137" s="4">
        <v>12000</v>
      </c>
      <c r="J137" s="4"/>
      <c r="L137" s="4"/>
      <c r="M137" s="4"/>
      <c r="N137" s="4"/>
      <c r="O137" s="4"/>
      <c r="P137" s="802"/>
      <c r="Q137" s="4"/>
      <c r="R137" s="4"/>
      <c r="S137" s="4"/>
      <c r="T137" s="802"/>
      <c r="U137" s="4"/>
      <c r="V137" s="4"/>
      <c r="W137" s="4"/>
      <c r="X137" s="802"/>
      <c r="Y137" s="4"/>
      <c r="Z137" s="4"/>
      <c r="AA137" s="4"/>
      <c r="AB137" s="802"/>
      <c r="AC137" s="4"/>
      <c r="AD137" s="4"/>
      <c r="AE137" s="4"/>
      <c r="AF137" s="802"/>
      <c r="AG137" s="4"/>
      <c r="AH137" s="4"/>
      <c r="AI137" s="4"/>
      <c r="AJ137" s="802"/>
      <c r="AK137" s="802"/>
      <c r="AL137" s="802"/>
      <c r="AM137" s="802"/>
    </row>
    <row r="138" spans="2:39" s="3" customFormat="1" x14ac:dyDescent="0.2">
      <c r="B138" s="2" t="s">
        <v>369</v>
      </c>
      <c r="D138" s="332"/>
      <c r="E138" s="332"/>
      <c r="F138" s="4"/>
      <c r="G138" s="4">
        <v>3100</v>
      </c>
      <c r="H138" s="4">
        <v>1100</v>
      </c>
      <c r="I138" s="4">
        <v>170</v>
      </c>
      <c r="J138" s="4"/>
      <c r="L138" s="4"/>
      <c r="M138" s="4"/>
      <c r="N138" s="4"/>
      <c r="O138" s="4"/>
      <c r="P138" s="802"/>
      <c r="Q138" s="4"/>
      <c r="R138" s="4"/>
      <c r="S138" s="4"/>
      <c r="T138" s="802"/>
      <c r="U138" s="4"/>
      <c r="V138" s="4"/>
      <c r="W138" s="4"/>
      <c r="X138" s="802"/>
      <c r="Y138" s="4"/>
      <c r="Z138" s="4"/>
      <c r="AA138" s="4"/>
      <c r="AB138" s="802"/>
      <c r="AC138" s="4"/>
      <c r="AD138" s="4"/>
      <c r="AE138" s="4"/>
      <c r="AF138" s="802"/>
      <c r="AG138" s="4"/>
      <c r="AH138" s="4"/>
      <c r="AI138" s="4"/>
      <c r="AJ138" s="802"/>
      <c r="AK138" s="802"/>
      <c r="AL138" s="802"/>
      <c r="AM138" s="802"/>
    </row>
    <row r="139" spans="2:39" x14ac:dyDescent="0.2">
      <c r="D139" s="370"/>
      <c r="E139" s="370"/>
      <c r="I139" s="5"/>
      <c r="J139" s="5"/>
      <c r="P139" s="594"/>
      <c r="T139" s="594"/>
      <c r="X139" s="594"/>
      <c r="AB139" s="594"/>
      <c r="AF139" s="594"/>
      <c r="AJ139" s="594"/>
      <c r="AK139" s="594"/>
      <c r="AL139" s="594"/>
      <c r="AM139" s="594"/>
    </row>
    <row r="140" spans="2:39" x14ac:dyDescent="0.2">
      <c r="B140" s="3" t="s">
        <v>353</v>
      </c>
      <c r="D140" s="370"/>
      <c r="E140" s="370"/>
      <c r="P140" s="594"/>
      <c r="T140" s="594"/>
      <c r="X140" s="594"/>
      <c r="AB140" s="594"/>
      <c r="AF140" s="594"/>
      <c r="AJ140" s="594"/>
      <c r="AK140" s="594"/>
      <c r="AL140" s="594"/>
      <c r="AM140" s="594"/>
    </row>
    <row r="141" spans="2:39" x14ac:dyDescent="0.2">
      <c r="B141" s="2" t="s">
        <v>358</v>
      </c>
      <c r="D141" s="524"/>
      <c r="E141" s="524"/>
      <c r="F141" s="161"/>
      <c r="G141" s="4">
        <v>82828</v>
      </c>
      <c r="H141" s="4">
        <v>92606</v>
      </c>
      <c r="I141" s="4">
        <v>95798</v>
      </c>
      <c r="J141" s="4"/>
      <c r="L141" s="4"/>
      <c r="M141" s="4"/>
      <c r="N141" s="4"/>
      <c r="O141" s="4"/>
      <c r="P141" s="802"/>
      <c r="Q141" s="4"/>
      <c r="R141" s="4"/>
      <c r="S141" s="4"/>
      <c r="T141" s="802"/>
      <c r="U141" s="4"/>
      <c r="V141" s="4"/>
      <c r="W141" s="4"/>
      <c r="X141" s="802"/>
      <c r="Y141" s="4"/>
      <c r="Z141" s="4"/>
      <c r="AA141" s="4"/>
      <c r="AB141" s="802"/>
      <c r="AC141" s="4"/>
      <c r="AD141" s="4"/>
      <c r="AE141" s="4"/>
      <c r="AF141" s="802">
        <v>96707</v>
      </c>
      <c r="AG141" s="163">
        <f>AF145</f>
        <v>97154</v>
      </c>
      <c r="AH141" s="163">
        <f>AG145</f>
        <v>98661</v>
      </c>
      <c r="AI141" s="4"/>
      <c r="AJ141" s="802"/>
      <c r="AK141" s="802"/>
      <c r="AL141" s="802"/>
      <c r="AM141" s="802"/>
    </row>
    <row r="142" spans="2:39" x14ac:dyDescent="0.2">
      <c r="B142" s="237" t="s">
        <v>354</v>
      </c>
      <c r="D142" s="524"/>
      <c r="E142" s="524"/>
      <c r="F142" s="161"/>
      <c r="G142" s="4">
        <v>9545</v>
      </c>
      <c r="H142" s="4">
        <v>3152</v>
      </c>
      <c r="I142" s="4">
        <v>103</v>
      </c>
      <c r="J142" s="4"/>
      <c r="L142" s="4"/>
      <c r="M142" s="4"/>
      <c r="N142" s="4"/>
      <c r="O142" s="4"/>
      <c r="P142" s="802"/>
      <c r="Q142" s="4"/>
      <c r="R142" s="4"/>
      <c r="S142" s="4"/>
      <c r="T142" s="802"/>
      <c r="U142" s="4"/>
      <c r="V142" s="4"/>
      <c r="W142" s="4"/>
      <c r="X142" s="802"/>
      <c r="Y142" s="4"/>
      <c r="Z142" s="4"/>
      <c r="AA142" s="4"/>
      <c r="AB142" s="802"/>
      <c r="AC142" s="4"/>
      <c r="AD142" s="4"/>
      <c r="AE142" s="4"/>
      <c r="AF142" s="802">
        <v>411</v>
      </c>
      <c r="AG142" s="4">
        <f>2925-AF142</f>
        <v>2514</v>
      </c>
      <c r="AH142" s="4">
        <f>3000-SUM(AF142:AG142)</f>
        <v>75</v>
      </c>
      <c r="AI142" s="4"/>
      <c r="AJ142" s="802"/>
      <c r="AK142" s="802"/>
      <c r="AL142" s="802"/>
      <c r="AM142" s="802"/>
    </row>
    <row r="143" spans="2:39" x14ac:dyDescent="0.2">
      <c r="B143" s="237" t="s">
        <v>355</v>
      </c>
      <c r="D143" s="524"/>
      <c r="E143" s="524"/>
      <c r="F143" s="161"/>
      <c r="G143" s="4">
        <v>-28</v>
      </c>
      <c r="H143" s="4">
        <v>-64</v>
      </c>
      <c r="I143" s="4">
        <v>-2</v>
      </c>
      <c r="J143" s="4"/>
      <c r="L143" s="4"/>
      <c r="M143" s="4"/>
      <c r="N143" s="4"/>
      <c r="O143" s="4"/>
      <c r="P143" s="802"/>
      <c r="Q143" s="4"/>
      <c r="R143" s="4"/>
      <c r="S143" s="4"/>
      <c r="T143" s="802"/>
      <c r="U143" s="4"/>
      <c r="V143" s="4"/>
      <c r="W143" s="4"/>
      <c r="X143" s="802"/>
      <c r="Y143" s="4"/>
      <c r="Z143" s="4"/>
      <c r="AA143" s="4"/>
      <c r="AB143" s="802"/>
      <c r="AC143" s="4"/>
      <c r="AD143" s="4"/>
      <c r="AE143" s="4"/>
      <c r="AF143" s="802">
        <v>-17</v>
      </c>
      <c r="AG143" s="4">
        <f>-1024-AF143</f>
        <v>-1007</v>
      </c>
      <c r="AH143" s="4">
        <f>-1024-SUM(AF143:AG143)</f>
        <v>0</v>
      </c>
      <c r="AI143" s="4"/>
      <c r="AJ143" s="802"/>
      <c r="AK143" s="802"/>
      <c r="AL143" s="802"/>
      <c r="AM143" s="802"/>
    </row>
    <row r="144" spans="2:39" x14ac:dyDescent="0.2">
      <c r="B144" s="237" t="s">
        <v>356</v>
      </c>
      <c r="D144" s="524"/>
      <c r="E144" s="524"/>
      <c r="F144" s="161"/>
      <c r="G144" s="4">
        <v>261</v>
      </c>
      <c r="H144" s="4">
        <v>104</v>
      </c>
      <c r="I144" s="4">
        <v>808</v>
      </c>
      <c r="J144" s="4"/>
      <c r="L144" s="4"/>
      <c r="M144" s="4"/>
      <c r="N144" s="4"/>
      <c r="O144" s="4"/>
      <c r="P144" s="802"/>
      <c r="Q144" s="4"/>
      <c r="R144" s="4"/>
      <c r="S144" s="4"/>
      <c r="T144" s="802"/>
      <c r="U144" s="4"/>
      <c r="V144" s="4"/>
      <c r="W144" s="4"/>
      <c r="X144" s="802"/>
      <c r="Y144" s="4"/>
      <c r="Z144" s="4"/>
      <c r="AA144" s="4"/>
      <c r="AB144" s="802"/>
      <c r="AC144" s="4"/>
      <c r="AD144" s="4"/>
      <c r="AE144" s="4"/>
      <c r="AF144" s="802">
        <v>53</v>
      </c>
      <c r="AG144" s="4">
        <f>53-AF144</f>
        <v>0</v>
      </c>
      <c r="AH144" s="4">
        <f>53-SUM(AF144:AG144)</f>
        <v>0</v>
      </c>
      <c r="AI144" s="4"/>
      <c r="AJ144" s="802"/>
      <c r="AK144" s="802"/>
      <c r="AL144" s="802"/>
      <c r="AM144" s="802"/>
    </row>
    <row r="145" spans="2:39" s="3" customFormat="1" x14ac:dyDescent="0.2">
      <c r="B145" s="3" t="s">
        <v>357</v>
      </c>
      <c r="D145" s="523"/>
      <c r="E145" s="523"/>
      <c r="F145" s="171"/>
      <c r="G145" s="171">
        <f>SUM(G141:G144)</f>
        <v>92606</v>
      </c>
      <c r="H145" s="171">
        <f t="shared" ref="H145:I145" si="181">SUM(H141:H144)</f>
        <v>95798</v>
      </c>
      <c r="I145" s="171">
        <f t="shared" si="181"/>
        <v>96707</v>
      </c>
      <c r="J145" s="171">
        <f t="shared" ref="J145" si="182">SUM(J141:J144)</f>
        <v>0</v>
      </c>
      <c r="L145" s="217">
        <f t="shared" ref="L145:AF145" si="183">+SUM(L141:L144)</f>
        <v>0</v>
      </c>
      <c r="M145" s="217">
        <f t="shared" si="183"/>
        <v>0</v>
      </c>
      <c r="N145" s="217">
        <f t="shared" si="183"/>
        <v>0</v>
      </c>
      <c r="O145" s="217">
        <f t="shared" si="183"/>
        <v>0</v>
      </c>
      <c r="P145" s="804">
        <f t="shared" si="183"/>
        <v>0</v>
      </c>
      <c r="Q145" s="217">
        <f t="shared" si="183"/>
        <v>0</v>
      </c>
      <c r="R145" s="217">
        <f t="shared" si="183"/>
        <v>0</v>
      </c>
      <c r="S145" s="217">
        <f t="shared" si="183"/>
        <v>0</v>
      </c>
      <c r="T145" s="804">
        <f t="shared" si="183"/>
        <v>0</v>
      </c>
      <c r="U145" s="217">
        <f t="shared" si="183"/>
        <v>0</v>
      </c>
      <c r="V145" s="217">
        <f t="shared" si="183"/>
        <v>0</v>
      </c>
      <c r="W145" s="217">
        <f t="shared" si="183"/>
        <v>0</v>
      </c>
      <c r="X145" s="804">
        <f t="shared" si="183"/>
        <v>0</v>
      </c>
      <c r="Y145" s="217">
        <f t="shared" si="183"/>
        <v>0</v>
      </c>
      <c r="Z145" s="217">
        <f t="shared" si="183"/>
        <v>0</v>
      </c>
      <c r="AA145" s="217">
        <f t="shared" si="183"/>
        <v>0</v>
      </c>
      <c r="AB145" s="804">
        <f t="shared" si="183"/>
        <v>0</v>
      </c>
      <c r="AC145" s="217">
        <f t="shared" si="183"/>
        <v>0</v>
      </c>
      <c r="AD145" s="217">
        <f t="shared" si="183"/>
        <v>0</v>
      </c>
      <c r="AE145" s="217">
        <f t="shared" si="183"/>
        <v>0</v>
      </c>
      <c r="AF145" s="804">
        <f t="shared" si="183"/>
        <v>97154</v>
      </c>
      <c r="AG145" s="217">
        <f>+SUM(AG141:AG144)</f>
        <v>98661</v>
      </c>
      <c r="AH145" s="217">
        <f>+SUM(AH141:AH144)</f>
        <v>98736</v>
      </c>
      <c r="AI145" s="217">
        <f t="shared" ref="AI145" si="184">+SUM(AI141:AI144)</f>
        <v>0</v>
      </c>
      <c r="AJ145" s="804">
        <f t="shared" ref="AJ145" si="185">+SUM(AJ141:AJ144)</f>
        <v>0</v>
      </c>
      <c r="AK145" s="804"/>
      <c r="AL145" s="804"/>
      <c r="AM145" s="804"/>
    </row>
    <row r="146" spans="2:39" x14ac:dyDescent="0.2">
      <c r="D146" s="370"/>
      <c r="E146" s="370"/>
      <c r="P146" s="594"/>
      <c r="T146" s="594"/>
      <c r="X146" s="594"/>
      <c r="AB146" s="594"/>
      <c r="AF146" s="594"/>
      <c r="AJ146" s="594"/>
      <c r="AK146" s="594"/>
      <c r="AL146" s="594"/>
      <c r="AM146" s="594"/>
    </row>
    <row r="147" spans="2:39" x14ac:dyDescent="0.2">
      <c r="B147" s="3" t="s">
        <v>363</v>
      </c>
      <c r="D147" s="370"/>
      <c r="E147" s="370"/>
      <c r="P147" s="594"/>
      <c r="T147" s="594"/>
      <c r="X147" s="594"/>
      <c r="AB147" s="594"/>
      <c r="AF147" s="594"/>
      <c r="AJ147" s="594"/>
      <c r="AK147" s="594"/>
      <c r="AL147" s="594"/>
      <c r="AM147" s="594"/>
    </row>
    <row r="148" spans="2:39" x14ac:dyDescent="0.2">
      <c r="B148" s="2" t="s">
        <v>359</v>
      </c>
      <c r="D148" s="332"/>
      <c r="E148" s="332"/>
      <c r="F148" s="4"/>
      <c r="G148" s="4"/>
      <c r="H148" s="4">
        <v>2151</v>
      </c>
      <c r="I148" s="4">
        <v>1432</v>
      </c>
      <c r="J148" s="4"/>
      <c r="L148" s="4"/>
      <c r="M148" s="4"/>
      <c r="N148" s="4"/>
      <c r="O148" s="4"/>
      <c r="P148" s="802"/>
      <c r="Q148" s="4"/>
      <c r="R148" s="4"/>
      <c r="S148" s="4"/>
      <c r="T148" s="802"/>
      <c r="U148" s="4"/>
      <c r="V148" s="4"/>
      <c r="W148" s="4"/>
      <c r="X148" s="802"/>
      <c r="Y148" s="4"/>
      <c r="Z148" s="4"/>
      <c r="AA148" s="4"/>
      <c r="AB148" s="802"/>
      <c r="AC148" s="4"/>
      <c r="AD148" s="4"/>
      <c r="AE148" s="4">
        <v>1432</v>
      </c>
      <c r="AF148" s="802"/>
      <c r="AG148" s="4">
        <v>1648</v>
      </c>
      <c r="AH148" s="4">
        <v>1476</v>
      </c>
      <c r="AI148" s="4"/>
      <c r="AJ148" s="802"/>
      <c r="AK148" s="802"/>
      <c r="AL148" s="802"/>
      <c r="AM148" s="802"/>
    </row>
    <row r="149" spans="2:39" x14ac:dyDescent="0.2">
      <c r="B149" s="2" t="s">
        <v>360</v>
      </c>
      <c r="D149" s="332"/>
      <c r="E149" s="332"/>
      <c r="F149" s="4"/>
      <c r="G149" s="4"/>
      <c r="H149" s="4">
        <v>631</v>
      </c>
      <c r="I149" s="4">
        <v>539</v>
      </c>
      <c r="J149" s="4"/>
      <c r="L149" s="4"/>
      <c r="M149" s="4"/>
      <c r="N149" s="4"/>
      <c r="O149" s="4"/>
      <c r="P149" s="802"/>
      <c r="Q149" s="4"/>
      <c r="R149" s="4"/>
      <c r="S149" s="4"/>
      <c r="T149" s="802"/>
      <c r="U149" s="4"/>
      <c r="V149" s="4"/>
      <c r="W149" s="4"/>
      <c r="X149" s="802"/>
      <c r="Y149" s="4"/>
      <c r="Z149" s="4"/>
      <c r="AA149" s="4"/>
      <c r="AB149" s="802"/>
      <c r="AC149" s="4"/>
      <c r="AD149" s="4"/>
      <c r="AE149" s="4">
        <v>539</v>
      </c>
      <c r="AF149" s="802"/>
      <c r="AG149" s="4">
        <v>493</v>
      </c>
      <c r="AH149" s="4">
        <v>470</v>
      </c>
      <c r="AI149" s="4"/>
      <c r="AJ149" s="802"/>
      <c r="AK149" s="802"/>
      <c r="AL149" s="802"/>
      <c r="AM149" s="802"/>
    </row>
    <row r="150" spans="2:39" x14ac:dyDescent="0.2">
      <c r="B150" s="2" t="s">
        <v>361</v>
      </c>
      <c r="D150" s="332"/>
      <c r="E150" s="332"/>
      <c r="F150" s="4"/>
      <c r="G150" s="4"/>
      <c r="H150" s="4">
        <v>79</v>
      </c>
      <c r="I150" s="4">
        <v>74</v>
      </c>
      <c r="J150" s="4"/>
      <c r="L150" s="4"/>
      <c r="M150" s="4"/>
      <c r="N150" s="4"/>
      <c r="O150" s="4"/>
      <c r="P150" s="802"/>
      <c r="Q150" s="4"/>
      <c r="R150" s="4"/>
      <c r="S150" s="4"/>
      <c r="T150" s="802"/>
      <c r="U150" s="4"/>
      <c r="V150" s="4"/>
      <c r="W150" s="4"/>
      <c r="X150" s="802"/>
      <c r="Y150" s="4"/>
      <c r="Z150" s="4"/>
      <c r="AA150" s="4"/>
      <c r="AB150" s="802"/>
      <c r="AC150" s="4"/>
      <c r="AD150" s="4"/>
      <c r="AE150" s="4">
        <v>74</v>
      </c>
      <c r="AF150" s="802"/>
      <c r="AG150" s="4">
        <v>180</v>
      </c>
      <c r="AH150" s="4">
        <v>179</v>
      </c>
      <c r="AI150" s="4"/>
      <c r="AJ150" s="802"/>
      <c r="AK150" s="802"/>
      <c r="AL150" s="802"/>
      <c r="AM150" s="802"/>
    </row>
    <row r="151" spans="2:39" x14ac:dyDescent="0.2">
      <c r="B151" s="2" t="s">
        <v>362</v>
      </c>
      <c r="D151" s="332"/>
      <c r="E151" s="332"/>
      <c r="F151" s="4"/>
      <c r="G151" s="4"/>
      <c r="H151" s="4">
        <v>592</v>
      </c>
      <c r="I151" s="4">
        <v>538</v>
      </c>
      <c r="J151" s="4"/>
      <c r="L151" s="4"/>
      <c r="M151" s="4"/>
      <c r="N151" s="4"/>
      <c r="O151" s="4"/>
      <c r="P151" s="802"/>
      <c r="Q151" s="4"/>
      <c r="R151" s="4"/>
      <c r="S151" s="4"/>
      <c r="T151" s="802"/>
      <c r="U151" s="4"/>
      <c r="V151" s="4"/>
      <c r="W151" s="4"/>
      <c r="X151" s="802"/>
      <c r="Y151" s="4"/>
      <c r="Z151" s="4"/>
      <c r="AA151" s="4"/>
      <c r="AB151" s="802"/>
      <c r="AC151" s="4"/>
      <c r="AD151" s="4"/>
      <c r="AE151" s="4">
        <v>538</v>
      </c>
      <c r="AF151" s="802"/>
      <c r="AG151" s="4">
        <v>507</v>
      </c>
      <c r="AH151" s="4">
        <v>498</v>
      </c>
      <c r="AI151" s="4"/>
      <c r="AJ151" s="802"/>
      <c r="AK151" s="802"/>
      <c r="AL151" s="802"/>
      <c r="AM151" s="802"/>
    </row>
    <row r="152" spans="2:39" x14ac:dyDescent="0.2">
      <c r="B152" s="2" t="s">
        <v>336</v>
      </c>
      <c r="D152" s="332"/>
      <c r="E152" s="332"/>
      <c r="F152" s="4"/>
      <c r="G152" s="4"/>
      <c r="H152" s="4">
        <v>55</v>
      </c>
      <c r="I152" s="4">
        <v>35</v>
      </c>
      <c r="J152" s="4"/>
      <c r="L152" s="4"/>
      <c r="M152" s="4"/>
      <c r="N152" s="4"/>
      <c r="O152" s="4"/>
      <c r="P152" s="802"/>
      <c r="Q152" s="4"/>
      <c r="R152" s="4"/>
      <c r="S152" s="4"/>
      <c r="T152" s="802"/>
      <c r="U152" s="4"/>
      <c r="V152" s="4"/>
      <c r="W152" s="4"/>
      <c r="X152" s="802"/>
      <c r="Y152" s="4"/>
      <c r="Z152" s="4"/>
      <c r="AA152" s="4"/>
      <c r="AB152" s="802"/>
      <c r="AC152" s="4"/>
      <c r="AD152" s="4"/>
      <c r="AE152" s="4">
        <v>35</v>
      </c>
      <c r="AF152" s="802"/>
      <c r="AG152" s="4">
        <v>150</v>
      </c>
      <c r="AH152" s="4">
        <v>139</v>
      </c>
      <c r="AI152" s="4"/>
      <c r="AJ152" s="802"/>
      <c r="AK152" s="802"/>
      <c r="AL152" s="802"/>
      <c r="AM152" s="802"/>
    </row>
    <row r="153" spans="2:39" s="3" customFormat="1" x14ac:dyDescent="0.2">
      <c r="B153" s="3" t="s">
        <v>364</v>
      </c>
      <c r="D153" s="525"/>
      <c r="E153" s="525"/>
      <c r="F153" s="164"/>
      <c r="G153" s="164"/>
      <c r="H153" s="164">
        <f>+SUM(H148:H152)</f>
        <v>3508</v>
      </c>
      <c r="I153" s="164">
        <f t="shared" ref="I153:J153" si="186">+SUM(I148:I152)</f>
        <v>2618</v>
      </c>
      <c r="J153" s="164">
        <f t="shared" si="186"/>
        <v>0</v>
      </c>
      <c r="L153" s="164">
        <f t="shared" ref="L153:AH153" si="187">+SUM(L148:L152)</f>
        <v>0</v>
      </c>
      <c r="M153" s="164">
        <f t="shared" si="187"/>
        <v>0</v>
      </c>
      <c r="N153" s="164">
        <f t="shared" si="187"/>
        <v>0</v>
      </c>
      <c r="O153" s="164">
        <f t="shared" si="187"/>
        <v>0</v>
      </c>
      <c r="P153" s="805">
        <f t="shared" si="187"/>
        <v>0</v>
      </c>
      <c r="Q153" s="164">
        <f t="shared" si="187"/>
        <v>0</v>
      </c>
      <c r="R153" s="164">
        <f t="shared" si="187"/>
        <v>0</v>
      </c>
      <c r="S153" s="164">
        <f t="shared" si="187"/>
        <v>0</v>
      </c>
      <c r="T153" s="805">
        <f t="shared" si="187"/>
        <v>0</v>
      </c>
      <c r="U153" s="164">
        <f t="shared" si="187"/>
        <v>0</v>
      </c>
      <c r="V153" s="164">
        <f t="shared" si="187"/>
        <v>0</v>
      </c>
      <c r="W153" s="164">
        <f t="shared" si="187"/>
        <v>0</v>
      </c>
      <c r="X153" s="805">
        <f t="shared" si="187"/>
        <v>0</v>
      </c>
      <c r="Y153" s="164">
        <f t="shared" si="187"/>
        <v>0</v>
      </c>
      <c r="Z153" s="164">
        <f t="shared" si="187"/>
        <v>0</v>
      </c>
      <c r="AA153" s="164">
        <f t="shared" si="187"/>
        <v>0</v>
      </c>
      <c r="AB153" s="805">
        <f t="shared" si="187"/>
        <v>0</v>
      </c>
      <c r="AC153" s="164">
        <f t="shared" si="187"/>
        <v>0</v>
      </c>
      <c r="AD153" s="164">
        <f t="shared" si="187"/>
        <v>0</v>
      </c>
      <c r="AE153" s="164">
        <f t="shared" si="187"/>
        <v>2618</v>
      </c>
      <c r="AF153" s="805">
        <f t="shared" si="187"/>
        <v>0</v>
      </c>
      <c r="AG153" s="164">
        <f t="shared" si="187"/>
        <v>2978</v>
      </c>
      <c r="AH153" s="164">
        <f t="shared" si="187"/>
        <v>2762</v>
      </c>
      <c r="AI153" s="164">
        <f t="shared" ref="AI153:AJ153" si="188">+SUM(AI148:AI152)</f>
        <v>0</v>
      </c>
      <c r="AJ153" s="805">
        <f t="shared" si="188"/>
        <v>0</v>
      </c>
      <c r="AK153" s="805"/>
      <c r="AL153" s="805"/>
      <c r="AM153" s="805"/>
    </row>
    <row r="154" spans="2:39" x14ac:dyDescent="0.2">
      <c r="B154" s="2" t="s">
        <v>365</v>
      </c>
      <c r="D154" s="332"/>
      <c r="E154" s="332"/>
      <c r="F154" s="4"/>
      <c r="G154" s="4"/>
      <c r="H154" s="4">
        <v>3399</v>
      </c>
      <c r="I154" s="4">
        <v>4282</v>
      </c>
      <c r="J154" s="4"/>
      <c r="L154" s="4"/>
      <c r="M154" s="4"/>
      <c r="N154" s="4"/>
      <c r="O154" s="4"/>
      <c r="P154" s="802"/>
      <c r="Q154" s="4"/>
      <c r="R154" s="4"/>
      <c r="S154" s="4"/>
      <c r="T154" s="802"/>
      <c r="U154" s="4"/>
      <c r="V154" s="4"/>
      <c r="W154" s="4"/>
      <c r="X154" s="802"/>
      <c r="Y154" s="4"/>
      <c r="Z154" s="4"/>
      <c r="AA154" s="4"/>
      <c r="AB154" s="802"/>
      <c r="AC154" s="4"/>
      <c r="AD154" s="4"/>
      <c r="AE154" s="4">
        <v>4282</v>
      </c>
      <c r="AF154" s="802"/>
      <c r="AG154" s="4">
        <v>4695</v>
      </c>
      <c r="AH154" s="4">
        <v>4916</v>
      </c>
      <c r="AI154" s="4"/>
      <c r="AJ154" s="802"/>
      <c r="AK154" s="802"/>
      <c r="AL154" s="802"/>
      <c r="AM154" s="802"/>
    </row>
    <row r="155" spans="2:39" s="3" customFormat="1" x14ac:dyDescent="0.2">
      <c r="B155" s="3" t="s">
        <v>366</v>
      </c>
      <c r="D155" s="525"/>
      <c r="E155" s="525"/>
      <c r="F155" s="164"/>
      <c r="G155" s="164"/>
      <c r="H155" s="164">
        <f>+H154+H153</f>
        <v>6907</v>
      </c>
      <c r="I155" s="164">
        <f>+I154+I153</f>
        <v>6900</v>
      </c>
      <c r="J155" s="164">
        <f>+J154+J153</f>
        <v>0</v>
      </c>
      <c r="L155" s="164">
        <f t="shared" ref="L155:AF155" si="189">+L154+L153</f>
        <v>0</v>
      </c>
      <c r="M155" s="164">
        <f t="shared" si="189"/>
        <v>0</v>
      </c>
      <c r="N155" s="164">
        <f t="shared" si="189"/>
        <v>0</v>
      </c>
      <c r="O155" s="164">
        <f t="shared" si="189"/>
        <v>0</v>
      </c>
      <c r="P155" s="805">
        <f t="shared" si="189"/>
        <v>0</v>
      </c>
      <c r="Q155" s="164">
        <f t="shared" si="189"/>
        <v>0</v>
      </c>
      <c r="R155" s="164">
        <f t="shared" si="189"/>
        <v>0</v>
      </c>
      <c r="S155" s="164">
        <f t="shared" si="189"/>
        <v>0</v>
      </c>
      <c r="T155" s="805">
        <f t="shared" si="189"/>
        <v>0</v>
      </c>
      <c r="U155" s="164">
        <f t="shared" si="189"/>
        <v>0</v>
      </c>
      <c r="V155" s="164">
        <f t="shared" si="189"/>
        <v>0</v>
      </c>
      <c r="W155" s="164">
        <f t="shared" si="189"/>
        <v>0</v>
      </c>
      <c r="X155" s="805">
        <f t="shared" si="189"/>
        <v>0</v>
      </c>
      <c r="Y155" s="164">
        <f t="shared" si="189"/>
        <v>0</v>
      </c>
      <c r="Z155" s="164">
        <f t="shared" si="189"/>
        <v>0</v>
      </c>
      <c r="AA155" s="164">
        <f t="shared" si="189"/>
        <v>0</v>
      </c>
      <c r="AB155" s="805">
        <f t="shared" si="189"/>
        <v>0</v>
      </c>
      <c r="AC155" s="164">
        <f t="shared" si="189"/>
        <v>0</v>
      </c>
      <c r="AD155" s="164">
        <f t="shared" si="189"/>
        <v>0</v>
      </c>
      <c r="AE155" s="164">
        <f t="shared" si="189"/>
        <v>6900</v>
      </c>
      <c r="AF155" s="805">
        <f t="shared" si="189"/>
        <v>0</v>
      </c>
      <c r="AG155" s="164">
        <f>+AG154+AG153</f>
        <v>7673</v>
      </c>
      <c r="AH155" s="164">
        <f>+AH154+AH153</f>
        <v>7678</v>
      </c>
      <c r="AI155" s="164">
        <f t="shared" ref="AI155:AJ155" si="190">+AI154+AI153</f>
        <v>0</v>
      </c>
      <c r="AJ155" s="805">
        <f t="shared" si="190"/>
        <v>0</v>
      </c>
      <c r="AK155" s="805"/>
      <c r="AL155" s="805"/>
      <c r="AM155" s="805"/>
    </row>
    <row r="156" spans="2:39" x14ac:dyDescent="0.2">
      <c r="B156" s="2" t="s">
        <v>367</v>
      </c>
      <c r="D156" s="332"/>
      <c r="E156" s="332"/>
      <c r="F156" s="4"/>
      <c r="G156" s="4">
        <v>1300</v>
      </c>
      <c r="H156" s="4">
        <v>1200</v>
      </c>
      <c r="I156" s="4">
        <v>888</v>
      </c>
      <c r="J156" s="4"/>
      <c r="L156" s="4"/>
      <c r="M156" s="4"/>
      <c r="N156" s="4"/>
      <c r="O156" s="4"/>
      <c r="P156" s="802"/>
      <c r="Q156" s="4"/>
      <c r="R156" s="4"/>
      <c r="S156" s="4"/>
      <c r="T156" s="802"/>
      <c r="U156" s="4"/>
      <c r="V156" s="4"/>
      <c r="W156" s="4"/>
      <c r="X156" s="802"/>
      <c r="Y156" s="4"/>
      <c r="Z156" s="4"/>
      <c r="AA156" s="4"/>
      <c r="AB156" s="802">
        <f>469-AC156</f>
        <v>254</v>
      </c>
      <c r="AC156" s="4">
        <v>215</v>
      </c>
      <c r="AD156" s="4">
        <v>209</v>
      </c>
      <c r="AE156" s="4">
        <f>I156-SUM(AB156:AD156)</f>
        <v>210</v>
      </c>
      <c r="AF156" s="802">
        <f>416-AG156</f>
        <v>211</v>
      </c>
      <c r="AG156" s="4">
        <v>205</v>
      </c>
      <c r="AH156" s="4">
        <v>221</v>
      </c>
      <c r="AI156" s="4"/>
      <c r="AJ156" s="802"/>
      <c r="AK156" s="802"/>
      <c r="AL156" s="802"/>
      <c r="AM156" s="802"/>
    </row>
    <row r="157" spans="2:39" x14ac:dyDescent="0.2">
      <c r="P157" s="594"/>
      <c r="T157" s="594"/>
      <c r="X157" s="594"/>
      <c r="AB157" s="594"/>
      <c r="AF157" s="594"/>
      <c r="AH157" s="5"/>
      <c r="AJ157" s="594"/>
      <c r="AK157" s="594"/>
      <c r="AL157" s="594"/>
    </row>
    <row r="158" spans="2:39" x14ac:dyDescent="0.2">
      <c r="P158" s="594"/>
      <c r="T158" s="594"/>
      <c r="X158" s="594"/>
      <c r="AB158" s="594"/>
      <c r="AF158" s="594"/>
      <c r="AJ158" s="594"/>
      <c r="AK158" s="594"/>
      <c r="AL158" s="594"/>
    </row>
  </sheetData>
  <pageMargins left="0.7" right="0.7" top="0.75" bottom="0.75" header="0.3" footer="0.3"/>
  <pageSetup orientation="portrait" r:id="rId1"/>
  <customProperties>
    <customPr name="UniqueName" r:id="rId2"/>
  </customProperties>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4893-DD1A-4FC9-AD73-1F0F6CDA3461}">
  <dimension ref="A1:AE43"/>
  <sheetViews>
    <sheetView showGridLines="0" zoomScale="85" zoomScaleNormal="85" workbookViewId="0">
      <pane xSplit="1" topLeftCell="V1" activePane="topRight" state="frozen"/>
      <selection pane="topRight" activeCell="AB15" sqref="AB15"/>
    </sheetView>
  </sheetViews>
  <sheetFormatPr defaultRowHeight="14.25" x14ac:dyDescent="0.2"/>
  <cols>
    <col min="1" max="1" width="52.25" customWidth="1"/>
    <col min="2" max="6" width="10.125" bestFit="1" customWidth="1"/>
    <col min="7" max="7" width="10.75" bestFit="1" customWidth="1"/>
    <col min="8" max="8" width="10.125" bestFit="1" customWidth="1"/>
    <col min="9" max="9" width="10.75" bestFit="1" customWidth="1"/>
    <col min="10" max="23" width="10.125" bestFit="1" customWidth="1"/>
    <col min="28" max="28" width="9.125" bestFit="1" customWidth="1"/>
    <col min="29" max="31" width="10.125" bestFit="1" customWidth="1"/>
  </cols>
  <sheetData>
    <row r="1" spans="1:28" x14ac:dyDescent="0.2">
      <c r="A1" t="s">
        <v>699</v>
      </c>
    </row>
    <row r="2" spans="1:28" x14ac:dyDescent="0.2">
      <c r="A2" s="7"/>
      <c r="B2" s="7" t="s">
        <v>239</v>
      </c>
      <c r="C2" s="7" t="s">
        <v>240</v>
      </c>
      <c r="D2" s="7" t="s">
        <v>202</v>
      </c>
      <c r="E2" s="885" t="s">
        <v>201</v>
      </c>
      <c r="F2" s="7" t="s">
        <v>200</v>
      </c>
      <c r="G2" s="7" t="s">
        <v>199</v>
      </c>
      <c r="H2" s="7" t="s">
        <v>198</v>
      </c>
      <c r="I2" s="885" t="s">
        <v>180</v>
      </c>
      <c r="J2" s="7" t="s">
        <v>174</v>
      </c>
      <c r="K2" s="7" t="s">
        <v>175</v>
      </c>
      <c r="L2" s="7" t="s">
        <v>176</v>
      </c>
      <c r="M2" s="885" t="s">
        <v>177</v>
      </c>
      <c r="N2" s="7" t="s">
        <v>1</v>
      </c>
      <c r="O2" s="7" t="s">
        <v>2</v>
      </c>
      <c r="P2" s="7" t="s">
        <v>3</v>
      </c>
      <c r="Q2" s="885" t="s">
        <v>4</v>
      </c>
      <c r="R2" s="7" t="s">
        <v>5</v>
      </c>
      <c r="S2" s="7" t="s">
        <v>6</v>
      </c>
      <c r="T2" s="7" t="s">
        <v>7</v>
      </c>
      <c r="U2" s="885" t="s">
        <v>8</v>
      </c>
      <c r="V2" s="7" t="s">
        <v>9</v>
      </c>
      <c r="W2" s="7" t="s">
        <v>10</v>
      </c>
      <c r="X2" s="7" t="s">
        <v>716</v>
      </c>
      <c r="Y2" s="7" t="s">
        <v>717</v>
      </c>
      <c r="Z2" s="7" t="s">
        <v>718</v>
      </c>
      <c r="AA2" s="7" t="s">
        <v>719</v>
      </c>
      <c r="AB2" s="7" t="s">
        <v>720</v>
      </c>
    </row>
    <row r="3" spans="1:28" x14ac:dyDescent="0.2">
      <c r="A3" s="1067" t="s">
        <v>55</v>
      </c>
      <c r="B3" s="1067">
        <f>INDEX('FC - 3FS'!88:88,MATCH(Debt!B$2,'FC - 3FS'!$4:$4,0))</f>
        <v>250</v>
      </c>
      <c r="C3" s="1067">
        <f>INDEX('FC - 3FS'!88:88,MATCH(Debt!C2,'FC - 3FS'!4:4,0))</f>
        <v>300</v>
      </c>
      <c r="D3" s="1067">
        <f>INDEX('FC - 3FS'!88:88,MATCH(Debt!D2,'FC - 3FS'!4:4,0))</f>
        <v>475</v>
      </c>
      <c r="E3" s="1067">
        <f>INDEX('FC - 3FS'!88:88,MATCH(Debt!E2,'FC - 3FS'!4:4,0))</f>
        <v>25</v>
      </c>
      <c r="F3" s="1067">
        <f>INDEX('FC - 3FS'!88:88,MATCH(Debt!F2,'FC - 3FS'!4:4,0))</f>
        <v>0</v>
      </c>
      <c r="G3" s="1067">
        <f>INDEX('FC - 3FS'!88:88,MATCH(Debt!G2,'FC - 3FS'!4:4,0))</f>
        <v>3818</v>
      </c>
      <c r="H3" s="1067">
        <f>INDEX('FC - 3FS'!88:88,MATCH(Debt!H2,'FC - 3FS'!4:4,0))</f>
        <v>3713</v>
      </c>
      <c r="I3" s="1067">
        <f>INDEX('FC - 3FS'!88:88,MATCH(Debt!I2,'FC - 3FS'!4:4,0))</f>
        <v>4579</v>
      </c>
      <c r="J3" s="1067">
        <f>INDEX('FC - 3FS'!88:88,MATCH(Debt!J2,'FC - 3FS'!4:4,0))</f>
        <v>4423</v>
      </c>
      <c r="K3" s="1067">
        <f>INDEX('FC - 3FS'!88:88,MATCH(Debt!K2,'FC - 3FS'!4:4,0))</f>
        <v>4648</v>
      </c>
      <c r="L3" s="1067">
        <f>INDEX('FC - 3FS'!88:88,MATCH(Debt!L2,'FC - 3FS'!4:4,0))</f>
        <v>2096</v>
      </c>
      <c r="M3" s="1067">
        <f>INDEX('FC - 3FS'!88:88,MATCH(Debt!M2,'FC - 3FS'!4:4,0))</f>
        <v>3378</v>
      </c>
      <c r="N3" s="1067">
        <f>INDEX('FC - 3FS'!88:88,MATCH(Debt!N2,'FC - 3FS'!4:4,0))</f>
        <v>2865</v>
      </c>
      <c r="O3" s="1067">
        <f>INDEX('FC - 3FS'!88:88,MATCH(Debt!O2,'FC - 3FS'!4:4,0))</f>
        <v>2942</v>
      </c>
      <c r="P3" s="1067">
        <f>INDEX('FC - 3FS'!88:88,MATCH(Debt!P2,'FC - 3FS'!4:4,0))</f>
        <v>7398</v>
      </c>
      <c r="Q3" s="1067">
        <f>INDEX('FC - 3FS'!88:88,MATCH(Debt!Q2,'FC - 3FS'!4:4,0))</f>
        <v>5164</v>
      </c>
      <c r="R3" s="1067">
        <f>INDEX('FC - 3FS'!88:88,MATCH(Debt!R2,'FC - 3FS'!4:4,0))</f>
        <v>5215</v>
      </c>
      <c r="S3" s="1067">
        <f>INDEX('FC - 3FS'!88:88,MATCH(Debt!S2,'FC - 3FS'!4:4,0))</f>
        <v>7731</v>
      </c>
      <c r="T3" s="1067">
        <f>INDEX('FC - 3FS'!88:88,MATCH(Debt!T2,'FC - 3FS'!4:4,0))</f>
        <v>3437</v>
      </c>
      <c r="U3" s="1067">
        <f>INDEX('FC - 3FS'!88:88,MATCH(Debt!U2,'FC - 3FS'!4:4,0))</f>
        <v>3619</v>
      </c>
      <c r="V3" s="1067">
        <f>INDEX('FC - 3FS'!88:88,MATCH(Debt!V2,'FC - 3FS'!4:4,0))</f>
        <v>5356</v>
      </c>
      <c r="W3" s="1068">
        <f>INDEX('FC - 3FS'!88:88,MATCH(Debt!W2,'FC - 3FS'!4:4,0))</f>
        <v>5867</v>
      </c>
      <c r="X3" s="1068">
        <f>INDEX('FC - 3FS'!88:88,MATCH(Debt!X2,'FC - 3FS'!4:4,0))</f>
        <v>5851</v>
      </c>
      <c r="Y3" s="1068">
        <f>INDEX('FC - 3FS'!88:88,MATCH(Debt!Y2,'FC - 3FS'!4:4,0))</f>
        <v>4068</v>
      </c>
      <c r="Z3" s="1068">
        <f>INDEX('FC - 3FS'!88:88,MATCH(Debt!Z2,'FC - 3FS'!4:4,0))</f>
        <v>8214</v>
      </c>
      <c r="AA3" s="1068">
        <f>INDEX('FC - 3FS'!88:88,MATCH(Debt!AA2,'FC - 3FS'!4:4,0))</f>
        <v>6408</v>
      </c>
      <c r="AB3" s="1068">
        <f>INDEX('FC - 3FS'!88:88,MATCH(Debt!AB2,'FC - 3FS'!4:4,0))</f>
        <v>6333</v>
      </c>
    </row>
    <row r="4" spans="1:28" x14ac:dyDescent="0.2">
      <c r="A4" s="1067" t="s">
        <v>59</v>
      </c>
      <c r="B4" s="1067">
        <f>INDEX('FC - 3FS'!92:92,MATCH(Debt!B$2,'FC - 3FS'!$4:$4,0))</f>
        <v>911</v>
      </c>
      <c r="C4" s="1067">
        <f>INDEX('FC - 3FS'!92:92,MATCH(Debt!C$2,'FC - 3FS'!$4:$4,0))</f>
        <v>963</v>
      </c>
      <c r="D4" s="1067">
        <f>INDEX('FC - 3FS'!92:92,MATCH(Debt!D$2,'FC - 3FS'!$4:$4,0))</f>
        <v>1013</v>
      </c>
      <c r="E4" s="1067">
        <f>INDEX('FC - 3FS'!92:92,MATCH(Debt!E$2,'FC - 3FS'!$4:$4,0))</f>
        <v>957</v>
      </c>
      <c r="F4" s="1067">
        <f>INDEX('FC - 3FS'!92:92,MATCH(Debt!F$2,'FC - 3FS'!$4:$4,0))</f>
        <v>918</v>
      </c>
      <c r="G4" s="1067">
        <f>INDEX('FC - 3FS'!92:92,MATCH(Debt!G$2,'FC - 3FS'!$4:$4,0))</f>
        <v>1040</v>
      </c>
      <c r="H4" s="1067">
        <f>INDEX('FC - 3FS'!92:92,MATCH(Debt!H$2,'FC - 3FS'!$4:$4,0))</f>
        <v>1050</v>
      </c>
      <c r="I4" s="1067">
        <f>INDEX('FC - 3FS'!92:92,MATCH(Debt!I$2,'FC - 3FS'!$4:$4,0))</f>
        <v>1063</v>
      </c>
      <c r="J4" s="1067">
        <f>INDEX('FC - 3FS'!92:92,MATCH(Debt!J$2,'FC - 3FS'!$4:$4,0))</f>
        <v>1013</v>
      </c>
      <c r="K4" s="1067">
        <f>INDEX('FC - 3FS'!92:92,MATCH(Debt!K$2,'FC - 3FS'!$4:$4,0))</f>
        <v>1045</v>
      </c>
      <c r="L4" s="1067">
        <f>INDEX('FC - 3FS'!92:92,MATCH(Debt!L$2,'FC - 3FS'!$4:$4,0))</f>
        <v>1154</v>
      </c>
      <c r="M4" s="1067">
        <f>INDEX('FC - 3FS'!92:92,MATCH(Debt!M$2,'FC - 3FS'!$4:$4,0))</f>
        <v>1120</v>
      </c>
      <c r="N4" s="1067">
        <f>INDEX('FC - 3FS'!92:92,MATCH(Debt!N$2,'FC - 3FS'!$4:$4,0))</f>
        <v>1121</v>
      </c>
      <c r="O4" s="1067">
        <f>INDEX('FC - 3FS'!92:92,MATCH(Debt!O$2,'FC - 3FS'!$4:$4,0))</f>
        <v>1220</v>
      </c>
      <c r="P4" s="1067">
        <f>INDEX('FC - 3FS'!92:92,MATCH(Debt!P$2,'FC - 3FS'!$4:$4,0))</f>
        <v>1239</v>
      </c>
      <c r="Q4" s="1067">
        <f>INDEX('FC - 3FS'!92:92,MATCH(Debt!Q$2,'FC - 3FS'!$4:$4,0))</f>
        <v>1161</v>
      </c>
      <c r="R4" s="1067">
        <f>INDEX('FC - 3FS'!92:92,MATCH(Debt!R$2,'FC - 3FS'!$4:$4,0))</f>
        <v>1180</v>
      </c>
      <c r="S4" s="1067">
        <f>INDEX('FC - 3FS'!92:92,MATCH(Debt!S$2,'FC - 3FS'!$4:$4,0))</f>
        <v>1220</v>
      </c>
      <c r="T4" s="1067">
        <f>INDEX('FC - 3FS'!92:92,MATCH(Debt!T$2,'FC - 3FS'!$4:$4,0))</f>
        <v>1286</v>
      </c>
      <c r="U4" s="1067">
        <f>INDEX('FC - 3FS'!92:92,MATCH(Debt!U$2,'FC - 3FS'!$4:$4,0))</f>
        <v>1260</v>
      </c>
      <c r="V4" s="1067">
        <f>INDEX('FC - 3FS'!92:92,MATCH(Debt!V$2,'FC - 3FS'!$4:$4,0))</f>
        <v>1265</v>
      </c>
      <c r="W4" s="1067">
        <f>INDEX('FC - 3FS'!92:92,MATCH(Debt!W$2,'FC - 3FS'!$4:$4,0))</f>
        <v>1252</v>
      </c>
      <c r="X4" s="1067">
        <f>INDEX('FC - 3FS'!92:92,MATCH(Debt!X$2,'FC - 3FS'!$4:$4,0))</f>
        <v>1252</v>
      </c>
      <c r="Y4" s="1067">
        <f>INDEX('FC - 3FS'!92:92,MATCH(Debt!Y$2,'FC - 3FS'!$4:$4,0))</f>
        <v>1175</v>
      </c>
      <c r="Z4" s="1067">
        <f>INDEX('FC - 3FS'!92:92,MATCH(Debt!Z$2,'FC - 3FS'!$4:$4,0))</f>
        <v>1136</v>
      </c>
      <c r="AA4" s="1067">
        <f>INDEX('FC - 3FS'!92:92,MATCH(Debt!AA$2,'FC - 3FS'!$4:$4,0))</f>
        <v>1157</v>
      </c>
      <c r="AB4" s="1067">
        <f>INDEX('FC - 3FS'!92:92,MATCH(Debt!AB$2,'FC - 3FS'!$4:$4,0))</f>
        <v>1157</v>
      </c>
    </row>
    <row r="5" spans="1:28" x14ac:dyDescent="0.2">
      <c r="A5" s="1067" t="s">
        <v>62</v>
      </c>
      <c r="B5" s="1067">
        <f>INDEX('FC - 3FS'!95:95,MATCH(Debt!B$2,'FC - 3FS'!$4:$4,0))</f>
        <v>10952</v>
      </c>
      <c r="C5" s="1067">
        <f>INDEX('FC - 3FS'!95:95,MATCH(Debt!C$2,'FC - 3FS'!$4:$4,0))</f>
        <v>10954</v>
      </c>
      <c r="D5" s="1067">
        <f>INDEX('FC - 3FS'!95:95,MATCH(Debt!D$2,'FC - 3FS'!$4:$4,0))</f>
        <v>10956</v>
      </c>
      <c r="E5" s="1067">
        <f>INDEX('FC - 3FS'!95:95,MATCH(Debt!E$2,'FC - 3FS'!$4:$4,0))</f>
        <v>10958</v>
      </c>
      <c r="F5" s="1067">
        <f>INDEX('FC - 3FS'!95:95,MATCH(Debt!F$2,'FC - 3FS'!$4:$4,0))</f>
        <v>10959</v>
      </c>
      <c r="G5" s="1067">
        <f>INDEX('FC - 3FS'!95:95,MATCH(Debt!G$2,'FC - 3FS'!$4:$4,0))</f>
        <v>62783</v>
      </c>
      <c r="H5" s="1067">
        <f>INDEX('FC - 3FS'!95:95,MATCH(Debt!H$2,'FC - 3FS'!$4:$4,0))</f>
        <v>58345</v>
      </c>
      <c r="I5" s="1067">
        <f>INDEX('FC - 3FS'!95:95,MATCH(Debt!I$2,'FC - 3FS'!$4:$4,0))</f>
        <v>61830</v>
      </c>
      <c r="J5" s="1067">
        <f>INDEX('FC - 3FS'!95:95,MATCH(Debt!J$2,'FC - 3FS'!$4:$4,0))</f>
        <v>66395</v>
      </c>
      <c r="K5" s="1067">
        <f>INDEX('FC - 3FS'!95:95,MATCH(Debt!K$2,'FC - 3FS'!$4:$4,0))</f>
        <v>65897</v>
      </c>
      <c r="L5" s="1067">
        <f>INDEX('FC - 3FS'!95:95,MATCH(Debt!L$2,'FC - 3FS'!$4:$4,0))</f>
        <v>66645</v>
      </c>
      <c r="M5" s="1067">
        <f>INDEX('FC - 3FS'!95:95,MATCH(Debt!M$2,'FC - 3FS'!$4:$4,0))</f>
        <v>67076</v>
      </c>
      <c r="N5" s="1067">
        <f>INDEX('FC - 3FS'!95:95,MATCH(Debt!N$2,'FC - 3FS'!$4:$4,0))</f>
        <v>66861</v>
      </c>
      <c r="O5" s="1067">
        <f>INDEX('FC - 3FS'!95:95,MATCH(Debt!O$2,'FC - 3FS'!$4:$4,0))</f>
        <v>66552</v>
      </c>
      <c r="P5" s="1067">
        <f>INDEX('FC - 3FS'!95:95,MATCH(Debt!P$2,'FC - 3FS'!$4:$4,0))</f>
        <v>64834</v>
      </c>
      <c r="Q5" s="1067">
        <f>INDEX('FC - 3FS'!95:95,MATCH(Debt!Q$2,'FC - 3FS'!$4:$4,0))</f>
        <v>65301</v>
      </c>
      <c r="R5" s="1067">
        <f>INDEX('FC - 3FS'!95:95,MATCH(Debt!R$2,'FC - 3FS'!$4:$4,0))</f>
        <v>68035</v>
      </c>
      <c r="S5" s="1067">
        <f>INDEX('FC - 3FS'!95:95,MATCH(Debt!S$2,'FC - 3FS'!$4:$4,0))</f>
        <v>68646</v>
      </c>
      <c r="T5" s="1067">
        <f>INDEX('FC - 3FS'!95:95,MATCH(Debt!T$2,'FC - 3FS'!$4:$4,0))</f>
        <v>70365</v>
      </c>
      <c r="U5" s="1067">
        <f>INDEX('FC - 3FS'!95:95,MATCH(Debt!U$2,'FC - 3FS'!$4:$4,0))</f>
        <v>69903</v>
      </c>
      <c r="V5" s="1067">
        <f>INDEX('FC - 3FS'!95:95,MATCH(Debt!V$2,'FC - 3FS'!$4:$4,0))</f>
        <v>71361</v>
      </c>
      <c r="W5" s="1067">
        <f>INDEX('FC - 3FS'!95:95,MATCH(Debt!W$2,'FC - 3FS'!$4:$4,0))</f>
        <v>70203</v>
      </c>
      <c r="X5" s="1067">
        <f>INDEX('FC - 3FS'!95:95,MATCH(Debt!X$2,'FC - 3FS'!$4:$4,0))</f>
        <v>72522</v>
      </c>
      <c r="Y5" s="1067">
        <f>INDEX('FC - 3FS'!95:95,MATCH(Debt!Y$2,'FC - 3FS'!$4:$4,0))</f>
        <v>72700</v>
      </c>
      <c r="Z5" s="1067">
        <f>INDEX('FC - 3FS'!95:95,MATCH(Debt!Z$2,'FC - 3FS'!$4:$4,0))</f>
        <v>76033</v>
      </c>
      <c r="AA5" s="1067">
        <f>INDEX('FC - 3FS'!95:95,MATCH(Debt!AA$2,'FC - 3FS'!$4:$4,0))</f>
        <v>75018</v>
      </c>
      <c r="AB5" s="1067">
        <f>INDEX('FC - 3FS'!95:95,MATCH(Debt!AB$2,'FC - 3FS'!$4:$4,0))</f>
        <v>76365</v>
      </c>
    </row>
    <row r="6" spans="1:28" x14ac:dyDescent="0.2">
      <c r="A6" s="1067" t="s">
        <v>63</v>
      </c>
      <c r="B6" s="1067">
        <f>INDEX('FC - 3FS'!96:96,MATCH(Debt!B$2,'FC - 3FS'!$4:$4,0))</f>
        <v>13985</v>
      </c>
      <c r="C6" s="1067">
        <f>INDEX('FC - 3FS'!96:96,MATCH(Debt!C$2,'FC - 3FS'!$4:$4,0))</f>
        <v>13985</v>
      </c>
      <c r="D6" s="1067">
        <f>INDEX('FC - 3FS'!96:96,MATCH(Debt!D$2,'FC - 3FS'!$4:$4,0))</f>
        <v>13986</v>
      </c>
      <c r="E6" s="1067">
        <f>INDEX('FC - 3FS'!96:96,MATCH(Debt!E$2,'FC - 3FS'!$4:$4,0))</f>
        <v>13986</v>
      </c>
      <c r="F6" s="1067">
        <f>INDEX('FC - 3FS'!96:96,MATCH(Debt!F$2,'FC - 3FS'!$4:$4,0))</f>
        <v>11987</v>
      </c>
      <c r="G6" s="1067">
        <f>INDEX('FC - 3FS'!96:96,MATCH(Debt!G$2,'FC - 3FS'!$4:$4,0))</f>
        <v>4706</v>
      </c>
      <c r="H6" s="1067">
        <f>INDEX('FC - 3FS'!96:96,MATCH(Debt!H$2,'FC - 3FS'!$4:$4,0))</f>
        <v>4711</v>
      </c>
      <c r="I6" s="1067">
        <f>INDEX('FC - 3FS'!96:96,MATCH(Debt!I$2,'FC - 3FS'!$4:$4,0))</f>
        <v>4716</v>
      </c>
      <c r="J6" s="1067">
        <f>INDEX('FC - 3FS'!96:96,MATCH(Debt!J$2,'FC - 3FS'!$4:$4,0))</f>
        <v>4721</v>
      </c>
      <c r="K6" s="1067">
        <f>INDEX('FC - 3FS'!96:96,MATCH(Debt!K$2,'FC - 3FS'!$4:$4,0))</f>
        <v>2490</v>
      </c>
      <c r="L6" s="1067">
        <f>INDEX('FC - 3FS'!96:96,MATCH(Debt!L$2,'FC - 3FS'!$4:$4,0))</f>
        <v>1494</v>
      </c>
      <c r="M6" s="1067">
        <f>INDEX('FC - 3FS'!96:96,MATCH(Debt!M$2,'FC - 3FS'!$4:$4,0))</f>
        <v>1494</v>
      </c>
      <c r="N6" s="1067">
        <f>INDEX('FC - 3FS'!96:96,MATCH(Debt!N$2,'FC - 3FS'!$4:$4,0))</f>
        <v>1494</v>
      </c>
      <c r="O6" s="1067">
        <f>INDEX('FC - 3FS'!96:96,MATCH(Debt!O$2,'FC - 3FS'!$4:$4,0))</f>
        <v>1495</v>
      </c>
      <c r="P6" s="1067">
        <f>INDEX('FC - 3FS'!96:96,MATCH(Debt!P$2,'FC - 3FS'!$4:$4,0))</f>
        <v>1495</v>
      </c>
      <c r="Q6" s="1067">
        <f>INDEX('FC - 3FS'!96:96,MATCH(Debt!Q$2,'FC - 3FS'!$4:$4,0))</f>
        <v>1495</v>
      </c>
      <c r="R6" s="1067">
        <f>INDEX('FC - 3FS'!96:96,MATCH(Debt!R$2,'FC - 3FS'!$4:$4,0))</f>
        <v>1495</v>
      </c>
      <c r="S6" s="1067">
        <f>INDEX('FC - 3FS'!96:96,MATCH(Debt!S$2,'FC - 3FS'!$4:$4,0))</f>
        <v>1495</v>
      </c>
      <c r="T6" s="1067">
        <f>INDEX('FC - 3FS'!96:96,MATCH(Debt!T$2,'FC - 3FS'!$4:$4,0))</f>
        <v>1496</v>
      </c>
      <c r="U6" s="1067">
        <f>INDEX('FC - 3FS'!96:96,MATCH(Debt!U$2,'FC - 3FS'!$4:$4,0))</f>
        <v>1496</v>
      </c>
      <c r="V6" s="1067">
        <f>INDEX('FC - 3FS'!96:96,MATCH(Debt!V$2,'FC - 3FS'!$4:$4,0))</f>
        <v>1496</v>
      </c>
      <c r="W6" s="1067">
        <f>INDEX('FC - 3FS'!96:96,MATCH(Debt!W$2,'FC - 3FS'!$4:$4,0))</f>
        <v>1496</v>
      </c>
      <c r="X6" s="1067">
        <f>INDEX('FC - 3FS'!96:96,MATCH(Debt!X$2,'FC - 3FS'!$4:$4,0))</f>
        <v>1497</v>
      </c>
      <c r="Y6" s="1067">
        <f>INDEX('FC - 3FS'!96:96,MATCH(Debt!Y$2,'FC - 3FS'!$4:$4,0))</f>
        <v>1497</v>
      </c>
      <c r="Z6" s="1067">
        <f>INDEX('FC - 3FS'!96:96,MATCH(Debt!Z$2,'FC - 3FS'!$4:$4,0))</f>
        <v>1497</v>
      </c>
      <c r="AA6" s="1067">
        <f>INDEX('FC - 3FS'!96:96,MATCH(Debt!AA$2,'FC - 3FS'!$4:$4,0))</f>
        <v>1497</v>
      </c>
      <c r="AB6" s="1067">
        <f>INDEX('FC - 3FS'!96:96,MATCH(Debt!AB$2,'FC - 3FS'!$4:$4,0))</f>
        <v>1498</v>
      </c>
    </row>
    <row r="7" spans="1:28" x14ac:dyDescent="0.2">
      <c r="A7" s="1067" t="s">
        <v>67</v>
      </c>
      <c r="B7" s="1067">
        <f>INDEX('FC - 3FS'!100:100,MATCH(Debt!B$2,'FC - 3FS'!$4:$4,0))</f>
        <v>1224</v>
      </c>
      <c r="C7" s="1067">
        <f>INDEX('FC - 3FS'!100:100,MATCH(Debt!C$2,'FC - 3FS'!$4:$4,0))</f>
        <v>1314</v>
      </c>
      <c r="D7" s="1067">
        <f>INDEX('FC - 3FS'!100:100,MATCH(Debt!D$2,'FC - 3FS'!$4:$4,0))</f>
        <v>1440</v>
      </c>
      <c r="E7" s="1067">
        <f>INDEX('FC - 3FS'!100:100,MATCH(Debt!E$2,'FC - 3FS'!$4:$4,0))</f>
        <v>1346</v>
      </c>
      <c r="F7" s="1067">
        <f>INDEX('FC - 3FS'!100:100,MATCH(Debt!F$2,'FC - 3FS'!$4:$4,0))</f>
        <v>1276</v>
      </c>
      <c r="G7" s="1067">
        <f>INDEX('FC - 3FS'!100:100,MATCH(Debt!G$2,'FC - 3FS'!$4:$4,0))</f>
        <v>1416</v>
      </c>
      <c r="H7" s="1067">
        <f>INDEX('FC - 3FS'!100:100,MATCH(Debt!H$2,'FC - 3FS'!$4:$4,0))</f>
        <v>1373</v>
      </c>
      <c r="I7" s="1067">
        <f>INDEX('FC - 3FS'!100:100,MATCH(Debt!I$2,'FC - 3FS'!$4:$4,0))</f>
        <v>1444</v>
      </c>
      <c r="J7" s="1067">
        <f>INDEX('FC - 3FS'!100:100,MATCH(Debt!J$2,'FC - 3FS'!$4:$4,0))</f>
        <v>1316</v>
      </c>
      <c r="K7" s="1067">
        <f>INDEX('FC - 3FS'!100:100,MATCH(Debt!K$2,'FC - 3FS'!$4:$4,0))</f>
        <v>1376</v>
      </c>
      <c r="L7" s="1067">
        <f>INDEX('FC - 3FS'!100:100,MATCH(Debt!L$2,'FC - 3FS'!$4:$4,0))</f>
        <v>1587</v>
      </c>
      <c r="M7" s="1067">
        <f>INDEX('FC - 3FS'!100:100,MATCH(Debt!M$2,'FC - 3FS'!$4:$4,0))</f>
        <v>1455</v>
      </c>
      <c r="N7" s="1067">
        <f>INDEX('FC - 3FS'!100:100,MATCH(Debt!N$2,'FC - 3FS'!$4:$4,0))</f>
        <v>1447</v>
      </c>
      <c r="O7" s="1067">
        <f>INDEX('FC - 3FS'!100:100,MATCH(Debt!O$2,'FC - 3FS'!$4:$4,0))</f>
        <v>1597</v>
      </c>
      <c r="P7" s="1067">
        <f>INDEX('FC - 3FS'!100:100,MATCH(Debt!P$2,'FC - 3FS'!$4:$4,0))</f>
        <v>1590</v>
      </c>
      <c r="Q7" s="1067">
        <f>INDEX('FC - 3FS'!100:100,MATCH(Debt!Q$2,'FC - 3FS'!$4:$4,0))</f>
        <v>1370</v>
      </c>
      <c r="R7" s="1067">
        <f>INDEX('FC - 3FS'!100:100,MATCH(Debt!R$2,'FC - 3FS'!$4:$4,0))</f>
        <v>1284</v>
      </c>
      <c r="S7" s="1067">
        <f>INDEX('FC - 3FS'!100:100,MATCH(Debt!S$2,'FC - 3FS'!$4:$4,0))</f>
        <v>1254</v>
      </c>
      <c r="T7" s="1067">
        <f>INDEX('FC - 3FS'!100:100,MATCH(Debt!T$2,'FC - 3FS'!$4:$4,0))</f>
        <v>1273</v>
      </c>
      <c r="U7" s="1067">
        <f>INDEX('FC - 3FS'!100:100,MATCH(Debt!U$2,'FC - 3FS'!$4:$4,0))</f>
        <v>1236</v>
      </c>
      <c r="V7" s="1067">
        <f>INDEX('FC - 3FS'!100:100,MATCH(Debt!V$2,'FC - 3FS'!$4:$4,0))</f>
        <v>1163</v>
      </c>
      <c r="W7" s="1067">
        <f>INDEX('FC - 3FS'!100:100,MATCH(Debt!W$2,'FC - 3FS'!$4:$4,0))</f>
        <v>1133</v>
      </c>
      <c r="X7" s="1067">
        <f>INDEX('FC - 3FS'!100:100,MATCH(Debt!X$2,'FC - 3FS'!$4:$4,0))</f>
        <v>1185</v>
      </c>
      <c r="Y7" s="1067">
        <f>INDEX('FC - 3FS'!100:100,MATCH(Debt!Y$2,'FC - 3FS'!$4:$4,0))</f>
        <v>1151</v>
      </c>
      <c r="Z7" s="1067">
        <f>INDEX('FC - 3FS'!100:100,MATCH(Debt!Z$2,'FC - 3FS'!$4:$4,0))</f>
        <v>1117</v>
      </c>
      <c r="AA7" s="1067">
        <f>INDEX('FC - 3FS'!100:100,MATCH(Debt!AA$2,'FC - 3FS'!$4:$4,0))</f>
        <v>1188</v>
      </c>
      <c r="AB7" s="1067">
        <f>INDEX('FC - 3FS'!100:100,MATCH(Debt!AB$2,'FC - 3FS'!$4:$4,0))</f>
        <v>1186</v>
      </c>
    </row>
    <row r="8" spans="1:28" x14ac:dyDescent="0.2">
      <c r="A8" s="1069" t="s">
        <v>218</v>
      </c>
      <c r="B8" s="1069">
        <f>INDEX('FC - 3FS'!69:69,MATCH(Debt!B$2,'FC - 3FS'!$4:$4,0))*-1</f>
        <v>-1439</v>
      </c>
      <c r="C8" s="1069">
        <f>INDEX('FC - 3FS'!69:69,MATCH(Debt!C$2,'FC - 3FS'!$4:$4,0))*-1</f>
        <v>-1105</v>
      </c>
      <c r="D8" s="1069">
        <f>INDEX('FC - 3FS'!69:69,MATCH(Debt!D$2,'FC - 3FS'!$4:$4,0))*-1</f>
        <v>-1653</v>
      </c>
      <c r="E8" s="1069">
        <f>INDEX('FC - 3FS'!69:69,MATCH(Debt!E$2,'FC - 3FS'!$4:$4,0))*-1</f>
        <v>-1528</v>
      </c>
      <c r="F8" s="1069">
        <f>INDEX('FC - 3FS'!69:69,MATCH(Debt!F$2,'FC - 3FS'!$4:$4,0))*-1</f>
        <v>-1112</v>
      </c>
      <c r="G8" s="1069">
        <f>INDEX('FC - 3FS'!69:69,MATCH(Debt!G$2,'FC - 3FS'!$4:$4,0))*-1</f>
        <v>-11076</v>
      </c>
      <c r="H8" s="1069">
        <f>INDEX('FC - 3FS'!69:69,MATCH(Debt!H$2,'FC - 3FS'!$4:$4,0))*-1</f>
        <v>-6571</v>
      </c>
      <c r="I8" s="1069">
        <f>INDEX('FC - 3FS'!69:69,MATCH(Debt!I$2,'FC - 3FS'!$4:$4,0))*-1</f>
        <v>-10385</v>
      </c>
      <c r="J8" s="1069">
        <f>INDEX('FC - 3FS'!69:69,MATCH(Debt!J$2,'FC - 3FS'!$4:$4,0))*-1</f>
        <v>-6677</v>
      </c>
      <c r="K8" s="1069">
        <f>INDEX('FC - 3FS'!69:69,MATCH(Debt!K$2,'FC - 3FS'!$4:$4,0))*-1</f>
        <v>-7793</v>
      </c>
      <c r="L8" s="1069">
        <f>INDEX('FC - 3FS'!69:69,MATCH(Debt!L$2,'FC - 3FS'!$4:$4,0))*-1</f>
        <v>-4055</v>
      </c>
      <c r="M8" s="1069">
        <f>INDEX('FC - 3FS'!69:69,MATCH(Debt!M$2,'FC - 3FS'!$4:$4,0))*-1</f>
        <v>-6631</v>
      </c>
      <c r="N8" s="1069">
        <f>INDEX('FC - 3FS'!69:69,MATCH(Debt!N$2,'FC - 3FS'!$4:$4,0))*-1</f>
        <v>-3245</v>
      </c>
      <c r="O8" s="1069">
        <f>INDEX('FC - 3FS'!69:69,MATCH(Debt!O$2,'FC - 3FS'!$4:$4,0))*-1</f>
        <v>-3151</v>
      </c>
      <c r="P8" s="1069">
        <f>INDEX('FC - 3FS'!69:69,MATCH(Debt!P$2,'FC - 3FS'!$4:$4,0))*-1</f>
        <v>-6888</v>
      </c>
      <c r="Q8" s="1069">
        <f>INDEX('FC - 3FS'!69:69,MATCH(Debt!Q$2,'FC - 3FS'!$4:$4,0))*-1</f>
        <v>-4507</v>
      </c>
      <c r="R8" s="1069">
        <f>INDEX('FC - 3FS'!69:69,MATCH(Debt!R$2,'FC - 3FS'!$4:$4,0))*-1</f>
        <v>-4540</v>
      </c>
      <c r="S8" s="1069">
        <f>INDEX('FC - 3FS'!69:69,MATCH(Debt!S$2,'FC - 3FS'!$4:$4,0))*-1</f>
        <v>-6647</v>
      </c>
      <c r="T8" s="1069">
        <f>INDEX('FC - 3FS'!69:69,MATCH(Debt!T$2,'FC - 3FS'!$4:$4,0))*-1</f>
        <v>-5030</v>
      </c>
      <c r="U8" s="1069">
        <f>INDEX('FC - 3FS'!69:69,MATCH(Debt!U$2,'FC - 3FS'!$4:$4,0))*-1</f>
        <v>-5135</v>
      </c>
      <c r="V8" s="1069">
        <f>INDEX('FC - 3FS'!69:69,MATCH(Debt!V$2,'FC - 3FS'!$4:$4,0))*-1</f>
        <v>-6708</v>
      </c>
      <c r="W8" s="1069">
        <f>INDEX('FC - 3FS'!69:69,MATCH(Debt!W$2,'FC - 3FS'!$4:$4,0))*-1</f>
        <v>-6417</v>
      </c>
      <c r="X8" s="1069">
        <f>INDEX('FC - 3FS'!69:69,MATCH(Debt!X$2,'FC - 3FS'!$4:$4,0))*-1</f>
        <v>-9754</v>
      </c>
      <c r="Y8" s="1069">
        <f>INDEX('FC - 3FS'!69:69,MATCH(Debt!Y$2,'FC - 3FS'!$4:$4,0))*-1</f>
        <v>-5409</v>
      </c>
      <c r="Z8" s="1069">
        <f>INDEX('FC - 3FS'!69:69,MATCH(Debt!Z$2,'FC - 3FS'!$4:$4,0))*-1</f>
        <v>-12003</v>
      </c>
      <c r="AA8" s="1069">
        <f>INDEX('FC - 3FS'!69:69,MATCH(Debt!AA$2,'FC - 3FS'!$4:$4,0))*-1</f>
        <v>-10259</v>
      </c>
      <c r="AB8" s="1069">
        <f>INDEX('FC - 3FS'!69:69,MATCH(Debt!AB$2,'FC - 3FS'!$4:$4,0))*-1</f>
        <v>-3310</v>
      </c>
    </row>
    <row r="9" spans="1:28" s="1073" customFormat="1" ht="15" x14ac:dyDescent="0.25">
      <c r="A9" s="1071" t="s">
        <v>814</v>
      </c>
      <c r="B9" s="1072">
        <f>SUM(B3:B8)</f>
        <v>25883</v>
      </c>
      <c r="C9" s="1072">
        <f t="shared" ref="C9:X9" si="0">SUM(C3:C8)</f>
        <v>26411</v>
      </c>
      <c r="D9" s="1072">
        <f t="shared" si="0"/>
        <v>26217</v>
      </c>
      <c r="E9" s="1072">
        <f t="shared" si="0"/>
        <v>25744</v>
      </c>
      <c r="F9" s="1072">
        <f t="shared" si="0"/>
        <v>24028</v>
      </c>
      <c r="G9" s="1072">
        <f t="shared" si="0"/>
        <v>62687</v>
      </c>
      <c r="H9" s="1072">
        <f t="shared" si="0"/>
        <v>62621</v>
      </c>
      <c r="I9" s="1072">
        <f t="shared" si="0"/>
        <v>63247</v>
      </c>
      <c r="J9" s="1072">
        <f t="shared" si="0"/>
        <v>71191</v>
      </c>
      <c r="K9" s="1072">
        <f t="shared" si="0"/>
        <v>67663</v>
      </c>
      <c r="L9" s="1072">
        <f t="shared" si="0"/>
        <v>68921</v>
      </c>
      <c r="M9" s="1072">
        <f t="shared" si="0"/>
        <v>67892</v>
      </c>
      <c r="N9" s="1072">
        <f t="shared" si="0"/>
        <v>70543</v>
      </c>
      <c r="O9" s="1072">
        <f t="shared" si="0"/>
        <v>70655</v>
      </c>
      <c r="P9" s="1072">
        <f t="shared" si="0"/>
        <v>69668</v>
      </c>
      <c r="Q9" s="1072">
        <f t="shared" si="0"/>
        <v>69984</v>
      </c>
      <c r="R9" s="1072">
        <f t="shared" si="0"/>
        <v>72669</v>
      </c>
      <c r="S9" s="1072">
        <f t="shared" si="0"/>
        <v>73699</v>
      </c>
      <c r="T9" s="1072">
        <f t="shared" si="0"/>
        <v>72827</v>
      </c>
      <c r="U9" s="1072">
        <f t="shared" si="0"/>
        <v>72379</v>
      </c>
      <c r="V9" s="1072">
        <f t="shared" si="0"/>
        <v>73933</v>
      </c>
      <c r="W9" s="1072">
        <f t="shared" si="0"/>
        <v>73534</v>
      </c>
      <c r="X9" s="1072">
        <f t="shared" si="0"/>
        <v>72553</v>
      </c>
      <c r="Y9" s="1072">
        <f t="shared" ref="Y9:Z9" si="1">SUM(Y3:Y8)</f>
        <v>75182</v>
      </c>
      <c r="Z9" s="1072">
        <f t="shared" si="1"/>
        <v>75994</v>
      </c>
      <c r="AA9" s="1072">
        <f t="shared" ref="AA9:AB9" si="2">SUM(AA3:AA8)</f>
        <v>75009</v>
      </c>
      <c r="AB9" s="1072">
        <f t="shared" si="2"/>
        <v>83229</v>
      </c>
    </row>
    <row r="10" spans="1:28" x14ac:dyDescent="0.2">
      <c r="A10" s="1070"/>
      <c r="B10" s="1067"/>
      <c r="C10" s="1067"/>
      <c r="D10" s="1067"/>
      <c r="E10" s="1067"/>
      <c r="F10" s="1067"/>
      <c r="G10" s="1067"/>
      <c r="H10" s="1067"/>
      <c r="I10" s="1067"/>
      <c r="J10" s="1067"/>
      <c r="K10" s="1067"/>
      <c r="L10" s="1067"/>
      <c r="M10" s="1067"/>
      <c r="N10" s="1067"/>
      <c r="O10" s="1067"/>
      <c r="P10" s="1067"/>
      <c r="Q10" s="1067"/>
      <c r="R10" s="1067"/>
      <c r="S10" s="1067"/>
      <c r="T10" s="1067"/>
      <c r="U10" s="1067"/>
      <c r="V10" s="1067"/>
      <c r="W10" s="1067"/>
      <c r="X10" s="1067"/>
      <c r="Y10" s="1067"/>
      <c r="Z10" s="1067"/>
      <c r="AA10" s="1067"/>
      <c r="AB10" s="1067"/>
    </row>
    <row r="11" spans="1:28" x14ac:dyDescent="0.2">
      <c r="A11" s="1067" t="s">
        <v>816</v>
      </c>
      <c r="E11" s="1067">
        <f>SUM('FC - 3FS'!D32:G32)</f>
        <v>2203</v>
      </c>
      <c r="F11" s="1067">
        <f>SUM('FC - 3FS'!E32:H32)</f>
        <v>4605</v>
      </c>
      <c r="G11" s="1067">
        <f>SUM('FC - 3FS'!F32:I32)</f>
        <v>3564</v>
      </c>
      <c r="H11" s="1067">
        <f>SUM('FC - 3FS'!G32:J32)</f>
        <v>3973</v>
      </c>
      <c r="I11" s="1067">
        <f>SUM('FC - 3FS'!H32:K32)</f>
        <v>3575</v>
      </c>
      <c r="J11" s="1067">
        <f>SUM('FC - 3FS'!I32:L32)</f>
        <v>3046</v>
      </c>
      <c r="K11" s="1067">
        <f>SUM('FC - 3FS'!J32:M32)</f>
        <v>3914</v>
      </c>
      <c r="L11" s="1067">
        <f>SUM('FC - 3FS'!K32:N32)</f>
        <v>3352</v>
      </c>
      <c r="M11" s="1067">
        <f>SUM('FC - 3FS'!L32:O32)</f>
        <v>3024</v>
      </c>
      <c r="N11" s="1067">
        <f>SUM('FC - 3FS'!M32:P32)</f>
        <v>2804</v>
      </c>
      <c r="O11" s="1067">
        <f>SUM('FC - 3FS'!N32:Q32)</f>
        <v>1718</v>
      </c>
      <c r="P11" s="1067">
        <f>SUM('FC - 3FS'!O32:R32)</f>
        <v>1535</v>
      </c>
      <c r="Q11" s="1067">
        <f>SUM('FC - 3FS'!P32:S32)</f>
        <v>2590</v>
      </c>
      <c r="R11" s="1067">
        <f>SUM('FC - 3FS'!Q32:T32)</f>
        <v>3817</v>
      </c>
      <c r="S11" s="1067">
        <f>SUM('FC - 3FS'!R32:U32)</f>
        <v>6146</v>
      </c>
      <c r="T11" s="1067">
        <f>SUM('FC - 3FS'!S32:V32)</f>
        <v>7780</v>
      </c>
      <c r="U11" s="1067">
        <f>SUM('FC - 3FS'!T32:W32)</f>
        <v>8317</v>
      </c>
      <c r="V11" s="1067">
        <f>SUM('FC - 3FS'!U32:X32)</f>
        <v>8751</v>
      </c>
      <c r="W11" s="1067">
        <f>SUM('FC - 3FS'!V32:Y32)</f>
        <v>9455</v>
      </c>
      <c r="X11" s="1067">
        <f>SUM('FC - 3FS'!W32:Z32)</f>
        <v>10372</v>
      </c>
      <c r="Y11" s="1067">
        <f>SUM('FC - 3FS'!X32:AA32)</f>
        <v>11339</v>
      </c>
      <c r="Z11" s="1067">
        <f>SUM('FC - 3FS'!Y32:AB32)</f>
        <v>11918</v>
      </c>
      <c r="AA11" s="1067">
        <f>SUM('FC - 3FS'!Z32:AC32)</f>
        <v>12215</v>
      </c>
      <c r="AB11" s="1067">
        <f>SUM('FC - 3FS'!AA32:AD32)</f>
        <v>11870</v>
      </c>
    </row>
    <row r="12" spans="1:28" x14ac:dyDescent="0.2">
      <c r="A12" s="1067" t="s">
        <v>815</v>
      </c>
      <c r="E12" s="1074">
        <f>E9/E11</f>
        <v>11.68588288697231</v>
      </c>
      <c r="F12" s="1074">
        <f t="shared" ref="F12:X12" si="3">F9/F11</f>
        <v>5.2178067318132468</v>
      </c>
      <c r="G12" s="1074">
        <f t="shared" si="3"/>
        <v>17.588945005611674</v>
      </c>
      <c r="H12" s="1074">
        <f t="shared" si="3"/>
        <v>15.761641077271584</v>
      </c>
      <c r="I12" s="1074">
        <f t="shared" si="3"/>
        <v>17.69146853146853</v>
      </c>
      <c r="J12" s="1074">
        <f t="shared" si="3"/>
        <v>23.371963230466186</v>
      </c>
      <c r="K12" s="1074">
        <f t="shared" si="3"/>
        <v>17.287429739397037</v>
      </c>
      <c r="L12" s="1074">
        <f t="shared" si="3"/>
        <v>20.561157517899762</v>
      </c>
      <c r="M12" s="1074">
        <f t="shared" si="3"/>
        <v>22.451058201058203</v>
      </c>
      <c r="N12" s="1074">
        <f t="shared" si="3"/>
        <v>25.157988587731811</v>
      </c>
      <c r="O12" s="1074">
        <f t="shared" si="3"/>
        <v>41.126309662398135</v>
      </c>
      <c r="P12" s="1074">
        <f t="shared" si="3"/>
        <v>45.386319218241042</v>
      </c>
      <c r="Q12" s="1074">
        <f t="shared" si="3"/>
        <v>27.020849420849419</v>
      </c>
      <c r="R12" s="1074">
        <f t="shared" si="3"/>
        <v>19.038249934503536</v>
      </c>
      <c r="S12" s="1074">
        <f t="shared" si="3"/>
        <v>11.991376505043931</v>
      </c>
      <c r="T12" s="1074">
        <f t="shared" si="3"/>
        <v>9.3607969151670947</v>
      </c>
      <c r="U12" s="1074">
        <f t="shared" si="3"/>
        <v>8.7025369724660333</v>
      </c>
      <c r="V12" s="1074">
        <f t="shared" si="3"/>
        <v>8.4485201691235279</v>
      </c>
      <c r="W12" s="1074">
        <f t="shared" si="3"/>
        <v>7.777260708619778</v>
      </c>
      <c r="X12" s="1074">
        <f t="shared" si="3"/>
        <v>6.9950829155418432</v>
      </c>
      <c r="Y12" s="1074">
        <f t="shared" ref="Y12:Z12" si="4">Y9/Y11</f>
        <v>6.6303906870094362</v>
      </c>
      <c r="Z12" s="1074">
        <f t="shared" si="4"/>
        <v>6.3764054371538847</v>
      </c>
      <c r="AA12" s="1074">
        <f t="shared" ref="AA12:AB12" si="5">AA9/AA11</f>
        <v>6.1407286123618503</v>
      </c>
      <c r="AB12" s="1074">
        <f t="shared" si="5"/>
        <v>7.0117101937657962</v>
      </c>
    </row>
    <row r="14" spans="1:28" x14ac:dyDescent="0.2">
      <c r="A14" t="s">
        <v>223</v>
      </c>
      <c r="E14" s="1067">
        <f>SUM('FC - 3FS'!D56:G56)</f>
        <v>26418</v>
      </c>
      <c r="F14" s="1067">
        <f>SUM('FC - 3FS'!E56:H56)</f>
        <v>26197</v>
      </c>
      <c r="G14" s="1067">
        <f>SUM('FC - 3FS'!F56:I56)</f>
        <v>26251</v>
      </c>
      <c r="H14" s="1067">
        <f>SUM('FC - 3FS'!G56:J56)</f>
        <v>26975</v>
      </c>
      <c r="I14" s="1067">
        <f>SUM('FC - 3FS'!H56:K56)</f>
        <v>27543</v>
      </c>
      <c r="J14" s="1067">
        <f>SUM('FC - 3FS'!I56:L56)</f>
        <v>27797</v>
      </c>
      <c r="K14" s="1067">
        <f>SUM('FC - 3FS'!J56:M56)</f>
        <v>27686</v>
      </c>
      <c r="L14" s="1067">
        <f>SUM('FC - 3FS'!K56:N56)</f>
        <v>27368</v>
      </c>
      <c r="M14" s="1067">
        <f>SUM('FC - 3FS'!L56:O56)</f>
        <v>26924</v>
      </c>
      <c r="N14" s="1067">
        <f>SUM('FC - 3FS'!M56:P56)</f>
        <v>26969</v>
      </c>
      <c r="O14" s="1067">
        <f>SUM('FC - 3FS'!N56:Q56)</f>
        <v>27067</v>
      </c>
      <c r="P14" s="1067">
        <f>SUM('FC - 3FS'!O56:R56)</f>
        <v>27295</v>
      </c>
      <c r="Q14" s="1067">
        <f>SUM('FC - 3FS'!P56:S56)</f>
        <v>27821</v>
      </c>
      <c r="R14" s="1067">
        <f>SUM('FC - 3FS'!Q56:T56)</f>
        <v>28070</v>
      </c>
      <c r="S14" s="1067">
        <f>SUM('FC - 3FS'!R56:U56)</f>
        <v>28471</v>
      </c>
      <c r="T14" s="1067">
        <f>SUM('FC - 3FS'!S56:V56)</f>
        <v>29032</v>
      </c>
      <c r="U14" s="1067">
        <f>SUM('FC - 3FS'!T56:W56)</f>
        <v>29428</v>
      </c>
      <c r="V14" s="1067">
        <f>SUM('FC - 3FS'!U56:X56)</f>
        <v>29881</v>
      </c>
      <c r="W14" s="1067">
        <f>SUM('FC - 3FS'!V56:Y56)</f>
        <v>30529</v>
      </c>
      <c r="X14" s="1067">
        <f>SUM('FC - 3FS'!W56:Z56)</f>
        <v>31172</v>
      </c>
      <c r="Y14" s="1067">
        <f>SUM('FC - 3FS'!X56:AA56)</f>
        <v>31864</v>
      </c>
      <c r="Z14" s="1067">
        <f>SUM('FC - 3FS'!Y56:AB56)</f>
        <v>32471</v>
      </c>
      <c r="AA14" s="1067">
        <f>SUM('FC - 3FS'!Z56:AC56)</f>
        <v>32965</v>
      </c>
      <c r="AB14" s="1067">
        <f>SUM('FC - 3FS'!AA56:AD56)</f>
        <v>33406</v>
      </c>
    </row>
    <row r="15" spans="1:28" x14ac:dyDescent="0.2">
      <c r="A15" s="1067" t="s">
        <v>817</v>
      </c>
      <c r="E15" s="1074">
        <f>E9/E14</f>
        <v>0.97448709213415097</v>
      </c>
      <c r="F15" s="1074">
        <f t="shared" ref="F15:X15" si="6">F9/F14</f>
        <v>0.9172042600297744</v>
      </c>
      <c r="G15" s="1074">
        <f t="shared" si="6"/>
        <v>2.3879852196106817</v>
      </c>
      <c r="H15" s="1074">
        <f t="shared" si="6"/>
        <v>2.3214457831325301</v>
      </c>
      <c r="I15" s="1074">
        <f t="shared" si="6"/>
        <v>2.2963003303924774</v>
      </c>
      <c r="J15" s="1074">
        <f t="shared" si="6"/>
        <v>2.5611037162283701</v>
      </c>
      <c r="K15" s="1074">
        <f t="shared" si="6"/>
        <v>2.4439427869681429</v>
      </c>
      <c r="L15" s="1074">
        <f t="shared" si="6"/>
        <v>2.518306050862321</v>
      </c>
      <c r="M15" s="1074">
        <f t="shared" si="6"/>
        <v>2.5216164017233695</v>
      </c>
      <c r="N15" s="1074">
        <f t="shared" si="6"/>
        <v>2.6157069227631724</v>
      </c>
      <c r="O15" s="1074">
        <f t="shared" si="6"/>
        <v>2.6103742564746741</v>
      </c>
      <c r="P15" s="1074">
        <f t="shared" si="6"/>
        <v>2.5524088660926911</v>
      </c>
      <c r="Q15" s="1074">
        <f t="shared" si="6"/>
        <v>2.5155098666474967</v>
      </c>
      <c r="R15" s="1074">
        <f t="shared" si="6"/>
        <v>2.588849305308158</v>
      </c>
      <c r="S15" s="1074">
        <f t="shared" si="6"/>
        <v>2.5885638017631978</v>
      </c>
      <c r="T15" s="1074">
        <f t="shared" si="6"/>
        <v>2.5085078534031413</v>
      </c>
      <c r="U15" s="1074">
        <f t="shared" si="6"/>
        <v>2.4595283403561234</v>
      </c>
      <c r="V15" s="1074">
        <f t="shared" si="6"/>
        <v>2.4742478498042235</v>
      </c>
      <c r="W15" s="1074">
        <f t="shared" si="6"/>
        <v>2.4086606177732648</v>
      </c>
      <c r="X15" s="1074">
        <f t="shared" si="6"/>
        <v>2.3275054536122162</v>
      </c>
      <c r="Y15" s="1074">
        <f t="shared" ref="Y15:Z15" si="7">Y9/Y14</f>
        <v>2.3594652272156664</v>
      </c>
      <c r="Z15" s="1074">
        <f t="shared" si="7"/>
        <v>2.3403652489914077</v>
      </c>
      <c r="AA15" s="1074">
        <f t="shared" ref="AA15:AB15" si="8">AA9/AA14</f>
        <v>2.2754133171545581</v>
      </c>
      <c r="AB15" s="1074">
        <f t="shared" si="8"/>
        <v>2.4914386637131054</v>
      </c>
    </row>
    <row r="17" spans="1:31" x14ac:dyDescent="0.2">
      <c r="A17" t="s">
        <v>224</v>
      </c>
      <c r="E17" s="1067">
        <f>SUM('FC - 3FS'!D58:G58)</f>
        <v>23501</v>
      </c>
      <c r="F17" s="1067">
        <f>SUM('FC - 3FS'!E58:H58)</f>
        <v>21878</v>
      </c>
      <c r="G17" s="1067">
        <f>SUM('FC - 3FS'!F58:I58)</f>
        <v>20511</v>
      </c>
      <c r="H17" s="1067">
        <f>SUM('FC - 3FS'!G58:J58)</f>
        <v>21357</v>
      </c>
      <c r="I17" s="1067">
        <f>SUM('FC - 3FS'!H58:K58)</f>
        <v>22125</v>
      </c>
      <c r="J17" s="1067">
        <f>SUM('FC - 3FS'!I58:L58)</f>
        <v>22740</v>
      </c>
      <c r="K17" s="1067">
        <f>SUM('FC - 3FS'!J58:M58)</f>
        <v>23136</v>
      </c>
      <c r="L17" s="1067">
        <f>SUM('FC - 3FS'!K58:N58)</f>
        <v>23398</v>
      </c>
      <c r="M17" s="1067">
        <f>SUM('FC - 3FS'!L58:O58)</f>
        <v>23576</v>
      </c>
      <c r="N17" s="1067">
        <f>SUM('FC - 3FS'!M58:P58)</f>
        <v>24175</v>
      </c>
      <c r="O17" s="1067">
        <f>SUM('FC - 3FS'!N58:Q58)</f>
        <v>24801</v>
      </c>
      <c r="P17" s="1067">
        <f>SUM('FC - 3FS'!O58:R58)</f>
        <v>25488</v>
      </c>
      <c r="Q17" s="1067">
        <f>SUM('FC - 3FS'!P58:S58)</f>
        <v>26391</v>
      </c>
      <c r="R17" s="1067">
        <f>SUM('FC - 3FS'!Q58:T58)</f>
        <v>26980</v>
      </c>
      <c r="S17" s="1067">
        <f>SUM('FC - 3FS'!R58:U58)</f>
        <v>27698</v>
      </c>
      <c r="T17" s="1067">
        <f>SUM('FC - 3FS'!S58:V58)</f>
        <v>28517</v>
      </c>
      <c r="U17" s="1067">
        <f>SUM('FC - 3FS'!T58:W58)</f>
        <v>29116</v>
      </c>
      <c r="V17" s="1067">
        <f>SUM('FC - 3FS'!U58:X58)</f>
        <v>29681</v>
      </c>
      <c r="W17" s="1067">
        <f>SUM('FC - 3FS'!V58:Y58)</f>
        <v>30372</v>
      </c>
      <c r="X17" s="1067">
        <f>SUM('FC - 3FS'!W58:Z58)</f>
        <v>31047</v>
      </c>
      <c r="Y17" s="1067">
        <f>SUM('FC - 3FS'!X58:AA58)</f>
        <v>31771</v>
      </c>
      <c r="Z17" s="1067">
        <f>SUM('FC - 3FS'!Y58:AB58)</f>
        <v>32412</v>
      </c>
      <c r="AA17" s="1067">
        <f>SUM('FC - 3FS'!Z58:AC58)</f>
        <v>32926</v>
      </c>
      <c r="AB17" s="1067">
        <f>SUM('FC - 3FS'!AA58:AD58)</f>
        <v>33384</v>
      </c>
    </row>
    <row r="18" spans="1:31" s="1073" customFormat="1" ht="15" x14ac:dyDescent="0.25">
      <c r="A18" s="1072" t="s">
        <v>818</v>
      </c>
      <c r="E18" s="1075">
        <f>E9/E17</f>
        <v>1.095442747117144</v>
      </c>
      <c r="F18" s="1075">
        <f t="shared" ref="F18:X18" si="9">F9/F17</f>
        <v>1.098272236950361</v>
      </c>
      <c r="G18" s="1075">
        <f t="shared" si="9"/>
        <v>3.0562624932962801</v>
      </c>
      <c r="H18" s="1075">
        <f t="shared" si="9"/>
        <v>2.932106569274711</v>
      </c>
      <c r="I18" s="1075">
        <f t="shared" si="9"/>
        <v>2.8586214689265539</v>
      </c>
      <c r="J18" s="1075">
        <f t="shared" si="9"/>
        <v>3.1306508355321019</v>
      </c>
      <c r="K18" s="1075">
        <f t="shared" si="9"/>
        <v>2.924576417704011</v>
      </c>
      <c r="L18" s="1075">
        <f t="shared" si="9"/>
        <v>2.9455936404820924</v>
      </c>
      <c r="M18" s="1075">
        <f t="shared" si="9"/>
        <v>2.8797081778079403</v>
      </c>
      <c r="N18" s="1075">
        <f t="shared" si="9"/>
        <v>2.9180144777662873</v>
      </c>
      <c r="O18" s="1075">
        <f t="shared" si="9"/>
        <v>2.8488770614088144</v>
      </c>
      <c r="P18" s="1075">
        <f t="shared" si="9"/>
        <v>2.7333647206528564</v>
      </c>
      <c r="Q18" s="1075">
        <f t="shared" si="9"/>
        <v>2.6518131181084459</v>
      </c>
      <c r="R18" s="1075">
        <f t="shared" si="9"/>
        <v>2.6934395848776873</v>
      </c>
      <c r="S18" s="1075">
        <f t="shared" si="9"/>
        <v>2.660805834356271</v>
      </c>
      <c r="T18" s="1075">
        <f t="shared" si="9"/>
        <v>2.5538100080653647</v>
      </c>
      <c r="U18" s="1075">
        <f t="shared" si="9"/>
        <v>2.4858840500068693</v>
      </c>
      <c r="V18" s="1075">
        <f t="shared" si="9"/>
        <v>2.4909201172467235</v>
      </c>
      <c r="W18" s="1075">
        <f t="shared" si="9"/>
        <v>2.4211115501119451</v>
      </c>
      <c r="X18" s="1075">
        <f t="shared" si="9"/>
        <v>2.3368763487615549</v>
      </c>
      <c r="Y18" s="1075">
        <f t="shared" ref="Y18:Z18" si="10">Y9/Y17</f>
        <v>2.3663718485411223</v>
      </c>
      <c r="Z18" s="1075">
        <f t="shared" si="10"/>
        <v>2.3446254473651735</v>
      </c>
      <c r="AA18" s="1075">
        <f t="shared" ref="AA18:AB18" si="11">AA9/AA17</f>
        <v>2.2781084856951952</v>
      </c>
      <c r="AB18" s="1075">
        <f t="shared" si="11"/>
        <v>2.4930805176132278</v>
      </c>
    </row>
    <row r="21" spans="1:31" ht="15" x14ac:dyDescent="0.25">
      <c r="A21" s="1073" t="s">
        <v>900</v>
      </c>
      <c r="AB21" s="7">
        <v>2020</v>
      </c>
      <c r="AC21" s="7">
        <f t="shared" ref="AC21:AE21" si="12">+AB21+1</f>
        <v>2021</v>
      </c>
      <c r="AD21" s="7">
        <f t="shared" si="12"/>
        <v>2022</v>
      </c>
      <c r="AE21" s="7">
        <f t="shared" si="12"/>
        <v>2023</v>
      </c>
    </row>
    <row r="22" spans="1:31" x14ac:dyDescent="0.2">
      <c r="A22" s="1198" t="s">
        <v>897</v>
      </c>
      <c r="AB22" s="1199"/>
      <c r="AC22" s="1199"/>
      <c r="AD22" s="1199"/>
      <c r="AE22" s="1199">
        <v>5000</v>
      </c>
    </row>
    <row r="23" spans="1:31" x14ac:dyDescent="0.2">
      <c r="A23" s="1198" t="s">
        <v>898</v>
      </c>
      <c r="AB23" s="1199"/>
      <c r="AC23" s="1199"/>
      <c r="AD23" s="1199"/>
      <c r="AE23" s="1199">
        <v>1800</v>
      </c>
    </row>
    <row r="24" spans="1:31" x14ac:dyDescent="0.2">
      <c r="A24" s="1198" t="s">
        <v>899</v>
      </c>
      <c r="AB24" s="1199"/>
      <c r="AC24" s="1199"/>
      <c r="AD24" s="1199"/>
      <c r="AE24" s="1199">
        <v>22</v>
      </c>
    </row>
    <row r="25" spans="1:31" s="1073" customFormat="1" ht="15" x14ac:dyDescent="0.25">
      <c r="A25" s="1073" t="s">
        <v>901</v>
      </c>
      <c r="AB25" s="1072">
        <f t="shared" ref="AB25:AD25" si="13">SUM(AB22:AB24)</f>
        <v>0</v>
      </c>
      <c r="AC25" s="1072">
        <f t="shared" si="13"/>
        <v>0</v>
      </c>
      <c r="AD25" s="1072">
        <f t="shared" si="13"/>
        <v>0</v>
      </c>
      <c r="AE25" s="1072">
        <f>SUM(AE22:AE24)</f>
        <v>6822</v>
      </c>
    </row>
    <row r="27" spans="1:31" x14ac:dyDescent="0.2">
      <c r="A27" s="1200" t="s">
        <v>65</v>
      </c>
      <c r="AB27" s="1067">
        <f>'FC - 3FS'!AL98</f>
        <v>9966</v>
      </c>
      <c r="AC27" s="1067">
        <f>'FC - 3FS'!AM98</f>
        <v>10216</v>
      </c>
      <c r="AD27" s="1067">
        <f>'FC - 3FS'!AN98</f>
        <v>10884</v>
      </c>
      <c r="AE27" s="1067">
        <f>'FC - 3FS'!AO98</f>
        <v>13458</v>
      </c>
    </row>
    <row r="28" spans="1:31" x14ac:dyDescent="0.2">
      <c r="A28" s="1198" t="s">
        <v>902</v>
      </c>
      <c r="AC28" s="1096">
        <f>AC27-AB27</f>
        <v>250</v>
      </c>
      <c r="AD28" s="1096">
        <f t="shared" ref="AD28:AE28" si="14">AD27-AC27</f>
        <v>668</v>
      </c>
      <c r="AE28" s="1096">
        <f t="shared" si="14"/>
        <v>2574</v>
      </c>
    </row>
    <row r="30" spans="1:31" ht="15" x14ac:dyDescent="0.25">
      <c r="A30" s="1073" t="s">
        <v>904</v>
      </c>
      <c r="AB30" s="1067">
        <f>'FC - 3FS'!AL29</f>
        <v>-786</v>
      </c>
      <c r="AC30" s="1067">
        <f>'FC - 3FS'!AM29</f>
        <v>-327</v>
      </c>
      <c r="AD30" s="1067">
        <f>'FC - 3FS'!AN29</f>
        <v>-556</v>
      </c>
      <c r="AE30" s="1067">
        <f>'FC - 3FS'!AO29</f>
        <v>-2682</v>
      </c>
    </row>
    <row r="31" spans="1:31" x14ac:dyDescent="0.2">
      <c r="A31" t="s">
        <v>905</v>
      </c>
      <c r="AB31" s="1067"/>
      <c r="AC31" s="1067"/>
      <c r="AD31" s="1067"/>
      <c r="AE31" s="1067"/>
    </row>
    <row r="32" spans="1:31" x14ac:dyDescent="0.2">
      <c r="A32" s="1198" t="s">
        <v>906</v>
      </c>
      <c r="AB32" s="1199">
        <v>17</v>
      </c>
      <c r="AC32" s="1199">
        <v>-22</v>
      </c>
      <c r="AD32" s="1199">
        <v>22</v>
      </c>
      <c r="AE32" s="1199">
        <v>-42</v>
      </c>
    </row>
    <row r="33" spans="1:31" x14ac:dyDescent="0.2">
      <c r="A33" s="1198" t="s">
        <v>907</v>
      </c>
      <c r="AB33" s="1199">
        <v>-84</v>
      </c>
      <c r="AC33" s="1199">
        <v>-89</v>
      </c>
      <c r="AD33" s="1199">
        <v>-64</v>
      </c>
      <c r="AE33" s="1199">
        <v>-28</v>
      </c>
    </row>
    <row r="34" spans="1:31" x14ac:dyDescent="0.2">
      <c r="A34" s="1198" t="s">
        <v>908</v>
      </c>
      <c r="AB34" s="1199">
        <v>-10</v>
      </c>
      <c r="AC34" s="1199">
        <v>-19</v>
      </c>
      <c r="AD34" s="1199">
        <v>-22</v>
      </c>
      <c r="AE34" s="1199">
        <v>-12</v>
      </c>
    </row>
    <row r="35" spans="1:31" x14ac:dyDescent="0.2">
      <c r="A35" t="s">
        <v>909</v>
      </c>
      <c r="AB35" s="1067">
        <f>SUM(AB32:AB34)</f>
        <v>-77</v>
      </c>
      <c r="AC35" s="1067">
        <f t="shared" ref="AC35:AE35" si="15">SUM(AC32:AC34)</f>
        <v>-130</v>
      </c>
      <c r="AD35" s="1067">
        <f t="shared" si="15"/>
        <v>-64</v>
      </c>
      <c r="AE35" s="1067">
        <f t="shared" si="15"/>
        <v>-82</v>
      </c>
    </row>
    <row r="36" spans="1:31" x14ac:dyDescent="0.2">
      <c r="A36" s="1200" t="s">
        <v>910</v>
      </c>
      <c r="AB36" s="1067"/>
      <c r="AC36" s="1067"/>
      <c r="AD36" s="1067"/>
      <c r="AE36" s="1067"/>
    </row>
    <row r="37" spans="1:31" x14ac:dyDescent="0.2">
      <c r="A37" s="1198" t="s">
        <v>906</v>
      </c>
      <c r="AB37" s="1199">
        <v>-676</v>
      </c>
      <c r="AC37" s="1199">
        <v>-541</v>
      </c>
      <c r="AD37" s="1199">
        <v>-628</v>
      </c>
      <c r="AE37" s="1199">
        <v>-2150</v>
      </c>
    </row>
    <row r="38" spans="1:31" x14ac:dyDescent="0.2">
      <c r="A38" s="1198" t="s">
        <v>907</v>
      </c>
      <c r="AB38" s="1199">
        <v>-34</v>
      </c>
      <c r="AC38" s="1199">
        <v>327</v>
      </c>
      <c r="AD38" s="1199">
        <v>77</v>
      </c>
      <c r="AE38" s="1199">
        <v>-417</v>
      </c>
    </row>
    <row r="39" spans="1:31" x14ac:dyDescent="0.2">
      <c r="A39" s="1198" t="s">
        <v>908</v>
      </c>
      <c r="AB39" s="1199">
        <v>1</v>
      </c>
      <c r="AC39" s="1199">
        <v>17</v>
      </c>
      <c r="AD39" s="1199">
        <v>59</v>
      </c>
      <c r="AE39" s="1199">
        <v>-33</v>
      </c>
    </row>
    <row r="40" spans="1:31" x14ac:dyDescent="0.2">
      <c r="A40" t="s">
        <v>909</v>
      </c>
      <c r="AB40" s="1067">
        <f>SUM(AB37:AB39)</f>
        <v>-709</v>
      </c>
      <c r="AC40" s="1067">
        <f t="shared" ref="AC40" si="16">SUM(AC37:AC39)</f>
        <v>-197</v>
      </c>
      <c r="AD40" s="1067">
        <f t="shared" ref="AD40" si="17">SUM(AD37:AD39)</f>
        <v>-492</v>
      </c>
      <c r="AE40" s="1067">
        <f t="shared" ref="AE40" si="18">SUM(AE37:AE39)</f>
        <v>-2600</v>
      </c>
    </row>
    <row r="41" spans="1:31" x14ac:dyDescent="0.2">
      <c r="A41" s="1200" t="s">
        <v>911</v>
      </c>
      <c r="AB41" s="1067">
        <f>+AB40+AB35</f>
        <v>-786</v>
      </c>
      <c r="AC41" s="1067">
        <f t="shared" ref="AC41:AE41" si="19">+AC40+AC35</f>
        <v>-327</v>
      </c>
      <c r="AD41" s="1067">
        <f t="shared" si="19"/>
        <v>-556</v>
      </c>
      <c r="AE41" s="1067">
        <f t="shared" si="19"/>
        <v>-2682</v>
      </c>
    </row>
    <row r="42" spans="1:31" x14ac:dyDescent="0.2">
      <c r="AB42" s="1067"/>
      <c r="AC42" s="1067"/>
      <c r="AD42" s="1067"/>
      <c r="AE42" s="1067"/>
    </row>
    <row r="43" spans="1:31" x14ac:dyDescent="0.2">
      <c r="A43" t="s">
        <v>903</v>
      </c>
      <c r="AB43" s="1067">
        <f>'FC - 3FS'!AL124</f>
        <v>822</v>
      </c>
      <c r="AC43" s="1067">
        <f>'FC - 3FS'!AM124</f>
        <v>197</v>
      </c>
      <c r="AD43" s="1067">
        <f>'FC - 3FS'!AN124</f>
        <v>492</v>
      </c>
      <c r="AE43" s="1067">
        <f>'FC - 3FS'!AO124</f>
        <v>2600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0B0F-1918-439A-917B-80DB77FED0D7}">
  <dimension ref="A1:S95"/>
  <sheetViews>
    <sheetView showGridLines="0" topLeftCell="A58" zoomScale="70" zoomScaleNormal="70" workbookViewId="0">
      <selection activeCell="A2" sqref="A2"/>
    </sheetView>
  </sheetViews>
  <sheetFormatPr defaultRowHeight="14.25" x14ac:dyDescent="0.2"/>
  <cols>
    <col min="2" max="2" width="41.25" bestFit="1" customWidth="1"/>
  </cols>
  <sheetData>
    <row r="1" spans="1:4" x14ac:dyDescent="0.2">
      <c r="A1" t="s">
        <v>699</v>
      </c>
    </row>
    <row r="3" spans="1:4" s="1099" customFormat="1" x14ac:dyDescent="0.2">
      <c r="A3" s="1099" t="s">
        <v>238</v>
      </c>
      <c r="B3" s="1099" t="s">
        <v>833</v>
      </c>
    </row>
    <row r="5" spans="1:4" x14ac:dyDescent="0.2">
      <c r="B5" t="s">
        <v>821</v>
      </c>
      <c r="C5" s="1094">
        <f>'FC - 3FS'!AR58</f>
        <v>37367.145408777047</v>
      </c>
      <c r="D5" s="1094"/>
    </row>
    <row r="6" spans="1:4" x14ac:dyDescent="0.2">
      <c r="B6" t="s">
        <v>829</v>
      </c>
      <c r="C6" s="1094">
        <f>'FC - 3FS'!AR11</f>
        <v>76777.146195323003</v>
      </c>
      <c r="D6" s="1094"/>
    </row>
    <row r="7" spans="1:4" x14ac:dyDescent="0.2">
      <c r="B7" t="s">
        <v>830</v>
      </c>
      <c r="C7" s="1098">
        <f>C5/C6</f>
        <v>0.48669620141538061</v>
      </c>
      <c r="D7" s="1098"/>
    </row>
    <row r="8" spans="1:4" x14ac:dyDescent="0.2">
      <c r="C8" s="1094"/>
      <c r="D8" s="1094"/>
    </row>
    <row r="10" spans="1:4" x14ac:dyDescent="0.2">
      <c r="B10" t="s">
        <v>823</v>
      </c>
      <c r="C10" s="1095">
        <f>'IS Drivers'!AR135</f>
        <v>54.852507070780007</v>
      </c>
      <c r="D10" s="1095"/>
    </row>
    <row r="11" spans="1:4" x14ac:dyDescent="0.2">
      <c r="B11" t="s">
        <v>824</v>
      </c>
      <c r="C11" s="1094">
        <f>'IS Drivers'!AR38</f>
        <v>8949.0455999999995</v>
      </c>
      <c r="D11" s="1094"/>
    </row>
    <row r="12" spans="1:4" x14ac:dyDescent="0.2">
      <c r="B12" t="s">
        <v>825</v>
      </c>
      <c r="C12" s="1094">
        <f>'IS Drivers'!AQ38</f>
        <v>7509.86</v>
      </c>
      <c r="D12" s="1094"/>
    </row>
    <row r="13" spans="1:4" x14ac:dyDescent="0.2">
      <c r="C13" s="1094"/>
      <c r="D13" s="1094"/>
    </row>
    <row r="14" spans="1:4" x14ac:dyDescent="0.2">
      <c r="B14" t="s">
        <v>877</v>
      </c>
      <c r="C14" s="1111">
        <f>'IS Drivers'!AP135</f>
        <v>44.078849106111505</v>
      </c>
      <c r="D14" s="1111"/>
    </row>
    <row r="15" spans="1:4" x14ac:dyDescent="0.2">
      <c r="B15" t="s">
        <v>876</v>
      </c>
      <c r="C15" s="1094">
        <f>'IS Drivers'!AP38</f>
        <v>5742</v>
      </c>
      <c r="D15" s="1094"/>
    </row>
    <row r="16" spans="1:4" x14ac:dyDescent="0.2">
      <c r="B16" t="s">
        <v>878</v>
      </c>
      <c r="C16" s="1094">
        <f>'IS Drivers'!AO38</f>
        <v>4288</v>
      </c>
      <c r="D16" s="1094"/>
    </row>
    <row r="18" spans="1:4" x14ac:dyDescent="0.2">
      <c r="B18" t="s">
        <v>822</v>
      </c>
      <c r="C18" s="1096">
        <f>C10*AVERAGE(C11:C12)*12/1000</f>
        <v>5416.8734148078029</v>
      </c>
      <c r="D18" s="1096"/>
    </row>
    <row r="19" spans="1:4" x14ac:dyDescent="0.2">
      <c r="B19" t="s">
        <v>879</v>
      </c>
      <c r="C19" s="1096">
        <f>C14*AVERAGE(C15:C16)*12/1000</f>
        <v>2652.6651392057902</v>
      </c>
      <c r="D19" s="1096"/>
    </row>
    <row r="21" spans="1:4" x14ac:dyDescent="0.2">
      <c r="B21" s="1110" t="s">
        <v>880</v>
      </c>
      <c r="C21" s="1096">
        <f>C18-C19</f>
        <v>2764.2082756020127</v>
      </c>
      <c r="D21" s="1096"/>
    </row>
    <row r="23" spans="1:4" x14ac:dyDescent="0.2">
      <c r="B23" t="s">
        <v>826</v>
      </c>
      <c r="C23" s="1097">
        <v>0.7</v>
      </c>
      <c r="D23" s="1097"/>
    </row>
    <row r="25" spans="1:4" x14ac:dyDescent="0.2">
      <c r="B25" s="1110" t="s">
        <v>881</v>
      </c>
      <c r="C25" s="1094">
        <f>C21*C23</f>
        <v>1934.9457929214088</v>
      </c>
      <c r="D25" s="1094"/>
    </row>
    <row r="27" spans="1:4" x14ac:dyDescent="0.2">
      <c r="B27" t="s">
        <v>828</v>
      </c>
      <c r="C27" s="1094">
        <f>C5-C25</f>
        <v>35432.199615855636</v>
      </c>
      <c r="D27" s="1094"/>
    </row>
    <row r="28" spans="1:4" x14ac:dyDescent="0.2">
      <c r="B28" t="s">
        <v>831</v>
      </c>
      <c r="C28" s="1094">
        <f>C6-C21</f>
        <v>74012.937919720993</v>
      </c>
      <c r="D28" s="1094"/>
    </row>
    <row r="29" spans="1:4" x14ac:dyDescent="0.2">
      <c r="B29" t="s">
        <v>832</v>
      </c>
      <c r="C29" s="1098">
        <f>C27/C28</f>
        <v>0.47872980875705257</v>
      </c>
      <c r="D29" s="1098"/>
    </row>
    <row r="31" spans="1:4" s="1099" customFormat="1" x14ac:dyDescent="0.2">
      <c r="A31" s="1099" t="s">
        <v>238</v>
      </c>
      <c r="B31" s="1099" t="s">
        <v>834</v>
      </c>
    </row>
    <row r="33" spans="2:4" x14ac:dyDescent="0.2">
      <c r="B33" t="s">
        <v>823</v>
      </c>
      <c r="C33" s="1095">
        <f>C10</f>
        <v>54.852507070780007</v>
      </c>
      <c r="D33" s="1095"/>
    </row>
    <row r="34" spans="2:4" x14ac:dyDescent="0.2">
      <c r="B34" t="s">
        <v>824</v>
      </c>
      <c r="C34" s="1094">
        <f>C11</f>
        <v>8949.0455999999995</v>
      </c>
      <c r="D34" s="1094"/>
    </row>
    <row r="35" spans="2:4" x14ac:dyDescent="0.2">
      <c r="B35" t="s">
        <v>825</v>
      </c>
      <c r="C35" s="1094">
        <f>C12</f>
        <v>7509.86</v>
      </c>
      <c r="D35" s="1094"/>
    </row>
    <row r="37" spans="2:4" x14ac:dyDescent="0.2">
      <c r="B37" t="s">
        <v>877</v>
      </c>
      <c r="C37" s="1111">
        <f>C14</f>
        <v>44.078849106111505</v>
      </c>
      <c r="D37" s="1111"/>
    </row>
    <row r="38" spans="2:4" x14ac:dyDescent="0.2">
      <c r="B38" t="s">
        <v>876</v>
      </c>
      <c r="C38" s="1094">
        <f t="shared" ref="C38:C42" si="0">C15</f>
        <v>5742</v>
      </c>
      <c r="D38" s="1094"/>
    </row>
    <row r="39" spans="2:4" x14ac:dyDescent="0.2">
      <c r="B39" t="s">
        <v>878</v>
      </c>
      <c r="C39" s="1094">
        <f t="shared" si="0"/>
        <v>4288</v>
      </c>
      <c r="D39" s="1094"/>
    </row>
    <row r="40" spans="2:4" x14ac:dyDescent="0.2">
      <c r="C40" s="1111"/>
      <c r="D40" s="1111"/>
    </row>
    <row r="41" spans="2:4" x14ac:dyDescent="0.2">
      <c r="B41" t="s">
        <v>822</v>
      </c>
      <c r="C41" s="1096">
        <f>C33*AVERAGE(C34:C35)*12/1000</f>
        <v>5416.8734148078029</v>
      </c>
      <c r="D41" s="1096"/>
    </row>
    <row r="42" spans="2:4" x14ac:dyDescent="0.2">
      <c r="B42" t="s">
        <v>879</v>
      </c>
      <c r="C42" s="1094">
        <f t="shared" si="0"/>
        <v>2652.6651392057902</v>
      </c>
      <c r="D42" s="1094"/>
    </row>
    <row r="43" spans="2:4" x14ac:dyDescent="0.2">
      <c r="C43" s="1094"/>
      <c r="D43" s="1094"/>
    </row>
    <row r="44" spans="2:4" x14ac:dyDescent="0.2">
      <c r="B44" s="1110" t="s">
        <v>880</v>
      </c>
      <c r="C44" s="1094">
        <f>C41-C42</f>
        <v>2764.2082756020127</v>
      </c>
      <c r="D44" s="1094"/>
    </row>
    <row r="46" spans="2:4" x14ac:dyDescent="0.2">
      <c r="B46" t="s">
        <v>826</v>
      </c>
      <c r="C46" s="1097">
        <f>C23</f>
        <v>0.7</v>
      </c>
      <c r="D46" s="1097"/>
    </row>
    <row r="48" spans="2:4" x14ac:dyDescent="0.2">
      <c r="B48" t="s">
        <v>827</v>
      </c>
      <c r="C48" s="1094">
        <f>C44*C46</f>
        <v>1934.9457929214088</v>
      </c>
      <c r="D48" s="1094"/>
    </row>
    <row r="51" spans="2:19" x14ac:dyDescent="0.2">
      <c r="B51" t="s">
        <v>821</v>
      </c>
      <c r="C51" s="1094">
        <f>C27+C48</f>
        <v>37367.145408777047</v>
      </c>
      <c r="D51" s="1094"/>
    </row>
    <row r="52" spans="2:19" ht="15" x14ac:dyDescent="0.25">
      <c r="B52" t="s">
        <v>829</v>
      </c>
      <c r="C52" s="1094">
        <f>C28+C44</f>
        <v>76777.146195323003</v>
      </c>
      <c r="D52" s="1094"/>
      <c r="M52" s="1101" t="s">
        <v>836</v>
      </c>
    </row>
    <row r="53" spans="2:19" x14ac:dyDescent="0.2">
      <c r="B53" t="s">
        <v>830</v>
      </c>
      <c r="C53" s="1098">
        <f>C51/C52</f>
        <v>0.48669620141538061</v>
      </c>
      <c r="D53" s="1098"/>
    </row>
    <row r="54" spans="2:19" x14ac:dyDescent="0.2">
      <c r="C54" s="1100">
        <f>C53-C29</f>
        <v>7.9663926583280475E-3</v>
      </c>
      <c r="D54" s="1100"/>
    </row>
    <row r="56" spans="2:19" x14ac:dyDescent="0.2">
      <c r="H56" s="1103">
        <f>C53</f>
        <v>0.48669620141538061</v>
      </c>
      <c r="I56" s="1104">
        <v>0.4</v>
      </c>
      <c r="J56" s="1104">
        <f t="shared" ref="J56:S56" si="1">I56+5%</f>
        <v>0.45</v>
      </c>
      <c r="K56" s="1104">
        <f t="shared" si="1"/>
        <v>0.5</v>
      </c>
      <c r="L56" s="1104">
        <f t="shared" si="1"/>
        <v>0.55000000000000004</v>
      </c>
      <c r="M56" s="1104">
        <f t="shared" si="1"/>
        <v>0.60000000000000009</v>
      </c>
      <c r="N56" s="1104">
        <f t="shared" si="1"/>
        <v>0.65000000000000013</v>
      </c>
      <c r="O56" s="1104">
        <f t="shared" si="1"/>
        <v>0.70000000000000018</v>
      </c>
      <c r="P56" s="1104">
        <f t="shared" si="1"/>
        <v>0.75000000000000022</v>
      </c>
      <c r="Q56" s="1104">
        <f t="shared" si="1"/>
        <v>0.80000000000000027</v>
      </c>
      <c r="R56" s="1104">
        <f t="shared" si="1"/>
        <v>0.85000000000000031</v>
      </c>
      <c r="S56" s="1104">
        <f t="shared" si="1"/>
        <v>0.90000000000000036</v>
      </c>
    </row>
    <row r="57" spans="2:19" x14ac:dyDescent="0.2">
      <c r="H57" s="1105">
        <v>30</v>
      </c>
      <c r="I57" s="1098">
        <f t="dataTable" ref="I57:S71" dt2D="1" dtr="1" r1="C46" r2="C33"/>
        <v>0.47840149329727177</v>
      </c>
      <c r="J57" s="1098">
        <v>0.4786100010181491</v>
      </c>
      <c r="K57" s="1098">
        <v>0.47881850873902643</v>
      </c>
      <c r="L57" s="1098">
        <v>0.4790270164599037</v>
      </c>
      <c r="M57" s="1098">
        <v>0.47923552418078103</v>
      </c>
      <c r="N57" s="1098">
        <v>0.47944403190165835</v>
      </c>
      <c r="O57" s="1098">
        <v>0.47965253962253568</v>
      </c>
      <c r="P57" s="1098">
        <v>0.47986104734341301</v>
      </c>
      <c r="Q57" s="1098">
        <v>0.48006955506429028</v>
      </c>
      <c r="R57" s="1098">
        <v>0.48027806278516749</v>
      </c>
      <c r="S57" s="1098">
        <v>0.48048657050604482</v>
      </c>
    </row>
    <row r="58" spans="2:19" x14ac:dyDescent="0.2">
      <c r="H58" s="1105">
        <f>H57+5</f>
        <v>35</v>
      </c>
      <c r="I58" s="1098">
        <v>0.47788406720352333</v>
      </c>
      <c r="J58" s="1098">
        <v>0.47842118368258085</v>
      </c>
      <c r="K58" s="1098">
        <v>0.47895830016163843</v>
      </c>
      <c r="L58" s="1098">
        <v>0.47949541664069595</v>
      </c>
      <c r="M58" s="1098">
        <v>0.48003253311975358</v>
      </c>
      <c r="N58" s="1098">
        <v>0.48056964959881104</v>
      </c>
      <c r="O58" s="1098">
        <v>0.48110676607786867</v>
      </c>
      <c r="P58" s="1098">
        <v>0.48164388255692631</v>
      </c>
      <c r="Q58" s="1098">
        <v>0.48218099903598377</v>
      </c>
      <c r="R58" s="1098">
        <v>0.4827181155150414</v>
      </c>
      <c r="S58" s="1098">
        <v>0.48325523199409892</v>
      </c>
    </row>
    <row r="59" spans="2:19" x14ac:dyDescent="0.2">
      <c r="H59" s="1105">
        <f t="shared" ref="H59:H71" si="2">H58+5</f>
        <v>40</v>
      </c>
      <c r="I59" s="1098">
        <v>0.47737342604207139</v>
      </c>
      <c r="J59" s="1098">
        <v>0.47823484228097446</v>
      </c>
      <c r="K59" s="1098">
        <v>0.47909625851987758</v>
      </c>
      <c r="L59" s="1098">
        <v>0.47995767475878076</v>
      </c>
      <c r="M59" s="1098">
        <v>0.48081909099768383</v>
      </c>
      <c r="N59" s="1098">
        <v>0.48168050723658695</v>
      </c>
      <c r="O59" s="1098">
        <v>0.48254192347549002</v>
      </c>
      <c r="P59" s="1098">
        <v>0.4834033397143932</v>
      </c>
      <c r="Q59" s="1098">
        <v>0.48426475595329627</v>
      </c>
      <c r="R59" s="1098">
        <v>0.48512617219219939</v>
      </c>
      <c r="S59" s="1098">
        <v>0.48598758843110246</v>
      </c>
    </row>
    <row r="60" spans="2:19" x14ac:dyDescent="0.2">
      <c r="H60" s="1105">
        <f t="shared" si="2"/>
        <v>45</v>
      </c>
      <c r="I60" s="1098">
        <v>0.47686943722747305</v>
      </c>
      <c r="J60" s="1098">
        <v>0.4780509284307099</v>
      </c>
      <c r="K60" s="1098">
        <v>0.47923241963394669</v>
      </c>
      <c r="L60" s="1098">
        <v>0.48041391083718354</v>
      </c>
      <c r="M60" s="1098">
        <v>0.48159540204042034</v>
      </c>
      <c r="N60" s="1098">
        <v>0.48277689324365719</v>
      </c>
      <c r="O60" s="1098">
        <v>0.48395838444689393</v>
      </c>
      <c r="P60" s="1098">
        <v>0.48513987565013073</v>
      </c>
      <c r="Q60" s="1098">
        <v>0.48632136685336758</v>
      </c>
      <c r="R60" s="1098">
        <v>0.48750285805660437</v>
      </c>
      <c r="S60" s="1098">
        <v>0.48868434925984122</v>
      </c>
    </row>
    <row r="61" spans="2:19" x14ac:dyDescent="0.2">
      <c r="H61" s="1105">
        <f t="shared" si="2"/>
        <v>50</v>
      </c>
      <c r="I61" s="1098">
        <v>0.47637197160642736</v>
      </c>
      <c r="J61" s="1098">
        <v>0.47786939500161252</v>
      </c>
      <c r="K61" s="1098">
        <v>0.47936681839679762</v>
      </c>
      <c r="L61" s="1098">
        <v>0.48086424179198278</v>
      </c>
      <c r="M61" s="1098">
        <v>0.48236166518716794</v>
      </c>
      <c r="N61" s="1098">
        <v>0.48385908858235299</v>
      </c>
      <c r="O61" s="1098">
        <v>0.48535651197753815</v>
      </c>
      <c r="P61" s="1098">
        <v>0.4868539353727232</v>
      </c>
      <c r="Q61" s="1098">
        <v>0.48835135876790842</v>
      </c>
      <c r="R61" s="1098">
        <v>0.48984878216309347</v>
      </c>
      <c r="S61" s="1098">
        <v>0.49134620555827863</v>
      </c>
    </row>
    <row r="62" spans="2:19" x14ac:dyDescent="0.2">
      <c r="H62" s="1105">
        <f t="shared" si="2"/>
        <v>55</v>
      </c>
      <c r="I62" s="1098">
        <v>0.4758809033474321</v>
      </c>
      <c r="J62" s="1098">
        <v>0.47769019607568686</v>
      </c>
      <c r="K62" s="1098">
        <v>0.47949948880394166</v>
      </c>
      <c r="L62" s="1098">
        <v>0.48130878153219642</v>
      </c>
      <c r="M62" s="1098">
        <v>0.48311807426045128</v>
      </c>
      <c r="N62" s="1098">
        <v>0.48492736698870603</v>
      </c>
      <c r="O62" s="1098">
        <v>0.48673665971696078</v>
      </c>
      <c r="P62" s="1098">
        <v>0.48854595244521554</v>
      </c>
      <c r="Q62" s="1098">
        <v>0.49035524517347029</v>
      </c>
      <c r="R62" s="1098">
        <v>0.49216453790172515</v>
      </c>
      <c r="S62" s="1098">
        <v>0.4939738306299799</v>
      </c>
    </row>
    <row r="63" spans="2:19" x14ac:dyDescent="0.2">
      <c r="H63" s="1105">
        <f t="shared" si="2"/>
        <v>60</v>
      </c>
      <c r="I63" s="1098">
        <v>0.47539610983467151</v>
      </c>
      <c r="J63" s="1098">
        <v>0.47751328690839484</v>
      </c>
      <c r="K63" s="1098">
        <v>0.47963046398211817</v>
      </c>
      <c r="L63" s="1098">
        <v>0.48174764105584145</v>
      </c>
      <c r="M63" s="1098">
        <v>0.48386481812956467</v>
      </c>
      <c r="N63" s="1098">
        <v>0.485981995203288</v>
      </c>
      <c r="O63" s="1098">
        <v>0.48809917227701133</v>
      </c>
      <c r="P63" s="1098">
        <v>0.49021634935073466</v>
      </c>
      <c r="Q63" s="1098">
        <v>0.49233352642445793</v>
      </c>
      <c r="R63" s="1098">
        <v>0.49445070349818127</v>
      </c>
      <c r="S63" s="1098">
        <v>0.4965678805719046</v>
      </c>
    </row>
    <row r="64" spans="2:19" ht="15" x14ac:dyDescent="0.25">
      <c r="G64" s="1102" t="s">
        <v>835</v>
      </c>
      <c r="H64" s="1105">
        <f t="shared" si="2"/>
        <v>65</v>
      </c>
      <c r="I64" s="1098">
        <v>0.47491747156594538</v>
      </c>
      <c r="J64" s="1098">
        <v>0.47733862389140796</v>
      </c>
      <c r="K64" s="1098">
        <v>0.47975977621687049</v>
      </c>
      <c r="L64" s="1098">
        <v>0.48218092854233308</v>
      </c>
      <c r="M64" s="1098">
        <v>0.4846020808677956</v>
      </c>
      <c r="N64" s="1098">
        <v>0.48702323319325819</v>
      </c>
      <c r="O64" s="1098">
        <v>0.48944438551872071</v>
      </c>
      <c r="P64" s="1098">
        <v>0.4918655378441833</v>
      </c>
      <c r="Q64" s="1098">
        <v>0.49428669016964594</v>
      </c>
      <c r="R64" s="1098">
        <v>0.49670784249510846</v>
      </c>
      <c r="S64" s="1098">
        <v>0.49912899482057105</v>
      </c>
    </row>
    <row r="65" spans="8:19" x14ac:dyDescent="0.2">
      <c r="H65" s="1105">
        <f t="shared" si="2"/>
        <v>70</v>
      </c>
      <c r="I65" s="1098">
        <v>0.47444487205446101</v>
      </c>
      <c r="J65" s="1098">
        <v>0.4771661645167698</v>
      </c>
      <c r="K65" s="1098">
        <v>0.47988745697907859</v>
      </c>
      <c r="L65" s="1098">
        <v>0.48260874944138732</v>
      </c>
      <c r="M65" s="1098">
        <v>0.48533004190369611</v>
      </c>
      <c r="N65" s="1098">
        <v>0.48805133436600495</v>
      </c>
      <c r="O65" s="1098">
        <v>0.49077262682831374</v>
      </c>
      <c r="P65" s="1098">
        <v>0.49349391929062253</v>
      </c>
      <c r="Q65" s="1098">
        <v>0.49621521175293126</v>
      </c>
      <c r="R65" s="1098">
        <v>0.49893650421524005</v>
      </c>
      <c r="S65" s="1098">
        <v>0.50165779667754895</v>
      </c>
    </row>
    <row r="66" spans="8:19" x14ac:dyDescent="0.2">
      <c r="H66" s="1105">
        <f t="shared" si="2"/>
        <v>75</v>
      </c>
      <c r="I66" s="1098">
        <v>0.47397819773431976</v>
      </c>
      <c r="J66" s="1098">
        <v>0.47699586734240651</v>
      </c>
      <c r="K66" s="1098">
        <v>0.48001353695049326</v>
      </c>
      <c r="L66" s="1098">
        <v>0.48303120655857995</v>
      </c>
      <c r="M66" s="1098">
        <v>0.4860488761666667</v>
      </c>
      <c r="N66" s="1098">
        <v>0.48906654577475345</v>
      </c>
      <c r="O66" s="1098">
        <v>0.49208421538284025</v>
      </c>
      <c r="P66" s="1098">
        <v>0.495101884990927</v>
      </c>
      <c r="Q66" s="1098">
        <v>0.49811955459901375</v>
      </c>
      <c r="R66" s="1098">
        <v>0.5011372242071005</v>
      </c>
      <c r="S66" s="1098">
        <v>0.50415489381518719</v>
      </c>
    </row>
    <row r="67" spans="8:19" x14ac:dyDescent="0.2">
      <c r="H67" s="1105">
        <f t="shared" si="2"/>
        <v>80</v>
      </c>
      <c r="I67" s="1098">
        <v>0.47351733786953615</v>
      </c>
      <c r="J67" s="1098">
        <v>0.47682769195892644</v>
      </c>
      <c r="K67" s="1098">
        <v>0.48013804604831667</v>
      </c>
      <c r="L67" s="1098">
        <v>0.48344840013770696</v>
      </c>
      <c r="M67" s="1098">
        <v>0.48675875422709719</v>
      </c>
      <c r="N67" s="1098">
        <v>0.49006910831648748</v>
      </c>
      <c r="O67" s="1098">
        <v>0.49337946240587771</v>
      </c>
      <c r="P67" s="1098">
        <v>0.496689816495268</v>
      </c>
      <c r="Q67" s="1098">
        <v>0.50000017058465829</v>
      </c>
      <c r="R67" s="1098">
        <v>0.50331052467404858</v>
      </c>
      <c r="S67" s="1098">
        <v>0.50662087876343875</v>
      </c>
    </row>
    <row r="68" spans="8:19" x14ac:dyDescent="0.2">
      <c r="H68" s="1105">
        <f t="shared" si="2"/>
        <v>85</v>
      </c>
      <c r="I68" s="1098">
        <v>0.47306218446643578</v>
      </c>
      <c r="J68" s="1098">
        <v>0.47666159895765237</v>
      </c>
      <c r="K68" s="1098">
        <v>0.48026101344886879</v>
      </c>
      <c r="L68" s="1098">
        <v>0.48386042794008527</v>
      </c>
      <c r="M68" s="1098">
        <v>0.48745984243130169</v>
      </c>
      <c r="N68" s="1098">
        <v>0.49105925692251817</v>
      </c>
      <c r="O68" s="1098">
        <v>0.4946586714137346</v>
      </c>
      <c r="P68" s="1098">
        <v>0.49825808590495113</v>
      </c>
      <c r="Q68" s="1098">
        <v>0.50185750039616761</v>
      </c>
      <c r="R68" s="1098">
        <v>0.50545691488738409</v>
      </c>
      <c r="S68" s="1098">
        <v>0.50905632937860046</v>
      </c>
    </row>
    <row r="69" spans="8:19" x14ac:dyDescent="0.2">
      <c r="H69" s="1105">
        <f t="shared" si="2"/>
        <v>90</v>
      </c>
      <c r="I69" s="1098">
        <v>0.47261263218928906</v>
      </c>
      <c r="J69" s="1098">
        <v>0.47649754989983506</v>
      </c>
      <c r="K69" s="1098">
        <v>0.48038246761038117</v>
      </c>
      <c r="L69" s="1098">
        <v>0.48426738532092722</v>
      </c>
      <c r="M69" s="1098">
        <v>0.48815230303147328</v>
      </c>
      <c r="N69" s="1098">
        <v>0.49203722074201939</v>
      </c>
      <c r="O69" s="1098">
        <v>0.49592213845256544</v>
      </c>
      <c r="P69" s="1098">
        <v>0.49980705616311155</v>
      </c>
      <c r="Q69" s="1098">
        <v>0.50369197387365749</v>
      </c>
      <c r="R69" s="1098">
        <v>0.5075768915842036</v>
      </c>
      <c r="S69" s="1098">
        <v>0.51146180929474971</v>
      </c>
    </row>
    <row r="70" spans="8:19" x14ac:dyDescent="0.2">
      <c r="H70" s="1105">
        <f t="shared" si="2"/>
        <v>95</v>
      </c>
      <c r="I70" s="1098">
        <v>0.47216857827903813</v>
      </c>
      <c r="J70" s="1098">
        <v>0.47633550728699586</v>
      </c>
      <c r="K70" s="1098">
        <v>0.48050243629495348</v>
      </c>
      <c r="L70" s="1098">
        <v>0.48466936530291116</v>
      </c>
      <c r="M70" s="1098">
        <v>0.48883629431086878</v>
      </c>
      <c r="N70" s="1098">
        <v>0.49300322331882651</v>
      </c>
      <c r="O70" s="1098">
        <v>0.49717015232678413</v>
      </c>
      <c r="P70" s="1098">
        <v>0.50133708133474186</v>
      </c>
      <c r="Q70" s="1098">
        <v>0.50550401034269943</v>
      </c>
      <c r="R70" s="1098">
        <v>0.50967093935065721</v>
      </c>
      <c r="S70" s="1098">
        <v>0.51383786835861478</v>
      </c>
    </row>
    <row r="71" spans="8:19" x14ac:dyDescent="0.2">
      <c r="H71" s="1105">
        <f t="shared" si="2"/>
        <v>100</v>
      </c>
      <c r="I71" s="1098">
        <v>0.47172992247499046</v>
      </c>
      <c r="J71" s="1098">
        <v>0.47617543453235023</v>
      </c>
      <c r="K71" s="1098">
        <v>0.48062094658971</v>
      </c>
      <c r="L71" s="1098">
        <v>0.48506645864706982</v>
      </c>
      <c r="M71" s="1098">
        <v>0.48951197070442959</v>
      </c>
      <c r="N71" s="1098">
        <v>0.49395748276178936</v>
      </c>
      <c r="O71" s="1098">
        <v>0.49840299481914913</v>
      </c>
      <c r="P71" s="1098">
        <v>0.50284850687650895</v>
      </c>
      <c r="Q71" s="1098">
        <v>0.50729401893386872</v>
      </c>
      <c r="R71" s="1098">
        <v>0.51173953099122849</v>
      </c>
      <c r="S71" s="1098">
        <v>0.51618504304858825</v>
      </c>
    </row>
    <row r="76" spans="8:19" ht="15" x14ac:dyDescent="0.25">
      <c r="M76" s="1101" t="s">
        <v>836</v>
      </c>
    </row>
    <row r="80" spans="8:19" x14ac:dyDescent="0.2">
      <c r="H80" s="1103">
        <f>C83</f>
        <v>79.663926583280471</v>
      </c>
      <c r="I80" s="1104">
        <v>0.4</v>
      </c>
      <c r="J80" s="1104">
        <f t="shared" ref="J80" si="3">I80+5%</f>
        <v>0.45</v>
      </c>
      <c r="K80" s="1104">
        <f t="shared" ref="K80" si="4">J80+5%</f>
        <v>0.5</v>
      </c>
      <c r="L80" s="1104">
        <f t="shared" ref="L80" si="5">K80+5%</f>
        <v>0.55000000000000004</v>
      </c>
      <c r="M80" s="1104">
        <f t="shared" ref="M80" si="6">L80+5%</f>
        <v>0.60000000000000009</v>
      </c>
      <c r="N80" s="1104">
        <f t="shared" ref="N80" si="7">M80+5%</f>
        <v>0.65000000000000013</v>
      </c>
      <c r="O80" s="1104">
        <f t="shared" ref="O80" si="8">N80+5%</f>
        <v>0.70000000000000018</v>
      </c>
      <c r="P80" s="1104">
        <f t="shared" ref="P80" si="9">O80+5%</f>
        <v>0.75000000000000022</v>
      </c>
      <c r="Q80" s="1104">
        <f t="shared" ref="Q80" si="10">P80+5%</f>
        <v>0.80000000000000027</v>
      </c>
      <c r="R80" s="1104">
        <f t="shared" ref="R80" si="11">Q80+5%</f>
        <v>0.85000000000000031</v>
      </c>
      <c r="S80" s="1104">
        <f t="shared" ref="S80" si="12">R80+5%</f>
        <v>0.90000000000000036</v>
      </c>
    </row>
    <row r="81" spans="2:19" x14ac:dyDescent="0.2">
      <c r="B81" t="s">
        <v>837</v>
      </c>
      <c r="C81" s="1098">
        <f>C53</f>
        <v>0.48669620141538061</v>
      </c>
      <c r="D81" s="1098"/>
      <c r="H81" s="1105">
        <v>30</v>
      </c>
      <c r="I81" s="1094">
        <f t="dataTable" ref="I81:S95" dt2D="1" dtr="1" r1="C46" r2="C33"/>
        <v>-3.2831545978079246</v>
      </c>
      <c r="J81" s="1094">
        <v>-1.1980773890346574</v>
      </c>
      <c r="K81" s="1094">
        <v>0.88699981973860975</v>
      </c>
      <c r="L81" s="1094">
        <v>2.9720770285113218</v>
      </c>
      <c r="M81" s="1094">
        <v>5.057154237284589</v>
      </c>
      <c r="N81" s="1094">
        <v>7.1422314460578562</v>
      </c>
      <c r="O81" s="1094">
        <v>9.2273086548311234</v>
      </c>
      <c r="P81" s="1094">
        <v>11.312385863604391</v>
      </c>
      <c r="Q81" s="1094">
        <v>13.397463072377104</v>
      </c>
      <c r="R81" s="1094">
        <v>15.482540281149259</v>
      </c>
      <c r="S81" s="1094">
        <v>17.567617489922526</v>
      </c>
    </row>
    <row r="82" spans="2:19" x14ac:dyDescent="0.2">
      <c r="B82" s="1107" t="s">
        <v>838</v>
      </c>
      <c r="C82" s="1106">
        <f>C29</f>
        <v>0.47872980875705257</v>
      </c>
      <c r="D82" s="1098"/>
      <c r="H82" s="1105">
        <f>H81+5</f>
        <v>35</v>
      </c>
      <c r="I82" s="1094">
        <v>-8.4574155352923341</v>
      </c>
      <c r="J82" s="1094">
        <v>-3.0862507447171339</v>
      </c>
      <c r="K82" s="1094">
        <v>2.2849140458586215</v>
      </c>
      <c r="L82" s="1094">
        <v>7.6560788364338217</v>
      </c>
      <c r="M82" s="1094">
        <v>13.027243627010133</v>
      </c>
      <c r="N82" s="1094">
        <v>18.398408417584776</v>
      </c>
      <c r="O82" s="1094">
        <v>23.769573208161088</v>
      </c>
      <c r="P82" s="1094">
        <v>29.1407379987374</v>
      </c>
      <c r="Q82" s="1094">
        <v>34.511902789312046</v>
      </c>
      <c r="R82" s="1094">
        <v>39.883067579888355</v>
      </c>
      <c r="S82" s="1094">
        <v>45.254232370463555</v>
      </c>
    </row>
    <row r="83" spans="2:19" ht="15" x14ac:dyDescent="0.25">
      <c r="B83" s="1108" t="s">
        <v>839</v>
      </c>
      <c r="C83" s="1109">
        <f>(C81-C82)*10000</f>
        <v>79.663926583280471</v>
      </c>
      <c r="D83" s="1073" t="s">
        <v>840</v>
      </c>
      <c r="H83" s="1105">
        <f t="shared" ref="H83:H95" si="13">H82+5</f>
        <v>40</v>
      </c>
      <c r="I83" s="1094">
        <v>-13.563827149811747</v>
      </c>
      <c r="J83" s="1094">
        <v>-4.9496647607810695</v>
      </c>
      <c r="K83" s="1094">
        <v>3.6644976282501629</v>
      </c>
      <c r="L83" s="1094">
        <v>12.27866001728195</v>
      </c>
      <c r="M83" s="1094">
        <v>20.892822406312629</v>
      </c>
      <c r="N83" s="1094">
        <v>29.506984795343861</v>
      </c>
      <c r="O83" s="1094">
        <v>38.121147184374536</v>
      </c>
      <c r="P83" s="1094">
        <v>46.735309573406326</v>
      </c>
      <c r="Q83" s="1094">
        <v>55.349471962437001</v>
      </c>
      <c r="R83" s="1094">
        <v>63.963634351468237</v>
      </c>
      <c r="S83" s="1094">
        <v>72.577796740498911</v>
      </c>
    </row>
    <row r="84" spans="2:19" x14ac:dyDescent="0.2">
      <c r="H84" s="1105">
        <f t="shared" si="13"/>
        <v>45</v>
      </c>
      <c r="I84" s="1094">
        <v>-18.603715295795187</v>
      </c>
      <c r="J84" s="1094">
        <v>-6.7888032634266793</v>
      </c>
      <c r="K84" s="1094">
        <v>5.0261087689412731</v>
      </c>
      <c r="L84" s="1094">
        <v>16.841020801309782</v>
      </c>
      <c r="M84" s="1094">
        <v>28.655932833677731</v>
      </c>
      <c r="N84" s="1094">
        <v>40.470844866046242</v>
      </c>
      <c r="O84" s="1094">
        <v>52.285756898413638</v>
      </c>
      <c r="P84" s="1094">
        <v>64.100668930781595</v>
      </c>
      <c r="Q84" s="1094">
        <v>75.915580963150092</v>
      </c>
      <c r="R84" s="1094">
        <v>87.730492995518048</v>
      </c>
      <c r="S84" s="1094">
        <v>99.545405027886559</v>
      </c>
    </row>
    <row r="85" spans="2:19" x14ac:dyDescent="0.2">
      <c r="H85" s="1105">
        <f t="shared" si="13"/>
        <v>50</v>
      </c>
      <c r="I85" s="1094">
        <v>-23.578371506252083</v>
      </c>
      <c r="J85" s="1094">
        <v>-8.6041375544004808</v>
      </c>
      <c r="K85" s="1094">
        <v>6.3700963974505642</v>
      </c>
      <c r="L85" s="1094">
        <v>21.344330349302165</v>
      </c>
      <c r="M85" s="1094">
        <v>36.318564301153764</v>
      </c>
      <c r="N85" s="1094">
        <v>51.292798253004257</v>
      </c>
      <c r="O85" s="1094">
        <v>66.267032204855852</v>
      </c>
      <c r="P85" s="1094">
        <v>81.241266156706345</v>
      </c>
      <c r="Q85" s="1094">
        <v>96.215500108558501</v>
      </c>
      <c r="R85" s="1094">
        <v>111.18973406040899</v>
      </c>
      <c r="S85" s="1094">
        <v>126.1639680122606</v>
      </c>
    </row>
    <row r="86" spans="2:19" x14ac:dyDescent="0.2">
      <c r="H86" s="1105">
        <f t="shared" si="13"/>
        <v>55</v>
      </c>
      <c r="I86" s="1094">
        <v>-28.489054096204612</v>
      </c>
      <c r="J86" s="1094">
        <v>-10.396126813657091</v>
      </c>
      <c r="K86" s="1094">
        <v>7.6968004688909852</v>
      </c>
      <c r="L86" s="1094">
        <v>25.789727751438505</v>
      </c>
      <c r="M86" s="1094">
        <v>43.882655033987142</v>
      </c>
      <c r="N86" s="1094">
        <v>61.975582316534663</v>
      </c>
      <c r="O86" s="1094">
        <v>80.068509599082176</v>
      </c>
      <c r="P86" s="1094">
        <v>98.161436881629697</v>
      </c>
      <c r="Q86" s="1094">
        <v>116.25436416417723</v>
      </c>
      <c r="R86" s="1094">
        <v>134.34729144672585</v>
      </c>
      <c r="S86" s="1094">
        <v>152.44021872927337</v>
      </c>
    </row>
    <row r="87" spans="2:19" x14ac:dyDescent="0.2">
      <c r="H87" s="1105">
        <f t="shared" si="13"/>
        <v>60</v>
      </c>
      <c r="I87" s="1094">
        <v>-33.336989223810562</v>
      </c>
      <c r="J87" s="1094">
        <v>-12.165218486577256</v>
      </c>
      <c r="K87" s="1094">
        <v>9.0065522506560534</v>
      </c>
      <c r="L87" s="1094">
        <v>30.178322987888805</v>
      </c>
      <c r="M87" s="1094">
        <v>51.350093725121006</v>
      </c>
      <c r="N87" s="1094">
        <v>72.521864462354316</v>
      </c>
      <c r="O87" s="1094">
        <v>93.693635199587618</v>
      </c>
      <c r="P87" s="1094">
        <v>114.86540593682093</v>
      </c>
      <c r="Q87" s="1094">
        <v>136.03717667405368</v>
      </c>
      <c r="R87" s="1094">
        <v>157.208947411287</v>
      </c>
      <c r="S87" s="1094">
        <v>178.38071814852029</v>
      </c>
    </row>
    <row r="88" spans="2:19" ht="15" x14ac:dyDescent="0.25">
      <c r="G88" s="1102" t="s">
        <v>835</v>
      </c>
      <c r="H88" s="1105">
        <f t="shared" si="13"/>
        <v>65</v>
      </c>
      <c r="I88" s="1094">
        <v>-38.123371911071843</v>
      </c>
      <c r="J88" s="1094">
        <v>-13.911848656446013</v>
      </c>
      <c r="K88" s="1094">
        <v>10.299674598179266</v>
      </c>
      <c r="L88" s="1094">
        <v>34.511197852805097</v>
      </c>
      <c r="M88" s="1094">
        <v>58.722721107430374</v>
      </c>
      <c r="N88" s="1094">
        <v>82.934244362056205</v>
      </c>
      <c r="O88" s="1094">
        <v>107.14576761668148</v>
      </c>
      <c r="P88" s="1094">
        <v>131.35729087130733</v>
      </c>
      <c r="Q88" s="1094">
        <v>155.5688141259337</v>
      </c>
      <c r="R88" s="1094">
        <v>179.78033738055899</v>
      </c>
      <c r="S88" s="1094">
        <v>203.99186063518482</v>
      </c>
    </row>
    <row r="89" spans="2:19" x14ac:dyDescent="0.2">
      <c r="H89" s="1105">
        <f t="shared" si="13"/>
        <v>70</v>
      </c>
      <c r="I89" s="1094">
        <v>-42.849367025915576</v>
      </c>
      <c r="J89" s="1094">
        <v>-15.636442402827688</v>
      </c>
      <c r="K89" s="1094">
        <v>11.576482220260198</v>
      </c>
      <c r="L89" s="1094">
        <v>38.789406843347528</v>
      </c>
      <c r="M89" s="1094">
        <v>66.002331466435422</v>
      </c>
      <c r="N89" s="1094">
        <v>93.215256089523862</v>
      </c>
      <c r="O89" s="1094">
        <v>120.42818071261175</v>
      </c>
      <c r="P89" s="1094">
        <v>147.64110533569962</v>
      </c>
      <c r="Q89" s="1094">
        <v>174.85402995878695</v>
      </c>
      <c r="R89" s="1094">
        <v>202.06695458187485</v>
      </c>
      <c r="S89" s="1094">
        <v>229.27987920496383</v>
      </c>
    </row>
    <row r="90" spans="2:19" x14ac:dyDescent="0.2">
      <c r="H90" s="1105">
        <f t="shared" si="13"/>
        <v>75</v>
      </c>
      <c r="I90" s="1094">
        <v>-47.516110227328042</v>
      </c>
      <c r="J90" s="1094">
        <v>-17.339414146460562</v>
      </c>
      <c r="K90" s="1094">
        <v>12.837281934406919</v>
      </c>
      <c r="L90" s="1094">
        <v>43.01397801527385</v>
      </c>
      <c r="M90" s="1094">
        <v>73.190674096141322</v>
      </c>
      <c r="N90" s="1094">
        <v>103.36737017700881</v>
      </c>
      <c r="O90" s="1094">
        <v>133.54406625787684</v>
      </c>
      <c r="P90" s="1094">
        <v>163.72076233874432</v>
      </c>
      <c r="Q90" s="1094">
        <v>193.89745841961181</v>
      </c>
      <c r="R90" s="1094">
        <v>224.0741545004793</v>
      </c>
      <c r="S90" s="1094">
        <v>254.25085058134621</v>
      </c>
    </row>
    <row r="91" spans="2:19" x14ac:dyDescent="0.2">
      <c r="H91" s="1105">
        <f t="shared" si="13"/>
        <v>80</v>
      </c>
      <c r="I91" s="1094">
        <v>-52.124708875164181</v>
      </c>
      <c r="J91" s="1094">
        <v>-19.0211679812613</v>
      </c>
      <c r="K91" s="1094">
        <v>14.082372912641027</v>
      </c>
      <c r="L91" s="1094">
        <v>47.185913806543908</v>
      </c>
      <c r="M91" s="1094">
        <v>80.289454700446242</v>
      </c>
      <c r="N91" s="1094">
        <v>113.39299559434912</v>
      </c>
      <c r="O91" s="1094">
        <v>146.49653648825145</v>
      </c>
      <c r="P91" s="1094">
        <v>179.60007738215432</v>
      </c>
      <c r="Q91" s="1094">
        <v>212.70361827605723</v>
      </c>
      <c r="R91" s="1094">
        <v>245.8071591699601</v>
      </c>
      <c r="S91" s="1094">
        <v>278.9107000638619</v>
      </c>
    </row>
    <row r="92" spans="2:19" x14ac:dyDescent="0.2">
      <c r="H92" s="1105">
        <f t="shared" si="13"/>
        <v>85</v>
      </c>
      <c r="I92" s="1094">
        <v>-56.676242906167907</v>
      </c>
      <c r="J92" s="1094">
        <v>-20.682097994002003</v>
      </c>
      <c r="K92" s="1094">
        <v>15.312046918162237</v>
      </c>
      <c r="L92" s="1094">
        <v>51.30619183032703</v>
      </c>
      <c r="M92" s="1094">
        <v>87.300336742491268</v>
      </c>
      <c r="N92" s="1094">
        <v>123.29448165465607</v>
      </c>
      <c r="O92" s="1094">
        <v>159.28862656682031</v>
      </c>
      <c r="P92" s="1094">
        <v>195.28277147898564</v>
      </c>
      <c r="Q92" s="1094">
        <v>231.27691639115045</v>
      </c>
      <c r="R92" s="1094">
        <v>267.27106130331526</v>
      </c>
      <c r="S92" s="1094">
        <v>303.26520621547894</v>
      </c>
    </row>
    <row r="93" spans="2:19" x14ac:dyDescent="0.2">
      <c r="H93" s="1105">
        <f t="shared" si="13"/>
        <v>90</v>
      </c>
      <c r="I93" s="1094">
        <v>-61.171765677635051</v>
      </c>
      <c r="J93" s="1094">
        <v>-22.322588572175061</v>
      </c>
      <c r="K93" s="1094">
        <v>16.526588533286034</v>
      </c>
      <c r="L93" s="1094">
        <v>55.375765638746579</v>
      </c>
      <c r="M93" s="1094">
        <v>94.224942744207112</v>
      </c>
      <c r="N93" s="1094">
        <v>133.07411984966822</v>
      </c>
      <c r="O93" s="1094">
        <v>171.92329695512876</v>
      </c>
      <c r="P93" s="1094">
        <v>210.77247406058984</v>
      </c>
      <c r="Q93" s="1094">
        <v>249.62165116604928</v>
      </c>
      <c r="R93" s="1094">
        <v>288.47082827151036</v>
      </c>
      <c r="S93" s="1094">
        <v>327.32000537697149</v>
      </c>
    </row>
    <row r="94" spans="2:19" x14ac:dyDescent="0.2">
      <c r="H94" s="1105">
        <f t="shared" si="13"/>
        <v>95</v>
      </c>
      <c r="I94" s="1094">
        <v>-65.612304780144342</v>
      </c>
      <c r="J94" s="1094">
        <v>-23.943014700567034</v>
      </c>
      <c r="K94" s="1094">
        <v>17.72627537900917</v>
      </c>
      <c r="L94" s="1094">
        <v>59.395565458585928</v>
      </c>
      <c r="M94" s="1094">
        <v>101.06485553816213</v>
      </c>
      <c r="N94" s="1094">
        <v>142.73414561773944</v>
      </c>
      <c r="O94" s="1094">
        <v>184.40343569731564</v>
      </c>
      <c r="P94" s="1094">
        <v>226.07272577689298</v>
      </c>
      <c r="Q94" s="1094">
        <v>267.74201585646864</v>
      </c>
      <c r="R94" s="1094">
        <v>309.41130593604646</v>
      </c>
      <c r="S94" s="1094">
        <v>351.08059601562212</v>
      </c>
    </row>
    <row r="95" spans="2:19" x14ac:dyDescent="0.2">
      <c r="H95" s="1105">
        <f t="shared" si="13"/>
        <v>100</v>
      </c>
      <c r="I95" s="1094">
        <v>-69.998862820621071</v>
      </c>
      <c r="J95" s="1094">
        <v>-25.543742247023381</v>
      </c>
      <c r="K95" s="1094">
        <v>18.911378326574301</v>
      </c>
      <c r="L95" s="1094">
        <v>63.366498900172544</v>
      </c>
      <c r="M95" s="1094">
        <v>107.82161947377023</v>
      </c>
      <c r="N95" s="1094">
        <v>152.27674004736792</v>
      </c>
      <c r="O95" s="1094">
        <v>196.73186062096559</v>
      </c>
      <c r="P95" s="1094">
        <v>241.18698119456383</v>
      </c>
      <c r="Q95" s="1094">
        <v>285.64210176816152</v>
      </c>
      <c r="R95" s="1094">
        <v>330.09722234175922</v>
      </c>
      <c r="S95" s="1094">
        <v>374.55234291535686</v>
      </c>
    </row>
  </sheetData>
  <conditionalFormatting sqref="I57:S71">
    <cfRule type="colorScale" priority="2">
      <colorScale>
        <cfvo type="min"/>
        <cfvo type="percentile" val="50"/>
        <cfvo type="max"/>
        <color rgb="FFF8696B"/>
        <color rgb="FFFFEB84"/>
        <color rgb="FF63BE7B"/>
      </colorScale>
    </cfRule>
  </conditionalFormatting>
  <conditionalFormatting sqref="I81:S9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5EBC-F305-49AB-AD41-BE87F856D234}">
  <dimension ref="A1:M43"/>
  <sheetViews>
    <sheetView showGridLines="0" topLeftCell="A13" workbookViewId="0">
      <selection activeCell="A2" sqref="A2"/>
    </sheetView>
  </sheetViews>
  <sheetFormatPr defaultRowHeight="14.25" x14ac:dyDescent="0.2"/>
  <cols>
    <col min="2" max="2" width="22" bestFit="1" customWidth="1"/>
    <col min="3" max="3" width="10.125" bestFit="1" customWidth="1"/>
    <col min="10" max="10" width="9.875" bestFit="1" customWidth="1"/>
  </cols>
  <sheetData>
    <row r="1" spans="1:13" x14ac:dyDescent="0.2">
      <c r="A1" t="s">
        <v>699</v>
      </c>
    </row>
    <row r="2" spans="1:13" x14ac:dyDescent="0.2">
      <c r="C2" s="1110" t="s">
        <v>842</v>
      </c>
      <c r="D2" s="1110" t="s">
        <v>843</v>
      </c>
      <c r="E2" s="1110" t="s">
        <v>844</v>
      </c>
      <c r="F2" t="s">
        <v>845</v>
      </c>
      <c r="G2" t="s">
        <v>846</v>
      </c>
      <c r="H2" t="s">
        <v>847</v>
      </c>
      <c r="I2" t="s">
        <v>848</v>
      </c>
      <c r="J2" t="s">
        <v>872</v>
      </c>
      <c r="K2" t="s">
        <v>849</v>
      </c>
      <c r="L2" s="1110" t="s">
        <v>850</v>
      </c>
      <c r="M2" s="1110" t="s">
        <v>851</v>
      </c>
    </row>
    <row r="3" spans="1:13" x14ac:dyDescent="0.2">
      <c r="B3" t="s">
        <v>438</v>
      </c>
      <c r="C3" s="1095">
        <f>'FC - 3FS'!AN$36</f>
        <v>2.0631256400125402</v>
      </c>
      <c r="D3" s="1095">
        <f>'FC - 3FS'!AO$36</f>
        <v>6.9291803542625559</v>
      </c>
      <c r="E3" s="1095">
        <f>'FC - 3FS'!AP$36</f>
        <v>9.6649042594277219</v>
      </c>
      <c r="F3" s="1111">
        <f>C36</f>
        <v>1.1850409394608259</v>
      </c>
      <c r="G3" s="1111">
        <f>C29</f>
        <v>-2.020735151865471</v>
      </c>
      <c r="H3" s="1111">
        <f>C22</f>
        <v>1.2687406966353258</v>
      </c>
      <c r="I3">
        <v>0</v>
      </c>
      <c r="J3" s="1111">
        <f>C43</f>
        <v>-2.5516334927439215</v>
      </c>
      <c r="K3" s="1095">
        <f>C14</f>
        <v>0.59182882557129268</v>
      </c>
      <c r="L3" s="1095">
        <f>'FC - 3FS'!AR36</f>
        <v>11.388496474914115</v>
      </c>
      <c r="M3">
        <v>12.75</v>
      </c>
    </row>
    <row r="4" spans="1:13" x14ac:dyDescent="0.2">
      <c r="D4" s="1097">
        <f>D3/C3-1</f>
        <v>2.3585838011399241</v>
      </c>
      <c r="E4" s="1097">
        <f>E3/D3-1</f>
        <v>0.39481205067526592</v>
      </c>
      <c r="H4" s="1095"/>
      <c r="L4" s="1097">
        <f>L3/M3-1</f>
        <v>-0.1067845902028145</v>
      </c>
    </row>
    <row r="6" spans="1:13" s="1099" customFormat="1" x14ac:dyDescent="0.2">
      <c r="A6" s="1099" t="s">
        <v>238</v>
      </c>
      <c r="B6" s="1099" t="s">
        <v>858</v>
      </c>
    </row>
    <row r="9" spans="1:13" x14ac:dyDescent="0.2">
      <c r="B9" t="s">
        <v>852</v>
      </c>
      <c r="C9" s="1095">
        <f>'FC - 3FS'!AR36</f>
        <v>11.388496474914115</v>
      </c>
    </row>
    <row r="10" spans="1:13" x14ac:dyDescent="0.2">
      <c r="B10" t="s">
        <v>853</v>
      </c>
      <c r="C10" s="1094">
        <f>'FC - 3FS'!AR39</f>
        <v>1112.2451998995341</v>
      </c>
    </row>
    <row r="11" spans="1:13" x14ac:dyDescent="0.2">
      <c r="B11" t="s">
        <v>854</v>
      </c>
      <c r="C11" s="1095">
        <f>C9*C10</f>
        <v>12666.800538295989</v>
      </c>
    </row>
    <row r="12" spans="1:13" x14ac:dyDescent="0.2">
      <c r="B12" t="s">
        <v>855</v>
      </c>
      <c r="C12" s="1094">
        <f>'FC - 3FS'!AP39</f>
        <v>1173.213898</v>
      </c>
    </row>
    <row r="13" spans="1:13" x14ac:dyDescent="0.2">
      <c r="B13" t="s">
        <v>856</v>
      </c>
      <c r="C13" s="1095">
        <f>C11/C12</f>
        <v>10.796667649342822</v>
      </c>
    </row>
    <row r="14" spans="1:13" x14ac:dyDescent="0.2">
      <c r="B14" t="s">
        <v>857</v>
      </c>
      <c r="C14" s="1095">
        <f>C9-C13</f>
        <v>0.59182882557129268</v>
      </c>
    </row>
    <row r="16" spans="1:13" s="1099" customFormat="1" x14ac:dyDescent="0.2">
      <c r="A16" s="1099" t="s">
        <v>238</v>
      </c>
      <c r="B16" s="1099" t="s">
        <v>859</v>
      </c>
    </row>
    <row r="18" spans="1:3" x14ac:dyDescent="0.2">
      <c r="B18" t="str">
        <f>'FWA Analysis'!B25</f>
        <v>24-'26 Incremental FWA EBITDA Estimate</v>
      </c>
      <c r="C18" s="1094">
        <f>'FWA Analysis'!C25</f>
        <v>1934.9457929214088</v>
      </c>
    </row>
    <row r="19" spans="1:3" x14ac:dyDescent="0.2">
      <c r="B19" t="s">
        <v>677</v>
      </c>
      <c r="C19" s="1097">
        <f>-'FC - 3FS'!AR29/'FC - 3FS'!AR28</f>
        <v>0.23072562358276649</v>
      </c>
    </row>
    <row r="20" spans="1:3" x14ac:dyDescent="0.2">
      <c r="B20" t="s">
        <v>860</v>
      </c>
      <c r="C20" s="1094">
        <f>C18*(1-C19)</f>
        <v>1488.5042182507661</v>
      </c>
    </row>
    <row r="21" spans="1:3" x14ac:dyDescent="0.2">
      <c r="B21" t="str">
        <f>B12</f>
        <v>2024 Shares Outstanding</v>
      </c>
      <c r="C21" s="1094">
        <f>C12</f>
        <v>1173.213898</v>
      </c>
    </row>
    <row r="22" spans="1:3" x14ac:dyDescent="0.2">
      <c r="B22" t="s">
        <v>861</v>
      </c>
      <c r="C22" s="1111">
        <f>C20/C21</f>
        <v>1.2687406966353258</v>
      </c>
    </row>
    <row r="24" spans="1:3" s="1099" customFormat="1" x14ac:dyDescent="0.2">
      <c r="A24" s="1099" t="s">
        <v>238</v>
      </c>
      <c r="B24" s="1099" t="s">
        <v>862</v>
      </c>
    </row>
    <row r="26" spans="1:3" x14ac:dyDescent="0.2">
      <c r="B26" t="s">
        <v>863</v>
      </c>
      <c r="C26" s="1111">
        <v>13.52</v>
      </c>
    </row>
    <row r="27" spans="1:3" x14ac:dyDescent="0.2">
      <c r="B27" t="str">
        <f>B9</f>
        <v>2026 Adj. EPS</v>
      </c>
      <c r="C27" s="1111">
        <f>C9</f>
        <v>11.388496474914115</v>
      </c>
    </row>
    <row r="28" spans="1:3" x14ac:dyDescent="0.2">
      <c r="B28" t="s">
        <v>867</v>
      </c>
      <c r="C28" s="1111">
        <f>C27-C26</f>
        <v>-2.1315035250858845</v>
      </c>
    </row>
    <row r="29" spans="1:3" x14ac:dyDescent="0.2">
      <c r="B29" t="s">
        <v>864</v>
      </c>
      <c r="C29" s="1111">
        <f>C28*C10/C12</f>
        <v>-2.020735151865471</v>
      </c>
    </row>
    <row r="31" spans="1:3" s="1099" customFormat="1" x14ac:dyDescent="0.2">
      <c r="A31" s="1099" t="s">
        <v>238</v>
      </c>
      <c r="B31" s="1099" t="s">
        <v>866</v>
      </c>
    </row>
    <row r="33" spans="1:3" x14ac:dyDescent="0.2">
      <c r="B33" t="s">
        <v>865</v>
      </c>
      <c r="C33" s="1111">
        <v>12.27</v>
      </c>
    </row>
    <row r="34" spans="1:3" x14ac:dyDescent="0.2">
      <c r="B34" t="str">
        <f>B26</f>
        <v>2026 Adj. EPS (w/o pricing)</v>
      </c>
      <c r="C34">
        <f>C26</f>
        <v>13.52</v>
      </c>
    </row>
    <row r="35" spans="1:3" x14ac:dyDescent="0.2">
      <c r="B35" t="s">
        <v>867</v>
      </c>
      <c r="C35" s="1111">
        <f>C34-C33</f>
        <v>1.25</v>
      </c>
    </row>
    <row r="36" spans="1:3" x14ac:dyDescent="0.2">
      <c r="B36" t="s">
        <v>868</v>
      </c>
      <c r="C36" s="1111">
        <f>C35*C10/C12</f>
        <v>1.1850409394608259</v>
      </c>
    </row>
    <row r="38" spans="1:3" s="1099" customFormat="1" x14ac:dyDescent="0.2">
      <c r="A38" s="1099" t="s">
        <v>238</v>
      </c>
      <c r="B38" s="1099" t="s">
        <v>869</v>
      </c>
    </row>
    <row r="40" spans="1:3" x14ac:dyDescent="0.2">
      <c r="B40" t="s">
        <v>870</v>
      </c>
      <c r="C40" s="1111">
        <v>14.08</v>
      </c>
    </row>
    <row r="41" spans="1:3" x14ac:dyDescent="0.2">
      <c r="B41" t="str">
        <f>B9</f>
        <v>2026 Adj. EPS</v>
      </c>
      <c r="C41">
        <f>C9</f>
        <v>11.388496474914115</v>
      </c>
    </row>
    <row r="42" spans="1:3" x14ac:dyDescent="0.2">
      <c r="B42" t="s">
        <v>867</v>
      </c>
      <c r="C42" s="1111">
        <f>C41-C40</f>
        <v>-2.691503525085885</v>
      </c>
    </row>
    <row r="43" spans="1:3" x14ac:dyDescent="0.2">
      <c r="B43" t="s">
        <v>871</v>
      </c>
      <c r="C43" s="1111">
        <f>C42*C10/C12</f>
        <v>-2.5516334927439215</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1684B-979C-4E3D-9A87-BADB3ECC8E0F}">
  <sheetPr>
    <tabColor rgb="FF1E9BD7"/>
  </sheetPr>
  <dimension ref="A1:S163"/>
  <sheetViews>
    <sheetView showGridLines="0" topLeftCell="A2" zoomScaleNormal="100" workbookViewId="0">
      <selection activeCell="C27" sqref="C27"/>
    </sheetView>
  </sheetViews>
  <sheetFormatPr defaultColWidth="9" defaultRowHeight="14.25" x14ac:dyDescent="0.2"/>
  <cols>
    <col min="1" max="1" width="11.875" style="389" bestFit="1" customWidth="1"/>
    <col min="2" max="2" width="28.75" style="389" customWidth="1"/>
    <col min="3" max="3" width="29.25" style="389" customWidth="1"/>
    <col min="4" max="4" width="21.5" style="389" bestFit="1" customWidth="1"/>
    <col min="5" max="5" width="12.5" style="389" customWidth="1"/>
    <col min="6" max="6" width="9.875" style="389" bestFit="1" customWidth="1"/>
    <col min="7" max="7" width="13.125" style="389" customWidth="1"/>
    <col min="8" max="8" width="9.75" style="389" customWidth="1"/>
    <col min="9" max="9" width="9.25" style="389" customWidth="1"/>
    <col min="10" max="15" width="9" style="389"/>
    <col min="16" max="16" width="16.5" style="389" bestFit="1" customWidth="1"/>
    <col min="17" max="17" width="9.375" style="389" customWidth="1"/>
    <col min="18" max="18" width="12" style="389" customWidth="1"/>
    <col min="19" max="16384" width="9" style="389"/>
  </cols>
  <sheetData>
    <row r="1" spans="1:19" ht="42.75" customHeight="1" x14ac:dyDescent="0.45">
      <c r="A1" s="386" t="s">
        <v>382</v>
      </c>
      <c r="B1" s="387" t="e">
        <f ca="1">_xll.BLUEMATRIX("/servlet/excelData",$E$4,"COMPANY_NAME")</f>
        <v>#NAME?</v>
      </c>
      <c r="C1" s="387"/>
      <c r="D1" s="388"/>
      <c r="E1" s="388"/>
      <c r="H1" s="388"/>
      <c r="I1" s="390"/>
      <c r="J1" s="390"/>
      <c r="K1" s="390"/>
      <c r="L1" s="390"/>
      <c r="M1" s="390"/>
      <c r="N1" s="390"/>
      <c r="O1" s="390"/>
      <c r="P1" s="390"/>
      <c r="Q1" s="390"/>
      <c r="R1" s="390"/>
      <c r="S1" s="390"/>
    </row>
    <row r="2" spans="1:19" ht="16.5" customHeight="1" x14ac:dyDescent="0.25">
      <c r="B2" s="391"/>
      <c r="C2" s="391"/>
      <c r="D2" s="392"/>
      <c r="E2" s="388"/>
      <c r="H2" s="388"/>
      <c r="I2" s="390"/>
      <c r="J2" s="390"/>
      <c r="K2" s="390"/>
      <c r="L2" s="390"/>
      <c r="M2" s="390"/>
      <c r="N2" s="390"/>
      <c r="O2" s="390"/>
      <c r="P2" s="393" t="s">
        <v>383</v>
      </c>
      <c r="Q2" s="393"/>
      <c r="R2" s="394"/>
      <c r="S2" s="390"/>
    </row>
    <row r="3" spans="1:19" ht="15" x14ac:dyDescent="0.25">
      <c r="B3" s="393" t="s">
        <v>384</v>
      </c>
      <c r="C3" s="393" t="s">
        <v>385</v>
      </c>
      <c r="D3" s="395" t="s">
        <v>386</v>
      </c>
      <c r="E3" s="395" t="s">
        <v>387</v>
      </c>
      <c r="H3" s="388"/>
      <c r="L3" s="390"/>
      <c r="M3" s="390"/>
      <c r="N3" s="390"/>
      <c r="O3" s="390"/>
      <c r="P3" s="396" t="s">
        <v>388</v>
      </c>
      <c r="Q3" s="397" t="s">
        <v>389</v>
      </c>
      <c r="R3" s="398" t="e">
        <f ca="1">_xll.BLUEMATRIX("/servlet/excelData",$E$4,$Q3)</f>
        <v>#NAME?</v>
      </c>
      <c r="S3" s="390"/>
    </row>
    <row r="4" spans="1:19" x14ac:dyDescent="0.2">
      <c r="A4" s="386" t="s">
        <v>390</v>
      </c>
      <c r="B4" s="399" t="s">
        <v>391</v>
      </c>
      <c r="C4" s="399"/>
      <c r="D4" s="397" t="s">
        <v>392</v>
      </c>
      <c r="E4" s="400" t="s">
        <v>634</v>
      </c>
      <c r="H4" s="388"/>
      <c r="L4" s="390"/>
      <c r="M4" s="390"/>
      <c r="N4" s="390"/>
      <c r="O4" s="390"/>
      <c r="P4" s="396" t="str">
        <f>"Close Price" &amp; IFERROR(" (" &amp;#REF!&amp;")","")</f>
        <v>Close Price</v>
      </c>
      <c r="Q4" s="397" t="s">
        <v>393</v>
      </c>
      <c r="R4" s="398" t="e">
        <f ca="1">_xll.BLUEMATRIX("/servlet/excelData",$E$4,$Q4)</f>
        <v>#NAME?</v>
      </c>
      <c r="S4" s="390"/>
    </row>
    <row r="5" spans="1:19" x14ac:dyDescent="0.2">
      <c r="B5" s="399" t="s">
        <v>394</v>
      </c>
      <c r="C5" s="399"/>
      <c r="D5" s="397" t="s">
        <v>395</v>
      </c>
      <c r="E5" s="401" t="e">
        <f ca="1">_xll.BLUEMATRIX("/servlet/excelData",$E$4,$D5)</f>
        <v>#NAME?</v>
      </c>
      <c r="L5" s="390"/>
      <c r="M5" s="390"/>
      <c r="N5" s="390"/>
      <c r="O5" s="390"/>
      <c r="P5" s="396" t="s">
        <v>396</v>
      </c>
      <c r="Q5" s="397" t="s">
        <v>397</v>
      </c>
      <c r="R5" s="398" t="e">
        <f ca="1">_xll.BLUEMATRIX("/servlet/excelData",$E$4,$Q5)</f>
        <v>#NAME?</v>
      </c>
      <c r="S5" s="390"/>
    </row>
    <row r="6" spans="1:19" x14ac:dyDescent="0.2">
      <c r="B6" s="399" t="s">
        <v>398</v>
      </c>
      <c r="C6" s="399"/>
      <c r="D6" s="397" t="s">
        <v>399</v>
      </c>
      <c r="E6" s="401" t="e">
        <f ca="1">_xll.BLUEMATRIX("/servlet/excelData",$E$4,$D6)</f>
        <v>#NAME?</v>
      </c>
      <c r="L6" s="390"/>
      <c r="M6" s="390"/>
      <c r="N6" s="390"/>
      <c r="O6" s="390"/>
      <c r="P6" s="396" t="s">
        <v>400</v>
      </c>
      <c r="Q6" s="397" t="s">
        <v>401</v>
      </c>
      <c r="R6" s="398" t="e">
        <f ca="1">_xll.BLUEMATRIX("/servlet/excelData",$E$4,$Q6)</f>
        <v>#NAME?</v>
      </c>
      <c r="S6" s="390"/>
    </row>
    <row r="7" spans="1:19" x14ac:dyDescent="0.2">
      <c r="B7" s="399" t="s">
        <v>402</v>
      </c>
      <c r="C7" s="399"/>
      <c r="D7" s="397" t="s">
        <v>403</v>
      </c>
      <c r="E7" s="401" t="e">
        <f ca="1">_xll.BLUEMATRIX("/servlet/excelData",$E$4,$D7)</f>
        <v>#NAME?</v>
      </c>
      <c r="L7" s="390"/>
      <c r="M7" s="390"/>
      <c r="N7" s="390"/>
      <c r="O7" s="390"/>
      <c r="P7" s="396" t="s">
        <v>404</v>
      </c>
      <c r="Q7" s="397" t="s">
        <v>405</v>
      </c>
      <c r="R7" s="398" t="e">
        <f ca="1">_xll.BLUEMATRIX("/servlet/excelData",$E$4,$Q7)</f>
        <v>#NAME?</v>
      </c>
      <c r="S7" s="390"/>
    </row>
    <row r="8" spans="1:19" x14ac:dyDescent="0.2">
      <c r="B8" s="399" t="s">
        <v>406</v>
      </c>
      <c r="C8" s="399"/>
      <c r="D8" s="397" t="s">
        <v>407</v>
      </c>
      <c r="E8" s="401" t="e">
        <f ca="1">_xll.BLUEMATRIX("/servlet/excelData",$E$4,$D8)</f>
        <v>#NAME?</v>
      </c>
      <c r="L8" s="390"/>
      <c r="M8" s="390"/>
      <c r="N8" s="390"/>
      <c r="O8" s="390"/>
      <c r="P8" s="396" t="s">
        <v>408</v>
      </c>
      <c r="Q8" s="397" t="s">
        <v>409</v>
      </c>
      <c r="R8" s="398" t="e">
        <f ca="1">_xll.BLUEMATRIX("/servlet/excelData",$E$4,$Q8)</f>
        <v>#NAME?</v>
      </c>
      <c r="S8" s="390"/>
    </row>
    <row r="9" spans="1:19" x14ac:dyDescent="0.2">
      <c r="B9" s="399" t="s">
        <v>410</v>
      </c>
      <c r="C9" s="399"/>
      <c r="D9" s="397" t="s">
        <v>411</v>
      </c>
      <c r="E9" s="401" t="e">
        <f ca="1">_xll.BLUEMATRIX("/servlet/excelData",$E$4,$D9)</f>
        <v>#NAME?</v>
      </c>
      <c r="L9" s="390"/>
      <c r="M9" s="390"/>
      <c r="N9" s="390"/>
      <c r="O9" s="390"/>
      <c r="P9" s="396" t="s">
        <v>412</v>
      </c>
      <c r="Q9" s="397" t="s">
        <v>412</v>
      </c>
      <c r="R9" s="398" t="e">
        <f ca="1">_xll.BLUEMATRIX("/servlet/excelData",$E$4,$Q9)</f>
        <v>#NAME?</v>
      </c>
      <c r="S9" s="390"/>
    </row>
    <row r="10" spans="1:19" ht="15" x14ac:dyDescent="0.25">
      <c r="B10" s="393" t="s">
        <v>413</v>
      </c>
      <c r="C10" s="393"/>
      <c r="D10" s="393"/>
      <c r="E10" s="402"/>
      <c r="F10" s="395" t="s">
        <v>414</v>
      </c>
      <c r="G10" s="403" t="s">
        <v>415</v>
      </c>
      <c r="P10" s="396" t="s">
        <v>416</v>
      </c>
      <c r="Q10" s="397" t="s">
        <v>417</v>
      </c>
      <c r="R10" s="398" t="e">
        <f ca="1">_xll.BLUEMATRIX("/servlet/excelData",$E$4,$Q10)</f>
        <v>#NAME?</v>
      </c>
    </row>
    <row r="11" spans="1:19" x14ac:dyDescent="0.2">
      <c r="B11" s="404" t="s">
        <v>418</v>
      </c>
      <c r="C11" s="404"/>
      <c r="D11" s="397" t="s">
        <v>419</v>
      </c>
      <c r="E11" s="405" t="e">
        <f ca="1">_xll.BLUEMATRIX("/servlet/excelData",$E$4,$D11)</f>
        <v>#NAME?</v>
      </c>
      <c r="F11" s="406" t="s">
        <v>934</v>
      </c>
      <c r="G11" s="407" t="e">
        <f ca="1">_xll.BLUEMATRIX2("/servlet/excelData",F11,$E$4,$D11)</f>
        <v>#NAME?</v>
      </c>
      <c r="H11" s="388"/>
      <c r="P11" s="396" t="s">
        <v>420</v>
      </c>
      <c r="Q11" s="397" t="s">
        <v>421</v>
      </c>
      <c r="R11" s="398" t="e">
        <f ca="1">_xll.BLUEMATRIX("/servlet/excelData",$E$4,$Q11)</f>
        <v>#NAME?</v>
      </c>
    </row>
    <row r="12" spans="1:19" x14ac:dyDescent="0.2">
      <c r="B12" s="404" t="s">
        <v>422</v>
      </c>
      <c r="C12" s="404"/>
      <c r="D12" s="397" t="s">
        <v>423</v>
      </c>
      <c r="E12" s="405" t="e">
        <f ca="1">_xll.BLUEMATRIX("/servlet/excelData",$E$4,$D12)</f>
        <v>#NAME?</v>
      </c>
      <c r="F12" s="406">
        <f>Valuation!C7</f>
        <v>-28</v>
      </c>
      <c r="G12" s="407" t="e">
        <f ca="1">_xll.BLUEMATRIX2("/servlet/excelData",F12,$E$4,$D12)</f>
        <v>#NAME?</v>
      </c>
      <c r="H12" s="388"/>
      <c r="P12" s="396" t="s">
        <v>424</v>
      </c>
      <c r="Q12" s="397" t="s">
        <v>425</v>
      </c>
      <c r="R12" s="398" t="e">
        <f ca="1">_xll.BLUEMATRIX("/servlet/excelData",$E$4,$Q12)</f>
        <v>#NAME?</v>
      </c>
    </row>
    <row r="13" spans="1:19" x14ac:dyDescent="0.2">
      <c r="B13" s="408" t="s">
        <v>426</v>
      </c>
      <c r="C13" s="408"/>
      <c r="D13" s="397" t="s">
        <v>427</v>
      </c>
      <c r="E13" s="405" t="e">
        <f ca="1">_xll.BLUEMATRIX("/servlet/excelData",$E$4,$D13)</f>
        <v>#NAME?</v>
      </c>
      <c r="F13" s="406"/>
      <c r="G13" s="407" t="e">
        <f ca="1">_xll.BLUEMATRIX2("/servlet/excelData",F13,$E$4,$D13)</f>
        <v>#NAME?</v>
      </c>
      <c r="H13" s="388"/>
      <c r="P13" s="396" t="s">
        <v>428</v>
      </c>
      <c r="Q13" s="397" t="s">
        <v>429</v>
      </c>
      <c r="R13" s="398" t="e">
        <f ca="1">_xll.BLUEMATRIX("/servlet/excelData",$E$4,$Q13)</f>
        <v>#NAME?</v>
      </c>
    </row>
    <row r="14" spans="1:19" ht="15" x14ac:dyDescent="0.25">
      <c r="B14" s="393" t="s">
        <v>430</v>
      </c>
      <c r="C14" s="393"/>
      <c r="D14" s="393"/>
      <c r="E14" s="393">
        <v>2022</v>
      </c>
      <c r="F14" s="393">
        <v>2023</v>
      </c>
      <c r="G14" s="393">
        <v>2024</v>
      </c>
      <c r="H14" s="393">
        <v>2025</v>
      </c>
      <c r="I14" s="393">
        <v>2026</v>
      </c>
      <c r="J14" s="393">
        <v>2027</v>
      </c>
      <c r="K14" s="393">
        <v>2028</v>
      </c>
      <c r="L14" s="393">
        <v>2029</v>
      </c>
      <c r="M14" s="393">
        <v>2030</v>
      </c>
      <c r="N14" s="393">
        <v>2031</v>
      </c>
    </row>
    <row r="15" spans="1:19" s="410" customFormat="1" x14ac:dyDescent="0.2">
      <c r="A15" s="386" t="s">
        <v>431</v>
      </c>
      <c r="B15" s="409"/>
      <c r="C15" s="409"/>
      <c r="E15" s="411" t="s">
        <v>432</v>
      </c>
      <c r="F15" s="411" t="s">
        <v>432</v>
      </c>
      <c r="G15" s="411" t="s">
        <v>432</v>
      </c>
      <c r="H15" s="411" t="s">
        <v>433</v>
      </c>
      <c r="I15" s="411" t="s">
        <v>433</v>
      </c>
      <c r="J15" s="411" t="s">
        <v>433</v>
      </c>
      <c r="K15" s="411" t="s">
        <v>433</v>
      </c>
      <c r="L15" s="411" t="s">
        <v>433</v>
      </c>
      <c r="M15" s="411" t="s">
        <v>433</v>
      </c>
      <c r="N15" s="411" t="s">
        <v>433</v>
      </c>
    </row>
    <row r="16" spans="1:19" s="415" customFormat="1" ht="12" customHeight="1" x14ac:dyDescent="0.25">
      <c r="A16" s="412" t="s">
        <v>434</v>
      </c>
      <c r="B16" s="396" t="s">
        <v>435</v>
      </c>
      <c r="C16" s="396"/>
      <c r="D16" s="413" t="s">
        <v>436</v>
      </c>
      <c r="E16" s="414" t="e">
        <f ca="1">_xll.BLUEMATRIX("/servlet/excelData",$E$4,$D16&amp;":"&amp;E$14&amp;E$15&amp;":AN:NULL:FISCAL")</f>
        <v>#NAME?</v>
      </c>
      <c r="F16" s="414" t="e">
        <f ca="1">_xll.BLUEMATRIX("/servlet/excelData",$E$4,$D16&amp;":"&amp;F$14&amp;F$15&amp;":AN:NULL:FISCAL")</f>
        <v>#NAME?</v>
      </c>
      <c r="G16" s="414" t="e">
        <f ca="1">_xll.BLUEMATRIX("/servlet/excelData",$E$4,$D16&amp;":"&amp;G$14&amp;G$15&amp;":AN:NULL:FISCAL")</f>
        <v>#NAME?</v>
      </c>
      <c r="H16" s="414" t="e">
        <f ca="1">_xll.BLUEMATRIX("/servlet/excelData",$E$4,$D16&amp;":"&amp;H$14&amp;H$15&amp;":AN:NULL:FISCAL")</f>
        <v>#NAME?</v>
      </c>
      <c r="I16" s="414" t="e">
        <f ca="1">_xll.BLUEMATRIX("/servlet/excelData",$E$4,$D16&amp;":"&amp;I$14&amp;I$15&amp;":AN:NULL:FISCAL")</f>
        <v>#NAME?</v>
      </c>
      <c r="J16" s="414" t="e">
        <f ca="1">_xll.BLUEMATRIX("/servlet/excelData",$E$4,$D16&amp;":"&amp;J$14&amp;J$15&amp;":AN:NULL:FISCAL")</f>
        <v>#NAME?</v>
      </c>
      <c r="K16" s="414" t="e">
        <f ca="1">_xll.BLUEMATRIX("/servlet/excelData",$E$4,$D16&amp;":"&amp;K$14&amp;K$15&amp;":AN:NULL:FISCAL")</f>
        <v>#NAME?</v>
      </c>
      <c r="L16" s="414" t="e">
        <f ca="1">_xll.BLUEMATRIX("/servlet/excelData",$E$4,$D16&amp;":"&amp;L$14&amp;L$15&amp;":AN:NULL:FISCAL")</f>
        <v>#NAME?</v>
      </c>
      <c r="M16" s="414" t="e">
        <f ca="1">_xll.BLUEMATRIX("/servlet/excelData",$E$4,$D16&amp;":"&amp;M$14&amp;M$15&amp;":AN:NULL:FISCAL")</f>
        <v>#NAME?</v>
      </c>
      <c r="N16" s="414" t="e">
        <f ca="1">_xll.BLUEMATRIX("/servlet/excelData",$E$4,$D16&amp;":"&amp;N$14&amp;N$15&amp;":AN:NULL:FISCAL")</f>
        <v>#NAME?</v>
      </c>
    </row>
    <row r="17" spans="1:14" s="415" customFormat="1" ht="15" x14ac:dyDescent="0.25">
      <c r="A17" s="412"/>
      <c r="B17" s="416" t="s">
        <v>414</v>
      </c>
      <c r="C17" s="409" t="s">
        <v>437</v>
      </c>
      <c r="D17" s="417" t="s">
        <v>436</v>
      </c>
      <c r="E17" s="418">
        <f>'FC - 3FS'!AN36</f>
        <v>2.0631256400125402</v>
      </c>
      <c r="F17" s="418">
        <f>'FC - 3FS'!AO36</f>
        <v>6.9291803542625559</v>
      </c>
      <c r="G17" s="418">
        <f>'FC - 3FS'!AP36</f>
        <v>9.6649042594277219</v>
      </c>
      <c r="H17" s="418">
        <f>'FC - 3FS'!AQ36</f>
        <v>9.8240184542161391</v>
      </c>
      <c r="I17" s="418">
        <f>'FC - 3FS'!AR36</f>
        <v>11.388496474914115</v>
      </c>
      <c r="J17" s="418">
        <f>'FC - 3FS'!AS36</f>
        <v>13.613005510798967</v>
      </c>
      <c r="K17" s="418">
        <f>'FC - 3FS'!AT36</f>
        <v>0</v>
      </c>
      <c r="L17" s="418">
        <f>'FC - 3FS'!AU36</f>
        <v>0</v>
      </c>
      <c r="M17" s="419"/>
      <c r="N17" s="419"/>
    </row>
    <row r="18" spans="1:14" s="415" customFormat="1" ht="12" customHeight="1" x14ac:dyDescent="0.25">
      <c r="A18" s="412"/>
      <c r="B18" s="420" t="s">
        <v>415</v>
      </c>
      <c r="C18" s="421"/>
      <c r="D18" s="422" t="s">
        <v>436</v>
      </c>
      <c r="E18" s="423" t="e">
        <f ca="1">_xll.BLUEMATRIX2("/servlet/excelData",E17,$E$4,$D18&amp;":"&amp;E$14&amp;E$15&amp;":AN:NULL:FISCAL")</f>
        <v>#NAME?</v>
      </c>
      <c r="F18" s="423" t="e">
        <f ca="1">_xll.BLUEMATRIX2("/servlet/excelData",F17,$E$4,$D18&amp;":"&amp;F$14&amp;F$15&amp;":AN:NULL:FISCAL")</f>
        <v>#NAME?</v>
      </c>
      <c r="G18" s="423" t="e">
        <f ca="1">_xll.BLUEMATRIX2("/servlet/excelData",G17,$E$4,$D18&amp;":"&amp;G$14&amp;G$15&amp;":AN:NULL:FISCAL")</f>
        <v>#NAME?</v>
      </c>
      <c r="H18" s="423" t="e">
        <f ca="1">_xll.BLUEMATRIX2("/servlet/excelData",H17,$E$4,$D18&amp;":"&amp;H$14&amp;H$15&amp;":AN:NULL:FISCAL")</f>
        <v>#NAME?</v>
      </c>
      <c r="I18" s="423" t="e">
        <f ca="1">_xll.BLUEMATRIX2("/servlet/excelData",I17,$E$4,$D18&amp;":"&amp;I$14&amp;I$15&amp;":AN:NULL:FISCAL")</f>
        <v>#NAME?</v>
      </c>
      <c r="J18" s="423" t="e">
        <f ca="1">_xll.BLUEMATRIX2("/servlet/excelData",J17,$E$4,$D18&amp;":"&amp;J$14&amp;J$15&amp;":AN:NULL:FISCAL")</f>
        <v>#NAME?</v>
      </c>
      <c r="K18" s="423" t="e">
        <f ca="1">_xll.BLUEMATRIX2("/servlet/excelData",K17,$E$4,$D18&amp;":"&amp;K$14&amp;K$15&amp;":AN:NULL:FISCAL")</f>
        <v>#NAME?</v>
      </c>
      <c r="L18" s="423" t="e">
        <f ca="1">_xll.BLUEMATRIX2("/servlet/excelData",L17,$E$4,$D18&amp;":"&amp;L$14&amp;L$15&amp;":AN:NULL:FISCAL")</f>
        <v>#NAME?</v>
      </c>
      <c r="M18" s="423" t="e">
        <f ca="1">_xll.BLUEMATRIX2("/servlet/excelData",M17,$E$4,$D18&amp;":"&amp;M$14&amp;M$15&amp;":AN:NULL:FISCAL")</f>
        <v>#NAME?</v>
      </c>
      <c r="N18" s="423" t="e">
        <f ca="1">_xll.BLUEMATRIX2("/servlet/excelData",N17,$E$4,$D18&amp;":"&amp;N$14&amp;N$15&amp;":AN:NULL:FISCAL")</f>
        <v>#NAME?</v>
      </c>
    </row>
    <row r="19" spans="1:14" s="415" customFormat="1" ht="12" customHeight="1" x14ac:dyDescent="0.25">
      <c r="A19" s="424" t="s">
        <v>438</v>
      </c>
      <c r="B19" s="425" t="s">
        <v>435</v>
      </c>
      <c r="C19" s="425"/>
      <c r="D19" s="426" t="s">
        <v>439</v>
      </c>
      <c r="E19" s="427" t="e">
        <f ca="1">_xll.BLUEMATRIX("/servlet/excelData",$E$4,$D19&amp;":"&amp;E$14&amp;E$15&amp;":AN:NULL:FISCAL")</f>
        <v>#NAME?</v>
      </c>
      <c r="F19" s="427" t="e">
        <f ca="1">_xll.BLUEMATRIX("/servlet/excelData",$E$4,$D19&amp;":"&amp;F$14&amp;F$15&amp;":AN:NULL:FISCAL")</f>
        <v>#NAME?</v>
      </c>
      <c r="G19" s="427" t="e">
        <f ca="1">_xll.BLUEMATRIX("/servlet/excelData",$E$4,$D19&amp;":"&amp;G$14&amp;G$15&amp;":AN:NULL:FISCAL")</f>
        <v>#NAME?</v>
      </c>
      <c r="H19" s="427" t="e">
        <f ca="1">_xll.BLUEMATRIX("/servlet/excelData",$E$4,$D19&amp;":"&amp;H$14&amp;H$15&amp;":AN:NULL:FISCAL")</f>
        <v>#NAME?</v>
      </c>
      <c r="I19" s="427" t="e">
        <f ca="1">_xll.BLUEMATRIX("/servlet/excelData",$E$4,$D19&amp;":"&amp;I$14&amp;I$15&amp;":AN:NULL:FISCAL")</f>
        <v>#NAME?</v>
      </c>
      <c r="J19" s="427" t="e">
        <f ca="1">_xll.BLUEMATRIX("/servlet/excelData",$E$4,$D19&amp;":"&amp;J$14&amp;J$15&amp;":AN:NULL:FISCAL")</f>
        <v>#NAME?</v>
      </c>
      <c r="K19" s="427" t="e">
        <f ca="1">_xll.BLUEMATRIX("/servlet/excelData",$E$4,$D19&amp;":"&amp;K$14&amp;K$15&amp;":AN:NULL:FISCAL")</f>
        <v>#NAME?</v>
      </c>
      <c r="L19" s="427" t="e">
        <f ca="1">_xll.BLUEMATRIX("/servlet/excelData",$E$4,$D19&amp;":"&amp;L$14&amp;L$15&amp;":AN:NULL:FISCAL")</f>
        <v>#NAME?</v>
      </c>
      <c r="M19" s="427" t="e">
        <f ca="1">_xll.BLUEMATRIX("/servlet/excelData",$E$4,$D19&amp;":"&amp;M$14&amp;M$15&amp;":AN:NULL:FISCAL")</f>
        <v>#NAME?</v>
      </c>
      <c r="N19" s="427" t="e">
        <f ca="1">_xll.BLUEMATRIX("/servlet/excelData",$E$4,$D19&amp;":"&amp;N$14&amp;N$15&amp;":AN:NULL:FISCAL")</f>
        <v>#NAME?</v>
      </c>
    </row>
    <row r="20" spans="1:14" s="415" customFormat="1" ht="15" x14ac:dyDescent="0.25">
      <c r="A20" s="412"/>
      <c r="B20" s="416" t="s">
        <v>414</v>
      </c>
      <c r="C20" s="409"/>
      <c r="D20" s="417" t="s">
        <v>439</v>
      </c>
      <c r="E20" s="428">
        <f>+E17</f>
        <v>2.0631256400125402</v>
      </c>
      <c r="F20" s="428">
        <f t="shared" ref="F20:L20" si="0">+F17</f>
        <v>6.9291803542625559</v>
      </c>
      <c r="G20" s="428">
        <f t="shared" si="0"/>
        <v>9.6649042594277219</v>
      </c>
      <c r="H20" s="428">
        <f t="shared" si="0"/>
        <v>9.8240184542161391</v>
      </c>
      <c r="I20" s="428">
        <f t="shared" si="0"/>
        <v>11.388496474914115</v>
      </c>
      <c r="J20" s="428">
        <f t="shared" si="0"/>
        <v>13.613005510798967</v>
      </c>
      <c r="K20" s="428">
        <f t="shared" si="0"/>
        <v>0</v>
      </c>
      <c r="L20" s="428">
        <f t="shared" si="0"/>
        <v>0</v>
      </c>
      <c r="M20" s="418"/>
      <c r="N20" s="418"/>
    </row>
    <row r="21" spans="1:14" s="415" customFormat="1" ht="12" customHeight="1" x14ac:dyDescent="0.25">
      <c r="A21" s="412"/>
      <c r="B21" s="420" t="s">
        <v>415</v>
      </c>
      <c r="C21" s="421"/>
      <c r="D21" s="422" t="s">
        <v>439</v>
      </c>
      <c r="E21" s="423" t="e">
        <f ca="1">_xll.BLUEMATRIX2("/servlet/excelData",E20,$E$4,$D21&amp;":"&amp;E$14&amp;E$15&amp;":AN:NULL:FISCAL")</f>
        <v>#NAME?</v>
      </c>
      <c r="F21" s="423" t="e">
        <f ca="1">_xll.BLUEMATRIX2("/servlet/excelData",F20,$E$4,$D21&amp;":"&amp;F$14&amp;F$15&amp;":AN:NULL:FISCAL")</f>
        <v>#NAME?</v>
      </c>
      <c r="G21" s="423" t="e">
        <f ca="1">_xll.BLUEMATRIX2("/servlet/excelData",G20,$E$4,$D21&amp;":"&amp;G$14&amp;G$15&amp;":AN:NULL:FISCAL")</f>
        <v>#NAME?</v>
      </c>
      <c r="H21" s="423" t="e">
        <f ca="1">_xll.BLUEMATRIX2("/servlet/excelData",H20,$E$4,$D21&amp;":"&amp;H$14&amp;H$15&amp;":AN:NULL:FISCAL")</f>
        <v>#NAME?</v>
      </c>
      <c r="I21" s="423" t="e">
        <f ca="1">_xll.BLUEMATRIX2("/servlet/excelData",I20,$E$4,$D21&amp;":"&amp;I$14&amp;I$15&amp;":AN:NULL:FISCAL")</f>
        <v>#NAME?</v>
      </c>
      <c r="J21" s="423" t="e">
        <f ca="1">_xll.BLUEMATRIX2("/servlet/excelData",J20,$E$4,$D21&amp;":"&amp;J$14&amp;J$15&amp;":AN:NULL:FISCAL")</f>
        <v>#NAME?</v>
      </c>
      <c r="K21" s="423" t="e">
        <f ca="1">_xll.BLUEMATRIX2("/servlet/excelData",K20,$E$4,$D21&amp;":"&amp;K$14&amp;K$15&amp;":AN:NULL:FISCAL")</f>
        <v>#NAME?</v>
      </c>
      <c r="L21" s="423" t="e">
        <f ca="1">_xll.BLUEMATRIX2("/servlet/excelData",L20,$E$4,$D21&amp;":"&amp;L$14&amp;L$15&amp;":AN:NULL:FISCAL")</f>
        <v>#NAME?</v>
      </c>
      <c r="M21" s="423" t="e">
        <f ca="1">_xll.BLUEMATRIX2("/servlet/excelData",M20,$E$4,$D21&amp;":"&amp;M$14&amp;M$15&amp;":AN:NULL:FISCAL")</f>
        <v>#NAME?</v>
      </c>
      <c r="N21" s="423" t="e">
        <f ca="1">_xll.BLUEMATRIX2("/servlet/excelData",N20,$E$4,$D21&amp;":"&amp;N$14&amp;N$15&amp;":AN:NULL:FISCAL")</f>
        <v>#NAME?</v>
      </c>
    </row>
    <row r="22" spans="1:14" ht="15" x14ac:dyDescent="0.25">
      <c r="A22" s="429" t="s">
        <v>36</v>
      </c>
      <c r="B22" s="430" t="s">
        <v>440</v>
      </c>
      <c r="C22" s="431" t="s">
        <v>441</v>
      </c>
      <c r="D22" s="432" t="s">
        <v>442</v>
      </c>
      <c r="E22" s="433">
        <f>+'FC - 3FS'!AN84-'FC - 3FS'!AN75</f>
        <v>192271</v>
      </c>
      <c r="F22" s="433">
        <f>+'FC - 3FS'!AO84-'FC - 3FS'!AO75</f>
        <v>188667</v>
      </c>
      <c r="G22" s="433">
        <f>+'FC - 3FS'!AP84-'FC - 3FS'!AP75</f>
        <v>189631</v>
      </c>
      <c r="H22" s="433">
        <f>+'FC - 3FS'!AQ84-'FC - 3FS'!AQ75</f>
        <v>196809.6498130527</v>
      </c>
      <c r="I22" s="433">
        <f>+'FC - 3FS'!AR84-'FC - 3FS'!AR75</f>
        <v>200050.69761369177</v>
      </c>
      <c r="J22" s="433">
        <f>+'FC - 3FS'!AS84-'FC - 3FS'!AS75</f>
        <v>202900.21186171152</v>
      </c>
      <c r="K22" s="433"/>
      <c r="L22" s="434"/>
      <c r="M22" s="434"/>
      <c r="N22" s="434"/>
    </row>
    <row r="23" spans="1:14" ht="15" customHeight="1" x14ac:dyDescent="0.25">
      <c r="A23" s="435"/>
      <c r="B23" s="420" t="s">
        <v>415</v>
      </c>
      <c r="C23" s="421"/>
      <c r="D23" s="436" t="s">
        <v>442</v>
      </c>
      <c r="E23" s="423" t="e">
        <f ca="1">_xll.BLUEMATRIX2("/servlet/excelData",E22,$E$4,$D23&amp;":"&amp;E$14&amp;E$15&amp;":AN:NULL:FISCAL")</f>
        <v>#NAME?</v>
      </c>
      <c r="F23" s="423" t="e">
        <f ca="1">_xll.BLUEMATRIX2("/servlet/excelData",F22,$E$4,$D23&amp;":"&amp;F$14&amp;F$15&amp;":AN:NULL:FISCAL")</f>
        <v>#NAME?</v>
      </c>
      <c r="G23" s="423" t="e">
        <f ca="1">_xll.BLUEMATRIX2("/servlet/excelData",G22,$E$4,$D23&amp;":"&amp;G$14&amp;G$15&amp;":AN:NULL:FISCAL")</f>
        <v>#NAME?</v>
      </c>
      <c r="H23" s="423" t="e">
        <f ca="1">_xll.BLUEMATRIX2("/servlet/excelData",H22,$E$4,$D23&amp;":"&amp;H$14&amp;H$15&amp;":AN:NULL:FISCAL")</f>
        <v>#NAME?</v>
      </c>
      <c r="I23" s="423" t="e">
        <f ca="1">_xll.BLUEMATRIX2("/servlet/excelData",I22,$E$4,$D23&amp;":"&amp;I$14&amp;I$15&amp;":AN:NULL:FISCAL")</f>
        <v>#NAME?</v>
      </c>
      <c r="J23" s="423" t="e">
        <f ca="1">_xll.BLUEMATRIX2("/servlet/excelData",J22,$E$4,$D23&amp;":"&amp;J$14&amp;J$15&amp;":AN:NULL:FISCAL")</f>
        <v>#NAME?</v>
      </c>
      <c r="K23" s="423" t="e">
        <f ca="1">_xll.BLUEMATRIX2("/servlet/excelData",K22,$E$4,$D23&amp;":"&amp;K$14&amp;K$15&amp;":AN:NULL:FISCAL")</f>
        <v>#NAME?</v>
      </c>
      <c r="L23" s="423" t="e">
        <f ca="1">_xll.BLUEMATRIX2("/servlet/excelData",L22,$E$4,$D23&amp;":"&amp;L$14&amp;L$15&amp;":AN:NULL:FISCAL")</f>
        <v>#NAME?</v>
      </c>
      <c r="M23" s="423" t="e">
        <f ca="1">_xll.BLUEMATRIX2("/servlet/excelData",M22,$E$4,$D23&amp;":"&amp;M$14&amp;M$15&amp;":AN:NULL:FISCAL")</f>
        <v>#NAME?</v>
      </c>
      <c r="N23" s="423" t="e">
        <f ca="1">_xll.BLUEMATRIX2("/servlet/excelData",N22,$E$4,$D23&amp;":"&amp;N$14&amp;N$15&amp;":AN:NULL:FISCAL")</f>
        <v>#NAME?</v>
      </c>
    </row>
    <row r="24" spans="1:14" ht="15" x14ac:dyDescent="0.25">
      <c r="A24" s="435"/>
      <c r="B24" s="416" t="s">
        <v>47</v>
      </c>
      <c r="C24" s="416" t="s">
        <v>443</v>
      </c>
      <c r="D24" s="417" t="s">
        <v>47</v>
      </c>
      <c r="E24" s="437">
        <f>+'FC - 3FS'!AN79</f>
        <v>12234</v>
      </c>
      <c r="F24" s="437">
        <f>+'FC - 3FS'!AO79</f>
        <v>12234</v>
      </c>
      <c r="G24" s="437">
        <f>+'FC - 3FS'!AP79</f>
        <v>13005</v>
      </c>
      <c r="H24" s="437">
        <f>+'FC - 3FS'!AQ79</f>
        <v>13690</v>
      </c>
      <c r="I24" s="437">
        <f>+'FC - 3FS'!AR79</f>
        <v>13690</v>
      </c>
      <c r="J24" s="437">
        <f>+'FC - 3FS'!AS79</f>
        <v>13690</v>
      </c>
      <c r="K24" s="437"/>
      <c r="L24" s="438"/>
      <c r="M24" s="438"/>
      <c r="N24" s="438"/>
    </row>
    <row r="25" spans="1:14" ht="12" customHeight="1" x14ac:dyDescent="0.25">
      <c r="A25" s="435"/>
      <c r="B25" s="420" t="s">
        <v>415</v>
      </c>
      <c r="C25" s="421"/>
      <c r="D25" s="436" t="s">
        <v>47</v>
      </c>
      <c r="E25" s="423" t="e">
        <f ca="1">_xll.BLUEMATRIX2("/servlet/excelData",E24,$E$4,$D25&amp;":"&amp;E$14&amp;E$15&amp;":AN:NULL:FISCAL")</f>
        <v>#NAME?</v>
      </c>
      <c r="F25" s="423" t="e">
        <f ca="1">_xll.BLUEMATRIX2("/servlet/excelData",F24,$E$4,$D25&amp;":"&amp;F$14&amp;F$15&amp;":AN:NULL:FISCAL")</f>
        <v>#NAME?</v>
      </c>
      <c r="G25" s="423" t="e">
        <f ca="1">_xll.BLUEMATRIX2("/servlet/excelData",G24,$E$4,$D25&amp;":"&amp;G$14&amp;G$15&amp;":AN:NULL:FISCAL")</f>
        <v>#NAME?</v>
      </c>
      <c r="H25" s="423" t="e">
        <f ca="1">_xll.BLUEMATRIX2("/servlet/excelData",H24,$E$4,$D25&amp;":"&amp;H$14&amp;H$15&amp;":AN:NULL:FISCAL")</f>
        <v>#NAME?</v>
      </c>
      <c r="I25" s="423" t="e">
        <f ca="1">_xll.BLUEMATRIX2("/servlet/excelData",I24,$E$4,$D25&amp;":"&amp;I$14&amp;I$15&amp;":AN:NULL:FISCAL")</f>
        <v>#NAME?</v>
      </c>
      <c r="J25" s="423" t="e">
        <f ca="1">_xll.BLUEMATRIX2("/servlet/excelData",J24,$E$4,$D25&amp;":"&amp;J$14&amp;J$15&amp;":AN:NULL:FISCAL")</f>
        <v>#NAME?</v>
      </c>
      <c r="K25" s="423" t="e">
        <f ca="1">_xll.BLUEMATRIX2("/servlet/excelData",K24,$E$4,$D25&amp;":"&amp;K$14&amp;K$15&amp;":AN:NULL:FISCAL")</f>
        <v>#NAME?</v>
      </c>
      <c r="L25" s="423" t="e">
        <f ca="1">_xll.BLUEMATRIX2("/servlet/excelData",L24,$E$4,$D25&amp;":"&amp;L$14&amp;L$15&amp;":AN:NULL:FISCAL")</f>
        <v>#NAME?</v>
      </c>
      <c r="M25" s="423" t="e">
        <f ca="1">_xll.BLUEMATRIX2("/servlet/excelData",M24,$E$4,$D25&amp;":"&amp;M$14&amp;M$15&amp;":AN:NULL:FISCAL")</f>
        <v>#NAME?</v>
      </c>
      <c r="N25" s="423" t="e">
        <f ca="1">_xll.BLUEMATRIX2("/servlet/excelData",N24,$E$4,$D25&amp;":"&amp;N$14&amp;N$15&amp;":AN:NULL:FISCAL")</f>
        <v>#NAME?</v>
      </c>
    </row>
    <row r="26" spans="1:14" ht="15" x14ac:dyDescent="0.25">
      <c r="A26" s="435"/>
      <c r="B26" s="416" t="s">
        <v>444</v>
      </c>
      <c r="C26" s="439"/>
      <c r="D26" s="417" t="s">
        <v>445</v>
      </c>
      <c r="E26" s="437">
        <f>+'FC - 3FS'!AN81+'FC - 3FS'!AN80</f>
        <v>99306</v>
      </c>
      <c r="F26" s="437">
        <f>+'FC - 3FS'!AO81+'FC - 3FS'!AO80</f>
        <v>99325</v>
      </c>
      <c r="G26" s="437">
        <f>+'FC - 3FS'!AP81+'FC - 3FS'!AP80</f>
        <v>103070</v>
      </c>
      <c r="H26" s="437">
        <f>+'FC - 3FS'!AQ81+'FC - 3FS'!AQ80</f>
        <v>103486.18294971228</v>
      </c>
      <c r="I26" s="437">
        <f>+'FC - 3FS'!AR81+'FC - 3FS'!AR80</f>
        <v>110228.73679796355</v>
      </c>
      <c r="J26" s="437">
        <f>+'FC - 3FS'!AS81+'FC - 3FS'!AS80</f>
        <v>117410.59598245144</v>
      </c>
      <c r="K26" s="437"/>
      <c r="L26" s="438"/>
      <c r="M26" s="438"/>
      <c r="N26" s="438"/>
    </row>
    <row r="27" spans="1:14" ht="15" x14ac:dyDescent="0.25">
      <c r="A27" s="435"/>
      <c r="B27" s="420" t="s">
        <v>415</v>
      </c>
      <c r="C27" s="421"/>
      <c r="D27" s="436" t="s">
        <v>445</v>
      </c>
      <c r="E27" s="423" t="e">
        <f ca="1">_xll.BLUEMATRIX2("/servlet/excelData",E26,$E$4,$D27&amp;":"&amp;E$14&amp;E$15&amp;":AN:NULL:FISCAL")</f>
        <v>#NAME?</v>
      </c>
      <c r="F27" s="423" t="e">
        <f ca="1">_xll.BLUEMATRIX2("/servlet/excelData",F26,$E$4,$D27&amp;":"&amp;F$14&amp;F$15&amp;":AN:NULL:FISCAL")</f>
        <v>#NAME?</v>
      </c>
      <c r="G27" s="423" t="e">
        <f ca="1">_xll.BLUEMATRIX2("/servlet/excelData",G26,$E$4,$D27&amp;":"&amp;G$14&amp;G$15&amp;":AN:NULL:FISCAL")</f>
        <v>#NAME?</v>
      </c>
      <c r="H27" s="423" t="e">
        <f ca="1">_xll.BLUEMATRIX2("/servlet/excelData",H26,$E$4,$D27&amp;":"&amp;H$14&amp;H$15&amp;":AN:NULL:FISCAL")</f>
        <v>#NAME?</v>
      </c>
      <c r="I27" s="423" t="e">
        <f ca="1">_xll.BLUEMATRIX2("/servlet/excelData",I26,$E$4,$D27&amp;":"&amp;I$14&amp;I$15&amp;":AN:NULL:FISCAL")</f>
        <v>#NAME?</v>
      </c>
      <c r="J27" s="423" t="e">
        <f ca="1">_xll.BLUEMATRIX2("/servlet/excelData",J26,$E$4,$D27&amp;":"&amp;J$14&amp;J$15&amp;":AN:NULL:FISCAL")</f>
        <v>#NAME?</v>
      </c>
      <c r="K27" s="423" t="e">
        <f ca="1">_xll.BLUEMATRIX2("/servlet/excelData",K26,$E$4,$D27&amp;":"&amp;K$14&amp;K$15&amp;":AN:NULL:FISCAL")</f>
        <v>#NAME?</v>
      </c>
      <c r="L27" s="423" t="e">
        <f ca="1">_xll.BLUEMATRIX2("/servlet/excelData",L26,$E$4,$D27&amp;":"&amp;L$14&amp;L$15&amp;":AN:NULL:FISCAL")</f>
        <v>#NAME?</v>
      </c>
      <c r="M27" s="423" t="e">
        <f ca="1">_xll.BLUEMATRIX2("/servlet/excelData",M26,$E$4,$D27&amp;":"&amp;M$14&amp;M$15&amp;":AN:NULL:FISCAL")</f>
        <v>#NAME?</v>
      </c>
      <c r="N27" s="423" t="e">
        <f ca="1">_xll.BLUEMATRIX2("/servlet/excelData",N26,$E$4,$D27&amp;":"&amp;N$14&amp;N$15&amp;":AN:NULL:FISCAL")</f>
        <v>#NAME?</v>
      </c>
    </row>
    <row r="28" spans="1:14" ht="15" x14ac:dyDescent="0.25">
      <c r="A28" s="435"/>
      <c r="B28" s="416" t="s">
        <v>446</v>
      </c>
      <c r="C28" s="416" t="s">
        <v>447</v>
      </c>
      <c r="D28" s="417" t="s">
        <v>448</v>
      </c>
      <c r="E28" s="437">
        <f>'FC - 3FS'!AN76+'FC - 3FS'!AN77+'FC - 3FS'!AN78+'FC - 3FS'!AN82</f>
        <v>76604</v>
      </c>
      <c r="F28" s="437">
        <f>'FC - 3FS'!AO76+'FC - 3FS'!AO77+'FC - 3FS'!AO78+'FC - 3FS'!AO82</f>
        <v>72879</v>
      </c>
      <c r="G28" s="437">
        <f>'FC - 3FS'!AP76+'FC - 3FS'!AP77+'FC - 3FS'!AP78+'FC - 3FS'!AP82</f>
        <v>69231</v>
      </c>
      <c r="H28" s="437">
        <f>'FC - 3FS'!AQ76+'FC - 3FS'!AQ77+'FC - 3FS'!AQ78+'FC - 3FS'!AQ82</f>
        <v>69771.466863340436</v>
      </c>
      <c r="I28" s="437">
        <f>'FC - 3FS'!AR76+'FC - 3FS'!AR77+'FC - 3FS'!AR78+'FC - 3FS'!AR82</f>
        <v>66269.960815728191</v>
      </c>
      <c r="J28" s="437">
        <f>'FC - 3FS'!AS76+'FC - 3FS'!AS77+'FC - 3FS'!AS78+'FC - 3FS'!AS82</f>
        <v>61937.615879260105</v>
      </c>
      <c r="K28" s="437"/>
      <c r="L28" s="438"/>
      <c r="M28" s="438"/>
      <c r="N28" s="438"/>
    </row>
    <row r="29" spans="1:14" ht="12" customHeight="1" x14ac:dyDescent="0.25">
      <c r="A29" s="435"/>
      <c r="B29" s="420" t="s">
        <v>415</v>
      </c>
      <c r="C29" s="421"/>
      <c r="D29" s="436" t="s">
        <v>448</v>
      </c>
      <c r="E29" s="423" t="e">
        <f ca="1">_xll.BLUEMATRIX2("/servlet/excelData",E28,$E$4,$D29&amp;":"&amp;E$14&amp;E$15&amp;":AN:NULL:FISCAL")</f>
        <v>#NAME?</v>
      </c>
      <c r="F29" s="423" t="e">
        <f ca="1">_xll.BLUEMATRIX2("/servlet/excelData",F28,$E$4,$D29&amp;":"&amp;F$14&amp;F$15&amp;":AN:NULL:FISCAL")</f>
        <v>#NAME?</v>
      </c>
      <c r="G29" s="423" t="e">
        <f ca="1">_xll.BLUEMATRIX2("/servlet/excelData",G28,$E$4,$D29&amp;":"&amp;G$14&amp;G$15&amp;":AN:NULL:FISCAL")</f>
        <v>#NAME?</v>
      </c>
      <c r="H29" s="423" t="e">
        <f ca="1">_xll.BLUEMATRIX2("/servlet/excelData",H28,$E$4,$D29&amp;":"&amp;H$14&amp;H$15&amp;":AN:NULL:FISCAL")</f>
        <v>#NAME?</v>
      </c>
      <c r="I29" s="423" t="e">
        <f ca="1">_xll.BLUEMATRIX2("/servlet/excelData",I28,$E$4,$D29&amp;":"&amp;I$14&amp;I$15&amp;":AN:NULL:FISCAL")</f>
        <v>#NAME?</v>
      </c>
      <c r="J29" s="423" t="e">
        <f ca="1">_xll.BLUEMATRIX2("/servlet/excelData",J28,$E$4,$D29&amp;":"&amp;J$14&amp;J$15&amp;":AN:NULL:FISCAL")</f>
        <v>#NAME?</v>
      </c>
      <c r="K29" s="423" t="e">
        <f ca="1">_xll.BLUEMATRIX2("/servlet/excelData",K28,$E$4,$D29&amp;":"&amp;K$14&amp;K$15&amp;":AN:NULL:FISCAL")</f>
        <v>#NAME?</v>
      </c>
      <c r="L29" s="423" t="e">
        <f ca="1">_xll.BLUEMATRIX2("/servlet/excelData",L28,$E$4,$D29&amp;":"&amp;L$14&amp;L$15&amp;":AN:NULL:FISCAL")</f>
        <v>#NAME?</v>
      </c>
      <c r="M29" s="423" t="e">
        <f ca="1">_xll.BLUEMATRIX2("/servlet/excelData",M28,$E$4,$D29&amp;":"&amp;M$14&amp;M$15&amp;":AN:NULL:FISCAL")</f>
        <v>#NAME?</v>
      </c>
      <c r="N29" s="423" t="e">
        <f ca="1">_xll.BLUEMATRIX2("/servlet/excelData",N28,$E$4,$D29&amp;":"&amp;N$14&amp;N$15&amp;":AN:NULL:FISCAL")</f>
        <v>#NAME?</v>
      </c>
    </row>
    <row r="30" spans="1:14" s="415" customFormat="1" ht="15" x14ac:dyDescent="0.25">
      <c r="A30" s="435"/>
      <c r="B30" s="416" t="s">
        <v>449</v>
      </c>
      <c r="C30" s="416" t="s">
        <v>449</v>
      </c>
      <c r="D30" s="417" t="s">
        <v>450</v>
      </c>
      <c r="E30" s="437">
        <f>+E22-E24-E26-E28</f>
        <v>4127</v>
      </c>
      <c r="F30" s="437">
        <f t="shared" ref="F30:J30" si="1">+F22-F24-F26-F28</f>
        <v>4229</v>
      </c>
      <c r="G30" s="437">
        <f t="shared" si="1"/>
        <v>4325</v>
      </c>
      <c r="H30" s="437">
        <f t="shared" si="1"/>
        <v>9861.9999999999854</v>
      </c>
      <c r="I30" s="437">
        <f t="shared" si="1"/>
        <v>9862.0000000000291</v>
      </c>
      <c r="J30" s="437">
        <f t="shared" si="1"/>
        <v>9861.9999999999709</v>
      </c>
      <c r="K30" s="437"/>
      <c r="L30" s="438"/>
      <c r="M30" s="438"/>
      <c r="N30" s="438"/>
    </row>
    <row r="31" spans="1:14" s="415" customFormat="1" ht="12" customHeight="1" x14ac:dyDescent="0.25">
      <c r="A31" s="435"/>
      <c r="B31" s="420" t="s">
        <v>415</v>
      </c>
      <c r="C31" s="421"/>
      <c r="D31" s="436" t="s">
        <v>450</v>
      </c>
      <c r="E31" s="423" t="e">
        <f ca="1">_xll.BLUEMATRIX2("/servlet/excelData",E30,$E$4,$D31&amp;":"&amp;E$14&amp;E$15&amp;":AN:NULL:FISCAL")</f>
        <v>#NAME?</v>
      </c>
      <c r="F31" s="423" t="e">
        <f ca="1">_xll.BLUEMATRIX2("/servlet/excelData",F30,$E$4,$D31&amp;":"&amp;F$14&amp;F$15&amp;":AN:NULL:FISCAL")</f>
        <v>#NAME?</v>
      </c>
      <c r="G31" s="423" t="e">
        <f ca="1">_xll.BLUEMATRIX2("/servlet/excelData",G30,$E$4,$D31&amp;":"&amp;G$14&amp;G$15&amp;":AN:NULL:FISCAL")</f>
        <v>#NAME?</v>
      </c>
      <c r="H31" s="423" t="e">
        <f ca="1">_xll.BLUEMATRIX2("/servlet/excelData",H30,$E$4,$D31&amp;":"&amp;H$14&amp;H$15&amp;":AN:NULL:FISCAL")</f>
        <v>#NAME?</v>
      </c>
      <c r="I31" s="423" t="e">
        <f ca="1">_xll.BLUEMATRIX2("/servlet/excelData",I30,$E$4,$D31&amp;":"&amp;I$14&amp;I$15&amp;":AN:NULL:FISCAL")</f>
        <v>#NAME?</v>
      </c>
      <c r="J31" s="423" t="e">
        <f ca="1">_xll.BLUEMATRIX2("/servlet/excelData",J30,$E$4,$D31&amp;":"&amp;J$14&amp;J$15&amp;":AN:NULL:FISCAL")</f>
        <v>#NAME?</v>
      </c>
      <c r="K31" s="423" t="e">
        <f ca="1">_xll.BLUEMATRIX2("/servlet/excelData",K30,$E$4,$D31&amp;":"&amp;K$14&amp;K$15&amp;":AN:NULL:FISCAL")</f>
        <v>#NAME?</v>
      </c>
      <c r="L31" s="423" t="e">
        <f ca="1">_xll.BLUEMATRIX2("/servlet/excelData",L30,$E$4,$D31&amp;":"&amp;L$14&amp;L$15&amp;":AN:NULL:FISCAL")</f>
        <v>#NAME?</v>
      </c>
      <c r="M31" s="423" t="e">
        <f ca="1">_xll.BLUEMATRIX2("/servlet/excelData",M30,$E$4,$D31&amp;":"&amp;M$14&amp;M$15&amp;":AN:NULL:FISCAL")</f>
        <v>#NAME?</v>
      </c>
      <c r="N31" s="423" t="e">
        <f ca="1">_xll.BLUEMATRIX2("/servlet/excelData",N30,$E$4,$D31&amp;":"&amp;N$14&amp;N$15&amp;":AN:NULL:FISCAL")</f>
        <v>#NAME?</v>
      </c>
    </row>
    <row r="32" spans="1:14" s="415" customFormat="1" ht="15" x14ac:dyDescent="0.25">
      <c r="A32" s="435"/>
      <c r="B32" s="416" t="s">
        <v>451</v>
      </c>
      <c r="C32" s="416" t="s">
        <v>452</v>
      </c>
      <c r="D32" s="417" t="s">
        <v>453</v>
      </c>
      <c r="E32" s="437">
        <f>+'FC - 3FS'!AN97+'FC - 3FS'!AN98+'FC - 3FS'!AN99+'FC - 3FS'!AN101</f>
        <v>48774</v>
      </c>
      <c r="F32" s="437">
        <f>+'FC - 3FS'!AO97+'FC - 3FS'!AO98+'FC - 3FS'!AO99+'FC - 3FS'!AO101</f>
        <v>49404</v>
      </c>
      <c r="G32" s="437">
        <f>+'FC - 3FS'!AP97+'FC - 3FS'!AP98+'FC - 3FS'!AP99+'FC - 3FS'!AP101</f>
        <v>50772</v>
      </c>
      <c r="H32" s="437">
        <f>+'FC - 3FS'!AQ97+'FC - 3FS'!AQ98+'FC - 3FS'!AQ99+'FC - 3FS'!AQ101</f>
        <v>55216.862674795702</v>
      </c>
      <c r="I32" s="437">
        <f>+'FC - 3FS'!AR97+'FC - 3FS'!AR98+'FC - 3FS'!AR99+'FC - 3FS'!AR101</f>
        <v>59725.747017747111</v>
      </c>
      <c r="J32" s="437">
        <f>+'FC - 3FS'!AS97+'FC - 3FS'!AS98+'FC - 3FS'!AS99+'FC - 3FS'!AS101</f>
        <v>61557.316881699095</v>
      </c>
      <c r="K32" s="437"/>
      <c r="L32" s="438"/>
      <c r="M32" s="438"/>
      <c r="N32" s="438"/>
    </row>
    <row r="33" spans="1:14" s="415" customFormat="1" ht="12" customHeight="1" x14ac:dyDescent="0.25">
      <c r="A33" s="435"/>
      <c r="B33" s="420" t="s">
        <v>415</v>
      </c>
      <c r="C33" s="421"/>
      <c r="D33" s="436" t="s">
        <v>453</v>
      </c>
      <c r="E33" s="423" t="e">
        <f ca="1">_xll.BLUEMATRIX2("/servlet/excelData",E32,$E$4,$D33&amp;":"&amp;E$14&amp;E$15&amp;":AN:NULL:FISCAL")</f>
        <v>#NAME?</v>
      </c>
      <c r="F33" s="423" t="e">
        <f ca="1">_xll.BLUEMATRIX2("/servlet/excelData",F32,$E$4,$D33&amp;":"&amp;F$14&amp;F$15&amp;":AN:NULL:FISCAL")</f>
        <v>#NAME?</v>
      </c>
      <c r="G33" s="423" t="e">
        <f ca="1">_xll.BLUEMATRIX2("/servlet/excelData",G32,$E$4,$D33&amp;":"&amp;G$14&amp;G$15&amp;":AN:NULL:FISCAL")</f>
        <v>#NAME?</v>
      </c>
      <c r="H33" s="423" t="e">
        <f ca="1">_xll.BLUEMATRIX2("/servlet/excelData",H32,$E$4,$D33&amp;":"&amp;H$14&amp;H$15&amp;":AN:NULL:FISCAL")</f>
        <v>#NAME?</v>
      </c>
      <c r="I33" s="423" t="e">
        <f ca="1">_xll.BLUEMATRIX2("/servlet/excelData",I32,$E$4,$D33&amp;":"&amp;I$14&amp;I$15&amp;":AN:NULL:FISCAL")</f>
        <v>#NAME?</v>
      </c>
      <c r="J33" s="423" t="e">
        <f ca="1">_xll.BLUEMATRIX2("/servlet/excelData",J32,$E$4,$D33&amp;":"&amp;J$14&amp;J$15&amp;":AN:NULL:FISCAL")</f>
        <v>#NAME?</v>
      </c>
      <c r="K33" s="423" t="e">
        <f ca="1">_xll.BLUEMATRIX2("/servlet/excelData",K32,$E$4,$D33&amp;":"&amp;K$14&amp;K$15&amp;":AN:NULL:FISCAL")</f>
        <v>#NAME?</v>
      </c>
      <c r="L33" s="423" t="e">
        <f ca="1">_xll.BLUEMATRIX2("/servlet/excelData",L32,$E$4,$D33&amp;":"&amp;L$14&amp;L$15&amp;":AN:NULL:FISCAL")</f>
        <v>#NAME?</v>
      </c>
      <c r="M33" s="423" t="e">
        <f ca="1">_xll.BLUEMATRIX2("/servlet/excelData",M32,$E$4,$D33&amp;":"&amp;M$14&amp;M$15&amp;":AN:NULL:FISCAL")</f>
        <v>#NAME?</v>
      </c>
      <c r="N33" s="423" t="e">
        <f ca="1">_xll.BLUEMATRIX2("/servlet/excelData",N32,$E$4,$D33&amp;":"&amp;N$14&amp;N$15&amp;":AN:NULL:FISCAL")</f>
        <v>#NAME?</v>
      </c>
    </row>
    <row r="34" spans="1:14" ht="15" x14ac:dyDescent="0.25">
      <c r="A34" s="435"/>
      <c r="B34" s="416" t="s">
        <v>454</v>
      </c>
      <c r="C34" s="409" t="s">
        <v>455</v>
      </c>
      <c r="D34" s="417" t="s">
        <v>456</v>
      </c>
      <c r="E34" s="437">
        <f>'FC - 3FS'!AN110</f>
        <v>69656</v>
      </c>
      <c r="F34" s="437">
        <f>'FC - 3FS'!AO110</f>
        <v>64715</v>
      </c>
      <c r="G34" s="437">
        <f>'FC - 3FS'!AP110</f>
        <v>61741</v>
      </c>
      <c r="H34" s="437">
        <f>'FC - 3FS'!AQ110</f>
        <v>59397.085193570601</v>
      </c>
      <c r="I34" s="437">
        <f>'FC - 3FS'!AR110</f>
        <v>57644.471606005267</v>
      </c>
      <c r="J34" s="437">
        <f>'FC - 3FS'!AS110</f>
        <v>55442.773829297927</v>
      </c>
      <c r="K34" s="438"/>
      <c r="L34" s="438"/>
      <c r="M34" s="438"/>
      <c r="N34" s="438"/>
    </row>
    <row r="35" spans="1:14" ht="12" customHeight="1" x14ac:dyDescent="0.25">
      <c r="A35" s="435"/>
      <c r="B35" s="420" t="s">
        <v>415</v>
      </c>
      <c r="C35" s="421"/>
      <c r="D35" s="436" t="s">
        <v>456</v>
      </c>
      <c r="E35" s="423" t="e">
        <f ca="1">_xll.BLUEMATRIX2("/servlet/excelData",E34,$E$4,$D35&amp;":"&amp;E$14&amp;E$15&amp;":AN:NULL:FISCAL")</f>
        <v>#NAME?</v>
      </c>
      <c r="F35" s="423" t="e">
        <f ca="1">_xll.BLUEMATRIX2("/servlet/excelData",F34,$E$4,$D35&amp;":"&amp;F$14&amp;F$15&amp;":AN:NULL:FISCAL")</f>
        <v>#NAME?</v>
      </c>
      <c r="G35" s="423" t="e">
        <f ca="1">_xll.BLUEMATRIX2("/servlet/excelData",G34,$E$4,$D35&amp;":"&amp;G$14&amp;G$15&amp;":AN:NULL:FISCAL")</f>
        <v>#NAME?</v>
      </c>
      <c r="H35" s="423" t="e">
        <f ca="1">_xll.BLUEMATRIX2("/servlet/excelData",H34,$E$4,$D35&amp;":"&amp;H$14&amp;H$15&amp;":AN:NULL:FISCAL")</f>
        <v>#NAME?</v>
      </c>
      <c r="I35" s="423" t="e">
        <f ca="1">_xll.BLUEMATRIX2("/servlet/excelData",I34,$E$4,$D35&amp;":"&amp;I$14&amp;I$15&amp;":AN:NULL:FISCAL")</f>
        <v>#NAME?</v>
      </c>
      <c r="J35" s="423" t="e">
        <f ca="1">_xll.BLUEMATRIX2("/servlet/excelData",J34,$E$4,$D35&amp;":"&amp;J$14&amp;J$15&amp;":AN:NULL:FISCAL")</f>
        <v>#NAME?</v>
      </c>
      <c r="K35" s="423" t="e">
        <f ca="1">_xll.BLUEMATRIX2("/servlet/excelData",K34,$E$4,$D35&amp;":"&amp;K$14&amp;K$15&amp;":AN:NULL:FISCAL")</f>
        <v>#NAME?</v>
      </c>
      <c r="L35" s="423" t="e">
        <f ca="1">_xll.BLUEMATRIX2("/servlet/excelData",L34,$E$4,$D35&amp;":"&amp;L$14&amp;L$15&amp;":AN:NULL:FISCAL")</f>
        <v>#NAME?</v>
      </c>
      <c r="M35" s="423" t="e">
        <f ca="1">_xll.BLUEMATRIX2("/servlet/excelData",M34,$E$4,$D35&amp;":"&amp;M$14&amp;M$15&amp;":AN:NULL:FISCAL")</f>
        <v>#NAME?</v>
      </c>
      <c r="N35" s="423" t="e">
        <f ca="1">_xll.BLUEMATRIX2("/servlet/excelData",N34,$E$4,$D35&amp;":"&amp;N$14&amp;N$15&amp;":AN:NULL:FISCAL")</f>
        <v>#NAME?</v>
      </c>
    </row>
    <row r="36" spans="1:14" s="415" customFormat="1" ht="15" x14ac:dyDescent="0.25">
      <c r="A36" s="435"/>
      <c r="B36" s="416" t="s">
        <v>457</v>
      </c>
      <c r="C36" s="409" t="s">
        <v>458</v>
      </c>
      <c r="D36" s="417" t="s">
        <v>457</v>
      </c>
      <c r="E36" s="437"/>
      <c r="F36" s="437"/>
      <c r="G36" s="437"/>
      <c r="H36" s="437"/>
      <c r="I36" s="437"/>
      <c r="J36" s="437"/>
      <c r="K36" s="438"/>
      <c r="L36" s="438"/>
      <c r="M36" s="438"/>
      <c r="N36" s="438"/>
    </row>
    <row r="37" spans="1:14" s="415" customFormat="1" ht="12" customHeight="1" x14ac:dyDescent="0.25">
      <c r="A37" s="435"/>
      <c r="B37" s="420" t="s">
        <v>415</v>
      </c>
      <c r="C37" s="421"/>
      <c r="D37" s="436" t="s">
        <v>457</v>
      </c>
      <c r="E37" s="423" t="e">
        <f ca="1">_xll.BLUEMATRIX2("/servlet/excelData",E36,$E$4,$D37&amp;":"&amp;E$14&amp;E$15&amp;":AN:NULL:FISCAL")</f>
        <v>#NAME?</v>
      </c>
      <c r="F37" s="423" t="e">
        <f ca="1">_xll.BLUEMATRIX2("/servlet/excelData",F36,$E$4,$D37&amp;":"&amp;F$14&amp;F$15&amp;":AN:NULL:FISCAL")</f>
        <v>#NAME?</v>
      </c>
      <c r="G37" s="423" t="e">
        <f ca="1">_xll.BLUEMATRIX2("/servlet/excelData",G36,$E$4,$D37&amp;":"&amp;G$14&amp;G$15&amp;":AN:NULL:FISCAL")</f>
        <v>#NAME?</v>
      </c>
      <c r="H37" s="423" t="e">
        <f ca="1">_xll.BLUEMATRIX2("/servlet/excelData",H36,$E$4,$D37&amp;":"&amp;H$14&amp;H$15&amp;":AN:NULL:FISCAL")</f>
        <v>#NAME?</v>
      </c>
      <c r="I37" s="423" t="e">
        <f ca="1">_xll.BLUEMATRIX2("/servlet/excelData",I36,$E$4,$D37&amp;":"&amp;I$14&amp;I$15&amp;":AN:NULL:FISCAL")</f>
        <v>#NAME?</v>
      </c>
      <c r="J37" s="423" t="e">
        <f ca="1">_xll.BLUEMATRIX2("/servlet/excelData",J36,$E$4,$D37&amp;":"&amp;J$14&amp;J$15&amp;":AN:NULL:FISCAL")</f>
        <v>#NAME?</v>
      </c>
      <c r="K37" s="423" t="e">
        <f ca="1">_xll.BLUEMATRIX2("/servlet/excelData",K36,$E$4,$D37&amp;":"&amp;K$14&amp;K$15&amp;":AN:NULL:FISCAL")</f>
        <v>#NAME?</v>
      </c>
      <c r="L37" s="423" t="e">
        <f ca="1">_xll.BLUEMATRIX2("/servlet/excelData",L36,$E$4,$D37&amp;":"&amp;L$14&amp;L$15&amp;":AN:NULL:FISCAL")</f>
        <v>#NAME?</v>
      </c>
      <c r="M37" s="423" t="e">
        <f ca="1">_xll.BLUEMATRIX2("/servlet/excelData",M36,$E$4,$D37&amp;":"&amp;M$14&amp;M$15&amp;":AN:NULL:FISCAL")</f>
        <v>#NAME?</v>
      </c>
      <c r="N37" s="423" t="e">
        <f ca="1">_xll.BLUEMATRIX2("/servlet/excelData",N36,$E$4,$D37&amp;":"&amp;N$14&amp;N$15&amp;":AN:NULL:FISCAL")</f>
        <v>#NAME?</v>
      </c>
    </row>
    <row r="38" spans="1:14" s="415" customFormat="1" ht="15" x14ac:dyDescent="0.25">
      <c r="A38" s="435"/>
      <c r="B38" s="416" t="s">
        <v>459</v>
      </c>
      <c r="C38" s="409" t="s">
        <v>460</v>
      </c>
      <c r="D38" s="417" t="s">
        <v>461</v>
      </c>
      <c r="E38" s="438"/>
      <c r="F38" s="438"/>
      <c r="G38" s="438"/>
      <c r="H38" s="438"/>
      <c r="I38" s="438"/>
      <c r="J38" s="438"/>
      <c r="K38" s="438"/>
      <c r="L38" s="438"/>
      <c r="M38" s="438"/>
      <c r="N38" s="438"/>
    </row>
    <row r="39" spans="1:14" s="415" customFormat="1" ht="12" customHeight="1" x14ac:dyDescent="0.25">
      <c r="A39" s="435"/>
      <c r="B39" s="420" t="s">
        <v>415</v>
      </c>
      <c r="C39" s="421"/>
      <c r="D39" s="436" t="s">
        <v>461</v>
      </c>
      <c r="E39" s="423" t="e">
        <f ca="1">_xll.BLUEMATRIX2("/servlet/excelData",E38,$E$4,$D39&amp;":"&amp;E$14&amp;E$15&amp;":AN:NULL:FISCAL")</f>
        <v>#NAME?</v>
      </c>
      <c r="F39" s="423" t="e">
        <f ca="1">_xll.BLUEMATRIX2("/servlet/excelData",F38,$E$4,$D39&amp;":"&amp;F$14&amp;F$15&amp;":AN:NULL:FISCAL")</f>
        <v>#NAME?</v>
      </c>
      <c r="G39" s="423" t="e">
        <f ca="1">_xll.BLUEMATRIX2("/servlet/excelData",G38,$E$4,$D39&amp;":"&amp;G$14&amp;G$15&amp;":AN:NULL:FISCAL")</f>
        <v>#NAME?</v>
      </c>
      <c r="H39" s="423" t="e">
        <f ca="1">_xll.BLUEMATRIX2("/servlet/excelData",H38,$E$4,$D39&amp;":"&amp;H$14&amp;H$15&amp;":AN:NULL:FISCAL")</f>
        <v>#NAME?</v>
      </c>
      <c r="I39" s="423" t="e">
        <f ca="1">_xll.BLUEMATRIX2("/servlet/excelData",I38,$E$4,$D39&amp;":"&amp;I$14&amp;I$15&amp;":AN:NULL:FISCAL")</f>
        <v>#NAME?</v>
      </c>
      <c r="J39" s="423" t="e">
        <f ca="1">_xll.BLUEMATRIX2("/servlet/excelData",J38,$E$4,$D39&amp;":"&amp;J$14&amp;J$15&amp;":AN:NULL:FISCAL")</f>
        <v>#NAME?</v>
      </c>
      <c r="K39" s="423" t="e">
        <f ca="1">_xll.BLUEMATRIX2("/servlet/excelData",K38,$E$4,$D39&amp;":"&amp;K$14&amp;K$15&amp;":AN:NULL:FISCAL")</f>
        <v>#NAME?</v>
      </c>
      <c r="L39" s="423" t="e">
        <f ca="1">_xll.BLUEMATRIX2("/servlet/excelData",L38,$E$4,$D39&amp;":"&amp;L$14&amp;L$15&amp;":AN:NULL:FISCAL")</f>
        <v>#NAME?</v>
      </c>
      <c r="M39" s="423" t="e">
        <f ca="1">_xll.BLUEMATRIX2("/servlet/excelData",M38,$E$4,$D39&amp;":"&amp;M$14&amp;M$15&amp;":AN:NULL:FISCAL")</f>
        <v>#NAME?</v>
      </c>
      <c r="N39" s="423" t="e">
        <f ca="1">_xll.BLUEMATRIX2("/servlet/excelData",N38,$E$4,$D39&amp;":"&amp;N$14&amp;N$15&amp;":AN:NULL:FISCAL")</f>
        <v>#NAME?</v>
      </c>
    </row>
    <row r="40" spans="1:14" s="415" customFormat="1" ht="15" x14ac:dyDescent="0.25">
      <c r="A40" s="435"/>
      <c r="B40" s="416" t="s">
        <v>462</v>
      </c>
      <c r="C40" s="409" t="s">
        <v>463</v>
      </c>
      <c r="D40" s="417" t="s">
        <v>464</v>
      </c>
      <c r="E40" s="438"/>
      <c r="F40" s="438"/>
      <c r="G40" s="438"/>
      <c r="H40" s="438"/>
      <c r="I40" s="438"/>
      <c r="J40" s="438"/>
      <c r="K40" s="438"/>
      <c r="L40" s="438"/>
      <c r="M40" s="438"/>
      <c r="N40" s="438"/>
    </row>
    <row r="41" spans="1:14" s="415" customFormat="1" ht="12" customHeight="1" x14ac:dyDescent="0.25">
      <c r="A41" s="435"/>
      <c r="B41" s="420" t="s">
        <v>415</v>
      </c>
      <c r="C41" s="421"/>
      <c r="D41" s="436" t="s">
        <v>464</v>
      </c>
      <c r="E41" s="423" t="e">
        <f ca="1">_xll.BLUEMATRIX2("/servlet/excelData",E40,$E$4,$D41&amp;":"&amp;E$14&amp;E$15&amp;":AN:NULL:FISCAL")</f>
        <v>#NAME?</v>
      </c>
      <c r="F41" s="423" t="e">
        <f ca="1">_xll.BLUEMATRIX2("/servlet/excelData",F40,$E$4,$D41&amp;":"&amp;F$14&amp;F$15&amp;":AN:NULL:FISCAL")</f>
        <v>#NAME?</v>
      </c>
      <c r="G41" s="423" t="e">
        <f ca="1">_xll.BLUEMATRIX2("/servlet/excelData",G40,$E$4,$D41&amp;":"&amp;G$14&amp;G$15&amp;":AN:NULL:FISCAL")</f>
        <v>#NAME?</v>
      </c>
      <c r="H41" s="423" t="e">
        <f ca="1">_xll.BLUEMATRIX2("/servlet/excelData",H40,$E$4,$D41&amp;":"&amp;H$14&amp;H$15&amp;":AN:NULL:FISCAL")</f>
        <v>#NAME?</v>
      </c>
      <c r="I41" s="423" t="e">
        <f ca="1">_xll.BLUEMATRIX2("/servlet/excelData",I40,$E$4,$D41&amp;":"&amp;I$14&amp;I$15&amp;":AN:NULL:FISCAL")</f>
        <v>#NAME?</v>
      </c>
      <c r="J41" s="423" t="e">
        <f ca="1">_xll.BLUEMATRIX2("/servlet/excelData",J40,$E$4,$D41&amp;":"&amp;J$14&amp;J$15&amp;":AN:NULL:FISCAL")</f>
        <v>#NAME?</v>
      </c>
      <c r="K41" s="423" t="e">
        <f ca="1">_xll.BLUEMATRIX2("/servlet/excelData",K40,$E$4,$D41&amp;":"&amp;K$14&amp;K$15&amp;":AN:NULL:FISCAL")</f>
        <v>#NAME?</v>
      </c>
      <c r="L41" s="423" t="e">
        <f ca="1">_xll.BLUEMATRIX2("/servlet/excelData",L40,$E$4,$D41&amp;":"&amp;L$14&amp;L$15&amp;":AN:NULL:FISCAL")</f>
        <v>#NAME?</v>
      </c>
      <c r="M41" s="423" t="e">
        <f ca="1">_xll.BLUEMATRIX2("/servlet/excelData",M40,$E$4,$D41&amp;":"&amp;M$14&amp;M$15&amp;":AN:NULL:FISCAL")</f>
        <v>#NAME?</v>
      </c>
      <c r="N41" s="423" t="e">
        <f ca="1">_xll.BLUEMATRIX2("/servlet/excelData",N40,$E$4,$D41&amp;":"&amp;N$14&amp;N$15&amp;":AN:NULL:FISCAL")</f>
        <v>#NAME?</v>
      </c>
    </row>
    <row r="42" spans="1:14" ht="15" customHeight="1" x14ac:dyDescent="0.25">
      <c r="A42" s="435"/>
      <c r="B42" s="416" t="s">
        <v>465</v>
      </c>
      <c r="C42" s="409" t="s">
        <v>466</v>
      </c>
      <c r="D42" s="417" t="s">
        <v>467</v>
      </c>
      <c r="E42" s="437">
        <f>'FC - 3FS'!AN75-'FC - 3FS'!AN94</f>
        <v>-5675</v>
      </c>
      <c r="F42" s="437">
        <f>'FC - 3FS'!AO75-'FC - 3FS'!AO94</f>
        <v>-1913</v>
      </c>
      <c r="G42" s="437">
        <f>'FC - 3FS'!AP75-'FC - 3FS'!AP94</f>
        <v>-1770</v>
      </c>
      <c r="H42" s="437">
        <f>'FC - 3FS'!AQ75-'FC - 3FS'!AQ94</f>
        <v>-3411.550121856355</v>
      </c>
      <c r="I42" s="437">
        <f>'FC - 3FS'!AR75-'FC - 3FS'!AR94</f>
        <v>2409.3922732169267</v>
      </c>
      <c r="J42" s="437">
        <f>'FC - 3FS'!AS75-'FC - 3FS'!AS94</f>
        <v>6017.6526182812522</v>
      </c>
      <c r="K42" s="438"/>
      <c r="L42" s="438"/>
      <c r="M42" s="438"/>
      <c r="N42" s="438"/>
    </row>
    <row r="43" spans="1:14" ht="15" customHeight="1" x14ac:dyDescent="0.25">
      <c r="A43" s="435"/>
      <c r="B43" s="420" t="s">
        <v>415</v>
      </c>
      <c r="C43" s="421"/>
      <c r="D43" s="436" t="s">
        <v>467</v>
      </c>
      <c r="E43" s="423" t="e">
        <f ca="1">_xll.BLUEMATRIX2("/servlet/excelData",E42,$E$4,$D43&amp;":"&amp;E$14&amp;E$15&amp;":AN:NULL:FISCAL")</f>
        <v>#NAME?</v>
      </c>
      <c r="F43" s="423" t="e">
        <f ca="1">_xll.BLUEMATRIX2("/servlet/excelData",F42,$E$4,$D43&amp;":"&amp;F$14&amp;F$15&amp;":AN:NULL:FISCAL")</f>
        <v>#NAME?</v>
      </c>
      <c r="G43" s="423" t="e">
        <f ca="1">_xll.BLUEMATRIX2("/servlet/excelData",G42,$E$4,$D43&amp;":"&amp;G$14&amp;G$15&amp;":AN:NULL:FISCAL")</f>
        <v>#NAME?</v>
      </c>
      <c r="H43" s="423" t="e">
        <f ca="1">_xll.BLUEMATRIX2("/servlet/excelData",H42,$E$4,$D43&amp;":"&amp;H$14&amp;H$15&amp;":AN:NULL:FISCAL")</f>
        <v>#NAME?</v>
      </c>
      <c r="I43" s="423" t="e">
        <f ca="1">_xll.BLUEMATRIX2("/servlet/excelData",I42,$E$4,$D43&amp;":"&amp;I$14&amp;I$15&amp;":AN:NULL:FISCAL")</f>
        <v>#NAME?</v>
      </c>
      <c r="J43" s="423" t="e">
        <f ca="1">_xll.BLUEMATRIX2("/servlet/excelData",J42,$E$4,$D43&amp;":"&amp;J$14&amp;J$15&amp;":AN:NULL:FISCAL")</f>
        <v>#NAME?</v>
      </c>
      <c r="K43" s="423" t="e">
        <f ca="1">_xll.BLUEMATRIX2("/servlet/excelData",K42,$E$4,$D43&amp;":"&amp;K$14&amp;K$15&amp;":AN:NULL:FISCAL")</f>
        <v>#NAME?</v>
      </c>
      <c r="L43" s="423" t="e">
        <f ca="1">_xll.BLUEMATRIX2("/servlet/excelData",L42,$E$4,$D43&amp;":"&amp;L$14&amp;L$15&amp;":AN:NULL:FISCAL")</f>
        <v>#NAME?</v>
      </c>
      <c r="M43" s="423" t="e">
        <f ca="1">_xll.BLUEMATRIX2("/servlet/excelData",M42,$E$4,$D43&amp;":"&amp;M$14&amp;M$15&amp;":AN:NULL:FISCAL")</f>
        <v>#NAME?</v>
      </c>
      <c r="N43" s="423" t="e">
        <f ca="1">_xll.BLUEMATRIX2("/servlet/excelData",N42,$E$4,$D43&amp;":"&amp;N$14&amp;N$15&amp;":AN:NULL:FISCAL")</f>
        <v>#NAME?</v>
      </c>
    </row>
    <row r="44" spans="1:14" s="415" customFormat="1" ht="15" x14ac:dyDescent="0.25">
      <c r="A44" s="435"/>
      <c r="B44" s="416" t="s">
        <v>468</v>
      </c>
      <c r="C44" s="409" t="s">
        <v>469</v>
      </c>
      <c r="D44" s="417" t="s">
        <v>470</v>
      </c>
      <c r="E44" s="437">
        <f>+'BS Drivers'!AN99</f>
        <v>69984.530474061612</v>
      </c>
      <c r="F44" s="437">
        <f>+'BS Drivers'!AO99</f>
        <v>72379.553049447626</v>
      </c>
      <c r="G44" s="437">
        <f>+'BS Drivers'!AP99</f>
        <v>75182.55713632812</v>
      </c>
      <c r="H44" s="437">
        <f>+'BS Drivers'!AQ99</f>
        <v>84419.11939116157</v>
      </c>
      <c r="I44" s="437">
        <f>+'BS Drivers'!AR99</f>
        <v>85577.744233142061</v>
      </c>
      <c r="J44" s="437">
        <f>+'BS Drivers'!AS99</f>
        <v>89231.804015405767</v>
      </c>
      <c r="K44" s="438"/>
      <c r="L44" s="438"/>
      <c r="M44" s="438"/>
      <c r="N44" s="438"/>
    </row>
    <row r="45" spans="1:14" s="415" customFormat="1" ht="12" customHeight="1" x14ac:dyDescent="0.25">
      <c r="A45" s="435"/>
      <c r="B45" s="420" t="s">
        <v>415</v>
      </c>
      <c r="C45" s="421"/>
      <c r="D45" s="436" t="s">
        <v>470</v>
      </c>
      <c r="E45" s="423" t="e">
        <f ca="1">_xll.BLUEMATRIX2("/servlet/excelData",E44,$E$4,$D45&amp;":"&amp;E$14&amp;E$15&amp;":AN:NULL:FISCAL")</f>
        <v>#NAME?</v>
      </c>
      <c r="F45" s="423" t="e">
        <f ca="1">_xll.BLUEMATRIX2("/servlet/excelData",F44,$E$4,$D45&amp;":"&amp;F$14&amp;F$15&amp;":AN:NULL:FISCAL")</f>
        <v>#NAME?</v>
      </c>
      <c r="G45" s="423" t="e">
        <f ca="1">_xll.BLUEMATRIX2("/servlet/excelData",G44,$E$4,$D45&amp;":"&amp;G$14&amp;G$15&amp;":AN:NULL:FISCAL")</f>
        <v>#NAME?</v>
      </c>
      <c r="H45" s="423" t="e">
        <f ca="1">_xll.BLUEMATRIX2("/servlet/excelData",H44,$E$4,$D45&amp;":"&amp;H$14&amp;H$15&amp;":AN:NULL:FISCAL")</f>
        <v>#NAME?</v>
      </c>
      <c r="I45" s="423" t="e">
        <f ca="1">_xll.BLUEMATRIX2("/servlet/excelData",I44,$E$4,$D45&amp;":"&amp;I$14&amp;I$15&amp;":AN:NULL:FISCAL")</f>
        <v>#NAME?</v>
      </c>
      <c r="J45" s="423" t="e">
        <f ca="1">_xll.BLUEMATRIX2("/servlet/excelData",J44,$E$4,$D45&amp;":"&amp;J$14&amp;J$15&amp;":AN:NULL:FISCAL")</f>
        <v>#NAME?</v>
      </c>
      <c r="K45" s="423" t="e">
        <f ca="1">_xll.BLUEMATRIX2("/servlet/excelData",K44,$E$4,$D45&amp;":"&amp;K$14&amp;K$15&amp;":AN:NULL:FISCAL")</f>
        <v>#NAME?</v>
      </c>
      <c r="L45" s="423" t="e">
        <f ca="1">_xll.BLUEMATRIX2("/servlet/excelData",L44,$E$4,$D45&amp;":"&amp;L$14&amp;L$15&amp;":AN:NULL:FISCAL")</f>
        <v>#NAME?</v>
      </c>
      <c r="M45" s="423" t="e">
        <f ca="1">_xll.BLUEMATRIX2("/servlet/excelData",M44,$E$4,$D45&amp;":"&amp;M$14&amp;M$15&amp;":AN:NULL:FISCAL")</f>
        <v>#NAME?</v>
      </c>
      <c r="N45" s="423" t="e">
        <f ca="1">_xll.BLUEMATRIX2("/servlet/excelData",N44,$E$4,$D45&amp;":"&amp;N$14&amp;N$15&amp;":AN:NULL:FISCAL")</f>
        <v>#NAME?</v>
      </c>
    </row>
    <row r="46" spans="1:14" s="415" customFormat="1" ht="15" x14ac:dyDescent="0.25">
      <c r="A46" s="435"/>
      <c r="B46" s="416" t="s">
        <v>471</v>
      </c>
      <c r="C46" s="409" t="s">
        <v>472</v>
      </c>
      <c r="D46" s="417" t="s">
        <v>473</v>
      </c>
      <c r="E46" s="438"/>
      <c r="F46" s="438"/>
      <c r="G46" s="438"/>
      <c r="H46" s="438"/>
      <c r="I46" s="438"/>
      <c r="J46" s="438"/>
      <c r="K46" s="438"/>
      <c r="L46" s="438"/>
      <c r="M46" s="438"/>
      <c r="N46" s="438"/>
    </row>
    <row r="47" spans="1:14" s="415" customFormat="1" ht="12" customHeight="1" x14ac:dyDescent="0.25">
      <c r="A47" s="435"/>
      <c r="B47" s="420" t="s">
        <v>415</v>
      </c>
      <c r="C47" s="421"/>
      <c r="D47" s="436" t="s">
        <v>473</v>
      </c>
      <c r="E47" s="423" t="e">
        <f ca="1">_xll.BLUEMATRIX2("/servlet/excelData",E46,$E$4,$D47&amp;":"&amp;E$14&amp;E$15&amp;":AN:NULL:FISCAL")</f>
        <v>#NAME?</v>
      </c>
      <c r="F47" s="423" t="e">
        <f ca="1">_xll.BLUEMATRIX2("/servlet/excelData",F46,$E$4,$D47&amp;":"&amp;F$14&amp;F$15&amp;":AN:NULL:FISCAL")</f>
        <v>#NAME?</v>
      </c>
      <c r="G47" s="423" t="e">
        <f ca="1">_xll.BLUEMATRIX2("/servlet/excelData",G46,$E$4,$D47&amp;":"&amp;G$14&amp;G$15&amp;":AN:NULL:FISCAL")</f>
        <v>#NAME?</v>
      </c>
      <c r="H47" s="423" t="e">
        <f ca="1">_xll.BLUEMATRIX2("/servlet/excelData",H46,$E$4,$D47&amp;":"&amp;H$14&amp;H$15&amp;":AN:NULL:FISCAL")</f>
        <v>#NAME?</v>
      </c>
      <c r="I47" s="423" t="e">
        <f ca="1">_xll.BLUEMATRIX2("/servlet/excelData",I46,$E$4,$D47&amp;":"&amp;I$14&amp;I$15&amp;":AN:NULL:FISCAL")</f>
        <v>#NAME?</v>
      </c>
      <c r="J47" s="423" t="e">
        <f ca="1">_xll.BLUEMATRIX2("/servlet/excelData",J46,$E$4,$D47&amp;":"&amp;J$14&amp;J$15&amp;":AN:NULL:FISCAL")</f>
        <v>#NAME?</v>
      </c>
      <c r="K47" s="423" t="e">
        <f ca="1">_xll.BLUEMATRIX2("/servlet/excelData",K46,$E$4,$D47&amp;":"&amp;K$14&amp;K$15&amp;":AN:NULL:FISCAL")</f>
        <v>#NAME?</v>
      </c>
      <c r="L47" s="423" t="e">
        <f ca="1">_xll.BLUEMATRIX2("/servlet/excelData",L46,$E$4,$D47&amp;":"&amp;L$14&amp;L$15&amp;":AN:NULL:FISCAL")</f>
        <v>#NAME?</v>
      </c>
      <c r="M47" s="423" t="e">
        <f ca="1">_xll.BLUEMATRIX2("/servlet/excelData",M46,$E$4,$D47&amp;":"&amp;M$14&amp;M$15&amp;":AN:NULL:FISCAL")</f>
        <v>#NAME?</v>
      </c>
      <c r="N47" s="423" t="e">
        <f ca="1">_xll.BLUEMATRIX2("/servlet/excelData",N46,$E$4,$D47&amp;":"&amp;N$14&amp;N$15&amp;":AN:NULL:FISCAL")</f>
        <v>#NAME?</v>
      </c>
    </row>
    <row r="48" spans="1:14" s="415" customFormat="1" ht="15" x14ac:dyDescent="0.25">
      <c r="A48" s="435"/>
      <c r="B48" s="416" t="s">
        <v>474</v>
      </c>
      <c r="C48" s="416" t="s">
        <v>475</v>
      </c>
      <c r="D48" s="417" t="s">
        <v>476</v>
      </c>
      <c r="E48" s="438"/>
      <c r="F48" s="438"/>
      <c r="G48" s="438"/>
      <c r="H48" s="438"/>
      <c r="I48" s="438"/>
      <c r="J48" s="438"/>
      <c r="K48" s="438"/>
      <c r="L48" s="438"/>
      <c r="M48" s="438"/>
      <c r="N48" s="438"/>
    </row>
    <row r="49" spans="1:14" s="415" customFormat="1" ht="12" customHeight="1" x14ac:dyDescent="0.25">
      <c r="A49" s="435"/>
      <c r="B49" s="420" t="s">
        <v>415</v>
      </c>
      <c r="C49" s="421"/>
      <c r="D49" s="436" t="s">
        <v>476</v>
      </c>
      <c r="E49" s="423" t="e">
        <f ca="1">_xll.BLUEMATRIX2("/servlet/excelData",E48,$E$4,$D49&amp;":"&amp;E$14&amp;E$15&amp;":AN:NULL:FISCAL")</f>
        <v>#NAME?</v>
      </c>
      <c r="F49" s="423" t="e">
        <f ca="1">_xll.BLUEMATRIX2("/servlet/excelData",F48,$E$4,$D49&amp;":"&amp;F$14&amp;F$15&amp;":AN:NULL:FISCAL")</f>
        <v>#NAME?</v>
      </c>
      <c r="G49" s="423" t="e">
        <f ca="1">_xll.BLUEMATRIX2("/servlet/excelData",G48,$E$4,$D49&amp;":"&amp;G$14&amp;G$15&amp;":AN:NULL:FISCAL")</f>
        <v>#NAME?</v>
      </c>
      <c r="H49" s="423" t="e">
        <f ca="1">_xll.BLUEMATRIX2("/servlet/excelData",H48,$E$4,$D49&amp;":"&amp;H$14&amp;H$15&amp;":AN:NULL:FISCAL")</f>
        <v>#NAME?</v>
      </c>
      <c r="I49" s="423" t="e">
        <f ca="1">_xll.BLUEMATRIX2("/servlet/excelData",I48,$E$4,$D49&amp;":"&amp;I$14&amp;I$15&amp;":AN:NULL:FISCAL")</f>
        <v>#NAME?</v>
      </c>
      <c r="J49" s="423" t="e">
        <f ca="1">_xll.BLUEMATRIX2("/servlet/excelData",J48,$E$4,$D49&amp;":"&amp;J$14&amp;J$15&amp;":AN:NULL:FISCAL")</f>
        <v>#NAME?</v>
      </c>
      <c r="K49" s="423" t="e">
        <f ca="1">_xll.BLUEMATRIX2("/servlet/excelData",K48,$E$4,$D49&amp;":"&amp;K$14&amp;K$15&amp;":AN:NULL:FISCAL")</f>
        <v>#NAME?</v>
      </c>
      <c r="L49" s="423" t="e">
        <f ca="1">_xll.BLUEMATRIX2("/servlet/excelData",L48,$E$4,$D49&amp;":"&amp;L$14&amp;L$15&amp;":AN:NULL:FISCAL")</f>
        <v>#NAME?</v>
      </c>
      <c r="M49" s="423" t="e">
        <f ca="1">_xll.BLUEMATRIX2("/servlet/excelData",M48,$E$4,$D49&amp;":"&amp;M$14&amp;M$15&amp;":AN:NULL:FISCAL")</f>
        <v>#NAME?</v>
      </c>
      <c r="N49" s="423" t="e">
        <f ca="1">_xll.BLUEMATRIX2("/servlet/excelData",N48,$E$4,$D49&amp;":"&amp;N$14&amp;N$15&amp;":AN:NULL:FISCAL")</f>
        <v>#NAME?</v>
      </c>
    </row>
    <row r="50" spans="1:14" s="415" customFormat="1" ht="15" x14ac:dyDescent="0.25">
      <c r="A50" s="435"/>
      <c r="B50" s="416" t="s">
        <v>477</v>
      </c>
      <c r="C50" s="416" t="s">
        <v>475</v>
      </c>
      <c r="D50" s="417" t="s">
        <v>478</v>
      </c>
      <c r="E50" s="438"/>
      <c r="F50" s="438"/>
      <c r="G50" s="438"/>
      <c r="H50" s="438"/>
      <c r="I50" s="438"/>
      <c r="J50" s="438"/>
      <c r="K50" s="438"/>
      <c r="L50" s="438"/>
      <c r="M50" s="438"/>
      <c r="N50" s="438"/>
    </row>
    <row r="51" spans="1:14" s="415" customFormat="1" ht="12" customHeight="1" x14ac:dyDescent="0.25">
      <c r="A51" s="435"/>
      <c r="B51" s="420" t="s">
        <v>415</v>
      </c>
      <c r="C51" s="421"/>
      <c r="D51" s="436" t="s">
        <v>478</v>
      </c>
      <c r="E51" s="423" t="e">
        <f ca="1">_xll.BLUEMATRIX2("/servlet/excelData",E50,$E$4,$D51&amp;":"&amp;E$14&amp;E$15&amp;":AN:NULL:FISCAL")</f>
        <v>#NAME?</v>
      </c>
      <c r="F51" s="423" t="e">
        <f ca="1">_xll.BLUEMATRIX2("/servlet/excelData",F50,$E$4,$D51&amp;":"&amp;F$14&amp;F$15&amp;":AN:NULL:FISCAL")</f>
        <v>#NAME?</v>
      </c>
      <c r="G51" s="423" t="e">
        <f ca="1">_xll.BLUEMATRIX2("/servlet/excelData",G50,$E$4,$D51&amp;":"&amp;G$14&amp;G$15&amp;":AN:NULL:FISCAL")</f>
        <v>#NAME?</v>
      </c>
      <c r="H51" s="423" t="e">
        <f ca="1">_xll.BLUEMATRIX2("/servlet/excelData",H50,$E$4,$D51&amp;":"&amp;H$14&amp;H$15&amp;":AN:NULL:FISCAL")</f>
        <v>#NAME?</v>
      </c>
      <c r="I51" s="423" t="e">
        <f ca="1">_xll.BLUEMATRIX2("/servlet/excelData",I50,$E$4,$D51&amp;":"&amp;I$14&amp;I$15&amp;":AN:NULL:FISCAL")</f>
        <v>#NAME?</v>
      </c>
      <c r="J51" s="423" t="e">
        <f ca="1">_xll.BLUEMATRIX2("/servlet/excelData",J50,$E$4,$D51&amp;":"&amp;J$14&amp;J$15&amp;":AN:NULL:FISCAL")</f>
        <v>#NAME?</v>
      </c>
      <c r="K51" s="423" t="e">
        <f ca="1">_xll.BLUEMATRIX2("/servlet/excelData",K50,$E$4,$D51&amp;":"&amp;K$14&amp;K$15&amp;":AN:NULL:FISCAL")</f>
        <v>#NAME?</v>
      </c>
      <c r="L51" s="423" t="e">
        <f ca="1">_xll.BLUEMATRIX2("/servlet/excelData",L50,$E$4,$D51&amp;":"&amp;L$14&amp;L$15&amp;":AN:NULL:FISCAL")</f>
        <v>#NAME?</v>
      </c>
      <c r="M51" s="423" t="e">
        <f ca="1">_xll.BLUEMATRIX2("/servlet/excelData",M50,$E$4,$D51&amp;":"&amp;M$14&amp;M$15&amp;":AN:NULL:FISCAL")</f>
        <v>#NAME?</v>
      </c>
      <c r="N51" s="423" t="e">
        <f ca="1">_xll.BLUEMATRIX2("/servlet/excelData",N50,$E$4,$D51&amp;":"&amp;N$14&amp;N$15&amp;":AN:NULL:FISCAL")</f>
        <v>#NAME?</v>
      </c>
    </row>
    <row r="52" spans="1:14" s="415" customFormat="1" ht="15" x14ac:dyDescent="0.25">
      <c r="A52" s="435"/>
      <c r="B52" s="416" t="s">
        <v>479</v>
      </c>
      <c r="C52" s="416" t="s">
        <v>480</v>
      </c>
      <c r="D52" s="417" t="s">
        <v>481</v>
      </c>
      <c r="E52" s="438"/>
      <c r="F52" s="438"/>
      <c r="G52" s="438"/>
      <c r="H52" s="438"/>
      <c r="I52" s="438"/>
      <c r="J52" s="438"/>
      <c r="K52" s="438"/>
      <c r="L52" s="438"/>
      <c r="M52" s="438"/>
      <c r="N52" s="438"/>
    </row>
    <row r="53" spans="1:14" s="415" customFormat="1" ht="12" customHeight="1" x14ac:dyDescent="0.25">
      <c r="A53" s="435"/>
      <c r="B53" s="420" t="s">
        <v>415</v>
      </c>
      <c r="C53" s="421"/>
      <c r="D53" s="436" t="s">
        <v>481</v>
      </c>
      <c r="E53" s="423" t="e">
        <f ca="1">_xll.BLUEMATRIX2("/servlet/excelData",E52,$E$4,$D53&amp;":"&amp;E$14&amp;E$15&amp;":AN:NULL:FISCAL")</f>
        <v>#NAME?</v>
      </c>
      <c r="F53" s="423" t="e">
        <f ca="1">_xll.BLUEMATRIX2("/servlet/excelData",F52,$E$4,$D53&amp;":"&amp;F$14&amp;F$15&amp;":AN:NULL:FISCAL")</f>
        <v>#NAME?</v>
      </c>
      <c r="G53" s="423" t="e">
        <f ca="1">_xll.BLUEMATRIX2("/servlet/excelData",G52,$E$4,$D53&amp;":"&amp;G$14&amp;G$15&amp;":AN:NULL:FISCAL")</f>
        <v>#NAME?</v>
      </c>
      <c r="H53" s="423" t="e">
        <f ca="1">_xll.BLUEMATRIX2("/servlet/excelData",H52,$E$4,$D53&amp;":"&amp;H$14&amp;H$15&amp;":AN:NULL:FISCAL")</f>
        <v>#NAME?</v>
      </c>
      <c r="I53" s="423" t="e">
        <f ca="1">_xll.BLUEMATRIX2("/servlet/excelData",I52,$E$4,$D53&amp;":"&amp;I$14&amp;I$15&amp;":AN:NULL:FISCAL")</f>
        <v>#NAME?</v>
      </c>
      <c r="J53" s="423" t="e">
        <f ca="1">_xll.BLUEMATRIX2("/servlet/excelData",J52,$E$4,$D53&amp;":"&amp;J$14&amp;J$15&amp;":AN:NULL:FISCAL")</f>
        <v>#NAME?</v>
      </c>
      <c r="K53" s="423" t="e">
        <f ca="1">_xll.BLUEMATRIX2("/servlet/excelData",K52,$E$4,$D53&amp;":"&amp;K$14&amp;K$15&amp;":AN:NULL:FISCAL")</f>
        <v>#NAME?</v>
      </c>
      <c r="L53" s="423" t="e">
        <f ca="1">_xll.BLUEMATRIX2("/servlet/excelData",L52,$E$4,$D53&amp;":"&amp;L$14&amp;L$15&amp;":AN:NULL:FISCAL")</f>
        <v>#NAME?</v>
      </c>
      <c r="M53" s="423" t="e">
        <f ca="1">_xll.BLUEMATRIX2("/servlet/excelData",M52,$E$4,$D53&amp;":"&amp;M$14&amp;M$15&amp;":AN:NULL:FISCAL")</f>
        <v>#NAME?</v>
      </c>
      <c r="N53" s="423" t="e">
        <f ca="1">_xll.BLUEMATRIX2("/servlet/excelData",N52,$E$4,$D53&amp;":"&amp;N$14&amp;N$15&amp;":AN:NULL:FISCAL")</f>
        <v>#NAME?</v>
      </c>
    </row>
    <row r="54" spans="1:14" s="415" customFormat="1" ht="15" x14ac:dyDescent="0.25">
      <c r="A54" s="435"/>
      <c r="B54" s="416" t="s">
        <v>482</v>
      </c>
      <c r="C54" s="409" t="s">
        <v>483</v>
      </c>
      <c r="D54" s="417" t="s">
        <v>484</v>
      </c>
      <c r="E54" s="438"/>
      <c r="F54" s="438"/>
      <c r="G54" s="438"/>
      <c r="H54" s="438"/>
      <c r="I54" s="438"/>
      <c r="J54" s="418"/>
      <c r="K54" s="418"/>
      <c r="L54" s="418"/>
      <c r="M54" s="418"/>
      <c r="N54" s="418"/>
    </row>
    <row r="55" spans="1:14" s="415" customFormat="1" ht="12" customHeight="1" x14ac:dyDescent="0.25">
      <c r="A55" s="435"/>
      <c r="B55" s="420" t="s">
        <v>415</v>
      </c>
      <c r="C55" s="421"/>
      <c r="D55" s="436" t="s">
        <v>484</v>
      </c>
      <c r="E55" s="423" t="e">
        <f ca="1">_xll.BLUEMATRIX2("/servlet/excelData",E54,$E$4,$D55&amp;":"&amp;E$14&amp;E$15&amp;":AN:NULL:FISCAL")</f>
        <v>#NAME?</v>
      </c>
      <c r="F55" s="423" t="e">
        <f ca="1">_xll.BLUEMATRIX2("/servlet/excelData",F54,$E$4,$D55&amp;":"&amp;F$14&amp;F$15&amp;":AN:NULL:FISCAL")</f>
        <v>#NAME?</v>
      </c>
      <c r="G55" s="423" t="e">
        <f ca="1">_xll.BLUEMATRIX2("/servlet/excelData",G54,$E$4,$D55&amp;":"&amp;G$14&amp;G$15&amp;":AN:NULL:FISCAL")</f>
        <v>#NAME?</v>
      </c>
      <c r="H55" s="423" t="e">
        <f ca="1">_xll.BLUEMATRIX2("/servlet/excelData",H54,$E$4,$D55&amp;":"&amp;H$14&amp;H$15&amp;":AN:NULL:FISCAL")</f>
        <v>#NAME?</v>
      </c>
      <c r="I55" s="423" t="e">
        <f ca="1">_xll.BLUEMATRIX2("/servlet/excelData",I54,$E$4,$D55&amp;":"&amp;I$14&amp;I$15&amp;":AN:NULL:FISCAL")</f>
        <v>#NAME?</v>
      </c>
      <c r="J55" s="423" t="e">
        <f ca="1">_xll.BLUEMATRIX2("/servlet/excelData",J54,$E$4,$D55&amp;":"&amp;J$14&amp;J$15&amp;":AN:NULL:FISCAL")</f>
        <v>#NAME?</v>
      </c>
      <c r="K55" s="423" t="e">
        <f ca="1">_xll.BLUEMATRIX2("/servlet/excelData",K54,$E$4,$D55&amp;":"&amp;K$14&amp;K$15&amp;":AN:NULL:FISCAL")</f>
        <v>#NAME?</v>
      </c>
      <c r="L55" s="423" t="e">
        <f ca="1">_xll.BLUEMATRIX2("/servlet/excelData",L54,$E$4,$D55&amp;":"&amp;L$14&amp;L$15&amp;":AN:NULL:FISCAL")</f>
        <v>#NAME?</v>
      </c>
      <c r="M55" s="423" t="e">
        <f ca="1">_xll.BLUEMATRIX2("/servlet/excelData",M54,$E$4,$D55&amp;":"&amp;M$14&amp;M$15&amp;":AN:NULL:FISCAL")</f>
        <v>#NAME?</v>
      </c>
      <c r="N55" s="423" t="e">
        <f ca="1">_xll.BLUEMATRIX2("/servlet/excelData",N54,$E$4,$D55&amp;":"&amp;N$14&amp;N$15&amp;":AN:NULL:FISCAL")</f>
        <v>#NAME?</v>
      </c>
    </row>
    <row r="56" spans="1:14" s="415" customFormat="1" ht="15" x14ac:dyDescent="0.25">
      <c r="A56" s="440"/>
      <c r="B56" s="416" t="s">
        <v>485</v>
      </c>
      <c r="C56" s="409" t="s">
        <v>483</v>
      </c>
      <c r="D56" s="417" t="s">
        <v>486</v>
      </c>
      <c r="E56" s="438"/>
      <c r="F56" s="438"/>
      <c r="G56" s="438"/>
      <c r="H56" s="438"/>
      <c r="I56" s="438"/>
      <c r="J56" s="438"/>
      <c r="K56" s="438"/>
      <c r="L56" s="438"/>
      <c r="M56" s="438"/>
      <c r="N56" s="438"/>
    </row>
    <row r="57" spans="1:14" s="415" customFormat="1" ht="12" customHeight="1" x14ac:dyDescent="0.2">
      <c r="A57" s="441"/>
      <c r="B57" s="420" t="s">
        <v>415</v>
      </c>
      <c r="C57" s="421"/>
      <c r="D57" s="436" t="s">
        <v>486</v>
      </c>
      <c r="E57" s="423" t="e">
        <f ca="1">_xll.BLUEMATRIX2("/servlet/excelData",E56,$E$4,$D57&amp;":"&amp;E$14&amp;E$15&amp;":AN:NULL:FISCAL")</f>
        <v>#NAME?</v>
      </c>
      <c r="F57" s="423" t="e">
        <f ca="1">_xll.BLUEMATRIX2("/servlet/excelData",F56,$E$4,$D57&amp;":"&amp;F$14&amp;F$15&amp;":AN:NULL:FISCAL")</f>
        <v>#NAME?</v>
      </c>
      <c r="G57" s="423" t="e">
        <f ca="1">_xll.BLUEMATRIX2("/servlet/excelData",G56,$E$4,$D57&amp;":"&amp;G$14&amp;G$15&amp;":AN:NULL:FISCAL")</f>
        <v>#NAME?</v>
      </c>
      <c r="H57" s="423" t="e">
        <f ca="1">_xll.BLUEMATRIX2("/servlet/excelData",H56,$E$4,$D57&amp;":"&amp;H$14&amp;H$15&amp;":AN:NULL:FISCAL")</f>
        <v>#NAME?</v>
      </c>
      <c r="I57" s="423" t="e">
        <f ca="1">_xll.BLUEMATRIX2("/servlet/excelData",I56,$E$4,$D57&amp;":"&amp;I$14&amp;I$15&amp;":AN:NULL:FISCAL")</f>
        <v>#NAME?</v>
      </c>
      <c r="J57" s="423" t="e">
        <f ca="1">_xll.BLUEMATRIX2("/servlet/excelData",J56,$E$4,$D57&amp;":"&amp;J$14&amp;J$15&amp;":AN:NULL:FISCAL")</f>
        <v>#NAME?</v>
      </c>
      <c r="K57" s="423" t="e">
        <f ca="1">_xll.BLUEMATRIX2("/servlet/excelData",K56,$E$4,$D57&amp;":"&amp;K$14&amp;K$15&amp;":AN:NULL:FISCAL")</f>
        <v>#NAME?</v>
      </c>
      <c r="L57" s="423" t="e">
        <f ca="1">_xll.BLUEMATRIX2("/servlet/excelData",L56,$E$4,$D57&amp;":"&amp;L$14&amp;L$15&amp;":AN:NULL:FISCAL")</f>
        <v>#NAME?</v>
      </c>
      <c r="M57" s="423" t="e">
        <f ca="1">_xll.BLUEMATRIX2("/servlet/excelData",M56,$E$4,$D57&amp;":"&amp;M$14&amp;M$15&amp;":AN:NULL:FISCAL")</f>
        <v>#NAME?</v>
      </c>
      <c r="N57" s="423" t="e">
        <f ca="1">_xll.BLUEMATRIX2("/servlet/excelData",N56,$E$4,$D57&amp;":"&amp;N$14&amp;N$15&amp;":AN:NULL:FISCAL")</f>
        <v>#NAME?</v>
      </c>
    </row>
    <row r="58" spans="1:14" ht="15" x14ac:dyDescent="0.25">
      <c r="A58" s="442" t="s">
        <v>487</v>
      </c>
      <c r="B58" s="430" t="s">
        <v>488</v>
      </c>
      <c r="C58" s="431" t="s">
        <v>489</v>
      </c>
      <c r="D58" s="432" t="s">
        <v>490</v>
      </c>
      <c r="E58" s="443"/>
      <c r="F58" s="443"/>
      <c r="G58" s="443"/>
      <c r="H58" s="443"/>
      <c r="I58" s="443"/>
      <c r="J58" s="443"/>
      <c r="K58" s="443"/>
      <c r="L58" s="443"/>
      <c r="M58" s="443"/>
      <c r="N58" s="443"/>
    </row>
    <row r="59" spans="1:14" ht="15" x14ac:dyDescent="0.25">
      <c r="A59" s="444"/>
      <c r="B59" s="420" t="s">
        <v>415</v>
      </c>
      <c r="C59" s="421"/>
      <c r="D59" s="436" t="s">
        <v>490</v>
      </c>
      <c r="E59" s="423" t="e">
        <f ca="1">_xll.BLUEMATRIX2("/servlet/excelData",E58,$E$4,$D59&amp;":"&amp;E$14&amp;E$15&amp;":AN:NULL:FISCAL")</f>
        <v>#NAME?</v>
      </c>
      <c r="F59" s="423" t="e">
        <f ca="1">_xll.BLUEMATRIX2("/servlet/excelData",F58,$E$4,$D59&amp;":"&amp;F$14&amp;F$15&amp;":AN:NULL:FISCAL")</f>
        <v>#NAME?</v>
      </c>
      <c r="G59" s="423" t="e">
        <f ca="1">_xll.BLUEMATRIX2("/servlet/excelData",G58,$E$4,$D59&amp;":"&amp;G$14&amp;G$15&amp;":AN:NULL:FISCAL")</f>
        <v>#NAME?</v>
      </c>
      <c r="H59" s="423" t="e">
        <f ca="1">_xll.BLUEMATRIX2("/servlet/excelData",H58,$E$4,$D59&amp;":"&amp;H$14&amp;H$15&amp;":AN:NULL:FISCAL")</f>
        <v>#NAME?</v>
      </c>
      <c r="I59" s="423" t="e">
        <f ca="1">_xll.BLUEMATRIX2("/servlet/excelData",I58,$E$4,$D59&amp;":"&amp;I$14&amp;I$15&amp;":AN:NULL:FISCAL")</f>
        <v>#NAME?</v>
      </c>
      <c r="J59" s="423" t="e">
        <f ca="1">_xll.BLUEMATRIX2("/servlet/excelData",J58,$E$4,$D59&amp;":"&amp;J$14&amp;J$15&amp;":AN:NULL:FISCAL")</f>
        <v>#NAME?</v>
      </c>
      <c r="K59" s="423" t="e">
        <f ca="1">_xll.BLUEMATRIX2("/servlet/excelData",K58,$E$4,$D59&amp;":"&amp;K$14&amp;K$15&amp;":AN:NULL:FISCAL")</f>
        <v>#NAME?</v>
      </c>
      <c r="L59" s="423" t="e">
        <f ca="1">_xll.BLUEMATRIX2("/servlet/excelData",L58,$E$4,$D59&amp;":"&amp;L$14&amp;L$15&amp;":AN:NULL:FISCAL")</f>
        <v>#NAME?</v>
      </c>
      <c r="M59" s="423" t="e">
        <f ca="1">_xll.BLUEMATRIX2("/servlet/excelData",M58,$E$4,$D59&amp;":"&amp;M$14&amp;M$15&amp;":AN:NULL:FISCAL")</f>
        <v>#NAME?</v>
      </c>
      <c r="N59" s="423" t="e">
        <f ca="1">_xll.BLUEMATRIX2("/servlet/excelData",N58,$E$4,$D59&amp;":"&amp;N$14&amp;N$15&amp;":AN:NULL:FISCAL")</f>
        <v>#NAME?</v>
      </c>
    </row>
    <row r="60" spans="1:14" ht="15" x14ac:dyDescent="0.25">
      <c r="A60" s="444"/>
      <c r="B60" s="416" t="s">
        <v>491</v>
      </c>
      <c r="C60" s="409" t="s">
        <v>492</v>
      </c>
      <c r="D60" s="417" t="s">
        <v>493</v>
      </c>
      <c r="E60" s="437">
        <f>SUM('FC - 3FS'!AN120:AN129,'FC - 3FS'!AN139)</f>
        <v>19836</v>
      </c>
      <c r="F60" s="437">
        <f>SUM('FC - 3FS'!AO120:AO129,'FC - 3FS'!AO139)</f>
        <v>25617</v>
      </c>
      <c r="G60" s="437">
        <f>SUM('FC - 3FS'!AP120:AP129,'FC - 3FS'!AP139)</f>
        <v>29302</v>
      </c>
      <c r="H60" s="437">
        <f>SUM('FC - 3FS'!AQ120:AQ129,'FC - 3FS'!AQ139)</f>
        <v>30613.843083820757</v>
      </c>
      <c r="I60" s="437">
        <f>SUM('FC - 3FS'!AR120:AR129,'FC - 3FS'!AR139)</f>
        <v>33853.264338604778</v>
      </c>
      <c r="J60" s="437">
        <f>SUM('FC - 3FS'!AS120:AS129,'FC - 3FS'!AS139)</f>
        <v>34312.56608399278</v>
      </c>
      <c r="K60" s="438"/>
      <c r="L60" s="438"/>
      <c r="M60" s="438"/>
      <c r="N60" s="438"/>
    </row>
    <row r="61" spans="1:14" ht="15" x14ac:dyDescent="0.25">
      <c r="A61" s="444"/>
      <c r="B61" s="420" t="s">
        <v>415</v>
      </c>
      <c r="C61" s="421"/>
      <c r="D61" s="436" t="s">
        <v>493</v>
      </c>
      <c r="E61" s="423" t="e">
        <f ca="1">_xll.BLUEMATRIX2("/servlet/excelData",E60,$E$4,$D61&amp;":"&amp;E$14&amp;E$15&amp;":AN:NULL:FISCAL")</f>
        <v>#NAME?</v>
      </c>
      <c r="F61" s="423" t="e">
        <f ca="1">_xll.BLUEMATRIX2("/servlet/excelData",F60,$E$4,$D61&amp;":"&amp;F$14&amp;F$15&amp;":AN:NULL:FISCAL")</f>
        <v>#NAME?</v>
      </c>
      <c r="G61" s="423" t="e">
        <f ca="1">_xll.BLUEMATRIX2("/servlet/excelData",G60,$E$4,$D61&amp;":"&amp;G$14&amp;G$15&amp;":AN:NULL:FISCAL")</f>
        <v>#NAME?</v>
      </c>
      <c r="H61" s="423" t="e">
        <f ca="1">_xll.BLUEMATRIX2("/servlet/excelData",H60,$E$4,$D61&amp;":"&amp;H$14&amp;H$15&amp;":AN:NULL:FISCAL")</f>
        <v>#NAME?</v>
      </c>
      <c r="I61" s="423" t="e">
        <f ca="1">_xll.BLUEMATRIX2("/servlet/excelData",I60,$E$4,$D61&amp;":"&amp;I$14&amp;I$15&amp;":AN:NULL:FISCAL")</f>
        <v>#NAME?</v>
      </c>
      <c r="J61" s="423" t="e">
        <f ca="1">_xll.BLUEMATRIX2("/servlet/excelData",J60,$E$4,$D61&amp;":"&amp;J$14&amp;J$15&amp;":AN:NULL:FISCAL")</f>
        <v>#NAME?</v>
      </c>
      <c r="K61" s="423" t="e">
        <f ca="1">_xll.BLUEMATRIX2("/servlet/excelData",K60,$E$4,$D61&amp;":"&amp;K$14&amp;K$15&amp;":AN:NULL:FISCAL")</f>
        <v>#NAME?</v>
      </c>
      <c r="L61" s="423" t="e">
        <f ca="1">_xll.BLUEMATRIX2("/servlet/excelData",L60,$E$4,$D61&amp;":"&amp;L$14&amp;L$15&amp;":AN:NULL:FISCAL")</f>
        <v>#NAME?</v>
      </c>
      <c r="M61" s="423" t="e">
        <f ca="1">_xll.BLUEMATRIX2("/servlet/excelData",M60,$E$4,$D61&amp;":"&amp;M$14&amp;M$15&amp;":AN:NULL:FISCAL")</f>
        <v>#NAME?</v>
      </c>
      <c r="N61" s="423" t="e">
        <f ca="1">_xll.BLUEMATRIX2("/servlet/excelData",N60,$E$4,$D61&amp;":"&amp;N$14&amp;N$15&amp;":AN:NULL:FISCAL")</f>
        <v>#NAME?</v>
      </c>
    </row>
    <row r="62" spans="1:14" ht="15" x14ac:dyDescent="0.25">
      <c r="A62" s="444"/>
      <c r="B62" s="416" t="s">
        <v>494</v>
      </c>
      <c r="C62" s="439"/>
      <c r="D62" s="417" t="s">
        <v>495</v>
      </c>
      <c r="E62" s="437">
        <f>SUM('FC - 3FS'!AN131:AN138)</f>
        <v>-3055</v>
      </c>
      <c r="F62" s="437">
        <f>SUM('FC - 3FS'!AO131:AO138)</f>
        <v>-7058</v>
      </c>
      <c r="G62" s="437">
        <f>SUM('FC - 3FS'!AP131:AP138)</f>
        <v>-7009</v>
      </c>
      <c r="H62" s="437">
        <f>SUM('FC - 3FS'!AQ131:AQ138)</f>
        <v>-2766.9767894033521</v>
      </c>
      <c r="I62" s="437">
        <f>SUM('FC - 3FS'!AR131:AR138)</f>
        <v>-2340.0683663566424</v>
      </c>
      <c r="J62" s="437">
        <f>SUM('FC - 3FS'!AS131:AS138)</f>
        <v>-1865.3836032623126</v>
      </c>
      <c r="K62" s="438"/>
      <c r="L62" s="438"/>
      <c r="M62" s="438"/>
      <c r="N62" s="438"/>
    </row>
    <row r="63" spans="1:14" ht="15" x14ac:dyDescent="0.25">
      <c r="A63" s="444"/>
      <c r="B63" s="420" t="s">
        <v>415</v>
      </c>
      <c r="C63" s="421"/>
      <c r="D63" s="436" t="s">
        <v>495</v>
      </c>
      <c r="E63" s="423" t="e">
        <f ca="1">_xll.BLUEMATRIX2("/servlet/excelData",E62,$E$4,$D63&amp;":"&amp;E$14&amp;E$15&amp;":AN:NULL:FISCAL")</f>
        <v>#NAME?</v>
      </c>
      <c r="F63" s="423" t="e">
        <f ca="1">_xll.BLUEMATRIX2("/servlet/excelData",F62,$E$4,$D63&amp;":"&amp;F$14&amp;F$15&amp;":AN:NULL:FISCAL")</f>
        <v>#NAME?</v>
      </c>
      <c r="G63" s="423" t="e">
        <f ca="1">_xll.BLUEMATRIX2("/servlet/excelData",G62,$E$4,$D63&amp;":"&amp;G$14&amp;G$15&amp;":AN:NULL:FISCAL")</f>
        <v>#NAME?</v>
      </c>
      <c r="H63" s="423" t="e">
        <f ca="1">_xll.BLUEMATRIX2("/servlet/excelData",H62,$E$4,$D63&amp;":"&amp;H$14&amp;H$15&amp;":AN:NULL:FISCAL")</f>
        <v>#NAME?</v>
      </c>
      <c r="I63" s="423" t="e">
        <f ca="1">_xll.BLUEMATRIX2("/servlet/excelData",I62,$E$4,$D63&amp;":"&amp;I$14&amp;I$15&amp;":AN:NULL:FISCAL")</f>
        <v>#NAME?</v>
      </c>
      <c r="J63" s="423" t="e">
        <f ca="1">_xll.BLUEMATRIX2("/servlet/excelData",J62,$E$4,$D63&amp;":"&amp;J$14&amp;J$15&amp;":AN:NULL:FISCAL")</f>
        <v>#NAME?</v>
      </c>
      <c r="K63" s="423" t="e">
        <f ca="1">_xll.BLUEMATRIX2("/servlet/excelData",K62,$E$4,$D63&amp;":"&amp;K$14&amp;K$15&amp;":AN:NULL:FISCAL")</f>
        <v>#NAME?</v>
      </c>
      <c r="L63" s="423" t="e">
        <f ca="1">_xll.BLUEMATRIX2("/servlet/excelData",L62,$E$4,$D63&amp;":"&amp;L$14&amp;L$15&amp;":AN:NULL:FISCAL")</f>
        <v>#NAME?</v>
      </c>
      <c r="M63" s="423" t="e">
        <f ca="1">_xll.BLUEMATRIX2("/servlet/excelData",M62,$E$4,$D63&amp;":"&amp;M$14&amp;M$15&amp;":AN:NULL:FISCAL")</f>
        <v>#NAME?</v>
      </c>
      <c r="N63" s="423" t="e">
        <f ca="1">_xll.BLUEMATRIX2("/servlet/excelData",N62,$E$4,$D63&amp;":"&amp;N$14&amp;N$15&amp;":AN:NULL:FISCAL")</f>
        <v>#NAME?</v>
      </c>
    </row>
    <row r="64" spans="1:14" ht="15" x14ac:dyDescent="0.25">
      <c r="A64" s="444"/>
      <c r="B64" s="416" t="s">
        <v>496</v>
      </c>
      <c r="C64" s="409" t="s">
        <v>497</v>
      </c>
      <c r="D64" s="417" t="s">
        <v>498</v>
      </c>
      <c r="E64" s="437">
        <f>'FC - 3FS'!AN140</f>
        <v>16781</v>
      </c>
      <c r="F64" s="437">
        <f>'FC - 3FS'!AO140</f>
        <v>18559</v>
      </c>
      <c r="G64" s="437">
        <f>'FC - 3FS'!AP140</f>
        <v>22293</v>
      </c>
      <c r="H64" s="437">
        <f>'FC - 3FS'!AQ140</f>
        <v>27846.866294417403</v>
      </c>
      <c r="I64" s="437">
        <f>'FC - 3FS'!AR140</f>
        <v>31513.195972248137</v>
      </c>
      <c r="J64" s="437">
        <f>'FC - 3FS'!AS140</f>
        <v>32447.182480730469</v>
      </c>
      <c r="K64" s="438"/>
      <c r="L64" s="438"/>
      <c r="M64" s="438"/>
      <c r="N64" s="438"/>
    </row>
    <row r="65" spans="1:14" ht="15" x14ac:dyDescent="0.25">
      <c r="A65" s="444"/>
      <c r="B65" s="420" t="s">
        <v>415</v>
      </c>
      <c r="C65" s="421"/>
      <c r="D65" s="436" t="s">
        <v>498</v>
      </c>
      <c r="E65" s="423" t="e">
        <f ca="1">_xll.BLUEMATRIX2("/servlet/excelData",E64,$E$4,$D65&amp;":"&amp;E$14&amp;E$15&amp;":AN:NULL:FISCAL")</f>
        <v>#NAME?</v>
      </c>
      <c r="F65" s="423" t="e">
        <f ca="1">_xll.BLUEMATRIX2("/servlet/excelData",F64,$E$4,$D65&amp;":"&amp;F$14&amp;F$15&amp;":AN:NULL:FISCAL")</f>
        <v>#NAME?</v>
      </c>
      <c r="G65" s="423" t="e">
        <f ca="1">_xll.BLUEMATRIX2("/servlet/excelData",G64,$E$4,$D65&amp;":"&amp;G$14&amp;G$15&amp;":AN:NULL:FISCAL")</f>
        <v>#NAME?</v>
      </c>
      <c r="H65" s="423" t="e">
        <f ca="1">_xll.BLUEMATRIX2("/servlet/excelData",H64,$E$4,$D65&amp;":"&amp;H$14&amp;H$15&amp;":AN:NULL:FISCAL")</f>
        <v>#NAME?</v>
      </c>
      <c r="I65" s="423" t="e">
        <f ca="1">_xll.BLUEMATRIX2("/servlet/excelData",I64,$E$4,$D65&amp;":"&amp;I$14&amp;I$15&amp;":AN:NULL:FISCAL")</f>
        <v>#NAME?</v>
      </c>
      <c r="J65" s="423" t="e">
        <f ca="1">_xll.BLUEMATRIX2("/servlet/excelData",J64,$E$4,$D65&amp;":"&amp;J$14&amp;J$15&amp;":AN:NULL:FISCAL")</f>
        <v>#NAME?</v>
      </c>
      <c r="K65" s="423" t="e">
        <f ca="1">_xll.BLUEMATRIX2("/servlet/excelData",K64,$E$4,$D65&amp;":"&amp;K$14&amp;K$15&amp;":AN:NULL:FISCAL")</f>
        <v>#NAME?</v>
      </c>
      <c r="L65" s="423" t="e">
        <f ca="1">_xll.BLUEMATRIX2("/servlet/excelData",L64,$E$4,$D65&amp;":"&amp;L$14&amp;L$15&amp;":AN:NULL:FISCAL")</f>
        <v>#NAME?</v>
      </c>
      <c r="M65" s="423" t="e">
        <f ca="1">_xll.BLUEMATRIX2("/servlet/excelData",M64,$E$4,$D65&amp;":"&amp;M$14&amp;M$15&amp;":AN:NULL:FISCAL")</f>
        <v>#NAME?</v>
      </c>
      <c r="N65" s="423" t="e">
        <f ca="1">_xll.BLUEMATRIX2("/servlet/excelData",N64,$E$4,$D65&amp;":"&amp;N$14&amp;N$15&amp;":AN:NULL:FISCAL")</f>
        <v>#NAME?</v>
      </c>
    </row>
    <row r="66" spans="1:14" ht="15" x14ac:dyDescent="0.25">
      <c r="A66" s="444"/>
      <c r="B66" s="416" t="s">
        <v>499</v>
      </c>
      <c r="C66" s="416" t="s">
        <v>500</v>
      </c>
      <c r="D66" s="417" t="s">
        <v>501</v>
      </c>
      <c r="E66" s="437">
        <f>+'FC - 3FS'!AN142</f>
        <v>-13970</v>
      </c>
      <c r="F66" s="437">
        <f>+'FC - 3FS'!AO142</f>
        <v>-9801</v>
      </c>
      <c r="G66" s="437">
        <f>+'FC - 3FS'!AP142</f>
        <v>-8840</v>
      </c>
      <c r="H66" s="437">
        <f>+'FC - 3FS'!AQ142</f>
        <v>-10023.267067247947</v>
      </c>
      <c r="I66" s="437">
        <f>+'FC - 3FS'!AR142</f>
        <v>-10562.246690569233</v>
      </c>
      <c r="J66" s="437">
        <f>+'FC - 3FS'!AS142</f>
        <v>-10941.003531939117</v>
      </c>
      <c r="K66" s="438"/>
      <c r="L66" s="438"/>
      <c r="M66" s="438"/>
      <c r="N66" s="438"/>
    </row>
    <row r="67" spans="1:14" ht="15" x14ac:dyDescent="0.25">
      <c r="A67" s="444"/>
      <c r="B67" s="420" t="s">
        <v>415</v>
      </c>
      <c r="C67" s="421"/>
      <c r="D67" s="436" t="s">
        <v>501</v>
      </c>
      <c r="E67" s="423" t="e">
        <f ca="1">_xll.BLUEMATRIX2("/servlet/excelData",E66,$E$4,$D67&amp;":"&amp;E$14&amp;E$15&amp;":AN:NULL:FISCAL")</f>
        <v>#NAME?</v>
      </c>
      <c r="F67" s="423" t="e">
        <f ca="1">_xll.BLUEMATRIX2("/servlet/excelData",F66,$E$4,$D67&amp;":"&amp;F$14&amp;F$15&amp;":AN:NULL:FISCAL")</f>
        <v>#NAME?</v>
      </c>
      <c r="G67" s="423" t="e">
        <f ca="1">_xll.BLUEMATRIX2("/servlet/excelData",G66,$E$4,$D67&amp;":"&amp;G$14&amp;G$15&amp;":AN:NULL:FISCAL")</f>
        <v>#NAME?</v>
      </c>
      <c r="H67" s="423" t="e">
        <f ca="1">_xll.BLUEMATRIX2("/servlet/excelData",H66,$E$4,$D67&amp;":"&amp;H$14&amp;H$15&amp;":AN:NULL:FISCAL")</f>
        <v>#NAME?</v>
      </c>
      <c r="I67" s="423" t="e">
        <f ca="1">_xll.BLUEMATRIX2("/servlet/excelData",I66,$E$4,$D67&amp;":"&amp;I$14&amp;I$15&amp;":AN:NULL:FISCAL")</f>
        <v>#NAME?</v>
      </c>
      <c r="J67" s="423" t="e">
        <f ca="1">_xll.BLUEMATRIX2("/servlet/excelData",J66,$E$4,$D67&amp;":"&amp;J$14&amp;J$15&amp;":AN:NULL:FISCAL")</f>
        <v>#NAME?</v>
      </c>
      <c r="K67" s="423" t="e">
        <f ca="1">_xll.BLUEMATRIX2("/servlet/excelData",K66,$E$4,$D67&amp;":"&amp;K$14&amp;K$15&amp;":AN:NULL:FISCAL")</f>
        <v>#NAME?</v>
      </c>
      <c r="L67" s="423" t="e">
        <f ca="1">_xll.BLUEMATRIX2("/servlet/excelData",L66,$E$4,$D67&amp;":"&amp;L$14&amp;L$15&amp;":AN:NULL:FISCAL")</f>
        <v>#NAME?</v>
      </c>
      <c r="M67" s="423" t="e">
        <f ca="1">_xll.BLUEMATRIX2("/servlet/excelData",M66,$E$4,$D67&amp;":"&amp;M$14&amp;M$15&amp;":AN:NULL:FISCAL")</f>
        <v>#NAME?</v>
      </c>
      <c r="N67" s="423" t="e">
        <f ca="1">_xll.BLUEMATRIX2("/servlet/excelData",N66,$E$4,$D67&amp;":"&amp;N$14&amp;N$15&amp;":AN:NULL:FISCAL")</f>
        <v>#NAME?</v>
      </c>
    </row>
    <row r="68" spans="1:14" ht="15" x14ac:dyDescent="0.25">
      <c r="A68" s="444"/>
      <c r="B68" s="416" t="s">
        <v>502</v>
      </c>
      <c r="C68" s="409" t="s">
        <v>503</v>
      </c>
      <c r="D68" s="417" t="s">
        <v>504</v>
      </c>
      <c r="E68" s="438"/>
      <c r="F68" s="438"/>
      <c r="G68" s="438"/>
      <c r="H68" s="438"/>
      <c r="I68" s="438"/>
      <c r="J68" s="438"/>
      <c r="K68" s="438"/>
      <c r="L68" s="438"/>
      <c r="M68" s="438"/>
      <c r="N68" s="438"/>
    </row>
    <row r="69" spans="1:14" ht="15" x14ac:dyDescent="0.25">
      <c r="A69" s="444"/>
      <c r="B69" s="420" t="s">
        <v>415</v>
      </c>
      <c r="C69" s="421"/>
      <c r="D69" s="436" t="s">
        <v>504</v>
      </c>
      <c r="E69" s="423" t="e">
        <f ca="1">_xll.BLUEMATRIX2("/servlet/excelData",E68,$E$4,$D69&amp;":"&amp;E$14&amp;E$15&amp;":AN:NULL:FISCAL")</f>
        <v>#NAME?</v>
      </c>
      <c r="F69" s="423" t="e">
        <f ca="1">_xll.BLUEMATRIX2("/servlet/excelData",F68,$E$4,$D69&amp;":"&amp;F$14&amp;F$15&amp;":AN:NULL:FISCAL")</f>
        <v>#NAME?</v>
      </c>
      <c r="G69" s="423" t="e">
        <f ca="1">_xll.BLUEMATRIX2("/servlet/excelData",G68,$E$4,$D69&amp;":"&amp;G$14&amp;G$15&amp;":AN:NULL:FISCAL")</f>
        <v>#NAME?</v>
      </c>
      <c r="H69" s="423" t="e">
        <f ca="1">_xll.BLUEMATRIX2("/servlet/excelData",H68,$E$4,$D69&amp;":"&amp;H$14&amp;H$15&amp;":AN:NULL:FISCAL")</f>
        <v>#NAME?</v>
      </c>
      <c r="I69" s="423" t="e">
        <f ca="1">_xll.BLUEMATRIX2("/servlet/excelData",I68,$E$4,$D69&amp;":"&amp;I$14&amp;I$15&amp;":AN:NULL:FISCAL")</f>
        <v>#NAME?</v>
      </c>
      <c r="J69" s="423" t="e">
        <f ca="1">_xll.BLUEMATRIX2("/servlet/excelData",J68,$E$4,$D69&amp;":"&amp;J$14&amp;J$15&amp;":AN:NULL:FISCAL")</f>
        <v>#NAME?</v>
      </c>
      <c r="K69" s="423" t="e">
        <f ca="1">_xll.BLUEMATRIX2("/servlet/excelData",K68,$E$4,$D69&amp;":"&amp;K$14&amp;K$15&amp;":AN:NULL:FISCAL")</f>
        <v>#NAME?</v>
      </c>
      <c r="L69" s="423" t="e">
        <f ca="1">_xll.BLUEMATRIX2("/servlet/excelData",L68,$E$4,$D69&amp;":"&amp;L$14&amp;L$15&amp;":AN:NULL:FISCAL")</f>
        <v>#NAME?</v>
      </c>
      <c r="M69" s="423" t="e">
        <f ca="1">_xll.BLUEMATRIX2("/servlet/excelData",M68,$E$4,$D69&amp;":"&amp;M$14&amp;M$15&amp;":AN:NULL:FISCAL")</f>
        <v>#NAME?</v>
      </c>
      <c r="N69" s="423" t="e">
        <f ca="1">_xll.BLUEMATRIX2("/servlet/excelData",N68,$E$4,$D69&amp;":"&amp;N$14&amp;N$15&amp;":AN:NULL:FISCAL")</f>
        <v>#NAME?</v>
      </c>
    </row>
    <row r="70" spans="1:14" ht="15" x14ac:dyDescent="0.25">
      <c r="A70" s="444"/>
      <c r="B70" s="416" t="s">
        <v>505</v>
      </c>
      <c r="C70" s="409" t="s">
        <v>506</v>
      </c>
      <c r="D70" s="417" t="s">
        <v>507</v>
      </c>
      <c r="E70" s="445">
        <f>+'FC - 3FS'!AN173</f>
        <v>7656</v>
      </c>
      <c r="F70" s="445">
        <f>+'FC - 3FS'!AO173</f>
        <v>13586</v>
      </c>
      <c r="G70" s="445">
        <f>+'FC - 3FS'!AP173</f>
        <v>17032</v>
      </c>
      <c r="H70" s="445">
        <f>+'FC - 3FS'!AQ173</f>
        <v>17823.599227169456</v>
      </c>
      <c r="I70" s="445">
        <f>+'FC - 3FS'!AR173</f>
        <v>20950.949281678906</v>
      </c>
      <c r="J70" s="445">
        <f>+'FC - 3FS'!AS173</f>
        <v>21506.178948791352</v>
      </c>
      <c r="K70" s="438"/>
      <c r="L70" s="438"/>
      <c r="M70" s="438"/>
      <c r="N70" s="438"/>
    </row>
    <row r="71" spans="1:14" ht="15" x14ac:dyDescent="0.25">
      <c r="A71" s="444"/>
      <c r="B71" s="420" t="s">
        <v>415</v>
      </c>
      <c r="C71" s="421"/>
      <c r="D71" s="436" t="s">
        <v>507</v>
      </c>
      <c r="E71" s="423" t="e">
        <f ca="1">_xll.BLUEMATRIX2("/servlet/excelData",E70,$E$4,$D71&amp;":"&amp;E$14&amp;E$15&amp;":AN:NULL:FISCAL")</f>
        <v>#NAME?</v>
      </c>
      <c r="F71" s="423" t="e">
        <f ca="1">_xll.BLUEMATRIX2("/servlet/excelData",F70,$E$4,$D71&amp;":"&amp;F$14&amp;F$15&amp;":AN:NULL:FISCAL")</f>
        <v>#NAME?</v>
      </c>
      <c r="G71" s="423" t="e">
        <f ca="1">_xll.BLUEMATRIX2("/servlet/excelData",G70,$E$4,$D71&amp;":"&amp;G$14&amp;G$15&amp;":AN:NULL:FISCAL")</f>
        <v>#NAME?</v>
      </c>
      <c r="H71" s="423" t="e">
        <f ca="1">_xll.BLUEMATRIX2("/servlet/excelData",H70,$E$4,$D71&amp;":"&amp;H$14&amp;H$15&amp;":AN:NULL:FISCAL")</f>
        <v>#NAME?</v>
      </c>
      <c r="I71" s="423" t="e">
        <f ca="1">_xll.BLUEMATRIX2("/servlet/excelData",I70,$E$4,$D71&amp;":"&amp;I$14&amp;I$15&amp;":AN:NULL:FISCAL")</f>
        <v>#NAME?</v>
      </c>
      <c r="J71" s="423" t="e">
        <f ca="1">_xll.BLUEMATRIX2("/servlet/excelData",J70,$E$4,$D71&amp;":"&amp;J$14&amp;J$15&amp;":AN:NULL:FISCAL")</f>
        <v>#NAME?</v>
      </c>
      <c r="K71" s="423" t="e">
        <f ca="1">_xll.BLUEMATRIX2("/servlet/excelData",K70,$E$4,$D71&amp;":"&amp;K$14&amp;K$15&amp;":AN:NULL:FISCAL")</f>
        <v>#NAME?</v>
      </c>
      <c r="L71" s="423" t="e">
        <f ca="1">_xll.BLUEMATRIX2("/servlet/excelData",L70,$E$4,$D71&amp;":"&amp;L$14&amp;L$15&amp;":AN:NULL:FISCAL")</f>
        <v>#NAME?</v>
      </c>
      <c r="M71" s="423" t="e">
        <f ca="1">_xll.BLUEMATRIX2("/servlet/excelData",M70,$E$4,$D71&amp;":"&amp;M$14&amp;M$15&amp;":AN:NULL:FISCAL")</f>
        <v>#NAME?</v>
      </c>
      <c r="N71" s="423" t="e">
        <f ca="1">_xll.BLUEMATRIX2("/servlet/excelData",N70,$E$4,$D71&amp;":"&amp;N$14&amp;N$15&amp;":AN:NULL:FISCAL")</f>
        <v>#NAME?</v>
      </c>
    </row>
    <row r="72" spans="1:14" ht="15" x14ac:dyDescent="0.25">
      <c r="A72" s="444"/>
      <c r="B72" s="416" t="s">
        <v>508</v>
      </c>
      <c r="C72" s="409" t="s">
        <v>509</v>
      </c>
      <c r="D72" s="417" t="s">
        <v>510</v>
      </c>
      <c r="E72" s="437">
        <f>+'FC - 3FS'!AN146</f>
        <v>-52</v>
      </c>
      <c r="F72" s="437">
        <f>+'FC - 3FS'!AO146</f>
        <v>0</v>
      </c>
      <c r="G72" s="437">
        <f>+'FC - 3FS'!AP146</f>
        <v>-373</v>
      </c>
      <c r="H72" s="437">
        <f>+'FC - 3FS'!AQ146</f>
        <v>-3523</v>
      </c>
      <c r="I72" s="437">
        <f>+'FC - 3FS'!AR146</f>
        <v>0</v>
      </c>
      <c r="J72" s="437">
        <f>+'FC - 3FS'!AS146</f>
        <v>0</v>
      </c>
      <c r="K72" s="438"/>
      <c r="L72" s="438"/>
      <c r="M72" s="438"/>
      <c r="N72" s="438"/>
    </row>
    <row r="73" spans="1:14" ht="15" x14ac:dyDescent="0.25">
      <c r="A73" s="444"/>
      <c r="B73" s="420" t="s">
        <v>415</v>
      </c>
      <c r="C73" s="421"/>
      <c r="D73" s="436" t="s">
        <v>510</v>
      </c>
      <c r="E73" s="423" t="e">
        <f ca="1">_xll.BLUEMATRIX2("/servlet/excelData",E72,$E$4,$D73&amp;":"&amp;E$14&amp;E$15&amp;":AN:NULL:FISCAL")</f>
        <v>#NAME?</v>
      </c>
      <c r="F73" s="423" t="e">
        <f ca="1">_xll.BLUEMATRIX2("/servlet/excelData",F72,$E$4,$D73&amp;":"&amp;F$14&amp;F$15&amp;":AN:NULL:FISCAL")</f>
        <v>#NAME?</v>
      </c>
      <c r="G73" s="423" t="e">
        <f ca="1">_xll.BLUEMATRIX2("/servlet/excelData",G72,$E$4,$D73&amp;":"&amp;G$14&amp;G$15&amp;":AN:NULL:FISCAL")</f>
        <v>#NAME?</v>
      </c>
      <c r="H73" s="423" t="e">
        <f ca="1">_xll.BLUEMATRIX2("/servlet/excelData",H72,$E$4,$D73&amp;":"&amp;H$14&amp;H$15&amp;":AN:NULL:FISCAL")</f>
        <v>#NAME?</v>
      </c>
      <c r="I73" s="423" t="e">
        <f ca="1">_xll.BLUEMATRIX2("/servlet/excelData",I72,$E$4,$D73&amp;":"&amp;I$14&amp;I$15&amp;":AN:NULL:FISCAL")</f>
        <v>#NAME?</v>
      </c>
      <c r="J73" s="423" t="e">
        <f ca="1">_xll.BLUEMATRIX2("/servlet/excelData",J72,$E$4,$D73&amp;":"&amp;J$14&amp;J$15&amp;":AN:NULL:FISCAL")</f>
        <v>#NAME?</v>
      </c>
      <c r="K73" s="423" t="e">
        <f ca="1">_xll.BLUEMATRIX2("/servlet/excelData",K72,$E$4,$D73&amp;":"&amp;K$14&amp;K$15&amp;":AN:NULL:FISCAL")</f>
        <v>#NAME?</v>
      </c>
      <c r="L73" s="423" t="e">
        <f ca="1">_xll.BLUEMATRIX2("/servlet/excelData",L72,$E$4,$D73&amp;":"&amp;L$14&amp;L$15&amp;":AN:NULL:FISCAL")</f>
        <v>#NAME?</v>
      </c>
      <c r="M73" s="423" t="e">
        <f ca="1">_xll.BLUEMATRIX2("/servlet/excelData",M72,$E$4,$D73&amp;":"&amp;M$14&amp;M$15&amp;":AN:NULL:FISCAL")</f>
        <v>#NAME?</v>
      </c>
      <c r="N73" s="423" t="e">
        <f ca="1">_xll.BLUEMATRIX2("/servlet/excelData",N72,$E$4,$D73&amp;":"&amp;N$14&amp;N$15&amp;":AN:NULL:FISCAL")</f>
        <v>#NAME?</v>
      </c>
    </row>
    <row r="74" spans="1:14" ht="15" x14ac:dyDescent="0.25">
      <c r="A74" s="444"/>
      <c r="B74" s="416" t="s">
        <v>511</v>
      </c>
      <c r="C74" s="416" t="s">
        <v>512</v>
      </c>
      <c r="D74" s="417" t="s">
        <v>513</v>
      </c>
      <c r="E74" s="437">
        <f>+'FC - 3FS'!AN145</f>
        <v>4836</v>
      </c>
      <c r="F74" s="437">
        <f>+'FC - 3FS'!AO145</f>
        <v>4816</v>
      </c>
      <c r="G74" s="437">
        <f>+'FC - 3FS'!AP145</f>
        <v>3579</v>
      </c>
      <c r="H74" s="437">
        <f>+'FC - 3FS'!AQ145</f>
        <v>0</v>
      </c>
      <c r="I74" s="437">
        <f>+'FC - 3FS'!AR145</f>
        <v>0</v>
      </c>
      <c r="J74" s="437">
        <f>+'FC - 3FS'!AS145</f>
        <v>0</v>
      </c>
      <c r="K74" s="438"/>
      <c r="L74" s="438"/>
      <c r="M74" s="438"/>
      <c r="N74" s="438"/>
    </row>
    <row r="75" spans="1:14" ht="15" x14ac:dyDescent="0.25">
      <c r="A75" s="444"/>
      <c r="B75" s="420" t="s">
        <v>415</v>
      </c>
      <c r="C75" s="421"/>
      <c r="D75" s="436" t="s">
        <v>513</v>
      </c>
      <c r="E75" s="423" t="e">
        <f ca="1">_xll.BLUEMATRIX2("/servlet/excelData",E74,$E$4,$D75&amp;":"&amp;E$14&amp;E$15&amp;":AN:NULL:FISCAL")</f>
        <v>#NAME?</v>
      </c>
      <c r="F75" s="423" t="e">
        <f ca="1">_xll.BLUEMATRIX2("/servlet/excelData",F74,$E$4,$D75&amp;":"&amp;F$14&amp;F$15&amp;":AN:NULL:FISCAL")</f>
        <v>#NAME?</v>
      </c>
      <c r="G75" s="423" t="e">
        <f ca="1">_xll.BLUEMATRIX2("/servlet/excelData",G74,$E$4,$D75&amp;":"&amp;G$14&amp;G$15&amp;":AN:NULL:FISCAL")</f>
        <v>#NAME?</v>
      </c>
      <c r="H75" s="423" t="e">
        <f ca="1">_xll.BLUEMATRIX2("/servlet/excelData",H74,$E$4,$D75&amp;":"&amp;H$14&amp;H$15&amp;":AN:NULL:FISCAL")</f>
        <v>#NAME?</v>
      </c>
      <c r="I75" s="423" t="e">
        <f ca="1">_xll.BLUEMATRIX2("/servlet/excelData",I74,$E$4,$D75&amp;":"&amp;I$14&amp;I$15&amp;":AN:NULL:FISCAL")</f>
        <v>#NAME?</v>
      </c>
      <c r="J75" s="423" t="e">
        <f ca="1">_xll.BLUEMATRIX2("/servlet/excelData",J74,$E$4,$D75&amp;":"&amp;J$14&amp;J$15&amp;":AN:NULL:FISCAL")</f>
        <v>#NAME?</v>
      </c>
      <c r="K75" s="423" t="e">
        <f ca="1">_xll.BLUEMATRIX2("/servlet/excelData",K74,$E$4,$D75&amp;":"&amp;K$14&amp;K$15&amp;":AN:NULL:FISCAL")</f>
        <v>#NAME?</v>
      </c>
      <c r="L75" s="423" t="e">
        <f ca="1">_xll.BLUEMATRIX2("/servlet/excelData",L74,$E$4,$D75&amp;":"&amp;L$14&amp;L$15&amp;":AN:NULL:FISCAL")</f>
        <v>#NAME?</v>
      </c>
      <c r="M75" s="423" t="e">
        <f ca="1">_xll.BLUEMATRIX2("/servlet/excelData",M74,$E$4,$D75&amp;":"&amp;M$14&amp;M$15&amp;":AN:NULL:FISCAL")</f>
        <v>#NAME?</v>
      </c>
      <c r="N75" s="423" t="e">
        <f ca="1">_xll.BLUEMATRIX2("/servlet/excelData",N74,$E$4,$D75&amp;":"&amp;N$14&amp;N$15&amp;":AN:NULL:FISCAL")</f>
        <v>#NAME?</v>
      </c>
    </row>
    <row r="76" spans="1:14" ht="15" x14ac:dyDescent="0.25">
      <c r="A76" s="444"/>
      <c r="B76" s="416" t="s">
        <v>514</v>
      </c>
      <c r="C76" s="409" t="s">
        <v>515</v>
      </c>
      <c r="D76" s="417" t="s">
        <v>516</v>
      </c>
      <c r="E76" s="437">
        <f>+'FC - 3FS'!AN161</f>
        <v>-6451</v>
      </c>
      <c r="F76" s="437">
        <f>+'FC - 3FS'!AO161</f>
        <v>-12097</v>
      </c>
      <c r="G76" s="437">
        <f>+'FC - 3FS'!AP161</f>
        <v>-12815</v>
      </c>
      <c r="H76" s="437">
        <f>+'FC - 3FS'!AQ161</f>
        <v>-12095.031963497087</v>
      </c>
      <c r="I76" s="437">
        <f>+'FC - 3FS'!AR161</f>
        <v>-9026.3758323193651</v>
      </c>
      <c r="J76" s="437">
        <f>+'FC - 3FS'!AS161</f>
        <v>-11100.375301386419</v>
      </c>
      <c r="K76" s="438"/>
      <c r="L76" s="438"/>
      <c r="M76" s="438"/>
      <c r="N76" s="438"/>
    </row>
    <row r="77" spans="1:14" ht="15" x14ac:dyDescent="0.25">
      <c r="A77" s="444"/>
      <c r="B77" s="420" t="s">
        <v>415</v>
      </c>
      <c r="C77" s="421"/>
      <c r="D77" s="436" t="s">
        <v>516</v>
      </c>
      <c r="E77" s="423" t="e">
        <f ca="1">_xll.BLUEMATRIX2("/servlet/excelData",E76,$E$4,$D77&amp;":"&amp;E$14&amp;E$15&amp;":AN:NULL:FISCAL")</f>
        <v>#NAME?</v>
      </c>
      <c r="F77" s="423" t="e">
        <f ca="1">_xll.BLUEMATRIX2("/servlet/excelData",F76,$E$4,$D77&amp;":"&amp;F$14&amp;F$15&amp;":AN:NULL:FISCAL")</f>
        <v>#NAME?</v>
      </c>
      <c r="G77" s="423" t="e">
        <f ca="1">_xll.BLUEMATRIX2("/servlet/excelData",G76,$E$4,$D77&amp;":"&amp;G$14&amp;G$15&amp;":AN:NULL:FISCAL")</f>
        <v>#NAME?</v>
      </c>
      <c r="H77" s="423" t="e">
        <f ca="1">_xll.BLUEMATRIX2("/servlet/excelData",H76,$E$4,$D77&amp;":"&amp;H$14&amp;H$15&amp;":AN:NULL:FISCAL")</f>
        <v>#NAME?</v>
      </c>
      <c r="I77" s="423" t="e">
        <f ca="1">_xll.BLUEMATRIX2("/servlet/excelData",I76,$E$4,$D77&amp;":"&amp;I$14&amp;I$15&amp;":AN:NULL:FISCAL")</f>
        <v>#NAME?</v>
      </c>
      <c r="J77" s="423" t="e">
        <f ca="1">_xll.BLUEMATRIX2("/servlet/excelData",J76,$E$4,$D77&amp;":"&amp;J$14&amp;J$15&amp;":AN:NULL:FISCAL")</f>
        <v>#NAME?</v>
      </c>
      <c r="K77" s="423" t="e">
        <f ca="1">_xll.BLUEMATRIX2("/servlet/excelData",K76,$E$4,$D77&amp;":"&amp;K$14&amp;K$15&amp;":AN:NULL:FISCAL")</f>
        <v>#NAME?</v>
      </c>
      <c r="L77" s="423" t="e">
        <f ca="1">_xll.BLUEMATRIX2("/servlet/excelData",L76,$E$4,$D77&amp;":"&amp;L$14&amp;L$15&amp;":AN:NULL:FISCAL")</f>
        <v>#NAME?</v>
      </c>
      <c r="M77" s="423" t="e">
        <f ca="1">_xll.BLUEMATRIX2("/servlet/excelData",M76,$E$4,$D77&amp;":"&amp;M$14&amp;M$15&amp;":AN:NULL:FISCAL")</f>
        <v>#NAME?</v>
      </c>
      <c r="N77" s="423" t="e">
        <f ca="1">_xll.BLUEMATRIX2("/servlet/excelData",N76,$E$4,$D77&amp;":"&amp;N$14&amp;N$15&amp;":AN:NULL:FISCAL")</f>
        <v>#NAME?</v>
      </c>
    </row>
    <row r="78" spans="1:14" ht="15" x14ac:dyDescent="0.25">
      <c r="A78" s="444"/>
      <c r="B78" s="416" t="s">
        <v>517</v>
      </c>
      <c r="C78" s="416" t="s">
        <v>518</v>
      </c>
      <c r="D78" s="417" t="s">
        <v>519</v>
      </c>
      <c r="E78" s="437">
        <f>-'FC - 3FS'!AN155</f>
        <v>3000</v>
      </c>
      <c r="F78" s="437">
        <f>-'FC - 3FS'!AO155</f>
        <v>13074</v>
      </c>
      <c r="G78" s="437">
        <f>-'FC - 3FS'!AP155</f>
        <v>11228</v>
      </c>
      <c r="H78" s="437">
        <f>-'FC - 3FS'!AQ155</f>
        <v>9998</v>
      </c>
      <c r="I78" s="437">
        <f>-'FC - 3FS'!AR155</f>
        <v>10868</v>
      </c>
      <c r="J78" s="437">
        <f>-'FC - 3FS'!AS155</f>
        <v>13041.6</v>
      </c>
      <c r="K78" s="438"/>
      <c r="L78" s="438"/>
      <c r="M78" s="438"/>
      <c r="N78" s="438"/>
    </row>
    <row r="79" spans="1:14" ht="15" x14ac:dyDescent="0.25">
      <c r="A79" s="444"/>
      <c r="B79" s="420" t="s">
        <v>415</v>
      </c>
      <c r="C79" s="421"/>
      <c r="D79" s="436" t="s">
        <v>519</v>
      </c>
      <c r="E79" s="423" t="e">
        <f ca="1">_xll.BLUEMATRIX2("/servlet/excelData",E78,$E$4,$D79&amp;":"&amp;E$14&amp;E$15&amp;":AN:NULL:FISCAL")</f>
        <v>#NAME?</v>
      </c>
      <c r="F79" s="423" t="e">
        <f ca="1">_xll.BLUEMATRIX2("/servlet/excelData",F78,$E$4,$D79&amp;":"&amp;F$14&amp;F$15&amp;":AN:NULL:FISCAL")</f>
        <v>#NAME?</v>
      </c>
      <c r="G79" s="423" t="e">
        <f ca="1">_xll.BLUEMATRIX2("/servlet/excelData",G78,$E$4,$D79&amp;":"&amp;G$14&amp;G$15&amp;":AN:NULL:FISCAL")</f>
        <v>#NAME?</v>
      </c>
      <c r="H79" s="423" t="e">
        <f ca="1">_xll.BLUEMATRIX2("/servlet/excelData",H78,$E$4,$D79&amp;":"&amp;H$14&amp;H$15&amp;":AN:NULL:FISCAL")</f>
        <v>#NAME?</v>
      </c>
      <c r="I79" s="423" t="e">
        <f ca="1">_xll.BLUEMATRIX2("/servlet/excelData",I78,$E$4,$D79&amp;":"&amp;I$14&amp;I$15&amp;":AN:NULL:FISCAL")</f>
        <v>#NAME?</v>
      </c>
      <c r="J79" s="423" t="e">
        <f ca="1">_xll.BLUEMATRIX2("/servlet/excelData",J78,$E$4,$D79&amp;":"&amp;J$14&amp;J$15&amp;":AN:NULL:FISCAL")</f>
        <v>#NAME?</v>
      </c>
      <c r="K79" s="423" t="e">
        <f ca="1">_xll.BLUEMATRIX2("/servlet/excelData",K78,$E$4,$D79&amp;":"&amp;K$14&amp;K$15&amp;":AN:NULL:FISCAL")</f>
        <v>#NAME?</v>
      </c>
      <c r="L79" s="423" t="e">
        <f ca="1">_xll.BLUEMATRIX2("/servlet/excelData",L78,$E$4,$D79&amp;":"&amp;L$14&amp;L$15&amp;":AN:NULL:FISCAL")</f>
        <v>#NAME?</v>
      </c>
      <c r="M79" s="423" t="e">
        <f ca="1">_xll.BLUEMATRIX2("/servlet/excelData",M78,$E$4,$D79&amp;":"&amp;M$14&amp;M$15&amp;":AN:NULL:FISCAL")</f>
        <v>#NAME?</v>
      </c>
      <c r="N79" s="423" t="e">
        <f ca="1">_xll.BLUEMATRIX2("/servlet/excelData",N78,$E$4,$D79&amp;":"&amp;N$14&amp;N$15&amp;":AN:NULL:FISCAL")</f>
        <v>#NAME?</v>
      </c>
    </row>
    <row r="80" spans="1:14" ht="15" x14ac:dyDescent="0.25">
      <c r="A80" s="444"/>
      <c r="B80" s="416" t="s">
        <v>520</v>
      </c>
      <c r="C80" s="416" t="s">
        <v>521</v>
      </c>
      <c r="D80" s="417" t="s">
        <v>522</v>
      </c>
      <c r="E80" s="437">
        <f>-'FC - 3FS'!AN156</f>
        <v>0</v>
      </c>
      <c r="F80" s="437">
        <f>-'FC - 3FS'!AO156</f>
        <v>747</v>
      </c>
      <c r="G80" s="437">
        <f>-'FC - 3FS'!AP156</f>
        <v>3300</v>
      </c>
      <c r="H80" s="437">
        <f>-'FC - 3FS'!AQ156</f>
        <v>4098.9663999999993</v>
      </c>
      <c r="I80" s="437">
        <f>-'FC - 3FS'!AR156</f>
        <v>4499.0255206400007</v>
      </c>
      <c r="J80" s="437">
        <f>-'FC - 3FS'!AS156</f>
        <v>4936.7844529436588</v>
      </c>
      <c r="K80" s="438"/>
      <c r="L80" s="438"/>
      <c r="M80" s="438"/>
      <c r="N80" s="438"/>
    </row>
    <row r="81" spans="1:14" ht="15" x14ac:dyDescent="0.25">
      <c r="A81" s="444"/>
      <c r="B81" s="420" t="s">
        <v>415</v>
      </c>
      <c r="C81" s="421"/>
      <c r="D81" s="436" t="s">
        <v>522</v>
      </c>
      <c r="E81" s="423" t="e">
        <f ca="1">_xll.BLUEMATRIX2("/servlet/excelData",E80,$E$4,$D81&amp;":"&amp;E$14&amp;E$15&amp;":AN:NULL:FISCAL")</f>
        <v>#NAME?</v>
      </c>
      <c r="F81" s="423" t="e">
        <f ca="1">_xll.BLUEMATRIX2("/servlet/excelData",F80,$E$4,$D81&amp;":"&amp;F$14&amp;F$15&amp;":AN:NULL:FISCAL")</f>
        <v>#NAME?</v>
      </c>
      <c r="G81" s="423" t="e">
        <f ca="1">_xll.BLUEMATRIX2("/servlet/excelData",G80,$E$4,$D81&amp;":"&amp;G$14&amp;G$15&amp;":AN:NULL:FISCAL")</f>
        <v>#NAME?</v>
      </c>
      <c r="H81" s="423" t="e">
        <f ca="1">_xll.BLUEMATRIX2("/servlet/excelData",H80,$E$4,$D81&amp;":"&amp;H$14&amp;H$15&amp;":AN:NULL:FISCAL")</f>
        <v>#NAME?</v>
      </c>
      <c r="I81" s="423" t="e">
        <f ca="1">_xll.BLUEMATRIX2("/servlet/excelData",I80,$E$4,$D81&amp;":"&amp;I$14&amp;I$15&amp;":AN:NULL:FISCAL")</f>
        <v>#NAME?</v>
      </c>
      <c r="J81" s="423" t="e">
        <f ca="1">_xll.BLUEMATRIX2("/servlet/excelData",J80,$E$4,$D81&amp;":"&amp;J$14&amp;J$15&amp;":AN:NULL:FISCAL")</f>
        <v>#NAME?</v>
      </c>
      <c r="K81" s="423" t="e">
        <f ca="1">_xll.BLUEMATRIX2("/servlet/excelData",K80,$E$4,$D81&amp;":"&amp;K$14&amp;K$15&amp;":AN:NULL:FISCAL")</f>
        <v>#NAME?</v>
      </c>
      <c r="L81" s="423" t="e">
        <f ca="1">_xll.BLUEMATRIX2("/servlet/excelData",L80,$E$4,$D81&amp;":"&amp;L$14&amp;L$15&amp;":AN:NULL:FISCAL")</f>
        <v>#NAME?</v>
      </c>
      <c r="M81" s="423" t="e">
        <f ca="1">_xll.BLUEMATRIX2("/servlet/excelData",M80,$E$4,$D81&amp;":"&amp;M$14&amp;M$15&amp;":AN:NULL:FISCAL")</f>
        <v>#NAME?</v>
      </c>
      <c r="N81" s="423" t="e">
        <f ca="1">_xll.BLUEMATRIX2("/servlet/excelData",N80,$E$4,$D81&amp;":"&amp;N$14&amp;N$15&amp;":AN:NULL:FISCAL")</f>
        <v>#NAME?</v>
      </c>
    </row>
    <row r="82" spans="1:14" ht="15" x14ac:dyDescent="0.25">
      <c r="A82" s="444"/>
      <c r="B82" s="416" t="s">
        <v>523</v>
      </c>
      <c r="C82" s="409" t="s">
        <v>524</v>
      </c>
      <c r="D82" s="417" t="s">
        <v>525</v>
      </c>
      <c r="E82" s="437">
        <f>+'FC - 3FS'!AN148</f>
        <v>-12359</v>
      </c>
      <c r="F82" s="437">
        <f>+'FC - 3FS'!AO148</f>
        <v>-5829</v>
      </c>
      <c r="G82" s="437">
        <f>+'FC - 3FS'!AP148</f>
        <v>-9072</v>
      </c>
      <c r="H82" s="437">
        <f>+'FC - 3FS'!AQ148</f>
        <v>-19264.450016960232</v>
      </c>
      <c r="I82" s="437">
        <f>+'FC - 3FS'!AR148</f>
        <v>-17304.800538820498</v>
      </c>
      <c r="J82" s="437">
        <f>+'FC - 3FS'!AS148</f>
        <v>-18122.862716427007</v>
      </c>
      <c r="K82" s="438"/>
      <c r="L82" s="438"/>
      <c r="M82" s="438"/>
      <c r="N82" s="438"/>
    </row>
    <row r="83" spans="1:14" ht="15" x14ac:dyDescent="0.25">
      <c r="A83" s="444"/>
      <c r="B83" s="420" t="s">
        <v>415</v>
      </c>
      <c r="C83" s="421"/>
      <c r="D83" s="436" t="s">
        <v>525</v>
      </c>
      <c r="E83" s="423" t="e">
        <f ca="1">_xll.BLUEMATRIX2("/servlet/excelData",E82,$E$4,$D83&amp;":"&amp;E$14&amp;E$15&amp;":AN:NULL:FISCAL")</f>
        <v>#NAME?</v>
      </c>
      <c r="F83" s="423" t="e">
        <f ca="1">_xll.BLUEMATRIX2("/servlet/excelData",F82,$E$4,$D83&amp;":"&amp;F$14&amp;F$15&amp;":AN:NULL:FISCAL")</f>
        <v>#NAME?</v>
      </c>
      <c r="G83" s="423" t="e">
        <f ca="1">_xll.BLUEMATRIX2("/servlet/excelData",G82,$E$4,$D83&amp;":"&amp;G$14&amp;G$15&amp;":AN:NULL:FISCAL")</f>
        <v>#NAME?</v>
      </c>
      <c r="H83" s="423" t="e">
        <f ca="1">_xll.BLUEMATRIX2("/servlet/excelData",H82,$E$4,$D83&amp;":"&amp;H$14&amp;H$15&amp;":AN:NULL:FISCAL")</f>
        <v>#NAME?</v>
      </c>
      <c r="I83" s="423" t="e">
        <f ca="1">_xll.BLUEMATRIX2("/servlet/excelData",I82,$E$4,$D83&amp;":"&amp;I$14&amp;I$15&amp;":AN:NULL:FISCAL")</f>
        <v>#NAME?</v>
      </c>
      <c r="J83" s="423" t="e">
        <f ca="1">_xll.BLUEMATRIX2("/servlet/excelData",J82,$E$4,$D83&amp;":"&amp;J$14&amp;J$15&amp;":AN:NULL:FISCAL")</f>
        <v>#NAME?</v>
      </c>
      <c r="K83" s="423" t="e">
        <f ca="1">_xll.BLUEMATRIX2("/servlet/excelData",K82,$E$4,$D83&amp;":"&amp;K$14&amp;K$15&amp;":AN:NULL:FISCAL")</f>
        <v>#NAME?</v>
      </c>
      <c r="L83" s="423" t="e">
        <f ca="1">_xll.BLUEMATRIX2("/servlet/excelData",L82,$E$4,$D83&amp;":"&amp;L$14&amp;L$15&amp;":AN:NULL:FISCAL")</f>
        <v>#NAME?</v>
      </c>
      <c r="M83" s="423" t="e">
        <f ca="1">_xll.BLUEMATRIX2("/servlet/excelData",M82,$E$4,$D83&amp;":"&amp;M$14&amp;M$15&amp;":AN:NULL:FISCAL")</f>
        <v>#NAME?</v>
      </c>
      <c r="N83" s="423" t="e">
        <f ca="1">_xll.BLUEMATRIX2("/servlet/excelData",N82,$E$4,$D83&amp;":"&amp;N$14&amp;N$15&amp;":AN:NULL:FISCAL")</f>
        <v>#NAME?</v>
      </c>
    </row>
    <row r="84" spans="1:14" ht="15" x14ac:dyDescent="0.25">
      <c r="A84" s="444"/>
      <c r="B84" s="416" t="s">
        <v>526</v>
      </c>
      <c r="C84" s="409" t="s">
        <v>527</v>
      </c>
      <c r="D84" s="417" t="s">
        <v>528</v>
      </c>
      <c r="E84" s="437"/>
      <c r="F84" s="437"/>
      <c r="G84" s="437"/>
      <c r="H84" s="437"/>
      <c r="I84" s="437"/>
      <c r="J84" s="437"/>
      <c r="K84" s="438"/>
      <c r="L84" s="438"/>
      <c r="M84" s="438"/>
      <c r="N84" s="438"/>
    </row>
    <row r="85" spans="1:14" ht="15" x14ac:dyDescent="0.25">
      <c r="A85" s="444"/>
      <c r="B85" s="420" t="s">
        <v>415</v>
      </c>
      <c r="C85" s="421"/>
      <c r="D85" s="436" t="s">
        <v>528</v>
      </c>
      <c r="E85" s="423" t="e">
        <f ca="1">_xll.BLUEMATRIX2("/servlet/excelData",E84,$E$4,$D85&amp;":"&amp;E$14&amp;E$15&amp;":AN:NULL:FISCAL")</f>
        <v>#NAME?</v>
      </c>
      <c r="F85" s="423" t="e">
        <f ca="1">_xll.BLUEMATRIX2("/servlet/excelData",F84,$E$4,$D85&amp;":"&amp;F$14&amp;F$15&amp;":AN:NULL:FISCAL")</f>
        <v>#NAME?</v>
      </c>
      <c r="G85" s="423" t="e">
        <f ca="1">_xll.BLUEMATRIX2("/servlet/excelData",G84,$E$4,$D85&amp;":"&amp;G$14&amp;G$15&amp;":AN:NULL:FISCAL")</f>
        <v>#NAME?</v>
      </c>
      <c r="H85" s="423" t="e">
        <f ca="1">_xll.BLUEMATRIX2("/servlet/excelData",H84,$E$4,$D85&amp;":"&amp;H$14&amp;H$15&amp;":AN:NULL:FISCAL")</f>
        <v>#NAME?</v>
      </c>
      <c r="I85" s="423" t="e">
        <f ca="1">_xll.BLUEMATRIX2("/servlet/excelData",I84,$E$4,$D85&amp;":"&amp;I$14&amp;I$15&amp;":AN:NULL:FISCAL")</f>
        <v>#NAME?</v>
      </c>
      <c r="J85" s="423" t="e">
        <f ca="1">_xll.BLUEMATRIX2("/servlet/excelData",J84,$E$4,$D85&amp;":"&amp;J$14&amp;J$15&amp;":AN:NULL:FISCAL")</f>
        <v>#NAME?</v>
      </c>
      <c r="K85" s="423" t="e">
        <f ca="1">_xll.BLUEMATRIX2("/servlet/excelData",K84,$E$4,$D85&amp;":"&amp;K$14&amp;K$15&amp;":AN:NULL:FISCAL")</f>
        <v>#NAME?</v>
      </c>
      <c r="L85" s="423" t="e">
        <f ca="1">_xll.BLUEMATRIX2("/servlet/excelData",L84,$E$4,$D85&amp;":"&amp;L$14&amp;L$15&amp;":AN:NULL:FISCAL")</f>
        <v>#NAME?</v>
      </c>
      <c r="M85" s="423" t="e">
        <f ca="1">_xll.BLUEMATRIX2("/servlet/excelData",M84,$E$4,$D85&amp;":"&amp;M$14&amp;M$15&amp;":AN:NULL:FISCAL")</f>
        <v>#NAME?</v>
      </c>
      <c r="N85" s="423" t="e">
        <f ca="1">_xll.BLUEMATRIX2("/servlet/excelData",N84,$E$4,$D85&amp;":"&amp;N$14&amp;N$15&amp;":AN:NULL:FISCAL")</f>
        <v>#NAME?</v>
      </c>
    </row>
    <row r="86" spans="1:14" ht="15" x14ac:dyDescent="0.25">
      <c r="A86" s="444"/>
      <c r="B86" s="416" t="s">
        <v>529</v>
      </c>
      <c r="C86" s="409" t="s">
        <v>530</v>
      </c>
      <c r="D86" s="417" t="s">
        <v>531</v>
      </c>
      <c r="E86" s="437"/>
      <c r="F86" s="437"/>
      <c r="G86" s="437"/>
      <c r="H86" s="437"/>
      <c r="I86" s="437"/>
      <c r="J86" s="437"/>
      <c r="K86" s="438"/>
      <c r="L86" s="438"/>
      <c r="M86" s="438"/>
      <c r="N86" s="438"/>
    </row>
    <row r="87" spans="1:14" ht="15" x14ac:dyDescent="0.25">
      <c r="A87" s="444"/>
      <c r="B87" s="420" t="s">
        <v>415</v>
      </c>
      <c r="C87" s="421"/>
      <c r="D87" s="436" t="s">
        <v>531</v>
      </c>
      <c r="E87" s="423" t="e">
        <f ca="1">_xll.BLUEMATRIX2("/servlet/excelData",E86,$E$4,$D87&amp;":"&amp;E$14&amp;E$15&amp;":AN:NULL:FISCAL")</f>
        <v>#NAME?</v>
      </c>
      <c r="F87" s="423" t="e">
        <f ca="1">_xll.BLUEMATRIX2("/servlet/excelData",F86,$E$4,$D87&amp;":"&amp;F$14&amp;F$15&amp;":AN:NULL:FISCAL")</f>
        <v>#NAME?</v>
      </c>
      <c r="G87" s="423" t="e">
        <f ca="1">_xll.BLUEMATRIX2("/servlet/excelData",G86,$E$4,$D87&amp;":"&amp;G$14&amp;G$15&amp;":AN:NULL:FISCAL")</f>
        <v>#NAME?</v>
      </c>
      <c r="H87" s="423" t="e">
        <f ca="1">_xll.BLUEMATRIX2("/servlet/excelData",H86,$E$4,$D87&amp;":"&amp;H$14&amp;H$15&amp;":AN:NULL:FISCAL")</f>
        <v>#NAME?</v>
      </c>
      <c r="I87" s="423" t="e">
        <f ca="1">_xll.BLUEMATRIX2("/servlet/excelData",I86,$E$4,$D87&amp;":"&amp;I$14&amp;I$15&amp;":AN:NULL:FISCAL")</f>
        <v>#NAME?</v>
      </c>
      <c r="J87" s="423" t="e">
        <f ca="1">_xll.BLUEMATRIX2("/servlet/excelData",J86,$E$4,$D87&amp;":"&amp;J$14&amp;J$15&amp;":AN:NULL:FISCAL")</f>
        <v>#NAME?</v>
      </c>
      <c r="K87" s="423" t="e">
        <f ca="1">_xll.BLUEMATRIX2("/servlet/excelData",K86,$E$4,$D87&amp;":"&amp;K$14&amp;K$15&amp;":AN:NULL:FISCAL")</f>
        <v>#NAME?</v>
      </c>
      <c r="L87" s="423" t="e">
        <f ca="1">_xll.BLUEMATRIX2("/servlet/excelData",L86,$E$4,$D87&amp;":"&amp;L$14&amp;L$15&amp;":AN:NULL:FISCAL")</f>
        <v>#NAME?</v>
      </c>
      <c r="M87" s="423" t="e">
        <f ca="1">_xll.BLUEMATRIX2("/servlet/excelData",M86,$E$4,$D87&amp;":"&amp;M$14&amp;M$15&amp;":AN:NULL:FISCAL")</f>
        <v>#NAME?</v>
      </c>
      <c r="N87" s="423" t="e">
        <f ca="1">_xll.BLUEMATRIX2("/servlet/excelData",N86,$E$4,$D87&amp;":"&amp;N$14&amp;N$15&amp;":AN:NULL:FISCAL")</f>
        <v>#NAME?</v>
      </c>
    </row>
    <row r="88" spans="1:14" ht="15" x14ac:dyDescent="0.25">
      <c r="A88" s="446" t="s">
        <v>532</v>
      </c>
      <c r="B88" s="430" t="s">
        <v>533</v>
      </c>
      <c r="C88" s="431" t="s">
        <v>534</v>
      </c>
      <c r="D88" s="432" t="s">
        <v>535</v>
      </c>
      <c r="E88" s="443"/>
      <c r="F88" s="443"/>
      <c r="G88" s="443"/>
      <c r="H88" s="443"/>
      <c r="I88" s="443"/>
      <c r="J88" s="443"/>
      <c r="K88" s="443"/>
      <c r="L88" s="443"/>
      <c r="M88" s="443"/>
      <c r="N88" s="443"/>
    </row>
    <row r="89" spans="1:14" x14ac:dyDescent="0.2">
      <c r="A89" s="447"/>
      <c r="B89" s="420" t="s">
        <v>415</v>
      </c>
      <c r="C89" s="421"/>
      <c r="D89" s="436" t="s">
        <v>535</v>
      </c>
      <c r="E89" s="423" t="e">
        <f ca="1">_xll.BLUEMATRIX2("/servlet/excelData",E88,$E$4,$D89&amp;":"&amp;E$14&amp;E$15&amp;":AN:NULL:FISCAL")</f>
        <v>#NAME?</v>
      </c>
      <c r="F89" s="423" t="e">
        <f ca="1">_xll.BLUEMATRIX2("/servlet/excelData",F88,$E$4,$D89&amp;":"&amp;F$14&amp;F$15&amp;":AN:NULL:FISCAL")</f>
        <v>#NAME?</v>
      </c>
      <c r="G89" s="423" t="e">
        <f ca="1">_xll.BLUEMATRIX2("/servlet/excelData",G88,$E$4,$D89&amp;":"&amp;G$14&amp;G$15&amp;":AN:NULL:FISCAL")</f>
        <v>#NAME?</v>
      </c>
      <c r="H89" s="423" t="e">
        <f ca="1">_xll.BLUEMATRIX2("/servlet/excelData",H88,$E$4,$D89&amp;":"&amp;H$14&amp;H$15&amp;":AN:NULL:FISCAL")</f>
        <v>#NAME?</v>
      </c>
      <c r="I89" s="423" t="e">
        <f ca="1">_xll.BLUEMATRIX2("/servlet/excelData",I88,$E$4,$D89&amp;":"&amp;I$14&amp;I$15&amp;":AN:NULL:FISCAL")</f>
        <v>#NAME?</v>
      </c>
      <c r="J89" s="423" t="e">
        <f ca="1">_xll.BLUEMATRIX2("/servlet/excelData",J88,$E$4,$D89&amp;":"&amp;J$14&amp;J$15&amp;":AN:NULL:FISCAL")</f>
        <v>#NAME?</v>
      </c>
      <c r="K89" s="423" t="e">
        <f ca="1">_xll.BLUEMATRIX2("/servlet/excelData",K88,$E$4,$D89&amp;":"&amp;K$14&amp;K$15&amp;":AN:NULL:FISCAL")</f>
        <v>#NAME?</v>
      </c>
      <c r="L89" s="423" t="e">
        <f ca="1">_xll.BLUEMATRIX2("/servlet/excelData",L88,$E$4,$D89&amp;":"&amp;L$14&amp;L$15&amp;":AN:NULL:FISCAL")</f>
        <v>#NAME?</v>
      </c>
      <c r="M89" s="423" t="e">
        <f ca="1">_xll.BLUEMATRIX2("/servlet/excelData",M88,$E$4,$D89&amp;":"&amp;M$14&amp;M$15&amp;":AN:NULL:FISCAL")</f>
        <v>#NAME?</v>
      </c>
      <c r="N89" s="423" t="e">
        <f ca="1">_xll.BLUEMATRIX2("/servlet/excelData",N88,$E$4,$D89&amp;":"&amp;N$14&amp;N$15&amp;":AN:NULL:FISCAL")</f>
        <v>#NAME?</v>
      </c>
    </row>
    <row r="90" spans="1:14" ht="15" x14ac:dyDescent="0.25">
      <c r="A90" s="448" t="s">
        <v>536</v>
      </c>
      <c r="B90" s="430" t="s">
        <v>537</v>
      </c>
      <c r="C90" s="430" t="s">
        <v>17</v>
      </c>
      <c r="D90" s="432" t="s">
        <v>538</v>
      </c>
      <c r="E90" s="449">
        <f>'FC - 3FS'!AN14</f>
        <v>79571</v>
      </c>
      <c r="F90" s="449">
        <f>'FC - 3FS'!AO14</f>
        <v>78558</v>
      </c>
      <c r="G90" s="449">
        <f>'FC - 3FS'!AP14</f>
        <v>81400</v>
      </c>
      <c r="H90" s="449">
        <f>'FC - 3FS'!AQ14</f>
        <v>87847.495279587922</v>
      </c>
      <c r="I90" s="449">
        <f>'FC - 3FS'!AR14</f>
        <v>94417.322357573066</v>
      </c>
      <c r="J90" s="449">
        <f>'FC - 3FS'!AS14</f>
        <v>99251.786914963712</v>
      </c>
      <c r="K90" s="443"/>
      <c r="L90" s="443"/>
      <c r="M90" s="443"/>
      <c r="N90" s="443"/>
    </row>
    <row r="91" spans="1:14" ht="15" x14ac:dyDescent="0.25">
      <c r="A91" s="450"/>
      <c r="B91" s="420" t="s">
        <v>415</v>
      </c>
      <c r="C91" s="421"/>
      <c r="D91" s="436" t="s">
        <v>538</v>
      </c>
      <c r="E91" s="423" t="e">
        <f ca="1">_xll.BLUEMATRIX2("/servlet/excelData",E90,$E$4,$D91&amp;":"&amp;E$14&amp;E$15&amp;":AN:NULL:FISCAL")</f>
        <v>#NAME?</v>
      </c>
      <c r="F91" s="423" t="e">
        <f ca="1">_xll.BLUEMATRIX2("/servlet/excelData",F90,$E$4,$D91&amp;":"&amp;F$14&amp;F$15&amp;":AN:NULL:FISCAL")</f>
        <v>#NAME?</v>
      </c>
      <c r="G91" s="423" t="e">
        <f ca="1">_xll.BLUEMATRIX2("/servlet/excelData",G90,$E$4,$D91&amp;":"&amp;G$14&amp;G$15&amp;":AN:NULL:FISCAL")</f>
        <v>#NAME?</v>
      </c>
      <c r="H91" s="423" t="e">
        <f ca="1">_xll.BLUEMATRIX2("/servlet/excelData",H90,$E$4,$D91&amp;":"&amp;H$14&amp;H$15&amp;":AN:NULL:FISCAL")</f>
        <v>#NAME?</v>
      </c>
      <c r="I91" s="423" t="e">
        <f ca="1">_xll.BLUEMATRIX2("/servlet/excelData",I90,$E$4,$D91&amp;":"&amp;I$14&amp;I$15&amp;":AN:NULL:FISCAL")</f>
        <v>#NAME?</v>
      </c>
      <c r="J91" s="423" t="e">
        <f ca="1">_xll.BLUEMATRIX2("/servlet/excelData",J90,$E$4,$D91&amp;":"&amp;J$14&amp;J$15&amp;":AN:NULL:FISCAL")</f>
        <v>#NAME?</v>
      </c>
      <c r="K91" s="423" t="e">
        <f ca="1">_xll.BLUEMATRIX2("/servlet/excelData",K90,$E$4,$D91&amp;":"&amp;K$14&amp;K$15&amp;":AN:NULL:FISCAL")</f>
        <v>#NAME?</v>
      </c>
      <c r="L91" s="423" t="e">
        <f ca="1">_xll.BLUEMATRIX2("/servlet/excelData",L90,$E$4,$D91&amp;":"&amp;L$14&amp;L$15&amp;":AN:NULL:FISCAL")</f>
        <v>#NAME?</v>
      </c>
      <c r="M91" s="423" t="e">
        <f ca="1">_xll.BLUEMATRIX2("/servlet/excelData",M90,$E$4,$D91&amp;":"&amp;M$14&amp;M$15&amp;":AN:NULL:FISCAL")</f>
        <v>#NAME?</v>
      </c>
      <c r="N91" s="423" t="e">
        <f ca="1">_xll.BLUEMATRIX2("/servlet/excelData",N90,$E$4,$D91&amp;":"&amp;N$14&amp;N$15&amp;":AN:NULL:FISCAL")</f>
        <v>#NAME?</v>
      </c>
    </row>
    <row r="92" spans="1:14" ht="15" x14ac:dyDescent="0.25">
      <c r="A92" s="450"/>
      <c r="B92" s="416" t="s">
        <v>539</v>
      </c>
      <c r="C92" s="416"/>
      <c r="D92" s="417" t="s">
        <v>540</v>
      </c>
      <c r="E92" s="451">
        <f>'FC - 3FS'!AN14/'FC - 3FS'!AM14-1</f>
        <v>-6.8274295414263442E-3</v>
      </c>
      <c r="F92" s="451">
        <f>'FC - 3FS'!AO14/'FC - 3FS'!AN14-1</f>
        <v>-1.2730768747407972E-2</v>
      </c>
      <c r="G92" s="451">
        <f>'FC - 3FS'!AP14/'FC - 3FS'!AO14-1</f>
        <v>3.6177092084828999E-2</v>
      </c>
      <c r="H92" s="451">
        <f>'FC - 3FS'!AQ14/'FC - 3FS'!AP14-1</f>
        <v>7.9207558717296234E-2</v>
      </c>
      <c r="I92" s="451">
        <f>'FC - 3FS'!AR14/'FC - 3FS'!AQ14-1</f>
        <v>7.478673190482743E-2</v>
      </c>
      <c r="J92" s="451">
        <f>'FC - 3FS'!AS14/'FC - 3FS'!AR14-1</f>
        <v>5.1203152521968054E-2</v>
      </c>
      <c r="K92" s="438"/>
      <c r="L92" s="438"/>
      <c r="M92" s="438"/>
      <c r="N92" s="438"/>
    </row>
    <row r="93" spans="1:14" ht="15" x14ac:dyDescent="0.25">
      <c r="A93" s="450"/>
      <c r="B93" s="420" t="s">
        <v>415</v>
      </c>
      <c r="C93" s="421"/>
      <c r="D93" s="436" t="s">
        <v>540</v>
      </c>
      <c r="E93" s="423" t="e">
        <f ca="1">_xll.BLUEMATRIX2("/servlet/excelData",E92,$E$4,$D93&amp;":"&amp;E$14&amp;E$15&amp;":AN:NULL:FISCAL")</f>
        <v>#NAME?</v>
      </c>
      <c r="F93" s="423" t="e">
        <f ca="1">_xll.BLUEMATRIX2("/servlet/excelData",F92,$E$4,$D93&amp;":"&amp;F$14&amp;F$15&amp;":AN:NULL:FISCAL")</f>
        <v>#NAME?</v>
      </c>
      <c r="G93" s="423" t="e">
        <f ca="1">_xll.BLUEMATRIX2("/servlet/excelData",G92,$E$4,$D93&amp;":"&amp;G$14&amp;G$15&amp;":AN:NULL:FISCAL")</f>
        <v>#NAME?</v>
      </c>
      <c r="H93" s="423" t="e">
        <f ca="1">_xll.BLUEMATRIX2("/servlet/excelData",H92,$E$4,$D93&amp;":"&amp;H$14&amp;H$15&amp;":AN:NULL:FISCAL")</f>
        <v>#NAME?</v>
      </c>
      <c r="I93" s="423" t="e">
        <f ca="1">_xll.BLUEMATRIX2("/servlet/excelData",I92,$E$4,$D93&amp;":"&amp;I$14&amp;I$15&amp;":AN:NULL:FISCAL")</f>
        <v>#NAME?</v>
      </c>
      <c r="J93" s="423" t="e">
        <f ca="1">_xll.BLUEMATRIX2("/servlet/excelData",J92,$E$4,$D93&amp;":"&amp;J$14&amp;J$15&amp;":AN:NULL:FISCAL")</f>
        <v>#NAME?</v>
      </c>
      <c r="K93" s="423" t="e">
        <f ca="1">_xll.BLUEMATRIX2("/servlet/excelData",K92,$E$4,$D93&amp;":"&amp;K$14&amp;K$15&amp;":AN:NULL:FISCAL")</f>
        <v>#NAME?</v>
      </c>
      <c r="L93" s="423" t="e">
        <f ca="1">_xll.BLUEMATRIX2("/servlet/excelData",L92,$E$4,$D93&amp;":"&amp;L$14&amp;L$15&amp;":AN:NULL:FISCAL")</f>
        <v>#NAME?</v>
      </c>
      <c r="M93" s="423" t="e">
        <f ca="1">_xll.BLUEMATRIX2("/servlet/excelData",M92,$E$4,$D93&amp;":"&amp;M$14&amp;M$15&amp;":AN:NULL:FISCAL")</f>
        <v>#NAME?</v>
      </c>
      <c r="N93" s="423" t="e">
        <f ca="1">_xll.BLUEMATRIX2("/servlet/excelData",N92,$E$4,$D93&amp;":"&amp;N$14&amp;N$15&amp;":AN:NULL:FISCAL")</f>
        <v>#NAME?</v>
      </c>
    </row>
    <row r="94" spans="1:14" ht="15" x14ac:dyDescent="0.25">
      <c r="A94" s="450"/>
      <c r="B94" s="416" t="s">
        <v>541</v>
      </c>
      <c r="C94" s="416" t="s">
        <v>542</v>
      </c>
      <c r="D94" s="417" t="s">
        <v>543</v>
      </c>
      <c r="E94" s="445">
        <f>'FC - 3FS'!AN16+'FC - 3FS'!AN17</f>
        <v>36206</v>
      </c>
      <c r="F94" s="445">
        <f>'FC - 3FS'!AO16+'FC - 3FS'!AO17</f>
        <v>30188</v>
      </c>
      <c r="G94" s="445">
        <f>'FC - 3FS'!AP16+'FC - 3FS'!AP17</f>
        <v>29653</v>
      </c>
      <c r="H94" s="445">
        <f>'FC - 3FS'!AQ16+'FC - 3FS'!AQ17</f>
        <v>32347.765146174843</v>
      </c>
      <c r="I94" s="445">
        <f>'FC - 3FS'!AR16+'FC - 3FS'!AR17</f>
        <v>34370.428636343197</v>
      </c>
      <c r="J94" s="445">
        <f>'FC - 3FS'!AS16+'FC - 3FS'!AS17</f>
        <v>35767.943542912006</v>
      </c>
      <c r="K94" s="438"/>
      <c r="L94" s="438"/>
      <c r="M94" s="438"/>
      <c r="N94" s="438"/>
    </row>
    <row r="95" spans="1:14" ht="15" x14ac:dyDescent="0.25">
      <c r="A95" s="450"/>
      <c r="B95" s="420" t="s">
        <v>415</v>
      </c>
      <c r="C95" s="421"/>
      <c r="D95" s="436" t="s">
        <v>543</v>
      </c>
      <c r="E95" s="423" t="e">
        <f ca="1">_xll.BLUEMATRIX2("/servlet/excelData",E94,$E$4,$D95&amp;":"&amp;E$14&amp;E$15&amp;":AN:NULL:FISCAL")</f>
        <v>#NAME?</v>
      </c>
      <c r="F95" s="423" t="e">
        <f ca="1">_xll.BLUEMATRIX2("/servlet/excelData",F94,$E$4,$D95&amp;":"&amp;F$14&amp;F$15&amp;":AN:NULL:FISCAL")</f>
        <v>#NAME?</v>
      </c>
      <c r="G95" s="423" t="e">
        <f ca="1">_xll.BLUEMATRIX2("/servlet/excelData",G94,$E$4,$D95&amp;":"&amp;G$14&amp;G$15&amp;":AN:NULL:FISCAL")</f>
        <v>#NAME?</v>
      </c>
      <c r="H95" s="423" t="e">
        <f ca="1">_xll.BLUEMATRIX2("/servlet/excelData",H94,$E$4,$D95&amp;":"&amp;H$14&amp;H$15&amp;":AN:NULL:FISCAL")</f>
        <v>#NAME?</v>
      </c>
      <c r="I95" s="423" t="e">
        <f ca="1">_xll.BLUEMATRIX2("/servlet/excelData",I94,$E$4,$D95&amp;":"&amp;I$14&amp;I$15&amp;":AN:NULL:FISCAL")</f>
        <v>#NAME?</v>
      </c>
      <c r="J95" s="423" t="e">
        <f ca="1">_xll.BLUEMATRIX2("/servlet/excelData",J94,$E$4,$D95&amp;":"&amp;J$14&amp;J$15&amp;":AN:NULL:FISCAL")</f>
        <v>#NAME?</v>
      </c>
      <c r="K95" s="423" t="e">
        <f ca="1">_xll.BLUEMATRIX2("/servlet/excelData",K94,$E$4,$D95&amp;":"&amp;K$14&amp;K$15&amp;":AN:NULL:FISCAL")</f>
        <v>#NAME?</v>
      </c>
      <c r="L95" s="423" t="e">
        <f ca="1">_xll.BLUEMATRIX2("/servlet/excelData",L94,$E$4,$D95&amp;":"&amp;L$14&amp;L$15&amp;":AN:NULL:FISCAL")</f>
        <v>#NAME?</v>
      </c>
      <c r="M95" s="423" t="e">
        <f ca="1">_xll.BLUEMATRIX2("/servlet/excelData",M94,$E$4,$D95&amp;":"&amp;M$14&amp;M$15&amp;":AN:NULL:FISCAL")</f>
        <v>#NAME?</v>
      </c>
      <c r="N95" s="423" t="e">
        <f ca="1">_xll.BLUEMATRIX2("/servlet/excelData",N94,$E$4,$D95&amp;":"&amp;N$14&amp;N$15&amp;":AN:NULL:FISCAL")</f>
        <v>#NAME?</v>
      </c>
    </row>
    <row r="96" spans="1:14" ht="15" x14ac:dyDescent="0.25">
      <c r="A96" s="450"/>
      <c r="B96" s="416" t="s">
        <v>544</v>
      </c>
      <c r="C96" s="409" t="s">
        <v>545</v>
      </c>
      <c r="D96" s="417" t="s">
        <v>546</v>
      </c>
      <c r="E96" s="437">
        <f>'FC - 3FS'!AN56</f>
        <v>27821</v>
      </c>
      <c r="F96" s="437">
        <f>'FC - 3FS'!AO56</f>
        <v>29428</v>
      </c>
      <c r="G96" s="437">
        <f>'FC - 3FS'!AP56</f>
        <v>31864</v>
      </c>
      <c r="H96" s="437">
        <f>'FC - 3FS'!AQ56</f>
        <v>33884.392487627898</v>
      </c>
      <c r="I96" s="437">
        <f>'FC - 3FS'!AR56</f>
        <v>37383.145408777047</v>
      </c>
      <c r="J96" s="437">
        <f>'FC - 3FS'!AS56</f>
        <v>40069.346882909696</v>
      </c>
      <c r="K96" s="438"/>
      <c r="L96" s="438"/>
      <c r="M96" s="438"/>
      <c r="N96" s="438"/>
    </row>
    <row r="97" spans="1:14" ht="15" x14ac:dyDescent="0.25">
      <c r="A97" s="450"/>
      <c r="B97" s="420" t="s">
        <v>415</v>
      </c>
      <c r="C97" s="421"/>
      <c r="D97" s="436" t="s">
        <v>546</v>
      </c>
      <c r="E97" s="423" t="e">
        <f ca="1">_xll.BLUEMATRIX2("/servlet/excelData",E96,$E$4,$D97&amp;":"&amp;E$14&amp;E$15&amp;":AN:NULL:FISCAL")</f>
        <v>#NAME?</v>
      </c>
      <c r="F97" s="423" t="e">
        <f ca="1">_xll.BLUEMATRIX2("/servlet/excelData",F96,$E$4,$D97&amp;":"&amp;F$14&amp;F$15&amp;":AN:NULL:FISCAL")</f>
        <v>#NAME?</v>
      </c>
      <c r="G97" s="423" t="e">
        <f ca="1">_xll.BLUEMATRIX2("/servlet/excelData",G96,$E$4,$D97&amp;":"&amp;G$14&amp;G$15&amp;":AN:NULL:FISCAL")</f>
        <v>#NAME?</v>
      </c>
      <c r="H97" s="423" t="e">
        <f ca="1">_xll.BLUEMATRIX2("/servlet/excelData",H96,$E$4,$D97&amp;":"&amp;H$14&amp;H$15&amp;":AN:NULL:FISCAL")</f>
        <v>#NAME?</v>
      </c>
      <c r="I97" s="423" t="e">
        <f ca="1">_xll.BLUEMATRIX2("/servlet/excelData",I96,$E$4,$D97&amp;":"&amp;I$14&amp;I$15&amp;":AN:NULL:FISCAL")</f>
        <v>#NAME?</v>
      </c>
      <c r="J97" s="423" t="e">
        <f ca="1">_xll.BLUEMATRIX2("/servlet/excelData",J96,$E$4,$D97&amp;":"&amp;J$14&amp;J$15&amp;":AN:NULL:FISCAL")</f>
        <v>#NAME?</v>
      </c>
      <c r="K97" s="423" t="e">
        <f ca="1">_xll.BLUEMATRIX2("/servlet/excelData",K96,$E$4,$D97&amp;":"&amp;K$14&amp;K$15&amp;":AN:NULL:FISCAL")</f>
        <v>#NAME?</v>
      </c>
      <c r="L97" s="423" t="e">
        <f ca="1">_xll.BLUEMATRIX2("/servlet/excelData",L96,$E$4,$D97&amp;":"&amp;L$14&amp;L$15&amp;":AN:NULL:FISCAL")</f>
        <v>#NAME?</v>
      </c>
      <c r="M97" s="423" t="e">
        <f ca="1">_xll.BLUEMATRIX2("/servlet/excelData",M96,$E$4,$D97&amp;":"&amp;M$14&amp;M$15&amp;":AN:NULL:FISCAL")</f>
        <v>#NAME?</v>
      </c>
      <c r="N97" s="423" t="e">
        <f ca="1">_xll.BLUEMATRIX2("/servlet/excelData",N96,$E$4,$D97&amp;":"&amp;N$14&amp;N$15&amp;":AN:NULL:FISCAL")</f>
        <v>#NAME?</v>
      </c>
    </row>
    <row r="98" spans="1:14" ht="15" x14ac:dyDescent="0.25">
      <c r="A98" s="450"/>
      <c r="B98" s="416" t="s">
        <v>547</v>
      </c>
      <c r="C98" s="416"/>
      <c r="D98" s="417" t="s">
        <v>548</v>
      </c>
      <c r="E98" s="451">
        <f>+'FC - 3FS'!AN56/'FC - 3FS'!AM56-1</f>
        <v>3.3316000594265427E-2</v>
      </c>
      <c r="F98" s="451">
        <f>+'FC - 3FS'!AO56/'FC - 3FS'!AN56-1</f>
        <v>5.7762122137953398E-2</v>
      </c>
      <c r="G98" s="451">
        <f>+'FC - 3FS'!AP56/'FC - 3FS'!AO56-1</f>
        <v>8.2778306374881039E-2</v>
      </c>
      <c r="H98" s="451">
        <f>+'FC - 3FS'!AQ56/'FC - 3FS'!AP56-1</f>
        <v>6.3406743899946605E-2</v>
      </c>
      <c r="I98" s="451">
        <f>+'FC - 3FS'!AR56/'FC - 3FS'!AQ56-1</f>
        <v>0.10325558949969782</v>
      </c>
      <c r="J98" s="451">
        <f>+'FC - 3FS'!AS56/'FC - 3FS'!AR56-1</f>
        <v>7.185595125181643E-2</v>
      </c>
      <c r="K98" s="438"/>
      <c r="L98" s="438"/>
      <c r="M98" s="438"/>
      <c r="N98" s="438"/>
    </row>
    <row r="99" spans="1:14" ht="15" x14ac:dyDescent="0.25">
      <c r="A99" s="450"/>
      <c r="B99" s="420" t="s">
        <v>415</v>
      </c>
      <c r="C99" s="421"/>
      <c r="D99" s="436" t="s">
        <v>548</v>
      </c>
      <c r="E99" s="423" t="e">
        <f ca="1">_xll.BLUEMATRIX2("/servlet/excelData",E98,$E$4,$D99&amp;":"&amp;E$14&amp;E$15&amp;":AN:NULL:FISCAL")</f>
        <v>#NAME?</v>
      </c>
      <c r="F99" s="423" t="e">
        <f ca="1">_xll.BLUEMATRIX2("/servlet/excelData",F98,$E$4,$D99&amp;":"&amp;F$14&amp;F$15&amp;":AN:NULL:FISCAL")</f>
        <v>#NAME?</v>
      </c>
      <c r="G99" s="423" t="e">
        <f ca="1">_xll.BLUEMATRIX2("/servlet/excelData",G98,$E$4,$D99&amp;":"&amp;G$14&amp;G$15&amp;":AN:NULL:FISCAL")</f>
        <v>#NAME?</v>
      </c>
      <c r="H99" s="423" t="e">
        <f ca="1">_xll.BLUEMATRIX2("/servlet/excelData",H98,$E$4,$D99&amp;":"&amp;H$14&amp;H$15&amp;":AN:NULL:FISCAL")</f>
        <v>#NAME?</v>
      </c>
      <c r="I99" s="423" t="e">
        <f ca="1">_xll.BLUEMATRIX2("/servlet/excelData",I98,$E$4,$D99&amp;":"&amp;I$14&amp;I$15&amp;":AN:NULL:FISCAL")</f>
        <v>#NAME?</v>
      </c>
      <c r="J99" s="423" t="e">
        <f ca="1">_xll.BLUEMATRIX2("/servlet/excelData",J98,$E$4,$D99&amp;":"&amp;J$14&amp;J$15&amp;":AN:NULL:FISCAL")</f>
        <v>#NAME?</v>
      </c>
      <c r="K99" s="423" t="e">
        <f ca="1">_xll.BLUEMATRIX2("/servlet/excelData",K98,$E$4,$D99&amp;":"&amp;K$14&amp;K$15&amp;":AN:NULL:FISCAL")</f>
        <v>#NAME?</v>
      </c>
      <c r="L99" s="423" t="e">
        <f ca="1">_xll.BLUEMATRIX2("/servlet/excelData",L98,$E$4,$D99&amp;":"&amp;L$14&amp;L$15&amp;":AN:NULL:FISCAL")</f>
        <v>#NAME?</v>
      </c>
      <c r="M99" s="423" t="e">
        <f ca="1">_xll.BLUEMATRIX2("/servlet/excelData",M98,$E$4,$D99&amp;":"&amp;M$14&amp;M$15&amp;":AN:NULL:FISCAL")</f>
        <v>#NAME?</v>
      </c>
      <c r="N99" s="423" t="e">
        <f ca="1">_xll.BLUEMATRIX2("/servlet/excelData",N98,$E$4,$D99&amp;":"&amp;N$14&amp;N$15&amp;":AN:NULL:FISCAL")</f>
        <v>#NAME?</v>
      </c>
    </row>
    <row r="100" spans="1:14" ht="15" x14ac:dyDescent="0.25">
      <c r="A100" s="450"/>
      <c r="B100" s="416" t="s">
        <v>549</v>
      </c>
      <c r="C100" s="409" t="s">
        <v>550</v>
      </c>
      <c r="D100" s="417" t="s">
        <v>551</v>
      </c>
      <c r="E100" s="438"/>
      <c r="F100" s="438"/>
      <c r="G100" s="438"/>
      <c r="H100" s="438"/>
      <c r="I100" s="438"/>
      <c r="J100" s="438"/>
      <c r="K100" s="438"/>
      <c r="L100" s="438"/>
      <c r="M100" s="438"/>
      <c r="N100" s="438"/>
    </row>
    <row r="101" spans="1:14" ht="15" x14ac:dyDescent="0.25">
      <c r="A101" s="450"/>
      <c r="B101" s="420" t="s">
        <v>415</v>
      </c>
      <c r="C101" s="421"/>
      <c r="D101" s="436" t="s">
        <v>551</v>
      </c>
      <c r="E101" s="423" t="e">
        <f ca="1">_xll.BLUEMATRIX2("/servlet/excelData",E100,$E$4,$D101&amp;":"&amp;E$14&amp;E$15&amp;":AN:NULL:FISCAL")</f>
        <v>#NAME?</v>
      </c>
      <c r="F101" s="423" t="e">
        <f ca="1">_xll.BLUEMATRIX2("/servlet/excelData",F100,$E$4,$D101&amp;":"&amp;F$14&amp;F$15&amp;":AN:NULL:FISCAL")</f>
        <v>#NAME?</v>
      </c>
      <c r="G101" s="423" t="e">
        <f ca="1">_xll.BLUEMATRIX2("/servlet/excelData",G100,$E$4,$D101&amp;":"&amp;G$14&amp;G$15&amp;":AN:NULL:FISCAL")</f>
        <v>#NAME?</v>
      </c>
      <c r="H101" s="423" t="e">
        <f ca="1">_xll.BLUEMATRIX2("/servlet/excelData",H100,$E$4,$D101&amp;":"&amp;H$14&amp;H$15&amp;":AN:NULL:FISCAL")</f>
        <v>#NAME?</v>
      </c>
      <c r="I101" s="423" t="e">
        <f ca="1">_xll.BLUEMATRIX2("/servlet/excelData",I100,$E$4,$D101&amp;":"&amp;I$14&amp;I$15&amp;":AN:NULL:FISCAL")</f>
        <v>#NAME?</v>
      </c>
      <c r="J101" s="423" t="e">
        <f ca="1">_xll.BLUEMATRIX2("/servlet/excelData",J100,$E$4,$D101&amp;":"&amp;J$14&amp;J$15&amp;":AN:NULL:FISCAL")</f>
        <v>#NAME?</v>
      </c>
      <c r="K101" s="423" t="e">
        <f ca="1">_xll.BLUEMATRIX2("/servlet/excelData",K100,$E$4,$D101&amp;":"&amp;K$14&amp;K$15&amp;":AN:NULL:FISCAL")</f>
        <v>#NAME?</v>
      </c>
      <c r="L101" s="423" t="e">
        <f ca="1">_xll.BLUEMATRIX2("/servlet/excelData",L100,$E$4,$D101&amp;":"&amp;L$14&amp;L$15&amp;":AN:NULL:FISCAL")</f>
        <v>#NAME?</v>
      </c>
      <c r="M101" s="423" t="e">
        <f ca="1">_xll.BLUEMATRIX2("/servlet/excelData",M100,$E$4,$D101&amp;":"&amp;M$14&amp;M$15&amp;":AN:NULL:FISCAL")</f>
        <v>#NAME?</v>
      </c>
      <c r="N101" s="423" t="e">
        <f ca="1">_xll.BLUEMATRIX2("/servlet/excelData",N100,$E$4,$D101&amp;":"&amp;N$14&amp;N$15&amp;":AN:NULL:FISCAL")</f>
        <v>#NAME?</v>
      </c>
    </row>
    <row r="102" spans="1:14" ht="15" x14ac:dyDescent="0.25">
      <c r="A102" s="450"/>
      <c r="B102" s="416" t="s">
        <v>552</v>
      </c>
      <c r="C102" s="416"/>
      <c r="D102" s="417" t="s">
        <v>553</v>
      </c>
      <c r="E102" s="438"/>
      <c r="F102" s="438"/>
      <c r="G102" s="438"/>
      <c r="H102" s="438"/>
      <c r="I102" s="438"/>
      <c r="J102" s="438"/>
      <c r="K102" s="438"/>
      <c r="L102" s="438"/>
      <c r="M102" s="438"/>
      <c r="N102" s="438"/>
    </row>
    <row r="103" spans="1:14" ht="15" x14ac:dyDescent="0.25">
      <c r="A103" s="450"/>
      <c r="B103" s="420" t="s">
        <v>415</v>
      </c>
      <c r="C103" s="421"/>
      <c r="D103" s="436" t="s">
        <v>553</v>
      </c>
      <c r="E103" s="423" t="e">
        <f ca="1">_xll.BLUEMATRIX2("/servlet/excelData",E102,$E$4,$D103&amp;":"&amp;E$14&amp;E$15&amp;":AN:NULL:FISCAL")</f>
        <v>#NAME?</v>
      </c>
      <c r="F103" s="423" t="e">
        <f ca="1">_xll.BLUEMATRIX2("/servlet/excelData",F102,$E$4,$D103&amp;":"&amp;F$14&amp;F$15&amp;":AN:NULL:FISCAL")</f>
        <v>#NAME?</v>
      </c>
      <c r="G103" s="423" t="e">
        <f ca="1">_xll.BLUEMATRIX2("/servlet/excelData",G102,$E$4,$D103&amp;":"&amp;G$14&amp;G$15&amp;":AN:NULL:FISCAL")</f>
        <v>#NAME?</v>
      </c>
      <c r="H103" s="423" t="e">
        <f ca="1">_xll.BLUEMATRIX2("/servlet/excelData",H102,$E$4,$D103&amp;":"&amp;H$14&amp;H$15&amp;":AN:NULL:FISCAL")</f>
        <v>#NAME?</v>
      </c>
      <c r="I103" s="423" t="e">
        <f ca="1">_xll.BLUEMATRIX2("/servlet/excelData",I102,$E$4,$D103&amp;":"&amp;I$14&amp;I$15&amp;":AN:NULL:FISCAL")</f>
        <v>#NAME?</v>
      </c>
      <c r="J103" s="423" t="e">
        <f ca="1">_xll.BLUEMATRIX2("/servlet/excelData",J102,$E$4,$D103&amp;":"&amp;J$14&amp;J$15&amp;":AN:NULL:FISCAL")</f>
        <v>#NAME?</v>
      </c>
      <c r="K103" s="423" t="e">
        <f ca="1">_xll.BLUEMATRIX2("/servlet/excelData",K102,$E$4,$D103&amp;":"&amp;K$14&amp;K$15&amp;":AN:NULL:FISCAL")</f>
        <v>#NAME?</v>
      </c>
      <c r="L103" s="423" t="e">
        <f ca="1">_xll.BLUEMATRIX2("/servlet/excelData",L102,$E$4,$D103&amp;":"&amp;L$14&amp;L$15&amp;":AN:NULL:FISCAL")</f>
        <v>#NAME?</v>
      </c>
      <c r="M103" s="423" t="e">
        <f ca="1">_xll.BLUEMATRIX2("/servlet/excelData",M102,$E$4,$D103&amp;":"&amp;M$14&amp;M$15&amp;":AN:NULL:FISCAL")</f>
        <v>#NAME?</v>
      </c>
      <c r="N103" s="423" t="e">
        <f ca="1">_xll.BLUEMATRIX2("/servlet/excelData",N102,$E$4,$D103&amp;":"&amp;N$14&amp;N$15&amp;":AN:NULL:FISCAL")</f>
        <v>#NAME?</v>
      </c>
    </row>
    <row r="104" spans="1:14" ht="15" x14ac:dyDescent="0.25">
      <c r="A104" s="450"/>
      <c r="B104" s="416" t="s">
        <v>554</v>
      </c>
      <c r="C104" s="416" t="s">
        <v>555</v>
      </c>
      <c r="D104" s="417" t="s">
        <v>556</v>
      </c>
      <c r="E104" s="437">
        <f>+'FC - 3FS'!AN21</f>
        <v>13651</v>
      </c>
      <c r="F104" s="437">
        <f>+'FC - 3FS'!AO21</f>
        <v>12818</v>
      </c>
      <c r="G104" s="437">
        <f>+'FC - 3FS'!AP21</f>
        <v>12919</v>
      </c>
      <c r="H104" s="437">
        <f>+'FC - 3FS'!AQ21</f>
        <v>13422.032122885717</v>
      </c>
      <c r="I104" s="437">
        <f>+'FC - 3FS'!AR21</f>
        <v>14308.594296384867</v>
      </c>
      <c r="J104" s="437">
        <f>+'FC - 3FS'!AS21</f>
        <v>14771.98306379588</v>
      </c>
      <c r="K104" s="438"/>
      <c r="L104" s="438"/>
      <c r="M104" s="438"/>
      <c r="N104" s="438"/>
    </row>
    <row r="105" spans="1:14" ht="15" x14ac:dyDescent="0.25">
      <c r="A105" s="450"/>
      <c r="B105" s="420" t="s">
        <v>415</v>
      </c>
      <c r="C105" s="421"/>
      <c r="D105" s="436" t="s">
        <v>556</v>
      </c>
      <c r="E105" s="423" t="e">
        <f ca="1">_xll.BLUEMATRIX2("/servlet/excelData",E104,$E$4,$D105&amp;":"&amp;E$14&amp;E$15&amp;":AN:NULL:FISCAL")</f>
        <v>#NAME?</v>
      </c>
      <c r="F105" s="423" t="e">
        <f ca="1">_xll.BLUEMATRIX2("/servlet/excelData",F104,$E$4,$D105&amp;":"&amp;F$14&amp;F$15&amp;":AN:NULL:FISCAL")</f>
        <v>#NAME?</v>
      </c>
      <c r="G105" s="423" t="e">
        <f ca="1">_xll.BLUEMATRIX2("/servlet/excelData",G104,$E$4,$D105&amp;":"&amp;G$14&amp;G$15&amp;":AN:NULL:FISCAL")</f>
        <v>#NAME?</v>
      </c>
      <c r="H105" s="423" t="e">
        <f ca="1">_xll.BLUEMATRIX2("/servlet/excelData",H104,$E$4,$D105&amp;":"&amp;H$14&amp;H$15&amp;":AN:NULL:FISCAL")</f>
        <v>#NAME?</v>
      </c>
      <c r="I105" s="423" t="e">
        <f ca="1">_xll.BLUEMATRIX2("/servlet/excelData",I104,$E$4,$D105&amp;":"&amp;I$14&amp;I$15&amp;":AN:NULL:FISCAL")</f>
        <v>#NAME?</v>
      </c>
      <c r="J105" s="423" t="e">
        <f ca="1">_xll.BLUEMATRIX2("/servlet/excelData",J104,$E$4,$D105&amp;":"&amp;J$14&amp;J$15&amp;":AN:NULL:FISCAL")</f>
        <v>#NAME?</v>
      </c>
      <c r="K105" s="423" t="e">
        <f ca="1">_xll.BLUEMATRIX2("/servlet/excelData",K104,$E$4,$D105&amp;":"&amp;K$14&amp;K$15&amp;":AN:NULL:FISCAL")</f>
        <v>#NAME?</v>
      </c>
      <c r="L105" s="423" t="e">
        <f ca="1">_xll.BLUEMATRIX2("/servlet/excelData",L104,$E$4,$D105&amp;":"&amp;L$14&amp;L$15&amp;":AN:NULL:FISCAL")</f>
        <v>#NAME?</v>
      </c>
      <c r="M105" s="423" t="e">
        <f ca="1">_xll.BLUEMATRIX2("/servlet/excelData",M104,$E$4,$D105&amp;":"&amp;M$14&amp;M$15&amp;":AN:NULL:FISCAL")</f>
        <v>#NAME?</v>
      </c>
      <c r="N105" s="423" t="e">
        <f ca="1">_xll.BLUEMATRIX2("/servlet/excelData",N104,$E$4,$D105&amp;":"&amp;N$14&amp;N$15&amp;":AN:NULL:FISCAL")</f>
        <v>#NAME?</v>
      </c>
    </row>
    <row r="106" spans="1:14" ht="15" x14ac:dyDescent="0.25">
      <c r="A106" s="450"/>
      <c r="B106" s="416" t="s">
        <v>557</v>
      </c>
      <c r="C106" s="416" t="s">
        <v>558</v>
      </c>
      <c r="D106" s="417" t="s">
        <v>559</v>
      </c>
      <c r="E106" s="437">
        <f>'FC - 3FS'!AN23</f>
        <v>6543</v>
      </c>
      <c r="F106" s="437">
        <f>'FC - 3FS'!AO23</f>
        <v>14266</v>
      </c>
      <c r="G106" s="437">
        <f>'FC - 3FS'!AP23</f>
        <v>18010</v>
      </c>
      <c r="H106" s="437">
        <f>'FC - 3FS'!AQ23</f>
        <v>18579.344278309713</v>
      </c>
      <c r="I106" s="437">
        <f>'FC - 3FS'!AR23</f>
        <v>20628.684712978196</v>
      </c>
      <c r="J106" s="437">
        <f>'FC - 3FS'!AS23</f>
        <v>23736.334888768208</v>
      </c>
      <c r="K106" s="438"/>
      <c r="L106" s="438"/>
      <c r="M106" s="438"/>
      <c r="N106" s="438"/>
    </row>
    <row r="107" spans="1:14" ht="15" x14ac:dyDescent="0.25">
      <c r="A107" s="450"/>
      <c r="B107" s="420" t="s">
        <v>415</v>
      </c>
      <c r="C107" s="421"/>
      <c r="D107" s="436" t="s">
        <v>559</v>
      </c>
      <c r="E107" s="423" t="e">
        <f ca="1">_xll.BLUEMATRIX2("/servlet/excelData",E106,$E$4,$D107&amp;":"&amp;E$14&amp;E$15&amp;":AN:NULL:FISCAL")</f>
        <v>#NAME?</v>
      </c>
      <c r="F107" s="423" t="e">
        <f ca="1">_xll.BLUEMATRIX2("/servlet/excelData",F106,$E$4,$D107&amp;":"&amp;F$14&amp;F$15&amp;":AN:NULL:FISCAL")</f>
        <v>#NAME?</v>
      </c>
      <c r="G107" s="423" t="e">
        <f ca="1">_xll.BLUEMATRIX2("/servlet/excelData",G106,$E$4,$D107&amp;":"&amp;G$14&amp;G$15&amp;":AN:NULL:FISCAL")</f>
        <v>#NAME?</v>
      </c>
      <c r="H107" s="423" t="e">
        <f ca="1">_xll.BLUEMATRIX2("/servlet/excelData",H106,$E$4,$D107&amp;":"&amp;H$14&amp;H$15&amp;":AN:NULL:FISCAL")</f>
        <v>#NAME?</v>
      </c>
      <c r="I107" s="423" t="e">
        <f ca="1">_xll.BLUEMATRIX2("/servlet/excelData",I106,$E$4,$D107&amp;":"&amp;I$14&amp;I$15&amp;":AN:NULL:FISCAL")</f>
        <v>#NAME?</v>
      </c>
      <c r="J107" s="423" t="e">
        <f ca="1">_xll.BLUEMATRIX2("/servlet/excelData",J106,$E$4,$D107&amp;":"&amp;J$14&amp;J$15&amp;":AN:NULL:FISCAL")</f>
        <v>#NAME?</v>
      </c>
      <c r="K107" s="423" t="e">
        <f ca="1">_xll.BLUEMATRIX2("/servlet/excelData",K106,$E$4,$D107&amp;":"&amp;K$14&amp;K$15&amp;":AN:NULL:FISCAL")</f>
        <v>#NAME?</v>
      </c>
      <c r="L107" s="423" t="e">
        <f ca="1">_xll.BLUEMATRIX2("/servlet/excelData",L106,$E$4,$D107&amp;":"&amp;L$14&amp;L$15&amp;":AN:NULL:FISCAL")</f>
        <v>#NAME?</v>
      </c>
      <c r="M107" s="423" t="e">
        <f ca="1">_xll.BLUEMATRIX2("/servlet/excelData",M106,$E$4,$D107&amp;":"&amp;M$14&amp;M$15&amp;":AN:NULL:FISCAL")</f>
        <v>#NAME?</v>
      </c>
      <c r="N107" s="423" t="e">
        <f ca="1">_xll.BLUEMATRIX2("/servlet/excelData",N106,$E$4,$D107&amp;":"&amp;N$14&amp;N$15&amp;":AN:NULL:FISCAL")</f>
        <v>#NAME?</v>
      </c>
    </row>
    <row r="108" spans="1:14" ht="15" x14ac:dyDescent="0.25">
      <c r="A108" s="450"/>
      <c r="B108" s="416" t="s">
        <v>560</v>
      </c>
      <c r="C108" s="416"/>
      <c r="D108" s="417" t="s">
        <v>561</v>
      </c>
      <c r="E108" s="451">
        <f>+'FC - 3FS'!AN23/'FC - 3FS'!AM23-1</f>
        <v>-5.0638421358096375E-2</v>
      </c>
      <c r="F108" s="451">
        <f>+'FC - 3FS'!AO23/'FC - 3FS'!AN23-1</f>
        <v>1.1803454073055173</v>
      </c>
      <c r="G108" s="451">
        <f>+'FC - 3FS'!AP23/'FC - 3FS'!AO23-1</f>
        <v>0.26244217019486893</v>
      </c>
      <c r="H108" s="451">
        <f>+'FC - 3FS'!AQ23/'FC - 3FS'!AP23-1</f>
        <v>3.1612675086602593E-2</v>
      </c>
      <c r="I108" s="451">
        <f>+'FC - 3FS'!AR23/'FC - 3FS'!AQ23-1</f>
        <v>0.11030208622922011</v>
      </c>
      <c r="J108" s="451">
        <f>+'FC - 3FS'!AS23/'FC - 3FS'!AR23-1</f>
        <v>0.15064703441004568</v>
      </c>
      <c r="K108" s="438"/>
      <c r="L108" s="438"/>
      <c r="M108" s="438"/>
      <c r="N108" s="438"/>
    </row>
    <row r="109" spans="1:14" ht="15" x14ac:dyDescent="0.25">
      <c r="A109" s="450"/>
      <c r="B109" s="420" t="s">
        <v>415</v>
      </c>
      <c r="C109" s="421"/>
      <c r="D109" s="436" t="s">
        <v>561</v>
      </c>
      <c r="E109" s="423" t="e">
        <f ca="1">_xll.BLUEMATRIX2("/servlet/excelData",E108,$E$4,$D109&amp;":"&amp;E$14&amp;E$15&amp;":AN:NULL:FISCAL")</f>
        <v>#NAME?</v>
      </c>
      <c r="F109" s="423" t="e">
        <f ca="1">_xll.BLUEMATRIX2("/servlet/excelData",F108,$E$4,$D109&amp;":"&amp;F$14&amp;F$15&amp;":AN:NULL:FISCAL")</f>
        <v>#NAME?</v>
      </c>
      <c r="G109" s="423" t="e">
        <f ca="1">_xll.BLUEMATRIX2("/servlet/excelData",G108,$E$4,$D109&amp;":"&amp;G$14&amp;G$15&amp;":AN:NULL:FISCAL")</f>
        <v>#NAME?</v>
      </c>
      <c r="H109" s="423" t="e">
        <f ca="1">_xll.BLUEMATRIX2("/servlet/excelData",H108,$E$4,$D109&amp;":"&amp;H$14&amp;H$15&amp;":AN:NULL:FISCAL")</f>
        <v>#NAME?</v>
      </c>
      <c r="I109" s="423" t="e">
        <f ca="1">_xll.BLUEMATRIX2("/servlet/excelData",I108,$E$4,$D109&amp;":"&amp;I$14&amp;I$15&amp;":AN:NULL:FISCAL")</f>
        <v>#NAME?</v>
      </c>
      <c r="J109" s="423" t="e">
        <f ca="1">_xll.BLUEMATRIX2("/servlet/excelData",J108,$E$4,$D109&amp;":"&amp;J$14&amp;J$15&amp;":AN:NULL:FISCAL")</f>
        <v>#NAME?</v>
      </c>
      <c r="K109" s="423" t="e">
        <f ca="1">_xll.BLUEMATRIX2("/servlet/excelData",K108,$E$4,$D109&amp;":"&amp;K$14&amp;K$15&amp;":AN:NULL:FISCAL")</f>
        <v>#NAME?</v>
      </c>
      <c r="L109" s="423" t="e">
        <f ca="1">_xll.BLUEMATRIX2("/servlet/excelData",L108,$E$4,$D109&amp;":"&amp;L$14&amp;L$15&amp;":AN:NULL:FISCAL")</f>
        <v>#NAME?</v>
      </c>
      <c r="M109" s="423" t="e">
        <f ca="1">_xll.BLUEMATRIX2("/servlet/excelData",M108,$E$4,$D109&amp;":"&amp;M$14&amp;M$15&amp;":AN:NULL:FISCAL")</f>
        <v>#NAME?</v>
      </c>
      <c r="N109" s="423" t="e">
        <f ca="1">_xll.BLUEMATRIX2("/servlet/excelData",N108,$E$4,$D109&amp;":"&amp;N$14&amp;N$15&amp;":AN:NULL:FISCAL")</f>
        <v>#NAME?</v>
      </c>
    </row>
    <row r="110" spans="1:14" ht="15" x14ac:dyDescent="0.25">
      <c r="A110" s="450"/>
      <c r="B110" s="416" t="s">
        <v>562</v>
      </c>
      <c r="C110" s="409" t="s">
        <v>563</v>
      </c>
      <c r="D110" s="417" t="s">
        <v>564</v>
      </c>
      <c r="E110" s="451">
        <f>+E106/E90</f>
        <v>8.2228450063465339E-2</v>
      </c>
      <c r="F110" s="451">
        <f t="shared" ref="F110:J110" si="2">+F106/F90</f>
        <v>0.18159830952926501</v>
      </c>
      <c r="G110" s="451">
        <f t="shared" si="2"/>
        <v>0.22125307125307125</v>
      </c>
      <c r="H110" s="451">
        <f t="shared" si="2"/>
        <v>0.21149543557477812</v>
      </c>
      <c r="I110" s="451">
        <f t="shared" si="2"/>
        <v>0.21848411073186511</v>
      </c>
      <c r="J110" s="451">
        <f t="shared" si="2"/>
        <v>0.2391527208382139</v>
      </c>
      <c r="K110" s="438"/>
      <c r="L110" s="438"/>
      <c r="M110" s="438"/>
      <c r="N110" s="438"/>
    </row>
    <row r="111" spans="1:14" ht="15" x14ac:dyDescent="0.25">
      <c r="A111" s="450"/>
      <c r="B111" s="420" t="s">
        <v>415</v>
      </c>
      <c r="C111" s="421"/>
      <c r="D111" s="436" t="s">
        <v>564</v>
      </c>
      <c r="E111" s="423" t="e">
        <f ca="1">_xll.BLUEMATRIX2("/servlet/excelData",E110,$E$4,$D111&amp;":"&amp;E$14&amp;E$15&amp;":AN:NULL:FISCAL")</f>
        <v>#NAME?</v>
      </c>
      <c r="F111" s="423" t="e">
        <f ca="1">_xll.BLUEMATRIX2("/servlet/excelData",F110,$E$4,$D111&amp;":"&amp;F$14&amp;F$15&amp;":AN:NULL:FISCAL")</f>
        <v>#NAME?</v>
      </c>
      <c r="G111" s="423" t="e">
        <f ca="1">_xll.BLUEMATRIX2("/servlet/excelData",G110,$E$4,$D111&amp;":"&amp;G$14&amp;G$15&amp;":AN:NULL:FISCAL")</f>
        <v>#NAME?</v>
      </c>
      <c r="H111" s="423" t="e">
        <f ca="1">_xll.BLUEMATRIX2("/servlet/excelData",H110,$E$4,$D111&amp;":"&amp;H$14&amp;H$15&amp;":AN:NULL:FISCAL")</f>
        <v>#NAME?</v>
      </c>
      <c r="I111" s="423" t="e">
        <f ca="1">_xll.BLUEMATRIX2("/servlet/excelData",I110,$E$4,$D111&amp;":"&amp;I$14&amp;I$15&amp;":AN:NULL:FISCAL")</f>
        <v>#NAME?</v>
      </c>
      <c r="J111" s="423" t="e">
        <f ca="1">_xll.BLUEMATRIX2("/servlet/excelData",J110,$E$4,$D111&amp;":"&amp;J$14&amp;J$15&amp;":AN:NULL:FISCAL")</f>
        <v>#NAME?</v>
      </c>
      <c r="K111" s="423" t="e">
        <f ca="1">_xll.BLUEMATRIX2("/servlet/excelData",K110,$E$4,$D111&amp;":"&amp;K$14&amp;K$15&amp;":AN:NULL:FISCAL")</f>
        <v>#NAME?</v>
      </c>
      <c r="L111" s="423" t="e">
        <f ca="1">_xll.BLUEMATRIX2("/servlet/excelData",L110,$E$4,$D111&amp;":"&amp;L$14&amp;L$15&amp;":AN:NULL:FISCAL")</f>
        <v>#NAME?</v>
      </c>
      <c r="M111" s="423" t="e">
        <f ca="1">_xll.BLUEMATRIX2("/servlet/excelData",M110,$E$4,$D111&amp;":"&amp;M$14&amp;M$15&amp;":AN:NULL:FISCAL")</f>
        <v>#NAME?</v>
      </c>
      <c r="N111" s="423" t="e">
        <f ca="1">_xll.BLUEMATRIX2("/servlet/excelData",N110,$E$4,$D111&amp;":"&amp;N$14&amp;N$15&amp;":AN:NULL:FISCAL")</f>
        <v>#NAME?</v>
      </c>
    </row>
    <row r="112" spans="1:14" ht="15" x14ac:dyDescent="0.25">
      <c r="A112" s="450"/>
      <c r="B112" s="416" t="s">
        <v>565</v>
      </c>
      <c r="C112" s="409" t="s">
        <v>566</v>
      </c>
      <c r="D112" s="417" t="s">
        <v>567</v>
      </c>
      <c r="E112" s="437">
        <f>'FC - 3FS'!AN25</f>
        <v>-3364</v>
      </c>
      <c r="F112" s="437">
        <f>'FC - 3FS'!AO25</f>
        <v>-3335</v>
      </c>
      <c r="G112" s="437">
        <f>'FC - 3FS'!AP25</f>
        <v>-3411</v>
      </c>
      <c r="H112" s="437">
        <f>'FC - 3FS'!AQ25</f>
        <v>-3776.6249464217235</v>
      </c>
      <c r="I112" s="437">
        <f>'FC - 3FS'!AR25</f>
        <v>-3949.7774546479641</v>
      </c>
      <c r="J112" s="437">
        <f>'FC - 3FS'!AS25</f>
        <v>-4240.0516674351875</v>
      </c>
      <c r="K112" s="438"/>
      <c r="L112" s="438"/>
      <c r="M112" s="438"/>
      <c r="N112" s="438"/>
    </row>
    <row r="113" spans="1:14" ht="15" x14ac:dyDescent="0.25">
      <c r="A113" s="450"/>
      <c r="B113" s="420" t="s">
        <v>415</v>
      </c>
      <c r="C113" s="421"/>
      <c r="D113" s="436" t="s">
        <v>567</v>
      </c>
      <c r="E113" s="423" t="e">
        <f ca="1">_xll.BLUEMATRIX2("/servlet/excelData",E112,$E$4,$D113&amp;":"&amp;E$14&amp;E$15&amp;":AN:NULL:FISCAL")</f>
        <v>#NAME?</v>
      </c>
      <c r="F113" s="423" t="e">
        <f ca="1">_xll.BLUEMATRIX2("/servlet/excelData",F112,$E$4,$D113&amp;":"&amp;F$14&amp;F$15&amp;":AN:NULL:FISCAL")</f>
        <v>#NAME?</v>
      </c>
      <c r="G113" s="423" t="e">
        <f ca="1">_xll.BLUEMATRIX2("/servlet/excelData",G112,$E$4,$D113&amp;":"&amp;G$14&amp;G$15&amp;":AN:NULL:FISCAL")</f>
        <v>#NAME?</v>
      </c>
      <c r="H113" s="423" t="e">
        <f ca="1">_xll.BLUEMATRIX2("/servlet/excelData",H112,$E$4,$D113&amp;":"&amp;H$14&amp;H$15&amp;":AN:NULL:FISCAL")</f>
        <v>#NAME?</v>
      </c>
      <c r="I113" s="423" t="e">
        <f ca="1">_xll.BLUEMATRIX2("/servlet/excelData",I112,$E$4,$D113&amp;":"&amp;I$14&amp;I$15&amp;":AN:NULL:FISCAL")</f>
        <v>#NAME?</v>
      </c>
      <c r="J113" s="423" t="e">
        <f ca="1">_xll.BLUEMATRIX2("/servlet/excelData",J112,$E$4,$D113&amp;":"&amp;J$14&amp;J$15&amp;":AN:NULL:FISCAL")</f>
        <v>#NAME?</v>
      </c>
      <c r="K113" s="423" t="e">
        <f ca="1">_xll.BLUEMATRIX2("/servlet/excelData",K112,$E$4,$D113&amp;":"&amp;K$14&amp;K$15&amp;":AN:NULL:FISCAL")</f>
        <v>#NAME?</v>
      </c>
      <c r="L113" s="423" t="e">
        <f ca="1">_xll.BLUEMATRIX2("/servlet/excelData",L112,$E$4,$D113&amp;":"&amp;L$14&amp;L$15&amp;":AN:NULL:FISCAL")</f>
        <v>#NAME?</v>
      </c>
      <c r="M113" s="423" t="e">
        <f ca="1">_xll.BLUEMATRIX2("/servlet/excelData",M112,$E$4,$D113&amp;":"&amp;M$14&amp;M$15&amp;":AN:NULL:FISCAL")</f>
        <v>#NAME?</v>
      </c>
      <c r="N113" s="423" t="e">
        <f ca="1">_xll.BLUEMATRIX2("/servlet/excelData",N112,$E$4,$D113&amp;":"&amp;N$14&amp;N$15&amp;":AN:NULL:FISCAL")</f>
        <v>#NAME?</v>
      </c>
    </row>
    <row r="114" spans="1:14" ht="15" x14ac:dyDescent="0.25">
      <c r="A114" s="450"/>
      <c r="B114" s="416" t="s">
        <v>568</v>
      </c>
      <c r="C114" s="416" t="s">
        <v>569</v>
      </c>
      <c r="D114" s="417" t="s">
        <v>570</v>
      </c>
      <c r="E114" s="437">
        <f>'FC - 3FS'!AN29</f>
        <v>-556</v>
      </c>
      <c r="F114" s="437">
        <f>'FC - 3FS'!AO29</f>
        <v>-2682</v>
      </c>
      <c r="G114" s="437">
        <f>'FC - 3FS'!AP29</f>
        <v>-3373</v>
      </c>
      <c r="H114" s="437">
        <f>'FC - 3FS'!AQ29</f>
        <v>-3436.1914785025024</v>
      </c>
      <c r="I114" s="437">
        <f>'FC - 3FS'!AR29</f>
        <v>-3799.1067200342441</v>
      </c>
      <c r="J114" s="437">
        <f>'FC - 3FS'!AS29</f>
        <v>-4449.1475459651592</v>
      </c>
      <c r="K114" s="438"/>
      <c r="L114" s="438"/>
      <c r="M114" s="438"/>
      <c r="N114" s="438"/>
    </row>
    <row r="115" spans="1:14" ht="15" x14ac:dyDescent="0.25">
      <c r="A115" s="450"/>
      <c r="B115" s="420" t="s">
        <v>415</v>
      </c>
      <c r="C115" s="421"/>
      <c r="D115" s="436" t="s">
        <v>570</v>
      </c>
      <c r="E115" s="423" t="e">
        <f ca="1">_xll.BLUEMATRIX2("/servlet/excelData",E114,$E$4,$D115&amp;":"&amp;E$14&amp;E$15&amp;":AN:NULL:FISCAL")</f>
        <v>#NAME?</v>
      </c>
      <c r="F115" s="423" t="e">
        <f ca="1">_xll.BLUEMATRIX2("/servlet/excelData",F114,$E$4,$D115&amp;":"&amp;F$14&amp;F$15&amp;":AN:NULL:FISCAL")</f>
        <v>#NAME?</v>
      </c>
      <c r="G115" s="423" t="e">
        <f ca="1">_xll.BLUEMATRIX2("/servlet/excelData",G114,$E$4,$D115&amp;":"&amp;G$14&amp;G$15&amp;":AN:NULL:FISCAL")</f>
        <v>#NAME?</v>
      </c>
      <c r="H115" s="423" t="e">
        <f ca="1">_xll.BLUEMATRIX2("/servlet/excelData",H114,$E$4,$D115&amp;":"&amp;H$14&amp;H$15&amp;":AN:NULL:FISCAL")</f>
        <v>#NAME?</v>
      </c>
      <c r="I115" s="423" t="e">
        <f ca="1">_xll.BLUEMATRIX2("/servlet/excelData",I114,$E$4,$D115&amp;":"&amp;I$14&amp;I$15&amp;":AN:NULL:FISCAL")</f>
        <v>#NAME?</v>
      </c>
      <c r="J115" s="423" t="e">
        <f ca="1">_xll.BLUEMATRIX2("/servlet/excelData",J114,$E$4,$D115&amp;":"&amp;J$14&amp;J$15&amp;":AN:NULL:FISCAL")</f>
        <v>#NAME?</v>
      </c>
      <c r="K115" s="423" t="e">
        <f ca="1">_xll.BLUEMATRIX2("/servlet/excelData",K114,$E$4,$D115&amp;":"&amp;K$14&amp;K$15&amp;":AN:NULL:FISCAL")</f>
        <v>#NAME?</v>
      </c>
      <c r="L115" s="423" t="e">
        <f ca="1">_xll.BLUEMATRIX2("/servlet/excelData",L114,$E$4,$D115&amp;":"&amp;L$14&amp;L$15&amp;":AN:NULL:FISCAL")</f>
        <v>#NAME?</v>
      </c>
      <c r="M115" s="423" t="e">
        <f ca="1">_xll.BLUEMATRIX2("/servlet/excelData",M114,$E$4,$D115&amp;":"&amp;M$14&amp;M$15&amp;":AN:NULL:FISCAL")</f>
        <v>#NAME?</v>
      </c>
      <c r="N115" s="423" t="e">
        <f ca="1">_xll.BLUEMATRIX2("/servlet/excelData",N114,$E$4,$D115&amp;":"&amp;N$14&amp;N$15&amp;":AN:NULL:FISCAL")</f>
        <v>#NAME?</v>
      </c>
    </row>
    <row r="116" spans="1:14" ht="15" x14ac:dyDescent="0.25">
      <c r="A116" s="450"/>
      <c r="B116" s="416" t="s">
        <v>571</v>
      </c>
      <c r="C116" s="409" t="s">
        <v>572</v>
      </c>
      <c r="D116" s="417" t="s">
        <v>573</v>
      </c>
      <c r="E116" s="437">
        <f>'FC - 3FS'!AN32</f>
        <v>2590</v>
      </c>
      <c r="F116" s="437">
        <f>'FC - 3FS'!AO32</f>
        <v>8317</v>
      </c>
      <c r="G116" s="437">
        <f>'FC - 3FS'!AP32</f>
        <v>11339</v>
      </c>
      <c r="H116" s="437">
        <f>'FC - 3FS'!AQ32</f>
        <v>11153.527853385487</v>
      </c>
      <c r="I116" s="437">
        <f>'FC - 3FS'!AR32</f>
        <v>12666.800538295989</v>
      </c>
      <c r="J116" s="437">
        <f>'FC - 3FS'!AS32</f>
        <v>14834.135675367859</v>
      </c>
      <c r="K116" s="438"/>
      <c r="L116" s="438"/>
      <c r="M116" s="438"/>
      <c r="N116" s="438"/>
    </row>
    <row r="117" spans="1:14" ht="15" x14ac:dyDescent="0.25">
      <c r="A117" s="450"/>
      <c r="B117" s="420" t="s">
        <v>415</v>
      </c>
      <c r="C117" s="421"/>
      <c r="D117" s="436" t="s">
        <v>573</v>
      </c>
      <c r="E117" s="423" t="e">
        <f ca="1">_xll.BLUEMATRIX2("/servlet/excelData",E116,$E$4,$D117&amp;":"&amp;E$14&amp;E$15&amp;":AN:NULL:FISCAL")</f>
        <v>#NAME?</v>
      </c>
      <c r="F117" s="423" t="e">
        <f ca="1">_xll.BLUEMATRIX2("/servlet/excelData",F116,$E$4,$D117&amp;":"&amp;F$14&amp;F$15&amp;":AN:NULL:FISCAL")</f>
        <v>#NAME?</v>
      </c>
      <c r="G117" s="423" t="e">
        <f ca="1">_xll.BLUEMATRIX2("/servlet/excelData",G116,$E$4,$D117&amp;":"&amp;G$14&amp;G$15&amp;":AN:NULL:FISCAL")</f>
        <v>#NAME?</v>
      </c>
      <c r="H117" s="423" t="e">
        <f ca="1">_xll.BLUEMATRIX2("/servlet/excelData",H116,$E$4,$D117&amp;":"&amp;H$14&amp;H$15&amp;":AN:NULL:FISCAL")</f>
        <v>#NAME?</v>
      </c>
      <c r="I117" s="423" t="e">
        <f ca="1">_xll.BLUEMATRIX2("/servlet/excelData",I116,$E$4,$D117&amp;":"&amp;I$14&amp;I$15&amp;":AN:NULL:FISCAL")</f>
        <v>#NAME?</v>
      </c>
      <c r="J117" s="423" t="e">
        <f ca="1">_xll.BLUEMATRIX2("/servlet/excelData",J116,$E$4,$D117&amp;":"&amp;J$14&amp;J$15&amp;":AN:NULL:FISCAL")</f>
        <v>#NAME?</v>
      </c>
      <c r="K117" s="423" t="e">
        <f ca="1">_xll.BLUEMATRIX2("/servlet/excelData",K116,$E$4,$D117&amp;":"&amp;K$14&amp;K$15&amp;":AN:NULL:FISCAL")</f>
        <v>#NAME?</v>
      </c>
      <c r="L117" s="423" t="e">
        <f ca="1">_xll.BLUEMATRIX2("/servlet/excelData",L116,$E$4,$D117&amp;":"&amp;L$14&amp;L$15&amp;":AN:NULL:FISCAL")</f>
        <v>#NAME?</v>
      </c>
      <c r="M117" s="423" t="e">
        <f ca="1">_xll.BLUEMATRIX2("/servlet/excelData",M116,$E$4,$D117&amp;":"&amp;M$14&amp;M$15&amp;":AN:NULL:FISCAL")</f>
        <v>#NAME?</v>
      </c>
      <c r="N117" s="423" t="e">
        <f ca="1">_xll.BLUEMATRIX2("/servlet/excelData",N116,$E$4,$D117&amp;":"&amp;N$14&amp;N$15&amp;":AN:NULL:FISCAL")</f>
        <v>#NAME?</v>
      </c>
    </row>
    <row r="118" spans="1:14" ht="15" x14ac:dyDescent="0.25">
      <c r="A118" s="450"/>
      <c r="B118" s="416" t="s">
        <v>574</v>
      </c>
      <c r="C118" s="416"/>
      <c r="D118" s="417" t="s">
        <v>575</v>
      </c>
      <c r="E118" s="451"/>
      <c r="F118" s="451"/>
      <c r="G118" s="451"/>
      <c r="H118" s="451"/>
      <c r="I118" s="451"/>
      <c r="J118" s="451"/>
      <c r="K118" s="438"/>
      <c r="L118" s="438"/>
      <c r="M118" s="438"/>
      <c r="N118" s="438"/>
    </row>
    <row r="119" spans="1:14" ht="15" x14ac:dyDescent="0.25">
      <c r="A119" s="450"/>
      <c r="B119" s="420" t="s">
        <v>415</v>
      </c>
      <c r="C119" s="421"/>
      <c r="D119" s="436" t="s">
        <v>575</v>
      </c>
      <c r="E119" s="423" t="e">
        <f ca="1">_xll.BLUEMATRIX2("/servlet/excelData",E118,$E$4,$D119&amp;":"&amp;E$14&amp;E$15&amp;":AN:NULL:FISCAL")</f>
        <v>#NAME?</v>
      </c>
      <c r="F119" s="423" t="e">
        <f ca="1">_xll.BLUEMATRIX2("/servlet/excelData",F118,$E$4,$D119&amp;":"&amp;F$14&amp;F$15&amp;":AN:NULL:FISCAL")</f>
        <v>#NAME?</v>
      </c>
      <c r="G119" s="423" t="e">
        <f ca="1">_xll.BLUEMATRIX2("/servlet/excelData",G118,$E$4,$D119&amp;":"&amp;G$14&amp;G$15&amp;":AN:NULL:FISCAL")</f>
        <v>#NAME?</v>
      </c>
      <c r="H119" s="423" t="e">
        <f ca="1">_xll.BLUEMATRIX2("/servlet/excelData",H118,$E$4,$D119&amp;":"&amp;H$14&amp;H$15&amp;":AN:NULL:FISCAL")</f>
        <v>#NAME?</v>
      </c>
      <c r="I119" s="423" t="e">
        <f ca="1">_xll.BLUEMATRIX2("/servlet/excelData",I118,$E$4,$D119&amp;":"&amp;I$14&amp;I$15&amp;":AN:NULL:FISCAL")</f>
        <v>#NAME?</v>
      </c>
      <c r="J119" s="423" t="e">
        <f ca="1">_xll.BLUEMATRIX2("/servlet/excelData",J118,$E$4,$D119&amp;":"&amp;J$14&amp;J$15&amp;":AN:NULL:FISCAL")</f>
        <v>#NAME?</v>
      </c>
      <c r="K119" s="423" t="e">
        <f ca="1">_xll.BLUEMATRIX2("/servlet/excelData",K118,$E$4,$D119&amp;":"&amp;K$14&amp;K$15&amp;":AN:NULL:FISCAL")</f>
        <v>#NAME?</v>
      </c>
      <c r="L119" s="423" t="e">
        <f ca="1">_xll.BLUEMATRIX2("/servlet/excelData",L118,$E$4,$D119&amp;":"&amp;L$14&amp;L$15&amp;":AN:NULL:FISCAL")</f>
        <v>#NAME?</v>
      </c>
      <c r="M119" s="423" t="e">
        <f ca="1">_xll.BLUEMATRIX2("/servlet/excelData",M118,$E$4,$D119&amp;":"&amp;M$14&amp;M$15&amp;":AN:NULL:FISCAL")</f>
        <v>#NAME?</v>
      </c>
      <c r="N119" s="423" t="e">
        <f ca="1">_xll.BLUEMATRIX2("/servlet/excelData",N118,$E$4,$D119&amp;":"&amp;N$14&amp;N$15&amp;":AN:NULL:FISCAL")</f>
        <v>#NAME?</v>
      </c>
    </row>
    <row r="120" spans="1:14" ht="15" x14ac:dyDescent="0.25">
      <c r="A120" s="450"/>
      <c r="B120" s="416" t="s">
        <v>576</v>
      </c>
      <c r="C120" s="409" t="s">
        <v>577</v>
      </c>
      <c r="D120" s="417" t="s">
        <v>578</v>
      </c>
      <c r="E120" s="437"/>
      <c r="F120" s="437"/>
      <c r="G120" s="437"/>
      <c r="H120" s="437"/>
      <c r="I120" s="437"/>
      <c r="J120" s="437"/>
      <c r="K120" s="438"/>
      <c r="L120" s="438"/>
      <c r="M120" s="438"/>
      <c r="N120" s="438"/>
    </row>
    <row r="121" spans="1:14" ht="15" x14ac:dyDescent="0.25">
      <c r="A121" s="450"/>
      <c r="B121" s="420" t="s">
        <v>415</v>
      </c>
      <c r="C121" s="421"/>
      <c r="D121" s="436" t="s">
        <v>578</v>
      </c>
      <c r="E121" s="423" t="e">
        <f ca="1">_xll.BLUEMATRIX2("/servlet/excelData",E120,$E$4,$D121&amp;":"&amp;E$14&amp;E$15&amp;":AN:NULL:FISCAL")</f>
        <v>#NAME?</v>
      </c>
      <c r="F121" s="423" t="e">
        <f ca="1">_xll.BLUEMATRIX2("/servlet/excelData",F120,$E$4,$D121&amp;":"&amp;F$14&amp;F$15&amp;":AN:NULL:FISCAL")</f>
        <v>#NAME?</v>
      </c>
      <c r="G121" s="423" t="e">
        <f ca="1">_xll.BLUEMATRIX2("/servlet/excelData",G120,$E$4,$D121&amp;":"&amp;G$14&amp;G$15&amp;":AN:NULL:FISCAL")</f>
        <v>#NAME?</v>
      </c>
      <c r="H121" s="423" t="e">
        <f ca="1">_xll.BLUEMATRIX2("/servlet/excelData",H120,$E$4,$D121&amp;":"&amp;H$14&amp;H$15&amp;":AN:NULL:FISCAL")</f>
        <v>#NAME?</v>
      </c>
      <c r="I121" s="423" t="e">
        <f ca="1">_xll.BLUEMATRIX2("/servlet/excelData",I120,$E$4,$D121&amp;":"&amp;I$14&amp;I$15&amp;":AN:NULL:FISCAL")</f>
        <v>#NAME?</v>
      </c>
      <c r="J121" s="423" t="e">
        <f ca="1">_xll.BLUEMATRIX2("/servlet/excelData",J120,$E$4,$D121&amp;":"&amp;J$14&amp;J$15&amp;":AN:NULL:FISCAL")</f>
        <v>#NAME?</v>
      </c>
      <c r="K121" s="423" t="e">
        <f ca="1">_xll.BLUEMATRIX2("/servlet/excelData",K120,$E$4,$D121&amp;":"&amp;K$14&amp;K$15&amp;":AN:NULL:FISCAL")</f>
        <v>#NAME?</v>
      </c>
      <c r="L121" s="423" t="e">
        <f ca="1">_xll.BLUEMATRIX2("/servlet/excelData",L120,$E$4,$D121&amp;":"&amp;L$14&amp;L$15&amp;":AN:NULL:FISCAL")</f>
        <v>#NAME?</v>
      </c>
      <c r="M121" s="423" t="e">
        <f ca="1">_xll.BLUEMATRIX2("/servlet/excelData",M120,$E$4,$D121&amp;":"&amp;M$14&amp;M$15&amp;":AN:NULL:FISCAL")</f>
        <v>#NAME?</v>
      </c>
      <c r="N121" s="423" t="e">
        <f ca="1">_xll.BLUEMATRIX2("/servlet/excelData",N120,$E$4,$D121&amp;":"&amp;N$14&amp;N$15&amp;":AN:NULL:FISCAL")</f>
        <v>#NAME?</v>
      </c>
    </row>
    <row r="122" spans="1:14" ht="15" x14ac:dyDescent="0.25">
      <c r="A122" s="450"/>
      <c r="B122" s="416" t="s">
        <v>579</v>
      </c>
      <c r="C122" s="409" t="s">
        <v>580</v>
      </c>
      <c r="D122" s="417" t="s">
        <v>581</v>
      </c>
      <c r="E122" s="437">
        <f>E116</f>
        <v>2590</v>
      </c>
      <c r="F122" s="437">
        <f t="shared" ref="F122:J122" si="3">F116</f>
        <v>8317</v>
      </c>
      <c r="G122" s="437">
        <f t="shared" si="3"/>
        <v>11339</v>
      </c>
      <c r="H122" s="437">
        <f t="shared" si="3"/>
        <v>11153.527853385487</v>
      </c>
      <c r="I122" s="437">
        <f t="shared" si="3"/>
        <v>12666.800538295989</v>
      </c>
      <c r="J122" s="437">
        <f t="shared" si="3"/>
        <v>14834.135675367859</v>
      </c>
      <c r="K122" s="438"/>
      <c r="L122" s="438"/>
      <c r="M122" s="438"/>
      <c r="N122" s="438"/>
    </row>
    <row r="123" spans="1:14" ht="15" x14ac:dyDescent="0.25">
      <c r="A123" s="450"/>
      <c r="B123" s="420" t="s">
        <v>415</v>
      </c>
      <c r="C123" s="421"/>
      <c r="D123" s="436" t="s">
        <v>581</v>
      </c>
      <c r="E123" s="423" t="e">
        <f ca="1">_xll.BLUEMATRIX2("/servlet/excelData",E122,$E$4,$D123&amp;":"&amp;E$14&amp;E$15&amp;":AN:NULL:FISCAL")</f>
        <v>#NAME?</v>
      </c>
      <c r="F123" s="423" t="e">
        <f ca="1">_xll.BLUEMATRIX2("/servlet/excelData",F122,$E$4,$D123&amp;":"&amp;F$14&amp;F$15&amp;":AN:NULL:FISCAL")</f>
        <v>#NAME?</v>
      </c>
      <c r="G123" s="423" t="e">
        <f ca="1">_xll.BLUEMATRIX2("/servlet/excelData",G122,$E$4,$D123&amp;":"&amp;G$14&amp;G$15&amp;":AN:NULL:FISCAL")</f>
        <v>#NAME?</v>
      </c>
      <c r="H123" s="423" t="e">
        <f ca="1">_xll.BLUEMATRIX2("/servlet/excelData",H122,$E$4,$D123&amp;":"&amp;H$14&amp;H$15&amp;":AN:NULL:FISCAL")</f>
        <v>#NAME?</v>
      </c>
      <c r="I123" s="423" t="e">
        <f ca="1">_xll.BLUEMATRIX2("/servlet/excelData",I122,$E$4,$D123&amp;":"&amp;I$14&amp;I$15&amp;":AN:NULL:FISCAL")</f>
        <v>#NAME?</v>
      </c>
      <c r="J123" s="423" t="e">
        <f ca="1">_xll.BLUEMATRIX2("/servlet/excelData",J122,$E$4,$D123&amp;":"&amp;J$14&amp;J$15&amp;":AN:NULL:FISCAL")</f>
        <v>#NAME?</v>
      </c>
      <c r="K123" s="423" t="e">
        <f ca="1">_xll.BLUEMATRIX2("/servlet/excelData",K122,$E$4,$D123&amp;":"&amp;K$14&amp;K$15&amp;":AN:NULL:FISCAL")</f>
        <v>#NAME?</v>
      </c>
      <c r="L123" s="423" t="e">
        <f ca="1">_xll.BLUEMATRIX2("/servlet/excelData",L122,$E$4,$D123&amp;":"&amp;L$14&amp;L$15&amp;":AN:NULL:FISCAL")</f>
        <v>#NAME?</v>
      </c>
      <c r="M123" s="423" t="e">
        <f ca="1">_xll.BLUEMATRIX2("/servlet/excelData",M122,$E$4,$D123&amp;":"&amp;M$14&amp;M$15&amp;":AN:NULL:FISCAL")</f>
        <v>#NAME?</v>
      </c>
      <c r="N123" s="423" t="e">
        <f ca="1">_xll.BLUEMATRIX2("/servlet/excelData",N122,$E$4,$D123&amp;":"&amp;N$14&amp;N$15&amp;":AN:NULL:FISCAL")</f>
        <v>#NAME?</v>
      </c>
    </row>
    <row r="124" spans="1:14" ht="15" x14ac:dyDescent="0.25">
      <c r="A124" s="450"/>
      <c r="B124" s="416" t="s">
        <v>582</v>
      </c>
      <c r="C124" s="416"/>
      <c r="D124" s="417" t="s">
        <v>583</v>
      </c>
      <c r="E124" s="451">
        <f>+E122/E90</f>
        <v>3.2549546945495215E-2</v>
      </c>
      <c r="F124" s="451">
        <f t="shared" ref="F124:J124" si="4">+F122/F90</f>
        <v>0.10587082155859365</v>
      </c>
      <c r="G124" s="451">
        <f t="shared" si="4"/>
        <v>0.1392997542997543</v>
      </c>
      <c r="H124" s="451">
        <f t="shared" si="4"/>
        <v>0.12696466550227414</v>
      </c>
      <c r="I124" s="451">
        <f t="shared" si="4"/>
        <v>0.1341575912344225</v>
      </c>
      <c r="J124" s="451">
        <f t="shared" si="4"/>
        <v>0.14945963328677753</v>
      </c>
      <c r="K124" s="438"/>
      <c r="L124" s="438"/>
      <c r="M124" s="438"/>
      <c r="N124" s="438"/>
    </row>
    <row r="125" spans="1:14" ht="15" x14ac:dyDescent="0.25">
      <c r="A125" s="450"/>
      <c r="B125" s="420" t="s">
        <v>415</v>
      </c>
      <c r="C125" s="421"/>
      <c r="D125" s="436" t="s">
        <v>583</v>
      </c>
      <c r="E125" s="423" t="e">
        <f ca="1">_xll.BLUEMATRIX2("/servlet/excelData",E124,$E$4,$D125&amp;":"&amp;E$14&amp;E$15&amp;":AN:NULL:FISCAL")</f>
        <v>#NAME?</v>
      </c>
      <c r="F125" s="423" t="e">
        <f ca="1">_xll.BLUEMATRIX2("/servlet/excelData",F124,$E$4,$D125&amp;":"&amp;F$14&amp;F$15&amp;":AN:NULL:FISCAL")</f>
        <v>#NAME?</v>
      </c>
      <c r="G125" s="423" t="e">
        <f ca="1">_xll.BLUEMATRIX2("/servlet/excelData",G124,$E$4,$D125&amp;":"&amp;G$14&amp;G$15&amp;":AN:NULL:FISCAL")</f>
        <v>#NAME?</v>
      </c>
      <c r="H125" s="423" t="e">
        <f ca="1">_xll.BLUEMATRIX2("/servlet/excelData",H124,$E$4,$D125&amp;":"&amp;H$14&amp;H$15&amp;":AN:NULL:FISCAL")</f>
        <v>#NAME?</v>
      </c>
      <c r="I125" s="423" t="e">
        <f ca="1">_xll.BLUEMATRIX2("/servlet/excelData",I124,$E$4,$D125&amp;":"&amp;I$14&amp;I$15&amp;":AN:NULL:FISCAL")</f>
        <v>#NAME?</v>
      </c>
      <c r="J125" s="423" t="e">
        <f ca="1">_xll.BLUEMATRIX2("/servlet/excelData",J124,$E$4,$D125&amp;":"&amp;J$14&amp;J$15&amp;":AN:NULL:FISCAL")</f>
        <v>#NAME?</v>
      </c>
      <c r="K125" s="423" t="e">
        <f ca="1">_xll.BLUEMATRIX2("/servlet/excelData",K124,$E$4,$D125&amp;":"&amp;K$14&amp;K$15&amp;":AN:NULL:FISCAL")</f>
        <v>#NAME?</v>
      </c>
      <c r="L125" s="423" t="e">
        <f ca="1">_xll.BLUEMATRIX2("/servlet/excelData",L124,$E$4,$D125&amp;":"&amp;L$14&amp;L$15&amp;":AN:NULL:FISCAL")</f>
        <v>#NAME?</v>
      </c>
      <c r="M125" s="423" t="e">
        <f ca="1">_xll.BLUEMATRIX2("/servlet/excelData",M124,$E$4,$D125&amp;":"&amp;M$14&amp;M$15&amp;":AN:NULL:FISCAL")</f>
        <v>#NAME?</v>
      </c>
      <c r="N125" s="423" t="e">
        <f ca="1">_xll.BLUEMATRIX2("/servlet/excelData",N124,$E$4,$D125&amp;":"&amp;N$14&amp;N$15&amp;":AN:NULL:FISCAL")</f>
        <v>#NAME?</v>
      </c>
    </row>
    <row r="126" spans="1:14" ht="15" x14ac:dyDescent="0.25">
      <c r="A126" s="450"/>
      <c r="B126" s="416" t="s">
        <v>584</v>
      </c>
      <c r="C126" s="409" t="s">
        <v>585</v>
      </c>
      <c r="D126" s="417" t="s">
        <v>586</v>
      </c>
      <c r="E126" s="438"/>
      <c r="F126" s="438"/>
      <c r="G126" s="438"/>
      <c r="H126" s="438"/>
      <c r="I126" s="438"/>
      <c r="J126" s="438"/>
      <c r="K126" s="438"/>
      <c r="L126" s="438"/>
      <c r="M126" s="438"/>
      <c r="N126" s="438"/>
    </row>
    <row r="127" spans="1:14" ht="15" x14ac:dyDescent="0.25">
      <c r="A127" s="450"/>
      <c r="B127" s="420" t="s">
        <v>415</v>
      </c>
      <c r="C127" s="421"/>
      <c r="D127" s="436" t="s">
        <v>586</v>
      </c>
      <c r="E127" s="423" t="e">
        <f ca="1">_xll.BLUEMATRIX2("/servlet/excelData",E126,$E$4,$D127&amp;":"&amp;E$14&amp;E$15&amp;":AN:NULL:FISCAL")</f>
        <v>#NAME?</v>
      </c>
      <c r="F127" s="423" t="e">
        <f ca="1">_xll.BLUEMATRIX2("/servlet/excelData",F126,$E$4,$D127&amp;":"&amp;F$14&amp;F$15&amp;":AN:NULL:FISCAL")</f>
        <v>#NAME?</v>
      </c>
      <c r="G127" s="423" t="e">
        <f ca="1">_xll.BLUEMATRIX2("/servlet/excelData",G126,$E$4,$D127&amp;":"&amp;G$14&amp;G$15&amp;":AN:NULL:FISCAL")</f>
        <v>#NAME?</v>
      </c>
      <c r="H127" s="423" t="e">
        <f ca="1">_xll.BLUEMATRIX2("/servlet/excelData",H126,$E$4,$D127&amp;":"&amp;H$14&amp;H$15&amp;":AN:NULL:FISCAL")</f>
        <v>#NAME?</v>
      </c>
      <c r="I127" s="423" t="e">
        <f ca="1">_xll.BLUEMATRIX2("/servlet/excelData",I126,$E$4,$D127&amp;":"&amp;I$14&amp;I$15&amp;":AN:NULL:FISCAL")</f>
        <v>#NAME?</v>
      </c>
      <c r="J127" s="423" t="e">
        <f ca="1">_xll.BLUEMATRIX2("/servlet/excelData",J126,$E$4,$D127&amp;":"&amp;J$14&amp;J$15&amp;":AN:NULL:FISCAL")</f>
        <v>#NAME?</v>
      </c>
      <c r="K127" s="423" t="e">
        <f ca="1">_xll.BLUEMATRIX2("/servlet/excelData",K126,$E$4,$D127&amp;":"&amp;K$14&amp;K$15&amp;":AN:NULL:FISCAL")</f>
        <v>#NAME?</v>
      </c>
      <c r="L127" s="423" t="e">
        <f ca="1">_xll.BLUEMATRIX2("/servlet/excelData",L126,$E$4,$D127&amp;":"&amp;L$14&amp;L$15&amp;":AN:NULL:FISCAL")</f>
        <v>#NAME?</v>
      </c>
      <c r="M127" s="423" t="e">
        <f ca="1">_xll.BLUEMATRIX2("/servlet/excelData",M126,$E$4,$D127&amp;":"&amp;M$14&amp;M$15&amp;":AN:NULL:FISCAL")</f>
        <v>#NAME?</v>
      </c>
      <c r="N127" s="423" t="e">
        <f ca="1">_xll.BLUEMATRIX2("/servlet/excelData",N126,$E$4,$D127&amp;":"&amp;N$14&amp;N$15&amp;":AN:NULL:FISCAL")</f>
        <v>#NAME?</v>
      </c>
    </row>
    <row r="128" spans="1:14" ht="15" x14ac:dyDescent="0.25">
      <c r="A128" s="450"/>
      <c r="B128" s="416" t="s">
        <v>587</v>
      </c>
      <c r="C128" s="409" t="s">
        <v>588</v>
      </c>
      <c r="D128" s="417" t="s">
        <v>589</v>
      </c>
      <c r="E128" s="438"/>
      <c r="F128" s="438"/>
      <c r="G128" s="438"/>
      <c r="H128" s="438"/>
      <c r="I128" s="438"/>
      <c r="J128" s="438"/>
      <c r="K128" s="438"/>
      <c r="L128" s="438"/>
      <c r="M128" s="438"/>
      <c r="N128" s="438"/>
    </row>
    <row r="129" spans="1:14" ht="15" x14ac:dyDescent="0.25">
      <c r="A129" s="450"/>
      <c r="B129" s="420" t="s">
        <v>415</v>
      </c>
      <c r="C129" s="421"/>
      <c r="D129" s="436" t="s">
        <v>589</v>
      </c>
      <c r="E129" s="423" t="e">
        <f ca="1">_xll.BLUEMATRIX2("/servlet/excelData",E128,$E$4,$D129&amp;":"&amp;E$14&amp;E$15&amp;":AN:NULL:FISCAL")</f>
        <v>#NAME?</v>
      </c>
      <c r="F129" s="423" t="e">
        <f ca="1">_xll.BLUEMATRIX2("/servlet/excelData",F128,$E$4,$D129&amp;":"&amp;F$14&amp;F$15&amp;":AN:NULL:FISCAL")</f>
        <v>#NAME?</v>
      </c>
      <c r="G129" s="423" t="e">
        <f ca="1">_xll.BLUEMATRIX2("/servlet/excelData",G128,$E$4,$D129&amp;":"&amp;G$14&amp;G$15&amp;":AN:NULL:FISCAL")</f>
        <v>#NAME?</v>
      </c>
      <c r="H129" s="423" t="e">
        <f ca="1">_xll.BLUEMATRIX2("/servlet/excelData",H128,$E$4,$D129&amp;":"&amp;H$14&amp;H$15&amp;":AN:NULL:FISCAL")</f>
        <v>#NAME?</v>
      </c>
      <c r="I129" s="423" t="e">
        <f ca="1">_xll.BLUEMATRIX2("/servlet/excelData",I128,$E$4,$D129&amp;":"&amp;I$14&amp;I$15&amp;":AN:NULL:FISCAL")</f>
        <v>#NAME?</v>
      </c>
      <c r="J129" s="423" t="e">
        <f ca="1">_xll.BLUEMATRIX2("/servlet/excelData",J128,$E$4,$D129&amp;":"&amp;J$14&amp;J$15&amp;":AN:NULL:FISCAL")</f>
        <v>#NAME?</v>
      </c>
      <c r="K129" s="423" t="e">
        <f ca="1">_xll.BLUEMATRIX2("/servlet/excelData",K128,$E$4,$D129&amp;":"&amp;K$14&amp;K$15&amp;":AN:NULL:FISCAL")</f>
        <v>#NAME?</v>
      </c>
      <c r="L129" s="423" t="e">
        <f ca="1">_xll.BLUEMATRIX2("/servlet/excelData",L128,$E$4,$D129&amp;":"&amp;L$14&amp;L$15&amp;":AN:NULL:FISCAL")</f>
        <v>#NAME?</v>
      </c>
      <c r="M129" s="423" t="e">
        <f ca="1">_xll.BLUEMATRIX2("/servlet/excelData",M128,$E$4,$D129&amp;":"&amp;M$14&amp;M$15&amp;":AN:NULL:FISCAL")</f>
        <v>#NAME?</v>
      </c>
      <c r="N129" s="423" t="e">
        <f ca="1">_xll.BLUEMATRIX2("/servlet/excelData",N128,$E$4,$D129&amp;":"&amp;N$14&amp;N$15&amp;":AN:NULL:FISCAL")</f>
        <v>#NAME?</v>
      </c>
    </row>
    <row r="130" spans="1:14" ht="15" x14ac:dyDescent="0.25">
      <c r="A130" s="450"/>
      <c r="B130" s="416" t="s">
        <v>590</v>
      </c>
      <c r="C130" s="409" t="s">
        <v>591</v>
      </c>
      <c r="D130" s="417" t="s">
        <v>592</v>
      </c>
      <c r="E130" s="438"/>
      <c r="F130" s="438"/>
      <c r="G130" s="438"/>
      <c r="H130" s="438"/>
      <c r="I130" s="438"/>
      <c r="J130" s="438"/>
      <c r="K130" s="438"/>
      <c r="L130" s="438"/>
      <c r="M130" s="438"/>
      <c r="N130" s="438"/>
    </row>
    <row r="131" spans="1:14" ht="15" x14ac:dyDescent="0.25">
      <c r="A131" s="450"/>
      <c r="B131" s="420" t="s">
        <v>415</v>
      </c>
      <c r="C131" s="421"/>
      <c r="D131" s="436" t="s">
        <v>592</v>
      </c>
      <c r="E131" s="423" t="e">
        <f ca="1">_xll.BLUEMATRIX2("/servlet/excelData",E130,$E$4,$D131&amp;":"&amp;E$14&amp;E$15&amp;":AN:NULL:FISCAL")</f>
        <v>#NAME?</v>
      </c>
      <c r="F131" s="423" t="e">
        <f ca="1">_xll.BLUEMATRIX2("/servlet/excelData",F130,$E$4,$D131&amp;":"&amp;F$14&amp;F$15&amp;":AN:NULL:FISCAL")</f>
        <v>#NAME?</v>
      </c>
      <c r="G131" s="423" t="e">
        <f ca="1">_xll.BLUEMATRIX2("/servlet/excelData",G130,$E$4,$D131&amp;":"&amp;G$14&amp;G$15&amp;":AN:NULL:FISCAL")</f>
        <v>#NAME?</v>
      </c>
      <c r="H131" s="423" t="e">
        <f ca="1">_xll.BLUEMATRIX2("/servlet/excelData",H130,$E$4,$D131&amp;":"&amp;H$14&amp;H$15&amp;":AN:NULL:FISCAL")</f>
        <v>#NAME?</v>
      </c>
      <c r="I131" s="423" t="e">
        <f ca="1">_xll.BLUEMATRIX2("/servlet/excelData",I130,$E$4,$D131&amp;":"&amp;I$14&amp;I$15&amp;":AN:NULL:FISCAL")</f>
        <v>#NAME?</v>
      </c>
      <c r="J131" s="423" t="e">
        <f ca="1">_xll.BLUEMATRIX2("/servlet/excelData",J130,$E$4,$D131&amp;":"&amp;J$14&amp;J$15&amp;":AN:NULL:FISCAL")</f>
        <v>#NAME?</v>
      </c>
      <c r="K131" s="423" t="e">
        <f ca="1">_xll.BLUEMATRIX2("/servlet/excelData",K130,$E$4,$D131&amp;":"&amp;K$14&amp;K$15&amp;":AN:NULL:FISCAL")</f>
        <v>#NAME?</v>
      </c>
      <c r="L131" s="423" t="e">
        <f ca="1">_xll.BLUEMATRIX2("/servlet/excelData",L130,$E$4,$D131&amp;":"&amp;L$14&amp;L$15&amp;":AN:NULL:FISCAL")</f>
        <v>#NAME?</v>
      </c>
      <c r="M131" s="423" t="e">
        <f ca="1">_xll.BLUEMATRIX2("/servlet/excelData",M130,$E$4,$D131&amp;":"&amp;M$14&amp;M$15&amp;":AN:NULL:FISCAL")</f>
        <v>#NAME?</v>
      </c>
      <c r="N131" s="423" t="e">
        <f ca="1">_xll.BLUEMATRIX2("/servlet/excelData",N130,$E$4,$D131&amp;":"&amp;N$14&amp;N$15&amp;":AN:NULL:FISCAL")</f>
        <v>#NAME?</v>
      </c>
    </row>
    <row r="132" spans="1:14" ht="15" x14ac:dyDescent="0.25">
      <c r="A132" s="450"/>
      <c r="B132" s="416" t="s">
        <v>593</v>
      </c>
      <c r="C132" s="416"/>
      <c r="D132" s="417" t="s">
        <v>594</v>
      </c>
      <c r="E132" s="438"/>
      <c r="F132" s="438"/>
      <c r="G132" s="438"/>
      <c r="H132" s="438"/>
      <c r="I132" s="438"/>
      <c r="J132" s="438"/>
      <c r="K132" s="438"/>
      <c r="L132" s="438"/>
      <c r="M132" s="438"/>
      <c r="N132" s="438"/>
    </row>
    <row r="133" spans="1:14" ht="15" x14ac:dyDescent="0.25">
      <c r="A133" s="450"/>
      <c r="B133" s="420" t="s">
        <v>415</v>
      </c>
      <c r="C133" s="421"/>
      <c r="D133" s="436" t="s">
        <v>594</v>
      </c>
      <c r="E133" s="423" t="e">
        <f ca="1">_xll.BLUEMATRIX2("/servlet/excelData",E132,$E$4,$D133&amp;":"&amp;E$14&amp;E$15&amp;":AN:NULL:FISCAL")</f>
        <v>#NAME?</v>
      </c>
      <c r="F133" s="423" t="e">
        <f ca="1">_xll.BLUEMATRIX2("/servlet/excelData",F132,$E$4,$D133&amp;":"&amp;F$14&amp;F$15&amp;":AN:NULL:FISCAL")</f>
        <v>#NAME?</v>
      </c>
      <c r="G133" s="423" t="e">
        <f ca="1">_xll.BLUEMATRIX2("/servlet/excelData",G132,$E$4,$D133&amp;":"&amp;G$14&amp;G$15&amp;":AN:NULL:FISCAL")</f>
        <v>#NAME?</v>
      </c>
      <c r="H133" s="423" t="e">
        <f ca="1">_xll.BLUEMATRIX2("/servlet/excelData",H132,$E$4,$D133&amp;":"&amp;H$14&amp;H$15&amp;":AN:NULL:FISCAL")</f>
        <v>#NAME?</v>
      </c>
      <c r="I133" s="423" t="e">
        <f ca="1">_xll.BLUEMATRIX2("/servlet/excelData",I132,$E$4,$D133&amp;":"&amp;I$14&amp;I$15&amp;":AN:NULL:FISCAL")</f>
        <v>#NAME?</v>
      </c>
      <c r="J133" s="423" t="e">
        <f ca="1">_xll.BLUEMATRIX2("/servlet/excelData",J132,$E$4,$D133&amp;":"&amp;J$14&amp;J$15&amp;":AN:NULL:FISCAL")</f>
        <v>#NAME?</v>
      </c>
      <c r="K133" s="423" t="e">
        <f ca="1">_xll.BLUEMATRIX2("/servlet/excelData",K132,$E$4,$D133&amp;":"&amp;K$14&amp;K$15&amp;":AN:NULL:FISCAL")</f>
        <v>#NAME?</v>
      </c>
      <c r="L133" s="423" t="e">
        <f ca="1">_xll.BLUEMATRIX2("/servlet/excelData",L132,$E$4,$D133&amp;":"&amp;L$14&amp;L$15&amp;":AN:NULL:FISCAL")</f>
        <v>#NAME?</v>
      </c>
      <c r="M133" s="423" t="e">
        <f ca="1">_xll.BLUEMATRIX2("/servlet/excelData",M132,$E$4,$D133&amp;":"&amp;M$14&amp;M$15&amp;":AN:NULL:FISCAL")</f>
        <v>#NAME?</v>
      </c>
      <c r="N133" s="423" t="e">
        <f ca="1">_xll.BLUEMATRIX2("/servlet/excelData",N132,$E$4,$D133&amp;":"&amp;N$14&amp;N$15&amp;":AN:NULL:FISCAL")</f>
        <v>#NAME?</v>
      </c>
    </row>
    <row r="134" spans="1:14" ht="15" x14ac:dyDescent="0.25">
      <c r="A134" s="450"/>
      <c r="B134" s="416" t="s">
        <v>595</v>
      </c>
      <c r="C134" s="416" t="s">
        <v>596</v>
      </c>
      <c r="D134" s="417" t="s">
        <v>597</v>
      </c>
      <c r="E134" s="438"/>
      <c r="F134" s="438"/>
      <c r="G134" s="438"/>
      <c r="H134" s="438"/>
      <c r="I134" s="438"/>
      <c r="J134" s="438"/>
      <c r="K134" s="438"/>
      <c r="L134" s="438"/>
      <c r="M134" s="438"/>
      <c r="N134" s="438"/>
    </row>
    <row r="135" spans="1:14" ht="15" x14ac:dyDescent="0.25">
      <c r="A135" s="450"/>
      <c r="B135" s="420" t="s">
        <v>415</v>
      </c>
      <c r="C135" s="421"/>
      <c r="D135" s="436" t="s">
        <v>597</v>
      </c>
      <c r="E135" s="423" t="e">
        <f ca="1">_xll.BLUEMATRIX2("/servlet/excelData",E134,$E$4,$D135&amp;":"&amp;E$14&amp;E$15&amp;":AN:NULL:FISCAL")</f>
        <v>#NAME?</v>
      </c>
      <c r="F135" s="423" t="e">
        <f ca="1">_xll.BLUEMATRIX2("/servlet/excelData",F134,$E$4,$D135&amp;":"&amp;F$14&amp;F$15&amp;":AN:NULL:FISCAL")</f>
        <v>#NAME?</v>
      </c>
      <c r="G135" s="423" t="e">
        <f ca="1">_xll.BLUEMATRIX2("/servlet/excelData",G134,$E$4,$D135&amp;":"&amp;G$14&amp;G$15&amp;":AN:NULL:FISCAL")</f>
        <v>#NAME?</v>
      </c>
      <c r="H135" s="423" t="e">
        <f ca="1">_xll.BLUEMATRIX2("/servlet/excelData",H134,$E$4,$D135&amp;":"&amp;H$14&amp;H$15&amp;":AN:NULL:FISCAL")</f>
        <v>#NAME?</v>
      </c>
      <c r="I135" s="423" t="e">
        <f ca="1">_xll.BLUEMATRIX2("/servlet/excelData",I134,$E$4,$D135&amp;":"&amp;I$14&amp;I$15&amp;":AN:NULL:FISCAL")</f>
        <v>#NAME?</v>
      </c>
      <c r="J135" s="423" t="e">
        <f ca="1">_xll.BLUEMATRIX2("/servlet/excelData",J134,$E$4,$D135&amp;":"&amp;J$14&amp;J$15&amp;":AN:NULL:FISCAL")</f>
        <v>#NAME?</v>
      </c>
      <c r="K135" s="423" t="e">
        <f ca="1">_xll.BLUEMATRIX2("/servlet/excelData",K134,$E$4,$D135&amp;":"&amp;K$14&amp;K$15&amp;":AN:NULL:FISCAL")</f>
        <v>#NAME?</v>
      </c>
      <c r="L135" s="423" t="e">
        <f ca="1">_xll.BLUEMATRIX2("/servlet/excelData",L134,$E$4,$D135&amp;":"&amp;L$14&amp;L$15&amp;":AN:NULL:FISCAL")</f>
        <v>#NAME?</v>
      </c>
      <c r="M135" s="423" t="e">
        <f ca="1">_xll.BLUEMATRIX2("/servlet/excelData",M134,$E$4,$D135&amp;":"&amp;M$14&amp;M$15&amp;":AN:NULL:FISCAL")</f>
        <v>#NAME?</v>
      </c>
      <c r="N135" s="423" t="e">
        <f ca="1">_xll.BLUEMATRIX2("/servlet/excelData",N134,$E$4,$D135&amp;":"&amp;N$14&amp;N$15&amp;":AN:NULL:FISCAL")</f>
        <v>#NAME?</v>
      </c>
    </row>
    <row r="136" spans="1:14" ht="15" x14ac:dyDescent="0.25">
      <c r="A136" s="450"/>
      <c r="B136" s="416" t="s">
        <v>598</v>
      </c>
      <c r="C136" s="409" t="s">
        <v>599</v>
      </c>
      <c r="D136" s="417" t="s">
        <v>600</v>
      </c>
      <c r="E136" s="438"/>
      <c r="F136" s="438"/>
      <c r="G136" s="438"/>
      <c r="H136" s="438"/>
      <c r="I136" s="438"/>
      <c r="J136" s="438"/>
      <c r="K136" s="438"/>
      <c r="L136" s="438"/>
      <c r="M136" s="438"/>
      <c r="N136" s="438"/>
    </row>
    <row r="137" spans="1:14" ht="15" x14ac:dyDescent="0.25">
      <c r="A137" s="450"/>
      <c r="B137" s="420" t="s">
        <v>415</v>
      </c>
      <c r="C137" s="421"/>
      <c r="D137" s="436" t="s">
        <v>600</v>
      </c>
      <c r="E137" s="423" t="e">
        <f ca="1">_xll.BLUEMATRIX2("/servlet/excelData",E136,$E$4,$D137&amp;":"&amp;E$14&amp;E$15&amp;":AN:NULL:FISCAL")</f>
        <v>#NAME?</v>
      </c>
      <c r="F137" s="423" t="e">
        <f ca="1">_xll.BLUEMATRIX2("/servlet/excelData",F136,$E$4,$D137&amp;":"&amp;F$14&amp;F$15&amp;":AN:NULL:FISCAL")</f>
        <v>#NAME?</v>
      </c>
      <c r="G137" s="423" t="e">
        <f ca="1">_xll.BLUEMATRIX2("/servlet/excelData",G136,$E$4,$D137&amp;":"&amp;G$14&amp;G$15&amp;":AN:NULL:FISCAL")</f>
        <v>#NAME?</v>
      </c>
      <c r="H137" s="423" t="e">
        <f ca="1">_xll.BLUEMATRIX2("/servlet/excelData",H136,$E$4,$D137&amp;":"&amp;H$14&amp;H$15&amp;":AN:NULL:FISCAL")</f>
        <v>#NAME?</v>
      </c>
      <c r="I137" s="423" t="e">
        <f ca="1">_xll.BLUEMATRIX2("/servlet/excelData",I136,$E$4,$D137&amp;":"&amp;I$14&amp;I$15&amp;":AN:NULL:FISCAL")</f>
        <v>#NAME?</v>
      </c>
      <c r="J137" s="423" t="e">
        <f ca="1">_xll.BLUEMATRIX2("/servlet/excelData",J136,$E$4,$D137&amp;":"&amp;J$14&amp;J$15&amp;":AN:NULL:FISCAL")</f>
        <v>#NAME?</v>
      </c>
      <c r="K137" s="423" t="e">
        <f ca="1">_xll.BLUEMATRIX2("/servlet/excelData",K136,$E$4,$D137&amp;":"&amp;K$14&amp;K$15&amp;":AN:NULL:FISCAL")</f>
        <v>#NAME?</v>
      </c>
      <c r="L137" s="423" t="e">
        <f ca="1">_xll.BLUEMATRIX2("/servlet/excelData",L136,$E$4,$D137&amp;":"&amp;L$14&amp;L$15&amp;":AN:NULL:FISCAL")</f>
        <v>#NAME?</v>
      </c>
      <c r="M137" s="423" t="e">
        <f ca="1">_xll.BLUEMATRIX2("/servlet/excelData",M136,$E$4,$D137&amp;":"&amp;M$14&amp;M$15&amp;":AN:NULL:FISCAL")</f>
        <v>#NAME?</v>
      </c>
      <c r="N137" s="423" t="e">
        <f ca="1">_xll.BLUEMATRIX2("/servlet/excelData",N136,$E$4,$D137&amp;":"&amp;N$14&amp;N$15&amp;":AN:NULL:FISCAL")</f>
        <v>#NAME?</v>
      </c>
    </row>
    <row r="138" spans="1:14" ht="15" x14ac:dyDescent="0.25">
      <c r="A138" s="450"/>
      <c r="B138" s="416" t="s">
        <v>601</v>
      </c>
      <c r="C138" s="416" t="s">
        <v>602</v>
      </c>
      <c r="D138" s="417" t="s">
        <v>603</v>
      </c>
      <c r="E138" s="451">
        <f>'FC - 3FS'!AN32/'FC - 3FS'!AM32-1</f>
        <v>-0.14351851851851849</v>
      </c>
      <c r="F138" s="451">
        <f>'FC - 3FS'!AO32/'FC - 3FS'!AN32-1</f>
        <v>2.2111969111969114</v>
      </c>
      <c r="G138" s="451">
        <f>'FC - 3FS'!AP32/'FC - 3FS'!AO32-1</f>
        <v>0.36335217025369726</v>
      </c>
      <c r="H138" s="451">
        <f>'FC - 3FS'!AQ32/'FC - 3FS'!AP32-1</f>
        <v>-1.6357010901712044E-2</v>
      </c>
      <c r="I138" s="451">
        <f>'FC - 3FS'!AR32/'FC - 3FS'!AQ32-1</f>
        <v>0.13567659531608833</v>
      </c>
      <c r="J138" s="451">
        <f>'FC - 3FS'!AS32/'FC - 3FS'!AR32-1</f>
        <v>0.17110359719641033</v>
      </c>
      <c r="K138" s="438"/>
      <c r="L138" s="438"/>
      <c r="M138" s="438"/>
      <c r="N138" s="438"/>
    </row>
    <row r="139" spans="1:14" ht="15" x14ac:dyDescent="0.25">
      <c r="A139" s="450"/>
      <c r="B139" s="420" t="s">
        <v>415</v>
      </c>
      <c r="C139" s="421"/>
      <c r="D139" s="436" t="s">
        <v>603</v>
      </c>
      <c r="E139" s="423" t="e">
        <f ca="1">_xll.BLUEMATRIX2("/servlet/excelData",E138,$E$4,$D139&amp;":"&amp;E$14&amp;E$15&amp;":AN:NULL:FISCAL")</f>
        <v>#NAME?</v>
      </c>
      <c r="F139" s="423" t="e">
        <f ca="1">_xll.BLUEMATRIX2("/servlet/excelData",F138,$E$4,$D139&amp;":"&amp;F$14&amp;F$15&amp;":AN:NULL:FISCAL")</f>
        <v>#NAME?</v>
      </c>
      <c r="G139" s="423" t="e">
        <f ca="1">_xll.BLUEMATRIX2("/servlet/excelData",G138,$E$4,$D139&amp;":"&amp;G$14&amp;G$15&amp;":AN:NULL:FISCAL")</f>
        <v>#NAME?</v>
      </c>
      <c r="H139" s="423" t="e">
        <f ca="1">_xll.BLUEMATRIX2("/servlet/excelData",H138,$E$4,$D139&amp;":"&amp;H$14&amp;H$15&amp;":AN:NULL:FISCAL")</f>
        <v>#NAME?</v>
      </c>
      <c r="I139" s="423" t="e">
        <f ca="1">_xll.BLUEMATRIX2("/servlet/excelData",I138,$E$4,$D139&amp;":"&amp;I$14&amp;I$15&amp;":AN:NULL:FISCAL")</f>
        <v>#NAME?</v>
      </c>
      <c r="J139" s="423" t="e">
        <f ca="1">_xll.BLUEMATRIX2("/servlet/excelData",J138,$E$4,$D139&amp;":"&amp;J$14&amp;J$15&amp;":AN:NULL:FISCAL")</f>
        <v>#NAME?</v>
      </c>
      <c r="K139" s="423" t="e">
        <f ca="1">_xll.BLUEMATRIX2("/servlet/excelData",K138,$E$4,$D139&amp;":"&amp;K$14&amp;K$15&amp;":AN:NULL:FISCAL")</f>
        <v>#NAME?</v>
      </c>
      <c r="L139" s="423" t="e">
        <f ca="1">_xll.BLUEMATRIX2("/servlet/excelData",L138,$E$4,$D139&amp;":"&amp;L$14&amp;L$15&amp;":AN:NULL:FISCAL")</f>
        <v>#NAME?</v>
      </c>
      <c r="M139" s="423" t="e">
        <f ca="1">_xll.BLUEMATRIX2("/servlet/excelData",M138,$E$4,$D139&amp;":"&amp;M$14&amp;M$15&amp;":AN:NULL:FISCAL")</f>
        <v>#NAME?</v>
      </c>
      <c r="N139" s="423" t="e">
        <f ca="1">_xll.BLUEMATRIX2("/servlet/excelData",N138,$E$4,$D139&amp;":"&amp;N$14&amp;N$15&amp;":AN:NULL:FISCAL")</f>
        <v>#NAME?</v>
      </c>
    </row>
    <row r="140" spans="1:14" ht="15" x14ac:dyDescent="0.25">
      <c r="A140" s="450"/>
      <c r="B140" s="416" t="s">
        <v>604</v>
      </c>
      <c r="C140" s="409" t="s">
        <v>605</v>
      </c>
      <c r="D140" s="417" t="s">
        <v>606</v>
      </c>
      <c r="E140" s="437"/>
      <c r="F140" s="437"/>
      <c r="G140" s="437"/>
      <c r="H140" s="437"/>
      <c r="I140" s="437"/>
      <c r="J140" s="437"/>
      <c r="K140" s="438"/>
      <c r="L140" s="438"/>
      <c r="M140" s="438"/>
      <c r="N140" s="438"/>
    </row>
    <row r="141" spans="1:14" ht="15" x14ac:dyDescent="0.25">
      <c r="A141" s="450"/>
      <c r="B141" s="420" t="s">
        <v>415</v>
      </c>
      <c r="C141" s="421"/>
      <c r="D141" s="436" t="s">
        <v>606</v>
      </c>
      <c r="E141" s="423" t="e">
        <f ca="1">_xll.BLUEMATRIX2("/servlet/excelData",E140,$E$4,$D141&amp;":"&amp;E$14&amp;E$15&amp;":AN:NULL:FISCAL")</f>
        <v>#NAME?</v>
      </c>
      <c r="F141" s="423" t="e">
        <f ca="1">_xll.BLUEMATRIX2("/servlet/excelData",F140,$E$4,$D141&amp;":"&amp;F$14&amp;F$15&amp;":AN:NULL:FISCAL")</f>
        <v>#NAME?</v>
      </c>
      <c r="G141" s="423" t="e">
        <f ca="1">_xll.BLUEMATRIX2("/servlet/excelData",G140,$E$4,$D141&amp;":"&amp;G$14&amp;G$15&amp;":AN:NULL:FISCAL")</f>
        <v>#NAME?</v>
      </c>
      <c r="H141" s="423" t="e">
        <f ca="1">_xll.BLUEMATRIX2("/servlet/excelData",H140,$E$4,$D141&amp;":"&amp;H$14&amp;H$15&amp;":AN:NULL:FISCAL")</f>
        <v>#NAME?</v>
      </c>
      <c r="I141" s="423" t="e">
        <f ca="1">_xll.BLUEMATRIX2("/servlet/excelData",I140,$E$4,$D141&amp;":"&amp;I$14&amp;I$15&amp;":AN:NULL:FISCAL")</f>
        <v>#NAME?</v>
      </c>
      <c r="J141" s="423" t="e">
        <f ca="1">_xll.BLUEMATRIX2("/servlet/excelData",J140,$E$4,$D141&amp;":"&amp;J$14&amp;J$15&amp;":AN:NULL:FISCAL")</f>
        <v>#NAME?</v>
      </c>
      <c r="K141" s="423" t="e">
        <f ca="1">_xll.BLUEMATRIX2("/servlet/excelData",K140,$E$4,$D141&amp;":"&amp;K$14&amp;K$15&amp;":AN:NULL:FISCAL")</f>
        <v>#NAME?</v>
      </c>
      <c r="L141" s="423" t="e">
        <f ca="1">_xll.BLUEMATRIX2("/servlet/excelData",L140,$E$4,$D141&amp;":"&amp;L$14&amp;L$15&amp;":AN:NULL:FISCAL")</f>
        <v>#NAME?</v>
      </c>
      <c r="M141" s="423" t="e">
        <f ca="1">_xll.BLUEMATRIX2("/servlet/excelData",M140,$E$4,$D141&amp;":"&amp;M$14&amp;M$15&amp;":AN:NULL:FISCAL")</f>
        <v>#NAME?</v>
      </c>
      <c r="N141" s="423" t="e">
        <f ca="1">_xll.BLUEMATRIX2("/servlet/excelData",N140,$E$4,$D141&amp;":"&amp;N$14&amp;N$15&amp;":AN:NULL:FISCAL")</f>
        <v>#NAME?</v>
      </c>
    </row>
    <row r="142" spans="1:14" ht="15" x14ac:dyDescent="0.25">
      <c r="A142" s="452" t="s">
        <v>607</v>
      </c>
      <c r="B142" s="430" t="s">
        <v>608</v>
      </c>
      <c r="C142" s="430"/>
      <c r="D142" s="432" t="s">
        <v>609</v>
      </c>
      <c r="E142" s="443"/>
      <c r="F142" s="443"/>
      <c r="G142" s="443"/>
      <c r="H142" s="443"/>
      <c r="I142" s="443"/>
      <c r="J142" s="443"/>
      <c r="K142" s="443"/>
      <c r="L142" s="443"/>
      <c r="M142" s="443"/>
      <c r="N142" s="443"/>
    </row>
    <row r="143" spans="1:14" x14ac:dyDescent="0.2">
      <c r="A143" s="453"/>
      <c r="B143" s="420" t="s">
        <v>415</v>
      </c>
      <c r="C143" s="421"/>
      <c r="D143" s="436" t="s">
        <v>609</v>
      </c>
      <c r="E143" s="423" t="e">
        <f ca="1">_xll.BLUEMATRIX2("/servlet/excelData",E142,$E$4,$D143&amp;":"&amp;E$14&amp;E$15&amp;":AN:NULL:FISCAL")</f>
        <v>#NAME?</v>
      </c>
      <c r="F143" s="423" t="e">
        <f ca="1">_xll.BLUEMATRIX2("/servlet/excelData",F142,$E$4,$D143&amp;":"&amp;F$14&amp;F$15&amp;":AN:NULL:FISCAL")</f>
        <v>#NAME?</v>
      </c>
      <c r="G143" s="423" t="e">
        <f ca="1">_xll.BLUEMATRIX2("/servlet/excelData",G142,$E$4,$D143&amp;":"&amp;G$14&amp;G$15&amp;":AN:NULL:FISCAL")</f>
        <v>#NAME?</v>
      </c>
      <c r="H143" s="423" t="e">
        <f ca="1">_xll.BLUEMATRIX2("/servlet/excelData",H142,$E$4,$D143&amp;":"&amp;H$14&amp;H$15&amp;":AN:NULL:FISCAL")</f>
        <v>#NAME?</v>
      </c>
      <c r="I143" s="423" t="e">
        <f ca="1">_xll.BLUEMATRIX2("/servlet/excelData",I142,$E$4,$D143&amp;":"&amp;I$14&amp;I$15&amp;":AN:NULL:FISCAL")</f>
        <v>#NAME?</v>
      </c>
      <c r="J143" s="423" t="e">
        <f ca="1">_xll.BLUEMATRIX2("/servlet/excelData",J142,$E$4,$D143&amp;":"&amp;J$14&amp;J$15&amp;":AN:NULL:FISCAL")</f>
        <v>#NAME?</v>
      </c>
      <c r="K143" s="423" t="e">
        <f ca="1">_xll.BLUEMATRIX2("/servlet/excelData",K142,$E$4,$D143&amp;":"&amp;K$14&amp;K$15&amp;":AN:NULL:FISCAL")</f>
        <v>#NAME?</v>
      </c>
      <c r="L143" s="423" t="e">
        <f ca="1">_xll.BLUEMATRIX2("/servlet/excelData",L142,$E$4,$D143&amp;":"&amp;L$14&amp;L$15&amp;":AN:NULL:FISCAL")</f>
        <v>#NAME?</v>
      </c>
      <c r="M143" s="423" t="e">
        <f ca="1">_xll.BLUEMATRIX2("/servlet/excelData",M142,$E$4,$D143&amp;":"&amp;M$14&amp;M$15&amp;":AN:NULL:FISCAL")</f>
        <v>#NAME?</v>
      </c>
      <c r="N143" s="423" t="e">
        <f ca="1">_xll.BLUEMATRIX2("/servlet/excelData",N142,$E$4,$D143&amp;":"&amp;N$14&amp;N$15&amp;":AN:NULL:FISCAL")</f>
        <v>#NAME?</v>
      </c>
    </row>
    <row r="144" spans="1:14" x14ac:dyDescent="0.2">
      <c r="A144" s="453"/>
      <c r="B144" s="416" t="s">
        <v>610</v>
      </c>
      <c r="C144" s="416"/>
      <c r="D144" s="417" t="s">
        <v>611</v>
      </c>
      <c r="E144" s="438"/>
      <c r="F144" s="438"/>
      <c r="G144" s="438"/>
      <c r="H144" s="438"/>
      <c r="I144" s="438"/>
      <c r="J144" s="438"/>
      <c r="K144" s="438"/>
      <c r="L144" s="438"/>
      <c r="M144" s="438"/>
      <c r="N144" s="438"/>
    </row>
    <row r="145" spans="1:14" x14ac:dyDescent="0.2">
      <c r="A145" s="453"/>
      <c r="B145" s="420" t="s">
        <v>415</v>
      </c>
      <c r="C145" s="421"/>
      <c r="D145" s="436" t="s">
        <v>611</v>
      </c>
      <c r="E145" s="423" t="e">
        <f ca="1">_xll.BLUEMATRIX2("/servlet/excelData",E144,$E$4,$D145&amp;":"&amp;E$14&amp;E$15&amp;":AN:NULL:FISCAL")</f>
        <v>#NAME?</v>
      </c>
      <c r="F145" s="423" t="e">
        <f ca="1">_xll.BLUEMATRIX2("/servlet/excelData",F144,$E$4,$D145&amp;":"&amp;F$14&amp;F$15&amp;":AN:NULL:FISCAL")</f>
        <v>#NAME?</v>
      </c>
      <c r="G145" s="423" t="e">
        <f ca="1">_xll.BLUEMATRIX2("/servlet/excelData",G144,$E$4,$D145&amp;":"&amp;G$14&amp;G$15&amp;":AN:NULL:FISCAL")</f>
        <v>#NAME?</v>
      </c>
      <c r="H145" s="423" t="e">
        <f ca="1">_xll.BLUEMATRIX2("/servlet/excelData",H144,$E$4,$D145&amp;":"&amp;H$14&amp;H$15&amp;":AN:NULL:FISCAL")</f>
        <v>#NAME?</v>
      </c>
      <c r="I145" s="423" t="e">
        <f ca="1">_xll.BLUEMATRIX2("/servlet/excelData",I144,$E$4,$D145&amp;":"&amp;I$14&amp;I$15&amp;":AN:NULL:FISCAL")</f>
        <v>#NAME?</v>
      </c>
      <c r="J145" s="423" t="e">
        <f ca="1">_xll.BLUEMATRIX2("/servlet/excelData",J144,$E$4,$D145&amp;":"&amp;J$14&amp;J$15&amp;":AN:NULL:FISCAL")</f>
        <v>#NAME?</v>
      </c>
      <c r="K145" s="423" t="e">
        <f ca="1">_xll.BLUEMATRIX2("/servlet/excelData",K144,$E$4,$D145&amp;":"&amp;K$14&amp;K$15&amp;":AN:NULL:FISCAL")</f>
        <v>#NAME?</v>
      </c>
      <c r="L145" s="423" t="e">
        <f ca="1">_xll.BLUEMATRIX2("/servlet/excelData",L144,$E$4,$D145&amp;":"&amp;L$14&amp;L$15&amp;":AN:NULL:FISCAL")</f>
        <v>#NAME?</v>
      </c>
      <c r="M145" s="423" t="e">
        <f ca="1">_xll.BLUEMATRIX2("/servlet/excelData",M144,$E$4,$D145&amp;":"&amp;M$14&amp;M$15&amp;":AN:NULL:FISCAL")</f>
        <v>#NAME?</v>
      </c>
      <c r="N145" s="423" t="e">
        <f ca="1">_xll.BLUEMATRIX2("/servlet/excelData",N144,$E$4,$D145&amp;":"&amp;N$14&amp;N$15&amp;":AN:NULL:FISCAL")</f>
        <v>#NAME?</v>
      </c>
    </row>
    <row r="146" spans="1:14" x14ac:dyDescent="0.2">
      <c r="A146" s="453"/>
      <c r="B146" s="416" t="s">
        <v>612</v>
      </c>
      <c r="C146" s="416"/>
      <c r="D146" s="417" t="s">
        <v>613</v>
      </c>
      <c r="E146" s="451"/>
      <c r="F146" s="451"/>
      <c r="G146" s="451"/>
      <c r="H146" s="451"/>
      <c r="I146" s="451"/>
      <c r="J146" s="451"/>
      <c r="K146" s="438"/>
      <c r="L146" s="438"/>
      <c r="M146" s="438"/>
      <c r="N146" s="438"/>
    </row>
    <row r="147" spans="1:14" x14ac:dyDescent="0.2">
      <c r="A147" s="453"/>
      <c r="B147" s="420" t="s">
        <v>415</v>
      </c>
      <c r="C147" s="421"/>
      <c r="D147" s="436" t="s">
        <v>613</v>
      </c>
      <c r="E147" s="423" t="e">
        <f ca="1">_xll.BLUEMATRIX2("/servlet/excelData",E146,$E$4,$D147&amp;":"&amp;E$14&amp;E$15&amp;":AN:NULL:FISCAL")</f>
        <v>#NAME?</v>
      </c>
      <c r="F147" s="423" t="e">
        <f ca="1">_xll.BLUEMATRIX2("/servlet/excelData",F146,$E$4,$D147&amp;":"&amp;F$14&amp;F$15&amp;":AN:NULL:FISCAL")</f>
        <v>#NAME?</v>
      </c>
      <c r="G147" s="423" t="e">
        <f ca="1">_xll.BLUEMATRIX2("/servlet/excelData",G146,$E$4,$D147&amp;":"&amp;G$14&amp;G$15&amp;":AN:NULL:FISCAL")</f>
        <v>#NAME?</v>
      </c>
      <c r="H147" s="423" t="e">
        <f ca="1">_xll.BLUEMATRIX2("/servlet/excelData",H146,$E$4,$D147&amp;":"&amp;H$14&amp;H$15&amp;":AN:NULL:FISCAL")</f>
        <v>#NAME?</v>
      </c>
      <c r="I147" s="423" t="e">
        <f ca="1">_xll.BLUEMATRIX2("/servlet/excelData",I146,$E$4,$D147&amp;":"&amp;I$14&amp;I$15&amp;":AN:NULL:FISCAL")</f>
        <v>#NAME?</v>
      </c>
      <c r="J147" s="423" t="e">
        <f ca="1">_xll.BLUEMATRIX2("/servlet/excelData",J146,$E$4,$D147&amp;":"&amp;J$14&amp;J$15&amp;":AN:NULL:FISCAL")</f>
        <v>#NAME?</v>
      </c>
      <c r="K147" s="423" t="e">
        <f ca="1">_xll.BLUEMATRIX2("/servlet/excelData",K146,$E$4,$D147&amp;":"&amp;K$14&amp;K$15&amp;":AN:NULL:FISCAL")</f>
        <v>#NAME?</v>
      </c>
      <c r="L147" s="423" t="e">
        <f ca="1">_xll.BLUEMATRIX2("/servlet/excelData",L146,$E$4,$D147&amp;":"&amp;L$14&amp;L$15&amp;":AN:NULL:FISCAL")</f>
        <v>#NAME?</v>
      </c>
      <c r="M147" s="423" t="e">
        <f ca="1">_xll.BLUEMATRIX2("/servlet/excelData",M146,$E$4,$D147&amp;":"&amp;M$14&amp;M$15&amp;":AN:NULL:FISCAL")</f>
        <v>#NAME?</v>
      </c>
      <c r="N147" s="423" t="e">
        <f ca="1">_xll.BLUEMATRIX2("/servlet/excelData",N146,$E$4,$D147&amp;":"&amp;N$14&amp;N$15&amp;":AN:NULL:FISCAL")</f>
        <v>#NAME?</v>
      </c>
    </row>
    <row r="148" spans="1:14" x14ac:dyDescent="0.2">
      <c r="A148" s="453"/>
      <c r="B148" s="416" t="s">
        <v>614</v>
      </c>
      <c r="C148" s="416"/>
      <c r="D148" s="417" t="s">
        <v>615</v>
      </c>
      <c r="E148" s="438"/>
      <c r="F148" s="438"/>
      <c r="G148" s="438"/>
      <c r="H148" s="438"/>
      <c r="I148" s="438"/>
      <c r="J148" s="438"/>
      <c r="K148" s="438"/>
      <c r="L148" s="438"/>
      <c r="M148" s="438"/>
      <c r="N148" s="438"/>
    </row>
    <row r="149" spans="1:14" x14ac:dyDescent="0.2">
      <c r="A149" s="453"/>
      <c r="B149" s="420" t="s">
        <v>415</v>
      </c>
      <c r="C149" s="421"/>
      <c r="D149" s="436" t="s">
        <v>615</v>
      </c>
      <c r="E149" s="423" t="e">
        <f ca="1">_xll.BLUEMATRIX2("/servlet/excelData",E148,$E$4,$D149&amp;":"&amp;E$14&amp;E$15&amp;":AN:NULL:FISCAL")</f>
        <v>#NAME?</v>
      </c>
      <c r="F149" s="423" t="e">
        <f ca="1">_xll.BLUEMATRIX2("/servlet/excelData",F148,$E$4,$D149&amp;":"&amp;F$14&amp;F$15&amp;":AN:NULL:FISCAL")</f>
        <v>#NAME?</v>
      </c>
      <c r="G149" s="423" t="e">
        <f ca="1">_xll.BLUEMATRIX2("/servlet/excelData",G148,$E$4,$D149&amp;":"&amp;G$14&amp;G$15&amp;":AN:NULL:FISCAL")</f>
        <v>#NAME?</v>
      </c>
      <c r="H149" s="423" t="e">
        <f ca="1">_xll.BLUEMATRIX2("/servlet/excelData",H148,$E$4,$D149&amp;":"&amp;H$14&amp;H$15&amp;":AN:NULL:FISCAL")</f>
        <v>#NAME?</v>
      </c>
      <c r="I149" s="423" t="e">
        <f ca="1">_xll.BLUEMATRIX2("/servlet/excelData",I148,$E$4,$D149&amp;":"&amp;I$14&amp;I$15&amp;":AN:NULL:FISCAL")</f>
        <v>#NAME?</v>
      </c>
      <c r="J149" s="423" t="e">
        <f ca="1">_xll.BLUEMATRIX2("/servlet/excelData",J148,$E$4,$D149&amp;":"&amp;J$14&amp;J$15&amp;":AN:NULL:FISCAL")</f>
        <v>#NAME?</v>
      </c>
      <c r="K149" s="423" t="e">
        <f ca="1">_xll.BLUEMATRIX2("/servlet/excelData",K148,$E$4,$D149&amp;":"&amp;K$14&amp;K$15&amp;":AN:NULL:FISCAL")</f>
        <v>#NAME?</v>
      </c>
      <c r="L149" s="423" t="e">
        <f ca="1">_xll.BLUEMATRIX2("/servlet/excelData",L148,$E$4,$D149&amp;":"&amp;L$14&amp;L$15&amp;":AN:NULL:FISCAL")</f>
        <v>#NAME?</v>
      </c>
      <c r="M149" s="423" t="e">
        <f ca="1">_xll.BLUEMATRIX2("/servlet/excelData",M148,$E$4,$D149&amp;":"&amp;M$14&amp;M$15&amp;":AN:NULL:FISCAL")</f>
        <v>#NAME?</v>
      </c>
      <c r="N149" s="423" t="e">
        <f ca="1">_xll.BLUEMATRIX2("/servlet/excelData",N148,$E$4,$D149&amp;":"&amp;N$14&amp;N$15&amp;":AN:NULL:FISCAL")</f>
        <v>#NAME?</v>
      </c>
    </row>
    <row r="150" spans="1:14" ht="15" x14ac:dyDescent="0.25">
      <c r="A150" s="454" t="s">
        <v>616</v>
      </c>
      <c r="B150" s="430" t="s">
        <v>617</v>
      </c>
      <c r="C150" s="431" t="s">
        <v>618</v>
      </c>
      <c r="D150" s="432" t="s">
        <v>619</v>
      </c>
      <c r="E150" s="1002">
        <f>-'FC - 3FS'!AN156/'FC - 3FS'!AN38</f>
        <v>0</v>
      </c>
      <c r="F150" s="1002">
        <f>-'FC - 3FS'!AO156/'FC - 3FS'!AO38</f>
        <v>0.63031508661387425</v>
      </c>
      <c r="G150" s="1002">
        <f>-'FC - 3FS'!AP156/'FC - 3FS'!AP38</f>
        <v>2.8224538654584634</v>
      </c>
      <c r="H150" s="1002">
        <f>-'FC - 3FS'!AQ156/'FC - 3FS'!AQ38</f>
        <v>3.6198505855391812</v>
      </c>
      <c r="I150" s="1002">
        <f>-'FC - 3FS'!AR156/'FC - 3FS'!AR38</f>
        <v>4.0553379965372871</v>
      </c>
      <c r="J150" s="1002">
        <f>-'FC - 3FS'!AS156/'FC - 3FS'!AS38</f>
        <v>4.5419785561217623</v>
      </c>
      <c r="K150" s="443"/>
      <c r="L150" s="443"/>
      <c r="M150" s="443"/>
      <c r="N150" s="443"/>
    </row>
    <row r="151" spans="1:14" x14ac:dyDescent="0.2">
      <c r="A151" s="455"/>
      <c r="B151" s="420" t="s">
        <v>415</v>
      </c>
      <c r="C151" s="421"/>
      <c r="D151" s="436" t="s">
        <v>619</v>
      </c>
      <c r="E151" s="423" t="e">
        <f ca="1">_xll.BLUEMATRIX2("/servlet/excelData",E150,$E$4,$D151&amp;":"&amp;E$14&amp;E$15&amp;":AN:NULL:FISCAL")</f>
        <v>#NAME?</v>
      </c>
      <c r="F151" s="423" t="e">
        <f ca="1">_xll.BLUEMATRIX2("/servlet/excelData",F150,$E$4,$D151&amp;":"&amp;F$14&amp;F$15&amp;":AN:NULL:FISCAL")</f>
        <v>#NAME?</v>
      </c>
      <c r="G151" s="423" t="e">
        <f ca="1">_xll.BLUEMATRIX2("/servlet/excelData",G150,$E$4,$D151&amp;":"&amp;G$14&amp;G$15&amp;":AN:NULL:FISCAL")</f>
        <v>#NAME?</v>
      </c>
      <c r="H151" s="423" t="e">
        <f ca="1">_xll.BLUEMATRIX2("/servlet/excelData",H150,$E$4,$D151&amp;":"&amp;H$14&amp;H$15&amp;":AN:NULL:FISCAL")</f>
        <v>#NAME?</v>
      </c>
      <c r="I151" s="423" t="e">
        <f ca="1">_xll.BLUEMATRIX2("/servlet/excelData",I150,$E$4,$D151&amp;":"&amp;I$14&amp;I$15&amp;":AN:NULL:FISCAL")</f>
        <v>#NAME?</v>
      </c>
      <c r="J151" s="423" t="e">
        <f ca="1">_xll.BLUEMATRIX2("/servlet/excelData",J150,$E$4,$D151&amp;":"&amp;J$14&amp;J$15&amp;":AN:NULL:FISCAL")</f>
        <v>#NAME?</v>
      </c>
      <c r="K151" s="423" t="e">
        <f ca="1">_xll.BLUEMATRIX2("/servlet/excelData",K150,$E$4,$D151&amp;":"&amp;K$14&amp;K$15&amp;":AN:NULL:FISCAL")</f>
        <v>#NAME?</v>
      </c>
      <c r="L151" s="423" t="e">
        <f ca="1">_xll.BLUEMATRIX2("/servlet/excelData",L150,$E$4,$D151&amp;":"&amp;L$14&amp;L$15&amp;":AN:NULL:FISCAL")</f>
        <v>#NAME?</v>
      </c>
      <c r="M151" s="423" t="e">
        <f ca="1">_xll.BLUEMATRIX2("/servlet/excelData",M150,$E$4,$D151&amp;":"&amp;M$14&amp;M$15&amp;":AN:NULL:FISCAL")</f>
        <v>#NAME?</v>
      </c>
      <c r="N151" s="423" t="e">
        <f ca="1">_xll.BLUEMATRIX2("/servlet/excelData",N150,$E$4,$D151&amp;":"&amp;N$14&amp;N$15&amp;":AN:NULL:FISCAL")</f>
        <v>#NAME?</v>
      </c>
    </row>
    <row r="152" spans="1:14" x14ac:dyDescent="0.2">
      <c r="A152" s="455"/>
      <c r="B152" s="416" t="s">
        <v>620</v>
      </c>
      <c r="C152" s="416"/>
      <c r="D152" s="417" t="s">
        <v>621</v>
      </c>
      <c r="E152" s="438"/>
      <c r="F152" s="438"/>
      <c r="G152" s="451">
        <f>+G150/F150-1</f>
        <v>3.4778459621219175</v>
      </c>
      <c r="H152" s="451">
        <f t="shared" ref="H152:J152" si="5">+H150/G150-1</f>
        <v>0.28251895623143986</v>
      </c>
      <c r="I152" s="451">
        <f t="shared" si="5"/>
        <v>0.12030535534748865</v>
      </c>
      <c r="J152" s="451">
        <f t="shared" si="5"/>
        <v>0.12000000000000011</v>
      </c>
      <c r="K152" s="438"/>
      <c r="L152" s="438"/>
      <c r="M152" s="438"/>
      <c r="N152" s="438"/>
    </row>
    <row r="153" spans="1:14" x14ac:dyDescent="0.2">
      <c r="A153" s="455"/>
      <c r="B153" s="420" t="s">
        <v>415</v>
      </c>
      <c r="C153" s="421"/>
      <c r="D153" s="436" t="s">
        <v>621</v>
      </c>
      <c r="E153" s="423" t="e">
        <f ca="1">_xll.BLUEMATRIX2("/servlet/excelData",E152,$E$4,$D153&amp;":"&amp;E$14&amp;E$15&amp;":AN:NULL:FISCAL")</f>
        <v>#NAME?</v>
      </c>
      <c r="F153" s="423" t="e">
        <f ca="1">_xll.BLUEMATRIX2("/servlet/excelData",F152,$E$4,$D153&amp;":"&amp;F$14&amp;F$15&amp;":AN:NULL:FISCAL")</f>
        <v>#NAME?</v>
      </c>
      <c r="G153" s="423" t="e">
        <f ca="1">_xll.BLUEMATRIX2("/servlet/excelData",G152,$E$4,$D153&amp;":"&amp;G$14&amp;G$15&amp;":AN:NULL:FISCAL")</f>
        <v>#NAME?</v>
      </c>
      <c r="H153" s="423" t="e">
        <f ca="1">_xll.BLUEMATRIX2("/servlet/excelData",H152,$E$4,$D153&amp;":"&amp;H$14&amp;H$15&amp;":AN:NULL:FISCAL")</f>
        <v>#NAME?</v>
      </c>
      <c r="I153" s="423" t="e">
        <f ca="1">_xll.BLUEMATRIX2("/servlet/excelData",I152,$E$4,$D153&amp;":"&amp;I$14&amp;I$15&amp;":AN:NULL:FISCAL")</f>
        <v>#NAME?</v>
      </c>
      <c r="J153" s="423" t="e">
        <f ca="1">_xll.BLUEMATRIX2("/servlet/excelData",J152,$E$4,$D153&amp;":"&amp;J$14&amp;J$15&amp;":AN:NULL:FISCAL")</f>
        <v>#NAME?</v>
      </c>
      <c r="K153" s="423" t="e">
        <f ca="1">_xll.BLUEMATRIX2("/servlet/excelData",K152,$E$4,$D153&amp;":"&amp;K$14&amp;K$15&amp;":AN:NULL:FISCAL")</f>
        <v>#NAME?</v>
      </c>
      <c r="L153" s="423" t="e">
        <f ca="1">_xll.BLUEMATRIX2("/servlet/excelData",L152,$E$4,$D153&amp;":"&amp;L$14&amp;L$15&amp;":AN:NULL:FISCAL")</f>
        <v>#NAME?</v>
      </c>
      <c r="M153" s="423" t="e">
        <f ca="1">_xll.BLUEMATRIX2("/servlet/excelData",M152,$E$4,$D153&amp;":"&amp;M$14&amp;M$15&amp;":AN:NULL:FISCAL")</f>
        <v>#NAME?</v>
      </c>
      <c r="N153" s="423" t="e">
        <f ca="1">_xll.BLUEMATRIX2("/servlet/excelData",N152,$E$4,$D153&amp;":"&amp;N$14&amp;N$15&amp;":AN:NULL:FISCAL")</f>
        <v>#NAME?</v>
      </c>
    </row>
    <row r="154" spans="1:14" x14ac:dyDescent="0.2">
      <c r="A154" s="455"/>
      <c r="B154" s="416" t="s">
        <v>622</v>
      </c>
      <c r="C154" s="416" t="s">
        <v>623</v>
      </c>
      <c r="D154" s="417" t="s">
        <v>624</v>
      </c>
      <c r="E154" s="451">
        <f>'FC - 3FS'!AN36/'FC - 3FS'!AM36-1</f>
        <v>-0.14393253748437917</v>
      </c>
      <c r="F154" s="451">
        <f>'FC - 3FS'!AO36/'FC - 3FS'!AN36-1</f>
        <v>2.3585838011399241</v>
      </c>
      <c r="G154" s="451">
        <f>'FC - 3FS'!AP36/'FC - 3FS'!AO36-1</f>
        <v>0.39481205067526592</v>
      </c>
      <c r="H154" s="451">
        <f>'FC - 3FS'!AQ36/'FC - 3FS'!AP36-1</f>
        <v>1.6463090633640487E-2</v>
      </c>
      <c r="I154" s="451">
        <f>'FC - 3FS'!AR36/'FC - 3FS'!AQ36-1</f>
        <v>0.1592503137070711</v>
      </c>
      <c r="J154" s="451">
        <f>'FC - 3FS'!AS36/'FC - 3FS'!AR36-1</f>
        <v>0.19532947485955354</v>
      </c>
      <c r="K154" s="438"/>
      <c r="L154" s="438"/>
      <c r="M154" s="438"/>
      <c r="N154" s="438"/>
    </row>
    <row r="155" spans="1:14" x14ac:dyDescent="0.2">
      <c r="A155" s="455"/>
      <c r="B155" s="420" t="s">
        <v>415</v>
      </c>
      <c r="C155" s="421"/>
      <c r="D155" s="436" t="s">
        <v>624</v>
      </c>
      <c r="E155" s="423" t="e">
        <f ca="1">_xll.BLUEMATRIX2("/servlet/excelData",E154,$E$4,$D155&amp;":"&amp;E$14&amp;E$15&amp;":AN:NULL:FISCAL")</f>
        <v>#NAME?</v>
      </c>
      <c r="F155" s="423" t="e">
        <f ca="1">_xll.BLUEMATRIX2("/servlet/excelData",F154,$E$4,$D155&amp;":"&amp;F$14&amp;F$15&amp;":AN:NULL:FISCAL")</f>
        <v>#NAME?</v>
      </c>
      <c r="G155" s="423" t="e">
        <f ca="1">_xll.BLUEMATRIX2("/servlet/excelData",G154,$E$4,$D155&amp;":"&amp;G$14&amp;G$15&amp;":AN:NULL:FISCAL")</f>
        <v>#NAME?</v>
      </c>
      <c r="H155" s="423" t="e">
        <f ca="1">_xll.BLUEMATRIX2("/servlet/excelData",H154,$E$4,$D155&amp;":"&amp;H$14&amp;H$15&amp;":AN:NULL:FISCAL")</f>
        <v>#NAME?</v>
      </c>
      <c r="I155" s="423" t="e">
        <f ca="1">_xll.BLUEMATRIX2("/servlet/excelData",I154,$E$4,$D155&amp;":"&amp;I$14&amp;I$15&amp;":AN:NULL:FISCAL")</f>
        <v>#NAME?</v>
      </c>
      <c r="J155" s="423" t="e">
        <f ca="1">_xll.BLUEMATRIX2("/servlet/excelData",J154,$E$4,$D155&amp;":"&amp;J$14&amp;J$15&amp;":AN:NULL:FISCAL")</f>
        <v>#NAME?</v>
      </c>
      <c r="K155" s="423" t="e">
        <f ca="1">_xll.BLUEMATRIX2("/servlet/excelData",K154,$E$4,$D155&amp;":"&amp;K$14&amp;K$15&amp;":AN:NULL:FISCAL")</f>
        <v>#NAME?</v>
      </c>
      <c r="L155" s="423" t="e">
        <f ca="1">_xll.BLUEMATRIX2("/servlet/excelData",L154,$E$4,$D155&amp;":"&amp;L$14&amp;L$15&amp;":AN:NULL:FISCAL")</f>
        <v>#NAME?</v>
      </c>
      <c r="M155" s="423" t="e">
        <f ca="1">_xll.BLUEMATRIX2("/servlet/excelData",M154,$E$4,$D155&amp;":"&amp;M$14&amp;M$15&amp;":AN:NULL:FISCAL")</f>
        <v>#NAME?</v>
      </c>
      <c r="N155" s="423" t="e">
        <f ca="1">_xll.BLUEMATRIX2("/servlet/excelData",N154,$E$4,$D155&amp;":"&amp;N$14&amp;N$15&amp;":AN:NULL:FISCAL")</f>
        <v>#NAME?</v>
      </c>
    </row>
    <row r="156" spans="1:14" x14ac:dyDescent="0.2">
      <c r="A156" s="455"/>
      <c r="B156" s="416" t="s">
        <v>625</v>
      </c>
      <c r="C156" s="409" t="s">
        <v>626</v>
      </c>
      <c r="D156" s="417" t="s">
        <v>627</v>
      </c>
      <c r="E156" s="437">
        <f>'FC - 3FS'!AN39</f>
        <v>1255.376769</v>
      </c>
      <c r="F156" s="437">
        <f>'FC - 3FS'!AO39</f>
        <v>1200.2862640000001</v>
      </c>
      <c r="G156" s="437">
        <f>'FC - 3FS'!AP39</f>
        <v>1173.213898</v>
      </c>
      <c r="H156" s="437">
        <f>'FC - 3FS'!AQ39</f>
        <v>1135.3325429268475</v>
      </c>
      <c r="I156" s="437">
        <f>'FC - 3FS'!AR39</f>
        <v>1112.2451998995341</v>
      </c>
      <c r="J156" s="437">
        <f>'FC - 3FS'!AS39</f>
        <v>1089.7032006341428</v>
      </c>
      <c r="K156" s="438"/>
      <c r="L156" s="438"/>
      <c r="M156" s="438"/>
      <c r="N156" s="438"/>
    </row>
    <row r="157" spans="1:14" x14ac:dyDescent="0.2">
      <c r="A157" s="455"/>
      <c r="B157" s="456" t="s">
        <v>415</v>
      </c>
      <c r="C157" s="457"/>
      <c r="D157" s="458" t="s">
        <v>627</v>
      </c>
      <c r="E157" s="459" t="e">
        <f ca="1">_xll.BLUEMATRIX2("/servlet/excelData",E156,$E$4,$D157&amp;":"&amp;E$14&amp;E$15&amp;":AN:NULL:FISCAL")</f>
        <v>#NAME?</v>
      </c>
      <c r="F157" s="459" t="e">
        <f ca="1">_xll.BLUEMATRIX2("/servlet/excelData",F156,$E$4,$D157&amp;":"&amp;F$14&amp;F$15&amp;":AN:NULL:FISCAL")</f>
        <v>#NAME?</v>
      </c>
      <c r="G157" s="459" t="e">
        <f ca="1">_xll.BLUEMATRIX2("/servlet/excelData",G156,$E$4,$D157&amp;":"&amp;G$14&amp;G$15&amp;":AN:NULL:FISCAL")</f>
        <v>#NAME?</v>
      </c>
      <c r="H157" s="459" t="e">
        <f ca="1">_xll.BLUEMATRIX2("/servlet/excelData",H156,$E$4,$D157&amp;":"&amp;H$14&amp;H$15&amp;":AN:NULL:FISCAL")</f>
        <v>#NAME?</v>
      </c>
      <c r="I157" s="459" t="e">
        <f ca="1">_xll.BLUEMATRIX2("/servlet/excelData",I156,$E$4,$D157&amp;":"&amp;I$14&amp;I$15&amp;":AN:NULL:FISCAL")</f>
        <v>#NAME?</v>
      </c>
      <c r="J157" s="459" t="e">
        <f ca="1">_xll.BLUEMATRIX2("/servlet/excelData",J156,$E$4,$D157&amp;":"&amp;J$14&amp;J$15&amp;":AN:NULL:FISCAL")</f>
        <v>#NAME?</v>
      </c>
      <c r="K157" s="459" t="e">
        <f ca="1">_xll.BLUEMATRIX2("/servlet/excelData",K156,$E$4,$D157&amp;":"&amp;K$14&amp;K$15&amp;":AN:NULL:FISCAL")</f>
        <v>#NAME?</v>
      </c>
      <c r="L157" s="459" t="e">
        <f ca="1">_xll.BLUEMATRIX2("/servlet/excelData",L156,$E$4,$D157&amp;":"&amp;L$14&amp;L$15&amp;":AN:NULL:FISCAL")</f>
        <v>#NAME?</v>
      </c>
      <c r="M157" s="459" t="e">
        <f ca="1">_xll.BLUEMATRIX2("/servlet/excelData",M156,$E$4,$D157&amp;":"&amp;M$14&amp;M$15&amp;":AN:NULL:FISCAL")</f>
        <v>#NAME?</v>
      </c>
      <c r="N157" s="459" t="e">
        <f ca="1">_xll.BLUEMATRIX2("/servlet/excelData",N156,$E$4,$D157&amp;":"&amp;N$14&amp;N$15&amp;":AN:NULL:FISCAL")</f>
        <v>#NAME?</v>
      </c>
    </row>
    <row r="158" spans="1:14" ht="15" x14ac:dyDescent="0.25">
      <c r="A158" s="460" t="s">
        <v>628</v>
      </c>
      <c r="B158" s="416" t="s">
        <v>629</v>
      </c>
      <c r="C158" s="416"/>
      <c r="D158" s="417" t="s">
        <v>630</v>
      </c>
      <c r="E158" s="438"/>
      <c r="F158" s="438"/>
      <c r="G158" s="438"/>
      <c r="H158" s="438"/>
      <c r="I158" s="438"/>
      <c r="J158" s="438"/>
      <c r="K158" s="438"/>
      <c r="L158" s="438"/>
      <c r="M158" s="438"/>
      <c r="N158" s="438"/>
    </row>
    <row r="159" spans="1:14" x14ac:dyDescent="0.2">
      <c r="A159" s="461"/>
      <c r="B159" s="456" t="s">
        <v>415</v>
      </c>
      <c r="C159" s="457"/>
      <c r="D159" s="458" t="s">
        <v>630</v>
      </c>
      <c r="E159" s="459" t="e">
        <f ca="1">_xll.BLUEMATRIX2("/servlet/excelData",E158,$E$4,$D159&amp;":"&amp;E$14&amp;E$15&amp;":AN:NULL:FISCAL")</f>
        <v>#NAME?</v>
      </c>
      <c r="F159" s="459" t="e">
        <f ca="1">_xll.BLUEMATRIX2("/servlet/excelData",F158,$E$4,$D159&amp;":"&amp;F$14&amp;F$15&amp;":AN:NULL:FISCAL")</f>
        <v>#NAME?</v>
      </c>
      <c r="G159" s="459" t="e">
        <f ca="1">_xll.BLUEMATRIX2("/servlet/excelData",G158,$E$4,$D159&amp;":"&amp;G$14&amp;G$15&amp;":AN:NULL:FISCAL")</f>
        <v>#NAME?</v>
      </c>
      <c r="H159" s="459" t="e">
        <f ca="1">_xll.BLUEMATRIX2("/servlet/excelData",H158,$E$4,$D159&amp;":"&amp;H$14&amp;H$15&amp;":AN:NULL:FISCAL")</f>
        <v>#NAME?</v>
      </c>
      <c r="I159" s="459" t="e">
        <f ca="1">_xll.BLUEMATRIX2("/servlet/excelData",I158,$E$4,$D159&amp;":"&amp;I$14&amp;I$15&amp;":AN:NULL:FISCAL")</f>
        <v>#NAME?</v>
      </c>
      <c r="J159" s="459" t="e">
        <f ca="1">_xll.BLUEMATRIX2("/servlet/excelData",J158,$E$4,$D159&amp;":"&amp;J$14&amp;J$15&amp;":AN:NULL:FISCAL")</f>
        <v>#NAME?</v>
      </c>
      <c r="K159" s="459" t="e">
        <f ca="1">_xll.BLUEMATRIX2("/servlet/excelData",K158,$E$4,$D159&amp;":"&amp;K$14&amp;K$15&amp;":AN:NULL:FISCAL")</f>
        <v>#NAME?</v>
      </c>
      <c r="L159" s="459" t="e">
        <f ca="1">_xll.BLUEMATRIX2("/servlet/excelData",L158,$E$4,$D159&amp;":"&amp;L$14&amp;L$15&amp;":AN:NULL:FISCAL")</f>
        <v>#NAME?</v>
      </c>
      <c r="M159" s="459" t="e">
        <f ca="1">_xll.BLUEMATRIX2("/servlet/excelData",M158,$E$4,$D159&amp;":"&amp;M$14&amp;M$15&amp;":AN:NULL:FISCAL")</f>
        <v>#NAME?</v>
      </c>
      <c r="N159" s="459" t="e">
        <f ca="1">_xll.BLUEMATRIX2("/servlet/excelData",N158,$E$4,$D159&amp;":"&amp;N$14&amp;N$15&amp;":AN:NULL:FISCAL")</f>
        <v>#NAME?</v>
      </c>
    </row>
    <row r="160" spans="1:14" ht="15" x14ac:dyDescent="0.25">
      <c r="A160" s="462" t="s">
        <v>631</v>
      </c>
      <c r="B160" s="416" t="s">
        <v>632</v>
      </c>
      <c r="C160" s="416"/>
      <c r="D160" s="417" t="s">
        <v>633</v>
      </c>
      <c r="E160" s="463"/>
      <c r="F160" s="463"/>
      <c r="G160" s="463"/>
      <c r="H160" s="463"/>
      <c r="I160" s="463"/>
      <c r="J160" s="463"/>
      <c r="K160" s="464"/>
      <c r="L160" s="464"/>
      <c r="M160" s="464"/>
      <c r="N160" s="464"/>
    </row>
    <row r="161" spans="1:14" ht="15" x14ac:dyDescent="0.25">
      <c r="A161" s="462"/>
      <c r="B161" s="421" t="s">
        <v>415</v>
      </c>
      <c r="C161" s="421"/>
      <c r="D161" s="436" t="s">
        <v>633</v>
      </c>
      <c r="E161" s="465" t="e">
        <f ca="1">_xll.BLUEMATRIX2("/servlet/excelData",E160,$E$4,$D161&amp;":"&amp;E$14 &amp;E$15&amp;":AN:NULL:FISCAL")</f>
        <v>#NAME?</v>
      </c>
      <c r="F161" s="465" t="e">
        <f ca="1">_xll.BLUEMATRIX2("/servlet/excelData",F160,$E$4,$D161&amp;":"&amp;F$14 &amp;F$15&amp;":AN:NULL:FISCAL")</f>
        <v>#NAME?</v>
      </c>
      <c r="G161" s="465" t="e">
        <f ca="1">_xll.BLUEMATRIX2("/servlet/excelData",G160,$E$4,$D161&amp;":"&amp;G$14 &amp;G$15&amp;":AN:NULL:FISCAL")</f>
        <v>#NAME?</v>
      </c>
      <c r="H161" s="465" t="e">
        <f ca="1">_xll.BLUEMATRIX2("/servlet/excelData",H160,$E$4,$D161&amp;":"&amp;H$14 &amp;H$15&amp;":AN:NULL:FISCAL")</f>
        <v>#NAME?</v>
      </c>
      <c r="I161" s="465" t="e">
        <f ca="1">_xll.BLUEMATRIX2("/servlet/excelData",I160,$E$4,$D161&amp;":"&amp;I$14 &amp;I$15&amp;":AN:NULL:FISCAL")</f>
        <v>#NAME?</v>
      </c>
      <c r="J161" s="465" t="e">
        <f ca="1">_xll.BLUEMATRIX2("/servlet/excelData",J160,$E$4,$D161&amp;":"&amp;J$14 &amp;J$15&amp;":AN:NULL:FISCAL")</f>
        <v>#NAME?</v>
      </c>
      <c r="K161" s="465" t="e">
        <f ca="1">_xll.BLUEMATRIX2("/servlet/excelData",K160,$E$4,$D161&amp;":"&amp;K$14 &amp;K$15&amp;":AN:NULL:FISCAL")</f>
        <v>#NAME?</v>
      </c>
      <c r="L161" s="465" t="e">
        <f ca="1">_xll.BLUEMATRIX2("/servlet/excelData",L160,$E$4,$D161&amp;":"&amp;L$14 &amp;L$15&amp;":AN:NULL:FISCAL")</f>
        <v>#NAME?</v>
      </c>
      <c r="M161" s="465" t="e">
        <f ca="1">_xll.BLUEMATRIX2("/servlet/excelData",M160,$E$4,$D161&amp;":"&amp;M$14 &amp;M$15&amp;":AN:NULL:FISCAL")</f>
        <v>#NAME?</v>
      </c>
      <c r="N161" s="465" t="e">
        <f ca="1">_xll.BLUEMATRIX2("/servlet/excelData",N160,$E$4,$D161&amp;":"&amp;N$14 &amp;N$15&amp;":AN:NULL:FISCAL")</f>
        <v>#NAME?</v>
      </c>
    </row>
    <row r="162" spans="1:14" ht="15" x14ac:dyDescent="0.25">
      <c r="A162" s="462"/>
      <c r="B162" s="416"/>
      <c r="C162" s="416"/>
      <c r="D162" s="417"/>
      <c r="E162" s="464"/>
      <c r="F162" s="464"/>
      <c r="G162" s="464"/>
      <c r="H162" s="464"/>
      <c r="I162" s="464"/>
      <c r="J162" s="464"/>
      <c r="K162" s="464"/>
      <c r="L162" s="464"/>
      <c r="M162" s="464"/>
      <c r="N162" s="464"/>
    </row>
    <row r="163" spans="1:14" ht="15" x14ac:dyDescent="0.25">
      <c r="A163" s="462"/>
      <c r="B163" s="421" t="s">
        <v>415</v>
      </c>
      <c r="C163" s="421"/>
      <c r="D163" s="436"/>
      <c r="E163" s="465" t="e">
        <f ca="1">_xll.BLUEMATRIX2("/servlet/excelData",E162,$E$4,$D163&amp;":"&amp;E$14 &amp;E$15&amp;":AN:NULL:FISCAL")</f>
        <v>#NAME?</v>
      </c>
      <c r="F163" s="465" t="e">
        <f ca="1">_xll.BLUEMATRIX2("/servlet/excelData",F162,$E$4,$D163&amp;":"&amp;F$14 &amp;F$15&amp;":AN:NULL:FISCAL")</f>
        <v>#NAME?</v>
      </c>
      <c r="G163" s="465" t="e">
        <f ca="1">_xll.BLUEMATRIX2("/servlet/excelData",G162,$E$4,$D163&amp;":"&amp;G$14 &amp;G$15&amp;":AN:NULL:FISCAL")</f>
        <v>#NAME?</v>
      </c>
      <c r="H163" s="465" t="e">
        <f ca="1">_xll.BLUEMATRIX2("/servlet/excelData",H162,$E$4,$D163&amp;":"&amp;H$14 &amp;H$15&amp;":AN:NULL:FISCAL")</f>
        <v>#NAME?</v>
      </c>
      <c r="I163" s="465" t="e">
        <f ca="1">_xll.BLUEMATRIX2("/servlet/excelData",I162,$E$4,$D163&amp;":"&amp;I$14 &amp;I$15&amp;":AN:NULL:FISCAL")</f>
        <v>#NAME?</v>
      </c>
      <c r="J163" s="465" t="e">
        <f ca="1">_xll.BLUEMATRIX2("/servlet/excelData",J162,$E$4,$D163&amp;":"&amp;J$14 &amp;J$15&amp;":AN:NULL:FISCAL")</f>
        <v>#NAME?</v>
      </c>
      <c r="K163" s="465" t="e">
        <f ca="1">_xll.BLUEMATRIX2("/servlet/excelData",K162,$E$4,$D163&amp;":"&amp;K$14 &amp;K$15&amp;":AN:NULL:FISCAL")</f>
        <v>#NAME?</v>
      </c>
      <c r="L163" s="465" t="e">
        <f ca="1">_xll.BLUEMATRIX2("/servlet/excelData",L162,$E$4,$D163&amp;":"&amp;L$14 &amp;L$15&amp;":AN:NULL:FISCAL")</f>
        <v>#NAME?</v>
      </c>
      <c r="M163" s="465" t="e">
        <f ca="1">_xll.BLUEMATRIX2("/servlet/excelData",M162,$E$4,$D163&amp;":"&amp;M$14 &amp;M$15&amp;":AN:NULL:FISCAL")</f>
        <v>#NAME?</v>
      </c>
      <c r="N163" s="465" t="e">
        <f ca="1">_xll.BLUEMATRIX2("/servlet/excelData",N162,$E$4,$D163&amp;":"&amp;N$14 &amp;N$15&amp;":AN:NULL:FISCAL")</f>
        <v>#NAME?</v>
      </c>
    </row>
  </sheetData>
  <sheetProtection formatCells="0" formatColumns="0" formatRows="0"/>
  <dataValidations count="2">
    <dataValidation type="list" allowBlank="1" showInputMessage="1" showErrorMessage="1" sqref="F11" xr:uid="{B7521FCB-0A7F-4588-9547-C2003D6E9B7E}">
      <formula1>"Outperform, Market-Perform,Underperform, Not Rated, Coverage Suspended"</formula1>
    </dataValidation>
    <dataValidation type="list" allowBlank="1" showInputMessage="1" showErrorMessage="1" sqref="E15:N15" xr:uid="{B9723415-F647-40BB-B2C9-0B5591580E2E}">
      <formula1>"A,E"</formula1>
    </dataValidation>
  </dataValidations>
  <pageMargins left="0.7" right="0.7" top="0.75" bottom="0.75" header="0.3" footer="0.3"/>
  <pageSetup paperSize="19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watermark>
  <watermarktext>For the exclusive use of ANDREW CHUNG at BERNSTEIN on 23-Jul-2026</watermarktext>
</watermark>
</file>

<file path=customXml/itemProps1.xml><?xml version="1.0" encoding="utf-8"?>
<ds:datastoreItem xmlns:ds="http://schemas.openxmlformats.org/officeDocument/2006/customXml" ds:itemID="{A5D90DA7-55E3-498F-8FB8-5776AFCD3A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BERNSTEIN Cover</vt:lpstr>
      <vt:lpstr>Summary</vt:lpstr>
      <vt:lpstr>FC - 3FS</vt:lpstr>
      <vt:lpstr>IS Drivers</vt:lpstr>
      <vt:lpstr>BS Drivers</vt:lpstr>
      <vt:lpstr>As Reported</vt:lpstr>
      <vt:lpstr>3FS</vt:lpstr>
      <vt:lpstr>Metrics</vt:lpstr>
      <vt:lpstr>'SCB Ticker Sheet'!MARKET_DATA</vt:lpstr>
      <vt:lpstr>'SCB Ticker Sheet'!NewToCopy</vt:lpstr>
      <vt:lpstr>'BERNSTEIN 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Luwei</dc:creator>
  <cp:lastModifiedBy>Andrew Chung</cp:lastModifiedBy>
  <cp:lastPrinted>2025-04-25T02:34:32Z</cp:lastPrinted>
  <dcterms:created xsi:type="dcterms:W3CDTF">2021-08-13T19:39:58Z</dcterms:created>
  <dcterms:modified xsi:type="dcterms:W3CDTF">2026-07-23T12:08:31Z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01b303-ecb1-4a9d-936a-70858c2d9a3e_Enabled">
    <vt:lpwstr>true</vt:lpwstr>
  </property>
  <property fmtid="{D5CDD505-2E9C-101B-9397-08002B2CF9AE}" pid="3" name="MSIP_Label_a401b303-ecb1-4a9d-936a-70858c2d9a3e_SetDate">
    <vt:lpwstr>2024-11-11T17:52:00Z</vt:lpwstr>
  </property>
  <property fmtid="{D5CDD505-2E9C-101B-9397-08002B2CF9AE}" pid="4" name="MSIP_Label_a401b303-ecb1-4a9d-936a-70858c2d9a3e_Method">
    <vt:lpwstr>Privileged</vt:lpwstr>
  </property>
  <property fmtid="{D5CDD505-2E9C-101B-9397-08002B2CF9AE}" pid="5" name="MSIP_Label_a401b303-ecb1-4a9d-936a-70858c2d9a3e_Name">
    <vt:lpwstr>a401b303-ecb1-4a9d-936a-70858c2d9a3e</vt:lpwstr>
  </property>
  <property fmtid="{D5CDD505-2E9C-101B-9397-08002B2CF9AE}" pid="6" name="MSIP_Label_a401b303-ecb1-4a9d-936a-70858c2d9a3e_SiteId">
    <vt:lpwstr>c9a7d621-4bc4-4407-b730-f428e656aa9e</vt:lpwstr>
  </property>
  <property fmtid="{D5CDD505-2E9C-101B-9397-08002B2CF9AE}" pid="7" name="MSIP_Label_a401b303-ecb1-4a9d-936a-70858c2d9a3e_ActionId">
    <vt:lpwstr>0993661e-12a2-4c96-a5f4-da0c4d19c817</vt:lpwstr>
  </property>
  <property fmtid="{D5CDD505-2E9C-101B-9397-08002B2CF9AE}" pid="8" name="MSIP_Label_a401b303-ecb1-4a9d-936a-70858c2d9a3e_ContentBits">
    <vt:lpwstr>0</vt:lpwstr>
  </property>
  <property fmtid="{D5CDD505-2E9C-101B-9397-08002B2CF9AE}" pid="9" name="Id">
    <vt:lpwstr>b1d44944-8162-475f-a2a9-a34791e1d40e</vt:lpwstr>
  </property>
</Properties>
</file>
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97F5D0F-962B-4591-BD2C-A62AB2ACAA65}" xr6:coauthVersionLast="47" xr6:coauthVersionMax="47" xr10:uidLastSave="{00000000-0000-0000-0000-000000000000}"/>
  <bookViews>
    <workbookView xWindow="-108" yWindow="-108" windowWidth="23256" windowHeight="12576" tabRatio="500" activeTab="3" xr2:uid="{00000000-000D-0000-FFFF-FFFF00000000}"/>
  </bookViews>
  <sheets>
    <sheet name="Monthly Detail 2025-26" sheetId="1" r:id="rId1"/>
    <sheet name="Historical 2021-2024" sheetId="2" r:id="rId2"/>
    <sheet name="Annual Trend (May &amp; Dec)" sheetId="3" r:id="rId3"/>
    <sheet name="Chart Data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5" i="4" l="1"/>
  <c r="G25" i="4"/>
  <c r="F25" i="4"/>
  <c r="H24" i="4"/>
  <c r="G24" i="4"/>
  <c r="F24" i="4"/>
  <c r="H23" i="4"/>
  <c r="G23" i="4"/>
  <c r="F23" i="4"/>
  <c r="H22" i="4"/>
  <c r="G22" i="4"/>
  <c r="F22" i="4"/>
  <c r="H21" i="4"/>
  <c r="G21" i="4"/>
  <c r="F21" i="4"/>
  <c r="H20" i="4"/>
  <c r="G20" i="4"/>
  <c r="F20" i="4"/>
  <c r="H19" i="4"/>
  <c r="G19" i="4"/>
  <c r="F19" i="4"/>
  <c r="H18" i="4"/>
  <c r="G18" i="4"/>
  <c r="F18" i="4"/>
  <c r="H17" i="4"/>
  <c r="G17" i="4"/>
  <c r="F17" i="4"/>
  <c r="H16" i="4"/>
  <c r="G16" i="4"/>
  <c r="F16" i="4"/>
  <c r="H15" i="4"/>
  <c r="G15" i="4"/>
  <c r="F15" i="4"/>
  <c r="H14" i="4"/>
  <c r="G14" i="4"/>
  <c r="F14" i="4"/>
  <c r="H13" i="4"/>
  <c r="G13" i="4"/>
  <c r="F13" i="4"/>
  <c r="H12" i="4"/>
  <c r="G12" i="4"/>
  <c r="F12" i="4"/>
  <c r="H11" i="4"/>
  <c r="G11" i="4"/>
  <c r="F11" i="4"/>
  <c r="H10" i="4"/>
  <c r="G10" i="4"/>
  <c r="F10" i="4"/>
  <c r="H9" i="4"/>
  <c r="G9" i="4"/>
  <c r="F9" i="4"/>
  <c r="H8" i="4"/>
  <c r="G8" i="4"/>
  <c r="F8" i="4"/>
  <c r="H7" i="4"/>
  <c r="G7" i="4"/>
  <c r="F7" i="4"/>
  <c r="H6" i="4"/>
  <c r="G6" i="4"/>
  <c r="F6" i="4"/>
  <c r="H5" i="4"/>
  <c r="G5" i="4"/>
  <c r="F5" i="4"/>
  <c r="H4" i="4"/>
  <c r="G4" i="4"/>
  <c r="F4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F17" i="1"/>
  <c r="F16" i="1"/>
  <c r="F15" i="1"/>
  <c r="F14" i="1"/>
  <c r="F13" i="1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<sst xmlns="http://schemas.openxmlformats.org/spreadsheetml/2006/main" count="163" uniqueCount="87">
  <si>
    <t>Nielsen The Gauge — Monthly TV Viewing Share (%)</t>
  </si>
  <si>
    <t>Complete run, April 2025 through April 2026. Source: Nielsen 'The Gauge' monthly reports / user-provided chart.</t>
  </si>
  <si>
    <t>Month</t>
  </si>
  <si>
    <t>Broadcast %</t>
  </si>
  <si>
    <t>Cable %</t>
  </si>
  <si>
    <t>Streaming %</t>
  </si>
  <si>
    <t>Other %</t>
  </si>
  <si>
    <t>Check (should = 100%)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</si>
  <si>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</si>
  <si>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</si>
  <si>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</si>
  <si>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</si>
  <si>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</si>
  <si>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</si>
  <si>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</si>
  <si>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</si>
  <si>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</si>
  <si>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January 2026</t>
  </si>
  <si>
    <t>February 2026</t>
  </si>
  <si>
    <t>March 2026</t>
  </si>
  <si>
    <t>April 2026</t>
  </si>
  <si>
    <t>Note: 'Other' includes unmeasured tuning, VOD, gaming, audio, and linear streaming viewed via set-top box.</t>
  </si>
  <si>
    <t>Nielsen The Gauge — Historical Data Points (2021–2024)</t>
  </si>
  <si>
    <t>Compiled from individual Nielsen press releases and news coverage. Full 4-category monthly breakdowns for this period are not all publicly archived by Nielsen — gaps are marked N/A.</t>
  </si>
  <si>
    <t>Source / Note</t>
  </si>
  <si>
    <t>May 2021 (Gauge launch)</t>
  </si>
  <si>
    <t>N/A</t>
  </si>
  <si>
    <t>First-ever Gauge report; combined B+C=64%, streaming 26%. Other implied ~10%. Source: Nielsen 4-yr anniversary recap (2025).</t>
  </si>
  <si>
    <t>March 2022</t>
  </si>
  <si>
    <t>Streaming share only, cited in May 2022 release. Source: Nielsen/PRNewswire.</t>
  </si>
  <si>
    <t>April 2022</t>
  </si>
  <si>
    <t>May 2022</t>
  </si>
  <si>
    <t>Source: Nielsen 'Streaming Captures Nearly 32%' release, June 2022.</t>
  </si>
  <si>
    <t>March 2023</t>
  </si>
  <si>
    <t>Streaming share only, cited as YoY comparison in March 2024 release. Source: Nielsen.</t>
  </si>
  <si>
    <t>December 2023</t>
  </si>
  <si>
    <t>Cited as YoY comparison in Dec 2024 coverage. Source: StreamTV Insider / Nielsen.</t>
  </si>
  <si>
    <t>March 2024</t>
  </si>
  <si>
    <t>Broadcast not specified in release. Source: Nielsen, PRNewswire, April 2024.</t>
  </si>
  <si>
    <t>April 2024</t>
  </si>
  <si>
    <t>Cable only cited. Source: Nielsen Media Distributor Gauge launch release, May 2024.</t>
  </si>
  <si>
    <t>June 2024</t>
  </si>
  <si>
    <t>Broadcast not specified. Streaming set an all-time record at the time. Source: Nielsen, July 2024.</t>
  </si>
  <si>
    <t>October 2024</t>
  </si>
  <si>
    <t>Source: Nielsen, Nov 2024 release.</t>
  </si>
  <si>
    <t>November 2024</t>
  </si>
  <si>
    <t>Source: Nielsen, Dec 2024 release.</t>
  </si>
  <si>
    <t>December 2024</t>
  </si>
  <si>
    <t>Source: StreamTV Insider comparison of Nielsen Dec 2024 Gauge vs Dec 2023.</t>
  </si>
  <si>
    <t>Nielsen The Gauge — Year-over-Year Trend</t>
  </si>
  <si>
    <t>May and December are used because Nielsen itself publishes year-over-year comparisons for these two months (May = Gauge anniversary month; December = holiday viewing recap).</t>
  </si>
  <si>
    <t>Period</t>
  </si>
  <si>
    <t>May 2021</t>
  </si>
  <si>
    <t>Gauge launch month. Source: Nielsen 4-year anniversary recap, June 2025.</t>
  </si>
  <si>
    <t>Source: Nielsen, June 2022 release.</t>
  </si>
  <si>
    <t>Streaming exceeds broadcast+cable combined for first time. Source: Nielsen, June 2025.</t>
  </si>
  <si>
    <t>Source: StreamTV Insider (Nielsen data), Jan 2025.</t>
  </si>
  <si>
    <t>All-time high streaming share at time of release. Source: Nielsen, Jan 2026.</t>
  </si>
  <si>
    <t>Change, May 2021 → May 2025 (Nielsen-reported)</t>
  </si>
  <si>
    <t>-21%</t>
  </si>
  <si>
    <t>-39%</t>
  </si>
  <si>
    <t>+71%</t>
  </si>
  <si>
    <t>Percent CHANGE in usage (not share points). Source: Nielsen 4-year anniversary release, June 2025.</t>
  </si>
  <si>
    <t>Streaming Share Trajectory — All Known Data Points (chronological)</t>
  </si>
  <si>
    <t>Sheet Reference</t>
  </si>
  <si>
    <t>See detail/historical sheets</t>
  </si>
  <si>
    <t>Mar 2022</t>
  </si>
  <si>
    <t>Apr 2022</t>
  </si>
  <si>
    <t>Mar 2023</t>
  </si>
  <si>
    <t>Dec 2023</t>
  </si>
  <si>
    <t>Mar 2024</t>
  </si>
  <si>
    <t>Jun 2024</t>
  </si>
  <si>
    <t>Dec 2024</t>
  </si>
  <si>
    <t>Apr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</si>
  <si>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</si>
  <si>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</si>
  <si>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</si>
  <si>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</si>
  <si>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</si>
  <si>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</si>
  <si>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</si>
  <si>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</si>
  <si>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</si>
  <si>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</si>
  <si>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</si>
  <si>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Linear % (Cable+Broadcast)</t>
  </si>
  <si>
    <t>Date (helper)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</si>
</sst>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mm\ yyyy"/>
  </numFmts>
  <fonts count="7" x14ac:knownFonts="1">
    <font>
      <sz val="11"/>
      <color theme="1"/>
      <name val="Calibri"/>
      <family val="2"/>
      <charset val="1"/>
    </font>
    <font>
      <b/>
      <sz val="14"/>
      <color rgb="FF1B2A4A"/>
      <name val="Arial"/>
      <charset val="1"/>
    </font>
    <font>
      <i/>
      <sz val="9"/>
      <color rgb="FF666666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i/>
      <sz val="9"/>
      <color rgb="FF888888"/>
      <name val="Arial"/>
      <charset val="1"/>
    </font>
    <font>
      <b/>
      <sz val="11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2F5FA"/>
        <bgColor rgb="FFE8EDF6"/>
      </patternFill>
    </fill>
    <fill>
      <patternFill patternType="solid">
        <fgColor rgb="FFE8EDF6"/>
        <bgColor rgb="FFF2F5FA"/>
      </patternFill>
    </fill>
    <fill>
      <patternFill patternType="solid">
        <fgColor rgb="FF1B2A4A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5" fillId="0" borderId="0" xfId="0" applyFont="1"/>
    <xf numFmtId="0" fontId="2" fillId="0" borderId="0" xfId="0" applyFont="1"/>
    <xf numFmtId="0" fontId="1" fillId="0" borderId="0" xfId="0" applyFont="1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0" fillId="0" borderId="1" xfId="0" applyNumberFormat="1" applyBorder="1" applyAlignment="1">
      <alignment horizontal="center"/>
    </xf>
    <xf numFmtId="0" fontId="4" fillId="3" borderId="1" xfId="0" applyFont="1" applyFill="1" applyBorder="1"/>
    <xf numFmtId="164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vertical="top" wrapText="1"/>
    </xf>
    <xf numFmtId="0" fontId="0" fillId="3" borderId="1" xfId="0" applyFill="1" applyBorder="1" applyAlignment="1">
      <alignment horizontal="center"/>
    </xf>
    <xf numFmtId="0" fontId="5" fillId="3" borderId="1" xfId="0" applyFont="1" applyFill="1" applyBorder="1" applyAlignment="1">
      <alignment vertical="top" wrapText="1"/>
    </xf>
    <xf numFmtId="0" fontId="6" fillId="0" borderId="1" xfId="0" applyFont="1" applyBorder="1"/>
    <xf numFmtId="0" fontId="6" fillId="3" borderId="1" xfId="0" applyFont="1" applyFill="1" applyBorder="1"/>
    <xf numFmtId="0" fontId="6" fillId="4" borderId="1" xfId="0" applyFont="1" applyFill="1" applyBorder="1"/>
    <xf numFmtId="0" fontId="0" fillId="4" borderId="1" xfId="0" applyFill="1" applyBorder="1" applyAlignment="1">
      <alignment horizontal="center"/>
    </xf>
    <xf numFmtId="0" fontId="5" fillId="4" borderId="1" xfId="0" applyFont="1" applyFill="1" applyBorder="1"/>
    <xf numFmtId="164" fontId="0" fillId="0" borderId="1" xfId="0" applyNumberFormat="1" applyBorder="1"/>
    <xf numFmtId="0" fontId="5" fillId="0" borderId="1" xfId="0" applyFont="1" applyBorder="1"/>
    <xf numFmtId="0" fontId="3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0" fontId="3" fillId="5" borderId="2" xfId="0" applyFont="1" applyFill="1" applyBorder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2F5FA"/>
      <rgbColor rgb="FFE8ED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888888"/>
      <rgbColor rgb="FF003366"/>
      <rgbColor rgb="FF339966"/>
      <rgbColor rgb="FF003300"/>
      <rgbColor rgb="FF333300"/>
      <rgbColor rgb="FF993300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Streaming Share of U.S. TV Viewing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Data'!$B$3</c:f>
              <c:strCache>
                <c:ptCount val="1"/>
                <c:pt idx="0">
                  <c:v>Streaming %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'Chart Data'!$E$4:$E$25</c:f>
              <c:numCache>
                <c:formatCode>mmm\ yyyy</c:formatCode>
                <c:ptCount val="22"/>
                <c:pt idx="0">
                  <c:v>44317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44986</c:v>
                </c:pt>
                <c:pt idx="5">
                  <c:v>45261</c:v>
                </c:pt>
                <c:pt idx="6">
                  <c:v>45352</c:v>
                </c:pt>
                <c:pt idx="7">
                  <c:v>45444</c:v>
                </c:pt>
                <c:pt idx="8">
                  <c:v>45627</c:v>
                </c:pt>
                <c:pt idx="9">
                  <c:v>45748</c:v>
                </c:pt>
                <c:pt idx="10">
                  <c:v>45778</c:v>
                </c:pt>
                <c:pt idx="11">
                  <c:v>45809</c:v>
                </c:pt>
                <c:pt idx="12">
                  <c:v>45839</c:v>
                </c:pt>
                <c:pt idx="13">
                  <c:v>45870</c:v>
                </c:pt>
                <c:pt idx="14">
                  <c:v>45901</c:v>
                </c:pt>
                <c:pt idx="15">
                  <c:v>45931</c:v>
                </c:pt>
                <c:pt idx="16">
                  <c:v>45962</c:v>
                </c:pt>
                <c:pt idx="17">
                  <c:v>45992</c:v>
                </c:pt>
                <c:pt idx="18">
                  <c:v>46023</c:v>
                </c:pt>
                <c:pt idx="19">
                  <c:v>46054</c:v>
                </c:pt>
                <c:pt idx="20">
                  <c:v>46082</c:v>
                </c:pt>
                <c:pt idx="21">
                  <c:v>46113</c:v>
                </c:pt>
              </c:numCache>
            </c:numRef>
          </c:cat>
          <c:val>
            <c:numRef>
              <c:f>'Chart Data'!$B$4:$B$25</c:f>
              <c:numCache>
                <c:formatCode>0.0%</c:formatCode>
                <c:ptCount val="22"/>
                <c:pt idx="0">
                  <c:v>0.26</c:v>
                </c:pt>
                <c:pt idx="1">
                  <c:v>0.29699999999999999</c:v>
                </c:pt>
                <c:pt idx="2">
                  <c:v>0.30399999999999999</c:v>
                </c:pt>
                <c:pt idx="3">
                  <c:v>0.31900000000000001</c:v>
                </c:pt>
                <c:pt idx="4">
                  <c:v>0.34100000000000003</c:v>
                </c:pt>
                <c:pt idx="5">
                  <c:v>0.35899999999999999</c:v>
                </c:pt>
                <c:pt idx="6">
                  <c:v>0.38500000000000001</c:v>
                </c:pt>
                <c:pt idx="7">
                  <c:v>0.40300000000000002</c:v>
                </c:pt>
                <c:pt idx="8">
                  <c:v>0.433</c:v>
                </c:pt>
                <c:pt idx="9">
                  <c:v>0.443</c:v>
                </c:pt>
                <c:pt idx="10">
                  <c:v>0.44800000000000001</c:v>
                </c:pt>
                <c:pt idx="11">
                  <c:v>0.46</c:v>
                </c:pt>
                <c:pt idx="12">
                  <c:v>0.47299999999999998</c:v>
                </c:pt>
                <c:pt idx="13">
                  <c:v>0.46400000000000002</c:v>
                </c:pt>
                <c:pt idx="14">
                  <c:v>0.45200000000000001</c:v>
                </c:pt>
                <c:pt idx="15">
                  <c:v>0.45700000000000002</c:v>
                </c:pt>
                <c:pt idx="16">
                  <c:v>0.46700000000000003</c:v>
                </c:pt>
                <c:pt idx="17">
                  <c:v>0.47499999999999998</c:v>
                </c:pt>
                <c:pt idx="18">
                  <c:v>0.47</c:v>
                </c:pt>
                <c:pt idx="19">
                  <c:v>0.48</c:v>
                </c:pt>
                <c:pt idx="20">
                  <c:v>0.47599999999999998</c:v>
                </c:pt>
                <c:pt idx="21">
                  <c:v>0.47599999999999998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A02-47E0-881F-CD9669AC5EFA}"/>
            </c:ext>
          </c:extLst>
        </c:ser>
        <c:ser>
          <c:idx val="1"/>
          <c:order val="1"/>
          <c:tx>
            <c:v>Linear %</c:v>
          </c:tx>
          <c:spPr>
            <a:ln w="28575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numRef>
              <c:f>'Chart Data'!$E$4:$E$25</c:f>
              <c:numCache>
                <c:formatCode>mmm\ yyyy</c:formatCode>
                <c:ptCount val="22"/>
                <c:pt idx="0">
                  <c:v>44317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44986</c:v>
                </c:pt>
                <c:pt idx="5">
                  <c:v>45261</c:v>
                </c:pt>
                <c:pt idx="6">
                  <c:v>45352</c:v>
                </c:pt>
                <c:pt idx="7">
                  <c:v>45444</c:v>
                </c:pt>
                <c:pt idx="8">
                  <c:v>45627</c:v>
                </c:pt>
                <c:pt idx="9">
                  <c:v>45748</c:v>
                </c:pt>
                <c:pt idx="10">
                  <c:v>45778</c:v>
                </c:pt>
                <c:pt idx="11">
                  <c:v>45809</c:v>
                </c:pt>
                <c:pt idx="12">
                  <c:v>45839</c:v>
                </c:pt>
                <c:pt idx="13">
                  <c:v>45870</c:v>
                </c:pt>
                <c:pt idx="14">
                  <c:v>45901</c:v>
                </c:pt>
                <c:pt idx="15">
                  <c:v>45931</c:v>
                </c:pt>
                <c:pt idx="16">
                  <c:v>45962</c:v>
                </c:pt>
                <c:pt idx="17">
                  <c:v>45992</c:v>
                </c:pt>
                <c:pt idx="18">
                  <c:v>46023</c:v>
                </c:pt>
                <c:pt idx="19">
                  <c:v>46054</c:v>
                </c:pt>
                <c:pt idx="20">
                  <c:v>46082</c:v>
                </c:pt>
                <c:pt idx="21">
                  <c:v>46113</c:v>
                </c:pt>
              </c:numCache>
            </c:numRef>
          </c:cat>
          <c:val>
            <c:numRef>
              <c:f>'Chart Data'!$C$4:$C$25</c:f>
              <c:numCache>
                <c:formatCode>0.0%</c:formatCode>
                <c:ptCount val="22"/>
                <c:pt idx="0">
                  <c:v>0.64</c:v>
                </c:pt>
                <c:pt idx="1">
                  <c:v>#N/A</c:v>
                </c:pt>
                <c:pt idx="2">
                  <c:v>#N/A</c:v>
                </c:pt>
                <c:pt idx="3">
                  <c:v>0.60899999999999999</c:v>
                </c:pt>
                <c:pt idx="4">
                  <c:v>#N/A</c:v>
                </c:pt>
                <c:pt idx="5">
                  <c:v>0.5169999999999999</c:v>
                </c:pt>
                <c:pt idx="6">
                  <c:v>#N/A</c:v>
                </c:pt>
                <c:pt idx="7">
                  <c:v>#N/A</c:v>
                </c:pt>
                <c:pt idx="8">
                  <c:v>0.46199999999999997</c:v>
                </c:pt>
                <c:pt idx="9">
                  <c:v>0.45299999999999996</c:v>
                </c:pt>
                <c:pt idx="10">
                  <c:v>0.442</c:v>
                </c:pt>
                <c:pt idx="11">
                  <c:v>0.41900000000000004</c:v>
                </c:pt>
                <c:pt idx="12">
                  <c:v>0.40600000000000003</c:v>
                </c:pt>
                <c:pt idx="13">
                  <c:v>0.41600000000000004</c:v>
                </c:pt>
                <c:pt idx="14">
                  <c:v>0.44600000000000001</c:v>
                </c:pt>
                <c:pt idx="15">
                  <c:v>0.45100000000000001</c:v>
                </c:pt>
                <c:pt idx="16">
                  <c:v>0.437</c:v>
                </c:pt>
                <c:pt idx="17">
                  <c:v>0.41600000000000004</c:v>
                </c:pt>
                <c:pt idx="18">
                  <c:v>0.42699999999999999</c:v>
                </c:pt>
                <c:pt idx="19">
                  <c:v>0.41700000000000004</c:v>
                </c:pt>
                <c:pt idx="20">
                  <c:v>0.41700000000000004</c:v>
                </c:pt>
                <c:pt idx="21">
                  <c:v>0.41500000000000004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02-47E0-881F-CD9669AC5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2325361"/>
        <c:axId val="71402668"/>
      </c:lineChart>
      <c:dateAx>
        <c:axId val="823253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 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402668"/>
        <c:crosses val="autoZero"/>
        <c:auto val="0"/>
        <c:lblOffset val="100"/>
        <c:baseTimeUnit val="months"/>
      </c:dateAx>
      <c:valAx>
        <c:axId val="714026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Streaming Share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3253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Nielsen The Gauge — Viewing Share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Streaming %</c:v>
          </c:tx>
          <c:spPr>
            <a:ln w="2857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Data'!$E$4:$E$25</c:f>
              <c:numCache>
                <c:formatCode>mmm\ yyyy</c:formatCode>
                <c:ptCount val="22"/>
                <c:pt idx="0">
                  <c:v>44317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44986</c:v>
                </c:pt>
                <c:pt idx="5">
                  <c:v>45261</c:v>
                </c:pt>
                <c:pt idx="6">
                  <c:v>45352</c:v>
                </c:pt>
                <c:pt idx="7">
                  <c:v>45444</c:v>
                </c:pt>
                <c:pt idx="8">
                  <c:v>45627</c:v>
                </c:pt>
                <c:pt idx="9">
                  <c:v>45748</c:v>
                </c:pt>
                <c:pt idx="10">
                  <c:v>45778</c:v>
                </c:pt>
                <c:pt idx="11">
                  <c:v>45809</c:v>
                </c:pt>
                <c:pt idx="12">
                  <c:v>45839</c:v>
                </c:pt>
                <c:pt idx="13">
                  <c:v>45870</c:v>
                </c:pt>
                <c:pt idx="14">
                  <c:v>45901</c:v>
                </c:pt>
                <c:pt idx="15">
                  <c:v>45931</c:v>
                </c:pt>
                <c:pt idx="16">
                  <c:v>45962</c:v>
                </c:pt>
                <c:pt idx="17">
                  <c:v>45992</c:v>
                </c:pt>
                <c:pt idx="18">
                  <c:v>46023</c:v>
                </c:pt>
                <c:pt idx="19">
                  <c:v>46054</c:v>
                </c:pt>
                <c:pt idx="20">
                  <c:v>46082</c:v>
                </c:pt>
                <c:pt idx="21">
                  <c:v>46113</c:v>
                </c:pt>
              </c:numCache>
            </c:numRef>
          </c:cat>
          <c:val>
            <c:numRef>
              <c:f>'Chart Data'!$B$4:$B$25</c:f>
              <c:numCache>
                <c:formatCode>0.0%</c:formatCode>
                <c:ptCount val="22"/>
                <c:pt idx="0">
                  <c:v>0.26</c:v>
                </c:pt>
                <c:pt idx="1">
                  <c:v>0.29699999999999999</c:v>
                </c:pt>
                <c:pt idx="2">
                  <c:v>0.30399999999999999</c:v>
                </c:pt>
                <c:pt idx="3">
                  <c:v>0.31900000000000001</c:v>
                </c:pt>
                <c:pt idx="4">
                  <c:v>0.34100000000000003</c:v>
                </c:pt>
                <c:pt idx="5">
                  <c:v>0.35899999999999999</c:v>
                </c:pt>
                <c:pt idx="6">
                  <c:v>0.38500000000000001</c:v>
                </c:pt>
                <c:pt idx="7">
                  <c:v>0.40300000000000002</c:v>
                </c:pt>
                <c:pt idx="8">
                  <c:v>0.433</c:v>
                </c:pt>
                <c:pt idx="9">
                  <c:v>0.443</c:v>
                </c:pt>
                <c:pt idx="10">
                  <c:v>0.44800000000000001</c:v>
                </c:pt>
                <c:pt idx="11">
                  <c:v>0.46</c:v>
                </c:pt>
                <c:pt idx="12">
                  <c:v>0.47299999999999998</c:v>
                </c:pt>
                <c:pt idx="13">
                  <c:v>0.46400000000000002</c:v>
                </c:pt>
                <c:pt idx="14">
                  <c:v>0.45200000000000001</c:v>
                </c:pt>
                <c:pt idx="15">
                  <c:v>0.45700000000000002</c:v>
                </c:pt>
                <c:pt idx="16">
                  <c:v>0.46700000000000003</c:v>
                </c:pt>
                <c:pt idx="17">
                  <c:v>0.47499999999999998</c:v>
                </c:pt>
                <c:pt idx="18">
                  <c:v>0.47</c:v>
                </c:pt>
                <c:pt idx="19">
                  <c:v>0.48</c:v>
                </c:pt>
                <c:pt idx="20">
                  <c:v>0.47599999999999998</c:v>
                </c:pt>
                <c:pt idx="21">
                  <c:v>0.47599999999999998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FB-46EE-B70F-A0620BA90F62}"/>
            </c:ext>
          </c:extLst>
        </c:ser>
        <c:ser>
          <c:idx val="1"/>
          <c:order val="1"/>
          <c:tx>
            <c:v>Broadcast %</c:v>
          </c:tx>
          <c:spPr>
            <a:ln w="28575" cap="rnd">
              <a:solidFill>
                <a:srgbClr val="A5A5A5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Data'!$E$4:$E$25</c:f>
              <c:numCache>
                <c:formatCode>mmm\ yyyy</c:formatCode>
                <c:ptCount val="22"/>
                <c:pt idx="0">
                  <c:v>44317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44986</c:v>
                </c:pt>
                <c:pt idx="5">
                  <c:v>45261</c:v>
                </c:pt>
                <c:pt idx="6">
                  <c:v>45352</c:v>
                </c:pt>
                <c:pt idx="7">
                  <c:v>45444</c:v>
                </c:pt>
                <c:pt idx="8">
                  <c:v>45627</c:v>
                </c:pt>
                <c:pt idx="9">
                  <c:v>45748</c:v>
                </c:pt>
                <c:pt idx="10">
                  <c:v>45778</c:v>
                </c:pt>
                <c:pt idx="11">
                  <c:v>45809</c:v>
                </c:pt>
                <c:pt idx="12">
                  <c:v>45839</c:v>
                </c:pt>
                <c:pt idx="13">
                  <c:v>45870</c:v>
                </c:pt>
                <c:pt idx="14">
                  <c:v>45901</c:v>
                </c:pt>
                <c:pt idx="15">
                  <c:v>45931</c:v>
                </c:pt>
                <c:pt idx="16">
                  <c:v>45962</c:v>
                </c:pt>
                <c:pt idx="17">
                  <c:v>45992</c:v>
                </c:pt>
                <c:pt idx="18">
                  <c:v>46023</c:v>
                </c:pt>
                <c:pt idx="19">
                  <c:v>46054</c:v>
                </c:pt>
                <c:pt idx="20">
                  <c:v>46082</c:v>
                </c:pt>
                <c:pt idx="21">
                  <c:v>46113</c:v>
                </c:pt>
              </c:numCache>
            </c:numRef>
          </c:cat>
          <c:val>
            <c:numRef>
              <c:f>'Chart Data'!$F$4:$F$25</c:f>
              <c:numCache>
                <c:formatCode>0.0%</c:formatCode>
                <c:ptCount val="22"/>
                <c:pt idx="0">
                  <c:v>0.25</c:v>
                </c:pt>
                <c:pt idx="1">
                  <c:v>#N/A</c:v>
                </c:pt>
                <c:pt idx="2">
                  <c:v>#N/A</c:v>
                </c:pt>
                <c:pt idx="3">
                  <c:v>0.24399999999999999</c:v>
                </c:pt>
                <c:pt idx="4">
                  <c:v>#N/A</c:v>
                </c:pt>
                <c:pt idx="5">
                  <c:v>0.23499999999999999</c:v>
                </c:pt>
                <c:pt idx="6">
                  <c:v>#N/A</c:v>
                </c:pt>
                <c:pt idx="7">
                  <c:v>#N/A</c:v>
                </c:pt>
                <c:pt idx="8">
                  <c:v>0.224</c:v>
                </c:pt>
                <c:pt idx="9">
                  <c:v>0.20799999999999999</c:v>
                </c:pt>
                <c:pt idx="10">
                  <c:v>0.20100000000000001</c:v>
                </c:pt>
                <c:pt idx="11">
                  <c:v>0.185</c:v>
                </c:pt>
                <c:pt idx="12">
                  <c:v>0.184</c:v>
                </c:pt>
                <c:pt idx="13">
                  <c:v>0.191</c:v>
                </c:pt>
                <c:pt idx="14">
                  <c:v>0.223</c:v>
                </c:pt>
                <c:pt idx="15">
                  <c:v>0.22900000000000001</c:v>
                </c:pt>
                <c:pt idx="16">
                  <c:v>0.23200000000000001</c:v>
                </c:pt>
                <c:pt idx="17">
                  <c:v>0.214</c:v>
                </c:pt>
                <c:pt idx="18">
                  <c:v>0.215</c:v>
                </c:pt>
                <c:pt idx="19">
                  <c:v>0.217</c:v>
                </c:pt>
                <c:pt idx="20">
                  <c:v>0.20300000000000001</c:v>
                </c:pt>
                <c:pt idx="21">
                  <c:v>0.19900000000000001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FB-46EE-B70F-A0620BA90F62}"/>
            </c:ext>
          </c:extLst>
        </c:ser>
        <c:ser>
          <c:idx val="2"/>
          <c:order val="2"/>
          <c:tx>
            <c:v>Cable %</c:v>
          </c:tx>
          <c:spPr>
            <a:ln w="28575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Data'!$E$4:$E$25</c:f>
              <c:numCache>
                <c:formatCode>mmm\ yyyy</c:formatCode>
                <c:ptCount val="22"/>
                <c:pt idx="0">
                  <c:v>44317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44986</c:v>
                </c:pt>
                <c:pt idx="5">
                  <c:v>45261</c:v>
                </c:pt>
                <c:pt idx="6">
                  <c:v>45352</c:v>
                </c:pt>
                <c:pt idx="7">
                  <c:v>45444</c:v>
                </c:pt>
                <c:pt idx="8">
                  <c:v>45627</c:v>
                </c:pt>
                <c:pt idx="9">
                  <c:v>45748</c:v>
                </c:pt>
                <c:pt idx="10">
                  <c:v>45778</c:v>
                </c:pt>
                <c:pt idx="11">
                  <c:v>45809</c:v>
                </c:pt>
                <c:pt idx="12">
                  <c:v>45839</c:v>
                </c:pt>
                <c:pt idx="13">
                  <c:v>45870</c:v>
                </c:pt>
                <c:pt idx="14">
                  <c:v>45901</c:v>
                </c:pt>
                <c:pt idx="15">
                  <c:v>45931</c:v>
                </c:pt>
                <c:pt idx="16">
                  <c:v>45962</c:v>
                </c:pt>
                <c:pt idx="17">
                  <c:v>45992</c:v>
                </c:pt>
                <c:pt idx="18">
                  <c:v>46023</c:v>
                </c:pt>
                <c:pt idx="19">
                  <c:v>46054</c:v>
                </c:pt>
                <c:pt idx="20">
                  <c:v>46082</c:v>
                </c:pt>
                <c:pt idx="21">
                  <c:v>46113</c:v>
                </c:pt>
              </c:numCache>
            </c:numRef>
          </c:cat>
          <c:val>
            <c:numRef>
              <c:f>'Chart Data'!$G$4:$G$25</c:f>
              <c:numCache>
                <c:formatCode>0.0%</c:formatCode>
                <c:ptCount val="22"/>
                <c:pt idx="0">
                  <c:v>0.39</c:v>
                </c:pt>
                <c:pt idx="1">
                  <c:v>#N/A</c:v>
                </c:pt>
                <c:pt idx="2">
                  <c:v>#N/A</c:v>
                </c:pt>
                <c:pt idx="3">
                  <c:v>0.36499999999999999</c:v>
                </c:pt>
                <c:pt idx="4">
                  <c:v>#N/A</c:v>
                </c:pt>
                <c:pt idx="5">
                  <c:v>0.28199999999999997</c:v>
                </c:pt>
                <c:pt idx="6">
                  <c:v>0.28299999999999997</c:v>
                </c:pt>
                <c:pt idx="7">
                  <c:v>0.27200000000000002</c:v>
                </c:pt>
                <c:pt idx="8">
                  <c:v>0.23799999999999999</c:v>
                </c:pt>
                <c:pt idx="9">
                  <c:v>0.245</c:v>
                </c:pt>
                <c:pt idx="10">
                  <c:v>0.24099999999999999</c:v>
                </c:pt>
                <c:pt idx="11">
                  <c:v>0.23400000000000001</c:v>
                </c:pt>
                <c:pt idx="12">
                  <c:v>0.222</c:v>
                </c:pt>
                <c:pt idx="13">
                  <c:v>0.22500000000000001</c:v>
                </c:pt>
                <c:pt idx="14">
                  <c:v>0.223</c:v>
                </c:pt>
                <c:pt idx="15">
                  <c:v>0.222</c:v>
                </c:pt>
                <c:pt idx="16">
                  <c:v>0.20499999999999999</c:v>
                </c:pt>
                <c:pt idx="17">
                  <c:v>0.20200000000000001</c:v>
                </c:pt>
                <c:pt idx="18">
                  <c:v>0.21199999999999999</c:v>
                </c:pt>
                <c:pt idx="19">
                  <c:v>0.2</c:v>
                </c:pt>
                <c:pt idx="20">
                  <c:v>0.214</c:v>
                </c:pt>
                <c:pt idx="21">
                  <c:v>0.216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FB-46EE-B70F-A0620BA90F62}"/>
            </c:ext>
          </c:extLst>
        </c:ser>
        <c:ser>
          <c:idx val="3"/>
          <c:order val="3"/>
          <c:tx>
            <c:v>Other %</c:v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Data'!$E$4:$E$25</c:f>
              <c:numCache>
                <c:formatCode>mmm\ yyyy</c:formatCode>
                <c:ptCount val="22"/>
                <c:pt idx="0">
                  <c:v>44317</c:v>
                </c:pt>
                <c:pt idx="1">
                  <c:v>44621</c:v>
                </c:pt>
                <c:pt idx="2">
                  <c:v>44652</c:v>
                </c:pt>
                <c:pt idx="3">
                  <c:v>44682</c:v>
                </c:pt>
                <c:pt idx="4">
                  <c:v>44986</c:v>
                </c:pt>
                <c:pt idx="5">
                  <c:v>45261</c:v>
                </c:pt>
                <c:pt idx="6">
                  <c:v>45352</c:v>
                </c:pt>
                <c:pt idx="7">
                  <c:v>45444</c:v>
                </c:pt>
                <c:pt idx="8">
                  <c:v>45627</c:v>
                </c:pt>
                <c:pt idx="9">
                  <c:v>45748</c:v>
                </c:pt>
                <c:pt idx="10">
                  <c:v>45778</c:v>
                </c:pt>
                <c:pt idx="11">
                  <c:v>45809</c:v>
                </c:pt>
                <c:pt idx="12">
                  <c:v>45839</c:v>
                </c:pt>
                <c:pt idx="13">
                  <c:v>45870</c:v>
                </c:pt>
                <c:pt idx="14">
                  <c:v>45901</c:v>
                </c:pt>
                <c:pt idx="15">
                  <c:v>45931</c:v>
                </c:pt>
                <c:pt idx="16">
                  <c:v>45962</c:v>
                </c:pt>
                <c:pt idx="17">
                  <c:v>45992</c:v>
                </c:pt>
                <c:pt idx="18">
                  <c:v>46023</c:v>
                </c:pt>
                <c:pt idx="19">
                  <c:v>46054</c:v>
                </c:pt>
                <c:pt idx="20">
                  <c:v>46082</c:v>
                </c:pt>
                <c:pt idx="21">
                  <c:v>46113</c:v>
                </c:pt>
              </c:numCache>
            </c:numRef>
          </c:cat>
          <c:val>
            <c:numRef>
              <c:f>'Chart Data'!$H$4:$H$25</c:f>
              <c:numCache>
                <c:formatCode>0.0%</c:formatCode>
                <c:ptCount val="22"/>
                <c:pt idx="0">
                  <c:v>9.9999999999999978E-2</c:v>
                </c:pt>
                <c:pt idx="1">
                  <c:v>#N/A</c:v>
                </c:pt>
                <c:pt idx="2">
                  <c:v>#N/A</c:v>
                </c:pt>
                <c:pt idx="3">
                  <c:v>7.2000000000000064E-2</c:v>
                </c:pt>
                <c:pt idx="4">
                  <c:v>#N/A</c:v>
                </c:pt>
                <c:pt idx="5">
                  <c:v>0.12400000000000005</c:v>
                </c:pt>
                <c:pt idx="6">
                  <c:v>#N/A</c:v>
                </c:pt>
                <c:pt idx="7">
                  <c:v>#N/A</c:v>
                </c:pt>
                <c:pt idx="8">
                  <c:v>0.10499999999999998</c:v>
                </c:pt>
                <c:pt idx="9">
                  <c:v>0.10299999999999999</c:v>
                </c:pt>
                <c:pt idx="10">
                  <c:v>0.109</c:v>
                </c:pt>
                <c:pt idx="11">
                  <c:v>0.121</c:v>
                </c:pt>
                <c:pt idx="12">
                  <c:v>0.121</c:v>
                </c:pt>
                <c:pt idx="13">
                  <c:v>0.12</c:v>
                </c:pt>
                <c:pt idx="14">
                  <c:v>0.10199999999999999</c:v>
                </c:pt>
                <c:pt idx="15">
                  <c:v>9.0999999999999998E-2</c:v>
                </c:pt>
                <c:pt idx="16">
                  <c:v>9.6000000000000002E-2</c:v>
                </c:pt>
                <c:pt idx="17">
                  <c:v>0.109</c:v>
                </c:pt>
                <c:pt idx="18">
                  <c:v>0.10299999999999999</c:v>
                </c:pt>
                <c:pt idx="19">
                  <c:v>0.10299999999999999</c:v>
                </c:pt>
                <c:pt idx="20">
                  <c:v>0.107</c:v>
                </c:pt>
                <c:pt idx="21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FB-46EE-B70F-A0620BA90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0166224"/>
        <c:axId val="631927936"/>
      </c:lineChart>
      <c:dateAx>
        <c:axId val="570166224"/>
        <c:scaling>
          <c:orientation val="minMax"/>
        </c:scaling>
        <c:delete val="0"/>
        <c:axPos val="b"/>
        <c:numFmt formatCode="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927936"/>
        <c:crosses val="autoZero"/>
        <c:auto val="0"/>
        <c:lblOffset val="100"/>
        <c:baseTimeUnit val="months"/>
      </c:dateAx>
      <c:valAx>
        <c:axId val="63192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16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120316</xdr:colOff>
      <xdr:row>0</xdr:row>
      <xdr:rowOff>26876</xdr:rowOff>
    </xdr:from>
    <xdr:to>
      <xdr:col>22</xdr:col>
      <xdr:colOff>198795</xdr:colOff>
      <xdr:row>17</xdr:row>
      <xdr:rowOff>18829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27954</xdr:colOff>
      <xdr:row>17</xdr:row>
      <xdr:rowOff>133684</xdr:rowOff>
    </xdr:from>
    <xdr:to>
      <xdr:col>19</xdr:col>
      <xdr:colOff>374316</xdr:colOff>
      <xdr:row>37</xdr:row>
      <xdr:rowOff>96591</xdr:rowOff>
    </xdr:to>
    <xdr:graphicFrame macro="">
      <xdr:nvGraphicFramePr>
        <xdr:cNvPr id="3" name="Chart 2 - Category Breakdown">
          <a:extLst>
            <a:ext uri="{FF2B5EF4-FFF2-40B4-BE49-F238E27FC236}">
              <a16:creationId xmlns:a16="http://schemas.microsoft.com/office/drawing/2014/main" id="{C1017420-A9D1-3A44-A99C-409C01AFA0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6DDC20A-34B6-4845-BB0B-203674B56CF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8bd4c755-8c1c-4622-b9d1-163f6883c4d1&quot;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zoomScale="118" zoomScaleNormal="100" workbookViewId="0">
      <pane ySplit="4" topLeftCell="A5" activePane="bottomLeft" state="frozen"/>
      <selection pane="bottomLeft" activeCell="M14" sqref="M14"/>
    </sheetView>
  </sheetViews>
  <sheetFormatPr defaultColWidth="8.6640625" defaultRowHeight="14.4" x14ac:dyDescent="0.3"/>
  <cols>
    <col min="1" max="1" width="16" customWidth="1"/>
    <col min="2" max="2" width="13" customWidth="1"/>
    <col min="3" max="3" width="11" customWidth="1"/>
    <col min="4" max="4" width="14" customWidth="1"/>
    <col min="5" max="5" width="11" customWidth="1"/>
    <col min="6" max="6" width="20" customWidth="1"/>
  </cols>
  <sheetData>
    <row r="1" spans="1:6" ht="17.399999999999999" x14ac:dyDescent="0.3">
      <c r="A1" s="3" t="s">
        <v>0</v>
      </c>
      <c r="B1" s="3"/>
      <c r="C1" s="3"/>
      <c r="D1" s="3"/>
      <c r="E1" s="3"/>
      <c r="F1" s="3"/>
    </row>
    <row r="2" spans="1:6" x14ac:dyDescent="0.3">
      <c r="A2" s="2" t="s">
        <v>1</v>
      </c>
      <c r="B2" s="2"/>
      <c r="C2" s="2"/>
      <c r="D2" s="2"/>
      <c r="E2" s="2"/>
      <c r="F2" s="2"/>
    </row>
    <row r="4" spans="1:6" ht="27.6" x14ac:dyDescent="0.3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</row>
    <row r="5" spans="1:6" x14ac:dyDescent="0.3">
      <c r="A5" s="7" t="s">
        <v>8</v>
      </c>
      <c r="B5" s="8">
        <v>0.20799999999999999</v>
      </c>
      <c r="C5" s="8">
        <v>0.245</v>
      </c>
      <c r="D5" s="8">
        <v>0.443</v>
      </c>
      <c r="E5" s="8">
        <v>0.10299999999999999</v>
      </c>
      <c r="F5" s="8">
        <f t="shared" ref="F5:F17" si="0">SUM(B5:E5)</f>
        <v>0.99899999999999989</v>
      </c>
    </row>
    <row r="6" spans="1:6" x14ac:dyDescent="0.3">
      <c r="A6" s="9" t="s">
        <v>9</v>
      </c>
      <c r="B6" s="10">
        <v>0.20100000000000001</v>
      </c>
      <c r="C6" s="10">
        <v>0.24099999999999999</v>
      </c>
      <c r="D6" s="10">
        <v>0.44800000000000001</v>
      </c>
      <c r="E6" s="10">
        <v>0.109</v>
      </c>
      <c r="F6" s="10">
        <f t="shared" si="0"/>
        <v>0.999</v>
      </c>
    </row>
    <row r="7" spans="1:6" x14ac:dyDescent="0.3">
      <c r="A7" s="7" t="s">
        <v>10</v>
      </c>
      <c r="B7" s="8">
        <v>0.185</v>
      </c>
      <c r="C7" s="8">
        <v>0.23400000000000001</v>
      </c>
      <c r="D7" s="8">
        <v>0.46</v>
      </c>
      <c r="E7" s="8">
        <v>0.121</v>
      </c>
      <c r="F7" s="8">
        <f t="shared" si="0"/>
        <v>1</v>
      </c>
    </row>
    <row r="8" spans="1:6" x14ac:dyDescent="0.3">
      <c r="A8" s="9" t="s">
        <v>11</v>
      </c>
      <c r="B8" s="10">
        <v>0.184</v>
      </c>
      <c r="C8" s="10">
        <v>0.222</v>
      </c>
      <c r="D8" s="10">
        <v>0.47299999999999998</v>
      </c>
      <c r="E8" s="10">
        <v>0.121</v>
      </c>
      <c r="F8" s="10">
        <f t="shared" si="0"/>
        <v>1</v>
      </c>
    </row>
    <row r="9" spans="1:6" x14ac:dyDescent="0.3">
      <c r="A9" s="7" t="s">
        <v>12</v>
      </c>
      <c r="B9" s="8">
        <v>0.191</v>
      </c>
      <c r="C9" s="8">
        <v>0.22500000000000001</v>
      </c>
      <c r="D9" s="8">
        <v>0.46400000000000002</v>
      </c>
      <c r="E9" s="8">
        <v>0.12</v>
      </c>
      <c r="F9" s="8">
        <f t="shared" si="0"/>
        <v>1</v>
      </c>
    </row>
    <row r="10" spans="1:6" x14ac:dyDescent="0.3">
      <c r="A10" s="9" t="s">
        <v>13</v>
      </c>
      <c r="B10" s="10">
        <v>0.223</v>
      </c>
      <c r="C10" s="10">
        <v>0.223</v>
      </c>
      <c r="D10" s="10">
        <v>0.45200000000000001</v>
      </c>
      <c r="E10" s="10">
        <v>0.10199999999999999</v>
      </c>
      <c r="F10" s="10">
        <f t="shared" si="0"/>
        <v>1</v>
      </c>
    </row>
    <row r="11" spans="1:6" x14ac:dyDescent="0.3">
      <c r="A11" s="7" t="s">
        <v>14</v>
      </c>
      <c r="B11" s="8">
        <v>0.22900000000000001</v>
      </c>
      <c r="C11" s="8">
        <v>0.222</v>
      </c>
      <c r="D11" s="8">
        <v>0.45700000000000002</v>
      </c>
      <c r="E11" s="8">
        <v>9.0999999999999998E-2</v>
      </c>
      <c r="F11" s="8">
        <f t="shared" si="0"/>
        <v>0.999</v>
      </c>
    </row>
    <row r="12" spans="1:6" x14ac:dyDescent="0.3">
      <c r="A12" s="9" t="s">
        <v>15</v>
      </c>
      <c r="B12" s="10">
        <v>0.23200000000000001</v>
      </c>
      <c r="C12" s="10">
        <v>0.20499999999999999</v>
      </c>
      <c r="D12" s="10">
        <v>0.46700000000000003</v>
      </c>
      <c r="E12" s="10">
        <v>9.6000000000000002E-2</v>
      </c>
      <c r="F12" s="10">
        <f t="shared" si="0"/>
        <v>1</v>
      </c>
    </row>
    <row r="13" spans="1:6" x14ac:dyDescent="0.3">
      <c r="A13" s="7" t="s">
        <v>16</v>
      </c>
      <c r="B13" s="8">
        <v>0.214</v>
      </c>
      <c r="C13" s="8">
        <v>0.20200000000000001</v>
      </c>
      <c r="D13" s="8">
        <v>0.47499999999999998</v>
      </c>
      <c r="E13" s="8">
        <v>0.109</v>
      </c>
      <c r="F13" s="8">
        <f t="shared" si="0"/>
        <v>1</v>
      </c>
    </row>
    <row r="14" spans="1:6" x14ac:dyDescent="0.3">
      <c r="A14" s="9" t="s">
        <v>17</v>
      </c>
      <c r="B14" s="10">
        <v>0.215</v>
      </c>
      <c r="C14" s="10">
        <v>0.21199999999999999</v>
      </c>
      <c r="D14" s="10">
        <v>0.47</v>
      </c>
      <c r="E14" s="10">
        <v>0.10299999999999999</v>
      </c>
      <c r="F14" s="10">
        <f t="shared" si="0"/>
        <v>1</v>
      </c>
    </row>
    <row r="15" spans="1:6" x14ac:dyDescent="0.3">
      <c r="A15" s="7" t="s">
        <v>18</v>
      </c>
      <c r="B15" s="8">
        <v>0.217</v>
      </c>
      <c r="C15" s="8">
        <v>0.2</v>
      </c>
      <c r="D15" s="8">
        <v>0.48</v>
      </c>
      <c r="E15" s="8">
        <v>0.10299999999999999</v>
      </c>
      <c r="F15" s="8">
        <f t="shared" si="0"/>
        <v>1</v>
      </c>
    </row>
    <row r="16" spans="1:6" x14ac:dyDescent="0.3">
      <c r="A16" s="9" t="s">
        <v>19</v>
      </c>
      <c r="B16" s="10">
        <v>0.20300000000000001</v>
      </c>
      <c r="C16" s="10">
        <v>0.214</v>
      </c>
      <c r="D16" s="10">
        <v>0.47599999999999998</v>
      </c>
      <c r="E16" s="10">
        <v>0.107</v>
      </c>
      <c r="F16" s="10">
        <f t="shared" si="0"/>
        <v>1</v>
      </c>
    </row>
    <row r="17" spans="1:6" x14ac:dyDescent="0.3">
      <c r="A17" s="7" t="s">
        <v>20</v>
      </c>
      <c r="B17" s="8">
        <v>0.19900000000000001</v>
      </c>
      <c r="C17" s="8">
        <v>0.216</v>
      </c>
      <c r="D17" s="8">
        <v>0.47599999999999998</v>
      </c>
      <c r="E17" s="8">
        <v>0.11</v>
      </c>
      <c r="F17" s="8">
        <f t="shared" si="0"/>
        <v>1.0010000000000001</v>
      </c>
    </row>
    <row r="19" spans="1:6" x14ac:dyDescent="0.3">
      <c r="A19" s="1" t="s">
        <v>21</v>
      </c>
      <c r="B19" s="1"/>
      <c r="C19" s="1"/>
      <c r="D19" s="1"/>
      <c r="E19" s="1"/>
      <c r="F19" s="1"/>
    </row>
  </sheetData>
  <mergeCells count="3">
    <mergeCell ref="A1:F1"/>
    <mergeCell ref="A2:F2"/>
    <mergeCell ref="A19:F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zoomScale="107" zoomScaleNormal="100" workbookViewId="0">
      <pane ySplit="4" topLeftCell="A5" activePane="bottomLeft" state="frozen"/>
      <selection pane="bottomLeft" activeCell="E14" sqref="E1:E1048576"/>
    </sheetView>
  </sheetViews>
  <sheetFormatPr defaultColWidth="8.6640625" defaultRowHeight="14.4" x14ac:dyDescent="0.3"/>
  <cols>
    <col min="1" max="1" width="22" customWidth="1"/>
    <col min="2" max="2" width="13" customWidth="1"/>
    <col min="3" max="3" width="11" customWidth="1"/>
    <col min="4" max="4" width="14" customWidth="1"/>
    <col min="5" max="5" width="11" customWidth="1"/>
    <col min="6" max="6" width="60" customWidth="1"/>
  </cols>
  <sheetData>
    <row r="1" spans="1:7" ht="17.399999999999999" x14ac:dyDescent="0.3">
      <c r="A1" s="4" t="s">
        <v>22</v>
      </c>
      <c r="B1" s="4"/>
      <c r="C1" s="4"/>
      <c r="D1" s="4"/>
      <c r="E1" s="4"/>
      <c r="F1" s="4"/>
      <c r="G1" s="4"/>
    </row>
    <row r="2" spans="1:7" x14ac:dyDescent="0.3">
      <c r="A2" s="5" t="s">
        <v>23</v>
      </c>
      <c r="B2" s="5"/>
      <c r="C2" s="5"/>
      <c r="D2" s="5"/>
      <c r="E2" s="5"/>
      <c r="F2" s="5"/>
      <c r="G2" s="5"/>
    </row>
    <row r="4" spans="1:7" ht="27.6" x14ac:dyDescent="0.3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24</v>
      </c>
    </row>
    <row r="5" spans="1:7" ht="22.8" x14ac:dyDescent="0.3">
      <c r="A5" s="7" t="s">
        <v>25</v>
      </c>
      <c r="B5" s="8">
        <v>0.25</v>
      </c>
      <c r="C5" s="8">
        <v>0.39</v>
      </c>
      <c r="D5" s="8">
        <v>0.26</v>
      </c>
      <c r="E5" s="11" t="s">
        <v>26</v>
      </c>
      <c r="F5" s="12" t="s">
        <v>27</v>
      </c>
    </row>
    <row r="6" spans="1:7" x14ac:dyDescent="0.3">
      <c r="A6" s="9" t="s">
        <v>28</v>
      </c>
      <c r="B6" s="13" t="s">
        <v>26</v>
      </c>
      <c r="C6" s="13" t="s">
        <v>26</v>
      </c>
      <c r="D6" s="10">
        <v>0.29699999999999999</v>
      </c>
      <c r="E6" s="13" t="s">
        <v>26</v>
      </c>
      <c r="F6" s="14" t="s">
        <v>29</v>
      </c>
    </row>
    <row r="7" spans="1:7" x14ac:dyDescent="0.3">
      <c r="A7" s="7" t="s">
        <v>30</v>
      </c>
      <c r="B7" s="11" t="s">
        <v>26</v>
      </c>
      <c r="C7" s="11" t="s">
        <v>26</v>
      </c>
      <c r="D7" s="8">
        <v>0.30399999999999999</v>
      </c>
      <c r="E7" s="11" t="s">
        <v>26</v>
      </c>
      <c r="F7" s="12" t="s">
        <v>29</v>
      </c>
    </row>
    <row r="8" spans="1:7" x14ac:dyDescent="0.3">
      <c r="A8" s="9" t="s">
        <v>31</v>
      </c>
      <c r="B8" s="10">
        <v>0.24399999999999999</v>
      </c>
      <c r="C8" s="10">
        <v>0.36499999999999999</v>
      </c>
      <c r="D8" s="10">
        <v>0.31900000000000001</v>
      </c>
      <c r="E8" s="13" t="s">
        <v>26</v>
      </c>
      <c r="F8" s="14" t="s">
        <v>32</v>
      </c>
    </row>
    <row r="9" spans="1:7" ht="22.8" x14ac:dyDescent="0.3">
      <c r="A9" s="7" t="s">
        <v>33</v>
      </c>
      <c r="B9" s="11" t="s">
        <v>26</v>
      </c>
      <c r="C9" s="11" t="s">
        <v>26</v>
      </c>
      <c r="D9" s="8">
        <v>0.34100000000000003</v>
      </c>
      <c r="E9" s="11" t="s">
        <v>26</v>
      </c>
      <c r="F9" s="12" t="s">
        <v>34</v>
      </c>
    </row>
    <row r="10" spans="1:7" ht="22.8" x14ac:dyDescent="0.3">
      <c r="A10" s="9" t="s">
        <v>35</v>
      </c>
      <c r="B10" s="10">
        <v>0.23499999999999999</v>
      </c>
      <c r="C10" s="10">
        <v>0.28199999999999997</v>
      </c>
      <c r="D10" s="10">
        <v>0.35899999999999999</v>
      </c>
      <c r="E10" s="13" t="s">
        <v>26</v>
      </c>
      <c r="F10" s="14" t="s">
        <v>36</v>
      </c>
    </row>
    <row r="11" spans="1:7" x14ac:dyDescent="0.3">
      <c r="A11" s="7" t="s">
        <v>37</v>
      </c>
      <c r="B11" s="11" t="s">
        <v>26</v>
      </c>
      <c r="C11" s="8">
        <v>0.28299999999999997</v>
      </c>
      <c r="D11" s="8">
        <v>0.38500000000000001</v>
      </c>
      <c r="E11" s="11" t="s">
        <v>26</v>
      </c>
      <c r="F11" s="12" t="s">
        <v>38</v>
      </c>
    </row>
    <row r="12" spans="1:7" ht="22.8" x14ac:dyDescent="0.3">
      <c r="A12" s="9" t="s">
        <v>39</v>
      </c>
      <c r="B12" s="13" t="s">
        <v>26</v>
      </c>
      <c r="C12" s="10">
        <v>0.29099999999999998</v>
      </c>
      <c r="D12" s="13" t="s">
        <v>26</v>
      </c>
      <c r="E12" s="13" t="s">
        <v>26</v>
      </c>
      <c r="F12" s="14" t="s">
        <v>40</v>
      </c>
    </row>
    <row r="13" spans="1:7" ht="22.8" x14ac:dyDescent="0.3">
      <c r="A13" s="7" t="s">
        <v>41</v>
      </c>
      <c r="B13" s="11" t="s">
        <v>26</v>
      </c>
      <c r="C13" s="8">
        <v>0.27200000000000002</v>
      </c>
      <c r="D13" s="8">
        <v>0.40300000000000002</v>
      </c>
      <c r="E13" s="11" t="s">
        <v>26</v>
      </c>
      <c r="F13" s="12" t="s">
        <v>42</v>
      </c>
    </row>
    <row r="14" spans="1:7" x14ac:dyDescent="0.3">
      <c r="A14" s="9" t="s">
        <v>43</v>
      </c>
      <c r="B14" s="10">
        <v>0.24</v>
      </c>
      <c r="C14" s="13" t="s">
        <v>26</v>
      </c>
      <c r="D14" s="13" t="s">
        <v>26</v>
      </c>
      <c r="E14" s="13" t="s">
        <v>26</v>
      </c>
      <c r="F14" s="14" t="s">
        <v>44</v>
      </c>
    </row>
    <row r="15" spans="1:7" x14ac:dyDescent="0.3">
      <c r="A15" s="7" t="s">
        <v>45</v>
      </c>
      <c r="B15" s="8">
        <v>0.23699999999999999</v>
      </c>
      <c r="C15" s="11" t="s">
        <v>26</v>
      </c>
      <c r="D15" s="11" t="s">
        <v>26</v>
      </c>
      <c r="E15" s="11" t="s">
        <v>26</v>
      </c>
      <c r="F15" s="12" t="s">
        <v>46</v>
      </c>
    </row>
    <row r="16" spans="1:7" ht="22.8" x14ac:dyDescent="0.3">
      <c r="A16" s="9" t="s">
        <v>47</v>
      </c>
      <c r="B16" s="10">
        <v>0.224</v>
      </c>
      <c r="C16" s="10">
        <v>0.23799999999999999</v>
      </c>
      <c r="D16" s="10">
        <v>0.433</v>
      </c>
      <c r="E16" s="13" t="s">
        <v>26</v>
      </c>
      <c r="F16" s="14" t="s">
        <v>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zoomScale="115" zoomScaleNormal="100" workbookViewId="0">
      <pane ySplit="4" topLeftCell="A5" activePane="bottomLeft" state="frozen"/>
      <selection pane="bottomLeft" activeCell="B15" sqref="B15"/>
    </sheetView>
  </sheetViews>
  <sheetFormatPr defaultColWidth="8.6640625" defaultRowHeight="14.4" x14ac:dyDescent="0.3"/>
  <cols>
    <col min="1" max="1" width="26" customWidth="1"/>
    <col min="2" max="2" width="13" customWidth="1"/>
    <col min="3" max="3" width="11" customWidth="1"/>
    <col min="4" max="4" width="14" customWidth="1"/>
    <col min="5" max="5" width="11" customWidth="1"/>
    <col min="6" max="6" width="55" customWidth="1"/>
  </cols>
  <sheetData>
    <row r="1" spans="1:6" ht="17.399999999999999" x14ac:dyDescent="0.3">
      <c r="A1" s="3" t="s">
        <v>49</v>
      </c>
      <c r="B1" s="3"/>
      <c r="C1" s="3"/>
      <c r="D1" s="3"/>
      <c r="E1" s="3"/>
      <c r="F1" s="3"/>
    </row>
    <row r="2" spans="1:6" x14ac:dyDescent="0.3">
      <c r="A2" s="2" t="s">
        <v>50</v>
      </c>
      <c r="B2" s="2"/>
      <c r="C2" s="2"/>
      <c r="D2" s="2"/>
      <c r="E2" s="2"/>
      <c r="F2" s="2"/>
    </row>
    <row r="4" spans="1:6" ht="27.6" x14ac:dyDescent="0.3">
      <c r="A4" s="6" t="s">
        <v>51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24</v>
      </c>
    </row>
    <row r="5" spans="1:6" ht="22.8" x14ac:dyDescent="0.3">
      <c r="A5" s="15" t="s">
        <v>52</v>
      </c>
      <c r="B5" s="8">
        <v>0.25</v>
      </c>
      <c r="C5" s="8">
        <v>0.39</v>
      </c>
      <c r="D5" s="8">
        <v>0.26</v>
      </c>
      <c r="E5" s="11" t="s">
        <v>26</v>
      </c>
      <c r="F5" s="12" t="s">
        <v>53</v>
      </c>
    </row>
    <row r="6" spans="1:6" x14ac:dyDescent="0.3">
      <c r="A6" s="16" t="s">
        <v>31</v>
      </c>
      <c r="B6" s="10">
        <v>0.24399999999999999</v>
      </c>
      <c r="C6" s="10">
        <v>0.36499999999999999</v>
      </c>
      <c r="D6" s="10">
        <v>0.31900000000000001</v>
      </c>
      <c r="E6" s="13" t="s">
        <v>26</v>
      </c>
      <c r="F6" s="14" t="s">
        <v>54</v>
      </c>
    </row>
    <row r="7" spans="1:6" ht="22.8" x14ac:dyDescent="0.3">
      <c r="A7" s="15" t="s">
        <v>9</v>
      </c>
      <c r="B7" s="8">
        <v>0.20100000000000001</v>
      </c>
      <c r="C7" s="8">
        <v>0.24099999999999999</v>
      </c>
      <c r="D7" s="8">
        <v>0.44800000000000001</v>
      </c>
      <c r="E7" s="8">
        <v>0.109</v>
      </c>
      <c r="F7" s="12" t="s">
        <v>55</v>
      </c>
    </row>
    <row r="8" spans="1:6" x14ac:dyDescent="0.3">
      <c r="A8" s="16" t="s">
        <v>35</v>
      </c>
      <c r="B8" s="10">
        <v>0.23499999999999999</v>
      </c>
      <c r="C8" s="10">
        <v>0.28199999999999997</v>
      </c>
      <c r="D8" s="10">
        <v>0.35899999999999999</v>
      </c>
      <c r="E8" s="13" t="s">
        <v>26</v>
      </c>
      <c r="F8" s="14" t="s">
        <v>56</v>
      </c>
    </row>
    <row r="9" spans="1:6" x14ac:dyDescent="0.3">
      <c r="A9" s="15" t="s">
        <v>47</v>
      </c>
      <c r="B9" s="8">
        <v>0.224</v>
      </c>
      <c r="C9" s="8">
        <v>0.23799999999999999</v>
      </c>
      <c r="D9" s="8">
        <v>0.433</v>
      </c>
      <c r="E9" s="11" t="s">
        <v>26</v>
      </c>
      <c r="F9" s="12" t="s">
        <v>56</v>
      </c>
    </row>
    <row r="10" spans="1:6" ht="22.8" x14ac:dyDescent="0.3">
      <c r="A10" s="16" t="s">
        <v>16</v>
      </c>
      <c r="B10" s="10">
        <v>0.214</v>
      </c>
      <c r="C10" s="10">
        <v>0.20200000000000001</v>
      </c>
      <c r="D10" s="10">
        <v>0.47499999999999998</v>
      </c>
      <c r="E10" s="10">
        <v>0.109</v>
      </c>
      <c r="F10" s="14" t="s">
        <v>57</v>
      </c>
    </row>
    <row r="12" spans="1:6" x14ac:dyDescent="0.3">
      <c r="A12" s="17" t="s">
        <v>58</v>
      </c>
      <c r="B12" s="18" t="s">
        <v>59</v>
      </c>
      <c r="C12" s="18" t="s">
        <v>60</v>
      </c>
      <c r="D12" s="18" t="s">
        <v>61</v>
      </c>
      <c r="E12" s="18" t="s">
        <v>26</v>
      </c>
      <c r="F12" s="19" t="s">
        <v>62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tabSelected="1" topLeftCell="D1" zoomScale="57" zoomScaleNormal="100" workbookViewId="0">
      <selection activeCell="U29" sqref="U29"/>
    </sheetView>
  </sheetViews>
  <sheetFormatPr defaultColWidth="8.6640625" defaultRowHeight="14.4" x14ac:dyDescent="0.3"/>
  <cols>
    <col min="1" max="1" width="12" customWidth="1"/>
    <col min="2" max="3" width="13" customWidth="1"/>
    <col min="4" max="4" width="26" customWidth="1"/>
    <col min="5" max="5" width="9.33203125" bestFit="1" customWidth="1"/>
  </cols>
  <sheetData>
    <row r="1" spans="1:8" ht="17.399999999999999" x14ac:dyDescent="0.3">
      <c r="A1" s="3" t="s">
        <v>63</v>
      </c>
      <c r="B1" s="3"/>
      <c r="C1" s="3"/>
      <c r="D1" s="3"/>
    </row>
    <row r="3" spans="1:8" ht="41.4" x14ac:dyDescent="0.3">
      <c r="A3" s="6" t="s">
        <v>51</v>
      </c>
      <c r="B3" s="6" t="s">
        <v>5</v>
      </c>
      <c r="C3" s="6" t="s">
        <v>85</v>
      </c>
      <c r="D3" s="6" t="s">
        <v>64</v>
      </c>
      <c r="E3" s="22" t="s">
        <v>86</v>
      </c>
      <c r="F3" s="24" t="s">
        <v>3</v>
      </c>
      <c r="G3" s="24" t="s">
        <v>4</v>
      </c>
      <c r="H3" s="24" t="s">
        <v>6</v>
      </c>
    </row>
    <row r="4" spans="1:8" x14ac:dyDescent="0.3">
      <c r="A4" s="7" t="s">
        <v>52</v>
      </c>
      <c r="B4" s="20">
        <f>'Historical 2021-2024'!D5</f>
        <v>0.26</v>
      </c>
      <c r="C4" s="20">
        <f>IF(AND(ISNUMBER('Historical 2021-2024'!B5),ISNUMBER('Historical 2021-2024'!C5)),'Historical 2021-2024'!B5+'Historical 2021-2024'!C5,NA())</f>
        <v>0.64</v>
      </c>
      <c r="D4" s="21" t="s">
        <v>65</v>
      </c>
      <c r="E4" s="23">
        <f>DATE(RIGHT(A4,4),MATCH(LEFT(A4,3),{"Jan","Feb","Mar","Apr","May","Jun","Jul","Aug","Sep","Oct","Nov","Dec"},0),1)</f>
        <v>44317</v>
      </c>
      <c r="F4" s="25">
        <f>IF(ISNUMBER('Historical 2021-2024'!B5),'Historical 2021-2024'!B5,NA())</f>
        <v>0.25</v>
      </c>
      <c r="G4" s="25">
        <f>IF(ISNUMBER('Historical 2021-2024'!C5),'Historical 2021-2024'!C5,NA())</f>
        <v>0.39</v>
      </c>
      <c r="H4" s="25">
        <f>IF(ISNUMBER('Historical 2021-2024'!E5),'Historical 2021-2024'!E5,IF(AND(ISNUMBER(B4),ISNUMBER(F4),ISNUMBER(G4)),1-B4-F4-G4,NA()))</f>
        <v>9.9999999999999978E-2</v>
      </c>
    </row>
    <row r="5" spans="1:8" x14ac:dyDescent="0.3">
      <c r="A5" s="7" t="s">
        <v>66</v>
      </c>
      <c r="B5" s="20">
        <f>'Historical 2021-2024'!D6</f>
        <v>0.29699999999999999</v>
      </c>
      <c r="C5" s="20" t="e">
        <f>IF(AND(ISNUMBER('Historical 2021-2024'!B6),ISNUMBER('Historical 2021-2024'!C6)),'Historical 2021-2024'!B6+'Historical 2021-2024'!C6,NA())</f>
        <v>#N/A</v>
      </c>
      <c r="D5" s="21" t="s">
        <v>65</v>
      </c>
      <c r="E5" s="23">
        <f>DATE(RIGHT(A5,4),MATCH(LEFT(A5,3),{"Jan","Feb","Mar","Apr","May","Jun","Jul","Aug","Sep","Oct","Nov","Dec"},0),1)</f>
        <v>44621</v>
      </c>
      <c r="F5" s="25" t="e">
        <f>IF(ISNUMBER('Historical 2021-2024'!B6),'Historical 2021-2024'!B6,NA())</f>
        <v>#N/A</v>
      </c>
      <c r="G5" s="25" t="e">
        <f>IF(ISNUMBER('Historical 2021-2024'!C6),'Historical 2021-2024'!C6,NA())</f>
        <v>#N/A</v>
      </c>
      <c r="H5" s="25" t="e">
        <f>IF(ISNUMBER('Historical 2021-2024'!E6),'Historical 2021-2024'!E6,IF(AND(ISNUMBER(B5),ISNUMBER(F5),ISNUMBER(G5)),1-B5-F5-G5,NA()))</f>
        <v>#N/A</v>
      </c>
    </row>
    <row r="6" spans="1:8" x14ac:dyDescent="0.3">
      <c r="A6" s="7" t="s">
        <v>67</v>
      </c>
      <c r="B6" s="20">
        <f>'Historical 2021-2024'!D7</f>
        <v>0.30399999999999999</v>
      </c>
      <c r="C6" s="20" t="e">
        <f>IF(AND(ISNUMBER('Historical 2021-2024'!B7),ISNUMBER('Historical 2021-2024'!C7)),'Historical 2021-2024'!B7+'Historical 2021-2024'!C7,NA())</f>
        <v>#N/A</v>
      </c>
      <c r="D6" s="21" t="s">
        <v>65</v>
      </c>
      <c r="E6" s="23">
        <f>DATE(RIGHT(A6,4),MATCH(LEFT(A6,3),{"Jan","Feb","Mar","Apr","May","Jun","Jul","Aug","Sep","Oct","Nov","Dec"},0),1)</f>
        <v>44652</v>
      </c>
      <c r="F6" s="25" t="e">
        <f>IF(ISNUMBER('Historical 2021-2024'!B7),'Historical 2021-2024'!B7,NA())</f>
        <v>#N/A</v>
      </c>
      <c r="G6" s="25" t="e">
        <f>IF(ISNUMBER('Historical 2021-2024'!C7),'Historical 2021-2024'!C7,NA())</f>
        <v>#N/A</v>
      </c>
      <c r="H6" s="25" t="e">
        <f>IF(ISNUMBER('Historical 2021-2024'!E7),'Historical 2021-2024'!E7,IF(AND(ISNUMBER(B6),ISNUMBER(F6),ISNUMBER(G6)),1-B6-F6-G6,NA()))</f>
        <v>#N/A</v>
      </c>
    </row>
    <row r="7" spans="1:8" x14ac:dyDescent="0.3">
      <c r="A7" s="7" t="s">
        <v>31</v>
      </c>
      <c r="B7" s="20">
        <f>'Historical 2021-2024'!D8</f>
        <v>0.31900000000000001</v>
      </c>
      <c r="C7" s="20">
        <f>IF(AND(ISNUMBER('Historical 2021-2024'!B8),ISNUMBER('Historical 2021-2024'!C8)),'Historical 2021-2024'!B8+'Historical 2021-2024'!C8,NA())</f>
        <v>0.60899999999999999</v>
      </c>
      <c r="D7" s="21" t="s">
        <v>65</v>
      </c>
      <c r="E7" s="23">
        <f>DATE(RIGHT(A7,4),MATCH(LEFT(A7,3),{"Jan","Feb","Mar","Apr","May","Jun","Jul","Aug","Sep","Oct","Nov","Dec"},0),1)</f>
        <v>44682</v>
      </c>
      <c r="F7" s="25">
        <f>IF(ISNUMBER('Historical 2021-2024'!B8),'Historical 2021-2024'!B8,NA())</f>
        <v>0.24399999999999999</v>
      </c>
      <c r="G7" s="25">
        <f>IF(ISNUMBER('Historical 2021-2024'!C8),'Historical 2021-2024'!C8,NA())</f>
        <v>0.36499999999999999</v>
      </c>
      <c r="H7" s="25">
        <f>IF(ISNUMBER('Historical 2021-2024'!E8),'Historical 2021-2024'!E8,IF(AND(ISNUMBER(B7),ISNUMBER(F7),ISNUMBER(G7)),1-B7-F7-G7,NA()))</f>
        <v>7.2000000000000064E-2</v>
      </c>
    </row>
    <row r="8" spans="1:8" x14ac:dyDescent="0.3">
      <c r="A8" s="7" t="s">
        <v>68</v>
      </c>
      <c r="B8" s="20">
        <f>'Historical 2021-2024'!D9</f>
        <v>0.34100000000000003</v>
      </c>
      <c r="C8" s="20" t="e">
        <f>IF(AND(ISNUMBER('Historical 2021-2024'!B9),ISNUMBER('Historical 2021-2024'!C9)),'Historical 2021-2024'!B9+'Historical 2021-2024'!C9,NA())</f>
        <v>#N/A</v>
      </c>
      <c r="D8" s="21" t="s">
        <v>65</v>
      </c>
      <c r="E8" s="23">
        <f>DATE(RIGHT(A8,4),MATCH(LEFT(A8,3),{"Jan","Feb","Mar","Apr","May","Jun","Jul","Aug","Sep","Oct","Nov","Dec"},0),1)</f>
        <v>44986</v>
      </c>
      <c r="F8" s="25" t="e">
        <f>IF(ISNUMBER('Historical 2021-2024'!B9),'Historical 2021-2024'!B9,NA())</f>
        <v>#N/A</v>
      </c>
      <c r="G8" s="25" t="e">
        <f>IF(ISNUMBER('Historical 2021-2024'!C9),'Historical 2021-2024'!C9,NA())</f>
        <v>#N/A</v>
      </c>
      <c r="H8" s="25" t="e">
        <f>IF(ISNUMBER('Historical 2021-2024'!E9),'Historical 2021-2024'!E9,IF(AND(ISNUMBER(B8),ISNUMBER(F8),ISNUMBER(G8)),1-B8-F8-G8,NA()))</f>
        <v>#N/A</v>
      </c>
    </row>
    <row r="9" spans="1:8" x14ac:dyDescent="0.3">
      <c r="A9" s="7" t="s">
        <v>69</v>
      </c>
      <c r="B9" s="20">
        <f>'Historical 2021-2024'!D10</f>
        <v>0.35899999999999999</v>
      </c>
      <c r="C9" s="20">
        <f>IF(AND(ISNUMBER('Historical 2021-2024'!B10),ISNUMBER('Historical 2021-2024'!C10)),'Historical 2021-2024'!B10+'Historical 2021-2024'!C10,NA())</f>
        <v>0.5169999999999999</v>
      </c>
      <c r="D9" s="21" t="s">
        <v>65</v>
      </c>
      <c r="E9" s="23">
        <f>DATE(RIGHT(A9,4),MATCH(LEFT(A9,3),{"Jan","Feb","Mar","Apr","May","Jun","Jul","Aug","Sep","Oct","Nov","Dec"},0),1)</f>
        <v>45261</v>
      </c>
      <c r="F9" s="25">
        <f>IF(ISNUMBER('Historical 2021-2024'!B10),'Historical 2021-2024'!B10,NA())</f>
        <v>0.23499999999999999</v>
      </c>
      <c r="G9" s="25">
        <f>IF(ISNUMBER('Historical 2021-2024'!C10),'Historical 2021-2024'!C10,NA())</f>
        <v>0.28199999999999997</v>
      </c>
      <c r="H9" s="25">
        <f>IF(ISNUMBER('Historical 2021-2024'!E10),'Historical 2021-2024'!E10,IF(AND(ISNUMBER(B9),ISNUMBER(F9),ISNUMBER(G9)),1-B9-F9-G9,NA()))</f>
        <v>0.12400000000000005</v>
      </c>
    </row>
    <row r="10" spans="1:8" x14ac:dyDescent="0.3">
      <c r="A10" s="7" t="s">
        <v>70</v>
      </c>
      <c r="B10" s="20">
        <f>'Historical 2021-2024'!D11</f>
        <v>0.38500000000000001</v>
      </c>
      <c r="C10" s="20" t="e">
        <f>IF(AND(ISNUMBER('Historical 2021-2024'!B11),ISNUMBER('Historical 2021-2024'!C11)),'Historical 2021-2024'!B11+'Historical 2021-2024'!C11,NA())</f>
        <v>#N/A</v>
      </c>
      <c r="D10" s="21" t="s">
        <v>65</v>
      </c>
      <c r="E10" s="23">
        <f>DATE(RIGHT(A10,4),MATCH(LEFT(A10,3),{"Jan","Feb","Mar","Apr","May","Jun","Jul","Aug","Sep","Oct","Nov","Dec"},0),1)</f>
        <v>45352</v>
      </c>
      <c r="F10" s="25" t="e">
        <f>IF(ISNUMBER('Historical 2021-2024'!B11),'Historical 2021-2024'!B11,NA())</f>
        <v>#N/A</v>
      </c>
      <c r="G10" s="25">
        <f>IF(ISNUMBER('Historical 2021-2024'!C11),'Historical 2021-2024'!C11,NA())</f>
        <v>0.28299999999999997</v>
      </c>
      <c r="H10" s="25" t="e">
        <f>IF(ISNUMBER('Historical 2021-2024'!E11),'Historical 2021-2024'!E11,IF(AND(ISNUMBER(B10),ISNUMBER(F10),ISNUMBER(G10)),1-B10-F10-G10,NA()))</f>
        <v>#N/A</v>
      </c>
    </row>
    <row r="11" spans="1:8" x14ac:dyDescent="0.3">
      <c r="A11" s="7" t="s">
        <v>71</v>
      </c>
      <c r="B11" s="20">
        <f>'Historical 2021-2024'!D13</f>
        <v>0.40300000000000002</v>
      </c>
      <c r="C11" s="20" t="e">
        <f>IF(AND(ISNUMBER('Historical 2021-2024'!B13),ISNUMBER('Historical 2021-2024'!C13)),'Historical 2021-2024'!B13+'Historical 2021-2024'!C13,NA())</f>
        <v>#N/A</v>
      </c>
      <c r="D11" s="21" t="s">
        <v>65</v>
      </c>
      <c r="E11" s="23">
        <f>DATE(RIGHT(A11,4),MATCH(LEFT(A11,3),{"Jan","Feb","Mar","Apr","May","Jun","Jul","Aug","Sep","Oct","Nov","Dec"},0),1)</f>
        <v>45444</v>
      </c>
      <c r="F11" s="25" t="e">
        <f>IF(ISNUMBER('Historical 2021-2024'!B13),'Historical 2021-2024'!B13,NA())</f>
        <v>#N/A</v>
      </c>
      <c r="G11" s="25">
        <f>IF(ISNUMBER('Historical 2021-2024'!C13),'Historical 2021-2024'!C13,NA())</f>
        <v>0.27200000000000002</v>
      </c>
      <c r="H11" s="25" t="e">
        <f>IF(ISNUMBER('Historical 2021-2024'!E13),'Historical 2021-2024'!E13,IF(AND(ISNUMBER(B11),ISNUMBER(F11),ISNUMBER(G11)),1-B11-F11-G11,NA()))</f>
        <v>#N/A</v>
      </c>
    </row>
    <row r="12" spans="1:8" x14ac:dyDescent="0.3">
      <c r="A12" s="7" t="s">
        <v>72</v>
      </c>
      <c r="B12" s="20">
        <f>'Historical 2021-2024'!D16</f>
        <v>0.433</v>
      </c>
      <c r="C12" s="20">
        <f>IF(AND(ISNUMBER('Historical 2021-2024'!B16),ISNUMBER('Historical 2021-2024'!C16)),'Historical 2021-2024'!B16+'Historical 2021-2024'!C16,NA())</f>
        <v>0.46199999999999997</v>
      </c>
      <c r="D12" s="21" t="s">
        <v>65</v>
      </c>
      <c r="E12" s="23">
        <f>DATE(RIGHT(A12,4),MATCH(LEFT(A12,3),{"Jan","Feb","Mar","Apr","May","Jun","Jul","Aug","Sep","Oct","Nov","Dec"},0),1)</f>
        <v>45627</v>
      </c>
      <c r="F12" s="25">
        <f>IF(ISNUMBER('Historical 2021-2024'!B16),'Historical 2021-2024'!B16,NA())</f>
        <v>0.224</v>
      </c>
      <c r="G12" s="25">
        <f>IF(ISNUMBER('Historical 2021-2024'!C16),'Historical 2021-2024'!C16,NA())</f>
        <v>0.23799999999999999</v>
      </c>
      <c r="H12" s="25">
        <f>IF(ISNUMBER('Historical 2021-2024'!E16),'Historical 2021-2024'!E16,IF(AND(ISNUMBER(B12),ISNUMBER(F12),ISNUMBER(G12)),1-B12-F12-G12,NA()))</f>
        <v>0.10499999999999998</v>
      </c>
    </row>
    <row r="13" spans="1:8" x14ac:dyDescent="0.3">
      <c r="A13" s="7" t="s">
        <v>73</v>
      </c>
      <c r="B13" s="20">
        <f>'Monthly Detail 2025-26'!D5</f>
        <v>0.443</v>
      </c>
      <c r="C13" s="20">
        <f>IF(AND(ISNUMBER('Monthly Detail 2025-26'!B5),ISNUMBER('Monthly Detail 2025-26'!C5)),'Monthly Detail 2025-26'!B5+'Monthly Detail 2025-26'!C5,NA())</f>
        <v>0.45299999999999996</v>
      </c>
      <c r="D13" s="21" t="s">
        <v>65</v>
      </c>
      <c r="E13" s="23">
        <f>DATE(RIGHT(A13,4),MATCH(LEFT(A13,3),{"Jan","Feb","Mar","Apr","May","Jun","Jul","Aug","Sep","Oct","Nov","Dec"},0),1)</f>
        <v>45748</v>
      </c>
      <c r="F13" s="25">
        <f>IF(ISNUMBER('Monthly Detail 2025-26'!B5),'Monthly Detail 2025-26'!B5,NA())</f>
        <v>0.20799999999999999</v>
      </c>
      <c r="G13" s="25">
        <f>IF(ISNUMBER('Monthly Detail 2025-26'!C5),'Monthly Detail 2025-26'!C5,NA())</f>
        <v>0.245</v>
      </c>
      <c r="H13" s="25">
        <f>IF(ISNUMBER('Monthly Detail 2025-26'!E5),'Monthly Detail 2025-26'!E5,IF(AND(ISNUMBER(B13),ISNUMBER(F13),ISNUMBER(G13)),1-B13-F13-G13,NA()))</f>
        <v>0.10299999999999999</v>
      </c>
    </row>
    <row r="14" spans="1:8" x14ac:dyDescent="0.3">
      <c r="A14" s="7" t="s">
        <v>9</v>
      </c>
      <c r="B14" s="20">
        <f>'Monthly Detail 2025-26'!D6</f>
        <v>0.44800000000000001</v>
      </c>
      <c r="C14" s="20">
        <f>IF(AND(ISNUMBER('Monthly Detail 2025-26'!B6),ISNUMBER('Monthly Detail 2025-26'!C6)),'Monthly Detail 2025-26'!B6+'Monthly Detail 2025-26'!C6,NA())</f>
        <v>0.442</v>
      </c>
      <c r="D14" s="21" t="s">
        <v>65</v>
      </c>
      <c r="E14" s="23">
        <f>DATE(RIGHT(A14,4),MATCH(LEFT(A14,3),{"Jan","Feb","Mar","Apr","May","Jun","Jul","Aug","Sep","Oct","Nov","Dec"},0),1)</f>
        <v>45778</v>
      </c>
      <c r="F14" s="25">
        <f>IF(ISNUMBER('Monthly Detail 2025-26'!B6),'Monthly Detail 2025-26'!B6,NA())</f>
        <v>0.20100000000000001</v>
      </c>
      <c r="G14" s="25">
        <f>IF(ISNUMBER('Monthly Detail 2025-26'!C6),'Monthly Detail 2025-26'!C6,NA())</f>
        <v>0.24099999999999999</v>
      </c>
      <c r="H14" s="25">
        <f>IF(ISNUMBER('Monthly Detail 2025-26'!E6),'Monthly Detail 2025-26'!E6,IF(AND(ISNUMBER(B14),ISNUMBER(F14),ISNUMBER(G14)),1-B14-F14-G14,NA()))</f>
        <v>0.109</v>
      </c>
    </row>
    <row r="15" spans="1:8" x14ac:dyDescent="0.3">
      <c r="A15" s="7" t="s">
        <v>74</v>
      </c>
      <c r="B15" s="20">
        <f>'Monthly Detail 2025-26'!D7</f>
        <v>0.46</v>
      </c>
      <c r="C15" s="20">
        <f>IF(AND(ISNUMBER('Monthly Detail 2025-26'!B7),ISNUMBER('Monthly Detail 2025-26'!C7)),'Monthly Detail 2025-26'!B7+'Monthly Detail 2025-26'!C7,NA())</f>
        <v>0.41900000000000004</v>
      </c>
      <c r="D15" s="21" t="s">
        <v>65</v>
      </c>
      <c r="E15" s="23">
        <f>DATE(RIGHT(A15,4),MATCH(LEFT(A15,3),{"Jan","Feb","Mar","Apr","May","Jun","Jul","Aug","Sep","Oct","Nov","Dec"},0),1)</f>
        <v>45809</v>
      </c>
      <c r="F15" s="25">
        <f>IF(ISNUMBER('Monthly Detail 2025-26'!B7),'Monthly Detail 2025-26'!B7,NA())</f>
        <v>0.185</v>
      </c>
      <c r="G15" s="25">
        <f>IF(ISNUMBER('Monthly Detail 2025-26'!C7),'Monthly Detail 2025-26'!C7,NA())</f>
        <v>0.23400000000000001</v>
      </c>
      <c r="H15" s="25">
        <f>IF(ISNUMBER('Monthly Detail 2025-26'!E7),'Monthly Detail 2025-26'!E7,IF(AND(ISNUMBER(B15),ISNUMBER(F15),ISNUMBER(G15)),1-B15-F15-G15,NA()))</f>
        <v>0.121</v>
      </c>
    </row>
    <row r="16" spans="1:8" x14ac:dyDescent="0.3">
      <c r="A16" s="7" t="s">
        <v>75</v>
      </c>
      <c r="B16" s="20">
        <f>'Monthly Detail 2025-26'!D8</f>
        <v>0.47299999999999998</v>
      </c>
      <c r="C16" s="20">
        <f>IF(AND(ISNUMBER('Monthly Detail 2025-26'!B8),ISNUMBER('Monthly Detail 2025-26'!C8)),'Monthly Detail 2025-26'!B8+'Monthly Detail 2025-26'!C8,NA())</f>
        <v>0.40600000000000003</v>
      </c>
      <c r="D16" s="21" t="s">
        <v>65</v>
      </c>
      <c r="E16" s="23">
        <f>DATE(RIGHT(A16,4),MATCH(LEFT(A16,3),{"Jan","Feb","Mar","Apr","May","Jun","Jul","Aug","Sep","Oct","Nov","Dec"},0),1)</f>
        <v>45839</v>
      </c>
      <c r="F16" s="25">
        <f>IF(ISNUMBER('Monthly Detail 2025-26'!B8),'Monthly Detail 2025-26'!B8,NA())</f>
        <v>0.184</v>
      </c>
      <c r="G16" s="25">
        <f>IF(ISNUMBER('Monthly Detail 2025-26'!C8),'Monthly Detail 2025-26'!C8,NA())</f>
        <v>0.222</v>
      </c>
      <c r="H16" s="25">
        <f>IF(ISNUMBER('Monthly Detail 2025-26'!E8),'Monthly Detail 2025-26'!E8,IF(AND(ISNUMBER(B16),ISNUMBER(F16),ISNUMBER(G16)),1-B16-F16-G16,NA()))</f>
        <v>0.121</v>
      </c>
    </row>
    <row r="17" spans="1:8" x14ac:dyDescent="0.3">
      <c r="A17" s="7" t="s">
        <v>76</v>
      </c>
      <c r="B17" s="20">
        <f>'Monthly Detail 2025-26'!D9</f>
        <v>0.46400000000000002</v>
      </c>
      <c r="C17" s="20">
        <f>IF(AND(ISNUMBER('Monthly Detail 2025-26'!B9),ISNUMBER('Monthly Detail 2025-26'!C9)),'Monthly Detail 2025-26'!B9+'Monthly Detail 2025-26'!C9,NA())</f>
        <v>0.41600000000000004</v>
      </c>
      <c r="D17" s="21" t="s">
        <v>65</v>
      </c>
      <c r="E17" s="23">
        <f>DATE(RIGHT(A17,4),MATCH(LEFT(A17,3),{"Jan","Feb","Mar","Apr","May","Jun","Jul","Aug","Sep","Oct","Nov","Dec"},0),1)</f>
        <v>45870</v>
      </c>
      <c r="F17" s="25">
        <f>IF(ISNUMBER('Monthly Detail 2025-26'!B9),'Monthly Detail 2025-26'!B9,NA())</f>
        <v>0.191</v>
      </c>
      <c r="G17" s="25">
        <f>IF(ISNUMBER('Monthly Detail 2025-26'!C9),'Monthly Detail 2025-26'!C9,NA())</f>
        <v>0.22500000000000001</v>
      </c>
      <c r="H17" s="25">
        <f>IF(ISNUMBER('Monthly Detail 2025-26'!E9),'Monthly Detail 2025-26'!E9,IF(AND(ISNUMBER(B17),ISNUMBER(F17),ISNUMBER(G17)),1-B17-F17-G17,NA()))</f>
        <v>0.12</v>
      </c>
    </row>
    <row r="18" spans="1:8" x14ac:dyDescent="0.3">
      <c r="A18" s="7" t="s">
        <v>77</v>
      </c>
      <c r="B18" s="20">
        <f>'Monthly Detail 2025-26'!D10</f>
        <v>0.45200000000000001</v>
      </c>
      <c r="C18" s="20">
        <f>IF(AND(ISNUMBER('Monthly Detail 2025-26'!B10),ISNUMBER('Monthly Detail 2025-26'!C10)),'Monthly Detail 2025-26'!B10+'Monthly Detail 2025-26'!C10,NA())</f>
        <v>0.44600000000000001</v>
      </c>
      <c r="D18" s="21" t="s">
        <v>65</v>
      </c>
      <c r="E18" s="23">
        <f>DATE(RIGHT(A18,4),MATCH(LEFT(A18,3),{"Jan","Feb","Mar","Apr","May","Jun","Jul","Aug","Sep","Oct","Nov","Dec"},0),1)</f>
        <v>45901</v>
      </c>
      <c r="F18" s="25">
        <f>IF(ISNUMBER('Monthly Detail 2025-26'!B10),'Monthly Detail 2025-26'!B10,NA())</f>
        <v>0.223</v>
      </c>
      <c r="G18" s="25">
        <f>IF(ISNUMBER('Monthly Detail 2025-26'!C10),'Monthly Detail 2025-26'!C10,NA())</f>
        <v>0.223</v>
      </c>
      <c r="H18" s="25">
        <f>IF(ISNUMBER('Monthly Detail 2025-26'!E10),'Monthly Detail 2025-26'!E10,IF(AND(ISNUMBER(B18),ISNUMBER(F18),ISNUMBER(G18)),1-B18-F18-G18,NA()))</f>
        <v>0.10199999999999999</v>
      </c>
    </row>
    <row r="19" spans="1:8" x14ac:dyDescent="0.3">
      <c r="A19" s="7" t="s">
        <v>78</v>
      </c>
      <c r="B19" s="20">
        <f>'Monthly Detail 2025-26'!D11</f>
        <v>0.45700000000000002</v>
      </c>
      <c r="C19" s="20">
        <f>IF(AND(ISNUMBER('Monthly Detail 2025-26'!B11),ISNUMBER('Monthly Detail 2025-26'!C11)),'Monthly Detail 2025-26'!B11+'Monthly Detail 2025-26'!C11,NA())</f>
        <v>0.45100000000000001</v>
      </c>
      <c r="D19" s="21" t="s">
        <v>65</v>
      </c>
      <c r="E19" s="23">
        <f>DATE(RIGHT(A19,4),MATCH(LEFT(A19,3),{"Jan","Feb","Mar","Apr","May","Jun","Jul","Aug","Sep","Oct","Nov","Dec"},0),1)</f>
        <v>45931</v>
      </c>
      <c r="F19" s="25">
        <f>IF(ISNUMBER('Monthly Detail 2025-26'!B11),'Monthly Detail 2025-26'!B11,NA())</f>
        <v>0.22900000000000001</v>
      </c>
      <c r="G19" s="25">
        <f>IF(ISNUMBER('Monthly Detail 2025-26'!C11),'Monthly Detail 2025-26'!C11,NA())</f>
        <v>0.222</v>
      </c>
      <c r="H19" s="25">
        <f>IF(ISNUMBER('Monthly Detail 2025-26'!E11),'Monthly Detail 2025-26'!E11,IF(AND(ISNUMBER(B19),ISNUMBER(F19),ISNUMBER(G19)),1-B19-F19-G19,NA()))</f>
        <v>9.0999999999999998E-2</v>
      </c>
    </row>
    <row r="20" spans="1:8" x14ac:dyDescent="0.3">
      <c r="A20" s="7" t="s">
        <v>79</v>
      </c>
      <c r="B20" s="20">
        <f>'Monthly Detail 2025-26'!D12</f>
        <v>0.46700000000000003</v>
      </c>
      <c r="C20" s="20">
        <f>IF(AND(ISNUMBER('Monthly Detail 2025-26'!B12),ISNUMBER('Monthly Detail 2025-26'!C12)),'Monthly Detail 2025-26'!B12+'Monthly Detail 2025-26'!C12,NA())</f>
        <v>0.437</v>
      </c>
      <c r="D20" s="21" t="s">
        <v>65</v>
      </c>
      <c r="E20" s="23">
        <f>DATE(RIGHT(A20,4),MATCH(LEFT(A20,3),{"Jan","Feb","Mar","Apr","May","Jun","Jul","Aug","Sep","Oct","Nov","Dec"},0),1)</f>
        <v>45962</v>
      </c>
      <c r="F20" s="25">
        <f>IF(ISNUMBER('Monthly Detail 2025-26'!B12),'Monthly Detail 2025-26'!B12,NA())</f>
        <v>0.23200000000000001</v>
      </c>
      <c r="G20" s="25">
        <f>IF(ISNUMBER('Monthly Detail 2025-26'!C12),'Monthly Detail 2025-26'!C12,NA())</f>
        <v>0.20499999999999999</v>
      </c>
      <c r="H20" s="25">
        <f>IF(ISNUMBER('Monthly Detail 2025-26'!E12),'Monthly Detail 2025-26'!E12,IF(AND(ISNUMBER(B20),ISNUMBER(F20),ISNUMBER(G20)),1-B20-F20-G20,NA()))</f>
        <v>9.6000000000000002E-2</v>
      </c>
    </row>
    <row r="21" spans="1:8" x14ac:dyDescent="0.3">
      <c r="A21" s="7" t="s">
        <v>80</v>
      </c>
      <c r="B21" s="20">
        <f>'Monthly Detail 2025-26'!D13</f>
        <v>0.47499999999999998</v>
      </c>
      <c r="C21" s="20">
        <f>IF(AND(ISNUMBER('Monthly Detail 2025-26'!B13),ISNUMBER('Monthly Detail 2025-26'!C13)),'Monthly Detail 2025-26'!B13+'Monthly Detail 2025-26'!C13,NA())</f>
        <v>0.41600000000000004</v>
      </c>
      <c r="D21" s="21" t="s">
        <v>65</v>
      </c>
      <c r="E21" s="23">
        <f>DATE(RIGHT(A21,4),MATCH(LEFT(A21,3),{"Jan","Feb","Mar","Apr","May","Jun","Jul","Aug","Sep","Oct","Nov","Dec"},0),1)</f>
        <v>45992</v>
      </c>
      <c r="F21" s="25">
        <f>IF(ISNUMBER('Monthly Detail 2025-26'!B13),'Monthly Detail 2025-26'!B13,NA())</f>
        <v>0.214</v>
      </c>
      <c r="G21" s="25">
        <f>IF(ISNUMBER('Monthly Detail 2025-26'!C13),'Monthly Detail 2025-26'!C13,NA())</f>
        <v>0.20200000000000001</v>
      </c>
      <c r="H21" s="25">
        <f>IF(ISNUMBER('Monthly Detail 2025-26'!E13),'Monthly Detail 2025-26'!E13,IF(AND(ISNUMBER(B21),ISNUMBER(F21),ISNUMBER(G21)),1-B21-F21-G21,NA()))</f>
        <v>0.109</v>
      </c>
    </row>
    <row r="22" spans="1:8" x14ac:dyDescent="0.3">
      <c r="A22" s="7" t="s">
        <v>81</v>
      </c>
      <c r="B22" s="20">
        <f>'Monthly Detail 2025-26'!D14</f>
        <v>0.47</v>
      </c>
      <c r="C22" s="20">
        <f>IF(AND(ISNUMBER('Monthly Detail 2025-26'!B14),ISNUMBER('Monthly Detail 2025-26'!C14)),'Monthly Detail 2025-26'!B14+'Monthly Detail 2025-26'!C14,NA())</f>
        <v>0.42699999999999999</v>
      </c>
      <c r="D22" s="21" t="s">
        <v>65</v>
      </c>
      <c r="E22" s="23">
        <f>DATE(RIGHT(A22,4),MATCH(LEFT(A22,3),{"Jan","Feb","Mar","Apr","May","Jun","Jul","Aug","Sep","Oct","Nov","Dec"},0),1)</f>
        <v>46023</v>
      </c>
      <c r="F22" s="25">
        <f>IF(ISNUMBER('Monthly Detail 2025-26'!B14),'Monthly Detail 2025-26'!B14,NA())</f>
        <v>0.215</v>
      </c>
      <c r="G22" s="25">
        <f>IF(ISNUMBER('Monthly Detail 2025-26'!C14),'Monthly Detail 2025-26'!C14,NA())</f>
        <v>0.21199999999999999</v>
      </c>
      <c r="H22" s="25">
        <f>IF(ISNUMBER('Monthly Detail 2025-26'!E14),'Monthly Detail 2025-26'!E14,IF(AND(ISNUMBER(B22),ISNUMBER(F22),ISNUMBER(G22)),1-B22-F22-G22,NA()))</f>
        <v>0.10299999999999999</v>
      </c>
    </row>
    <row r="23" spans="1:8" x14ac:dyDescent="0.3">
      <c r="A23" s="7" t="s">
        <v>82</v>
      </c>
      <c r="B23" s="20">
        <f>'Monthly Detail 2025-26'!D15</f>
        <v>0.48</v>
      </c>
      <c r="C23" s="20">
        <f>IF(AND(ISNUMBER('Monthly Detail 2025-26'!B15),ISNUMBER('Monthly Detail 2025-26'!C15)),'Monthly Detail 2025-26'!B15+'Monthly Detail 2025-26'!C15,NA())</f>
        <v>0.41700000000000004</v>
      </c>
      <c r="D23" s="21" t="s">
        <v>65</v>
      </c>
      <c r="E23" s="23">
        <f>DATE(RIGHT(A23,4),MATCH(LEFT(A23,3),{"Jan","Feb","Mar","Apr","May","Jun","Jul","Aug","Sep","Oct","Nov","Dec"},0),1)</f>
        <v>46054</v>
      </c>
      <c r="F23" s="25">
        <f>IF(ISNUMBER('Monthly Detail 2025-26'!B15),'Monthly Detail 2025-26'!B15,NA())</f>
        <v>0.217</v>
      </c>
      <c r="G23" s="25">
        <f>IF(ISNUMBER('Monthly Detail 2025-26'!C15),'Monthly Detail 2025-26'!C15,NA())</f>
        <v>0.2</v>
      </c>
      <c r="H23" s="25">
        <f>IF(ISNUMBER('Monthly Detail 2025-26'!E15),'Monthly Detail 2025-26'!E15,IF(AND(ISNUMBER(B23),ISNUMBER(F23),ISNUMBER(G23)),1-B23-F23-G23,NA()))</f>
        <v>0.10299999999999999</v>
      </c>
    </row>
    <row r="24" spans="1:8" x14ac:dyDescent="0.3">
      <c r="A24" s="7" t="s">
        <v>83</v>
      </c>
      <c r="B24" s="20">
        <f>'Monthly Detail 2025-26'!D16</f>
        <v>0.47599999999999998</v>
      </c>
      <c r="C24" s="20">
        <f>IF(AND(ISNUMBER('Monthly Detail 2025-26'!B16),ISNUMBER('Monthly Detail 2025-26'!C16)),'Monthly Detail 2025-26'!B16+'Monthly Detail 2025-26'!C16,NA())</f>
        <v>0.41700000000000004</v>
      </c>
      <c r="D24" s="21" t="s">
        <v>65</v>
      </c>
      <c r="E24" s="23">
        <f>DATE(RIGHT(A24,4),MATCH(LEFT(A24,3),{"Jan","Feb","Mar","Apr","May","Jun","Jul","Aug","Sep","Oct","Nov","Dec"},0),1)</f>
        <v>46082</v>
      </c>
      <c r="F24" s="25">
        <f>IF(ISNUMBER('Monthly Detail 2025-26'!B16),'Monthly Detail 2025-26'!B16,NA())</f>
        <v>0.20300000000000001</v>
      </c>
      <c r="G24" s="25">
        <f>IF(ISNUMBER('Monthly Detail 2025-26'!C16),'Monthly Detail 2025-26'!C16,NA())</f>
        <v>0.214</v>
      </c>
      <c r="H24" s="25">
        <f>IF(ISNUMBER('Monthly Detail 2025-26'!E16),'Monthly Detail 2025-26'!E16,IF(AND(ISNUMBER(B24),ISNUMBER(F24),ISNUMBER(G24)),1-B24-F24-G24,NA()))</f>
        <v>0.107</v>
      </c>
    </row>
    <row r="25" spans="1:8" x14ac:dyDescent="0.3">
      <c r="A25" s="7" t="s">
        <v>84</v>
      </c>
      <c r="B25" s="20">
        <f>'Monthly Detail 2025-26'!D17</f>
        <v>0.47599999999999998</v>
      </c>
      <c r="C25" s="20">
        <f>IF(AND(ISNUMBER('Monthly Detail 2025-26'!B17),ISNUMBER('Monthly Detail 2025-26'!C17)),'Monthly Detail 2025-26'!B17+'Monthly Detail 2025-26'!C17,NA())</f>
        <v>0.41500000000000004</v>
      </c>
      <c r="D25" s="21" t="s">
        <v>65</v>
      </c>
      <c r="E25" s="23">
        <f>DATE(RIGHT(A25,4),MATCH(LEFT(A25,3),{"Jan","Feb","Mar","Apr","May","Jun","Jul","Aug","Sep","Oct","Nov","Dec"},0),1)</f>
        <v>46113</v>
      </c>
      <c r="F25" s="25">
        <f>IF(ISNUMBER('Monthly Detail 2025-26'!B17),'Monthly Detail 2025-26'!B17,NA())</f>
        <v>0.19900000000000001</v>
      </c>
      <c r="G25" s="25">
        <f>IF(ISNUMBER('Monthly Detail 2025-26'!C17),'Monthly Detail 2025-26'!C17,NA())</f>
        <v>0.216</v>
      </c>
      <c r="H25" s="25">
        <f>IF(ISNUMBER('Monthly Detail 2025-26'!E17),'Monthly Detail 2025-26'!E17,IF(AND(ISNUMBER(B25),ISNUMBER(F25),ISNUMBER(G25)),1-B25-F25-G25,NA()))</f>
        <v>0.11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 Detail 2025-26</vt:lpstr>
      <vt:lpstr>Historical 2021-2024</vt:lpstr>
      <vt:lpstr>Annual Trend (May &amp; Dec)</vt:lpstr>
      <vt:lpstr>Chart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Andrew Chung</cp:lastModifiedBy>
  <cp:revision>1</cp:revision>
  <dcterms:created xsi:type="dcterms:W3CDTF">2026-07-20T20:08:06Z</dcterms:created>
  <dcterms:modified xsi:type="dcterms:W3CDTF">2026-07-20T20:29:36Z</dcterms:modified>
  <dc:language>en-US</dc:language>
</cp:coreProperties>
</file>
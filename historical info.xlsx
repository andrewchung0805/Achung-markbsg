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FB25DC-74E8-433C-B0D1-35DDCE5A8BDA}" xr6:coauthVersionLast="47" xr6:coauthVersionMax="47" xr10:uidLastSave="{00000000-0000-0000-0000-000000000000}"/>
  <bookViews>
    <workbookView xWindow="-108" yWindow="-108" windowWidth="23256" windowHeight="12576" activeTab="2" xr2:uid="{CD5742FA-8660-47E9-9633-FE54A51169C0}"/>
  </bookViews>
  <sheets>
    <sheet name="3FS" sheetId="1" r:id="rId1"/>
    <sheet name="Segments" sheetId="2" r:id="rId2"/>
    <sheet name="Operation Metrics" sheetId="3" r:id="rId3"/>
  </sheets>
  <definedNames>
    <definedName name="__123Graph_A" hidden="1">#REF!</definedName>
    <definedName name="__123Graph_ACANALI" hidden="1">#REF!</definedName>
    <definedName name="__123Graph_ACRESC.ALL" hidden="1">#REF!</definedName>
    <definedName name="__123Graph_ACRESCITA" hidden="1">#REF!</definedName>
    <definedName name="__123Graph_ASEGMENTI" hidden="1">#REF!</definedName>
    <definedName name="__123Graph_B" hidden="1">#REF!</definedName>
    <definedName name="__123Graph_BHISTSALES" hidden="1">#REF!</definedName>
    <definedName name="__123Graph_BSAIST" hidden="1">#REF!</definedName>
    <definedName name="__123Graph_LBL_ASEGMENTI" hidden="1">#REF!</definedName>
    <definedName name="__123Graph_LBL_BHISTSALES" hidden="1">#REF!</definedName>
    <definedName name="__123Graph_X" hidden="1">#REF!</definedName>
    <definedName name="__123Graph_XCANALI" hidden="1">#REF!</definedName>
    <definedName name="__123Graph_XChart4" hidden="1">#REF!</definedName>
    <definedName name="__123Graph_XCRESC.ALL" hidden="1">#REF!</definedName>
    <definedName name="__123Graph_XCRESCITA" hidden="1">#REF!</definedName>
    <definedName name="__123Graph_XHISTSALES" hidden="1">#REF!</definedName>
    <definedName name="__123Graph_XSEGMENTI" hidden="1">#REF!</definedName>
    <definedName name="__APW_RESTORE_DATA1__" hidden="1">#REF!</definedName>
    <definedName name="__APW_RESTORE_DATA126__" hidden="1">#REF!,#REF!,#REF!,#REF!,#REF!,#REF!,#REF!,#REF!,#REF!,#REF!,#REF!,#REF!,#REF!,#REF!,#REF!,#REF!</definedName>
    <definedName name="__APW_RESTORE_DATA127__" hidden="1">#REF!,#REF!,#REF!,#REF!,#REF!,#REF!,#REF!,#REF!,#REF!,#REF!,#REF!,#REF!,#REF!,#REF!,#REF!,#REF!</definedName>
    <definedName name="__APW_RESTORE_DATA128__" hidden="1">#REF!,#REF!,#REF!,#REF!,#REF!,#REF!,#REF!,#REF!,#REF!,#REF!,#REF!,#REF!,#REF!,#REF!,#REF!,#REF!</definedName>
    <definedName name="__APW_RESTORE_DATA129__" hidden="1">#REF!,#REF!,#REF!,#REF!,#REF!,#REF!,#REF!,#REF!,#REF!,#REF!,#REF!,#REF!,#REF!,#REF!,#REF!,#REF!</definedName>
    <definedName name="__APW_RESTORE_DATA130__" hidden="1">#REF!,#REF!,#REF!,#REF!,#REF!,#REF!,#REF!,#REF!,#REF!,#REF!,#REF!,#REF!,#REF!,#REF!,#REF!,#REF!</definedName>
    <definedName name="__APW_RESTORE_DATA131__" hidden="1">#REF!,#REF!,#REF!,#REF!,#REF!,#REF!,#REF!,#REF!,#REF!,#REF!,#REF!,#REF!,#REF!,#REF!,#REF!,#REF!</definedName>
    <definedName name="__FDS_HYPERLINK_TOGGLE_STATE__" hidden="1">"ON"</definedName>
    <definedName name="__FDS_UNIQUE_RANGE_ID_GENERATOR_COUNTER">1</definedName>
    <definedName name="_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136"}</definedName>
    <definedName name="_1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127"}</definedName>
    <definedName name="_10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37"}</definedName>
    <definedName name="_10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10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10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10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10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10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10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10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10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10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10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36"}</definedName>
    <definedName name="_10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10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10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10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10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10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10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10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10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10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10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35"}</definedName>
    <definedName name="_10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10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10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10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10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10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10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10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10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10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10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34"}</definedName>
    <definedName name="_10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10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10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10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10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10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10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10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10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10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10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33"}</definedName>
    <definedName name="_10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10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10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10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10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10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10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10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10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10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10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32"}</definedName>
    <definedName name="_10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10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10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10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10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10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10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10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10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10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10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31"}</definedName>
    <definedName name="_10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10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10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10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10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10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10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10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10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10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10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30"}</definedName>
    <definedName name="_10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10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10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10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10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10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10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10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10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10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10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29"}</definedName>
    <definedName name="_10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10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10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10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10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10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10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10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10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10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10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28"}</definedName>
    <definedName name="_10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10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1092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28"}</definedName>
    <definedName name="_1093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27"}</definedName>
    <definedName name="_1094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26"}</definedName>
    <definedName name="_1095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25"}</definedName>
    <definedName name="_1096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24"}</definedName>
    <definedName name="_1097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23"}</definedName>
    <definedName name="_1098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22"}</definedName>
    <definedName name="_1099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21"}</definedName>
    <definedName name="_1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126"}</definedName>
    <definedName name="_11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27"}</definedName>
    <definedName name="_1100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20"}</definedName>
    <definedName name="_1101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19"}</definedName>
    <definedName name="_1102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18"}</definedName>
    <definedName name="_1103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17"}</definedName>
    <definedName name="_1104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16"}</definedName>
    <definedName name="_1105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15"}</definedName>
    <definedName name="_1106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14"}</definedName>
    <definedName name="_1107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13"}</definedName>
    <definedName name="_1108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12"}</definedName>
    <definedName name="_1109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11"}</definedName>
    <definedName name="_11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26"}</definedName>
    <definedName name="_1110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10"}</definedName>
    <definedName name="_1111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9"}</definedName>
    <definedName name="_1112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8"}</definedName>
    <definedName name="_1113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7"}</definedName>
    <definedName name="_1114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6"}</definedName>
    <definedName name="_1115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5"}</definedName>
    <definedName name="_1116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4"}</definedName>
    <definedName name="_1117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3"}</definedName>
    <definedName name="_1118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2"}</definedName>
    <definedName name="_1119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1"}</definedName>
    <definedName name="_11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25"}</definedName>
    <definedName name="_1120__FDSAUDITLINK__" hidden="1">{"fdsup://directions/FAT Viewer?action=UPDATE&amp;creator=factset&amp;DYN_ARGS=TRUE&amp;DOC_NAME=FAT:FQL_AUDITING_CLIENT_TEMPLATE.FAT&amp;display_string=Audit&amp;VAR:KEY=CXMPYTURCZ&amp;VAR:QUERY=SlVMSUFOKElDX0VTVElNQVRFKEVQUygpLE1FQU4sTlRNX1RXQSwsMzk4MTQsNDA3MTcsTSkuZGF0ZXMp&amp;WIND","OW=FIRST_POPUP&amp;HEIGHT=450&amp;WIDTH=450&amp;START_MAXIMIZED=FALSE&amp;VAR:CALENDAR=US&amp;VAR:SYMBOL=44857910&amp;VAR:INDEX=0"}</definedName>
    <definedName name="_11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11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11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11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11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11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11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11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11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11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24"}</definedName>
    <definedName name="_11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11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11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11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11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11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11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11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11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11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11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23"}</definedName>
    <definedName name="_11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11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11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11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11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11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11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11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11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11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11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22"}</definedName>
    <definedName name="_11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11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11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11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11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11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11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11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11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11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11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21"}</definedName>
    <definedName name="_11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11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11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11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11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11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11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11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11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11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11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20"}</definedName>
    <definedName name="_11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11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11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11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11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11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11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11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11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11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11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19"}</definedName>
    <definedName name="_11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11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11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11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11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11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11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11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11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11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11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18"}</definedName>
    <definedName name="_11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11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11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11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11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11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11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11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11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11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1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125"}</definedName>
    <definedName name="_12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17"}</definedName>
    <definedName name="_12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12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12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12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12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12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12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12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12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12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12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16"}</definedName>
    <definedName name="_12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12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12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12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12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12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12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12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12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12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12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15"}</definedName>
    <definedName name="_12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12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12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12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12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12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12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12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12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12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12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14"}</definedName>
    <definedName name="_12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12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12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12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12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12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12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12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12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12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12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"}</definedName>
    <definedName name="_12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12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12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12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12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12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12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12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12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12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12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"}</definedName>
    <definedName name="_12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12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12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12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12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12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12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12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12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12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12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"}</definedName>
    <definedName name="_12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12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12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12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12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12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12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12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12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12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12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"}</definedName>
    <definedName name="_12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12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12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12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12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12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12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12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12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12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12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"}</definedName>
    <definedName name="_12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12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12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12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12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12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12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12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12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12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12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"}</definedName>
    <definedName name="_12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12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12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12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12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12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12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12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12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12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1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124"}</definedName>
    <definedName name="_13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"}</definedName>
    <definedName name="_13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13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13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13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13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13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13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13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13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13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13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"}</definedName>
    <definedName name="_13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13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13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13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13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13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13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13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13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13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13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"}</definedName>
    <definedName name="_13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13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13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13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13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13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13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13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13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13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13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"}</definedName>
    <definedName name="_13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13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13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13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13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13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13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13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13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13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13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"}</definedName>
    <definedName name="_13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13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13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13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13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13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13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13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13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13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13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"}</definedName>
    <definedName name="_13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13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13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13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13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13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13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13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13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13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13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"}</definedName>
    <definedName name="_13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13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13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13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13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13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13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13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13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13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13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0"}</definedName>
    <definedName name="_13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13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13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13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13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13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13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13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13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13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13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136"}</definedName>
    <definedName name="_13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13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13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13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13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13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13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13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13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13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13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135"}</definedName>
    <definedName name="_13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13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13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139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139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139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139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139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139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139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1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123"}</definedName>
    <definedName name="_14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134"}</definedName>
    <definedName name="_140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140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140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140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140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140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140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140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140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140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0"}</definedName>
    <definedName name="_14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133"}</definedName>
    <definedName name="_14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14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14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14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14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14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14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14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14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14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14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132"}</definedName>
    <definedName name="_14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14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14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14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14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14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14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14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14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14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14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131"}</definedName>
    <definedName name="_14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14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14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14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14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14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14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14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14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14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14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130"}</definedName>
    <definedName name="_14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14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14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14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14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14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14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14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14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14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14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129"}</definedName>
    <definedName name="_14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14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14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14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14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14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14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14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14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14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14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128"}</definedName>
    <definedName name="_14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14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14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14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14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14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14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14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14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14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14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127"}</definedName>
    <definedName name="_14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14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14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14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14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14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14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14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14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14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14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126"}</definedName>
    <definedName name="_14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14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14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14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14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14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14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14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14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14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14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125"}</definedName>
    <definedName name="_14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14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14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14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14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14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14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14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14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14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1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122"}</definedName>
    <definedName name="_15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124"}</definedName>
    <definedName name="_15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15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15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15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15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15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15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15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15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15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15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123"}</definedName>
    <definedName name="_15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15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15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15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15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15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15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15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15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15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15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122"}</definedName>
    <definedName name="_15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15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15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15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15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15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15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15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15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15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15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121"}</definedName>
    <definedName name="_15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15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15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15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15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15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15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15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15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15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15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120"}</definedName>
    <definedName name="_15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15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15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15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15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15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15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15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15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15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15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119"}</definedName>
    <definedName name="_15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15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15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15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15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15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15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15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15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15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15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118"}</definedName>
    <definedName name="_15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15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15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15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15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15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15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15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15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15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15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117"}</definedName>
    <definedName name="_15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15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15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15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15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15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15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15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15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15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15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116"}</definedName>
    <definedName name="_15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15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15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15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15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15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15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15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15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15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15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115"}</definedName>
    <definedName name="_15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15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15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15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15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15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15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15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15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15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1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121"}</definedName>
    <definedName name="_16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114"}</definedName>
    <definedName name="_16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16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16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16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16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16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16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16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16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16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16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113"}</definedName>
    <definedName name="_16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16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16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16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16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16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16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16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16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16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16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112"}</definedName>
    <definedName name="_16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16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16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16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16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16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16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16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16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16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16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111"}</definedName>
    <definedName name="_16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16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16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16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16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16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16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16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16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16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16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110"}</definedName>
    <definedName name="_16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16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16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16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16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16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16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16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16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16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16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109"}</definedName>
    <definedName name="_16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16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16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16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16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16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16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16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16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16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16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108"}</definedName>
    <definedName name="_16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16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16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16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16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16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16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16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16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16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16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107"}</definedName>
    <definedName name="_16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16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16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16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16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16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16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16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16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16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16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106"}</definedName>
    <definedName name="_16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16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168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168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168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168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168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168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168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168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16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105"}</definedName>
    <definedName name="_169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169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169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169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169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169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169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169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16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16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1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120"}</definedName>
    <definedName name="_17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104"}</definedName>
    <definedName name="_17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17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17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17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17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17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17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17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17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17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17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103"}</definedName>
    <definedName name="_17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17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17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17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17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17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17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17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17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17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17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102"}</definedName>
    <definedName name="_17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17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17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17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17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17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17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17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17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17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17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101"}</definedName>
    <definedName name="_17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17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17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17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17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17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17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17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17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17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17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100"}</definedName>
    <definedName name="_17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17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17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17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17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17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17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17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17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17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17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99"}</definedName>
    <definedName name="_17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17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17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17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17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17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17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17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17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17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17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98"}</definedName>
    <definedName name="_17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17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17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17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17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17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17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17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17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17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17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97"}</definedName>
    <definedName name="_17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17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17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17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17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17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17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17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17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17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17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96"}</definedName>
    <definedName name="_17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17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17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17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17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17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17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17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17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17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17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95"}</definedName>
    <definedName name="_17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17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17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17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17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17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17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17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17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17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1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119"}</definedName>
    <definedName name="_18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94"}</definedName>
    <definedName name="_18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18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18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18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18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18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18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18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18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18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18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93"}</definedName>
    <definedName name="_18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18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18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18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18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18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18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18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18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18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18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92"}</definedName>
    <definedName name="_18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18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18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18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18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18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18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18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18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18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18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91"}</definedName>
    <definedName name="_18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18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18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18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18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18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18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18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18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18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18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90"}</definedName>
    <definedName name="_18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18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18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18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18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18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18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18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18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18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18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89"}</definedName>
    <definedName name="_18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18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18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18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18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18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18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18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18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18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18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88"}</definedName>
    <definedName name="_18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18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18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18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18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18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18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18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18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18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18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87"}</definedName>
    <definedName name="_18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18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18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18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18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18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18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18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18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18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18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86"}</definedName>
    <definedName name="_18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18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18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18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18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18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18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18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18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18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18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85"}</definedName>
    <definedName name="_18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18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18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18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18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18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18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18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18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18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1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118"}</definedName>
    <definedName name="_19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84"}</definedName>
    <definedName name="_19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19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19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19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19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19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19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19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19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19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19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83"}</definedName>
    <definedName name="_19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19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19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19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19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19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19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19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19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19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19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82"}</definedName>
    <definedName name="_19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19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19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19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19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19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19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19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19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19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19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81"}</definedName>
    <definedName name="_19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19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19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19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19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19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19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19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19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19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19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80"}</definedName>
    <definedName name="_19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19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19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19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19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19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19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19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19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19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19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79"}</definedName>
    <definedName name="_19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19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19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19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19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19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19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19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19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19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19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78"}</definedName>
    <definedName name="_19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19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19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19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19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19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19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19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19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19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19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77"}</definedName>
    <definedName name="_197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197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197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197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197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197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197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197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197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197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19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76"}</definedName>
    <definedName name="_198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198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198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198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198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198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19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19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19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19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19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75"}</definedName>
    <definedName name="_19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19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19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19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19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19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19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19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19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19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135"}</definedName>
    <definedName name="_2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117"}</definedName>
    <definedName name="_20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74"}</definedName>
    <definedName name="_20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20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20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20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20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20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20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20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20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20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20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73"}</definedName>
    <definedName name="_20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20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20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20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20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20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20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20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20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20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20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72"}</definedName>
    <definedName name="_20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20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20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20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20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20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20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20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20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20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20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71"}</definedName>
    <definedName name="_20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20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20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20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20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20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20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20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20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20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20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70"}</definedName>
    <definedName name="_20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20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20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20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20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20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20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20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20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20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20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69"}</definedName>
    <definedName name="_20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20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20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20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20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20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20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20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20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20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20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68"}</definedName>
    <definedName name="_20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20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20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20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20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20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20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20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20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20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20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67"}</definedName>
    <definedName name="_20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20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20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20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20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20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20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20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20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20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20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66"}</definedName>
    <definedName name="_20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20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20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20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20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20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20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20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20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20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20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65"}</definedName>
    <definedName name="_20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20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20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20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20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20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20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20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20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20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2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116"}</definedName>
    <definedName name="_21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64"}</definedName>
    <definedName name="_21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21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21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21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21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21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21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21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21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21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21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63"}</definedName>
    <definedName name="_21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21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21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21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21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21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21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21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21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21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21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62"}</definedName>
    <definedName name="_21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21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21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21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21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21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21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21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21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21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21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61"}</definedName>
    <definedName name="_21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21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21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21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21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21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21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21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21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21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21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60"}</definedName>
    <definedName name="_21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21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21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21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21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21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21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21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21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21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21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59"}</definedName>
    <definedName name="_21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21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21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21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21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21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21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21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21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21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21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58"}</definedName>
    <definedName name="_21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21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21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21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21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21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21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21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21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21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21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57"}</definedName>
    <definedName name="_21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21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21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21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21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21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21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21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21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21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21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56"}</definedName>
    <definedName name="_21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21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21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21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21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21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21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21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21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21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21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55"}</definedName>
    <definedName name="_21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21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21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21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21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21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21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21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21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21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2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115"}</definedName>
    <definedName name="_22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54"}</definedName>
    <definedName name="_22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22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22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22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22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22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22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22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22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22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22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53"}</definedName>
    <definedName name="_22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22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22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22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22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22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22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22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22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22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22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52"}</definedName>
    <definedName name="_22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22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22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22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22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22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22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22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22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22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22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51"}</definedName>
    <definedName name="_22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22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22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22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22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22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22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22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22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22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22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50"}</definedName>
    <definedName name="_22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22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22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22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22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22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22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22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22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22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22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49"}</definedName>
    <definedName name="_22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22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22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22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22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22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22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22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225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225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22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48"}</definedName>
    <definedName name="_226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226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226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226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226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226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226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226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226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226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22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47"}</definedName>
    <definedName name="_227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227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227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227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22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22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22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22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22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22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22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46"}</definedName>
    <definedName name="_22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22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22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22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22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22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22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22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22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22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22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45"}</definedName>
    <definedName name="_22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22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22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22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22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22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22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22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22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22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2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114"}</definedName>
    <definedName name="_23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44"}</definedName>
    <definedName name="_23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23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23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23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23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23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23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23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23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23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23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43"}</definedName>
    <definedName name="_23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23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23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23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23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23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23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23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23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23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23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42"}</definedName>
    <definedName name="_23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23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23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23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23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23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23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23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23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23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23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41"}</definedName>
    <definedName name="_23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23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23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23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23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23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23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23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23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23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23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40"}</definedName>
    <definedName name="_23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23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23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23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23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23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23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23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23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23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23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39"}</definedName>
    <definedName name="_23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23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23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23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23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23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23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23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23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23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23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38"}</definedName>
    <definedName name="_23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23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23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23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23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23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23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23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23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23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23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37"}</definedName>
    <definedName name="_23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23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23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23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23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23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23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23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23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23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23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36"}</definedName>
    <definedName name="_23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23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23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23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23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23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23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23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23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23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23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35"}</definedName>
    <definedName name="_23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23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23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23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23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23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23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23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23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23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2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113"}</definedName>
    <definedName name="_24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34"}</definedName>
    <definedName name="_24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24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24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24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24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24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24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24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24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24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24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33"}</definedName>
    <definedName name="_24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24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24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24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24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24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24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24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24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24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24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32"}</definedName>
    <definedName name="_24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24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24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24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24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24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24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24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24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24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24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31"}</definedName>
    <definedName name="_24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24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24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24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24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24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24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24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24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24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24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30"}</definedName>
    <definedName name="_24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24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24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24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24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24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24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24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24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24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24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29"}</definedName>
    <definedName name="_24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24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24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24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24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24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24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24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24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24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24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28"}</definedName>
    <definedName name="_24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24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24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24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24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24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24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24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24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24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24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27"}</definedName>
    <definedName name="_24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24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24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24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24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24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24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24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24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24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24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26"}</definedName>
    <definedName name="_24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24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24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24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24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24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24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24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24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24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24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25"}</definedName>
    <definedName name="_24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24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24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24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24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24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24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24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24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24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2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112"}</definedName>
    <definedName name="_25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24"}</definedName>
    <definedName name="_25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25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25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25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25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25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25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25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25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25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25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23"}</definedName>
    <definedName name="_25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25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25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25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25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25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25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25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25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25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25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22"}</definedName>
    <definedName name="_25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25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25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25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25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25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25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25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25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25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25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21"}</definedName>
    <definedName name="_25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25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25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25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25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25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25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25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25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25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25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20"}</definedName>
    <definedName name="_25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25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25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25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25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25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254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254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254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254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25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19"}</definedName>
    <definedName name="_255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255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255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255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255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255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255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255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255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255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25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18"}</definedName>
    <definedName name="_256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256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25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25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25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25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25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25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25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25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25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17"}</definedName>
    <definedName name="_25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25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25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25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25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25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25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25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25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25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25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16"}</definedName>
    <definedName name="_25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25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25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25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25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25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25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25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25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25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25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15"}</definedName>
    <definedName name="_25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25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25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25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25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25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25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25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25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25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2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111"}</definedName>
    <definedName name="_26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14"}</definedName>
    <definedName name="_26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26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26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26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26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26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26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26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26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26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26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"}</definedName>
    <definedName name="_26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26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26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26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26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26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26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26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26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26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26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"}</definedName>
    <definedName name="_26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26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26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26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26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26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26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26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26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26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26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"}</definedName>
    <definedName name="_26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26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26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26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26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26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26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26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26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26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26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"}</definedName>
    <definedName name="_26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26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26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26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26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26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26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26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26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26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26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"}</definedName>
    <definedName name="_26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26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26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26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26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26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26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26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26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26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26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"}</definedName>
    <definedName name="_26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26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26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26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26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26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26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26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26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26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26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"}</definedName>
    <definedName name="_26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26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26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26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26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26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26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26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26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26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26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"}</definedName>
    <definedName name="_26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26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26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26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26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26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26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26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26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26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26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"}</definedName>
    <definedName name="_26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26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26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26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26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26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26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26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26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26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2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110"}</definedName>
    <definedName name="_27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"}</definedName>
    <definedName name="_27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27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27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27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27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27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27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27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27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27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27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"}</definedName>
    <definedName name="_27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27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27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27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27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27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27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27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27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27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27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2"}</definedName>
    <definedName name="_27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27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27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27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27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27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27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27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27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27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27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"}</definedName>
    <definedName name="_27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27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27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27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27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27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27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27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27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27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2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27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27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27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27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27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27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27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27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27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27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2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27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27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27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27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27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27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27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27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27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27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2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27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27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27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27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27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27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27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27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27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27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2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27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27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27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27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27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27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27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27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27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27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2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27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27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27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27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27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27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27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27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27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27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2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27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27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27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27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27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27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27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27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27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27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2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109"}</definedName>
    <definedName name="_2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28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28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28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28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28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28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28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28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28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28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2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28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28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28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28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28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28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28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28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28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28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2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28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28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28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28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28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28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28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28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28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28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2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28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28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28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28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283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283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283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283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283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283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2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284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284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284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284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284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284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284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284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284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284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2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28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28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28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28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28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28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28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28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28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28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2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28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28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28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28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28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28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28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28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28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28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2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28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28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28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28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28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28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28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28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28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28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2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28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28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28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28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28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28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28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28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28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28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2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28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28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28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28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28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28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28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28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28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28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2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108"}</definedName>
    <definedName name="_2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29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29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29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29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29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29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29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29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29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29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2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29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29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29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29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29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29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29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29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29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29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2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29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29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29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29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29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29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29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29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29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29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2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29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29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29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29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29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29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29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29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29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29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2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29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29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29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29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29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29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29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29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29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29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2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29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29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29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29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29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29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29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29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29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29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2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29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29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29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29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29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29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29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29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29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29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2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29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29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29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29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29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29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29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29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29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29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2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29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29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29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29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29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29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29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29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29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29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2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29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29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29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29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29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29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29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29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29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29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134"}</definedName>
    <definedName name="_3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107"}</definedName>
    <definedName name="_3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30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30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30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30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30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30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30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30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30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30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3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30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30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30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30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30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30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30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30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30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30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3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30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30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30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30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30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30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30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30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30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30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3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30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30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30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30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30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30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30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30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30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30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3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30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30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30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30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30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30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30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30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30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30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3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30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30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30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30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30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30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30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30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30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30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3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30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30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30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30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30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30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30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30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30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30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3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30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30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30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30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30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30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30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30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30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30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3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30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30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30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30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30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30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30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30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30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30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3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30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30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30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30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30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30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30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30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30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30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3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106"}</definedName>
    <definedName name="_3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31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31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31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31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31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31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31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31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31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31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3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31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31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31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31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31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31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31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31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31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31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3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31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31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312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312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312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312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312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312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312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312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3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313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313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313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313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313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313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313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313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31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31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3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31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31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31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31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31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31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31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31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31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31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3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31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31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31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31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31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31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31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31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31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31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3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31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31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31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31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31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31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31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31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31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31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3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31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31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31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31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31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31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31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31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31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31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3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31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31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31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31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31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31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31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31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31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31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3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31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31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31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31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31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31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31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31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31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31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3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105"}</definedName>
    <definedName name="_3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32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32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32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32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32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32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32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32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32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32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3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32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32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32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32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32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32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32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32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32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32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3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32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32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32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32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32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32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32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32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32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32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3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32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32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32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32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32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32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32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32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32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32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3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32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32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32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32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32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32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32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32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32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32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3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32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32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32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32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32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32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32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32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32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32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3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32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32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32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32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32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32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32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32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32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32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3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32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32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32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32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32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32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32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32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32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32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3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32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32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32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32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32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32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32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32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32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32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3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32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32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32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32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32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32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32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32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32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32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3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104"}</definedName>
    <definedName name="_3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33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33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33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33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33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33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33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33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33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33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3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33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33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33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33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33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33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33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33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33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33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3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33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33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33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33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33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33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33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33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33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33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3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33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33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33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33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33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33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33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33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33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33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3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33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33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33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33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33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33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33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33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33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33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3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33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33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33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33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33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33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33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33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33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33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3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33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33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33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33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33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33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33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33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33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33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3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33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33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33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33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33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33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33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33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33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33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3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33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33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33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33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33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33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33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33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33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33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3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33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33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33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33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33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33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33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33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33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33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3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103"}</definedName>
    <definedName name="_3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34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34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34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34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34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34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34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34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34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34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3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341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341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341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341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341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341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341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341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341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341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3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342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342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342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342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342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342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34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34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34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34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3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34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34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34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34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34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34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34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34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34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34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3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34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34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34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34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34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34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34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34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34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34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3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34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34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34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34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34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34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34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34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34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34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3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34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34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34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34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34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34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34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34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34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34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3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34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34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34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34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34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34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34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34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34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34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3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34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34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34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34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34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34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34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34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34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34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3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34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34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34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34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34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34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34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34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34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34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3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102"}</definedName>
    <definedName name="_3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35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35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35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35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35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35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35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35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35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35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3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35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35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35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35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35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35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35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35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35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35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3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35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35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35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35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35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35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35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35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35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35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3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35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35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35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35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35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35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35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35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35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35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3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35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35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35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35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35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35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35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35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35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35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3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35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35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35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35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35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35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35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35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35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35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3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35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35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35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35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35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35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35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35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35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35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3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35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35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35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35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35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35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35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35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35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35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3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35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35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35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35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35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35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35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35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35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35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3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35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35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35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35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35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35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35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35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35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35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3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101"}</definedName>
    <definedName name="_3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36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36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36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36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36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36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36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36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36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36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3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36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36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36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36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36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36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36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36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36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36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3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36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36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36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36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36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36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36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36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36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36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3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36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36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36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36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36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36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36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36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36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36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3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36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36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36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36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36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36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36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36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36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36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3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36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36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36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36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36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36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36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36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36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36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3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36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36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36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36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36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36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36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36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36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36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3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36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36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36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36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36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36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36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36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36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36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3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36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36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36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36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36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36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36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36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36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36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3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36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36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36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36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36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36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36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36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369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369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3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100"}</definedName>
    <definedName name="_3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370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370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370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370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370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370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370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370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370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370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3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371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371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371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371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37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37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37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37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37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37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3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37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37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37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37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37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37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37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37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37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37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3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37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37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37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37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37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37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37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37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37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37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3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37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37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37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37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37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37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37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37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37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37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3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37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37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37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37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37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37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37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37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37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37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3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37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37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37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37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37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37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37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37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37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37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3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37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37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37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37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37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37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37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37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37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37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3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37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37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37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37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37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37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37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37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37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37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3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37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37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37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37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37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37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37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37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37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37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3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99"}</definedName>
    <definedName name="_3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38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38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38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38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38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38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38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38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38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38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3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38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38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38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38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38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38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38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38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38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38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3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38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38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38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38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38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38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38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38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38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38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3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38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38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38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38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38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38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38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38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38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38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3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38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38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38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38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38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38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38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38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38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38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3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38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38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38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38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38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38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38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38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38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38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3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38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38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38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38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38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38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38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38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38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38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3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38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38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38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38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38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38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38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38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38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38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3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38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38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38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38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38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38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38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38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38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38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3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38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38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38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38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38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38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38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38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38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38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3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98"}</definedName>
    <definedName name="_3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39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39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39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39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39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39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39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39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39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39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3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39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39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39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39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39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39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39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39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39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39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3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39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39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39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39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39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39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39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39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39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39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3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39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39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39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39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39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39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39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39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39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39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3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39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39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39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39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39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39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39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39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39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39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3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39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39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39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39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39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39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39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39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39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39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3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39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39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39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39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39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39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39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39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39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39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3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39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39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39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39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39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39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39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39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39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39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3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39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39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39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39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39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39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398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398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398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398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3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399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399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399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399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399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399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399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399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399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399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133"}</definedName>
    <definedName name="_4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97"}</definedName>
    <definedName name="_4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400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400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40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40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40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40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40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40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40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40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4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40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40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40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40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40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40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40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40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40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40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4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40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40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40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40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40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40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40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40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40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40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4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40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40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40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40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40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40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40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40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40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40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4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40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40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40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40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40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40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40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40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40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40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4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40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40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40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40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40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40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40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40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40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40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4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40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40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40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40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40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40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40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40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40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40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4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40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40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40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40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40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40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40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40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40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40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4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40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40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40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40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40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40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40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40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40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40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4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40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40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40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40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40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40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40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40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40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40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4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96"}</definedName>
    <definedName name="_4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0"}</definedName>
    <definedName name="_41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41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41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41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41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41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41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41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41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41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4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41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41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41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41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41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41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41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41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41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41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4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41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41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41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41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41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41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41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41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41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41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4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41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41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41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41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41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41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41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41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41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41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4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41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41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41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41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41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41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41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41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41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41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4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41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41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41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41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41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41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41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41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41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41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4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41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41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41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41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41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41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41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41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41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41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4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41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41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41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41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41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41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41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41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41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41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4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41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41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41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41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41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41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41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41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41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41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4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41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41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41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41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41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41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41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41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41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41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4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95"}</definedName>
    <definedName name="_4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42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42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42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42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42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42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42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42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42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42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4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42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42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42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42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42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42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42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42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42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42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4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42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42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42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42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42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42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42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42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42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42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4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42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42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42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42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42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42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42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42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42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42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4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42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42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42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42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42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42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42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42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42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42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4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42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42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42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42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42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42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42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42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42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42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4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42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42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42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42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42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42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42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42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42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42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4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42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42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42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42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427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427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427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427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427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427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4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428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428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428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428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428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428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428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428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428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428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4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42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42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42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42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42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42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42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42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42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42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4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94"}</definedName>
    <definedName name="_4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43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43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43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43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43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43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43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43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43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43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4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43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43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43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43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43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43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43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43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43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43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4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43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43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43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43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43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43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43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43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43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43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4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43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43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43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43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43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43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43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43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43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43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4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43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43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43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43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43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43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43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43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43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43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4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43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43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43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43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43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43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43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43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43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43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4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43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43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43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43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43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43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43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43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43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43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4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43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43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43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43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43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43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43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43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43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43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4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43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43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43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43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43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43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43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43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43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43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4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43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43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43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43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43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43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43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43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43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43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4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93"}</definedName>
    <definedName name="_4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44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44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44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44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44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44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44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44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44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44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4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44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44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44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44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44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44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44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44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44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44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4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44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44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44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44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44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44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44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44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44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44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4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44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44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44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44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44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44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44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44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44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44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4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44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44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44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44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44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44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44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44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44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44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4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44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44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44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44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44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44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44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44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44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44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4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44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44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44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44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44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44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44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44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44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44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4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44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44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44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44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44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44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44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44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44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44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4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44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44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44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44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44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44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44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44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44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44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4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44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44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44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44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44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44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44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44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44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44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4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92"}</definedName>
    <definedName name="_4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45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45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45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45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45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45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45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45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45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45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4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45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45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45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45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45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45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45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45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45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45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4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45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45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45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45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45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45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45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45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45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45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4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45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45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45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45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45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45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45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45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45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45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4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45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45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45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45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45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45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45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45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45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45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4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45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45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45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45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45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45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45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45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45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45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4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45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45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456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456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456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456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456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456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456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456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4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457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457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457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457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457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457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457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457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45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45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4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45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45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45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45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45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45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45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45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45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45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4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45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45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45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45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45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45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45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45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45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45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4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91"}</definedName>
    <definedName name="_4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46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46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46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46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46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46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46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46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46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46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4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46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46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46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46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46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46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46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46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46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46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4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46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46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46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46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46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46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46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46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46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46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4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46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46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46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46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46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46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46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46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46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46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4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46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46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46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46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46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46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46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46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46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46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4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46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46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46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46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46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46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46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46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46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46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4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46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46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46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46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46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46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46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46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46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46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4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46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46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46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46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46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46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46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46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46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46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4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46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46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46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46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46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46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46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46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46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46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4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46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46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46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46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46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46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46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46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46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46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4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90"}</definedName>
    <definedName name="_4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47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47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47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47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47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47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47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47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47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47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4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47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47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47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47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47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47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47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47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47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47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4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47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47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47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47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47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47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47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47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47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47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4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47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47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47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47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47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47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47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47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47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47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4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47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47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47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47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47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47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47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47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47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47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4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47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47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47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47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47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47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47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47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47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47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4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47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47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47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47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47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47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47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47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47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47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4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47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47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47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47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47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47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47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47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47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47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4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47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47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47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47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47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47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47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47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47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47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4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47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47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47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47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47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47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47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47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47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47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4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89"}</definedName>
    <definedName name="_4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48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48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48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48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48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48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48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48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48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48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4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48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48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48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48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48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48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48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48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48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48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4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48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48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48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48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48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48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48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48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48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48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4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48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48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48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48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48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48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48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48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48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48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4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48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48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48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48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48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48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48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48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48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48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4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485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16"}</definedName>
    <definedName name="_485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15"}</definedName>
    <definedName name="_485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14"}</definedName>
    <definedName name="_485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13"}</definedName>
    <definedName name="_485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12"}</definedName>
    <definedName name="_485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11"}</definedName>
    <definedName name="_4856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10"}</definedName>
    <definedName name="_4857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9"}</definedName>
    <definedName name="_4858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8"}</definedName>
    <definedName name="_4859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7"}</definedName>
    <definedName name="_4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4860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6"}</definedName>
    <definedName name="_4861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5"}</definedName>
    <definedName name="_4862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4"}</definedName>
    <definedName name="_4863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3"}</definedName>
    <definedName name="_4864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2"}</definedName>
    <definedName name="_4865__FDSAUDITLINK__" hidden="1">{"fdsup://directions/FAT Viewer?action=UPDATE&amp;creator=factset&amp;DYN_ARGS=TRUE&amp;DOC_NAME=FAT:FQL_AUDITING_CLIENT_TEMPLATE.FAT&amp;display_string=Audit&amp;VAR:KEY=UBIFGRETOF&amp;VAR:QUERY=SlVMSUFOKElDX0VTVElNQVRFKEVQUygpLE1FQU4sTlRNX1RXQSwsNDAxNzksNDA3MTcsTSkuZGF0ZXMp&amp;WIND","OW=FIRST_POPUP&amp;HEIGHT=450&amp;WIDTH=450&amp;START_MAXIMIZED=FALSE&amp;VAR:CALENDAR=US&amp;VAR:SYMBOL=44857910&amp;VAR:INDEX=1"}</definedName>
    <definedName name="_4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4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4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4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88"}</definedName>
    <definedName name="_4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4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4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4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4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4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4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4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4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4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132"}</definedName>
    <definedName name="_5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87"}</definedName>
    <definedName name="_5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5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5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5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5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5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5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5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5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5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5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86"}</definedName>
    <definedName name="_5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5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5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5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5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5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5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5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5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5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5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85"}</definedName>
    <definedName name="_5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5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5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5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5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5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5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5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5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5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5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84"}</definedName>
    <definedName name="_5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5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5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5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5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5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5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5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5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5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5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83"}</definedName>
    <definedName name="_5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5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5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5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5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5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5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5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5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5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5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82"}</definedName>
    <definedName name="_5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5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5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5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5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5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5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5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5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5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5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81"}</definedName>
    <definedName name="_5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5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5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5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5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5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5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5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5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5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5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80"}</definedName>
    <definedName name="_5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5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5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5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5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5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5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5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5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5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5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79"}</definedName>
    <definedName name="_5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5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5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5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5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5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5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5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5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5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5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78"}</definedName>
    <definedName name="_5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5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5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5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5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5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5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5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5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5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131"}</definedName>
    <definedName name="_6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77"}</definedName>
    <definedName name="_6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6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6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6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6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6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6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6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6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6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6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76"}</definedName>
    <definedName name="_6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6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6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6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6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6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6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6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6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6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6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75"}</definedName>
    <definedName name="_6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6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6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6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6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6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6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6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6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6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6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74"}</definedName>
    <definedName name="_6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6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6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6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6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6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6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6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6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6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6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73"}</definedName>
    <definedName name="_6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6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6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6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6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6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6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6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6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6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6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72"}</definedName>
    <definedName name="_6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6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6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6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6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6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6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6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6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6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6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71"}</definedName>
    <definedName name="_6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6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6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6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6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6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6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6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6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6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6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70"}</definedName>
    <definedName name="_6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6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6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6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6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6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6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6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6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6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6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69"}</definedName>
    <definedName name="_6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6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6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6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6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6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6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6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6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6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6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68"}</definedName>
    <definedName name="_6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6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6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6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6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6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6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6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6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6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130"}</definedName>
    <definedName name="_7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67"}</definedName>
    <definedName name="_7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7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7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7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7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7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7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7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7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7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7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66"}</definedName>
    <definedName name="_7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7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7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7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7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7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7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7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7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7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7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65"}</definedName>
    <definedName name="_72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72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72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72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72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72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72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72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92"}</definedName>
    <definedName name="_72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91"}</definedName>
    <definedName name="_72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90"}</definedName>
    <definedName name="_7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64"}</definedName>
    <definedName name="_73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89"}</definedName>
    <definedName name="_73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88"}</definedName>
    <definedName name="_73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87"}</definedName>
    <definedName name="_73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86"}</definedName>
    <definedName name="_73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85"}</definedName>
    <definedName name="_73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84"}</definedName>
    <definedName name="_73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83"}</definedName>
    <definedName name="_73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82"}</definedName>
    <definedName name="_73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81"}</definedName>
    <definedName name="_73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80"}</definedName>
    <definedName name="_7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63"}</definedName>
    <definedName name="_74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79"}</definedName>
    <definedName name="_74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78"}</definedName>
    <definedName name="_74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77"}</definedName>
    <definedName name="_74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76"}</definedName>
    <definedName name="_74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75"}</definedName>
    <definedName name="_74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74"}</definedName>
    <definedName name="_74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73"}</definedName>
    <definedName name="_74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72"}</definedName>
    <definedName name="_74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71"}</definedName>
    <definedName name="_74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70"}</definedName>
    <definedName name="_7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62"}</definedName>
    <definedName name="_75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69"}</definedName>
    <definedName name="_75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68"}</definedName>
    <definedName name="_75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67"}</definedName>
    <definedName name="_75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66"}</definedName>
    <definedName name="_75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65"}</definedName>
    <definedName name="_75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64"}</definedName>
    <definedName name="_7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63"}</definedName>
    <definedName name="_7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62"}</definedName>
    <definedName name="_7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61"}</definedName>
    <definedName name="_7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60"}</definedName>
    <definedName name="_7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61"}</definedName>
    <definedName name="_7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59"}</definedName>
    <definedName name="_7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58"}</definedName>
    <definedName name="_7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57"}</definedName>
    <definedName name="_7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56"}</definedName>
    <definedName name="_7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55"}</definedName>
    <definedName name="_7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54"}</definedName>
    <definedName name="_7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53"}</definedName>
    <definedName name="_7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52"}</definedName>
    <definedName name="_7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51"}</definedName>
    <definedName name="_7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50"}</definedName>
    <definedName name="_7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60"}</definedName>
    <definedName name="_7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49"}</definedName>
    <definedName name="_7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48"}</definedName>
    <definedName name="_7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47"}</definedName>
    <definedName name="_7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46"}</definedName>
    <definedName name="_7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45"}</definedName>
    <definedName name="_7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44"}</definedName>
    <definedName name="_7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43"}</definedName>
    <definedName name="_7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42"}</definedName>
    <definedName name="_7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41"}</definedName>
    <definedName name="_7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40"}</definedName>
    <definedName name="_7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59"}</definedName>
    <definedName name="_7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39"}</definedName>
    <definedName name="_7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38"}</definedName>
    <definedName name="_7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37"}</definedName>
    <definedName name="_7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36"}</definedName>
    <definedName name="_7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35"}</definedName>
    <definedName name="_7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34"}</definedName>
    <definedName name="_7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33"}</definedName>
    <definedName name="_7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32"}</definedName>
    <definedName name="_7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31"}</definedName>
    <definedName name="_7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30"}</definedName>
    <definedName name="_7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58"}</definedName>
    <definedName name="_7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29"}</definedName>
    <definedName name="_7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28"}</definedName>
    <definedName name="_7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27"}</definedName>
    <definedName name="_7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26"}</definedName>
    <definedName name="_7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25"}</definedName>
    <definedName name="_7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24"}</definedName>
    <definedName name="_7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23"}</definedName>
    <definedName name="_7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22"}</definedName>
    <definedName name="_7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21"}</definedName>
    <definedName name="_7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20"}</definedName>
    <definedName name="_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129"}</definedName>
    <definedName name="_8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57"}</definedName>
    <definedName name="_80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19"}</definedName>
    <definedName name="_80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18"}</definedName>
    <definedName name="_80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17"}</definedName>
    <definedName name="_80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16"}</definedName>
    <definedName name="_80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15"}</definedName>
    <definedName name="_80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14"}</definedName>
    <definedName name="_80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"}</definedName>
    <definedName name="_80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"}</definedName>
    <definedName name="_80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"}</definedName>
    <definedName name="_80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"}</definedName>
    <definedName name="_8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56"}</definedName>
    <definedName name="_81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"}</definedName>
    <definedName name="_81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8"}</definedName>
    <definedName name="_81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7"}</definedName>
    <definedName name="_81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6"}</definedName>
    <definedName name="_81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5"}</definedName>
    <definedName name="_81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4"}</definedName>
    <definedName name="_81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3"}</definedName>
    <definedName name="_81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2"}</definedName>
    <definedName name="_81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"}</definedName>
    <definedName name="_81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0"}</definedName>
    <definedName name="_8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55"}</definedName>
    <definedName name="_8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136"}</definedName>
    <definedName name="_8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135"}</definedName>
    <definedName name="_8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134"}</definedName>
    <definedName name="_8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133"}</definedName>
    <definedName name="_8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132"}</definedName>
    <definedName name="_8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131"}</definedName>
    <definedName name="_8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130"}</definedName>
    <definedName name="_8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129"}</definedName>
    <definedName name="_8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128"}</definedName>
    <definedName name="_8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127"}</definedName>
    <definedName name="_8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54"}</definedName>
    <definedName name="_8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126"}</definedName>
    <definedName name="_8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125"}</definedName>
    <definedName name="_8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124"}</definedName>
    <definedName name="_8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123"}</definedName>
    <definedName name="_8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122"}</definedName>
    <definedName name="_8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121"}</definedName>
    <definedName name="_8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120"}</definedName>
    <definedName name="_8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119"}</definedName>
    <definedName name="_8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118"}</definedName>
    <definedName name="_8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117"}</definedName>
    <definedName name="_8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53"}</definedName>
    <definedName name="_8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116"}</definedName>
    <definedName name="_8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115"}</definedName>
    <definedName name="_8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114"}</definedName>
    <definedName name="_8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113"}</definedName>
    <definedName name="_8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112"}</definedName>
    <definedName name="_8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111"}</definedName>
    <definedName name="_8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110"}</definedName>
    <definedName name="_8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109"}</definedName>
    <definedName name="_8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108"}</definedName>
    <definedName name="_8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107"}</definedName>
    <definedName name="_8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52"}</definedName>
    <definedName name="_8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106"}</definedName>
    <definedName name="_8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105"}</definedName>
    <definedName name="_8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104"}</definedName>
    <definedName name="_8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103"}</definedName>
    <definedName name="_8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102"}</definedName>
    <definedName name="_8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101"}</definedName>
    <definedName name="_85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100"}</definedName>
    <definedName name="_85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99"}</definedName>
    <definedName name="_85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98"}</definedName>
    <definedName name="_85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97"}</definedName>
    <definedName name="_8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51"}</definedName>
    <definedName name="_86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96"}</definedName>
    <definedName name="_86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95"}</definedName>
    <definedName name="_86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94"}</definedName>
    <definedName name="_86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93"}</definedName>
    <definedName name="_86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92"}</definedName>
    <definedName name="_86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91"}</definedName>
    <definedName name="_86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90"}</definedName>
    <definedName name="_86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89"}</definedName>
    <definedName name="_86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88"}</definedName>
    <definedName name="_86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87"}</definedName>
    <definedName name="_8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50"}</definedName>
    <definedName name="_87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86"}</definedName>
    <definedName name="_87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85"}</definedName>
    <definedName name="_87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84"}</definedName>
    <definedName name="_87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83"}</definedName>
    <definedName name="_87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82"}</definedName>
    <definedName name="_87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81"}</definedName>
    <definedName name="_87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80"}</definedName>
    <definedName name="_87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79"}</definedName>
    <definedName name="_87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78"}</definedName>
    <definedName name="_87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77"}</definedName>
    <definedName name="_8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49"}</definedName>
    <definedName name="_88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76"}</definedName>
    <definedName name="_88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75"}</definedName>
    <definedName name="_88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74"}</definedName>
    <definedName name="_88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73"}</definedName>
    <definedName name="_88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72"}</definedName>
    <definedName name="_88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71"}</definedName>
    <definedName name="_88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70"}</definedName>
    <definedName name="_88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69"}</definedName>
    <definedName name="_88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68"}</definedName>
    <definedName name="_88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67"}</definedName>
    <definedName name="_8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48"}</definedName>
    <definedName name="_89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66"}</definedName>
    <definedName name="_89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65"}</definedName>
    <definedName name="_89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64"}</definedName>
    <definedName name="_89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63"}</definedName>
    <definedName name="_89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62"}</definedName>
    <definedName name="_89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61"}</definedName>
    <definedName name="_89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60"}</definedName>
    <definedName name="_89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59"}</definedName>
    <definedName name="_89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58"}</definedName>
    <definedName name="_89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57"}</definedName>
    <definedName name="_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128"}</definedName>
    <definedName name="_90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47"}</definedName>
    <definedName name="_90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56"}</definedName>
    <definedName name="_90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55"}</definedName>
    <definedName name="_90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54"}</definedName>
    <definedName name="_90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53"}</definedName>
    <definedName name="_90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52"}</definedName>
    <definedName name="_90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51"}</definedName>
    <definedName name="_90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50"}</definedName>
    <definedName name="_90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49"}</definedName>
    <definedName name="_90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48"}</definedName>
    <definedName name="_90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47"}</definedName>
    <definedName name="_91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46"}</definedName>
    <definedName name="_91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46"}</definedName>
    <definedName name="_91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45"}</definedName>
    <definedName name="_91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44"}</definedName>
    <definedName name="_91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43"}</definedName>
    <definedName name="_91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42"}</definedName>
    <definedName name="_91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41"}</definedName>
    <definedName name="_91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40"}</definedName>
    <definedName name="_91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39"}</definedName>
    <definedName name="_91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38"}</definedName>
    <definedName name="_91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37"}</definedName>
    <definedName name="_92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45"}</definedName>
    <definedName name="_92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36"}</definedName>
    <definedName name="_92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35"}</definedName>
    <definedName name="_92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34"}</definedName>
    <definedName name="_92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33"}</definedName>
    <definedName name="_92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32"}</definedName>
    <definedName name="_92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31"}</definedName>
    <definedName name="_92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30"}</definedName>
    <definedName name="_92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29"}</definedName>
    <definedName name="_92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28"}</definedName>
    <definedName name="_92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27"}</definedName>
    <definedName name="_93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44"}</definedName>
    <definedName name="_93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26"}</definedName>
    <definedName name="_93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25"}</definedName>
    <definedName name="_93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24"}</definedName>
    <definedName name="_93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23"}</definedName>
    <definedName name="_93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22"}</definedName>
    <definedName name="_93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21"}</definedName>
    <definedName name="_93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20"}</definedName>
    <definedName name="_93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19"}</definedName>
    <definedName name="_93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18"}</definedName>
    <definedName name="_93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17"}</definedName>
    <definedName name="_94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43"}</definedName>
    <definedName name="_94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16"}</definedName>
    <definedName name="_94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15"}</definedName>
    <definedName name="_94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14"}</definedName>
    <definedName name="_94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13"}</definedName>
    <definedName name="_94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12"}</definedName>
    <definedName name="_94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11"}</definedName>
    <definedName name="_946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10"}</definedName>
    <definedName name="_947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9"}</definedName>
    <definedName name="_948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8"}</definedName>
    <definedName name="_949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7"}</definedName>
    <definedName name="_95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42"}</definedName>
    <definedName name="_950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6"}</definedName>
    <definedName name="_951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5"}</definedName>
    <definedName name="_952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4"}</definedName>
    <definedName name="_953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3"}</definedName>
    <definedName name="_954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2"}</definedName>
    <definedName name="_955__FDSAUDITLINK__" hidden="1">{"fdsup://directions/FAT Viewer?action=UPDATE&amp;creator=factset&amp;DYN_ARGS=TRUE&amp;DOC_NAME=FAT:FQL_AUDITING_CLIENT_TEMPLATE.FAT&amp;display_string=Audit&amp;VAR:KEY=QTODSJSRAB&amp;VAR:QUERY=SlVMSUFOKElDX0VTVElNQVRFKEVQUygpLE1FQU4sTlRNX1RXQSwsMzY1MjYsNDA3MTcsTSkuZGF0ZXMp&amp;WIND","OW=FIRST_POPUP&amp;HEIGHT=450&amp;WIDTH=450&amp;START_MAXIMIZED=FALSE&amp;VAR:CALENDAR=US&amp;VAR:SYMBOL=57190320&amp;VAR:INDEX=1"}</definedName>
    <definedName name="_95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136"}</definedName>
    <definedName name="_95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135"}</definedName>
    <definedName name="_95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134"}</definedName>
    <definedName name="_95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133"}</definedName>
    <definedName name="_96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41"}</definedName>
    <definedName name="_96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132"}</definedName>
    <definedName name="_96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131"}</definedName>
    <definedName name="_96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130"}</definedName>
    <definedName name="_96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129"}</definedName>
    <definedName name="_96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128"}</definedName>
    <definedName name="_96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127"}</definedName>
    <definedName name="_96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126"}</definedName>
    <definedName name="_96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125"}</definedName>
    <definedName name="_96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124"}</definedName>
    <definedName name="_96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123"}</definedName>
    <definedName name="_97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40"}</definedName>
    <definedName name="_97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122"}</definedName>
    <definedName name="_97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121"}</definedName>
    <definedName name="_97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120"}</definedName>
    <definedName name="_97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119"}</definedName>
    <definedName name="_97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118"}</definedName>
    <definedName name="_97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117"}</definedName>
    <definedName name="_97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116"}</definedName>
    <definedName name="_97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115"}</definedName>
    <definedName name="_97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114"}</definedName>
    <definedName name="_97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113"}</definedName>
    <definedName name="_98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39"}</definedName>
    <definedName name="_98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112"}</definedName>
    <definedName name="_98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111"}</definedName>
    <definedName name="_98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110"}</definedName>
    <definedName name="_98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109"}</definedName>
    <definedName name="_98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108"}</definedName>
    <definedName name="_98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107"}</definedName>
    <definedName name="_98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106"}</definedName>
    <definedName name="_98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105"}</definedName>
    <definedName name="_98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104"}</definedName>
    <definedName name="_98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103"}</definedName>
    <definedName name="_99__FDSAUDITLINK__" hidden="1">{"fdsup://directions/FAT Viewer?action=UPDATE&amp;creator=factset&amp;DYN_ARGS=TRUE&amp;DOC_NAME=FAT:FQL_AUDITING_CLIENT_TEMPLATE.FAT&amp;display_string=Audit&amp;VAR:KEY=CHEZMHUHAF&amp;VAR:QUERY=SlVMSUFOKElDX0VTVElNQVRFKEVQUygpLE1FQU4sTlRNX1RXQSwsMzY1MjYsNDA3MTcsTSkuZGF0ZXMp&amp;WIND","OW=FIRST_POPUP&amp;HEIGHT=450&amp;WIDTH=450&amp;START_MAXIMIZED=FALSE&amp;VAR:CALENDAR=US&amp;VAR:SYMBOL=57190320&amp;VAR:INDEX=38"}</definedName>
    <definedName name="_990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102"}</definedName>
    <definedName name="_991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101"}</definedName>
    <definedName name="_992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100"}</definedName>
    <definedName name="_993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99"}</definedName>
    <definedName name="_994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98"}</definedName>
    <definedName name="_995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97"}</definedName>
    <definedName name="_996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96"}</definedName>
    <definedName name="_997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95"}</definedName>
    <definedName name="_998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94"}</definedName>
    <definedName name="_999__FDSAUDITLINK__" hidden="1">{"fdsup://directions/FAT Viewer?action=UPDATE&amp;creator=factset&amp;DYN_ARGS=TRUE&amp;DOC_NAME=FAT:FQL_AUDITING_CLIENT_TEMPLATE.FAT&amp;display_string=Audit&amp;VAR:KEY=UZQBGBQFYT&amp;VAR:QUERY=SlVMSUFOKElDX0VTVElNQVRFKEVQUygpLE1FQU4sTlRNX1RXQSwsMzY1MjYsNDA3MTcsTSkuZGF0ZXMp&amp;WIND","OW=FIRST_POPUP&amp;HEIGHT=450&amp;WIDTH=450&amp;START_MAXIMIZED=FALSE&amp;VAR:CALENDAR=US&amp;VAR:SYMBOL=85590A40&amp;VAR:INDEX=93"}</definedName>
    <definedName name="_AA74" hidden="1">#NAME?</definedName>
    <definedName name="_AA76" hidden="1">#NAME?</definedName>
    <definedName name="_AB74" hidden="1">#NAME?</definedName>
    <definedName name="_AB76" hidden="1">#NAME?</definedName>
    <definedName name="_AC74" hidden="1">#NAME?</definedName>
    <definedName name="_AC76" hidden="1">#NAME?</definedName>
    <definedName name="_AD74" hidden="1">#NAME?</definedName>
    <definedName name="_AD76" hidden="1">#NAME?</definedName>
    <definedName name="_AE74" hidden="1">#NAME?</definedName>
    <definedName name="_AE76" hidden="1">#NAME?</definedName>
    <definedName name="_AF74" hidden="1">#NAME?</definedName>
    <definedName name="_AF76" hidden="1">#NAME?</definedName>
    <definedName name="_AG74" hidden="1">#NAME?</definedName>
    <definedName name="_AG76" hidden="1">#NAME?</definedName>
    <definedName name="_AH74" hidden="1">#NAME?</definedName>
    <definedName name="_AH76" hidden="1">#NAME?</definedName>
    <definedName name="_AI74" hidden="1">#NAME?</definedName>
    <definedName name="_AI76" hidden="1">#NAME?</definedName>
    <definedName name="_AJ74" hidden="1">#NAME?</definedName>
    <definedName name="_AJ76" hidden="1">#NAME?</definedName>
    <definedName name="_AK74" hidden="1">#NAME?</definedName>
    <definedName name="_AK76" hidden="1">#NAME?</definedName>
    <definedName name="_AL74" hidden="1">#NAME?</definedName>
    <definedName name="_AL76" hidden="1">#NAME?</definedName>
    <definedName name="_AM74" hidden="1">#NAME?</definedName>
    <definedName name="_AM76" hidden="1">#NAME?</definedName>
    <definedName name="_AN74" hidden="1">#NAME?</definedName>
    <definedName name="_AN76" hidden="1">#NAME?</definedName>
    <definedName name="_AO74" hidden="1">#NAME?</definedName>
    <definedName name="_AO76" hidden="1">#NAME?</definedName>
    <definedName name="_AP74" hidden="1">#NAME?</definedName>
    <definedName name="_AP76" hidden="1">#NAME?</definedName>
    <definedName name="_AQ74" hidden="1">#NAME?</definedName>
    <definedName name="_AQ76" hidden="1">#NAME?</definedName>
    <definedName name="_AR74" hidden="1">#NAME?</definedName>
    <definedName name="_AR76" hidden="1">#NAME?</definedName>
    <definedName name="_AS74" hidden="1">#NAME?</definedName>
    <definedName name="_AS76" hidden="1">#NAME?</definedName>
    <definedName name="_AT74" hidden="1">#NAME?</definedName>
    <definedName name="_AT76" hidden="1">#NAME?</definedName>
    <definedName name="_AU74" hidden="1">#NAME?</definedName>
    <definedName name="_AU76" hidden="1">#NAME?</definedName>
    <definedName name="_AV74" hidden="1">#NAME?</definedName>
    <definedName name="_AV76" hidden="1">#NAME?</definedName>
    <definedName name="_AW74" hidden="1">#NAME?</definedName>
    <definedName name="_AW76" hidden="1">#NAME?</definedName>
    <definedName name="_AX74" hidden="1">#NAME?</definedName>
    <definedName name="_AX76" hidden="1">#NAME?</definedName>
    <definedName name="_AY74" hidden="1">#NAME?</definedName>
    <definedName name="_AY76" hidden="1">#NAME?</definedName>
    <definedName name="_AZ74" hidden="1">#NAME?</definedName>
    <definedName name="_AZ76" hidden="1">#NAME?</definedName>
    <definedName name="_BA74" hidden="1">#NAME?</definedName>
    <definedName name="_BA76" hidden="1">#NAME?</definedName>
    <definedName name="_BB74" hidden="1">#NAME?</definedName>
    <definedName name="_BB76" hidden="1">#NAME?</definedName>
    <definedName name="_BC74" hidden="1">#NAME?</definedName>
    <definedName name="_BC76" hidden="1">#NAME?</definedName>
    <definedName name="_BD74" hidden="1">#NAME?</definedName>
    <definedName name="_BD76" hidden="1">#NAME?</definedName>
    <definedName name="_bdm.088C9128C5A242999468F2E2FF0FC186.edm" hidden="1">#REF!</definedName>
    <definedName name="_bdm.36490b912bef4697b11e6aa31a3dc78d.edm" hidden="1">#REF!</definedName>
    <definedName name="_bdm.6354f5cbdd1d48b19b48321255e189bd.edm" hidden="1">#REF!</definedName>
    <definedName name="_BE74" hidden="1">#NAME?</definedName>
    <definedName name="_BE76" hidden="1">#NAME?</definedName>
    <definedName name="_BF74" hidden="1">#NAME?</definedName>
    <definedName name="_BF76" hidden="1">#NAME?</definedName>
    <definedName name="_BG74" hidden="1">#NAME?</definedName>
    <definedName name="_BG76" hidden="1">#NAME?</definedName>
    <definedName name="_BH74" hidden="1">#NAME?</definedName>
    <definedName name="_BH76" hidden="1">#NAME?</definedName>
    <definedName name="_BI74" hidden="1">#NAME?</definedName>
    <definedName name="_BI76" hidden="1">#NAME?</definedName>
    <definedName name="_cu102.ShareScalingFactor" hidden="1">1000000</definedName>
    <definedName name="_cu103.EmployeeScalingFactor" hidden="1">1000</definedName>
    <definedName name="_cu107.DPSSymbol" hidden="1">"€"</definedName>
    <definedName name="_cu107.EPSSymbol" hidden="1">"€"</definedName>
    <definedName name="_cu71.ScalingFactor" hidden="1">1000000</definedName>
    <definedName name="_Fill" hidden="1">#REF!</definedName>
    <definedName name="_I74" hidden="1">#NAME?</definedName>
    <definedName name="_I76" hidden="1">#NAME?</definedName>
    <definedName name="_J74" hidden="1">#NAME?</definedName>
    <definedName name="_J76" hidden="1">#NAME?</definedName>
    <definedName name="_K74" hidden="1">#NAME?</definedName>
    <definedName name="_K76" hidden="1">#NAME?</definedName>
    <definedName name="_L74" hidden="1">#NAME?</definedName>
    <definedName name="_L76" hidden="1">#NAME?</definedName>
    <definedName name="_M74" hidden="1">#NAME?</definedName>
    <definedName name="_M76" hidden="1">#NAME?</definedName>
    <definedName name="_N74" hidden="1">#NAME?</definedName>
    <definedName name="_N76" hidden="1">#NAME?</definedName>
    <definedName name="_O74" hidden="1">#NAME?</definedName>
    <definedName name="_O76" hidden="1">#NAME?</definedName>
    <definedName name="_Order1" hidden="1">255</definedName>
    <definedName name="_Order2" hidden="1">255</definedName>
    <definedName name="_P74" hidden="1">#NAME?</definedName>
    <definedName name="_P76" hidden="1">#NAME?</definedName>
    <definedName name="_Q74" hidden="1">#NAME?</definedName>
    <definedName name="_Q76" hidden="1">#NAME?</definedName>
    <definedName name="_Regression_Int" hidden="1">1</definedName>
    <definedName name="_S74" hidden="1">#NAME?</definedName>
    <definedName name="_S76" hidden="1">#NAME?</definedName>
    <definedName name="_Sort" hidden="1">#REF!</definedName>
    <definedName name="_T74" hidden="1">#NAME?</definedName>
    <definedName name="_T76" hidden="1">#NAME?</definedName>
    <definedName name="_Table2_Out" hidden="1">#REF!</definedName>
    <definedName name="_U74" hidden="1">#NAME?</definedName>
    <definedName name="_U76" hidden="1">#NAME?</definedName>
    <definedName name="_V74" hidden="1">#NAME?</definedName>
    <definedName name="_V76" hidden="1">#NAME?</definedName>
    <definedName name="_W74" hidden="1">#NAME?</definedName>
    <definedName name="_W76" hidden="1">#NAME?</definedName>
    <definedName name="_X74" hidden="1">#NAME?</definedName>
    <definedName name="_X76" hidden="1">#NAME?</definedName>
    <definedName name="_Y74" hidden="1">#NAME?</definedName>
    <definedName name="_Y76" hidden="1">#NAME?</definedName>
    <definedName name="_Z74" hidden="1">#NAME?</definedName>
    <definedName name="_Z76" hidden="1">#NAME?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AS2DocOpenMode" hidden="1">"AS2DocumentEdit"</definedName>
    <definedName name="AS2NamedRange" hidden="1">3</definedName>
    <definedName name="Associates.F.1998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chargeoff" hidden="1">{"FTSE100","COMPANIES",TRUE}</definedName>
    <definedName name="CIQWBGuid" hidden="1">"a40bbe62-36c2-4aed-981f-f02b58ff5aa8"</definedName>
    <definedName name="cu102.ShareScalingFactor" hidden="1">1000000</definedName>
    <definedName name="cu103.EmployeeScalingFactor" hidden="1">1000</definedName>
    <definedName name="cu107.DPSSymbol" hidden="1">"€"</definedName>
    <definedName name="cu107.EPSSymbol" hidden="1">"€"</definedName>
    <definedName name="cu71.ScalingFactor" hidden="1">1000000</definedName>
    <definedName name="data_upload1" hidden="1">#REF!</definedName>
    <definedName name="dsaf" hidden="1">{"one",#N/A,FALSE,"cf";"two",#N/A,FALSE,"cf"}</definedName>
    <definedName name="Earnings.F.1997" hidden="1">#REF!</definedName>
    <definedName name="ef" hidden="1">{#N/A,#N/A,FALSE,"Aging Summary";#N/A,#N/A,FALSE,"Ratio Analysis";#N/A,#N/A,FALSE,"Test 120 Day Accts";#N/A,#N/A,FALSE,"Tickmarks"}</definedName>
    <definedName name="EPS.F.1998" hidden="1">#REF!</definedName>
    <definedName name="esnrc100c1_values" hidden="1">{"FTSE100","COMPANIES",TRUE}</definedName>
    <definedName name="esnrc33c1_values" hidden="1">{"EUMOT","COMPANIES",TRUE}</definedName>
    <definedName name="esnrc56c1_values" hidden="1">{"ASCONGRP","COMPANIES",TRUE}</definedName>
    <definedName name="esnrc63c1_values" hidden="1">{"EUUTIGRP","COMPANIES",TRUE}</definedName>
    <definedName name="esnrc91c1_values" hidden="1">{"EUUTI","COMPANIES",TRUE}</definedName>
    <definedName name="EV__LASTREFTIME__" hidden="1">39196.6721643519</definedName>
    <definedName name="g" hidden="1">#REF!</definedName>
    <definedName name="HTML_CodePage" hidden="1">1252</definedName>
    <definedName name="HTML_Control" hidden="1">{"'2.1'!$E$2:$O$37"}</definedName>
    <definedName name="HTML_Control_new" hidden="1">{"'Sheet1'!$A$1:$I$10","'Sheet1'!$A$1:$I$11"}</definedName>
    <definedName name="HTML_Control1" hidden="1">{"'Industry'!$A$1:$M$85","'Industry'!$I$20:$M$45"}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"G:\framemaker\PubHTML\worldcellular99\charts\2_1.htm"</definedName>
    <definedName name="HTML_Title" hidden="1">"Chapter 2"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mg_ML_1a1a3c1a" hidden="1">"IMG_25"</definedName>
    <definedName name="Img_ML_1a2b2b8h" hidden="1">"IMG_5"</definedName>
    <definedName name="Img_ML_1a3c4d1a" hidden="1">"IMG_26"</definedName>
    <definedName name="Img_ML_1a7g4d7g" hidden="1">"IMG_5"</definedName>
    <definedName name="Img_ML_1y7a6c1t" hidden="1">"IMG_10"</definedName>
    <definedName name="Img_ML_2b5e2b7g" hidden="1">"IMG_25"</definedName>
    <definedName name="Img_ML_2b5e6f5e" hidden="1">"IMG_5"</definedName>
    <definedName name="Img_ML_2b6f5e1a" hidden="1">"IMG_5"</definedName>
    <definedName name="Img_ML_2b9i6f3c" hidden="1">"IMG_25"</definedName>
    <definedName name="Img_ML_2b9i8h4d" hidden="1">"IMG_5"</definedName>
    <definedName name="Img_ML_2j4h5d5y" hidden="1">"IMG_11"</definedName>
    <definedName name="Img_ML_3b3j3x9k" hidden="1">"IMG_10"</definedName>
    <definedName name="Img_ML_3c4d1a4d" hidden="1">"IMG_5"</definedName>
    <definedName name="Img_ML_3c4d2b5e" hidden="1">"IMG_25"</definedName>
    <definedName name="Img_ML_3c7g1a7g" hidden="1">"IMG_5"</definedName>
    <definedName name="Img_ML_3c9i5e1a" hidden="1">"IMG_25"</definedName>
    <definedName name="Img_ML_3e2q4k7i" hidden="1">"IMG_10"</definedName>
    <definedName name="Img_ML_3h2n3p4v" hidden="1">"IMG_17"</definedName>
    <definedName name="Img_ML_3p5d9q5j" hidden="1">"IMG_55"</definedName>
    <definedName name="Img_ML_3s1w4i6p" hidden="1">"IMG_10"</definedName>
    <definedName name="Img_ML_3y1j4m2m" hidden="1">"IMG_55"</definedName>
    <definedName name="Img_ML_4d3c1a7g" hidden="1">"IMG_25"</definedName>
    <definedName name="Img_ML_4d4d2b7g" hidden="1">"IMG_5"</definedName>
    <definedName name="Img_ML_4d4d4d2b" hidden="1">"IMG_5"</definedName>
    <definedName name="Img_ML_4d7g8h3c" hidden="1">"IMG_5"</definedName>
    <definedName name="Img_ML_4m3p5r8j" hidden="1">"IMG_17"</definedName>
    <definedName name="Img_ML_5e1a9i4d" hidden="1">"IMG_5"</definedName>
    <definedName name="Img_ML_5e8h1a2b" hidden="1">"IMG_25"</definedName>
    <definedName name="Img_ML_5e8h5e2b" hidden="1">"IMG_25"</definedName>
    <definedName name="Img_ML_5h6q3g8u" hidden="1">"IMG_10"</definedName>
    <definedName name="Img_ML_5k1g6v5e" hidden="1">"IMG_18"</definedName>
    <definedName name="Img_ML_6f2p1m9g" hidden="1">"IMG_10"</definedName>
    <definedName name="Img_ML_6f9i2b6f" hidden="1">"IMG_5"</definedName>
    <definedName name="Img_ML_6j4v6x5i" hidden="1">"IMG_11"</definedName>
    <definedName name="Img_ML_6k7v5o9z" hidden="1">"IMG_10"</definedName>
    <definedName name="Img_ML_6r9u1n9k" hidden="1">"IMG_55"</definedName>
    <definedName name="Img_ML_6w6m7b7r" hidden="1">"IMG_18"</definedName>
    <definedName name="Img_ML_7g1a3c1a" hidden="1">"IMG_5"</definedName>
    <definedName name="Img_ML_7g5e5e2b" hidden="1">"IMG_4"</definedName>
    <definedName name="Img_ML_7g7g3c4d" hidden="1">"IMG_5"</definedName>
    <definedName name="Img_ML_7m5m4k3b" hidden="1">"IMG_17"</definedName>
    <definedName name="Img_ML_7n6h3t1t" hidden="1">"IMG_6"</definedName>
    <definedName name="Img_ML_8h1a6f9i" hidden="1">"IMG_25"</definedName>
    <definedName name="Img_ML_8h5e9i3c" hidden="1">"IMG_4"</definedName>
    <definedName name="Img_ML_8h7g3c9i" hidden="1">"IMG_3"</definedName>
    <definedName name="Img_ML_8h7g4d4d" hidden="1">"IMG_4"</definedName>
    <definedName name="Img_ML_8h8h1a1a" hidden="1">"IMG_5"</definedName>
    <definedName name="Img_ML_8h8h1a6f" hidden="1">"IMG_5"</definedName>
    <definedName name="Img_ML_8i9u7w8k" hidden="1">"IMG_18"</definedName>
    <definedName name="Img_ML_8j3w6p4c" hidden="1">"IMG_6"</definedName>
    <definedName name="Img_ML_8r1k8t4y" hidden="1">"IMG_6"</definedName>
    <definedName name="Img_ML_9i5e8h7g" hidden="1">"IMG_26"</definedName>
    <definedName name="Img_ML_9i6f5e3c" hidden="1">"IMG_5"</definedName>
    <definedName name="Img_ML_9i8h5e7g" hidden="1">"IMG_25"</definedName>
    <definedName name="Img_ML_9i9i4d2b" hidden="1">"IMG_26"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ASH_OPER_ACT_OR_EST" hidden="1">"c4164"</definedName>
    <definedName name="IQ_CCE_FDIC" hidden="1">"c6296"</definedName>
    <definedName name="IQ_CH" hidden="1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AINT_CAPEX_ACT_OR_EST" hidden="1">"c4458"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42450.610625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PENED55" hidden="1">1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C_WRITTEN" hidden="1">"c1027"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WEEK" hidden="1">"c1823"</definedName>
    <definedName name="IQ_PERCENT_CHANGE_EST_FFO_WEEK_CIQ" hidden="1">"c3795"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IQB_BOOKMARK_COUNT" hidden="1">1</definedName>
    <definedName name="IQRB60" hidden="1">"$B$61:$B$426"</definedName>
    <definedName name="IQRC35" hidden="1">"$C$36:$C$45"</definedName>
    <definedName name="IQRCoverAN35" hidden="1">#REF!</definedName>
    <definedName name="IQRPriceB4" hidden="1">#REF!</definedName>
    <definedName name="IQRPriceC4" hidden="1">#REF!</definedName>
    <definedName name="IQRPriceD4" hidden="1">#REF!</definedName>
    <definedName name="IQRPriceE4" hidden="1">#REF!</definedName>
    <definedName name="IQRPriceF4" hidden="1">#REF!</definedName>
    <definedName name="IQRPriceG4" hidden="1">#REF!</definedName>
    <definedName name="IQRTrailingPBD19" hidden="1">#REF!</definedName>
    <definedName name="iQShowHideColumns" hidden="1">"iQShowAnnual"</definedName>
    <definedName name="is">#REF!</definedName>
    <definedName name="limcount" hidden="1">1</definedName>
    <definedName name="NetIntIncome.F.1997" hidden="1">#REF!</definedName>
    <definedName name="new_name" hidden="1">{#N/A,#N/A,FALSE,"Aging Summary";#N/A,#N/A,FALSE,"Ratio Analysis";#N/A,#N/A,FALSE,"Test 120 Day Accts";#N/A,#N/A,FALSE,"Tickmarks"}</definedName>
    <definedName name="OtherExceptionals.F.1998" hidden="1">#REF!</definedName>
    <definedName name="sdfa" hidden="1">{"FTSE100","COMPANIES",TRUE}</definedName>
    <definedName name="sencount" hidden="1">5</definedName>
    <definedName name="sencount2" hidden="1">2</definedName>
    <definedName name="sh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49</definedName>
    <definedName name="Tax.F.1998" hidden="1">#REF!</definedName>
    <definedName name="test3" hidden="1">{"EUMOT","COMPANIES",TRUE}</definedName>
    <definedName name="test4" hidden="1">{"ASCONGRP","COMPANIES",TRUE}</definedName>
    <definedName name="test5" hidden="1">{"EUUTIGRP","COMPANIES",TRUE}</definedName>
    <definedName name="test6" hidden="1">{"EUUTI","COMPANIES",TRUE}</definedName>
    <definedName name="TotCosts.F.1998" hidden="1">#REF!</definedName>
    <definedName name="wrn.Aging._.and._.Trend._.Analysis." hidden="1">{#N/A,#N/A,FALSE,"Aging Summary";#N/A,#N/A,FALSE,"Ratio Analysis";#N/A,#N/A,FALSE,"Test 120 Day Accts";#N/A,#N/A,FALSE,"Tickmarks"}</definedName>
    <definedName name="wrn.cf." hidden="1">{"one",#N/A,FALSE,"cf";"two",#N/A,FALSE,"cf"}</definedName>
    <definedName name="wrn.euro." hidden="1">{#N/A,#N/A,FALSE,"Austria"}</definedName>
    <definedName name="x" hidden="1">#REF!</definedName>
    <definedName name="zz" hidden="1">{"'MObitel Pricing'!$B$2:$G$12","'MObitel Pricing'!$G$15"}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83" i="3" l="1"/>
  <c r="AE262" i="3"/>
  <c r="AA72" i="2"/>
  <c r="AB72" i="2"/>
  <c r="AB74" i="2" s="1"/>
  <c r="AC72" i="2"/>
  <c r="AC74" i="2" s="1"/>
  <c r="AD72" i="2"/>
  <c r="AE72" i="2"/>
  <c r="AE74" i="2"/>
  <c r="AA65" i="2"/>
  <c r="AB65" i="2"/>
  <c r="AC65" i="2"/>
  <c r="AD65" i="2"/>
  <c r="AE65" i="2"/>
  <c r="AD74" i="2"/>
  <c r="AA74" i="2"/>
  <c r="Z78" i="2"/>
  <c r="Z77" i="2"/>
  <c r="Z75" i="2"/>
  <c r="Z74" i="2"/>
  <c r="Z72" i="2"/>
  <c r="Z65" i="2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E170" i="1"/>
  <c r="AE168" i="1"/>
  <c r="AE166" i="1"/>
  <c r="AE165" i="1"/>
  <c r="AE164" i="1"/>
  <c r="AE163" i="1"/>
  <c r="AE162" i="1"/>
  <c r="AE161" i="1"/>
  <c r="AE160" i="1"/>
  <c r="AE157" i="1"/>
  <c r="AE156" i="1"/>
  <c r="AE155" i="1"/>
  <c r="AE154" i="1"/>
  <c r="AE153" i="1"/>
  <c r="AE152" i="1"/>
  <c r="AE151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23" i="1"/>
  <c r="AE169" i="1" s="1"/>
  <c r="AE112" i="1"/>
  <c r="AE158" i="1" s="1"/>
  <c r="AE103" i="1"/>
  <c r="AE148" i="1" s="1"/>
  <c r="AE79" i="1"/>
  <c r="AE68" i="1"/>
  <c r="AE62" i="1"/>
  <c r="AE44" i="1"/>
  <c r="AE55" i="1" s="1"/>
  <c r="AE14" i="1"/>
  <c r="AE8" i="1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Y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Y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C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M108" i="2"/>
  <c r="M110" i="2" s="1"/>
  <c r="L108" i="2"/>
  <c r="L110" i="2" s="1"/>
  <c r="K108" i="2"/>
  <c r="K110" i="2" s="1"/>
  <c r="J108" i="2"/>
  <c r="J110" i="2" s="1"/>
  <c r="J111" i="2" s="1"/>
  <c r="I108" i="2"/>
  <c r="I110" i="2" s="1"/>
  <c r="H108" i="2"/>
  <c r="H110" i="2" s="1"/>
  <c r="G108" i="2"/>
  <c r="G110" i="2" s="1"/>
  <c r="G111" i="2" s="1"/>
  <c r="F108" i="2"/>
  <c r="F110" i="2" s="1"/>
  <c r="E108" i="2"/>
  <c r="E110" i="2" s="1"/>
  <c r="D108" i="2"/>
  <c r="D110" i="2" s="1"/>
  <c r="C108" i="2"/>
  <c r="C110" i="2" s="1"/>
  <c r="B108" i="2"/>
  <c r="B110" i="2" s="1"/>
  <c r="B111" i="2" s="1"/>
  <c r="Y72" i="2"/>
  <c r="X72" i="2"/>
  <c r="W72" i="2"/>
  <c r="V72" i="2"/>
  <c r="U72" i="2"/>
  <c r="T72" i="2"/>
  <c r="S72" i="2"/>
  <c r="R72" i="2"/>
  <c r="Q72" i="2"/>
  <c r="P72" i="2"/>
  <c r="O72" i="2"/>
  <c r="O74" i="2" s="1"/>
  <c r="N72" i="2"/>
  <c r="N74" i="2" s="1"/>
  <c r="M72" i="2"/>
  <c r="L72" i="2"/>
  <c r="K72" i="2"/>
  <c r="J72" i="2"/>
  <c r="I72" i="2"/>
  <c r="H72" i="2"/>
  <c r="G72" i="2"/>
  <c r="F72" i="2"/>
  <c r="E72" i="2"/>
  <c r="D72" i="2"/>
  <c r="C72" i="2"/>
  <c r="B72" i="2"/>
  <c r="Y65" i="2"/>
  <c r="X65" i="2"/>
  <c r="X74" i="2" s="1"/>
  <c r="X77" i="2" s="1"/>
  <c r="X78" i="2" s="1"/>
  <c r="W65" i="2"/>
  <c r="W74" i="2" s="1"/>
  <c r="V65" i="2"/>
  <c r="U65" i="2"/>
  <c r="T65" i="2"/>
  <c r="S65" i="2"/>
  <c r="R65" i="2"/>
  <c r="R46" i="2" s="1"/>
  <c r="R74" i="2" s="1"/>
  <c r="Q65" i="2"/>
  <c r="P65" i="2"/>
  <c r="O65" i="2"/>
  <c r="N65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V46" i="2"/>
  <c r="V74" i="2" s="1"/>
  <c r="U46" i="2"/>
  <c r="U74" i="2" s="1"/>
  <c r="T46" i="2"/>
  <c r="T74" i="2" s="1"/>
  <c r="S46" i="2"/>
  <c r="S74" i="2" s="1"/>
  <c r="Q46" i="2"/>
  <c r="Q74" i="2" s="1"/>
  <c r="P46" i="2"/>
  <c r="P74" i="2" s="1"/>
  <c r="M46" i="2"/>
  <c r="M74" i="2" s="1"/>
  <c r="M75" i="2" s="1"/>
  <c r="L46" i="2"/>
  <c r="L74" i="2" s="1"/>
  <c r="K46" i="2"/>
  <c r="K74" i="2" s="1"/>
  <c r="J46" i="2"/>
  <c r="J74" i="2" s="1"/>
  <c r="I46" i="2"/>
  <c r="I74" i="2" s="1"/>
  <c r="H46" i="2"/>
  <c r="H74" i="2" s="1"/>
  <c r="H77" i="2" s="1"/>
  <c r="H78" i="2" s="1"/>
  <c r="G46" i="2"/>
  <c r="G74" i="2" s="1"/>
  <c r="F46" i="2"/>
  <c r="F74" i="2" s="1"/>
  <c r="E46" i="2"/>
  <c r="E74" i="2" s="1"/>
  <c r="E75" i="2" s="1"/>
  <c r="D46" i="2"/>
  <c r="D74" i="2" s="1"/>
  <c r="C46" i="2"/>
  <c r="C74" i="2" s="1"/>
  <c r="B46" i="2"/>
  <c r="B74" i="2" s="1"/>
  <c r="AA37" i="2"/>
  <c r="Z37" i="2"/>
  <c r="AA34" i="2"/>
  <c r="Z34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Y7" i="2"/>
  <c r="X7" i="2"/>
  <c r="X33" i="2" s="1"/>
  <c r="W7" i="2"/>
  <c r="W33" i="2" s="1"/>
  <c r="V7" i="2"/>
  <c r="V33" i="2" s="1"/>
  <c r="U7" i="2"/>
  <c r="U33" i="2" s="1"/>
  <c r="T7" i="2"/>
  <c r="T33" i="2" s="1"/>
  <c r="S7" i="2"/>
  <c r="S33" i="2" s="1"/>
  <c r="R7" i="2"/>
  <c r="R33" i="2" s="1"/>
  <c r="Q7" i="2"/>
  <c r="Q33" i="2" s="1"/>
  <c r="P7" i="2"/>
  <c r="P33" i="2" s="1"/>
  <c r="O7" i="2"/>
  <c r="O33" i="2" s="1"/>
  <c r="N7" i="2"/>
  <c r="N33" i="2" s="1"/>
  <c r="M7" i="2"/>
  <c r="M33" i="2" s="1"/>
  <c r="L7" i="2"/>
  <c r="L33" i="2" s="1"/>
  <c r="K7" i="2"/>
  <c r="K33" i="2" s="1"/>
  <c r="J7" i="2"/>
  <c r="J33" i="2" s="1"/>
  <c r="I7" i="2"/>
  <c r="I33" i="2" s="1"/>
  <c r="H7" i="2"/>
  <c r="H33" i="2" s="1"/>
  <c r="G7" i="2"/>
  <c r="G33" i="2" s="1"/>
  <c r="F7" i="2"/>
  <c r="F33" i="2" s="1"/>
  <c r="E7" i="2"/>
  <c r="E33" i="2" s="1"/>
  <c r="D7" i="2"/>
  <c r="D33" i="2" s="1"/>
  <c r="C7" i="2"/>
  <c r="C33" i="2" s="1"/>
  <c r="B7" i="2"/>
  <c r="B33" i="2" s="1"/>
  <c r="AD172" i="1"/>
  <c r="AE171" i="1" s="1"/>
  <c r="AE172" i="1" s="1"/>
  <c r="Z172" i="1"/>
  <c r="V172" i="1"/>
  <c r="R172" i="1"/>
  <c r="N172" i="1"/>
  <c r="J172" i="1"/>
  <c r="F172" i="1"/>
  <c r="B172" i="1"/>
  <c r="AD171" i="1"/>
  <c r="AA171" i="1"/>
  <c r="Z171" i="1"/>
  <c r="W171" i="1"/>
  <c r="V171" i="1"/>
  <c r="S171" i="1"/>
  <c r="R171" i="1"/>
  <c r="O171" i="1"/>
  <c r="N171" i="1"/>
  <c r="K171" i="1"/>
  <c r="J171" i="1"/>
  <c r="G171" i="1"/>
  <c r="F171" i="1"/>
  <c r="C171" i="1"/>
  <c r="B171" i="1"/>
  <c r="AD170" i="1"/>
  <c r="AC170" i="1"/>
  <c r="AB170" i="1"/>
  <c r="AA170" i="1"/>
  <c r="AA172" i="1" s="1"/>
  <c r="AB171" i="1" s="1"/>
  <c r="AB172" i="1" s="1"/>
  <c r="AC171" i="1" s="1"/>
  <c r="Z170" i="1"/>
  <c r="Y170" i="1"/>
  <c r="X170" i="1"/>
  <c r="W170" i="1"/>
  <c r="W172" i="1" s="1"/>
  <c r="X171" i="1" s="1"/>
  <c r="V170" i="1"/>
  <c r="U170" i="1"/>
  <c r="T170" i="1"/>
  <c r="S170" i="1"/>
  <c r="S172" i="1" s="1"/>
  <c r="T171" i="1" s="1"/>
  <c r="T172" i="1" s="1"/>
  <c r="U171" i="1" s="1"/>
  <c r="R170" i="1"/>
  <c r="Q170" i="1"/>
  <c r="P170" i="1"/>
  <c r="O170" i="1"/>
  <c r="O172" i="1" s="1"/>
  <c r="P171" i="1" s="1"/>
  <c r="N170" i="1"/>
  <c r="M170" i="1"/>
  <c r="L170" i="1"/>
  <c r="K170" i="1"/>
  <c r="K172" i="1" s="1"/>
  <c r="L171" i="1" s="1"/>
  <c r="L172" i="1" s="1"/>
  <c r="M171" i="1" s="1"/>
  <c r="J170" i="1"/>
  <c r="I170" i="1"/>
  <c r="H170" i="1"/>
  <c r="G170" i="1"/>
  <c r="G172" i="1" s="1"/>
  <c r="H171" i="1" s="1"/>
  <c r="F170" i="1"/>
  <c r="E170" i="1"/>
  <c r="D170" i="1"/>
  <c r="C170" i="1"/>
  <c r="C172" i="1" s="1"/>
  <c r="D171" i="1" s="1"/>
  <c r="D172" i="1" s="1"/>
  <c r="E171" i="1" s="1"/>
  <c r="B170" i="1"/>
  <c r="AD169" i="1"/>
  <c r="AB169" i="1"/>
  <c r="AA169" i="1"/>
  <c r="Z169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D158" i="1"/>
  <c r="AB158" i="1"/>
  <c r="AA158" i="1"/>
  <c r="Z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D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D147" i="1"/>
  <c r="AC147" i="1"/>
  <c r="AB147" i="1"/>
  <c r="AA147" i="1"/>
  <c r="Z147" i="1"/>
  <c r="Y147" i="1"/>
  <c r="X147" i="1"/>
  <c r="W147" i="1"/>
  <c r="V147" i="1"/>
  <c r="T147" i="1"/>
  <c r="S147" i="1"/>
  <c r="R147" i="1"/>
  <c r="P147" i="1"/>
  <c r="O147" i="1"/>
  <c r="N147" i="1"/>
  <c r="L147" i="1"/>
  <c r="K147" i="1"/>
  <c r="J147" i="1"/>
  <c r="H147" i="1"/>
  <c r="G147" i="1"/>
  <c r="F147" i="1"/>
  <c r="D147" i="1"/>
  <c r="C147" i="1"/>
  <c r="B147" i="1"/>
  <c r="AD146" i="1"/>
  <c r="AC146" i="1"/>
  <c r="AB146" i="1"/>
  <c r="AA146" i="1"/>
  <c r="Z146" i="1"/>
  <c r="Y146" i="1"/>
  <c r="X146" i="1"/>
  <c r="W146" i="1"/>
  <c r="V146" i="1"/>
  <c r="T146" i="1"/>
  <c r="S146" i="1"/>
  <c r="R146" i="1"/>
  <c r="P146" i="1"/>
  <c r="O146" i="1"/>
  <c r="N146" i="1"/>
  <c r="L146" i="1"/>
  <c r="K146" i="1"/>
  <c r="J146" i="1"/>
  <c r="H146" i="1"/>
  <c r="G146" i="1"/>
  <c r="F146" i="1"/>
  <c r="D146" i="1"/>
  <c r="C146" i="1"/>
  <c r="B146" i="1"/>
  <c r="AD145" i="1"/>
  <c r="AC145" i="1"/>
  <c r="AB145" i="1"/>
  <c r="AA145" i="1"/>
  <c r="Z145" i="1"/>
  <c r="Y145" i="1"/>
  <c r="X145" i="1"/>
  <c r="W145" i="1"/>
  <c r="V145" i="1"/>
  <c r="T145" i="1"/>
  <c r="S145" i="1"/>
  <c r="R145" i="1"/>
  <c r="P145" i="1"/>
  <c r="O145" i="1"/>
  <c r="N145" i="1"/>
  <c r="L145" i="1"/>
  <c r="K145" i="1"/>
  <c r="J145" i="1"/>
  <c r="H145" i="1"/>
  <c r="G145" i="1"/>
  <c r="F145" i="1"/>
  <c r="D145" i="1"/>
  <c r="C145" i="1"/>
  <c r="B145" i="1"/>
  <c r="AD144" i="1"/>
  <c r="AC144" i="1"/>
  <c r="AB144" i="1"/>
  <c r="AA144" i="1"/>
  <c r="Z144" i="1"/>
  <c r="Y144" i="1"/>
  <c r="X144" i="1"/>
  <c r="W144" i="1"/>
  <c r="V144" i="1"/>
  <c r="T144" i="1"/>
  <c r="S144" i="1"/>
  <c r="R144" i="1"/>
  <c r="P144" i="1"/>
  <c r="O144" i="1"/>
  <c r="N144" i="1"/>
  <c r="L144" i="1"/>
  <c r="K144" i="1"/>
  <c r="J144" i="1"/>
  <c r="H144" i="1"/>
  <c r="G144" i="1"/>
  <c r="F144" i="1"/>
  <c r="D144" i="1"/>
  <c r="C144" i="1"/>
  <c r="B144" i="1"/>
  <c r="AD143" i="1"/>
  <c r="AC143" i="1"/>
  <c r="AB143" i="1"/>
  <c r="AA143" i="1"/>
  <c r="Z143" i="1"/>
  <c r="Y143" i="1"/>
  <c r="X143" i="1"/>
  <c r="W143" i="1"/>
  <c r="V143" i="1"/>
  <c r="T143" i="1"/>
  <c r="S143" i="1"/>
  <c r="R143" i="1"/>
  <c r="P143" i="1"/>
  <c r="O143" i="1"/>
  <c r="N143" i="1"/>
  <c r="L143" i="1"/>
  <c r="K143" i="1"/>
  <c r="J143" i="1"/>
  <c r="H143" i="1"/>
  <c r="G143" i="1"/>
  <c r="F143" i="1"/>
  <c r="D143" i="1"/>
  <c r="C143" i="1"/>
  <c r="B143" i="1"/>
  <c r="AD142" i="1"/>
  <c r="AC142" i="1"/>
  <c r="AB142" i="1"/>
  <c r="AA142" i="1"/>
  <c r="Z142" i="1"/>
  <c r="Y142" i="1"/>
  <c r="X142" i="1"/>
  <c r="W142" i="1"/>
  <c r="V142" i="1"/>
  <c r="T142" i="1"/>
  <c r="S142" i="1"/>
  <c r="R142" i="1"/>
  <c r="P142" i="1"/>
  <c r="O142" i="1"/>
  <c r="N142" i="1"/>
  <c r="L142" i="1"/>
  <c r="K142" i="1"/>
  <c r="J142" i="1"/>
  <c r="H142" i="1"/>
  <c r="G142" i="1"/>
  <c r="F142" i="1"/>
  <c r="D142" i="1"/>
  <c r="C142" i="1"/>
  <c r="B142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D131" i="1"/>
  <c r="AD173" i="1" s="1"/>
  <c r="AC131" i="1"/>
  <c r="AB131" i="1"/>
  <c r="AB173" i="1" s="1"/>
  <c r="AA131" i="1"/>
  <c r="AA173" i="1" s="1"/>
  <c r="Z131" i="1"/>
  <c r="Z173" i="1" s="1"/>
  <c r="Y131" i="1"/>
  <c r="Y173" i="1" s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N126" i="1"/>
  <c r="AN172" i="1" s="1"/>
  <c r="AM126" i="1"/>
  <c r="AM172" i="1" s="1"/>
  <c r="AN125" i="1"/>
  <c r="AN171" i="1" s="1"/>
  <c r="AM125" i="1"/>
  <c r="AM171" i="1" s="1"/>
  <c r="AN124" i="1"/>
  <c r="AN170" i="1" s="1"/>
  <c r="AM124" i="1"/>
  <c r="AM170" i="1" s="1"/>
  <c r="AL123" i="1"/>
  <c r="AK123" i="1"/>
  <c r="AJ123" i="1"/>
  <c r="AI123" i="1"/>
  <c r="AH123" i="1"/>
  <c r="AG123" i="1"/>
  <c r="AC123" i="1"/>
  <c r="AC169" i="1" s="1"/>
  <c r="X123" i="1"/>
  <c r="Y169" i="1" s="1"/>
  <c r="W123" i="1"/>
  <c r="W169" i="1" s="1"/>
  <c r="V123" i="1"/>
  <c r="V169" i="1" s="1"/>
  <c r="U123" i="1"/>
  <c r="T123" i="1"/>
  <c r="S123" i="1"/>
  <c r="R123" i="1"/>
  <c r="R169" i="1" s="1"/>
  <c r="Q123" i="1"/>
  <c r="P123" i="1"/>
  <c r="O123" i="1"/>
  <c r="N123" i="1"/>
  <c r="N169" i="1" s="1"/>
  <c r="M123" i="1"/>
  <c r="L123" i="1"/>
  <c r="K123" i="1"/>
  <c r="J123" i="1"/>
  <c r="J169" i="1" s="1"/>
  <c r="I123" i="1"/>
  <c r="H123" i="1"/>
  <c r="G123" i="1"/>
  <c r="F123" i="1"/>
  <c r="F169" i="1" s="1"/>
  <c r="E123" i="1"/>
  <c r="D123" i="1"/>
  <c r="C123" i="1"/>
  <c r="B123" i="1"/>
  <c r="B169" i="1" s="1"/>
  <c r="AN122" i="1"/>
  <c r="AN168" i="1" s="1"/>
  <c r="AM122" i="1"/>
  <c r="AM168" i="1" s="1"/>
  <c r="AN120" i="1"/>
  <c r="AN166" i="1" s="1"/>
  <c r="AM120" i="1"/>
  <c r="AM166" i="1" s="1"/>
  <c r="AN119" i="1"/>
  <c r="AN165" i="1" s="1"/>
  <c r="AM119" i="1"/>
  <c r="AM165" i="1" s="1"/>
  <c r="AN118" i="1"/>
  <c r="AN164" i="1" s="1"/>
  <c r="AM118" i="1"/>
  <c r="AM164" i="1" s="1"/>
  <c r="AN117" i="1"/>
  <c r="AN163" i="1" s="1"/>
  <c r="AM117" i="1"/>
  <c r="AM163" i="1" s="1"/>
  <c r="AN116" i="1"/>
  <c r="AN162" i="1" s="1"/>
  <c r="AM116" i="1"/>
  <c r="AM162" i="1" s="1"/>
  <c r="AN115" i="1"/>
  <c r="AN161" i="1" s="1"/>
  <c r="AM115" i="1"/>
  <c r="AN114" i="1"/>
  <c r="AN113" i="1"/>
  <c r="AM112" i="1"/>
  <c r="AM158" i="1" s="1"/>
  <c r="AC112" i="1"/>
  <c r="X112" i="1"/>
  <c r="Y158" i="1" s="1"/>
  <c r="W112" i="1"/>
  <c r="V112" i="1"/>
  <c r="V158" i="1" s="1"/>
  <c r="U112" i="1"/>
  <c r="U158" i="1" s="1"/>
  <c r="AN111" i="1"/>
  <c r="AN157" i="1" s="1"/>
  <c r="AM111" i="1"/>
  <c r="AM157" i="1" s="1"/>
  <c r="AN110" i="1"/>
  <c r="AN156" i="1" s="1"/>
  <c r="AM110" i="1"/>
  <c r="AM156" i="1" s="1"/>
  <c r="AN109" i="1"/>
  <c r="AN155" i="1" s="1"/>
  <c r="AM109" i="1"/>
  <c r="AM155" i="1" s="1"/>
  <c r="AN108" i="1"/>
  <c r="AN154" i="1" s="1"/>
  <c r="AM108" i="1"/>
  <c r="AM154" i="1" s="1"/>
  <c r="AN107" i="1"/>
  <c r="AN153" i="1" s="1"/>
  <c r="AM107" i="1"/>
  <c r="AM153" i="1" s="1"/>
  <c r="AN106" i="1"/>
  <c r="AN152" i="1" s="1"/>
  <c r="AM106" i="1"/>
  <c r="AM152" i="1" s="1"/>
  <c r="AN105" i="1"/>
  <c r="AN104" i="1"/>
  <c r="AM103" i="1"/>
  <c r="AM148" i="1" s="1"/>
  <c r="AC103" i="1"/>
  <c r="AN103" i="1" s="1"/>
  <c r="AN148" i="1" s="1"/>
  <c r="AN102" i="1"/>
  <c r="AN147" i="1" s="1"/>
  <c r="AM102" i="1"/>
  <c r="AM147" i="1" s="1"/>
  <c r="AN101" i="1"/>
  <c r="AN100" i="1"/>
  <c r="AN99" i="1"/>
  <c r="AN145" i="1" s="1"/>
  <c r="AM99" i="1"/>
  <c r="AM145" i="1" s="1"/>
  <c r="AN98" i="1"/>
  <c r="AN144" i="1" s="1"/>
  <c r="AM98" i="1"/>
  <c r="AM144" i="1" s="1"/>
  <c r="AN97" i="1"/>
  <c r="AN143" i="1" s="1"/>
  <c r="AM97" i="1"/>
  <c r="AM143" i="1" s="1"/>
  <c r="AN96" i="1"/>
  <c r="AN142" i="1" s="1"/>
  <c r="AM96" i="1"/>
  <c r="AM142" i="1" s="1"/>
  <c r="AN95" i="1"/>
  <c r="AN94" i="1"/>
  <c r="AN139" i="1" s="1"/>
  <c r="AM94" i="1"/>
  <c r="AM139" i="1" s="1"/>
  <c r="AN93" i="1"/>
  <c r="AN92" i="1"/>
  <c r="AN137" i="1" s="1"/>
  <c r="AM92" i="1"/>
  <c r="AM137" i="1" s="1"/>
  <c r="AN91" i="1"/>
  <c r="AN136" i="1" s="1"/>
  <c r="AM91" i="1"/>
  <c r="AM136" i="1" s="1"/>
  <c r="AN90" i="1"/>
  <c r="AN135" i="1" s="1"/>
  <c r="AM90" i="1"/>
  <c r="AM135" i="1" s="1"/>
  <c r="AN89" i="1"/>
  <c r="AN134" i="1" s="1"/>
  <c r="AM89" i="1"/>
  <c r="AM134" i="1" s="1"/>
  <c r="AN88" i="1"/>
  <c r="AN133" i="1" s="1"/>
  <c r="AM88" i="1"/>
  <c r="AM133" i="1" s="1"/>
  <c r="AN87" i="1"/>
  <c r="AN86" i="1"/>
  <c r="AN131" i="1" s="1"/>
  <c r="AM86" i="1"/>
  <c r="AM131" i="1" s="1"/>
  <c r="AD81" i="1"/>
  <c r="AB81" i="1"/>
  <c r="AA81" i="1"/>
  <c r="Z81" i="1"/>
  <c r="Y81" i="1"/>
  <c r="X81" i="1"/>
  <c r="W80" i="1"/>
  <c r="W81" i="1" s="1"/>
  <c r="V80" i="1"/>
  <c r="V81" i="1" s="1"/>
  <c r="AL79" i="1"/>
  <c r="AK79" i="1"/>
  <c r="AJ79" i="1"/>
  <c r="AI79" i="1"/>
  <c r="AH79" i="1"/>
  <c r="AC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AN78" i="1"/>
  <c r="AM78" i="1"/>
  <c r="U78" i="1"/>
  <c r="AN77" i="1"/>
  <c r="AM77" i="1"/>
  <c r="U77" i="1"/>
  <c r="AN76" i="1"/>
  <c r="AM76" i="1"/>
  <c r="U76" i="1"/>
  <c r="AN75" i="1"/>
  <c r="AM75" i="1"/>
  <c r="U75" i="1"/>
  <c r="AN74" i="1"/>
  <c r="AM74" i="1"/>
  <c r="U74" i="1"/>
  <c r="AN73" i="1"/>
  <c r="AM73" i="1"/>
  <c r="U73" i="1"/>
  <c r="AN72" i="1"/>
  <c r="AM72" i="1"/>
  <c r="U72" i="1"/>
  <c r="AN71" i="1"/>
  <c r="AL68" i="1"/>
  <c r="AK68" i="1"/>
  <c r="AJ68" i="1"/>
  <c r="AI68" i="1"/>
  <c r="AH68" i="1"/>
  <c r="AC68" i="1"/>
  <c r="AN68" i="1" s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AN67" i="1"/>
  <c r="AM67" i="1"/>
  <c r="U67" i="1"/>
  <c r="AN66" i="1"/>
  <c r="AM66" i="1"/>
  <c r="U66" i="1"/>
  <c r="AN65" i="1"/>
  <c r="AM65" i="1"/>
  <c r="U65" i="1"/>
  <c r="AN64" i="1"/>
  <c r="AM64" i="1"/>
  <c r="U64" i="1"/>
  <c r="AN63" i="1"/>
  <c r="AM63" i="1"/>
  <c r="U63" i="1"/>
  <c r="AL62" i="1"/>
  <c r="AK62" i="1"/>
  <c r="AJ62" i="1"/>
  <c r="AI62" i="1"/>
  <c r="AI80" i="1" s="1"/>
  <c r="AH62" i="1"/>
  <c r="AC62" i="1"/>
  <c r="AN62" i="1" s="1"/>
  <c r="U62" i="1"/>
  <c r="T62" i="1"/>
  <c r="S62" i="1"/>
  <c r="R62" i="1"/>
  <c r="Q62" i="1"/>
  <c r="P62" i="1"/>
  <c r="O62" i="1"/>
  <c r="N62" i="1"/>
  <c r="M62" i="1"/>
  <c r="M80" i="1" s="1"/>
  <c r="M81" i="1" s="1"/>
  <c r="L62" i="1"/>
  <c r="K62" i="1"/>
  <c r="J62" i="1"/>
  <c r="I62" i="1"/>
  <c r="H62" i="1"/>
  <c r="G62" i="1"/>
  <c r="F62" i="1"/>
  <c r="E62" i="1"/>
  <c r="E80" i="1" s="1"/>
  <c r="E81" i="1" s="1"/>
  <c r="D62" i="1"/>
  <c r="AN61" i="1"/>
  <c r="AM61" i="1"/>
  <c r="U61" i="1"/>
  <c r="AN60" i="1"/>
  <c r="AM60" i="1"/>
  <c r="U60" i="1"/>
  <c r="AN59" i="1"/>
  <c r="AM59" i="1"/>
  <c r="U59" i="1"/>
  <c r="AN58" i="1"/>
  <c r="AM58" i="1"/>
  <c r="AM62" i="1" s="1"/>
  <c r="U58" i="1"/>
  <c r="AN54" i="1"/>
  <c r="AM54" i="1"/>
  <c r="U54" i="1"/>
  <c r="AN53" i="1"/>
  <c r="AM53" i="1"/>
  <c r="U53" i="1"/>
  <c r="AN52" i="1"/>
  <c r="AM52" i="1"/>
  <c r="U52" i="1"/>
  <c r="AN51" i="1"/>
  <c r="AM51" i="1"/>
  <c r="U51" i="1"/>
  <c r="U50" i="1"/>
  <c r="AN49" i="1"/>
  <c r="AM49" i="1"/>
  <c r="U49" i="1"/>
  <c r="AN48" i="1"/>
  <c r="AM48" i="1"/>
  <c r="U48" i="1"/>
  <c r="AN47" i="1"/>
  <c r="AM47" i="1"/>
  <c r="U47" i="1"/>
  <c r="AN46" i="1"/>
  <c r="AM46" i="1"/>
  <c r="U46" i="1"/>
  <c r="AN45" i="1"/>
  <c r="AM45" i="1"/>
  <c r="U45" i="1"/>
  <c r="AL44" i="1"/>
  <c r="AK44" i="1"/>
  <c r="AK55" i="1" s="1"/>
  <c r="AJ44" i="1"/>
  <c r="AJ55" i="1" s="1"/>
  <c r="AI44" i="1"/>
  <c r="AI55" i="1" s="1"/>
  <c r="AH44" i="1"/>
  <c r="AH55" i="1" s="1"/>
  <c r="AC44" i="1"/>
  <c r="AN43" i="1"/>
  <c r="AM43" i="1"/>
  <c r="U43" i="1"/>
  <c r="AN42" i="1"/>
  <c r="AM42" i="1"/>
  <c r="U42" i="1"/>
  <c r="AN41" i="1"/>
  <c r="AM41" i="1"/>
  <c r="U41" i="1"/>
  <c r="U40" i="1"/>
  <c r="AN39" i="1"/>
  <c r="AM39" i="1"/>
  <c r="U39" i="1"/>
  <c r="AN38" i="1"/>
  <c r="AM38" i="1"/>
  <c r="U38" i="1"/>
  <c r="AN37" i="1"/>
  <c r="AM37" i="1"/>
  <c r="U37" i="1"/>
  <c r="AN24" i="1"/>
  <c r="AN23" i="1"/>
  <c r="AM23" i="1"/>
  <c r="U23" i="1"/>
  <c r="Q23" i="1"/>
  <c r="M23" i="1"/>
  <c r="I23" i="1"/>
  <c r="E23" i="1"/>
  <c r="AN21" i="1"/>
  <c r="AM21" i="1"/>
  <c r="U21" i="1"/>
  <c r="Q21" i="1"/>
  <c r="M21" i="1"/>
  <c r="I21" i="1"/>
  <c r="E21" i="1"/>
  <c r="X20" i="1"/>
  <c r="X22" i="1" s="1"/>
  <c r="X24" i="1" s="1"/>
  <c r="AM24" i="1" s="1"/>
  <c r="W20" i="1"/>
  <c r="W22" i="1" s="1"/>
  <c r="W24" i="1" s="1"/>
  <c r="V20" i="1"/>
  <c r="V22" i="1" s="1"/>
  <c r="V24" i="1" s="1"/>
  <c r="AN19" i="1"/>
  <c r="AM19" i="1"/>
  <c r="U19" i="1"/>
  <c r="Q19" i="1"/>
  <c r="M19" i="1"/>
  <c r="I19" i="1"/>
  <c r="E19" i="1"/>
  <c r="AN18" i="1"/>
  <c r="AM18" i="1"/>
  <c r="U18" i="1"/>
  <c r="Q18" i="1"/>
  <c r="M18" i="1"/>
  <c r="I18" i="1"/>
  <c r="E18" i="1"/>
  <c r="AN17" i="1"/>
  <c r="AM17" i="1"/>
  <c r="U17" i="1"/>
  <c r="Q17" i="1"/>
  <c r="M17" i="1"/>
  <c r="I17" i="1"/>
  <c r="E17" i="1"/>
  <c r="AM16" i="1"/>
  <c r="AL14" i="1"/>
  <c r="AK14" i="1"/>
  <c r="AJ14" i="1"/>
  <c r="AI14" i="1"/>
  <c r="AH14" i="1"/>
  <c r="AG14" i="1"/>
  <c r="AC14" i="1"/>
  <c r="AN14" i="1" s="1"/>
  <c r="X14" i="1"/>
  <c r="W14" i="1"/>
  <c r="V14" i="1"/>
  <c r="T14" i="1"/>
  <c r="S14" i="1"/>
  <c r="R14" i="1"/>
  <c r="P14" i="1"/>
  <c r="O14" i="1"/>
  <c r="N14" i="1"/>
  <c r="L14" i="1"/>
  <c r="K14" i="1"/>
  <c r="J14" i="1"/>
  <c r="H14" i="1"/>
  <c r="G14" i="1"/>
  <c r="F14" i="1"/>
  <c r="D14" i="1"/>
  <c r="C14" i="1"/>
  <c r="B14" i="1"/>
  <c r="AN13" i="1"/>
  <c r="AM13" i="1"/>
  <c r="U13" i="1"/>
  <c r="AN12" i="1"/>
  <c r="AM12" i="1"/>
  <c r="U12" i="1"/>
  <c r="Q12" i="1"/>
  <c r="M12" i="1"/>
  <c r="I12" i="1"/>
  <c r="E12" i="1"/>
  <c r="AN11" i="1"/>
  <c r="AM11" i="1"/>
  <c r="U11" i="1"/>
  <c r="Q11" i="1"/>
  <c r="M11" i="1"/>
  <c r="I11" i="1"/>
  <c r="E11" i="1"/>
  <c r="AN10" i="1"/>
  <c r="AM10" i="1"/>
  <c r="U10" i="1"/>
  <c r="Q10" i="1"/>
  <c r="M10" i="1"/>
  <c r="I10" i="1"/>
  <c r="E10" i="1"/>
  <c r="AN9" i="1"/>
  <c r="AM9" i="1"/>
  <c r="AM14" i="1" s="1"/>
  <c r="U9" i="1"/>
  <c r="Q9" i="1"/>
  <c r="M9" i="1"/>
  <c r="I9" i="1"/>
  <c r="E9" i="1"/>
  <c r="E14" i="1" s="1"/>
  <c r="AL8" i="1"/>
  <c r="AL105" i="1" s="1"/>
  <c r="AK8" i="1"/>
  <c r="AK105" i="1" s="1"/>
  <c r="AJ8" i="1"/>
  <c r="AI8" i="1"/>
  <c r="AH8" i="1"/>
  <c r="AH16" i="1" s="1"/>
  <c r="AG8" i="1"/>
  <c r="AC8" i="1"/>
  <c r="V8" i="1"/>
  <c r="T8" i="1"/>
  <c r="T16" i="1" s="1"/>
  <c r="T20" i="1" s="1"/>
  <c r="T22" i="1" s="1"/>
  <c r="T24" i="1" s="1"/>
  <c r="S8" i="1"/>
  <c r="S16" i="1" s="1"/>
  <c r="S20" i="1" s="1"/>
  <c r="S22" i="1" s="1"/>
  <c r="S24" i="1" s="1"/>
  <c r="R8" i="1"/>
  <c r="R16" i="1" s="1"/>
  <c r="R20" i="1" s="1"/>
  <c r="R22" i="1" s="1"/>
  <c r="P8" i="1"/>
  <c r="P16" i="1" s="1"/>
  <c r="P20" i="1" s="1"/>
  <c r="P22" i="1" s="1"/>
  <c r="P24" i="1" s="1"/>
  <c r="O8" i="1"/>
  <c r="O16" i="1" s="1"/>
  <c r="O20" i="1" s="1"/>
  <c r="O22" i="1" s="1"/>
  <c r="O24" i="1" s="1"/>
  <c r="N8" i="1"/>
  <c r="L8" i="1"/>
  <c r="L16" i="1" s="1"/>
  <c r="L20" i="1" s="1"/>
  <c r="L22" i="1" s="1"/>
  <c r="L24" i="1" s="1"/>
  <c r="K8" i="1"/>
  <c r="K16" i="1" s="1"/>
  <c r="K20" i="1" s="1"/>
  <c r="K22" i="1" s="1"/>
  <c r="K24" i="1" s="1"/>
  <c r="J8" i="1"/>
  <c r="J16" i="1" s="1"/>
  <c r="J20" i="1" s="1"/>
  <c r="J22" i="1" s="1"/>
  <c r="H8" i="1"/>
  <c r="H16" i="1" s="1"/>
  <c r="H20" i="1" s="1"/>
  <c r="H22" i="1" s="1"/>
  <c r="H24" i="1" s="1"/>
  <c r="G8" i="1"/>
  <c r="G16" i="1" s="1"/>
  <c r="G20" i="1" s="1"/>
  <c r="G22" i="1" s="1"/>
  <c r="G24" i="1" s="1"/>
  <c r="F8" i="1"/>
  <c r="D8" i="1"/>
  <c r="D16" i="1" s="1"/>
  <c r="D20" i="1" s="1"/>
  <c r="D22" i="1" s="1"/>
  <c r="D24" i="1" s="1"/>
  <c r="C8" i="1"/>
  <c r="B8" i="1"/>
  <c r="B16" i="1" s="1"/>
  <c r="B20" i="1" s="1"/>
  <c r="B22" i="1" s="1"/>
  <c r="AN7" i="1"/>
  <c r="AM7" i="1"/>
  <c r="U7" i="1"/>
  <c r="Q7" i="1"/>
  <c r="M7" i="1"/>
  <c r="I7" i="1"/>
  <c r="E7" i="1"/>
  <c r="AN6" i="1"/>
  <c r="AM6" i="1"/>
  <c r="AM8" i="1" s="1"/>
  <c r="AM105" i="1" s="1"/>
  <c r="U6" i="1"/>
  <c r="U8" i="1" s="1"/>
  <c r="Q6" i="1"/>
  <c r="Q8" i="1" s="1"/>
  <c r="M6" i="1"/>
  <c r="M8" i="1" s="1"/>
  <c r="I6" i="1"/>
  <c r="I8" i="1" s="1"/>
  <c r="E6" i="1"/>
  <c r="E8" i="1" s="1"/>
  <c r="AH5" i="1"/>
  <c r="AI5" i="1" s="1"/>
  <c r="AJ5" i="1" s="1"/>
  <c r="AK5" i="1" s="1"/>
  <c r="R5" i="1"/>
  <c r="N5" i="1"/>
  <c r="J5" i="1"/>
  <c r="F5" i="1"/>
  <c r="B5" i="1"/>
  <c r="S3" i="1"/>
  <c r="O3" i="1"/>
  <c r="K3" i="1"/>
  <c r="G3" i="1"/>
  <c r="C3" i="1"/>
  <c r="AH2" i="1"/>
  <c r="AI2" i="1" s="1"/>
  <c r="AJ2" i="1" s="1"/>
  <c r="AK2" i="1" s="1"/>
  <c r="AE77" i="2" l="1"/>
  <c r="AE78" i="2" s="1"/>
  <c r="AE75" i="2"/>
  <c r="AD77" i="2"/>
  <c r="AD78" i="2" s="1"/>
  <c r="AD75" i="2"/>
  <c r="AC77" i="2"/>
  <c r="AC78" i="2" s="1"/>
  <c r="AC75" i="2"/>
  <c r="AB75" i="2"/>
  <c r="AB77" i="2"/>
  <c r="AB78" i="2" s="1"/>
  <c r="AA77" i="2"/>
  <c r="AA78" i="2" s="1"/>
  <c r="AA75" i="2"/>
  <c r="Y78" i="2"/>
  <c r="Y75" i="2"/>
  <c r="Y37" i="2"/>
  <c r="Y34" i="2"/>
  <c r="AE16" i="1"/>
  <c r="AE20" i="1" s="1"/>
  <c r="AE22" i="1" s="1"/>
  <c r="AE173" i="1" s="1"/>
  <c r="V173" i="1"/>
  <c r="U169" i="1"/>
  <c r="T169" i="1"/>
  <c r="S169" i="1"/>
  <c r="Q169" i="1"/>
  <c r="P169" i="1"/>
  <c r="M169" i="1"/>
  <c r="K169" i="1"/>
  <c r="I169" i="1"/>
  <c r="H169" i="1"/>
  <c r="G169" i="1"/>
  <c r="C169" i="1"/>
  <c r="W158" i="1"/>
  <c r="R80" i="1"/>
  <c r="R81" i="1" s="1"/>
  <c r="J80" i="1"/>
  <c r="J81" i="1" s="1"/>
  <c r="U44" i="1"/>
  <c r="AL55" i="1"/>
  <c r="AN44" i="1"/>
  <c r="AC55" i="1"/>
  <c r="T3" i="1"/>
  <c r="S5" i="1"/>
  <c r="D3" i="1"/>
  <c r="C5" i="1"/>
  <c r="AC80" i="1"/>
  <c r="AN80" i="1" s="1"/>
  <c r="N80" i="1"/>
  <c r="N81" i="1" s="1"/>
  <c r="F80" i="1"/>
  <c r="F81" i="1" s="1"/>
  <c r="AM68" i="1"/>
  <c r="X169" i="1"/>
  <c r="O169" i="1"/>
  <c r="E169" i="1"/>
  <c r="S80" i="1"/>
  <c r="S81" i="1" s="1"/>
  <c r="I80" i="1"/>
  <c r="I81" i="1" s="1"/>
  <c r="AM79" i="1"/>
  <c r="AM80" i="1" s="1"/>
  <c r="U172" i="1"/>
  <c r="AJ80" i="1"/>
  <c r="AJ81" i="1" s="1"/>
  <c r="AK80" i="1"/>
  <c r="AK81" i="1" s="1"/>
  <c r="Q80" i="1"/>
  <c r="Q81" i="1" s="1"/>
  <c r="K80" i="1"/>
  <c r="K81" i="1" s="1"/>
  <c r="L169" i="1"/>
  <c r="AH80" i="1"/>
  <c r="AH81" i="1" s="1"/>
  <c r="D169" i="1"/>
  <c r="AK16" i="1"/>
  <c r="AK20" i="1" s="1"/>
  <c r="AK22" i="1" s="1"/>
  <c r="N16" i="1"/>
  <c r="N20" i="1" s="1"/>
  <c r="N22" i="1" s="1"/>
  <c r="F16" i="1"/>
  <c r="F20" i="1" s="1"/>
  <c r="F22" i="1" s="1"/>
  <c r="C16" i="1"/>
  <c r="C20" i="1" s="1"/>
  <c r="C22" i="1" s="1"/>
  <c r="AM123" i="1"/>
  <c r="AM169" i="1" s="1"/>
  <c r="AM161" i="1"/>
  <c r="AC158" i="1"/>
  <c r="AN112" i="1"/>
  <c r="AN158" i="1" s="1"/>
  <c r="U79" i="1"/>
  <c r="U80" i="1" s="1"/>
  <c r="AL80" i="1"/>
  <c r="AI16" i="1"/>
  <c r="AI20" i="1" s="1"/>
  <c r="AI22" i="1" s="1"/>
  <c r="AI105" i="1"/>
  <c r="AN8" i="1"/>
  <c r="AC16" i="1"/>
  <c r="U3" i="1"/>
  <c r="U5" i="1" s="1"/>
  <c r="T5" i="1"/>
  <c r="K5" i="1"/>
  <c r="L3" i="1"/>
  <c r="AE80" i="1"/>
  <c r="AE81" i="1" s="1"/>
  <c r="U22" i="1"/>
  <c r="U173" i="1" s="1"/>
  <c r="J24" i="1"/>
  <c r="J173" i="1"/>
  <c r="AM20" i="1"/>
  <c r="G36" i="2"/>
  <c r="G37" i="2" s="1"/>
  <c r="G34" i="2"/>
  <c r="O36" i="2"/>
  <c r="O37" i="2" s="1"/>
  <c r="O34" i="2"/>
  <c r="W36" i="2"/>
  <c r="W37" i="2" s="1"/>
  <c r="W34" i="2"/>
  <c r="B77" i="2"/>
  <c r="B78" i="2" s="1"/>
  <c r="B75" i="2"/>
  <c r="J77" i="2"/>
  <c r="J78" i="2" s="1"/>
  <c r="J75" i="2"/>
  <c r="U75" i="2"/>
  <c r="U77" i="2"/>
  <c r="U78" i="2" s="1"/>
  <c r="W77" i="2"/>
  <c r="W78" i="2" s="1"/>
  <c r="W75" i="2"/>
  <c r="N77" i="2"/>
  <c r="N78" i="2" s="1"/>
  <c r="N75" i="2"/>
  <c r="F113" i="2"/>
  <c r="F114" i="2" s="1"/>
  <c r="F111" i="2"/>
  <c r="P3" i="1"/>
  <c r="O5" i="1"/>
  <c r="B24" i="1"/>
  <c r="B173" i="1"/>
  <c r="I14" i="1"/>
  <c r="I16" i="1" s="1"/>
  <c r="I20" i="1" s="1"/>
  <c r="I22" i="1" s="1"/>
  <c r="AI81" i="1"/>
  <c r="G80" i="1"/>
  <c r="G81" i="1" s="1"/>
  <c r="O80" i="1"/>
  <c r="O81" i="1" s="1"/>
  <c r="G173" i="1"/>
  <c r="O173" i="1"/>
  <c r="W173" i="1"/>
  <c r="H172" i="1"/>
  <c r="I171" i="1" s="1"/>
  <c r="I172" i="1" s="1"/>
  <c r="P172" i="1"/>
  <c r="Q171" i="1" s="1"/>
  <c r="Q172" i="1" s="1"/>
  <c r="X172" i="1"/>
  <c r="Y171" i="1" s="1"/>
  <c r="Y172" i="1" s="1"/>
  <c r="I36" i="2"/>
  <c r="I37" i="2" s="1"/>
  <c r="I34" i="2"/>
  <c r="Q36" i="2"/>
  <c r="Q37" i="2" s="1"/>
  <c r="Q34" i="2"/>
  <c r="D75" i="2"/>
  <c r="D77" i="2"/>
  <c r="D78" i="2" s="1"/>
  <c r="L75" i="2"/>
  <c r="L77" i="2"/>
  <c r="L78" i="2" s="1"/>
  <c r="H111" i="2"/>
  <c r="H113" i="2"/>
  <c r="H114" i="2" s="1"/>
  <c r="X36" i="2"/>
  <c r="X37" i="2" s="1"/>
  <c r="X34" i="2"/>
  <c r="K77" i="2"/>
  <c r="K78" i="2" s="1"/>
  <c r="K75" i="2"/>
  <c r="O77" i="2"/>
  <c r="O78" i="2" s="1"/>
  <c r="O75" i="2"/>
  <c r="AG16" i="1"/>
  <c r="AG105" i="1"/>
  <c r="M14" i="1"/>
  <c r="M16" i="1" s="1"/>
  <c r="M20" i="1" s="1"/>
  <c r="M22" i="1" s="1"/>
  <c r="H80" i="1"/>
  <c r="H81" i="1" s="1"/>
  <c r="P80" i="1"/>
  <c r="P81" i="1" s="1"/>
  <c r="H173" i="1"/>
  <c r="P173" i="1"/>
  <c r="X173" i="1"/>
  <c r="B36" i="2"/>
  <c r="B37" i="2" s="1"/>
  <c r="B34" i="2"/>
  <c r="J36" i="2"/>
  <c r="J37" i="2" s="1"/>
  <c r="J34" i="2"/>
  <c r="R36" i="2"/>
  <c r="R37" i="2" s="1"/>
  <c r="R34" i="2"/>
  <c r="R77" i="2"/>
  <c r="R78" i="2" s="1"/>
  <c r="R75" i="2"/>
  <c r="I111" i="2"/>
  <c r="I113" i="2"/>
  <c r="I114" i="2" s="1"/>
  <c r="P36" i="2"/>
  <c r="P37" i="2" s="1"/>
  <c r="P34" i="2"/>
  <c r="V77" i="2"/>
  <c r="V78" i="2" s="1"/>
  <c r="V75" i="2"/>
  <c r="E16" i="1"/>
  <c r="E20" i="1" s="1"/>
  <c r="E22" i="1" s="1"/>
  <c r="Q14" i="1"/>
  <c r="Q16" i="1" s="1"/>
  <c r="Q20" i="1" s="1"/>
  <c r="Q22" i="1" s="1"/>
  <c r="Q24" i="1" s="1"/>
  <c r="C36" i="2"/>
  <c r="C37" i="2" s="1"/>
  <c r="C34" i="2"/>
  <c r="K36" i="2"/>
  <c r="K37" i="2" s="1"/>
  <c r="K34" i="2"/>
  <c r="S36" i="2"/>
  <c r="S37" i="2" s="1"/>
  <c r="S34" i="2"/>
  <c r="F77" i="2"/>
  <c r="F78" i="2" s="1"/>
  <c r="F75" i="2"/>
  <c r="P77" i="2"/>
  <c r="P78" i="2" s="1"/>
  <c r="P75" i="2"/>
  <c r="E3" i="1"/>
  <c r="E5" i="1" s="1"/>
  <c r="D5" i="1"/>
  <c r="U14" i="1"/>
  <c r="D34" i="2"/>
  <c r="D36" i="2"/>
  <c r="D37" i="2" s="1"/>
  <c r="L34" i="2"/>
  <c r="L36" i="2"/>
  <c r="L37" i="2" s="1"/>
  <c r="T34" i="2"/>
  <c r="T36" i="2"/>
  <c r="T37" i="2" s="1"/>
  <c r="G77" i="2"/>
  <c r="G78" i="2" s="1"/>
  <c r="G75" i="2"/>
  <c r="Q77" i="2"/>
  <c r="Q78" i="2" s="1"/>
  <c r="Q75" i="2"/>
  <c r="C113" i="2"/>
  <c r="C114" i="2" s="1"/>
  <c r="C111" i="2"/>
  <c r="K113" i="2"/>
  <c r="K114" i="2" s="1"/>
  <c r="K111" i="2"/>
  <c r="H36" i="2"/>
  <c r="H37" i="2" s="1"/>
  <c r="H34" i="2"/>
  <c r="R24" i="1"/>
  <c r="U24" i="1" s="1"/>
  <c r="R173" i="1"/>
  <c r="AJ16" i="1"/>
  <c r="AJ20" i="1" s="1"/>
  <c r="AJ22" i="1" s="1"/>
  <c r="AJ105" i="1"/>
  <c r="AM22" i="1"/>
  <c r="AM44" i="1"/>
  <c r="AM55" i="1" s="1"/>
  <c r="K173" i="1"/>
  <c r="S173" i="1"/>
  <c r="E34" i="2"/>
  <c r="E36" i="2"/>
  <c r="E37" i="2" s="1"/>
  <c r="M34" i="2"/>
  <c r="M36" i="2"/>
  <c r="M37" i="2" s="1"/>
  <c r="U34" i="2"/>
  <c r="U36" i="2"/>
  <c r="U37" i="2" s="1"/>
  <c r="S77" i="2"/>
  <c r="S78" i="2" s="1"/>
  <c r="S75" i="2"/>
  <c r="D113" i="2"/>
  <c r="D114" i="2" s="1"/>
  <c r="D111" i="2"/>
  <c r="L113" i="2"/>
  <c r="L114" i="2" s="1"/>
  <c r="L111" i="2"/>
  <c r="C77" i="2"/>
  <c r="C78" i="2" s="1"/>
  <c r="C75" i="2"/>
  <c r="G5" i="1"/>
  <c r="H3" i="1"/>
  <c r="D80" i="1"/>
  <c r="D81" i="1" s="1"/>
  <c r="L80" i="1"/>
  <c r="L81" i="1" s="1"/>
  <c r="T80" i="1"/>
  <c r="T81" i="1" s="1"/>
  <c r="D173" i="1"/>
  <c r="L173" i="1"/>
  <c r="T173" i="1"/>
  <c r="E172" i="1"/>
  <c r="M172" i="1"/>
  <c r="AC172" i="1"/>
  <c r="F36" i="2"/>
  <c r="F37" i="2" s="1"/>
  <c r="F34" i="2"/>
  <c r="N36" i="2"/>
  <c r="N37" i="2" s="1"/>
  <c r="N34" i="2"/>
  <c r="V36" i="2"/>
  <c r="V37" i="2" s="1"/>
  <c r="V34" i="2"/>
  <c r="I77" i="2"/>
  <c r="I78" i="2" s="1"/>
  <c r="I75" i="2"/>
  <c r="T75" i="2"/>
  <c r="T77" i="2"/>
  <c r="T78" i="2" s="1"/>
  <c r="E113" i="2"/>
  <c r="E114" i="2" s="1"/>
  <c r="E111" i="2"/>
  <c r="M113" i="2"/>
  <c r="M114" i="2" s="1"/>
  <c r="M111" i="2"/>
  <c r="G113" i="2"/>
  <c r="G114" i="2" s="1"/>
  <c r="AL16" i="1"/>
  <c r="AN79" i="1"/>
  <c r="E77" i="2"/>
  <c r="E78" i="2" s="1"/>
  <c r="M77" i="2"/>
  <c r="M78" i="2" s="1"/>
  <c r="AH105" i="1"/>
  <c r="H75" i="2"/>
  <c r="X75" i="2"/>
  <c r="AN123" i="1"/>
  <c r="AN169" i="1" s="1"/>
  <c r="B113" i="2"/>
  <c r="B114" i="2" s="1"/>
  <c r="J113" i="2"/>
  <c r="J114" i="2" s="1"/>
  <c r="AC148" i="1"/>
  <c r="X158" i="1"/>
  <c r="AM81" i="1" l="1"/>
  <c r="AL81" i="1"/>
  <c r="U55" i="1"/>
  <c r="U81" i="1" s="1"/>
  <c r="AC81" i="1"/>
  <c r="AN55" i="1"/>
  <c r="AN81" i="1" s="1"/>
  <c r="F24" i="1"/>
  <c r="F173" i="1"/>
  <c r="C24" i="1"/>
  <c r="C173" i="1"/>
  <c r="L5" i="1"/>
  <c r="M3" i="1"/>
  <c r="M5" i="1" s="1"/>
  <c r="AN16" i="1"/>
  <c r="AC20" i="1"/>
  <c r="N24" i="1"/>
  <c r="N173" i="1"/>
  <c r="I24" i="1"/>
  <c r="I173" i="1"/>
  <c r="E24" i="1"/>
  <c r="E173" i="1"/>
  <c r="P5" i="1"/>
  <c r="Q3" i="1"/>
  <c r="Q5" i="1" s="1"/>
  <c r="H5" i="1"/>
  <c r="I3" i="1"/>
  <c r="I5" i="1" s="1"/>
  <c r="M24" i="1"/>
  <c r="M173" i="1"/>
  <c r="Q173" i="1"/>
  <c r="U16" i="1"/>
  <c r="AL20" i="1"/>
  <c r="AC22" i="1" l="1"/>
  <c r="AN20" i="1"/>
  <c r="AN22" i="1" l="1"/>
  <c r="AC1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BamSEC</author>
    <author>Martin BORUCHOWICZ</author>
  </authors>
  <commentList>
    <comment ref="A92" authorId="0" shapeId="0" xr:uid="{56BEC0D3-A539-432E-A00E-42848BCFE8E9}">
      <text>
        <r>
          <rPr>
            <sz val="10"/>
            <color theme="1"/>
            <rFont val="Arial"/>
            <family val="2"/>
          </rPr>
          <t>Variations found in other tables:
"Equity in losses (earnings) of unconsolidated businesses, net of dividends received" found in:
- 10-K filed on 2023-02-10 (https://www.bamsec.com/filing/73271223000012/1?table=83)
- 10-K filed on 2024-02-09 (https://www.bamsec.com/filing/73271224000010/1?table=84)</t>
        </r>
      </text>
    </comment>
    <comment ref="Z111" authorId="1" shapeId="0" xr:uid="{C0966009-1B20-4C6C-8ACF-F77A04CADA22}">
      <text>
        <r>
          <rPr>
            <b/>
            <sz val="9"/>
            <color indexed="81"/>
            <rFont val="Tahoma"/>
            <family val="2"/>
          </rPr>
          <t>Combines Other and Collateral receipts</t>
        </r>
      </text>
    </comment>
    <comment ref="A137" authorId="0" shapeId="0" xr:uid="{BEE58151-3D30-4504-B54B-DB0B511DB9A4}">
      <text>
        <r>
          <rPr>
            <sz val="10"/>
            <color theme="1"/>
            <rFont val="Arial"/>
            <family val="2"/>
          </rPr>
          <t>Variations found in other tables:
"Equity in losses (earnings) of unconsolidated businesses, net of dividends received" found in:
- 10-K filed on 2023-02-10 (https://www.bamsec.com/filing/73271223000012/1?table=83)
- 10-K filed on 2024-02-09 (https://www.bamsec.com/filing/73271224000010/1?table=84)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BORUCHOWICZ Martin MarkBsgResAso</author>
    <author>Martin BORUCHOWICZ</author>
    <author>Rathgeber, Divon</author>
    <author>User</author>
  </authors>
  <commentList>
    <comment ref="A4" authorId="0" shapeId="0" xr:uid="{F443E62C-8690-4B42-9F0D-684B04D36D88}">
      <text>
        <r>
          <rPr>
            <b/>
            <sz val="9"/>
            <color indexed="81"/>
            <rFont val="Tahoma"/>
            <family val="2"/>
          </rPr>
          <t>Since 1Q25</t>
        </r>
      </text>
    </comment>
    <comment ref="V4" authorId="1" shapeId="0" xr:uid="{687B1CB7-CD53-40DC-92E1-28D2AE218B57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A6" authorId="2" shapeId="0" xr:uid="{5FAB838A-66C6-4919-9206-4428DC3DF884}">
      <text>
        <r>
          <rPr>
            <sz val="9"/>
            <color indexed="81"/>
            <rFont val="Tahoma"/>
            <family val="2"/>
          </rPr>
          <t>Since 1Q25</t>
        </r>
      </text>
    </comment>
    <comment ref="V6" authorId="1" shapeId="0" xr:uid="{9B9238B1-9441-4082-A402-CAF03C902126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11" authorId="1" shapeId="0" xr:uid="{D3D19FA0-5336-45BC-A5D6-ADDB9B0FDBA9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A13" authorId="2" shapeId="0" xr:uid="{29C64CE6-1638-4FC8-A8D9-65893BF60E5A}">
      <text>
        <r>
          <rPr>
            <sz val="9"/>
            <color indexed="81"/>
            <rFont val="Tahoma"/>
            <family val="2"/>
          </rPr>
          <t>device protection offering etc</t>
        </r>
      </text>
    </comment>
    <comment ref="V13" authorId="1" shapeId="0" xr:uid="{5FCFE90C-1748-4E81-959E-3D2D74B66F7D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A20" authorId="2" shapeId="0" xr:uid="{C98724C3-EAD9-41A8-87D3-E011F03C3E69}">
      <text>
        <r>
          <rPr>
            <sz val="9"/>
            <color indexed="81"/>
            <rFont val="Tahoma"/>
            <family val="2"/>
          </rPr>
          <t>device protection offering etc</t>
        </r>
      </text>
    </comment>
    <comment ref="V55" authorId="1" shapeId="0" xr:uid="{1828042A-8CEE-4FC5-BD8E-CE4C3D8723BE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56" authorId="1" shapeId="0" xr:uid="{611430EF-1292-4233-A67D-B607F6A47C40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A62" authorId="0" shapeId="0" xr:uid="{0659A769-2404-4D39-A07C-F213307271E7}">
      <text>
        <r>
          <rPr>
            <b/>
            <sz val="9"/>
            <color indexed="81"/>
            <rFont val="Tahoma"/>
            <family val="2"/>
          </rPr>
          <t>From 1Q25</t>
        </r>
      </text>
    </comment>
    <comment ref="V63" authorId="1" shapeId="0" xr:uid="{AADCF832-ABF7-439E-9184-88B941A69735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A64" authorId="0" shapeId="0" xr:uid="{2F7AEB8F-C359-406B-BDEC-1E01AC9AF622}">
      <text>
        <r>
          <rPr>
            <b/>
            <sz val="9"/>
            <color indexed="81"/>
            <rFont val="Tahoma"/>
            <family val="2"/>
          </rPr>
          <t>From 1Q25</t>
        </r>
      </text>
    </comment>
    <comment ref="V64" authorId="1" shapeId="0" xr:uid="{A07ED004-CB93-4403-9DED-C5E26AE637DB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Z65" authorId="3" shapeId="0" xr:uid="{66A5C8C0-F46E-44D6-B6E0-E8B5C98DAE8E}">
      <text>
        <r>
          <rPr>
            <b/>
            <sz val="9"/>
            <color indexed="81"/>
            <rFont val="Tahoma"/>
            <charset val="1"/>
          </rPr>
          <t>Recast to post-2Q26 basis (intl wireline → Corporate &amp; other). Source: VZ 2Q26 FOI, Business – Selected Financial Results (p.8).</t>
        </r>
      </text>
    </comment>
    <comment ref="AA65" authorId="3" shapeId="0" xr:uid="{9FB14DD5-50A2-4236-81F8-887048A8C26F}">
      <text>
        <r>
          <rPr>
            <b/>
            <sz val="9"/>
            <color indexed="81"/>
            <rFont val="Tahoma"/>
            <charset val="1"/>
          </rPr>
          <t>Recast to post-2Q26 basis (intl wireline → Corporate &amp; other). Source: VZ 2Q26 FOI, Business – Selected Financial Results (p.8).</t>
        </r>
      </text>
    </comment>
    <comment ref="AB65" authorId="3" shapeId="0" xr:uid="{23F1698D-6B1E-49CF-80FA-61E924FC9465}">
      <text>
        <r>
          <rPr>
            <b/>
            <sz val="9"/>
            <color indexed="81"/>
            <rFont val="Tahoma"/>
            <charset val="1"/>
          </rPr>
          <t>Recast to post-2Q26 basis (intl wireline → Corporate &amp; other). Source: VZ 2Q26 FOI, Business – Selected Financial Results (p.8).</t>
        </r>
      </text>
    </comment>
    <comment ref="AC65" authorId="3" shapeId="0" xr:uid="{DC29A218-E563-4DD6-935B-2A35213AF61A}">
      <text>
        <r>
          <rPr>
            <b/>
            <sz val="9"/>
            <color indexed="81"/>
            <rFont val="Tahoma"/>
            <charset val="1"/>
          </rPr>
          <t>Recast to post-2Q26 basis (intl wireline → Corporate &amp; other). Source: VZ 2Q26 FOI, Business – Selected Financial Results (p.8).</t>
        </r>
      </text>
    </comment>
    <comment ref="AD65" authorId="3" shapeId="0" xr:uid="{6F474393-E0E8-45E0-AB58-5FE3C1EA89B0}">
      <text>
        <r>
          <rPr>
            <b/>
            <sz val="9"/>
            <color indexed="81"/>
            <rFont val="Tahoma"/>
            <charset val="1"/>
          </rPr>
          <t>Recast to post-2Q26 basis (intl wireline → Corporate &amp; other). Source: VZ 2Q26 FOI, Business – Selected Financial Results (p.8).</t>
        </r>
      </text>
    </comment>
    <comment ref="AE65" authorId="3" shapeId="0" xr:uid="{D639E908-CDEF-410A-B96F-5C3D5AA89DE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VZ 2Q26 FOI, Business – Selected Financial Results (p.8).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Rathgeber, Divon</author>
    <author>Martin BORUCHOWICZ</author>
    <author>tc={307359F5-DE34-4907-8E24-F05635EDB989}</author>
    <author>tc={AB06D852-A93B-4B65-9E57-168FF47EA987}</author>
    <author>tc={A97F18C3-56EF-4675-805C-2FEBE8825E66}</author>
    <author>tc={37C7853E-4150-43D4-A6B6-DF95EFC93620}</author>
  </authors>
  <commentList>
    <comment ref="N2" authorId="0" shapeId="0" xr:uid="{BC408206-9EC7-4880-AD26-8E90EA0B64B6}">
      <text>
        <r>
          <rPr>
            <sz val="9"/>
            <color indexed="81"/>
            <rFont val="Tahoma"/>
            <family val="2"/>
          </rPr>
          <t xml:space="preserve">broke out FWA 
</t>
        </r>
      </text>
    </comment>
    <comment ref="V9" authorId="1" shapeId="0" xr:uid="{83E9DAF6-B8A9-427C-9A52-6E120347E3F8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A18" authorId="1" shapeId="0" xr:uid="{5D4BCBBC-503B-430F-84B4-3B95CCCA5401}">
      <text>
        <r>
          <rPr>
            <sz val="9"/>
            <color indexed="81"/>
            <rFont val="Tahoma"/>
            <family val="2"/>
          </rPr>
          <t>Pre Q1 22, Broadband connections included only Wirelines</t>
        </r>
      </text>
    </comment>
    <comment ref="A40" authorId="1" shapeId="0" xr:uid="{5871B8F6-BB2C-463D-83E8-6E11D82571DA}">
      <text>
        <r>
          <rPr>
            <sz val="9"/>
            <color indexed="81"/>
            <rFont val="Tahoma"/>
            <family val="2"/>
          </rPr>
          <t>Pre Q1 22, Broadband connections included only Wirelines</t>
        </r>
      </text>
    </comment>
    <comment ref="V49" authorId="1" shapeId="0" xr:uid="{B3EAEF00-1DDE-46A9-9F4B-4CCCD40E071F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62" authorId="1" shapeId="0" xr:uid="{FEF689B7-DB0B-4988-845C-09DEAE09F2F8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X97" authorId="1" shapeId="0" xr:uid="{620A02CC-D07E-4508-A5C6-D54531142A88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111" authorId="1" shapeId="0" xr:uid="{E607DDD8-F1F1-43AC-8555-DBB4F615E86D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132" authorId="1" shapeId="0" xr:uid="{2C06955A-8511-4630-9F11-B9888DDFD1F8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160" authorId="1" shapeId="0" xr:uid="{C7871BAE-77D5-4F50-9085-4563B9BA2F5E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M164" authorId="2" shapeId="0" xr:uid="{307359F5-DE34-4907-8E24-F05635EDB989}">
      <text>
        <t>[Threaded comment]
Your version of Excel allows you to read this threaded comment; however, any edits to it will get removed if the file is opened in a newer version of Excel. Learn more: https://go.microsoft.com/fwlink/?linkid=870924
Comment:
    Stopped reporting</t>
      </text>
    </comment>
    <comment ref="M179" authorId="3" shapeId="0" xr:uid="{AB06D852-A93B-4B65-9E57-168FF47EA987}">
      <text>
        <t>[Threaded comment]
Your version of Excel allows you to read this threaded comment; however, any edits to it will get removed if the file is opened in a newer version of Excel. Learn more: https://go.microsoft.com/fwlink/?linkid=870924
Comment:
    Stopped reporting</t>
      </text>
    </comment>
    <comment ref="V190" authorId="1" shapeId="0" xr:uid="{9CF0C644-57B3-4471-BE12-0534D98CE076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199" authorId="1" shapeId="0" xr:uid="{274ED34C-7A97-4308-B769-F649DDCFB440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J207" authorId="4" shapeId="0" xr:uid="{A97F18C3-56EF-4675-805C-2FEBE8825E66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the definition of Broadband to include FWA</t>
      </text>
    </comment>
    <comment ref="J221" authorId="5" shapeId="0" xr:uid="{37C7853E-4150-43D4-A6B6-DF95EFC9362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the definition of Broadband to include FWA</t>
      </text>
    </comment>
    <comment ref="W226" authorId="1" shapeId="0" xr:uid="{4F6645F6-E6F0-46EC-9E83-EC49D4A7B754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234" authorId="1" shapeId="0" xr:uid="{990F7A95-3256-4FB8-A9DA-C7E83A95A3F7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258" authorId="1" shapeId="0" xr:uid="{2ACBF090-3F3A-4D7B-900A-E3FD340A230B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274" authorId="1" shapeId="0" xr:uid="{E8990482-5923-4DFF-A149-CC31A27114DB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299" authorId="1" shapeId="0" xr:uid="{9FFC1327-2F4D-4774-84BF-96DB451C69AA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X312" authorId="1" shapeId="0" xr:uid="{B0CB1EA7-E653-4EF2-9C42-7154E9397BE6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333" authorId="1" shapeId="0" xr:uid="{CEFD89B6-9F0B-43B2-9F7A-1139B6A91123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  <comment ref="V335" authorId="1" shapeId="0" xr:uid="{B12DE54F-9352-4E68-AA3F-3A4CDC9A4F5F}">
      <text>
        <r>
          <rPr>
            <b/>
            <sz val="9"/>
            <color indexed="81"/>
            <rFont val="Tahoma"/>
            <family val="2"/>
          </rPr>
          <t>Recasted in 1Q25</t>
        </r>
      </text>
    </comment>
  </commentList>
</comments>
</file>

<file path=xl/sharedStrings.xml><?xml version="1.0" encoding="utf-8"?>
<sst xmlns="http://schemas.openxmlformats.org/spreadsheetml/2006/main" count="625" uniqueCount="285">
  <si>
    <t xml:space="preserve">Income statement </t>
  </si>
  <si>
    <t>INCOME STATEMENT</t>
  </si>
  <si>
    <t>1Q2024</t>
  </si>
  <si>
    <t>2Q2024</t>
  </si>
  <si>
    <t>3Q2024</t>
  </si>
  <si>
    <t>4Q2024</t>
  </si>
  <si>
    <t>1Q2025</t>
  </si>
  <si>
    <t>2Q2025</t>
  </si>
  <si>
    <t>3Q2025</t>
  </si>
  <si>
    <t>4Q2025</t>
  </si>
  <si>
    <t>1Q2026</t>
  </si>
  <si>
    <t>Service revenues and other</t>
  </si>
  <si>
    <t>Wireless equipment revenues</t>
  </si>
  <si>
    <t>Operating revenues</t>
  </si>
  <si>
    <t>Cost of services (exclusive of items shown below)</t>
  </si>
  <si>
    <t>Cost of wireless equipment</t>
  </si>
  <si>
    <t>Selling, general and administrative expense</t>
  </si>
  <si>
    <t>Depreciation and amortization expense</t>
  </si>
  <si>
    <t>Verizon buinsess group goodwill impairment</t>
  </si>
  <si>
    <t>Operating expenses</t>
  </si>
  <si>
    <t>Media goodwill impairment</t>
  </si>
  <si>
    <t>Operating Income</t>
  </si>
  <si>
    <t>Equity in earnings (losses) of unconsolidated businesses</t>
  </si>
  <si>
    <t>Other income (expense), net</t>
  </si>
  <si>
    <t>Interest expense</t>
  </si>
  <si>
    <t>Income Before Provision For Income Taxes</t>
  </si>
  <si>
    <t>Provision for income taxes</t>
  </si>
  <si>
    <t>Net Income</t>
  </si>
  <si>
    <t>Net income attributable to noncontrolling interests</t>
  </si>
  <si>
    <t>Net income attributable to Verizon</t>
  </si>
  <si>
    <t>Basic Earnings Per Common Share</t>
  </si>
  <si>
    <t>Weighted-average shares outstanding (in millions)</t>
  </si>
  <si>
    <t>Diluted Earnings Per Common Share</t>
  </si>
  <si>
    <t>BALANCE SHEET</t>
  </si>
  <si>
    <t>At December 31,</t>
  </si>
  <si>
    <t>Assets</t>
  </si>
  <si>
    <t>Current assets</t>
  </si>
  <si>
    <t>Cash and cash equivalents</t>
  </si>
  <si>
    <t>Accounts receivable</t>
  </si>
  <si>
    <t>Less Allowance for credit losses</t>
  </si>
  <si>
    <t xml:space="preserve"> -</t>
  </si>
  <si>
    <t>Less Allowance for doubtful accounts</t>
  </si>
  <si>
    <t>Accounts receivable, net</t>
  </si>
  <si>
    <t>Inventories</t>
  </si>
  <si>
    <t>Prepaid expenses and other</t>
  </si>
  <si>
    <t>Total current assets</t>
  </si>
  <si>
    <t>Property, plant and equipment</t>
  </si>
  <si>
    <t>Less Accumulated depreciation</t>
  </si>
  <si>
    <t>Property, plant and equipment, net</t>
  </si>
  <si>
    <t>Investments in unconsolidated businesses</t>
  </si>
  <si>
    <t>Wireless licenses</t>
  </si>
  <si>
    <t>Deposits for wireless licenses</t>
  </si>
  <si>
    <t>Goodwill</t>
  </si>
  <si>
    <t>Other intangible assets, net</t>
  </si>
  <si>
    <t>Operating lease right-of-use assets</t>
  </si>
  <si>
    <t>Other assets</t>
  </si>
  <si>
    <t>Total assets</t>
  </si>
  <si>
    <t>Liabilities and Equity</t>
  </si>
  <si>
    <t>Current liabilities</t>
  </si>
  <si>
    <t>Debt maturing within one year</t>
  </si>
  <si>
    <t>Accounts payable and accrued liabilities</t>
  </si>
  <si>
    <t>Current operating lease liabilities</t>
  </si>
  <si>
    <t>Other current liabilities</t>
  </si>
  <si>
    <t>Total current liabilities</t>
  </si>
  <si>
    <t>Long-term debt</t>
  </si>
  <si>
    <t>Employee benefit obligations</t>
  </si>
  <si>
    <t>Deferred income taxes</t>
  </si>
  <si>
    <t>Non-current operating lease liabilities</t>
  </si>
  <si>
    <t>Other liabilities</t>
  </si>
  <si>
    <t>Total long-term liabilities</t>
  </si>
  <si>
    <t>Commitments and Contingencies (Note 16)</t>
  </si>
  <si>
    <t>Equity</t>
  </si>
  <si>
    <t>Series preferred stock ($0.10 par value; 250,000,000 shares authorized; none issued)</t>
  </si>
  <si>
    <t>—</t>
  </si>
  <si>
    <t>Common stock ($0.10 par value; 6,250,000,000 shares authorized in each period; 4,291,433,646 shares issued in each period)</t>
  </si>
  <si>
    <t>Additional paid in capital</t>
  </si>
  <si>
    <t>Retained earnings</t>
  </si>
  <si>
    <t>Accumulated other comprehensive loss</t>
  </si>
  <si>
    <t>Common stock in treasury, at cost (91,572,258 and 93,634,725 shares outstanding)</t>
  </si>
  <si>
    <t>Deferred compensation - employee stock ownership plans (ESOPs) and other</t>
  </si>
  <si>
    <t>Noncontrolling interests</t>
  </si>
  <si>
    <t>Total equity</t>
  </si>
  <si>
    <t>Total liabilities and equity</t>
  </si>
  <si>
    <t>check</t>
  </si>
  <si>
    <t>CASH FLOW STATEMENT (CUMULATIVE)</t>
  </si>
  <si>
    <t>Years Ended December 31,</t>
  </si>
  <si>
    <t>Cash Flows from Operating Activities</t>
  </si>
  <si>
    <t>Adjustments to reconcile net income to net cash provided by operating activities:</t>
  </si>
  <si>
    <t>Employee retirement benefits</t>
  </si>
  <si>
    <t>Provision for expected credit losses</t>
  </si>
  <si>
    <t>Equity in losses of unconsolidated businesses, net of dividends received</t>
  </si>
  <si>
    <t>Net loss (gain) on sale of divested businesses</t>
  </si>
  <si>
    <t>Verizon Business Group goodwill impairment</t>
  </si>
  <si>
    <t>Changes in current assets and liabilities, net of effects from acquisition/disposition of businesses:</t>
  </si>
  <si>
    <t>Accounts payable and accrued liabilities and Other current liabilities</t>
  </si>
  <si>
    <t>Discretionary employee benefits contributions</t>
  </si>
  <si>
    <t>Other, net</t>
  </si>
  <si>
    <t>Net cash provided by operating activities</t>
  </si>
  <si>
    <t>Cash Flows from Investing Activities</t>
  </si>
  <si>
    <t>Capital expenditures (including capitalized software)</t>
  </si>
  <si>
    <t>Acquisitions of businesses, net of cash acquired</t>
  </si>
  <si>
    <t>Acquisitions of wireless licenses</t>
  </si>
  <si>
    <t>Collateral receipts (payments) related to derivative contracts, net</t>
  </si>
  <si>
    <t>Proceeds from dispositions of businesses</t>
  </si>
  <si>
    <t>Net cash used in investing activities</t>
  </si>
  <si>
    <t>Cash Flows from Financing Activities</t>
  </si>
  <si>
    <t>Proceeds from long-term borrowings</t>
  </si>
  <si>
    <t>Proceeds from asset-backed long-term borrowings</t>
  </si>
  <si>
    <t>Net proceeds from short-term commercial paper</t>
  </si>
  <si>
    <t>Repayments of long-term borrowings and finance lease obligations</t>
  </si>
  <si>
    <t>Repayments of asset-backed long-term borrowings</t>
  </si>
  <si>
    <t>Dividends paid</t>
  </si>
  <si>
    <t>Purchase of common stock for treasury</t>
  </si>
  <si>
    <t>Net cash provided by (used in) financing activities</t>
  </si>
  <si>
    <t>Increase (decrease) in cash, cash equivalents and restricted cash</t>
  </si>
  <si>
    <t>Cash, cash equivalents and restricted cash, beginning of period</t>
  </si>
  <si>
    <t>Cash, cash equivalents and restricted cash, end of period (Note 1)</t>
  </si>
  <si>
    <t>CASH FLOW STATEMENT (NON-CUMULATIVE)</t>
  </si>
  <si>
    <t>1Q2019</t>
  </si>
  <si>
    <t>2Q2019</t>
  </si>
  <si>
    <t>3Q2019</t>
  </si>
  <si>
    <t>4Q2019</t>
  </si>
  <si>
    <t>1Q2020</t>
  </si>
  <si>
    <t>2Q2020</t>
  </si>
  <si>
    <t>3Q2020</t>
  </si>
  <si>
    <t>4Q2020</t>
  </si>
  <si>
    <t>1Q2021</t>
  </si>
  <si>
    <t>2Q2021</t>
  </si>
  <si>
    <t>3Q2021</t>
  </si>
  <si>
    <t>4Q2021</t>
  </si>
  <si>
    <t>1Q2022</t>
  </si>
  <si>
    <t>2Q2022</t>
  </si>
  <si>
    <t>3Q2022</t>
  </si>
  <si>
    <t>4Q2022</t>
  </si>
  <si>
    <t>1Q2023</t>
  </si>
  <si>
    <t>2Q2023</t>
  </si>
  <si>
    <t>3Q2023</t>
  </si>
  <si>
    <t>4Q2023</t>
  </si>
  <si>
    <t>4Q25</t>
  </si>
  <si>
    <t>1Q26</t>
  </si>
  <si>
    <t>CONSUMERS</t>
  </si>
  <si>
    <t>Operating Revenues</t>
  </si>
  <si>
    <t>Mobility and broadband service</t>
  </si>
  <si>
    <t>Wireless equipment</t>
  </si>
  <si>
    <t>Other</t>
  </si>
  <si>
    <t>Total Operating Revenues</t>
  </si>
  <si>
    <t>Old Presentation (changed in 1Q26)</t>
  </si>
  <si>
    <t>Service</t>
  </si>
  <si>
    <t>Old Presentation (changed in 1Q25)</t>
  </si>
  <si>
    <t>Operating Expenses</t>
  </si>
  <si>
    <t>Cost of services</t>
  </si>
  <si>
    <t>Total Operating Expenses</t>
  </si>
  <si>
    <t>Operating Income Margin</t>
  </si>
  <si>
    <t>Segment EBITDA</t>
  </si>
  <si>
    <t>Segment EBITDA Margin</t>
  </si>
  <si>
    <t>BUSINESS</t>
  </si>
  <si>
    <t xml:space="preserve">Old Presentation </t>
  </si>
  <si>
    <t>collapsed Global Enterprise + SMB + Public sector into Enterprise and Public sector, and BM and others</t>
  </si>
  <si>
    <t>Global Enterprise</t>
  </si>
  <si>
    <t>Small and Medium Business</t>
  </si>
  <si>
    <t>Public Sector and Other</t>
  </si>
  <si>
    <t>Wholesale</t>
  </si>
  <si>
    <t>.</t>
  </si>
  <si>
    <t>Enterprise and Public Sector</t>
  </si>
  <si>
    <t>Business Markets and Other</t>
  </si>
  <si>
    <t>Total</t>
  </si>
  <si>
    <t>New Presentation</t>
  </si>
  <si>
    <t>CORPORATE</t>
  </si>
  <si>
    <t>Cost of equipment</t>
  </si>
  <si>
    <t>Operating Income (Loss)</t>
  </si>
  <si>
    <t>Operating Income (Loss) Margin</t>
  </si>
  <si>
    <t>Intersegment revenue</t>
  </si>
  <si>
    <t xml:space="preserve">Consumer </t>
  </si>
  <si>
    <t>Business</t>
  </si>
  <si>
    <t>Connections</t>
  </si>
  <si>
    <t>Wireless retail postpaid connections</t>
  </si>
  <si>
    <t>Wireless retail prepaid connections</t>
  </si>
  <si>
    <t>Total Wireless retails connection</t>
  </si>
  <si>
    <t>Wireless retail prepaid excl. SafeLink</t>
  </si>
  <si>
    <t>Wireless retail postpaid phone</t>
  </si>
  <si>
    <t>Fios video connections</t>
  </si>
  <si>
    <t>Fios internet connections</t>
  </si>
  <si>
    <t>Fios digital voice residence connections</t>
  </si>
  <si>
    <t>Fios digital connections</t>
  </si>
  <si>
    <t>Wireline broadband</t>
  </si>
  <si>
    <t>FWA broadband</t>
  </si>
  <si>
    <t>Broadband connections</t>
  </si>
  <si>
    <t>Voice connections</t>
  </si>
  <si>
    <t>DSL connections</t>
  </si>
  <si>
    <t>5G Home</t>
  </si>
  <si>
    <t>Gross Additions</t>
  </si>
  <si>
    <t>Wireless retail postpaid (includes fixed wireless)</t>
  </si>
  <si>
    <t>Wireless retail postpaid phone (est.)</t>
  </si>
  <si>
    <t xml:space="preserve">Net Additions </t>
  </si>
  <si>
    <t>Wireless retail postpaid</t>
  </si>
  <si>
    <t>Wireless retail prepaid</t>
  </si>
  <si>
    <t>Total wireless retail</t>
  </si>
  <si>
    <t>Wireless retail postpaid phones</t>
  </si>
  <si>
    <t>Fios video</t>
  </si>
  <si>
    <t>Fios internet</t>
  </si>
  <si>
    <t>Fios digital voice residence</t>
  </si>
  <si>
    <t xml:space="preserve">Fios digital </t>
  </si>
  <si>
    <t>Wireline Broadband</t>
  </si>
  <si>
    <t>Total broadband</t>
  </si>
  <si>
    <t>Voice</t>
  </si>
  <si>
    <t>DSL</t>
  </si>
  <si>
    <t>5G home</t>
  </si>
  <si>
    <t>Churn rate</t>
  </si>
  <si>
    <t>Wireless retails postpaid</t>
  </si>
  <si>
    <t>Wireless retails postpaid phones</t>
  </si>
  <si>
    <t>Wireless retail</t>
  </si>
  <si>
    <t>Revenue statistics</t>
  </si>
  <si>
    <t>Wireless service revenue</t>
  </si>
  <si>
    <t>Fios revenue</t>
  </si>
  <si>
    <t>Wireline revenue ex fios (implied)</t>
  </si>
  <si>
    <t>Wireless postpaid revenue (implied) (excludes fixed wireless)</t>
  </si>
  <si>
    <t>Wireless prepaid revenue (implied)</t>
  </si>
  <si>
    <t>Reseller and other (implied)</t>
  </si>
  <si>
    <t>5G Home revenue</t>
  </si>
  <si>
    <t>Other Wireless Statistics</t>
  </si>
  <si>
    <t>Wireless retail postpaid ARPA</t>
  </si>
  <si>
    <t>Wireless retail postpaid upgrade rate</t>
  </si>
  <si>
    <t>Wireless retail postpaid accounts</t>
  </si>
  <si>
    <t>Wireless retail postpaid connections per account</t>
  </si>
  <si>
    <t>Total wireless Internet postpaid base</t>
  </si>
  <si>
    <t>Wireless retail postpaid ARPU</t>
  </si>
  <si>
    <t>Wireless retail prepaid ARPU</t>
  </si>
  <si>
    <t>Wireless retail prepaid ARPU(3) excl. SafeLink</t>
  </si>
  <si>
    <t>DSL ARPU</t>
  </si>
  <si>
    <t>Wireless retail postpaid Phones (starts with 80% of postpaid connections assumption)</t>
  </si>
  <si>
    <t>Wireless retails postpaid connections</t>
  </si>
  <si>
    <t>Wireless retails postpaid phone</t>
  </si>
  <si>
    <t>Voice Connections</t>
  </si>
  <si>
    <t>DSL Connections</t>
  </si>
  <si>
    <t>Wireless postpaid</t>
  </si>
  <si>
    <t>Wireless postpaid phone</t>
  </si>
  <si>
    <t>Net Add Detail</t>
  </si>
  <si>
    <t>Fios digital</t>
  </si>
  <si>
    <t>Total Broadband</t>
  </si>
  <si>
    <t xml:space="preserve">Revenue Statistiics </t>
  </si>
  <si>
    <t>Fios revenues</t>
  </si>
  <si>
    <t>Wireless equipment revenue (implied)</t>
  </si>
  <si>
    <t>Wireline revenue (implied)</t>
  </si>
  <si>
    <t>Other operating statistics</t>
  </si>
  <si>
    <t>Wireless retails postpaid upgrade rate</t>
  </si>
  <si>
    <t>Total wireless internet postpaid base</t>
  </si>
  <si>
    <t>Business wireless ARPU (implied)</t>
  </si>
  <si>
    <t>Total Wireless Operating &amp; Financial Statistics</t>
  </si>
  <si>
    <t>Wireless Retail postpaid</t>
  </si>
  <si>
    <t>Wireless Retail prepaid</t>
  </si>
  <si>
    <t>Wireless Total retail</t>
  </si>
  <si>
    <t>Wireless Retail prepaid excl. SafeLink</t>
  </si>
  <si>
    <t>Wireless Retail postpaid phone</t>
  </si>
  <si>
    <t>Fiber Broadband</t>
  </si>
  <si>
    <t>FWA Broadband</t>
  </si>
  <si>
    <t>Retail postpaid</t>
  </si>
  <si>
    <t>Retail prepaid</t>
  </si>
  <si>
    <t>Total retail</t>
  </si>
  <si>
    <t>Retail prepaid excl. SafeLink</t>
  </si>
  <si>
    <t>Retail postpaid phone</t>
  </si>
  <si>
    <t>Net Additions Detail</t>
  </si>
  <si>
    <t>Account Statistics</t>
  </si>
  <si>
    <t>Wireless Retail postpaid accounts</t>
  </si>
  <si>
    <t>Wireless Retail postpaid connections per account</t>
  </si>
  <si>
    <t>Wireless Retail postpaid ARPA</t>
  </si>
  <si>
    <t>Wireless Retail prepaid ARPU</t>
  </si>
  <si>
    <t>Wireless Retail prepaid ARPU(3) excl. SafeLink</t>
  </si>
  <si>
    <t>Retail postpaid accounts</t>
  </si>
  <si>
    <t>Retail postpaid connections per account</t>
  </si>
  <si>
    <t>Retail postpaid ARPA</t>
  </si>
  <si>
    <t>Retail prepaid ARPU</t>
  </si>
  <si>
    <t>Churn Detail</t>
  </si>
  <si>
    <t>Retail</t>
  </si>
  <si>
    <t>Retail Postpaid Connection Statistics</t>
  </si>
  <si>
    <t>Total internet postpaid base</t>
  </si>
  <si>
    <t>Upgrade Rate</t>
  </si>
  <si>
    <t xml:space="preserve">Revenue Statistics </t>
  </si>
  <si>
    <t>FWA revenue</t>
  </si>
  <si>
    <t>Wireless Service</t>
  </si>
  <si>
    <t>Wireless Equipment</t>
  </si>
  <si>
    <t>Wireless other</t>
  </si>
  <si>
    <t>Total Wireless</t>
  </si>
  <si>
    <t>2Q2026</t>
  </si>
  <si>
    <t>2Q26</t>
  </si>
  <si>
    <t>Business Segment Old (before international resegmentation in 2Q26)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</si>
</sst>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(0_);_(\(0\);_(&quot;-&quot;_);@_)"/>
    <numFmt numFmtId="166" formatCode="_(* #,##0_);_(* \(#,##0\);_(* &quot;-&quot;??_);_(@_)"/>
    <numFmt numFmtId="167" formatCode="_(\$* #,##0.00_);_(\$* \(#,##0.00\);_(\$* &quot;-&quot;_);_(@_)"/>
    <numFmt numFmtId="168" formatCode="_(#,##0_);_(\(#,##0\);_(&quot;-&quot;_);_(@_)"/>
    <numFmt numFmtId="169" formatCode="_(\$* #,##0_);_(\$* \(#,##0\);_(\$* &quot;-&quot;_);_(@_)"/>
    <numFmt numFmtId="170" formatCode="0.0%"/>
    <numFmt numFmtId="171" formatCode="0.0"/>
  </numFmts>
  <fonts count="3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theme="0"/>
      <name val="Arial"/>
      <family val="2"/>
    </font>
    <font>
      <sz val="11"/>
      <color theme="8" tint="-0.249977111117893"/>
      <name val="Calibri"/>
      <family val="2"/>
    </font>
    <font>
      <b/>
      <sz val="10"/>
      <color theme="1"/>
      <name val="Arial"/>
      <family val="2"/>
    </font>
    <font>
      <b/>
      <u/>
      <sz val="11"/>
      <color rgb="FF0000FF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8"/>
      <name val="Arial"/>
      <family val="2"/>
    </font>
    <font>
      <sz val="10"/>
      <color theme="4" tint="-0.249977111117893"/>
      <name val="Arial"/>
      <family val="2"/>
    </font>
    <font>
      <b/>
      <u/>
      <sz val="8"/>
      <name val="Arial"/>
      <family val="2"/>
    </font>
    <font>
      <u/>
      <sz val="10"/>
      <color theme="1"/>
      <name val="Arial"/>
      <family val="2"/>
    </font>
    <font>
      <sz val="10"/>
      <color rgb="FFC00000"/>
      <name val="Arial"/>
      <family val="2"/>
    </font>
    <font>
      <sz val="9"/>
      <color indexed="81"/>
      <name val="Tahoma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9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9"/>
      <color indexed="81"/>
      <name val="Tahoma"/>
      <charset val="1"/>
    </font>
    <font>
      <sz val="10"/>
      <color theme="1"/>
      <name val="Arial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14" fillId="0" borderId="0"/>
  </cellStyleXfs>
  <cellXfs count="109">
    <xf numFmtId="0" fontId="0" fillId="0" borderId="0" xfId="0"/>
    <xf numFmtId="0" fontId="2" fillId="2" borderId="0" xfId="4" applyFill="1"/>
    <xf numFmtId="164" fontId="2" fillId="2" borderId="0" xfId="4" applyNumberFormat="1" applyFill="1" applyAlignment="1">
      <alignment horizontal="right"/>
    </xf>
    <xf numFmtId="0" fontId="0" fillId="2" borderId="0" xfId="0" applyFill="1"/>
    <xf numFmtId="165" fontId="5" fillId="0" borderId="0" xfId="4" applyNumberFormat="1" applyFont="1" applyAlignment="1">
      <alignment horizontal="right"/>
    </xf>
    <xf numFmtId="165" fontId="6" fillId="0" borderId="0" xfId="4" applyNumberFormat="1" applyFont="1" applyAlignment="1">
      <alignment horizontal="right"/>
    </xf>
    <xf numFmtId="0" fontId="7" fillId="2" borderId="0" xfId="0" applyFont="1" applyFill="1"/>
    <xf numFmtId="0" fontId="2" fillId="0" borderId="0" xfId="4" applyAlignment="1">
      <alignment horizontal="left"/>
    </xf>
    <xf numFmtId="166" fontId="8" fillId="0" borderId="0" xfId="1" applyNumberFormat="1" applyFont="1"/>
    <xf numFmtId="0" fontId="9" fillId="0" borderId="0" xfId="0" applyFont="1"/>
    <xf numFmtId="0" fontId="1" fillId="0" borderId="0" xfId="4" applyFont="1" applyAlignment="1">
      <alignment horizontal="left"/>
    </xf>
    <xf numFmtId="166" fontId="6" fillId="0" borderId="0" xfId="1" applyNumberFormat="1" applyFont="1"/>
    <xf numFmtId="0" fontId="3" fillId="0" borderId="0" xfId="4" applyFont="1" applyAlignment="1">
      <alignment horizontal="left"/>
    </xf>
    <xf numFmtId="0" fontId="6" fillId="0" borderId="0" xfId="4" applyFont="1" applyAlignment="1">
      <alignment horizontal="left"/>
    </xf>
    <xf numFmtId="166" fontId="5" fillId="0" borderId="0" xfId="1" applyNumberFormat="1" applyFont="1"/>
    <xf numFmtId="166" fontId="6" fillId="0" borderId="0" xfId="1" applyNumberFormat="1" applyFont="1" applyFill="1"/>
    <xf numFmtId="166" fontId="8" fillId="0" borderId="0" xfId="1" applyNumberFormat="1" applyFont="1" applyFill="1"/>
    <xf numFmtId="0" fontId="5" fillId="0" borderId="0" xfId="4" applyFont="1" applyAlignment="1">
      <alignment horizontal="left"/>
    </xf>
    <xf numFmtId="167" fontId="5" fillId="0" borderId="0" xfId="4" applyNumberFormat="1" applyFont="1"/>
    <xf numFmtId="168" fontId="5" fillId="0" borderId="0" xfId="4" applyNumberFormat="1" applyFont="1"/>
    <xf numFmtId="8" fontId="0" fillId="0" borderId="0" xfId="0" applyNumberFormat="1"/>
    <xf numFmtId="3" fontId="0" fillId="0" borderId="0" xfId="0" applyNumberFormat="1"/>
    <xf numFmtId="0" fontId="10" fillId="0" borderId="0" xfId="4" applyFont="1" applyAlignment="1">
      <alignment horizontal="right"/>
    </xf>
    <xf numFmtId="14" fontId="0" fillId="0" borderId="0" xfId="0" applyNumberFormat="1"/>
    <xf numFmtId="6" fontId="0" fillId="0" borderId="0" xfId="0" applyNumberFormat="1"/>
    <xf numFmtId="168" fontId="8" fillId="0" borderId="0" xfId="4" applyNumberFormat="1" applyFont="1"/>
    <xf numFmtId="165" fontId="8" fillId="0" borderId="0" xfId="4" applyNumberFormat="1" applyFont="1" applyAlignment="1">
      <alignment horizontal="right"/>
    </xf>
    <xf numFmtId="3" fontId="9" fillId="0" borderId="0" xfId="0" applyNumberFormat="1" applyFont="1"/>
    <xf numFmtId="168" fontId="6" fillId="0" borderId="0" xfId="4" applyNumberFormat="1" applyFont="1"/>
    <xf numFmtId="168" fontId="0" fillId="0" borderId="0" xfId="0" applyNumberFormat="1"/>
    <xf numFmtId="6" fontId="9" fillId="0" borderId="0" xfId="0" applyNumberFormat="1" applyFont="1"/>
    <xf numFmtId="5" fontId="11" fillId="0" borderId="0" xfId="0" applyNumberFormat="1" applyFont="1"/>
    <xf numFmtId="166" fontId="0" fillId="0" borderId="0" xfId="0" applyNumberFormat="1"/>
    <xf numFmtId="169" fontId="6" fillId="0" borderId="0" xfId="4" applyNumberFormat="1" applyFont="1"/>
    <xf numFmtId="169" fontId="5" fillId="0" borderId="0" xfId="4" applyNumberFormat="1" applyFont="1"/>
    <xf numFmtId="0" fontId="0" fillId="0" borderId="0" xfId="0" applyAlignment="1">
      <alignment horizontal="left"/>
    </xf>
    <xf numFmtId="166" fontId="0" fillId="0" borderId="0" xfId="1" applyNumberFormat="1" applyFont="1"/>
    <xf numFmtId="0" fontId="6" fillId="0" borderId="0" xfId="0" applyFont="1" applyAlignment="1">
      <alignment horizontal="left"/>
    </xf>
    <xf numFmtId="166" fontId="9" fillId="0" borderId="0" xfId="1" applyNumberFormat="1" applyFont="1"/>
    <xf numFmtId="9" fontId="0" fillId="0" borderId="0" xfId="0" applyNumberFormat="1"/>
    <xf numFmtId="166" fontId="6" fillId="0" borderId="0" xfId="1" applyNumberFormat="1" applyFont="1" applyAlignment="1">
      <alignment horizontal="right"/>
    </xf>
    <xf numFmtId="166" fontId="4" fillId="0" borderId="0" xfId="1" applyNumberFormat="1" applyFont="1"/>
    <xf numFmtId="166" fontId="5" fillId="0" borderId="0" xfId="1" applyNumberFormat="1" applyFont="1" applyAlignment="1">
      <alignment horizontal="right"/>
    </xf>
    <xf numFmtId="166" fontId="5" fillId="0" borderId="0" xfId="1" applyNumberFormat="1" applyFont="1" applyFill="1"/>
    <xf numFmtId="0" fontId="11" fillId="0" borderId="0" xfId="0" applyFont="1"/>
    <xf numFmtId="0" fontId="12" fillId="0" borderId="0" xfId="0" applyFont="1"/>
    <xf numFmtId="0" fontId="0" fillId="3" borderId="0" xfId="0" applyFill="1"/>
    <xf numFmtId="0" fontId="15" fillId="4" borderId="0" xfId="5" applyFont="1" applyFill="1" applyAlignment="1">
      <alignment wrapText="1"/>
    </xf>
    <xf numFmtId="0" fontId="16" fillId="4" borderId="0" xfId="5" applyFont="1" applyFill="1" applyAlignment="1">
      <alignment wrapText="1" indent="1"/>
    </xf>
    <xf numFmtId="166" fontId="17" fillId="0" borderId="0" xfId="1" applyNumberFormat="1" applyFont="1"/>
    <xf numFmtId="166" fontId="17" fillId="0" borderId="0" xfId="1" applyNumberFormat="1" applyFont="1" applyFill="1"/>
    <xf numFmtId="0" fontId="15" fillId="4" borderId="1" xfId="5" applyFont="1" applyFill="1" applyBorder="1" applyAlignment="1">
      <alignment wrapText="1"/>
    </xf>
    <xf numFmtId="166" fontId="12" fillId="0" borderId="0" xfId="1" applyNumberFormat="1" applyFont="1"/>
    <xf numFmtId="166" fontId="12" fillId="0" borderId="0" xfId="1" applyNumberFormat="1" applyFont="1" applyFill="1"/>
    <xf numFmtId="0" fontId="18" fillId="4" borderId="0" xfId="5" applyFont="1" applyFill="1" applyAlignment="1">
      <alignment wrapText="1"/>
    </xf>
    <xf numFmtId="0" fontId="16" fillId="4" borderId="0" xfId="5" applyFont="1" applyFill="1" applyAlignment="1">
      <alignment horizontal="left"/>
    </xf>
    <xf numFmtId="0" fontId="16" fillId="4" borderId="0" xfId="5" applyFont="1" applyFill="1" applyAlignment="1">
      <alignment wrapText="1"/>
    </xf>
    <xf numFmtId="9" fontId="0" fillId="0" borderId="0" xfId="3" applyFont="1"/>
    <xf numFmtId="0" fontId="12" fillId="4" borderId="0" xfId="0" applyFont="1" applyFill="1"/>
    <xf numFmtId="0" fontId="19" fillId="0" borderId="0" xfId="0" applyFont="1"/>
    <xf numFmtId="0" fontId="20" fillId="5" borderId="0" xfId="0" applyFont="1" applyFill="1"/>
    <xf numFmtId="0" fontId="0" fillId="5" borderId="0" xfId="0" applyFill="1"/>
    <xf numFmtId="166" fontId="0" fillId="5" borderId="0" xfId="1" applyNumberFormat="1" applyFont="1" applyFill="1"/>
    <xf numFmtId="0" fontId="17" fillId="0" borderId="0" xfId="0" applyFont="1"/>
    <xf numFmtId="0" fontId="15" fillId="0" borderId="0" xfId="0" applyFont="1"/>
    <xf numFmtId="166" fontId="22" fillId="4" borderId="0" xfId="0" applyNumberFormat="1" applyFont="1" applyFill="1"/>
    <xf numFmtId="0" fontId="22" fillId="4" borderId="0" xfId="0" applyFont="1" applyFill="1"/>
    <xf numFmtId="166" fontId="22" fillId="4" borderId="0" xfId="1" applyNumberFormat="1" applyFont="1" applyFill="1"/>
    <xf numFmtId="9" fontId="22" fillId="4" borderId="0" xfId="3" applyFont="1" applyFill="1"/>
    <xf numFmtId="166" fontId="23" fillId="4" borderId="0" xfId="0" applyNumberFormat="1" applyFont="1" applyFill="1"/>
    <xf numFmtId="0" fontId="0" fillId="6" borderId="0" xfId="0" applyFill="1"/>
    <xf numFmtId="0" fontId="24" fillId="4" borderId="0" xfId="0" applyFont="1" applyFill="1"/>
    <xf numFmtId="166" fontId="24" fillId="4" borderId="0" xfId="1" applyNumberFormat="1" applyFont="1" applyFill="1"/>
    <xf numFmtId="166" fontId="24" fillId="4" borderId="0" xfId="0" applyNumberFormat="1" applyFont="1" applyFill="1"/>
    <xf numFmtId="166" fontId="22" fillId="4" borderId="0" xfId="1" applyNumberFormat="1" applyFont="1" applyFill="1" applyBorder="1"/>
    <xf numFmtId="166" fontId="22" fillId="6" borderId="0" xfId="0" applyNumberFormat="1" applyFont="1" applyFill="1"/>
    <xf numFmtId="0" fontId="16" fillId="4" borderId="0" xfId="0" applyFont="1" applyFill="1"/>
    <xf numFmtId="0" fontId="0" fillId="4" borderId="0" xfId="0" applyFill="1"/>
    <xf numFmtId="1" fontId="22" fillId="4" borderId="0" xfId="0" applyNumberFormat="1" applyFont="1" applyFill="1"/>
    <xf numFmtId="0" fontId="22" fillId="6" borderId="0" xfId="0" applyFont="1" applyFill="1"/>
    <xf numFmtId="1" fontId="22" fillId="6" borderId="0" xfId="0" applyNumberFormat="1" applyFont="1" applyFill="1"/>
    <xf numFmtId="10" fontId="22" fillId="4" borderId="0" xfId="0" applyNumberFormat="1" applyFont="1" applyFill="1"/>
    <xf numFmtId="10" fontId="0" fillId="0" borderId="0" xfId="0" applyNumberFormat="1"/>
    <xf numFmtId="170" fontId="24" fillId="4" borderId="0" xfId="3" applyNumberFormat="1" applyFont="1" applyFill="1"/>
    <xf numFmtId="2" fontId="22" fillId="4" borderId="0" xfId="3" applyNumberFormat="1" applyFont="1" applyFill="1"/>
    <xf numFmtId="2" fontId="24" fillId="4" borderId="0" xfId="3" applyNumberFormat="1" applyFont="1" applyFill="1"/>
    <xf numFmtId="10" fontId="25" fillId="4" borderId="0" xfId="3" applyNumberFormat="1" applyFont="1" applyFill="1"/>
    <xf numFmtId="0" fontId="26" fillId="4" borderId="0" xfId="0" applyFont="1" applyFill="1"/>
    <xf numFmtId="171" fontId="26" fillId="4" borderId="0" xfId="0" applyNumberFormat="1" applyFont="1" applyFill="1"/>
    <xf numFmtId="171" fontId="22" fillId="4" borderId="0" xfId="0" applyNumberFormat="1" applyFont="1" applyFill="1"/>
    <xf numFmtId="0" fontId="22" fillId="0" borderId="0" xfId="0" applyFont="1"/>
    <xf numFmtId="43" fontId="22" fillId="4" borderId="0" xfId="1" applyFont="1" applyFill="1"/>
    <xf numFmtId="0" fontId="27" fillId="6" borderId="0" xfId="0" applyFont="1" applyFill="1"/>
    <xf numFmtId="10" fontId="22" fillId="0" borderId="0" xfId="0" applyNumberFormat="1" applyFont="1"/>
    <xf numFmtId="0" fontId="20" fillId="2" borderId="0" xfId="0" applyFont="1" applyFill="1"/>
    <xf numFmtId="10" fontId="25" fillId="2" borderId="0" xfId="3" applyNumberFormat="1" applyFont="1" applyFill="1"/>
    <xf numFmtId="39" fontId="26" fillId="4" borderId="0" xfId="3" applyNumberFormat="1" applyFont="1" applyFill="1"/>
    <xf numFmtId="10" fontId="28" fillId="4" borderId="0" xfId="3" applyNumberFormat="1" applyFont="1" applyFill="1"/>
    <xf numFmtId="3" fontId="26" fillId="4" borderId="0" xfId="3" applyNumberFormat="1" applyFont="1" applyFill="1"/>
    <xf numFmtId="10" fontId="26" fillId="4" borderId="0" xfId="3" applyNumberFormat="1" applyFont="1" applyFill="1"/>
    <xf numFmtId="37" fontId="26" fillId="4" borderId="0" xfId="3" applyNumberFormat="1" applyFont="1" applyFill="1"/>
    <xf numFmtId="39" fontId="26" fillId="4" borderId="0" xfId="2" applyNumberFormat="1" applyFont="1" applyFill="1"/>
    <xf numFmtId="37" fontId="26" fillId="6" borderId="0" xfId="3" applyNumberFormat="1" applyFont="1" applyFill="1"/>
    <xf numFmtId="170" fontId="26" fillId="4" borderId="0" xfId="3" applyNumberFormat="1" applyFont="1" applyFill="1"/>
    <xf numFmtId="170" fontId="26" fillId="0" borderId="0" xfId="3" applyNumberFormat="1" applyFont="1" applyFill="1"/>
    <xf numFmtId="170" fontId="26" fillId="6" borderId="0" xfId="3" applyNumberFormat="1" applyFont="1" applyFill="1"/>
    <xf numFmtId="10" fontId="29" fillId="4" borderId="0" xfId="3" applyNumberFormat="1" applyFont="1" applyFill="1"/>
    <xf numFmtId="0" fontId="31" fillId="7" borderId="0" xfId="0" applyFont="1" applyFill="1"/>
    <xf numFmtId="0" fontId="0" fillId="7" borderId="0" xfId="0" applyFill="1"/>
  </cellXfs>
  <cellStyles count="6">
    <cellStyle name="Comma" xfId="1" builtinId="3"/>
    <cellStyle name="Currency" xfId="2" builtinId="4"/>
    <cellStyle name="Normal" xfId="0" builtinId="0"/>
    <cellStyle name="Normal 2" xfId="4" xr:uid="{47AE8F1B-5047-4B65-9E64-A5EA735CB79F}"/>
    <cellStyle name="Normal 39" xfId="5" xr:uid="{747D2EA3-23BC-46CE-AB21-634FBE66D808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thgeber, Divon" id="{076276F4-7EE9-41B5-8C99-451477368FA6}" userId="S::dingfang.rathgeber@bernstein.com::e16eb963-d8e5-49a8-bd20-2e951ea9ab42" providerId="AD"/>
</personList>
</file>

<file path=xl/theme/theme1.xml><?xml version="1.0" encoding="utf-8"?>
<a:theme xmlns:a="http://schemas.openxmlformats.org/drawingml/2006/main" name="Office Theme">
  <a:themeElements>
    <a:clrScheme name="SCBATMTheme">
      <a:dk1>
        <a:srgbClr val="000000"/>
      </a:dk1>
      <a:lt1>
        <a:srgbClr val="FFFFFF"/>
      </a:lt1>
      <a:dk2>
        <a:srgbClr val="C0C0C0"/>
      </a:dk2>
      <a:lt2>
        <a:srgbClr val="F0F0F0"/>
      </a:lt2>
      <a:accent1>
        <a:srgbClr val="1E9BD7"/>
      </a:accent1>
      <a:accent2>
        <a:srgbClr val="1F497D"/>
      </a:accent2>
      <a:accent3>
        <a:srgbClr val="1CD8C0"/>
      </a:accent3>
      <a:accent4>
        <a:srgbClr val="0E6C60"/>
      </a:accent4>
      <a:accent5>
        <a:srgbClr val="8C8C8C"/>
      </a:accent5>
      <a:accent6>
        <a:srgbClr val="43377D"/>
      </a:accent6>
      <a:hlink>
        <a:srgbClr val="1E9BD7"/>
      </a:hlink>
      <a:folHlink>
        <a:srgbClr val="35353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64" dT="2024-06-12T17:55:57.48" personId="{076276F4-7EE9-41B5-8C99-451477368FA6}" id="{307359F5-DE34-4907-8E24-F05635EDB989}">
    <text>Stopped reporting</text>
  </threadedComment>
  <threadedComment ref="M179" dT="2024-06-12T17:55:57.48" personId="{076276F4-7EE9-41B5-8C99-451477368FA6}" id="{AB06D852-A93B-4B65-9E57-168FF47EA987}">
    <text>Stopped reporting</text>
  </threadedComment>
  <threadedComment ref="J207" dT="2024-06-13T23:17:36.67" personId="{076276F4-7EE9-41B5-8C99-451477368FA6}" id="{A97F18C3-56EF-4675-805C-2FEBE8825E66}">
    <text>Changed the definition of Broadband to include FWA</text>
  </threadedComment>
  <threadedComment ref="J221" dT="2024-06-13T23:17:36.67" personId="{076276F4-7EE9-41B5-8C99-451477368FA6}" id="{37C7853E-4150-43D4-A6B6-DF95EFC93620}">
    <text>Changed the definition of Broadband to include FWA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3D1055-EF92-42F6-9555-1F4F7DF2131A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4b731f81-e752-4bde-a105-e4178e6d795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13F6-249E-4F6B-B834-510B5D53FCF2}">
  <dimension ref="A1:AV173"/>
  <sheetViews>
    <sheetView showGridLines="0" zoomScale="70" zoomScaleNormal="70" workbookViewId="0">
      <pane xSplit="1" ySplit="2" topLeftCell="U5" activePane="bottomRight" state="frozen"/>
      <selection pane="topRight"/>
      <selection pane="bottomLeft"/>
      <selection pane="bottomRight" activeCell="AG38" sqref="AG38"/>
    </sheetView>
  </sheetViews>
  <sheetFormatPr defaultRowHeight="13.2" outlineLevelRow="1" x14ac:dyDescent="0.25"/>
  <cols>
    <col min="1" max="1" width="52" bestFit="1" customWidth="1"/>
    <col min="2" max="3" width="10.6640625" bestFit="1" customWidth="1"/>
    <col min="4" max="5" width="10.88671875" bestFit="1" customWidth="1"/>
    <col min="6" max="7" width="10.6640625" bestFit="1" customWidth="1"/>
    <col min="8" max="19" width="10.88671875" bestFit="1" customWidth="1"/>
    <col min="20" max="20" width="10.6640625" bestFit="1" customWidth="1"/>
    <col min="21" max="21" width="11.109375" bestFit="1" customWidth="1"/>
    <col min="22" max="23" width="10.6640625" bestFit="1" customWidth="1"/>
    <col min="24" max="32" width="10.6640625" customWidth="1"/>
    <col min="33" max="40" width="11.6640625" bestFit="1" customWidth="1"/>
  </cols>
  <sheetData>
    <row r="1" spans="1:40" ht="14.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/>
      <c r="AH1" s="2"/>
      <c r="AI1" s="2"/>
      <c r="AJ1" s="2"/>
      <c r="AK1" s="2"/>
      <c r="AL1" s="2"/>
      <c r="AM1" s="2"/>
      <c r="AN1" s="2"/>
    </row>
    <row r="2" spans="1:40" ht="14.4" hidden="1" x14ac:dyDescent="0.3">
      <c r="B2" s="4">
        <v>2019</v>
      </c>
      <c r="C2" s="4">
        <v>2019</v>
      </c>
      <c r="D2" s="4">
        <v>2019</v>
      </c>
      <c r="E2" s="4">
        <v>2019</v>
      </c>
      <c r="F2" s="4">
        <v>2020</v>
      </c>
      <c r="G2" s="4">
        <v>2020</v>
      </c>
      <c r="H2" s="4">
        <v>2020</v>
      </c>
      <c r="I2" s="4">
        <v>2020</v>
      </c>
      <c r="J2" s="4">
        <v>2021</v>
      </c>
      <c r="K2" s="4">
        <v>2021</v>
      </c>
      <c r="L2" s="4">
        <v>2021</v>
      </c>
      <c r="M2" s="4">
        <v>2021</v>
      </c>
      <c r="N2" s="4">
        <v>2022</v>
      </c>
      <c r="O2" s="4">
        <v>2022</v>
      </c>
      <c r="P2" s="4">
        <v>2022</v>
      </c>
      <c r="Q2" s="4">
        <v>2022</v>
      </c>
      <c r="R2" s="4">
        <v>2023</v>
      </c>
      <c r="S2" s="4">
        <v>2023</v>
      </c>
      <c r="T2" s="4">
        <v>2023</v>
      </c>
      <c r="U2" s="4">
        <v>2023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>
        <v>2018</v>
      </c>
      <c r="AH2" s="5">
        <f>AG2+1</f>
        <v>2019</v>
      </c>
      <c r="AI2" s="5">
        <f>AH2+1</f>
        <v>2020</v>
      </c>
      <c r="AJ2" s="5">
        <f>AI2+1</f>
        <v>2021</v>
      </c>
      <c r="AK2" s="5">
        <f>AJ2+1</f>
        <v>2022</v>
      </c>
      <c r="AL2" s="5">
        <v>2023</v>
      </c>
      <c r="AM2" s="5">
        <v>2023</v>
      </c>
      <c r="AN2" s="5"/>
    </row>
    <row r="3" spans="1:40" hidden="1" x14ac:dyDescent="0.25">
      <c r="B3">
        <v>1</v>
      </c>
      <c r="C3">
        <f>B3+1</f>
        <v>2</v>
      </c>
      <c r="D3">
        <f>C3+1</f>
        <v>3</v>
      </c>
      <c r="E3">
        <f>D3+1</f>
        <v>4</v>
      </c>
      <c r="F3">
        <v>1</v>
      </c>
      <c r="G3">
        <f>F3+1</f>
        <v>2</v>
      </c>
      <c r="H3">
        <f>G3+1</f>
        <v>3</v>
      </c>
      <c r="I3">
        <f>H3+1</f>
        <v>4</v>
      </c>
      <c r="J3">
        <v>1</v>
      </c>
      <c r="K3">
        <f>J3+1</f>
        <v>2</v>
      </c>
      <c r="L3">
        <f>K3+1</f>
        <v>3</v>
      </c>
      <c r="M3">
        <f>L3+1</f>
        <v>4</v>
      </c>
      <c r="N3">
        <v>1</v>
      </c>
      <c r="O3">
        <f>N3+1</f>
        <v>2</v>
      </c>
      <c r="P3">
        <f>O3+1</f>
        <v>3</v>
      </c>
      <c r="Q3">
        <f>P3+1</f>
        <v>4</v>
      </c>
      <c r="R3">
        <v>1</v>
      </c>
      <c r="S3">
        <f>R3+1</f>
        <v>2</v>
      </c>
      <c r="T3">
        <f>S3+1</f>
        <v>3</v>
      </c>
      <c r="U3">
        <f>T3+1</f>
        <v>4</v>
      </c>
    </row>
    <row r="5" spans="1:40" x14ac:dyDescent="0.25">
      <c r="A5" s="6" t="s">
        <v>1</v>
      </c>
      <c r="B5" s="6" t="str">
        <f>_xlfn.CONCAT(B3,"Q",B2)</f>
        <v>1Q2019</v>
      </c>
      <c r="C5" s="6" t="str">
        <f t="shared" ref="C5:U5" si="0">_xlfn.CONCAT(C3,"Q",C2)</f>
        <v>2Q2019</v>
      </c>
      <c r="D5" s="6" t="str">
        <f t="shared" si="0"/>
        <v>3Q2019</v>
      </c>
      <c r="E5" s="6" t="str">
        <f t="shared" si="0"/>
        <v>4Q2019</v>
      </c>
      <c r="F5" s="6" t="str">
        <f t="shared" si="0"/>
        <v>1Q2020</v>
      </c>
      <c r="G5" s="6" t="str">
        <f t="shared" si="0"/>
        <v>2Q2020</v>
      </c>
      <c r="H5" s="6" t="str">
        <f t="shared" si="0"/>
        <v>3Q2020</v>
      </c>
      <c r="I5" s="6" t="str">
        <f t="shared" si="0"/>
        <v>4Q2020</v>
      </c>
      <c r="J5" s="6" t="str">
        <f t="shared" si="0"/>
        <v>1Q2021</v>
      </c>
      <c r="K5" s="6" t="str">
        <f t="shared" si="0"/>
        <v>2Q2021</v>
      </c>
      <c r="L5" s="6" t="str">
        <f t="shared" si="0"/>
        <v>3Q2021</v>
      </c>
      <c r="M5" s="6" t="str">
        <f t="shared" si="0"/>
        <v>4Q2021</v>
      </c>
      <c r="N5" s="6" t="str">
        <f t="shared" si="0"/>
        <v>1Q2022</v>
      </c>
      <c r="O5" s="6" t="str">
        <f t="shared" si="0"/>
        <v>2Q2022</v>
      </c>
      <c r="P5" s="6" t="str">
        <f t="shared" si="0"/>
        <v>3Q2022</v>
      </c>
      <c r="Q5" s="6" t="str">
        <f t="shared" si="0"/>
        <v>4Q2022</v>
      </c>
      <c r="R5" s="6" t="str">
        <f t="shared" si="0"/>
        <v>1Q2023</v>
      </c>
      <c r="S5" s="6" t="str">
        <f t="shared" si="0"/>
        <v>2Q2023</v>
      </c>
      <c r="T5" s="6" t="str">
        <f t="shared" si="0"/>
        <v>3Q2023</v>
      </c>
      <c r="U5" s="6" t="str">
        <f t="shared" si="0"/>
        <v>4Q2023</v>
      </c>
      <c r="V5" s="6" t="s">
        <v>2</v>
      </c>
      <c r="W5" s="6" t="s">
        <v>3</v>
      </c>
      <c r="X5" s="6" t="s">
        <v>4</v>
      </c>
      <c r="Y5" s="6" t="s">
        <v>5</v>
      </c>
      <c r="Z5" s="6" t="s">
        <v>6</v>
      </c>
      <c r="AA5" s="6" t="s">
        <v>7</v>
      </c>
      <c r="AB5" s="6" t="s">
        <v>8</v>
      </c>
      <c r="AC5" s="6" t="s">
        <v>9</v>
      </c>
      <c r="AD5" s="6" t="s">
        <v>10</v>
      </c>
      <c r="AE5" s="6" t="s">
        <v>282</v>
      </c>
      <c r="AF5" s="6"/>
      <c r="AG5" s="6">
        <v>2018</v>
      </c>
      <c r="AH5" s="6">
        <f>AG5+1</f>
        <v>2019</v>
      </c>
      <c r="AI5" s="6">
        <f>AH5+1</f>
        <v>2020</v>
      </c>
      <c r="AJ5" s="6">
        <f>AI5+1</f>
        <v>2021</v>
      </c>
      <c r="AK5" s="6">
        <f>AJ5+1</f>
        <v>2022</v>
      </c>
      <c r="AL5" s="6">
        <v>2023</v>
      </c>
      <c r="AM5" s="6">
        <v>2024</v>
      </c>
      <c r="AN5" s="6">
        <v>2025</v>
      </c>
    </row>
    <row r="6" spans="1:40" s="9" customFormat="1" ht="14.4" outlineLevel="1" x14ac:dyDescent="0.3">
      <c r="A6" s="7" t="s">
        <v>11</v>
      </c>
      <c r="B6" s="8">
        <v>27197</v>
      </c>
      <c r="C6" s="8">
        <v>27351</v>
      </c>
      <c r="D6" s="8">
        <v>27753</v>
      </c>
      <c r="E6" s="8">
        <f>AH6-SUM(B6:D6)</f>
        <v>28004</v>
      </c>
      <c r="F6" s="8">
        <v>27481</v>
      </c>
      <c r="G6" s="8">
        <v>26692</v>
      </c>
      <c r="H6" s="8">
        <v>27431</v>
      </c>
      <c r="I6" s="8">
        <f>AI6-SUM(F6:H6)</f>
        <v>28268</v>
      </c>
      <c r="J6" s="8">
        <v>27923</v>
      </c>
      <c r="K6" s="8">
        <v>28221</v>
      </c>
      <c r="L6" s="8">
        <v>27565</v>
      </c>
      <c r="M6" s="8">
        <f>AJ6-SUM(J6:L6)</f>
        <v>26740</v>
      </c>
      <c r="N6" s="8">
        <v>27218</v>
      </c>
      <c r="O6" s="8">
        <v>27115</v>
      </c>
      <c r="P6" s="8">
        <v>27666</v>
      </c>
      <c r="Q6" s="8">
        <f>AK6-SUM(N6:P6)</f>
        <v>27626</v>
      </c>
      <c r="R6" s="8">
        <v>27152</v>
      </c>
      <c r="S6" s="8">
        <v>27319</v>
      </c>
      <c r="T6" s="8">
        <v>27523</v>
      </c>
      <c r="U6" s="8">
        <f>AL6-SUM(R6:T6)</f>
        <v>27658</v>
      </c>
      <c r="V6" s="8">
        <v>27620</v>
      </c>
      <c r="W6" s="8">
        <v>27798</v>
      </c>
      <c r="X6" s="8">
        <v>27987</v>
      </c>
      <c r="Y6" s="8">
        <v>28166</v>
      </c>
      <c r="Z6" s="8">
        <v>28087</v>
      </c>
      <c r="AA6" s="8">
        <v>28249</v>
      </c>
      <c r="AB6" s="8">
        <v>28202</v>
      </c>
      <c r="AC6" s="8">
        <v>28183</v>
      </c>
      <c r="AD6" s="8">
        <v>28759</v>
      </c>
      <c r="AE6" s="8">
        <v>29229</v>
      </c>
      <c r="AF6" s="8"/>
      <c r="AG6" s="8">
        <v>108605</v>
      </c>
      <c r="AH6" s="8">
        <v>110305</v>
      </c>
      <c r="AI6" s="8">
        <v>109872</v>
      </c>
      <c r="AJ6" s="8">
        <v>110449</v>
      </c>
      <c r="AK6" s="8">
        <v>109625</v>
      </c>
      <c r="AL6" s="8">
        <v>109652</v>
      </c>
      <c r="AM6" s="8">
        <f>SUM(V6:Y6)</f>
        <v>111571</v>
      </c>
      <c r="AN6" s="8">
        <f>SUM(Z6:AC6)</f>
        <v>112721</v>
      </c>
    </row>
    <row r="7" spans="1:40" ht="14.4" outlineLevel="1" x14ac:dyDescent="0.3">
      <c r="A7" s="10" t="s">
        <v>12</v>
      </c>
      <c r="B7" s="8">
        <v>4931</v>
      </c>
      <c r="C7" s="8">
        <v>4720</v>
      </c>
      <c r="D7" s="8">
        <v>5141</v>
      </c>
      <c r="E7" s="8">
        <f>AH7-SUM(B7:D7)</f>
        <v>6771</v>
      </c>
      <c r="F7" s="8">
        <v>4129</v>
      </c>
      <c r="G7" s="8">
        <v>3755</v>
      </c>
      <c r="H7" s="8">
        <v>4112</v>
      </c>
      <c r="I7" s="8">
        <f>AI7-SUM(F7:H7)</f>
        <v>6424</v>
      </c>
      <c r="J7" s="8">
        <v>4944</v>
      </c>
      <c r="K7" s="8">
        <v>5543</v>
      </c>
      <c r="L7" s="8">
        <v>5350</v>
      </c>
      <c r="M7" s="8">
        <f>AJ7-SUM(J7:L7)</f>
        <v>7327</v>
      </c>
      <c r="N7" s="8">
        <v>6336</v>
      </c>
      <c r="O7" s="8">
        <v>6674</v>
      </c>
      <c r="P7" s="8">
        <v>6575</v>
      </c>
      <c r="Q7" s="8">
        <f>AK7-SUM(N7:P7)</f>
        <v>7625</v>
      </c>
      <c r="R7" s="8">
        <v>5760</v>
      </c>
      <c r="S7" s="8">
        <v>5277</v>
      </c>
      <c r="T7" s="8">
        <v>5813</v>
      </c>
      <c r="U7" s="8">
        <f>AL7-SUM(R7:T7)</f>
        <v>7472</v>
      </c>
      <c r="V7" s="8">
        <v>5361</v>
      </c>
      <c r="W7" s="8">
        <v>4998</v>
      </c>
      <c r="X7" s="8">
        <v>5343</v>
      </c>
      <c r="Y7" s="8">
        <v>7515</v>
      </c>
      <c r="Z7" s="8">
        <v>5398</v>
      </c>
      <c r="AA7" s="8">
        <v>6255</v>
      </c>
      <c r="AB7" s="8">
        <v>5619</v>
      </c>
      <c r="AC7" s="8">
        <v>8198</v>
      </c>
      <c r="AD7" s="8">
        <v>5681</v>
      </c>
      <c r="AE7" s="8">
        <v>5024</v>
      </c>
      <c r="AF7" s="8"/>
      <c r="AG7" s="8">
        <v>22258</v>
      </c>
      <c r="AH7" s="8">
        <v>21563</v>
      </c>
      <c r="AI7" s="8">
        <v>18420</v>
      </c>
      <c r="AJ7" s="8">
        <v>23164</v>
      </c>
      <c r="AK7" s="8">
        <v>27210</v>
      </c>
      <c r="AL7" s="8">
        <v>24322</v>
      </c>
      <c r="AM7" s="8">
        <f>SUM(V7:Y7)</f>
        <v>23217</v>
      </c>
      <c r="AN7" s="8">
        <f t="shared" ref="AN7:AN24" si="1">SUM(Z7:AC7)</f>
        <v>25470</v>
      </c>
    </row>
    <row r="8" spans="1:40" s="9" customFormat="1" ht="14.4" outlineLevel="1" x14ac:dyDescent="0.3">
      <c r="A8" s="9" t="s">
        <v>13</v>
      </c>
      <c r="B8" s="11">
        <f t="shared" ref="B8:S8" si="2">SUM(B6:B7)</f>
        <v>32128</v>
      </c>
      <c r="C8" s="11">
        <f t="shared" si="2"/>
        <v>32071</v>
      </c>
      <c r="D8" s="11">
        <f t="shared" si="2"/>
        <v>32894</v>
      </c>
      <c r="E8" s="11">
        <f t="shared" si="2"/>
        <v>34775</v>
      </c>
      <c r="F8" s="11">
        <f t="shared" si="2"/>
        <v>31610</v>
      </c>
      <c r="G8" s="11">
        <f t="shared" si="2"/>
        <v>30447</v>
      </c>
      <c r="H8" s="11">
        <f t="shared" si="2"/>
        <v>31543</v>
      </c>
      <c r="I8" s="11">
        <f t="shared" si="2"/>
        <v>34692</v>
      </c>
      <c r="J8" s="11">
        <f t="shared" si="2"/>
        <v>32867</v>
      </c>
      <c r="K8" s="11">
        <f t="shared" si="2"/>
        <v>33764</v>
      </c>
      <c r="L8" s="11">
        <f t="shared" si="2"/>
        <v>32915</v>
      </c>
      <c r="M8" s="11">
        <f t="shared" si="2"/>
        <v>34067</v>
      </c>
      <c r="N8" s="11">
        <f t="shared" si="2"/>
        <v>33554</v>
      </c>
      <c r="O8" s="11">
        <f t="shared" si="2"/>
        <v>33789</v>
      </c>
      <c r="P8" s="11">
        <f t="shared" si="2"/>
        <v>34241</v>
      </c>
      <c r="Q8" s="11">
        <f t="shared" si="2"/>
        <v>35251</v>
      </c>
      <c r="R8" s="11">
        <f t="shared" si="2"/>
        <v>32912</v>
      </c>
      <c r="S8" s="11">
        <f t="shared" si="2"/>
        <v>32596</v>
      </c>
      <c r="T8" s="11">
        <f>SUM(T6:T7)</f>
        <v>33336</v>
      </c>
      <c r="U8" s="11">
        <f>SUM(U6:U7)</f>
        <v>35130</v>
      </c>
      <c r="V8" s="11">
        <f>SUM(V6:V7)</f>
        <v>32981</v>
      </c>
      <c r="W8" s="11">
        <v>32796</v>
      </c>
      <c r="X8" s="11">
        <v>33330</v>
      </c>
      <c r="Y8" s="11">
        <v>35681</v>
      </c>
      <c r="Z8" s="11">
        <v>33485</v>
      </c>
      <c r="AA8" s="11">
        <v>34504</v>
      </c>
      <c r="AB8" s="11">
        <v>33821</v>
      </c>
      <c r="AC8" s="11">
        <f>SUM(AC6:AC7)</f>
        <v>36381</v>
      </c>
      <c r="AD8" s="11">
        <v>34440</v>
      </c>
      <c r="AE8" s="11">
        <f>SUM(AE6:AE7)</f>
        <v>34253</v>
      </c>
      <c r="AF8" s="11"/>
      <c r="AG8" s="11">
        <f t="shared" ref="AG8:AL8" si="3">SUM(AG6:AG7)</f>
        <v>130863</v>
      </c>
      <c r="AH8" s="11">
        <f t="shared" si="3"/>
        <v>131868</v>
      </c>
      <c r="AI8" s="11">
        <f t="shared" si="3"/>
        <v>128292</v>
      </c>
      <c r="AJ8" s="11">
        <f t="shared" si="3"/>
        <v>133613</v>
      </c>
      <c r="AK8" s="11">
        <f t="shared" si="3"/>
        <v>136835</v>
      </c>
      <c r="AL8" s="11">
        <f t="shared" si="3"/>
        <v>133974</v>
      </c>
      <c r="AM8" s="11">
        <f>SUM(AM6:AM7)</f>
        <v>134788</v>
      </c>
      <c r="AN8" s="11">
        <f t="shared" si="1"/>
        <v>138191</v>
      </c>
    </row>
    <row r="9" spans="1:40" ht="14.4" outlineLevel="1" x14ac:dyDescent="0.3">
      <c r="A9" s="10" t="s">
        <v>14</v>
      </c>
      <c r="B9" s="8">
        <v>7792</v>
      </c>
      <c r="C9" s="8">
        <v>7702</v>
      </c>
      <c r="D9" s="8">
        <v>7902</v>
      </c>
      <c r="E9" s="8">
        <f>AH9-SUM(B9:D9)</f>
        <v>8376</v>
      </c>
      <c r="F9" s="8">
        <v>7754</v>
      </c>
      <c r="G9" s="8">
        <v>7639</v>
      </c>
      <c r="H9" s="8">
        <v>7955</v>
      </c>
      <c r="I9" s="8">
        <f>AI9-SUM(F9:H9)</f>
        <v>8053</v>
      </c>
      <c r="J9" s="8">
        <v>8020</v>
      </c>
      <c r="K9" s="8">
        <v>8324</v>
      </c>
      <c r="L9" s="8">
        <v>7855</v>
      </c>
      <c r="M9" s="8">
        <f>AJ9-SUM(J9:L9)</f>
        <v>7035</v>
      </c>
      <c r="N9" s="8">
        <v>7227</v>
      </c>
      <c r="O9" s="8">
        <v>6932</v>
      </c>
      <c r="P9" s="8">
        <v>7293</v>
      </c>
      <c r="Q9" s="8">
        <f>AK9-SUM(N9:P9)</f>
        <v>7185</v>
      </c>
      <c r="R9" s="8">
        <v>7078</v>
      </c>
      <c r="S9" s="8">
        <v>6986</v>
      </c>
      <c r="T9" s="8">
        <v>7084</v>
      </c>
      <c r="U9" s="8">
        <f>AL9-SUM(R9:T9)</f>
        <v>6952</v>
      </c>
      <c r="V9" s="8">
        <v>6967</v>
      </c>
      <c r="W9" s="8">
        <v>6904</v>
      </c>
      <c r="X9" s="8">
        <v>7193</v>
      </c>
      <c r="Y9" s="8">
        <v>6933</v>
      </c>
      <c r="Z9" s="8">
        <v>6950</v>
      </c>
      <c r="AA9" s="8">
        <v>6878</v>
      </c>
      <c r="AB9" s="8">
        <v>6863</v>
      </c>
      <c r="AC9" s="8">
        <v>7098</v>
      </c>
      <c r="AD9" s="8">
        <v>7167</v>
      </c>
      <c r="AE9" s="8">
        <v>7225</v>
      </c>
      <c r="AF9" s="8"/>
      <c r="AG9" s="8">
        <v>32185</v>
      </c>
      <c r="AH9" s="8">
        <v>31772</v>
      </c>
      <c r="AI9" s="8">
        <v>31401</v>
      </c>
      <c r="AJ9" s="8">
        <v>31234</v>
      </c>
      <c r="AK9" s="8">
        <v>28637</v>
      </c>
      <c r="AL9" s="8">
        <v>28100</v>
      </c>
      <c r="AM9" s="8">
        <f>SUM(V9:Y9)</f>
        <v>27997</v>
      </c>
      <c r="AN9" s="8">
        <f t="shared" si="1"/>
        <v>27789</v>
      </c>
    </row>
    <row r="10" spans="1:40" ht="14.4" outlineLevel="1" x14ac:dyDescent="0.3">
      <c r="A10" s="7" t="s">
        <v>15</v>
      </c>
      <c r="B10" s="8">
        <v>5198</v>
      </c>
      <c r="C10" s="8">
        <v>5019</v>
      </c>
      <c r="D10" s="8">
        <v>5482</v>
      </c>
      <c r="E10" s="8">
        <f>AH10-SUM(B10:D10)</f>
        <v>7255</v>
      </c>
      <c r="F10" s="8">
        <v>4542</v>
      </c>
      <c r="G10" s="8">
        <v>4110</v>
      </c>
      <c r="H10" s="8">
        <v>4379</v>
      </c>
      <c r="I10" s="8">
        <f>AI10-SUM(F10:H10)</f>
        <v>6769</v>
      </c>
      <c r="J10" s="8">
        <v>5502</v>
      </c>
      <c r="K10" s="8">
        <v>5931</v>
      </c>
      <c r="L10" s="8">
        <v>5673</v>
      </c>
      <c r="M10" s="8">
        <f>AJ10-SUM(J10:L10)</f>
        <v>7961</v>
      </c>
      <c r="N10" s="8">
        <v>7123</v>
      </c>
      <c r="O10" s="8">
        <v>7488</v>
      </c>
      <c r="P10" s="8">
        <v>7308</v>
      </c>
      <c r="Q10" s="8">
        <f>AK10-SUM(N10:P10)</f>
        <v>8577</v>
      </c>
      <c r="R10" s="8">
        <v>6426</v>
      </c>
      <c r="S10" s="8">
        <v>5778</v>
      </c>
      <c r="T10" s="8">
        <v>6353</v>
      </c>
      <c r="U10" s="8">
        <f>AL10-SUM(R10:T10)</f>
        <v>8230</v>
      </c>
      <c r="V10" s="8">
        <v>5905</v>
      </c>
      <c r="W10" s="8">
        <v>5567</v>
      </c>
      <c r="X10" s="8">
        <v>6047</v>
      </c>
      <c r="Y10" s="8">
        <v>8581</v>
      </c>
      <c r="Z10" s="8">
        <v>6106</v>
      </c>
      <c r="AA10" s="8">
        <v>7007</v>
      </c>
      <c r="AB10" s="8">
        <v>6483</v>
      </c>
      <c r="AC10" s="8">
        <v>9380</v>
      </c>
      <c r="AD10" s="8">
        <v>6506</v>
      </c>
      <c r="AE10" s="8">
        <v>5859</v>
      </c>
      <c r="AF10" s="8"/>
      <c r="AG10" s="8">
        <v>23323</v>
      </c>
      <c r="AH10" s="8">
        <v>22954</v>
      </c>
      <c r="AI10" s="8">
        <v>19800</v>
      </c>
      <c r="AJ10" s="8">
        <v>25067</v>
      </c>
      <c r="AK10" s="8">
        <v>30496</v>
      </c>
      <c r="AL10" s="8">
        <v>26787</v>
      </c>
      <c r="AM10" s="8">
        <f>SUM(V10:Y10)</f>
        <v>26100</v>
      </c>
      <c r="AN10" s="8">
        <f t="shared" si="1"/>
        <v>28976</v>
      </c>
    </row>
    <row r="11" spans="1:40" ht="14.4" outlineLevel="1" x14ac:dyDescent="0.3">
      <c r="A11" s="7" t="s">
        <v>16</v>
      </c>
      <c r="B11" s="8">
        <v>7198</v>
      </c>
      <c r="C11" s="8">
        <v>7268</v>
      </c>
      <c r="D11" s="8">
        <v>7216</v>
      </c>
      <c r="E11" s="8">
        <f>AH11-SUM(B11:D11)</f>
        <v>8214</v>
      </c>
      <c r="F11" s="8">
        <v>8585</v>
      </c>
      <c r="G11" s="8">
        <v>7156</v>
      </c>
      <c r="H11" s="8">
        <v>7339</v>
      </c>
      <c r="I11" s="8">
        <f>AI11-SUM(F11:H11)</f>
        <v>8493</v>
      </c>
      <c r="J11" s="8">
        <v>7401</v>
      </c>
      <c r="K11" s="8">
        <v>7324</v>
      </c>
      <c r="L11" s="8">
        <v>6521</v>
      </c>
      <c r="M11" s="8">
        <f>AJ11-SUM(J11:L11)</f>
        <v>7412</v>
      </c>
      <c r="N11" s="8">
        <v>7172</v>
      </c>
      <c r="O11" s="8">
        <v>7496</v>
      </c>
      <c r="P11" s="8">
        <v>7422</v>
      </c>
      <c r="Q11" s="8">
        <f>AK11-SUM(N11:P11)</f>
        <v>8046</v>
      </c>
      <c r="R11" s="8">
        <v>7506</v>
      </c>
      <c r="S11" s="8">
        <v>8253</v>
      </c>
      <c r="T11" s="8">
        <v>7995</v>
      </c>
      <c r="U11" s="8">
        <f>AL11-SUM(R11:T11)</f>
        <v>8991</v>
      </c>
      <c r="V11" s="8">
        <v>8143</v>
      </c>
      <c r="W11" s="8">
        <v>8024</v>
      </c>
      <c r="X11" s="8">
        <v>9706</v>
      </c>
      <c r="Y11" s="8">
        <v>8240</v>
      </c>
      <c r="Z11" s="8">
        <v>7874</v>
      </c>
      <c r="AA11" s="8">
        <v>7812</v>
      </c>
      <c r="AB11" s="8">
        <v>7752</v>
      </c>
      <c r="AC11" s="8">
        <v>10380</v>
      </c>
      <c r="AD11" s="8">
        <v>7633</v>
      </c>
      <c r="AE11" s="8">
        <v>8982</v>
      </c>
      <c r="AF11" s="8"/>
      <c r="AG11" s="8">
        <v>31083</v>
      </c>
      <c r="AH11" s="8">
        <v>29896</v>
      </c>
      <c r="AI11" s="8">
        <v>31573</v>
      </c>
      <c r="AJ11" s="8">
        <v>28658</v>
      </c>
      <c r="AK11" s="8">
        <v>30136</v>
      </c>
      <c r="AL11" s="8">
        <v>32745</v>
      </c>
      <c r="AM11" s="8">
        <f>SUM(V11:Y11)</f>
        <v>34113</v>
      </c>
      <c r="AN11" s="8">
        <f t="shared" si="1"/>
        <v>33818</v>
      </c>
    </row>
    <row r="12" spans="1:40" ht="14.4" outlineLevel="1" x14ac:dyDescent="0.3">
      <c r="A12" s="7" t="s">
        <v>17</v>
      </c>
      <c r="B12" s="8">
        <v>4231</v>
      </c>
      <c r="C12" s="8">
        <v>4232</v>
      </c>
      <c r="D12" s="8">
        <v>4114</v>
      </c>
      <c r="E12" s="8">
        <f>AH12-SUM(B12:D12)</f>
        <v>4105</v>
      </c>
      <c r="F12" s="8">
        <v>4150</v>
      </c>
      <c r="G12" s="8">
        <v>4181</v>
      </c>
      <c r="H12" s="8">
        <v>4192</v>
      </c>
      <c r="I12" s="8">
        <f>AI12-SUM(F12:H12)</f>
        <v>4197</v>
      </c>
      <c r="J12" s="8">
        <v>4174</v>
      </c>
      <c r="K12" s="8">
        <v>4020</v>
      </c>
      <c r="L12" s="8">
        <v>3961</v>
      </c>
      <c r="M12" s="8">
        <f>AJ12-SUM(J12:L12)</f>
        <v>4051</v>
      </c>
      <c r="N12" s="8">
        <v>4236</v>
      </c>
      <c r="O12" s="8">
        <v>4321</v>
      </c>
      <c r="P12" s="8">
        <v>4324</v>
      </c>
      <c r="Q12" s="8">
        <f>AK12-SUM(N12:P12)</f>
        <v>4218</v>
      </c>
      <c r="R12" s="8">
        <v>4318</v>
      </c>
      <c r="S12" s="8">
        <v>4359</v>
      </c>
      <c r="T12" s="8">
        <v>4431</v>
      </c>
      <c r="U12" s="8">
        <f>AL12-SUM(R12:T12)</f>
        <v>4516</v>
      </c>
      <c r="V12" s="8">
        <v>4445</v>
      </c>
      <c r="W12" s="8">
        <v>4483</v>
      </c>
      <c r="X12" s="8">
        <v>4458</v>
      </c>
      <c r="Y12" s="8">
        <v>4506</v>
      </c>
      <c r="Z12" s="8">
        <v>4577</v>
      </c>
      <c r="AA12" s="8">
        <v>4635</v>
      </c>
      <c r="AB12" s="8">
        <v>4618</v>
      </c>
      <c r="AC12" s="8">
        <v>4519</v>
      </c>
      <c r="AD12" s="8">
        <v>4892</v>
      </c>
      <c r="AE12" s="8">
        <v>5008</v>
      </c>
      <c r="AF12" s="8"/>
      <c r="AG12" s="8">
        <v>17403</v>
      </c>
      <c r="AH12" s="8">
        <v>16682</v>
      </c>
      <c r="AI12" s="8">
        <v>16720</v>
      </c>
      <c r="AJ12" s="8">
        <v>16206</v>
      </c>
      <c r="AK12" s="8">
        <v>17099</v>
      </c>
      <c r="AL12" s="8">
        <v>17624</v>
      </c>
      <c r="AM12" s="8">
        <f>SUM(V12:Y12)</f>
        <v>17892</v>
      </c>
      <c r="AN12" s="8">
        <f t="shared" si="1"/>
        <v>18349</v>
      </c>
    </row>
    <row r="13" spans="1:40" ht="14.4" outlineLevel="1" x14ac:dyDescent="0.3">
      <c r="A13" s="7" t="s">
        <v>18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>
        <f>AL13-SUM(R13:T13)</f>
        <v>5841</v>
      </c>
      <c r="V13" s="8"/>
      <c r="W13" s="8"/>
      <c r="X13" s="8"/>
      <c r="Y13" s="8"/>
      <c r="Z13" s="8"/>
      <c r="AA13" s="8"/>
      <c r="AB13" s="8"/>
      <c r="AC13" s="8"/>
      <c r="AD13" s="8"/>
      <c r="AG13" s="8"/>
      <c r="AH13" s="8"/>
      <c r="AI13" s="8"/>
      <c r="AJ13" s="8"/>
      <c r="AK13" s="8"/>
      <c r="AL13" s="8">
        <v>5841</v>
      </c>
      <c r="AM13" s="8">
        <f>SUM(V13:Y13)</f>
        <v>0</v>
      </c>
      <c r="AN13" s="8">
        <f t="shared" si="1"/>
        <v>0</v>
      </c>
    </row>
    <row r="14" spans="1:40" ht="14.4" outlineLevel="1" x14ac:dyDescent="0.3">
      <c r="A14" s="12" t="s">
        <v>19</v>
      </c>
      <c r="B14" s="11">
        <f t="shared" ref="B14:S14" si="4">SUM(B9:B12)</f>
        <v>24419</v>
      </c>
      <c r="C14" s="11">
        <f t="shared" si="4"/>
        <v>24221</v>
      </c>
      <c r="D14" s="11">
        <f t="shared" si="4"/>
        <v>24714</v>
      </c>
      <c r="E14" s="11">
        <f t="shared" si="4"/>
        <v>27950</v>
      </c>
      <c r="F14" s="11">
        <f t="shared" si="4"/>
        <v>25031</v>
      </c>
      <c r="G14" s="11">
        <f t="shared" si="4"/>
        <v>23086</v>
      </c>
      <c r="H14" s="11">
        <f t="shared" si="4"/>
        <v>23865</v>
      </c>
      <c r="I14" s="11">
        <f t="shared" si="4"/>
        <v>27512</v>
      </c>
      <c r="J14" s="11">
        <f t="shared" si="4"/>
        <v>25097</v>
      </c>
      <c r="K14" s="11">
        <f t="shared" si="4"/>
        <v>25599</v>
      </c>
      <c r="L14" s="11">
        <f t="shared" si="4"/>
        <v>24010</v>
      </c>
      <c r="M14" s="11">
        <f t="shared" si="4"/>
        <v>26459</v>
      </c>
      <c r="N14" s="11">
        <f t="shared" si="4"/>
        <v>25758</v>
      </c>
      <c r="O14" s="11">
        <f t="shared" si="4"/>
        <v>26237</v>
      </c>
      <c r="P14" s="11">
        <f t="shared" si="4"/>
        <v>26347</v>
      </c>
      <c r="Q14" s="11">
        <f t="shared" si="4"/>
        <v>28026</v>
      </c>
      <c r="R14" s="11">
        <f t="shared" si="4"/>
        <v>25328</v>
      </c>
      <c r="S14" s="11">
        <f t="shared" si="4"/>
        <v>25376</v>
      </c>
      <c r="T14" s="11">
        <f>SUM(T9:T12)</f>
        <v>25863</v>
      </c>
      <c r="U14" s="11">
        <f>SUM(U9:U13)</f>
        <v>34530</v>
      </c>
      <c r="V14" s="11">
        <f>SUM(V9:V12)</f>
        <v>25460</v>
      </c>
      <c r="W14" s="11">
        <f>SUM(W9:W12)</f>
        <v>24978</v>
      </c>
      <c r="X14" s="11">
        <f>SUM(X9:X12)</f>
        <v>27404</v>
      </c>
      <c r="Y14" s="11">
        <v>28260</v>
      </c>
      <c r="Z14" s="11">
        <v>25507</v>
      </c>
      <c r="AA14" s="11">
        <v>26332</v>
      </c>
      <c r="AB14" s="11">
        <v>25716</v>
      </c>
      <c r="AC14" s="11">
        <f>SUM(AC9:AC13)</f>
        <v>31377</v>
      </c>
      <c r="AD14" s="11">
        <v>26198</v>
      </c>
      <c r="AE14" s="11">
        <f>SUM(AE9:AE13)</f>
        <v>27074</v>
      </c>
      <c r="AF14" s="11"/>
      <c r="AG14" s="11">
        <f>SUM(AG9:AG12)</f>
        <v>103994</v>
      </c>
      <c r="AH14" s="11">
        <f>SUM(AH9:AH12)</f>
        <v>101304</v>
      </c>
      <c r="AI14" s="11">
        <f>SUM(AI9:AI12)</f>
        <v>99494</v>
      </c>
      <c r="AJ14" s="11">
        <f>SUM(AJ9:AJ12)</f>
        <v>101165</v>
      </c>
      <c r="AK14" s="11">
        <f>SUM(AK9:AK12)</f>
        <v>106368</v>
      </c>
      <c r="AL14" s="11">
        <f>SUM(AL9:AL13)</f>
        <v>111097</v>
      </c>
      <c r="AM14" s="11">
        <f>SUM(AM9:AM13)</f>
        <v>106102</v>
      </c>
      <c r="AN14" s="11">
        <f t="shared" si="1"/>
        <v>108932</v>
      </c>
    </row>
    <row r="15" spans="1:40" ht="14.4" outlineLevel="1" x14ac:dyDescent="0.3">
      <c r="A15" s="7" t="s">
        <v>20</v>
      </c>
      <c r="E15">
        <v>186</v>
      </c>
      <c r="AG15" s="11"/>
      <c r="AH15" s="11"/>
      <c r="AI15" s="11"/>
      <c r="AJ15" s="11"/>
      <c r="AK15" s="11"/>
    </row>
    <row r="16" spans="1:40" ht="14.4" outlineLevel="1" x14ac:dyDescent="0.3">
      <c r="A16" s="13" t="s">
        <v>21</v>
      </c>
      <c r="B16" s="14">
        <f t="shared" ref="B16:S16" si="5">B8-B14</f>
        <v>7709</v>
      </c>
      <c r="C16" s="14">
        <f t="shared" si="5"/>
        <v>7850</v>
      </c>
      <c r="D16" s="14">
        <f t="shared" si="5"/>
        <v>8180</v>
      </c>
      <c r="E16" s="14">
        <f t="shared" si="5"/>
        <v>6825</v>
      </c>
      <c r="F16" s="14">
        <f t="shared" si="5"/>
        <v>6579</v>
      </c>
      <c r="G16" s="14">
        <f t="shared" si="5"/>
        <v>7361</v>
      </c>
      <c r="H16" s="14">
        <f t="shared" si="5"/>
        <v>7678</v>
      </c>
      <c r="I16" s="14">
        <f t="shared" si="5"/>
        <v>7180</v>
      </c>
      <c r="J16" s="14">
        <f t="shared" si="5"/>
        <v>7770</v>
      </c>
      <c r="K16" s="14">
        <f t="shared" si="5"/>
        <v>8165</v>
      </c>
      <c r="L16" s="14">
        <f t="shared" si="5"/>
        <v>8905</v>
      </c>
      <c r="M16" s="14">
        <f t="shared" si="5"/>
        <v>7608</v>
      </c>
      <c r="N16" s="14">
        <f t="shared" si="5"/>
        <v>7796</v>
      </c>
      <c r="O16" s="14">
        <f t="shared" si="5"/>
        <v>7552</v>
      </c>
      <c r="P16" s="14">
        <f t="shared" si="5"/>
        <v>7894</v>
      </c>
      <c r="Q16" s="14">
        <f t="shared" si="5"/>
        <v>7225</v>
      </c>
      <c r="R16" s="14">
        <f t="shared" si="5"/>
        <v>7584</v>
      </c>
      <c r="S16" s="14">
        <f t="shared" si="5"/>
        <v>7220</v>
      </c>
      <c r="T16" s="14">
        <f>T8-T14</f>
        <v>7473</v>
      </c>
      <c r="U16" s="14">
        <f>AL16-SUM(R16:T16)</f>
        <v>600</v>
      </c>
      <c r="V16" s="14">
        <v>7521</v>
      </c>
      <c r="W16" s="14">
        <v>7818</v>
      </c>
      <c r="X16" s="14">
        <v>5926</v>
      </c>
      <c r="Y16" s="14">
        <v>7421</v>
      </c>
      <c r="Z16" s="14">
        <v>7978</v>
      </c>
      <c r="AA16" s="14">
        <v>8172</v>
      </c>
      <c r="AB16" s="14">
        <v>8105</v>
      </c>
      <c r="AC16" s="14">
        <f>AC8-AC14</f>
        <v>5004</v>
      </c>
      <c r="AD16" s="14">
        <v>8242</v>
      </c>
      <c r="AE16" s="14">
        <f>AE8-AE14</f>
        <v>7179</v>
      </c>
      <c r="AF16" s="14"/>
      <c r="AG16" s="14">
        <f t="shared" ref="AG16:AL16" si="6">AG8-AG14</f>
        <v>26869</v>
      </c>
      <c r="AH16" s="14">
        <f t="shared" si="6"/>
        <v>30564</v>
      </c>
      <c r="AI16" s="14">
        <f t="shared" si="6"/>
        <v>28798</v>
      </c>
      <c r="AJ16" s="14">
        <f t="shared" si="6"/>
        <v>32448</v>
      </c>
      <c r="AK16" s="14">
        <f t="shared" si="6"/>
        <v>30467</v>
      </c>
      <c r="AL16" s="14">
        <f t="shared" si="6"/>
        <v>22877</v>
      </c>
      <c r="AM16" s="8">
        <f>SUM(V16:Y16)</f>
        <v>28686</v>
      </c>
      <c r="AN16" s="8">
        <f t="shared" si="1"/>
        <v>29259</v>
      </c>
    </row>
    <row r="17" spans="1:40" ht="14.4" outlineLevel="1" x14ac:dyDescent="0.3">
      <c r="A17" s="7" t="s">
        <v>22</v>
      </c>
      <c r="B17" s="8">
        <v>-6</v>
      </c>
      <c r="C17" s="8">
        <v>-13</v>
      </c>
      <c r="D17" s="8">
        <v>-1</v>
      </c>
      <c r="E17" s="8">
        <f>AH17-SUM(B17:D17)</f>
        <v>5</v>
      </c>
      <c r="F17" s="8">
        <v>-12</v>
      </c>
      <c r="G17" s="8">
        <v>-13</v>
      </c>
      <c r="H17" s="8">
        <v>-9</v>
      </c>
      <c r="I17" s="8">
        <f>AI17-SUM(F17:H17)</f>
        <v>-11</v>
      </c>
      <c r="J17" s="8">
        <v>8</v>
      </c>
      <c r="K17" s="8">
        <v>1</v>
      </c>
      <c r="L17" s="8">
        <v>1</v>
      </c>
      <c r="M17" s="8">
        <f>AJ17-SUM(J17:L17)</f>
        <v>135</v>
      </c>
      <c r="N17" s="8">
        <v>-3</v>
      </c>
      <c r="O17" s="8">
        <v>41</v>
      </c>
      <c r="P17" s="8">
        <v>2</v>
      </c>
      <c r="Q17" s="8">
        <f>AK17-SUM(N17:P17)</f>
        <v>4</v>
      </c>
      <c r="R17" s="8">
        <v>9</v>
      </c>
      <c r="S17" s="8">
        <v>-33</v>
      </c>
      <c r="T17" s="8">
        <v>-18</v>
      </c>
      <c r="U17" s="8">
        <f>AL17-SUM(R17:T17)</f>
        <v>-11</v>
      </c>
      <c r="V17" s="8">
        <v>-9</v>
      </c>
      <c r="W17" s="8">
        <v>-14</v>
      </c>
      <c r="X17" s="8">
        <v>-24</v>
      </c>
      <c r="Y17" s="8">
        <v>-6</v>
      </c>
      <c r="Z17" s="8">
        <v>6</v>
      </c>
      <c r="AA17" s="8">
        <v>-3</v>
      </c>
      <c r="AB17" s="8">
        <v>-6</v>
      </c>
      <c r="AC17" s="8">
        <v>3</v>
      </c>
      <c r="AD17" s="8">
        <v>5</v>
      </c>
      <c r="AE17" s="8">
        <v>44</v>
      </c>
      <c r="AF17" s="8"/>
      <c r="AG17" s="8">
        <v>-186</v>
      </c>
      <c r="AH17" s="8">
        <v>-15</v>
      </c>
      <c r="AI17" s="8">
        <v>-45</v>
      </c>
      <c r="AJ17" s="8">
        <v>145</v>
      </c>
      <c r="AK17" s="8">
        <v>44</v>
      </c>
      <c r="AL17" s="8">
        <v>-53</v>
      </c>
      <c r="AM17" s="8">
        <f>SUM(V17:Y17)</f>
        <v>-53</v>
      </c>
      <c r="AN17" s="8">
        <f t="shared" si="1"/>
        <v>0</v>
      </c>
    </row>
    <row r="18" spans="1:40" ht="14.4" outlineLevel="1" x14ac:dyDescent="0.3">
      <c r="A18" s="7" t="s">
        <v>23</v>
      </c>
      <c r="B18" s="8">
        <v>295</v>
      </c>
      <c r="C18" s="8">
        <v>-1312</v>
      </c>
      <c r="D18" s="8">
        <v>-110</v>
      </c>
      <c r="E18" s="8">
        <f>AH18-SUM(B18:D18)</f>
        <v>-1773</v>
      </c>
      <c r="F18" s="8">
        <v>143</v>
      </c>
      <c r="G18" s="8">
        <v>-72</v>
      </c>
      <c r="H18" s="8">
        <v>-774</v>
      </c>
      <c r="I18" s="8">
        <f>AI18-SUM(F18:H18)</f>
        <v>164</v>
      </c>
      <c r="J18" s="8">
        <v>401</v>
      </c>
      <c r="K18" s="8">
        <v>502</v>
      </c>
      <c r="L18" s="8">
        <v>269</v>
      </c>
      <c r="M18" s="8">
        <f>AJ18-SUM(J18:L18)</f>
        <v>-860</v>
      </c>
      <c r="N18" s="8">
        <v>-924</v>
      </c>
      <c r="O18" s="8">
        <v>49</v>
      </c>
      <c r="P18" s="8">
        <v>-439</v>
      </c>
      <c r="Q18" s="8">
        <f>AK18-SUM(N18:P18)</f>
        <v>2687</v>
      </c>
      <c r="R18" s="8">
        <v>114</v>
      </c>
      <c r="S18" s="8">
        <v>210</v>
      </c>
      <c r="T18" s="8">
        <v>170</v>
      </c>
      <c r="U18" s="8">
        <f>AL18-SUM(R18:T18)</f>
        <v>-807</v>
      </c>
      <c r="V18" s="8">
        <v>198</v>
      </c>
      <c r="W18" s="8">
        <v>-72</v>
      </c>
      <c r="X18" s="8">
        <v>72</v>
      </c>
      <c r="Y18" s="8">
        <v>797</v>
      </c>
      <c r="Z18" s="8">
        <v>121</v>
      </c>
      <c r="AA18" s="8">
        <v>79</v>
      </c>
      <c r="AB18" s="8">
        <v>92</v>
      </c>
      <c r="AC18" s="8">
        <v>-185</v>
      </c>
      <c r="AD18" s="8">
        <v>477</v>
      </c>
      <c r="AE18" s="8">
        <v>36</v>
      </c>
      <c r="AF18" s="8"/>
      <c r="AG18" s="8">
        <v>2364</v>
      </c>
      <c r="AH18" s="8">
        <v>-2900</v>
      </c>
      <c r="AI18" s="8">
        <v>-539</v>
      </c>
      <c r="AJ18" s="8">
        <v>312</v>
      </c>
      <c r="AK18" s="8">
        <v>1373</v>
      </c>
      <c r="AL18" s="8">
        <v>-313</v>
      </c>
      <c r="AM18" s="8">
        <f>SUM(V18:Y18)</f>
        <v>995</v>
      </c>
      <c r="AN18" s="8">
        <f t="shared" si="1"/>
        <v>107</v>
      </c>
    </row>
    <row r="19" spans="1:40" ht="14.4" outlineLevel="1" x14ac:dyDescent="0.3">
      <c r="A19" s="7" t="s">
        <v>24</v>
      </c>
      <c r="B19" s="8">
        <v>-1210</v>
      </c>
      <c r="C19" s="8">
        <v>-1215</v>
      </c>
      <c r="D19" s="8">
        <v>-1146</v>
      </c>
      <c r="E19" s="8">
        <f>AH19-SUM(B19:D19)</f>
        <v>-1159</v>
      </c>
      <c r="F19" s="8">
        <v>-1034</v>
      </c>
      <c r="G19" s="8">
        <v>-1089</v>
      </c>
      <c r="H19" s="8">
        <v>-1044</v>
      </c>
      <c r="I19" s="8">
        <f>AI19-SUM(F19:H19)</f>
        <v>-1080</v>
      </c>
      <c r="J19" s="8">
        <v>-1101</v>
      </c>
      <c r="K19" s="8">
        <v>-844</v>
      </c>
      <c r="L19" s="8">
        <v>-801</v>
      </c>
      <c r="M19" s="8">
        <f>AJ19-SUM(J19:L19)</f>
        <v>-739</v>
      </c>
      <c r="N19" s="8">
        <v>-786</v>
      </c>
      <c r="O19" s="8">
        <v>-785</v>
      </c>
      <c r="P19" s="8">
        <v>-937</v>
      </c>
      <c r="Q19" s="8">
        <f>AK19-SUM(N19:P19)</f>
        <v>-1105</v>
      </c>
      <c r="R19" s="8">
        <v>-1207</v>
      </c>
      <c r="S19" s="8">
        <v>-1285</v>
      </c>
      <c r="T19" s="8">
        <v>-1433</v>
      </c>
      <c r="U19" s="8">
        <f>AL19-SUM(R19:T19)</f>
        <v>-1599</v>
      </c>
      <c r="V19" s="8">
        <v>-1635</v>
      </c>
      <c r="W19" s="8">
        <v>-1698</v>
      </c>
      <c r="X19" s="8">
        <v>-1672</v>
      </c>
      <c r="Y19" s="8">
        <v>-1644</v>
      </c>
      <c r="Z19" s="8">
        <v>-1632</v>
      </c>
      <c r="AA19" s="8">
        <v>-1639</v>
      </c>
      <c r="AB19" s="8">
        <v>-1664</v>
      </c>
      <c r="AC19" s="8">
        <v>-1759</v>
      </c>
      <c r="AD19" s="8">
        <v>-1940</v>
      </c>
      <c r="AE19" s="8">
        <v>-1985</v>
      </c>
      <c r="AF19" s="8"/>
      <c r="AG19" s="8">
        <v>-4833</v>
      </c>
      <c r="AH19" s="8">
        <v>-4730</v>
      </c>
      <c r="AI19" s="8">
        <v>-4247</v>
      </c>
      <c r="AJ19" s="8">
        <v>-3485</v>
      </c>
      <c r="AK19" s="8">
        <v>-3613</v>
      </c>
      <c r="AL19" s="8">
        <v>-5524</v>
      </c>
      <c r="AM19" s="8">
        <f>SUM(V19:Y19)</f>
        <v>-6649</v>
      </c>
      <c r="AN19" s="8">
        <f t="shared" si="1"/>
        <v>-6694</v>
      </c>
    </row>
    <row r="20" spans="1:40" ht="14.4" outlineLevel="1" x14ac:dyDescent="0.3">
      <c r="A20" s="13" t="s">
        <v>25</v>
      </c>
      <c r="B20" s="11">
        <f>SUM(B16:B19)</f>
        <v>6788</v>
      </c>
      <c r="C20" s="11">
        <f t="shared" ref="C20:T20" si="7">SUM(C16:C19)</f>
        <v>5310</v>
      </c>
      <c r="D20" s="11">
        <f t="shared" si="7"/>
        <v>6923</v>
      </c>
      <c r="E20" s="11">
        <f t="shared" si="7"/>
        <v>3898</v>
      </c>
      <c r="F20" s="11">
        <f t="shared" si="7"/>
        <v>5676</v>
      </c>
      <c r="G20" s="11">
        <f t="shared" si="7"/>
        <v>6187</v>
      </c>
      <c r="H20" s="11">
        <f t="shared" si="7"/>
        <v>5851</v>
      </c>
      <c r="I20" s="11">
        <f t="shared" si="7"/>
        <v>6253</v>
      </c>
      <c r="J20" s="11">
        <f t="shared" si="7"/>
        <v>7078</v>
      </c>
      <c r="K20" s="11">
        <f t="shared" si="7"/>
        <v>7824</v>
      </c>
      <c r="L20" s="11">
        <f t="shared" si="7"/>
        <v>8374</v>
      </c>
      <c r="M20" s="11">
        <f t="shared" si="7"/>
        <v>6144</v>
      </c>
      <c r="N20" s="11">
        <f t="shared" si="7"/>
        <v>6083</v>
      </c>
      <c r="O20" s="11">
        <f t="shared" si="7"/>
        <v>6857</v>
      </c>
      <c r="P20" s="11">
        <f t="shared" si="7"/>
        <v>6520</v>
      </c>
      <c r="Q20" s="11">
        <f t="shared" si="7"/>
        <v>8811</v>
      </c>
      <c r="R20" s="11">
        <f t="shared" si="7"/>
        <v>6500</v>
      </c>
      <c r="S20" s="11">
        <f t="shared" si="7"/>
        <v>6112</v>
      </c>
      <c r="T20" s="11">
        <f t="shared" si="7"/>
        <v>6192</v>
      </c>
      <c r="U20" s="11">
        <v>-1817</v>
      </c>
      <c r="V20" s="11">
        <f>SUM(V16:V19)</f>
        <v>6075</v>
      </c>
      <c r="W20" s="11">
        <f>SUM(W16:W19)</f>
        <v>6034</v>
      </c>
      <c r="X20" s="11">
        <f>SUM(X16:X19)</f>
        <v>4302</v>
      </c>
      <c r="Y20" s="11">
        <v>6568</v>
      </c>
      <c r="Z20" s="11">
        <v>6473</v>
      </c>
      <c r="AA20" s="11">
        <v>6609</v>
      </c>
      <c r="AB20" s="11">
        <v>6527</v>
      </c>
      <c r="AC20" s="11">
        <f>AC16+SUM(AC17:AC19)</f>
        <v>3063</v>
      </c>
      <c r="AD20" s="11">
        <v>6784</v>
      </c>
      <c r="AE20" s="11">
        <f>AE16+SUM(AE17:AE19)</f>
        <v>5274</v>
      </c>
      <c r="AF20" s="11"/>
      <c r="AG20" s="15">
        <v>19623</v>
      </c>
      <c r="AH20" s="15">
        <v>22733</v>
      </c>
      <c r="AI20" s="11">
        <f>SUM(AI16:AI19)</f>
        <v>23967</v>
      </c>
      <c r="AJ20" s="11">
        <f>SUM(AJ16:AJ19)</f>
        <v>29420</v>
      </c>
      <c r="AK20" s="11">
        <f>SUM(AK16:AK19)</f>
        <v>28271</v>
      </c>
      <c r="AL20" s="11">
        <f>SUM(AL16:AL19)</f>
        <v>16987</v>
      </c>
      <c r="AM20" s="11">
        <f>SUM(AM16:AM19)</f>
        <v>22979</v>
      </c>
      <c r="AN20" s="11">
        <f t="shared" si="1"/>
        <v>22672</v>
      </c>
    </row>
    <row r="21" spans="1:40" ht="14.4" outlineLevel="1" x14ac:dyDescent="0.3">
      <c r="A21" s="7" t="s">
        <v>26</v>
      </c>
      <c r="B21" s="8">
        <v>-1628</v>
      </c>
      <c r="C21" s="8">
        <v>-1236</v>
      </c>
      <c r="D21" s="8">
        <v>-1586</v>
      </c>
      <c r="E21" s="8">
        <f>AH21-SUM(B21:D21)</f>
        <v>1505</v>
      </c>
      <c r="F21" s="8">
        <v>-1389</v>
      </c>
      <c r="G21" s="8">
        <v>-1348</v>
      </c>
      <c r="H21" s="8">
        <v>-1347</v>
      </c>
      <c r="I21" s="8">
        <f>AI21-SUM(F21:H21)</f>
        <v>-1535</v>
      </c>
      <c r="J21" s="8">
        <v>-1700</v>
      </c>
      <c r="K21" s="8">
        <v>-1875</v>
      </c>
      <c r="L21" s="8">
        <v>-1820</v>
      </c>
      <c r="M21" s="8">
        <f>AJ21-SUM(J21:L21)</f>
        <v>-1407</v>
      </c>
      <c r="N21" s="8">
        <v>-1372</v>
      </c>
      <c r="O21" s="8">
        <v>-1542</v>
      </c>
      <c r="P21" s="8">
        <v>-1496</v>
      </c>
      <c r="Q21" s="8">
        <f>AK21-SUM(N21:P21)</f>
        <v>-2113</v>
      </c>
      <c r="R21" s="8">
        <v>-1482</v>
      </c>
      <c r="S21" s="8">
        <v>-1346</v>
      </c>
      <c r="T21" s="8">
        <v>-1308</v>
      </c>
      <c r="U21" s="8">
        <f>AL21-SUM(R21:T21)</f>
        <v>-756</v>
      </c>
      <c r="V21" s="8">
        <v>-1353</v>
      </c>
      <c r="W21" s="8">
        <v>-1332</v>
      </c>
      <c r="X21" s="8">
        <v>-891</v>
      </c>
      <c r="Y21" s="8">
        <v>-1454</v>
      </c>
      <c r="Z21" s="8">
        <v>-1490</v>
      </c>
      <c r="AA21" s="8">
        <v>-1488</v>
      </c>
      <c r="AB21" s="8">
        <v>-1471</v>
      </c>
      <c r="AC21" s="8">
        <v>-615</v>
      </c>
      <c r="AD21" s="8">
        <v>-1638</v>
      </c>
      <c r="AE21" s="8">
        <v>-1325</v>
      </c>
      <c r="AF21" s="8"/>
      <c r="AG21" s="16">
        <v>-3584</v>
      </c>
      <c r="AH21" s="16">
        <v>-2945</v>
      </c>
      <c r="AI21" s="8">
        <v>-5619</v>
      </c>
      <c r="AJ21" s="8">
        <v>-6802</v>
      </c>
      <c r="AK21" s="8">
        <v>-6523</v>
      </c>
      <c r="AL21" s="8">
        <v>-4892</v>
      </c>
      <c r="AM21" s="8">
        <f>SUM(V21:Y21)</f>
        <v>-5030</v>
      </c>
      <c r="AN21" s="8">
        <f t="shared" si="1"/>
        <v>-5064</v>
      </c>
    </row>
    <row r="22" spans="1:40" ht="14.4" outlineLevel="1" x14ac:dyDescent="0.3">
      <c r="A22" s="13" t="s">
        <v>27</v>
      </c>
      <c r="B22" s="11">
        <f>B20+B21</f>
        <v>5160</v>
      </c>
      <c r="C22" s="11">
        <f t="shared" ref="C22:T22" si="8">C20+C21</f>
        <v>4074</v>
      </c>
      <c r="D22" s="11">
        <f t="shared" si="8"/>
        <v>5337</v>
      </c>
      <c r="E22" s="11">
        <f t="shared" si="8"/>
        <v>5403</v>
      </c>
      <c r="F22" s="11">
        <f t="shared" si="8"/>
        <v>4287</v>
      </c>
      <c r="G22" s="11">
        <f t="shared" si="8"/>
        <v>4839</v>
      </c>
      <c r="H22" s="11">
        <f t="shared" si="8"/>
        <v>4504</v>
      </c>
      <c r="I22" s="11">
        <f t="shared" si="8"/>
        <v>4718</v>
      </c>
      <c r="J22" s="11">
        <f t="shared" si="8"/>
        <v>5378</v>
      </c>
      <c r="K22" s="11">
        <f t="shared" si="8"/>
        <v>5949</v>
      </c>
      <c r="L22" s="11">
        <f t="shared" si="8"/>
        <v>6554</v>
      </c>
      <c r="M22" s="11">
        <f t="shared" si="8"/>
        <v>4737</v>
      </c>
      <c r="N22" s="11">
        <f t="shared" si="8"/>
        <v>4711</v>
      </c>
      <c r="O22" s="11">
        <f t="shared" si="8"/>
        <v>5315</v>
      </c>
      <c r="P22" s="11">
        <f t="shared" si="8"/>
        <v>5024</v>
      </c>
      <c r="Q22" s="11">
        <f t="shared" si="8"/>
        <v>6698</v>
      </c>
      <c r="R22" s="11">
        <f t="shared" si="8"/>
        <v>5018</v>
      </c>
      <c r="S22" s="11">
        <f t="shared" si="8"/>
        <v>4766</v>
      </c>
      <c r="T22" s="11">
        <f t="shared" si="8"/>
        <v>4884</v>
      </c>
      <c r="U22" s="11">
        <f>AL22-SUM(R22:T22)</f>
        <v>-2573</v>
      </c>
      <c r="V22" s="11">
        <f>V20+V21</f>
        <v>4722</v>
      </c>
      <c r="W22" s="11">
        <f>W20+W21</f>
        <v>4702</v>
      </c>
      <c r="X22" s="11">
        <f>X20+X21</f>
        <v>3411</v>
      </c>
      <c r="Y22" s="11">
        <v>5114</v>
      </c>
      <c r="Z22" s="11">
        <v>4983</v>
      </c>
      <c r="AA22" s="11">
        <v>5121</v>
      </c>
      <c r="AB22" s="11">
        <v>5056</v>
      </c>
      <c r="AC22" s="11">
        <f>SUM(AC20:AC21)</f>
        <v>2448</v>
      </c>
      <c r="AD22" s="11">
        <v>5146</v>
      </c>
      <c r="AE22" s="11">
        <f>SUM(AE20:AE21)</f>
        <v>3949</v>
      </c>
      <c r="AF22" s="11"/>
      <c r="AG22" s="15">
        <v>16039</v>
      </c>
      <c r="AH22" s="15">
        <v>19788</v>
      </c>
      <c r="AI22" s="11">
        <f>AI20+AI21</f>
        <v>18348</v>
      </c>
      <c r="AJ22" s="11">
        <f>AJ20+AJ21</f>
        <v>22618</v>
      </c>
      <c r="AK22" s="11">
        <f>AK20+AK21</f>
        <v>21748</v>
      </c>
      <c r="AL22" s="11">
        <v>12095</v>
      </c>
      <c r="AM22" s="11">
        <f>SUM(V22:Y22)</f>
        <v>17949</v>
      </c>
      <c r="AN22" s="11">
        <f t="shared" si="1"/>
        <v>17608</v>
      </c>
    </row>
    <row r="23" spans="1:40" ht="14.4" outlineLevel="1" x14ac:dyDescent="0.3">
      <c r="A23" s="17" t="s">
        <v>28</v>
      </c>
      <c r="B23" s="8">
        <v>128</v>
      </c>
      <c r="C23" s="8">
        <v>130</v>
      </c>
      <c r="D23" s="8">
        <v>143</v>
      </c>
      <c r="E23" s="8">
        <f>AH23-SUM(B23:D23)</f>
        <v>122</v>
      </c>
      <c r="F23" s="8">
        <v>131</v>
      </c>
      <c r="G23" s="8">
        <v>139</v>
      </c>
      <c r="H23" s="8">
        <v>147</v>
      </c>
      <c r="I23" s="8">
        <f>AI23-SUM(F23:H23)</f>
        <v>130</v>
      </c>
      <c r="J23" s="8">
        <v>133</v>
      </c>
      <c r="K23" s="8">
        <v>149</v>
      </c>
      <c r="L23" s="8">
        <v>147</v>
      </c>
      <c r="M23" s="8">
        <f>AJ23-SUM(J23:L23)</f>
        <v>124</v>
      </c>
      <c r="N23" s="8">
        <v>131</v>
      </c>
      <c r="O23" s="8">
        <v>116</v>
      </c>
      <c r="P23" s="8">
        <v>124</v>
      </c>
      <c r="Q23" s="8">
        <f>AK23-SUM(N23:P23)</f>
        <v>121</v>
      </c>
      <c r="R23" s="8">
        <v>109</v>
      </c>
      <c r="S23" s="8">
        <v>118</v>
      </c>
      <c r="T23" s="8">
        <v>122</v>
      </c>
      <c r="U23" s="8">
        <f>AL23-SUM(R23:T23)</f>
        <v>132</v>
      </c>
      <c r="V23" s="8">
        <v>120</v>
      </c>
      <c r="W23" s="8">
        <v>109</v>
      </c>
      <c r="X23" s="8">
        <v>105</v>
      </c>
      <c r="Y23" s="8">
        <v>109</v>
      </c>
      <c r="Z23" s="8">
        <v>104</v>
      </c>
      <c r="AA23" s="8">
        <v>118</v>
      </c>
      <c r="AB23" s="8">
        <v>106</v>
      </c>
      <c r="AC23" s="8">
        <v>106</v>
      </c>
      <c r="AD23" s="8">
        <v>101</v>
      </c>
      <c r="AE23" s="8">
        <v>114</v>
      </c>
      <c r="AF23" s="8"/>
      <c r="AG23" s="8">
        <v>511</v>
      </c>
      <c r="AH23" s="8">
        <v>523</v>
      </c>
      <c r="AI23" s="8">
        <v>547</v>
      </c>
      <c r="AJ23" s="8">
        <v>553</v>
      </c>
      <c r="AK23" s="8">
        <v>492</v>
      </c>
      <c r="AL23" s="8">
        <v>481</v>
      </c>
      <c r="AM23" s="8">
        <f>SUM(V23:Y23)</f>
        <v>443</v>
      </c>
      <c r="AN23" s="8">
        <f t="shared" si="1"/>
        <v>434</v>
      </c>
    </row>
    <row r="24" spans="1:40" ht="14.4" outlineLevel="1" x14ac:dyDescent="0.3">
      <c r="A24" s="13" t="s">
        <v>29</v>
      </c>
      <c r="B24" s="11">
        <f t="shared" ref="B24:S24" si="9">B22-B23</f>
        <v>5032</v>
      </c>
      <c r="C24" s="11">
        <f t="shared" si="9"/>
        <v>3944</v>
      </c>
      <c r="D24" s="11">
        <f t="shared" si="9"/>
        <v>5194</v>
      </c>
      <c r="E24" s="11">
        <f t="shared" si="9"/>
        <v>5281</v>
      </c>
      <c r="F24" s="11">
        <f t="shared" si="9"/>
        <v>4156</v>
      </c>
      <c r="G24" s="11">
        <f t="shared" si="9"/>
        <v>4700</v>
      </c>
      <c r="H24" s="11">
        <f t="shared" si="9"/>
        <v>4357</v>
      </c>
      <c r="I24" s="11">
        <f t="shared" si="9"/>
        <v>4588</v>
      </c>
      <c r="J24" s="11">
        <f t="shared" si="9"/>
        <v>5245</v>
      </c>
      <c r="K24" s="11">
        <f t="shared" si="9"/>
        <v>5800</v>
      </c>
      <c r="L24" s="11">
        <f t="shared" si="9"/>
        <v>6407</v>
      </c>
      <c r="M24" s="11">
        <f t="shared" si="9"/>
        <v>4613</v>
      </c>
      <c r="N24" s="11">
        <f t="shared" si="9"/>
        <v>4580</v>
      </c>
      <c r="O24" s="11">
        <f t="shared" si="9"/>
        <v>5199</v>
      </c>
      <c r="P24" s="11">
        <f t="shared" si="9"/>
        <v>4900</v>
      </c>
      <c r="Q24" s="11">
        <f t="shared" si="9"/>
        <v>6577</v>
      </c>
      <c r="R24" s="11">
        <f t="shared" si="9"/>
        <v>4909</v>
      </c>
      <c r="S24" s="11">
        <f t="shared" si="9"/>
        <v>4648</v>
      </c>
      <c r="T24" s="11">
        <f>T22-T23</f>
        <v>4762</v>
      </c>
      <c r="U24" s="11">
        <f>AL24-SUM(R24:T24)</f>
        <v>-2705</v>
      </c>
      <c r="V24" s="11">
        <f>V22-V23</f>
        <v>4602</v>
      </c>
      <c r="W24" s="11">
        <f>W22-W23</f>
        <v>4593</v>
      </c>
      <c r="X24" s="11">
        <f>X22-X23</f>
        <v>3306</v>
      </c>
      <c r="Y24" s="11">
        <v>5005</v>
      </c>
      <c r="Z24" s="11">
        <v>4879</v>
      </c>
      <c r="AA24" s="11">
        <v>5003</v>
      </c>
      <c r="AB24" s="11">
        <v>4950</v>
      </c>
      <c r="AC24" s="11">
        <v>2342</v>
      </c>
      <c r="AD24" s="11">
        <v>5045</v>
      </c>
      <c r="AE24" s="11">
        <v>3835</v>
      </c>
      <c r="AF24" s="11"/>
      <c r="AG24" s="11">
        <v>15528</v>
      </c>
      <c r="AH24" s="11">
        <v>19265</v>
      </c>
      <c r="AI24" s="11">
        <v>17801</v>
      </c>
      <c r="AJ24" s="11">
        <v>22065</v>
      </c>
      <c r="AK24" s="11">
        <v>21256</v>
      </c>
      <c r="AL24" s="11">
        <v>11614</v>
      </c>
      <c r="AM24" s="11">
        <f>SUM(V24:Y24)</f>
        <v>17506</v>
      </c>
      <c r="AN24" s="11">
        <f t="shared" si="1"/>
        <v>17174</v>
      </c>
    </row>
    <row r="25" spans="1:40" ht="14.4" outlineLevel="1" x14ac:dyDescent="0.3">
      <c r="A25" s="13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11"/>
      <c r="AH25" s="11"/>
      <c r="AI25" s="11"/>
      <c r="AJ25" s="11"/>
      <c r="AK25" s="11"/>
      <c r="AL25" s="11"/>
      <c r="AM25" s="11"/>
      <c r="AN25" s="11"/>
    </row>
    <row r="26" spans="1:40" ht="14.4" outlineLevel="1" x14ac:dyDescent="0.3">
      <c r="A26" s="13" t="s">
        <v>30</v>
      </c>
      <c r="B26" s="11"/>
      <c r="C26" s="11"/>
      <c r="D26" s="11"/>
      <c r="E26" s="14"/>
      <c r="F26" s="11"/>
      <c r="G26" s="11"/>
      <c r="H26" s="11"/>
      <c r="I26" s="14"/>
      <c r="J26" s="11"/>
      <c r="K26" s="11"/>
      <c r="L26" s="11"/>
      <c r="M26" s="14"/>
      <c r="N26" s="11"/>
      <c r="O26" s="11"/>
      <c r="P26" s="11"/>
      <c r="Q26" s="14"/>
      <c r="R26" s="11"/>
      <c r="S26" s="11"/>
      <c r="T26" s="11"/>
      <c r="AG26" s="11"/>
      <c r="AH26" s="11"/>
      <c r="AI26" s="11"/>
      <c r="AJ26" s="11"/>
      <c r="AK26" s="11"/>
      <c r="AL26" s="18"/>
      <c r="AM26" s="18"/>
      <c r="AN26" s="18"/>
    </row>
    <row r="27" spans="1:40" ht="14.4" outlineLevel="1" x14ac:dyDescent="0.3">
      <c r="A27" s="7" t="s">
        <v>29</v>
      </c>
      <c r="B27" s="18">
        <v>1.22</v>
      </c>
      <c r="C27" s="18">
        <v>0.95</v>
      </c>
      <c r="D27" s="18">
        <v>1.26</v>
      </c>
      <c r="E27" s="18"/>
      <c r="F27" s="18">
        <v>1</v>
      </c>
      <c r="G27" s="18">
        <v>1.1399999999999999</v>
      </c>
      <c r="H27" s="18">
        <v>1.05</v>
      </c>
      <c r="I27" s="18"/>
      <c r="J27" s="18">
        <v>1.27</v>
      </c>
      <c r="K27" s="18">
        <v>1.4</v>
      </c>
      <c r="L27" s="18">
        <v>1.55</v>
      </c>
      <c r="M27" s="18"/>
      <c r="N27" s="18">
        <v>1.0900000000000001</v>
      </c>
      <c r="O27" s="18">
        <v>1.24</v>
      </c>
      <c r="P27" s="18">
        <v>1.17</v>
      </c>
      <c r="Q27" s="18">
        <v>1.56</v>
      </c>
      <c r="R27" s="18">
        <v>1.17</v>
      </c>
      <c r="S27" s="18">
        <v>1.1000000000000001</v>
      </c>
      <c r="T27" s="18">
        <v>1.1299999999999999</v>
      </c>
      <c r="U27" s="18">
        <v>-0.64</v>
      </c>
      <c r="V27" s="18">
        <v>1.0900000000000001</v>
      </c>
      <c r="W27" s="18">
        <v>1.0900000000000001</v>
      </c>
      <c r="X27" s="18">
        <v>0.78</v>
      </c>
      <c r="Y27" s="18">
        <v>1.19</v>
      </c>
      <c r="Z27" s="18">
        <v>1.1599999999999999</v>
      </c>
      <c r="AA27" s="18">
        <v>1.18</v>
      </c>
      <c r="AB27" s="18">
        <v>1.17</v>
      </c>
      <c r="AC27" s="18">
        <v>0.55000000000000004</v>
      </c>
      <c r="AD27" s="18">
        <v>1.2</v>
      </c>
      <c r="AE27" s="18">
        <v>0.92</v>
      </c>
      <c r="AF27" s="18"/>
      <c r="AG27" s="18">
        <v>3.76</v>
      </c>
      <c r="AH27" s="18">
        <v>4.66</v>
      </c>
      <c r="AI27" s="18">
        <v>4.3</v>
      </c>
      <c r="AJ27" s="18">
        <v>5.32</v>
      </c>
      <c r="AK27" s="18">
        <v>5.0599999999999996</v>
      </c>
      <c r="AL27" s="18">
        <v>2.76</v>
      </c>
      <c r="AM27" s="18">
        <v>4.1500000000000004</v>
      </c>
      <c r="AN27" s="18">
        <v>4.0599999999999996</v>
      </c>
    </row>
    <row r="28" spans="1:40" ht="14.4" outlineLevel="1" x14ac:dyDescent="0.3">
      <c r="A28" s="7" t="s">
        <v>31</v>
      </c>
      <c r="B28" s="19">
        <v>4138</v>
      </c>
      <c r="C28" s="19">
        <v>4138</v>
      </c>
      <c r="D28" s="19">
        <v>4138</v>
      </c>
      <c r="E28" s="19"/>
      <c r="F28" s="19">
        <v>4139</v>
      </c>
      <c r="G28" s="19">
        <v>4139</v>
      </c>
      <c r="H28" s="19">
        <v>4140</v>
      </c>
      <c r="I28" s="19"/>
      <c r="J28" s="19">
        <v>4141</v>
      </c>
      <c r="K28" s="19">
        <v>4141</v>
      </c>
      <c r="L28" s="19">
        <v>4142</v>
      </c>
      <c r="M28" s="19"/>
      <c r="N28" s="19">
        <v>4201</v>
      </c>
      <c r="O28" s="19">
        <v>4201</v>
      </c>
      <c r="P28" s="19">
        <v>4202</v>
      </c>
      <c r="Q28" s="19">
        <v>4204</v>
      </c>
      <c r="R28" s="19">
        <v>4207</v>
      </c>
      <c r="S28" s="19">
        <v>4208</v>
      </c>
      <c r="T28" s="19">
        <v>4213</v>
      </c>
      <c r="U28" s="19">
        <v>4214</v>
      </c>
      <c r="V28" s="19">
        <v>4215</v>
      </c>
      <c r="W28" s="19">
        <v>4215</v>
      </c>
      <c r="X28" s="19">
        <v>4220</v>
      </c>
      <c r="Y28" s="19">
        <v>4222</v>
      </c>
      <c r="Z28" s="19">
        <v>4222</v>
      </c>
      <c r="AA28" s="19">
        <v>4224</v>
      </c>
      <c r="AB28" s="19">
        <v>4228</v>
      </c>
      <c r="AC28" s="19">
        <v>4230</v>
      </c>
      <c r="AD28" s="19">
        <v>4205</v>
      </c>
      <c r="AE28" s="19">
        <v>4168</v>
      </c>
      <c r="AF28" s="19"/>
      <c r="AG28" s="19">
        <v>4128</v>
      </c>
      <c r="AH28" s="19">
        <v>4138</v>
      </c>
      <c r="AI28" s="19">
        <v>4140</v>
      </c>
      <c r="AJ28" s="19">
        <v>4148</v>
      </c>
      <c r="AK28" s="19">
        <v>4202</v>
      </c>
      <c r="AL28" s="19">
        <v>4211</v>
      </c>
      <c r="AM28" s="19">
        <v>4218</v>
      </c>
      <c r="AN28" s="19">
        <v>4226</v>
      </c>
    </row>
    <row r="29" spans="1:40" ht="14.4" outlineLevel="1" x14ac:dyDescent="0.3">
      <c r="A29" s="13" t="s">
        <v>32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AG29" s="5"/>
      <c r="AH29" s="5"/>
      <c r="AI29" s="5"/>
      <c r="AJ29" s="5"/>
      <c r="AK29" s="5"/>
    </row>
    <row r="30" spans="1:40" ht="14.4" outlineLevel="1" x14ac:dyDescent="0.3">
      <c r="A30" s="7" t="s">
        <v>29</v>
      </c>
      <c r="B30" s="18">
        <v>1.22</v>
      </c>
      <c r="C30" s="18">
        <v>0.95</v>
      </c>
      <c r="D30" s="18">
        <v>1.25</v>
      </c>
      <c r="E30" s="18"/>
      <c r="F30" s="18">
        <v>1</v>
      </c>
      <c r="G30" s="18">
        <v>1.1299999999999999</v>
      </c>
      <c r="H30" s="18">
        <v>1.05</v>
      </c>
      <c r="I30" s="18"/>
      <c r="J30" s="18">
        <v>1.27</v>
      </c>
      <c r="K30" s="18">
        <v>1.4</v>
      </c>
      <c r="L30" s="18">
        <v>1.55</v>
      </c>
      <c r="M30" s="18"/>
      <c r="N30" s="18">
        <v>1.0900000000000001</v>
      </c>
      <c r="O30" s="18">
        <v>1.24</v>
      </c>
      <c r="P30" s="18">
        <v>1.17</v>
      </c>
      <c r="Q30" s="18">
        <v>1.56</v>
      </c>
      <c r="R30" s="18">
        <v>1.17</v>
      </c>
      <c r="S30" s="18">
        <v>1.1000000000000001</v>
      </c>
      <c r="T30" s="18">
        <v>1.1299999999999999</v>
      </c>
      <c r="U30" s="18">
        <v>-0.64</v>
      </c>
      <c r="V30" s="18">
        <v>1.0900000000000001</v>
      </c>
      <c r="W30" s="18">
        <v>1.0900000000000001</v>
      </c>
      <c r="X30" s="18">
        <v>0.78</v>
      </c>
      <c r="Y30" s="18">
        <v>1.18</v>
      </c>
      <c r="Z30" s="18">
        <v>1.1499999999999999</v>
      </c>
      <c r="AA30" s="18">
        <v>1.18</v>
      </c>
      <c r="AB30" s="18">
        <v>1.17</v>
      </c>
      <c r="AC30" s="18">
        <v>0.55000000000000004</v>
      </c>
      <c r="AD30" s="18">
        <v>1.2</v>
      </c>
      <c r="AE30" s="18">
        <v>0.92</v>
      </c>
      <c r="AF30" s="18"/>
      <c r="AG30" s="18">
        <v>3.76</v>
      </c>
      <c r="AH30" s="18">
        <v>4.6500000000000004</v>
      </c>
      <c r="AI30" s="18">
        <v>4.3</v>
      </c>
      <c r="AJ30" s="18">
        <v>5.32</v>
      </c>
      <c r="AK30" s="18">
        <v>5.0599999999999996</v>
      </c>
      <c r="AL30" s="20">
        <v>2.75</v>
      </c>
      <c r="AM30" s="20">
        <v>4.1399999999999997</v>
      </c>
      <c r="AN30" s="20">
        <v>4.0599999999999996</v>
      </c>
    </row>
    <row r="31" spans="1:40" ht="14.4" outlineLevel="1" x14ac:dyDescent="0.3">
      <c r="A31" s="7" t="s">
        <v>31</v>
      </c>
      <c r="B31" s="19">
        <v>4140</v>
      </c>
      <c r="C31" s="19">
        <v>4139</v>
      </c>
      <c r="D31" s="19">
        <v>4140</v>
      </c>
      <c r="E31" s="19"/>
      <c r="F31" s="19">
        <v>4141</v>
      </c>
      <c r="G31" s="19">
        <v>4141</v>
      </c>
      <c r="H31" s="19">
        <v>4142</v>
      </c>
      <c r="I31" s="19"/>
      <c r="J31" s="19">
        <v>4142</v>
      </c>
      <c r="K31" s="19">
        <v>4143</v>
      </c>
      <c r="L31" s="19">
        <v>4144</v>
      </c>
      <c r="M31" s="19"/>
      <c r="N31" s="19">
        <v>4202</v>
      </c>
      <c r="O31" s="19">
        <v>4202</v>
      </c>
      <c r="P31" s="19">
        <v>4204</v>
      </c>
      <c r="Q31" s="19">
        <v>4207</v>
      </c>
      <c r="R31" s="19">
        <v>4211</v>
      </c>
      <c r="S31" s="19">
        <v>4213</v>
      </c>
      <c r="T31" s="19">
        <v>4216</v>
      </c>
      <c r="U31" s="19">
        <v>4214</v>
      </c>
      <c r="V31" s="19">
        <v>4219</v>
      </c>
      <c r="W31" s="19">
        <v>4221</v>
      </c>
      <c r="X31" s="19">
        <v>4225</v>
      </c>
      <c r="Y31" s="19">
        <v>4227</v>
      </c>
      <c r="Z31" s="19">
        <v>4226</v>
      </c>
      <c r="AA31" s="19">
        <v>4228</v>
      </c>
      <c r="AB31" s="19">
        <v>4233</v>
      </c>
      <c r="AC31" s="19">
        <v>4236</v>
      </c>
      <c r="AD31" s="19">
        <v>4210</v>
      </c>
      <c r="AE31" s="19">
        <v>4171</v>
      </c>
      <c r="AF31" s="19"/>
      <c r="AG31" s="19">
        <v>4132</v>
      </c>
      <c r="AH31" s="19">
        <v>4140</v>
      </c>
      <c r="AI31" s="19">
        <v>4142</v>
      </c>
      <c r="AJ31" s="19">
        <v>4150</v>
      </c>
      <c r="AK31" s="19">
        <v>4204</v>
      </c>
      <c r="AL31" s="21">
        <v>4215</v>
      </c>
      <c r="AM31" s="21">
        <v>4223</v>
      </c>
      <c r="AN31" s="21">
        <v>4231</v>
      </c>
    </row>
    <row r="32" spans="1:40" ht="14.4" x14ac:dyDescent="0.3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1:40" x14ac:dyDescent="0.25">
      <c r="A33" s="6" t="s">
        <v>33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outlineLevel="1" x14ac:dyDescent="0.25">
      <c r="A34" t="s">
        <v>34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AE34" s="32"/>
      <c r="AF34" s="32"/>
      <c r="AG34" s="32"/>
    </row>
    <row r="35" spans="1:40" ht="14.4" outlineLevel="1" x14ac:dyDescent="0.3">
      <c r="A35" t="s">
        <v>35</v>
      </c>
      <c r="AH35" s="4"/>
      <c r="AI35" s="4"/>
      <c r="AJ35" s="4"/>
      <c r="AK35" s="4"/>
      <c r="AL35" s="4"/>
      <c r="AM35" s="4"/>
      <c r="AN35" s="4"/>
    </row>
    <row r="36" spans="1:40" ht="14.4" outlineLevel="1" x14ac:dyDescent="0.3">
      <c r="A36" t="s">
        <v>36</v>
      </c>
      <c r="AH36" s="5"/>
      <c r="AI36" s="5"/>
      <c r="AJ36" s="5"/>
      <c r="AK36" s="5"/>
      <c r="AL36" s="5"/>
      <c r="AM36" s="5"/>
      <c r="AN36" s="5"/>
    </row>
    <row r="37" spans="1:40" ht="14.4" outlineLevel="1" x14ac:dyDescent="0.3">
      <c r="A37" t="s">
        <v>37</v>
      </c>
      <c r="B37" s="24"/>
      <c r="D37" s="8">
        <v>3020</v>
      </c>
      <c r="E37" s="8">
        <v>2594</v>
      </c>
      <c r="F37" s="8">
        <v>7047</v>
      </c>
      <c r="G37" s="8">
        <v>7882</v>
      </c>
      <c r="H37" s="8">
        <v>8983</v>
      </c>
      <c r="I37" s="8">
        <v>22171</v>
      </c>
      <c r="J37" s="8">
        <v>10205</v>
      </c>
      <c r="K37" s="8">
        <v>4657</v>
      </c>
      <c r="L37" s="8">
        <v>9936</v>
      </c>
      <c r="M37" s="8">
        <v>2921</v>
      </c>
      <c r="N37" s="8">
        <v>1661</v>
      </c>
      <c r="O37" s="8">
        <v>1857</v>
      </c>
      <c r="P37" s="8">
        <v>2082</v>
      </c>
      <c r="Q37" s="8">
        <v>2605</v>
      </c>
      <c r="R37" s="8">
        <v>2234</v>
      </c>
      <c r="S37" s="8">
        <v>4803</v>
      </c>
      <c r="T37" s="8">
        <v>4210</v>
      </c>
      <c r="U37" s="8">
        <f t="shared" ref="U37:U54" si="10">AL37</f>
        <v>2065</v>
      </c>
      <c r="V37" s="8">
        <v>2365</v>
      </c>
      <c r="W37" s="8">
        <v>2432</v>
      </c>
      <c r="X37" s="8">
        <v>4987</v>
      </c>
      <c r="Y37" s="8">
        <v>4194</v>
      </c>
      <c r="Z37" s="8">
        <v>2257</v>
      </c>
      <c r="AA37" s="8">
        <v>3435</v>
      </c>
      <c r="AB37" s="8">
        <v>7706</v>
      </c>
      <c r="AC37" s="8">
        <v>19048</v>
      </c>
      <c r="AD37" s="8">
        <v>8366</v>
      </c>
      <c r="AE37" s="8">
        <v>1752</v>
      </c>
      <c r="AF37" s="8"/>
      <c r="AH37" s="8">
        <v>2594</v>
      </c>
      <c r="AI37" s="8">
        <v>22171</v>
      </c>
      <c r="AJ37" s="8">
        <v>2921</v>
      </c>
      <c r="AK37" s="8">
        <v>2605</v>
      </c>
      <c r="AL37" s="8">
        <v>2065</v>
      </c>
      <c r="AM37" s="8">
        <f>Y37</f>
        <v>4194</v>
      </c>
      <c r="AN37" s="8">
        <f>AC37</f>
        <v>19048</v>
      </c>
    </row>
    <row r="38" spans="1:40" ht="14.4" outlineLevel="1" x14ac:dyDescent="0.3">
      <c r="A38" t="s">
        <v>38</v>
      </c>
      <c r="B38" s="21"/>
      <c r="D38" s="25">
        <v>24713</v>
      </c>
      <c r="E38" s="25">
        <v>26162</v>
      </c>
      <c r="F38" s="25">
        <v>24852</v>
      </c>
      <c r="G38" s="25">
        <v>23742</v>
      </c>
      <c r="H38" s="25">
        <v>23846</v>
      </c>
      <c r="I38" s="25">
        <v>25169</v>
      </c>
      <c r="J38" s="25">
        <v>23611</v>
      </c>
      <c r="K38" s="25">
        <v>22237</v>
      </c>
      <c r="L38" s="25">
        <v>23165</v>
      </c>
      <c r="M38" s="25">
        <v>24742</v>
      </c>
      <c r="N38" s="25">
        <v>24474</v>
      </c>
      <c r="O38" s="25">
        <v>24740</v>
      </c>
      <c r="P38" s="25">
        <v>24475</v>
      </c>
      <c r="Q38" s="25">
        <v>25332</v>
      </c>
      <c r="R38" s="25">
        <v>23748</v>
      </c>
      <c r="S38" s="25">
        <v>24108</v>
      </c>
      <c r="T38" s="25">
        <v>24559</v>
      </c>
      <c r="U38" s="25">
        <f t="shared" si="10"/>
        <v>26102</v>
      </c>
      <c r="V38" s="25">
        <v>26380</v>
      </c>
      <c r="W38" s="25">
        <v>26702</v>
      </c>
      <c r="X38" s="25">
        <v>27040</v>
      </c>
      <c r="Y38" s="25">
        <v>27261</v>
      </c>
      <c r="Z38" s="25">
        <v>27033</v>
      </c>
      <c r="AA38" s="25">
        <v>27440</v>
      </c>
      <c r="AB38" s="25">
        <v>27083</v>
      </c>
      <c r="AC38" s="25">
        <v>28347</v>
      </c>
      <c r="AD38" s="25">
        <v>27966</v>
      </c>
      <c r="AE38" s="25">
        <v>27734</v>
      </c>
      <c r="AF38" s="25"/>
      <c r="AH38" s="25">
        <v>26162</v>
      </c>
      <c r="AI38" s="25">
        <v>25169</v>
      </c>
      <c r="AJ38" s="25">
        <v>24742</v>
      </c>
      <c r="AK38" s="25">
        <v>25332</v>
      </c>
      <c r="AL38" s="25">
        <v>26102</v>
      </c>
      <c r="AM38" s="8">
        <f>Y38</f>
        <v>27261</v>
      </c>
      <c r="AN38" s="8">
        <f t="shared" ref="AN38:AN55" si="11">AC38</f>
        <v>28347</v>
      </c>
    </row>
    <row r="39" spans="1:40" ht="14.4" outlineLevel="1" x14ac:dyDescent="0.3">
      <c r="A39" t="s">
        <v>39</v>
      </c>
      <c r="D39" s="25"/>
      <c r="E39" s="25" t="s">
        <v>40</v>
      </c>
      <c r="F39" s="25">
        <v>1055</v>
      </c>
      <c r="G39" s="25">
        <v>1070</v>
      </c>
      <c r="H39" s="25">
        <v>1229</v>
      </c>
      <c r="I39" s="25">
        <v>1252</v>
      </c>
      <c r="J39" s="25">
        <v>1104</v>
      </c>
      <c r="K39" s="25">
        <v>980</v>
      </c>
      <c r="L39" s="25">
        <v>970</v>
      </c>
      <c r="M39" s="25">
        <v>896</v>
      </c>
      <c r="N39" s="25">
        <v>859</v>
      </c>
      <c r="O39" s="25">
        <v>831</v>
      </c>
      <c r="P39" s="25">
        <v>805</v>
      </c>
      <c r="Q39" s="25">
        <v>826</v>
      </c>
      <c r="R39" s="25">
        <v>892</v>
      </c>
      <c r="S39" s="25">
        <v>922</v>
      </c>
      <c r="T39" s="25">
        <v>957</v>
      </c>
      <c r="U39" s="25">
        <f t="shared" si="10"/>
        <v>1017</v>
      </c>
      <c r="V39" s="25">
        <v>1061</v>
      </c>
      <c r="W39" s="25">
        <v>1095</v>
      </c>
      <c r="X39" s="25">
        <v>1086</v>
      </c>
      <c r="Y39" s="25">
        <v>1152</v>
      </c>
      <c r="Z39" s="25">
        <v>1144</v>
      </c>
      <c r="AA39" s="25">
        <v>1165</v>
      </c>
      <c r="AB39" s="25">
        <v>1163</v>
      </c>
      <c r="AC39" s="25">
        <v>1250</v>
      </c>
      <c r="AD39" s="25">
        <v>1311</v>
      </c>
      <c r="AE39" s="25">
        <v>1248</v>
      </c>
      <c r="AF39" s="25"/>
      <c r="AH39" s="25">
        <v>0</v>
      </c>
      <c r="AI39" s="25">
        <v>1252</v>
      </c>
      <c r="AJ39" s="25">
        <v>896</v>
      </c>
      <c r="AK39" s="25">
        <v>826</v>
      </c>
      <c r="AL39" s="25">
        <v>1017</v>
      </c>
      <c r="AM39" s="8">
        <f>Y39</f>
        <v>1152</v>
      </c>
      <c r="AN39" s="8">
        <f t="shared" si="11"/>
        <v>1250</v>
      </c>
    </row>
    <row r="40" spans="1:40" ht="14.4" outlineLevel="1" x14ac:dyDescent="0.3">
      <c r="A40" t="s">
        <v>41</v>
      </c>
      <c r="D40" s="25"/>
      <c r="E40" s="25">
        <v>733</v>
      </c>
      <c r="F40" s="25" t="s">
        <v>40</v>
      </c>
      <c r="G40" s="25" t="s">
        <v>40</v>
      </c>
      <c r="H40" s="25" t="s">
        <v>40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>
        <f t="shared" si="10"/>
        <v>0</v>
      </c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H40" s="25">
        <v>733</v>
      </c>
      <c r="AI40" s="25">
        <v>0</v>
      </c>
      <c r="AJ40" s="26"/>
      <c r="AK40" s="26"/>
    </row>
    <row r="41" spans="1:40" ht="14.4" outlineLevel="1" x14ac:dyDescent="0.3">
      <c r="A41" t="s">
        <v>42</v>
      </c>
      <c r="D41" s="25"/>
      <c r="E41" s="25">
        <v>25429</v>
      </c>
      <c r="F41" s="25">
        <v>23797</v>
      </c>
      <c r="G41" s="25">
        <v>22672</v>
      </c>
      <c r="H41" s="25">
        <v>22617</v>
      </c>
      <c r="I41" s="25">
        <v>23917</v>
      </c>
      <c r="J41" s="25">
        <v>22507</v>
      </c>
      <c r="K41" s="25">
        <v>21257</v>
      </c>
      <c r="L41" s="25">
        <v>22195</v>
      </c>
      <c r="M41" s="25">
        <v>23846</v>
      </c>
      <c r="N41" s="25">
        <v>23615</v>
      </c>
      <c r="O41" s="25">
        <v>23909</v>
      </c>
      <c r="P41" s="25">
        <v>23670</v>
      </c>
      <c r="Q41" s="25">
        <v>24506</v>
      </c>
      <c r="R41" s="25">
        <v>22856</v>
      </c>
      <c r="S41" s="25">
        <v>23186</v>
      </c>
      <c r="T41" s="25">
        <v>23602</v>
      </c>
      <c r="U41" s="25">
        <f t="shared" si="10"/>
        <v>25085</v>
      </c>
      <c r="V41" s="25">
        <v>25319</v>
      </c>
      <c r="W41" s="25">
        <v>25607</v>
      </c>
      <c r="X41" s="25">
        <v>25954</v>
      </c>
      <c r="Y41" s="25">
        <v>26109</v>
      </c>
      <c r="Z41" s="25">
        <v>25889</v>
      </c>
      <c r="AA41" s="25">
        <v>26275</v>
      </c>
      <c r="AB41" s="25">
        <v>25920</v>
      </c>
      <c r="AC41" s="25">
        <v>27097</v>
      </c>
      <c r="AD41" s="25">
        <v>26655</v>
      </c>
      <c r="AE41" s="25">
        <v>26486</v>
      </c>
      <c r="AF41" s="25"/>
      <c r="AH41" s="25">
        <v>25429</v>
      </c>
      <c r="AI41" s="25">
        <v>23917</v>
      </c>
      <c r="AJ41" s="25">
        <v>23846</v>
      </c>
      <c r="AK41" s="25">
        <v>24506</v>
      </c>
      <c r="AL41" s="26">
        <v>25085</v>
      </c>
      <c r="AM41" s="8">
        <f>Y41</f>
        <v>26109</v>
      </c>
      <c r="AN41" s="8">
        <f t="shared" si="11"/>
        <v>27097</v>
      </c>
    </row>
    <row r="42" spans="1:40" ht="14.4" outlineLevel="1" x14ac:dyDescent="0.3">
      <c r="A42" t="s">
        <v>43</v>
      </c>
      <c r="B42" s="21"/>
      <c r="D42" s="25">
        <v>1538</v>
      </c>
      <c r="E42" s="25">
        <v>1422</v>
      </c>
      <c r="F42" s="25">
        <v>1633</v>
      </c>
      <c r="G42" s="25">
        <v>1289</v>
      </c>
      <c r="H42" s="25">
        <v>1457</v>
      </c>
      <c r="I42" s="25">
        <v>1796</v>
      </c>
      <c r="J42" s="25">
        <v>1303</v>
      </c>
      <c r="K42" s="25">
        <v>1421</v>
      </c>
      <c r="L42" s="25">
        <v>2303</v>
      </c>
      <c r="M42" s="25">
        <v>3055</v>
      </c>
      <c r="N42" s="25">
        <v>3659</v>
      </c>
      <c r="O42" s="25">
        <v>3646</v>
      </c>
      <c r="P42" s="25">
        <v>3133</v>
      </c>
      <c r="Q42" s="25">
        <v>2388</v>
      </c>
      <c r="R42" s="25">
        <v>2381</v>
      </c>
      <c r="S42" s="25">
        <v>1896</v>
      </c>
      <c r="T42" s="25">
        <v>2240</v>
      </c>
      <c r="U42" s="25">
        <f t="shared" si="10"/>
        <v>2057</v>
      </c>
      <c r="V42" s="25">
        <v>2076</v>
      </c>
      <c r="W42" s="25">
        <v>1841</v>
      </c>
      <c r="X42" s="25">
        <v>2523</v>
      </c>
      <c r="Y42" s="25">
        <v>2247</v>
      </c>
      <c r="Z42" s="25">
        <v>2197</v>
      </c>
      <c r="AA42" s="25">
        <v>2137</v>
      </c>
      <c r="AB42" s="25">
        <v>2700</v>
      </c>
      <c r="AC42" s="25">
        <v>2441</v>
      </c>
      <c r="AD42" s="25">
        <v>2320</v>
      </c>
      <c r="AE42" s="25">
        <v>2036</v>
      </c>
      <c r="AF42" s="25"/>
      <c r="AH42" s="25">
        <v>1422</v>
      </c>
      <c r="AI42" s="25">
        <v>1796</v>
      </c>
      <c r="AJ42" s="25">
        <v>3055</v>
      </c>
      <c r="AK42" s="25">
        <v>2388</v>
      </c>
      <c r="AL42" s="25">
        <v>2057</v>
      </c>
      <c r="AM42" s="8">
        <f>Y42</f>
        <v>2247</v>
      </c>
      <c r="AN42" s="8">
        <f t="shared" si="11"/>
        <v>2441</v>
      </c>
    </row>
    <row r="43" spans="1:40" ht="14.4" outlineLevel="1" x14ac:dyDescent="0.3">
      <c r="A43" t="s">
        <v>44</v>
      </c>
      <c r="B43" s="21"/>
      <c r="D43" s="25">
        <v>5624</v>
      </c>
      <c r="E43" s="25">
        <v>8028</v>
      </c>
      <c r="F43" s="25">
        <v>8228</v>
      </c>
      <c r="G43" s="25">
        <v>5490</v>
      </c>
      <c r="H43" s="25">
        <v>5515</v>
      </c>
      <c r="I43" s="25">
        <v>6710</v>
      </c>
      <c r="J43" s="25">
        <v>5632</v>
      </c>
      <c r="K43" s="25">
        <v>8291</v>
      </c>
      <c r="L43" s="25">
        <v>5843</v>
      </c>
      <c r="M43" s="25">
        <v>6906</v>
      </c>
      <c r="N43" s="25">
        <v>6645</v>
      </c>
      <c r="O43" s="25">
        <v>8087</v>
      </c>
      <c r="P43" s="25">
        <v>10861</v>
      </c>
      <c r="Q43" s="25">
        <v>8358</v>
      </c>
      <c r="R43" s="25">
        <v>8251</v>
      </c>
      <c r="S43" s="25">
        <v>7503</v>
      </c>
      <c r="T43" s="25">
        <v>8067</v>
      </c>
      <c r="U43" s="25">
        <f t="shared" si="10"/>
        <v>7607</v>
      </c>
      <c r="V43" s="25">
        <v>8197</v>
      </c>
      <c r="W43" s="25">
        <v>8176</v>
      </c>
      <c r="X43" s="25">
        <v>7177</v>
      </c>
      <c r="Y43" s="25">
        <v>7973</v>
      </c>
      <c r="Z43" s="25">
        <v>7010</v>
      </c>
      <c r="AA43" s="25">
        <v>6999</v>
      </c>
      <c r="AB43" s="25">
        <v>7684</v>
      </c>
      <c r="AC43" s="25">
        <v>8336</v>
      </c>
      <c r="AD43" s="25">
        <v>7382</v>
      </c>
      <c r="AE43" s="25">
        <v>7297</v>
      </c>
      <c r="AF43" s="25"/>
      <c r="AH43" s="25">
        <v>8028</v>
      </c>
      <c r="AI43" s="25">
        <v>6710</v>
      </c>
      <c r="AJ43" s="25">
        <v>6906</v>
      </c>
      <c r="AK43" s="25">
        <v>8358</v>
      </c>
      <c r="AL43" s="25">
        <v>7607</v>
      </c>
      <c r="AM43" s="8">
        <f>Y43</f>
        <v>7973</v>
      </c>
      <c r="AN43" s="8">
        <f t="shared" si="11"/>
        <v>8336</v>
      </c>
    </row>
    <row r="44" spans="1:40" s="9" customFormat="1" ht="14.4" outlineLevel="1" x14ac:dyDescent="0.3">
      <c r="A44" s="9" t="s">
        <v>45</v>
      </c>
      <c r="B44" s="27"/>
      <c r="D44" s="27">
        <v>34895</v>
      </c>
      <c r="E44" s="27">
        <v>37473</v>
      </c>
      <c r="F44" s="27">
        <v>40705</v>
      </c>
      <c r="G44" s="27">
        <v>37333</v>
      </c>
      <c r="H44" s="27">
        <v>38572</v>
      </c>
      <c r="I44" s="27">
        <v>54594</v>
      </c>
      <c r="J44" s="27">
        <v>39647</v>
      </c>
      <c r="K44" s="27">
        <v>35626</v>
      </c>
      <c r="L44" s="27">
        <v>40277</v>
      </c>
      <c r="M44" s="27">
        <v>36728</v>
      </c>
      <c r="N44" s="27">
        <v>35580</v>
      </c>
      <c r="O44" s="27">
        <v>37499</v>
      </c>
      <c r="P44" s="27">
        <v>39746</v>
      </c>
      <c r="Q44" s="27">
        <v>37857</v>
      </c>
      <c r="R44" s="27">
        <v>35722</v>
      </c>
      <c r="S44" s="27">
        <v>37388</v>
      </c>
      <c r="T44" s="27">
        <v>38119</v>
      </c>
      <c r="U44" s="27">
        <f t="shared" si="10"/>
        <v>36814</v>
      </c>
      <c r="V44" s="27">
        <v>37957</v>
      </c>
      <c r="W44" s="27">
        <v>38056</v>
      </c>
      <c r="X44" s="27">
        <v>40641</v>
      </c>
      <c r="Y44" s="27">
        <v>40523</v>
      </c>
      <c r="Z44" s="27">
        <v>37353</v>
      </c>
      <c r="AA44" s="27">
        <v>38846</v>
      </c>
      <c r="AB44" s="27">
        <v>44010</v>
      </c>
      <c r="AC44" s="27">
        <f>SUM(AC37,AC41:AC43)</f>
        <v>56922</v>
      </c>
      <c r="AD44" s="27">
        <v>44723</v>
      </c>
      <c r="AE44" s="27">
        <f>SUM(AE37,AE41:AE43)</f>
        <v>37571</v>
      </c>
      <c r="AF44" s="27"/>
      <c r="AH44" s="28">
        <f t="shared" ref="AH44:AM44" si="12">AH37+AH41+AH42+AH43</f>
        <v>37473</v>
      </c>
      <c r="AI44" s="28">
        <f t="shared" si="12"/>
        <v>54594</v>
      </c>
      <c r="AJ44" s="28">
        <f t="shared" si="12"/>
        <v>36728</v>
      </c>
      <c r="AK44" s="28">
        <f t="shared" si="12"/>
        <v>37857</v>
      </c>
      <c r="AL44" s="28">
        <f t="shared" si="12"/>
        <v>36814</v>
      </c>
      <c r="AM44" s="28">
        <f t="shared" si="12"/>
        <v>40523</v>
      </c>
      <c r="AN44" s="28">
        <f t="shared" si="11"/>
        <v>56922</v>
      </c>
    </row>
    <row r="45" spans="1:40" ht="14.4" outlineLevel="1" x14ac:dyDescent="0.3">
      <c r="A45" t="s">
        <v>46</v>
      </c>
      <c r="B45" s="21"/>
      <c r="D45" s="8">
        <v>260053</v>
      </c>
      <c r="E45" s="8">
        <v>265734</v>
      </c>
      <c r="F45" s="8">
        <v>268993</v>
      </c>
      <c r="G45" s="8">
        <v>272714</v>
      </c>
      <c r="H45" s="8">
        <v>276210</v>
      </c>
      <c r="I45" s="8">
        <v>279737</v>
      </c>
      <c r="J45" s="8">
        <v>282742</v>
      </c>
      <c r="K45" s="8">
        <v>283654</v>
      </c>
      <c r="L45" s="8">
        <v>287421</v>
      </c>
      <c r="M45" s="8">
        <v>289897</v>
      </c>
      <c r="N45" s="8">
        <v>292568</v>
      </c>
      <c r="O45" s="8">
        <v>296700</v>
      </c>
      <c r="P45" s="8">
        <v>300870</v>
      </c>
      <c r="Q45" s="8">
        <v>307689</v>
      </c>
      <c r="R45" s="8">
        <v>310519</v>
      </c>
      <c r="S45" s="8">
        <v>313424</v>
      </c>
      <c r="T45" s="8">
        <v>316767</v>
      </c>
      <c r="U45" s="8">
        <f t="shared" si="10"/>
        <v>320108</v>
      </c>
      <c r="V45" s="8">
        <v>322266</v>
      </c>
      <c r="W45" s="8">
        <v>324978</v>
      </c>
      <c r="X45" s="8">
        <v>327555</v>
      </c>
      <c r="Y45" s="8">
        <v>331406</v>
      </c>
      <c r="Z45" s="8">
        <v>331888</v>
      </c>
      <c r="AA45" s="8">
        <v>332529</v>
      </c>
      <c r="AB45" s="8">
        <v>334765</v>
      </c>
      <c r="AC45" s="8">
        <v>337991</v>
      </c>
      <c r="AD45" s="8">
        <v>357650</v>
      </c>
      <c r="AE45" s="8">
        <v>357086</v>
      </c>
      <c r="AF45" s="8"/>
      <c r="AH45" s="25">
        <v>265734</v>
      </c>
      <c r="AI45" s="25">
        <v>279737</v>
      </c>
      <c r="AJ45" s="25">
        <v>289897</v>
      </c>
      <c r="AK45" s="25">
        <v>307689</v>
      </c>
      <c r="AL45" s="25">
        <v>320108</v>
      </c>
      <c r="AM45" s="8">
        <f>Y45</f>
        <v>331406</v>
      </c>
      <c r="AN45" s="8">
        <f t="shared" si="11"/>
        <v>337991</v>
      </c>
    </row>
    <row r="46" spans="1:40" ht="14.4" outlineLevel="1" x14ac:dyDescent="0.3">
      <c r="A46" t="s">
        <v>47</v>
      </c>
      <c r="B46" s="21"/>
      <c r="D46" s="25">
        <v>171204</v>
      </c>
      <c r="E46" s="25">
        <v>173819</v>
      </c>
      <c r="F46" s="25">
        <v>176816</v>
      </c>
      <c r="G46" s="25">
        <v>179960</v>
      </c>
      <c r="H46" s="25">
        <v>183028</v>
      </c>
      <c r="I46" s="25">
        <v>184904</v>
      </c>
      <c r="J46" s="25">
        <v>187866</v>
      </c>
      <c r="K46" s="25">
        <v>189452</v>
      </c>
      <c r="L46" s="25">
        <v>191665</v>
      </c>
      <c r="M46" s="25">
        <v>190201</v>
      </c>
      <c r="N46" s="25">
        <v>192725</v>
      </c>
      <c r="O46" s="25">
        <v>195390</v>
      </c>
      <c r="P46" s="25">
        <v>197866</v>
      </c>
      <c r="Q46" s="25">
        <v>200255</v>
      </c>
      <c r="R46" s="25">
        <v>203532</v>
      </c>
      <c r="S46" s="25">
        <v>206154</v>
      </c>
      <c r="T46" s="25">
        <v>209277</v>
      </c>
      <c r="U46" s="25">
        <f t="shared" si="10"/>
        <v>211798</v>
      </c>
      <c r="V46" s="25">
        <v>214403</v>
      </c>
      <c r="W46" s="25">
        <v>217088</v>
      </c>
      <c r="X46" s="25">
        <v>220027</v>
      </c>
      <c r="Y46" s="25">
        <v>222884</v>
      </c>
      <c r="Z46" s="25">
        <v>223965</v>
      </c>
      <c r="AA46" s="25">
        <v>224460</v>
      </c>
      <c r="AB46" s="25">
        <v>226298</v>
      </c>
      <c r="AC46" s="25">
        <v>228524</v>
      </c>
      <c r="AD46" s="25">
        <v>231678</v>
      </c>
      <c r="AE46" s="25">
        <v>231589</v>
      </c>
      <c r="AF46" s="25"/>
      <c r="AH46" s="25">
        <v>173819</v>
      </c>
      <c r="AI46" s="25">
        <v>184904</v>
      </c>
      <c r="AJ46" s="25">
        <v>190201</v>
      </c>
      <c r="AK46" s="25">
        <v>200255</v>
      </c>
      <c r="AL46" s="25">
        <v>211798</v>
      </c>
      <c r="AM46" s="8">
        <f>Y46</f>
        <v>222884</v>
      </c>
      <c r="AN46" s="8">
        <f t="shared" si="11"/>
        <v>228524</v>
      </c>
    </row>
    <row r="47" spans="1:40" ht="14.4" outlineLevel="1" x14ac:dyDescent="0.3">
      <c r="A47" t="s">
        <v>48</v>
      </c>
      <c r="B47" s="21"/>
      <c r="D47" s="25">
        <v>88849</v>
      </c>
      <c r="E47" s="25">
        <v>91915</v>
      </c>
      <c r="F47" s="25">
        <v>92177</v>
      </c>
      <c r="G47" s="25">
        <v>92754</v>
      </c>
      <c r="H47" s="25">
        <v>93182</v>
      </c>
      <c r="I47" s="25">
        <v>94833</v>
      </c>
      <c r="J47" s="25">
        <v>94876</v>
      </c>
      <c r="K47" s="25">
        <v>94202</v>
      </c>
      <c r="L47" s="25">
        <v>95756</v>
      </c>
      <c r="M47" s="25">
        <v>99696</v>
      </c>
      <c r="N47" s="25">
        <v>99843</v>
      </c>
      <c r="O47" s="25">
        <v>101310</v>
      </c>
      <c r="P47" s="25">
        <v>103004</v>
      </c>
      <c r="Q47" s="25">
        <v>107434</v>
      </c>
      <c r="R47" s="25">
        <v>106987</v>
      </c>
      <c r="S47" s="25">
        <v>107270</v>
      </c>
      <c r="T47" s="25">
        <v>107490</v>
      </c>
      <c r="U47" s="25">
        <f t="shared" si="10"/>
        <v>108310</v>
      </c>
      <c r="V47" s="25">
        <v>107863</v>
      </c>
      <c r="W47" s="25">
        <v>107890</v>
      </c>
      <c r="X47" s="25">
        <v>107528</v>
      </c>
      <c r="Y47" s="25">
        <v>108522</v>
      </c>
      <c r="Z47" s="25">
        <v>107923</v>
      </c>
      <c r="AA47" s="25">
        <v>108069</v>
      </c>
      <c r="AB47" s="25">
        <v>108467</v>
      </c>
      <c r="AC47" s="25">
        <v>109467</v>
      </c>
      <c r="AD47" s="25">
        <v>125972</v>
      </c>
      <c r="AE47" s="25">
        <v>125497</v>
      </c>
      <c r="AF47" s="25"/>
      <c r="AH47" s="25">
        <v>91915</v>
      </c>
      <c r="AI47" s="25">
        <v>94833</v>
      </c>
      <c r="AJ47" s="25">
        <v>99696</v>
      </c>
      <c r="AK47" s="25">
        <v>107434</v>
      </c>
      <c r="AL47" s="25">
        <v>108310</v>
      </c>
      <c r="AM47" s="8">
        <f>Y47</f>
        <v>108522</v>
      </c>
      <c r="AN47" s="8">
        <f t="shared" si="11"/>
        <v>109467</v>
      </c>
    </row>
    <row r="48" spans="1:40" ht="14.4" outlineLevel="1" x14ac:dyDescent="0.3">
      <c r="A48" t="s">
        <v>49</v>
      </c>
      <c r="D48" s="25">
        <v>628</v>
      </c>
      <c r="E48" s="25">
        <v>558</v>
      </c>
      <c r="F48" s="25">
        <v>543</v>
      </c>
      <c r="G48" s="25">
        <v>529</v>
      </c>
      <c r="H48" s="25">
        <v>535</v>
      </c>
      <c r="I48" s="25">
        <v>589</v>
      </c>
      <c r="J48" s="25">
        <v>555</v>
      </c>
      <c r="K48" s="25">
        <v>560</v>
      </c>
      <c r="L48" s="25">
        <v>1100</v>
      </c>
      <c r="M48" s="25">
        <v>1061</v>
      </c>
      <c r="N48" s="25">
        <v>1074</v>
      </c>
      <c r="O48" s="25">
        <v>1113</v>
      </c>
      <c r="P48" s="25">
        <v>1083</v>
      </c>
      <c r="Q48" s="25">
        <v>1071</v>
      </c>
      <c r="R48" s="25">
        <v>1052</v>
      </c>
      <c r="S48" s="25">
        <v>1015</v>
      </c>
      <c r="T48" s="25">
        <v>929</v>
      </c>
      <c r="U48" s="25">
        <f t="shared" si="10"/>
        <v>953</v>
      </c>
      <c r="V48" s="25">
        <v>941</v>
      </c>
      <c r="W48" s="25">
        <v>908</v>
      </c>
      <c r="X48" s="25">
        <v>867</v>
      </c>
      <c r="Y48" s="25">
        <v>842</v>
      </c>
      <c r="Z48" s="25">
        <v>820</v>
      </c>
      <c r="AA48" s="25">
        <v>807</v>
      </c>
      <c r="AB48" s="25">
        <v>799</v>
      </c>
      <c r="AC48" s="25">
        <v>785</v>
      </c>
      <c r="AD48" s="25">
        <v>730</v>
      </c>
      <c r="AE48" s="25">
        <v>783</v>
      </c>
      <c r="AF48" s="25"/>
      <c r="AH48" s="25">
        <v>558</v>
      </c>
      <c r="AI48" s="25">
        <v>589</v>
      </c>
      <c r="AJ48" s="25">
        <v>1061</v>
      </c>
      <c r="AK48" s="25">
        <v>1071</v>
      </c>
      <c r="AL48" s="25">
        <v>953</v>
      </c>
      <c r="AM48" s="8">
        <f>Y48</f>
        <v>842</v>
      </c>
      <c r="AN48" s="8">
        <f t="shared" si="11"/>
        <v>785</v>
      </c>
    </row>
    <row r="49" spans="1:48" ht="14.4" outlineLevel="1" x14ac:dyDescent="0.3">
      <c r="A49" t="s">
        <v>50</v>
      </c>
      <c r="B49" s="21"/>
      <c r="D49" s="25">
        <v>94433</v>
      </c>
      <c r="E49" s="25">
        <v>95059</v>
      </c>
      <c r="F49" s="25">
        <v>92471</v>
      </c>
      <c r="G49" s="25">
        <v>95767</v>
      </c>
      <c r="H49" s="25">
        <v>95958</v>
      </c>
      <c r="I49" s="25">
        <v>96097</v>
      </c>
      <c r="J49" s="25">
        <v>98012</v>
      </c>
      <c r="K49" s="25">
        <v>98034</v>
      </c>
      <c r="L49" s="25">
        <v>145767</v>
      </c>
      <c r="M49" s="25">
        <v>147619</v>
      </c>
      <c r="N49" s="25">
        <v>148083</v>
      </c>
      <c r="O49" s="25">
        <v>148724</v>
      </c>
      <c r="P49" s="25">
        <v>149292</v>
      </c>
      <c r="Q49" s="25">
        <v>149796</v>
      </c>
      <c r="R49" s="25">
        <v>150485</v>
      </c>
      <c r="S49" s="25">
        <v>151337</v>
      </c>
      <c r="T49" s="25">
        <v>155465</v>
      </c>
      <c r="U49" s="25">
        <f t="shared" si="10"/>
        <v>155667</v>
      </c>
      <c r="V49" s="25">
        <v>156111</v>
      </c>
      <c r="W49" s="25">
        <v>156291</v>
      </c>
      <c r="X49" s="25">
        <v>156481</v>
      </c>
      <c r="Y49" s="25">
        <v>156613</v>
      </c>
      <c r="Z49" s="25">
        <v>156726</v>
      </c>
      <c r="AA49" s="25">
        <v>156820</v>
      </c>
      <c r="AB49" s="25">
        <v>156926</v>
      </c>
      <c r="AC49" s="25">
        <v>157039</v>
      </c>
      <c r="AD49" s="25">
        <v>157082</v>
      </c>
      <c r="AE49" s="25">
        <v>158159</v>
      </c>
      <c r="AF49" s="25"/>
      <c r="AH49" s="25">
        <v>95059</v>
      </c>
      <c r="AI49" s="25">
        <v>96097</v>
      </c>
      <c r="AJ49" s="25">
        <v>147619</v>
      </c>
      <c r="AK49" s="25">
        <v>149796</v>
      </c>
      <c r="AL49" s="25">
        <v>155667</v>
      </c>
      <c r="AM49" s="8">
        <f>Y49</f>
        <v>156613</v>
      </c>
      <c r="AN49" s="8">
        <f t="shared" si="11"/>
        <v>157039</v>
      </c>
      <c r="AP49" s="29"/>
      <c r="AQ49" s="29"/>
      <c r="AR49" s="29"/>
      <c r="AS49" s="29"/>
      <c r="AT49" s="29"/>
      <c r="AU49" s="29"/>
      <c r="AV49" s="29"/>
    </row>
    <row r="50" spans="1:48" ht="14.4" outlineLevel="1" x14ac:dyDescent="0.3">
      <c r="A50" t="s">
        <v>51</v>
      </c>
      <c r="D50" s="25"/>
      <c r="E50" s="25"/>
      <c r="F50" s="25"/>
      <c r="G50" s="25"/>
      <c r="H50" s="25"/>
      <c r="I50" s="25">
        <v>2772</v>
      </c>
      <c r="J50" s="25">
        <v>45490</v>
      </c>
      <c r="K50" s="25">
        <v>45910</v>
      </c>
      <c r="L50" s="25" t="s">
        <v>40</v>
      </c>
      <c r="M50" s="25"/>
      <c r="N50" s="25"/>
      <c r="O50" s="25"/>
      <c r="P50" s="25"/>
      <c r="Q50" s="25"/>
      <c r="R50" s="25"/>
      <c r="S50" s="25"/>
      <c r="T50" s="25"/>
      <c r="U50" s="25">
        <f t="shared" si="10"/>
        <v>0</v>
      </c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H50" s="26"/>
      <c r="AI50" s="26"/>
      <c r="AJ50" s="25">
        <v>0</v>
      </c>
      <c r="AK50" s="26"/>
    </row>
    <row r="51" spans="1:48" ht="14.4" outlineLevel="1" x14ac:dyDescent="0.3">
      <c r="A51" t="s">
        <v>52</v>
      </c>
      <c r="B51" s="21"/>
      <c r="D51" s="25">
        <v>24570</v>
      </c>
      <c r="E51" s="25">
        <v>24389</v>
      </c>
      <c r="F51" s="25">
        <v>24382</v>
      </c>
      <c r="G51" s="25">
        <v>24667</v>
      </c>
      <c r="H51" s="25">
        <v>24799</v>
      </c>
      <c r="I51" s="25">
        <v>24773</v>
      </c>
      <c r="J51" s="25">
        <v>24837</v>
      </c>
      <c r="K51" s="25">
        <v>24915</v>
      </c>
      <c r="L51" s="25">
        <v>24887</v>
      </c>
      <c r="M51" s="25">
        <v>28603</v>
      </c>
      <c r="N51" s="25">
        <v>28629</v>
      </c>
      <c r="O51" s="25">
        <v>28638</v>
      </c>
      <c r="P51" s="25">
        <v>28548</v>
      </c>
      <c r="Q51" s="25">
        <v>28671</v>
      </c>
      <c r="R51" s="25">
        <v>28674</v>
      </c>
      <c r="S51" s="25">
        <v>28647</v>
      </c>
      <c r="T51" s="25">
        <v>28642</v>
      </c>
      <c r="U51" s="25">
        <f t="shared" si="10"/>
        <v>22843</v>
      </c>
      <c r="V51" s="25">
        <v>22842</v>
      </c>
      <c r="W51" s="25">
        <v>22842</v>
      </c>
      <c r="X51" s="25">
        <v>22844</v>
      </c>
      <c r="Y51" s="25">
        <v>22841</v>
      </c>
      <c r="Z51" s="25">
        <v>22842</v>
      </c>
      <c r="AA51" s="25">
        <v>22841</v>
      </c>
      <c r="AB51" s="25">
        <v>22841</v>
      </c>
      <c r="AC51" s="25">
        <v>22841</v>
      </c>
      <c r="AD51" s="25">
        <v>30628</v>
      </c>
      <c r="AE51" s="25">
        <v>30664</v>
      </c>
      <c r="AF51" s="25"/>
      <c r="AH51" s="25">
        <v>24389</v>
      </c>
      <c r="AI51" s="25">
        <v>24773</v>
      </c>
      <c r="AJ51" s="25">
        <v>28603</v>
      </c>
      <c r="AK51" s="25">
        <v>28671</v>
      </c>
      <c r="AL51" s="26">
        <v>22843</v>
      </c>
      <c r="AM51" s="8">
        <f>Y51</f>
        <v>22841</v>
      </c>
      <c r="AN51" s="8">
        <f t="shared" si="11"/>
        <v>22841</v>
      </c>
    </row>
    <row r="52" spans="1:48" ht="14.4" outlineLevel="1" x14ac:dyDescent="0.3">
      <c r="A52" t="s">
        <v>53</v>
      </c>
      <c r="B52" s="27"/>
      <c r="D52" s="25">
        <v>9264</v>
      </c>
      <c r="E52" s="25">
        <v>9498</v>
      </c>
      <c r="F52" s="25">
        <v>9371</v>
      </c>
      <c r="G52" s="25">
        <v>9600</v>
      </c>
      <c r="H52" s="25">
        <v>9599</v>
      </c>
      <c r="I52" s="25">
        <v>9413</v>
      </c>
      <c r="J52" s="25">
        <v>9304</v>
      </c>
      <c r="K52" s="25">
        <v>7002</v>
      </c>
      <c r="L52" s="25">
        <v>7022</v>
      </c>
      <c r="M52" s="25">
        <v>11677</v>
      </c>
      <c r="N52" s="25">
        <v>11432</v>
      </c>
      <c r="O52" s="25">
        <v>11286</v>
      </c>
      <c r="P52" s="25">
        <v>11196</v>
      </c>
      <c r="Q52" s="25">
        <v>11461</v>
      </c>
      <c r="R52" s="25">
        <v>11246</v>
      </c>
      <c r="S52" s="25">
        <v>11097</v>
      </c>
      <c r="T52" s="25">
        <v>10952</v>
      </c>
      <c r="U52" s="25">
        <f t="shared" si="10"/>
        <v>11057</v>
      </c>
      <c r="V52" s="25">
        <v>10835</v>
      </c>
      <c r="W52" s="25">
        <v>10680</v>
      </c>
      <c r="X52" s="25">
        <v>10674</v>
      </c>
      <c r="Y52" s="25">
        <v>11129</v>
      </c>
      <c r="Z52" s="25">
        <v>10847</v>
      </c>
      <c r="AA52" s="25">
        <v>10635</v>
      </c>
      <c r="AB52" s="25">
        <v>10516</v>
      </c>
      <c r="AC52" s="25">
        <v>10458</v>
      </c>
      <c r="AD52" s="25">
        <v>12799</v>
      </c>
      <c r="AE52" s="25">
        <v>12317</v>
      </c>
      <c r="AF52" s="25"/>
      <c r="AH52" s="25">
        <v>9498</v>
      </c>
      <c r="AI52" s="25">
        <v>9413</v>
      </c>
      <c r="AJ52" s="25">
        <v>11677</v>
      </c>
      <c r="AK52" s="25">
        <v>11461</v>
      </c>
      <c r="AL52" s="25">
        <v>11057</v>
      </c>
      <c r="AM52" s="8">
        <f>Y52</f>
        <v>11129</v>
      </c>
      <c r="AN52" s="8">
        <f t="shared" si="11"/>
        <v>10458</v>
      </c>
    </row>
    <row r="53" spans="1:48" ht="14.4" outlineLevel="1" x14ac:dyDescent="0.3">
      <c r="A53" t="s">
        <v>54</v>
      </c>
      <c r="D53" s="8">
        <v>22218</v>
      </c>
      <c r="E53" s="8">
        <v>22694</v>
      </c>
      <c r="F53" s="8">
        <v>22472</v>
      </c>
      <c r="G53" s="8">
        <v>22431</v>
      </c>
      <c r="H53" s="8">
        <v>22680</v>
      </c>
      <c r="I53" s="8">
        <v>22531</v>
      </c>
      <c r="J53" s="8">
        <v>22315</v>
      </c>
      <c r="K53" s="8">
        <v>28180</v>
      </c>
      <c r="L53" s="8">
        <v>27969</v>
      </c>
      <c r="M53" s="8">
        <v>27883</v>
      </c>
      <c r="N53" s="8">
        <v>27494</v>
      </c>
      <c r="O53" s="8">
        <v>27098</v>
      </c>
      <c r="P53" s="8">
        <v>26588</v>
      </c>
      <c r="Q53" s="8">
        <v>26130</v>
      </c>
      <c r="R53" s="8">
        <v>25947</v>
      </c>
      <c r="S53" s="8">
        <v>25345</v>
      </c>
      <c r="T53" s="8">
        <v>25086</v>
      </c>
      <c r="U53" s="8">
        <f t="shared" si="10"/>
        <v>24726</v>
      </c>
      <c r="V53" s="8">
        <v>24351</v>
      </c>
      <c r="W53" s="8">
        <v>24064</v>
      </c>
      <c r="X53" s="8">
        <v>23613</v>
      </c>
      <c r="Y53" s="8">
        <v>24472</v>
      </c>
      <c r="Z53" s="8">
        <v>24175</v>
      </c>
      <c r="AA53" s="8">
        <v>23949</v>
      </c>
      <c r="AB53" s="8">
        <v>23760</v>
      </c>
      <c r="AC53" s="8">
        <v>23498</v>
      </c>
      <c r="AD53" s="8">
        <v>23401</v>
      </c>
      <c r="AE53" s="8">
        <v>23158</v>
      </c>
      <c r="AF53" s="8"/>
      <c r="AH53" s="25">
        <v>22694</v>
      </c>
      <c r="AI53" s="25">
        <v>22531</v>
      </c>
      <c r="AJ53" s="25">
        <v>27883</v>
      </c>
      <c r="AK53" s="25">
        <v>26130</v>
      </c>
      <c r="AL53" s="25">
        <v>24726</v>
      </c>
      <c r="AM53" s="8">
        <f>Y53</f>
        <v>24472</v>
      </c>
      <c r="AN53" s="8">
        <f t="shared" si="11"/>
        <v>23498</v>
      </c>
    </row>
    <row r="54" spans="1:48" ht="14.4" outlineLevel="1" x14ac:dyDescent="0.3">
      <c r="A54" t="s">
        <v>55</v>
      </c>
      <c r="B54" s="21"/>
      <c r="D54" s="25">
        <v>10018</v>
      </c>
      <c r="E54" s="25">
        <v>10141</v>
      </c>
      <c r="F54" s="25">
        <v>12379</v>
      </c>
      <c r="G54" s="25">
        <v>10178</v>
      </c>
      <c r="H54" s="25">
        <v>11669</v>
      </c>
      <c r="I54" s="25">
        <v>10879</v>
      </c>
      <c r="J54" s="25">
        <v>10537</v>
      </c>
      <c r="K54" s="25">
        <v>14761</v>
      </c>
      <c r="L54" s="25">
        <v>10679</v>
      </c>
      <c r="M54" s="25">
        <v>13329</v>
      </c>
      <c r="N54" s="25">
        <v>13581</v>
      </c>
      <c r="O54" s="25">
        <v>14479</v>
      </c>
      <c r="P54" s="25">
        <v>15633</v>
      </c>
      <c r="Q54" s="25">
        <v>17260</v>
      </c>
      <c r="R54" s="25">
        <v>17603</v>
      </c>
      <c r="S54" s="25">
        <v>17856</v>
      </c>
      <c r="T54" s="25">
        <v>18147</v>
      </c>
      <c r="U54" s="25">
        <f t="shared" si="10"/>
        <v>19885</v>
      </c>
      <c r="V54" s="25">
        <v>19258</v>
      </c>
      <c r="W54" s="25">
        <v>18415</v>
      </c>
      <c r="X54" s="25">
        <v>18516</v>
      </c>
      <c r="Y54" s="25">
        <v>19769</v>
      </c>
      <c r="Z54" s="25">
        <v>19678</v>
      </c>
      <c r="AA54" s="25">
        <v>21318</v>
      </c>
      <c r="AB54" s="25">
        <v>21012</v>
      </c>
      <c r="AC54" s="25">
        <v>23248</v>
      </c>
      <c r="AD54" s="25">
        <v>22547</v>
      </c>
      <c r="AE54" s="25">
        <v>22037</v>
      </c>
      <c r="AF54" s="25"/>
      <c r="AH54" s="25">
        <v>10141</v>
      </c>
      <c r="AI54" s="25">
        <v>13651</v>
      </c>
      <c r="AJ54" s="25">
        <v>13329</v>
      </c>
      <c r="AK54" s="25">
        <v>17260</v>
      </c>
      <c r="AL54" s="25">
        <v>19885</v>
      </c>
      <c r="AM54" s="8">
        <f>Y54</f>
        <v>19769</v>
      </c>
      <c r="AN54" s="8">
        <f t="shared" si="11"/>
        <v>23248</v>
      </c>
    </row>
    <row r="55" spans="1:48" s="9" customFormat="1" ht="14.4" outlineLevel="1" x14ac:dyDescent="0.3">
      <c r="A55" s="9" t="s">
        <v>56</v>
      </c>
      <c r="B55" s="30"/>
      <c r="D55" s="30">
        <v>284875</v>
      </c>
      <c r="E55" s="30">
        <v>291727</v>
      </c>
      <c r="F55" s="30">
        <v>294500</v>
      </c>
      <c r="G55" s="30">
        <v>293259</v>
      </c>
      <c r="H55" s="30">
        <v>296994</v>
      </c>
      <c r="I55" s="30">
        <v>316481</v>
      </c>
      <c r="J55" s="30">
        <v>345573</v>
      </c>
      <c r="K55" s="30">
        <v>349190</v>
      </c>
      <c r="L55" s="30">
        <v>353457</v>
      </c>
      <c r="M55" s="30">
        <v>366596</v>
      </c>
      <c r="N55" s="30">
        <v>365716</v>
      </c>
      <c r="O55" s="30">
        <v>370147</v>
      </c>
      <c r="P55" s="30">
        <v>375090</v>
      </c>
      <c r="Q55" s="30">
        <v>379680</v>
      </c>
      <c r="R55" s="30">
        <v>377716</v>
      </c>
      <c r="S55" s="30">
        <v>379955</v>
      </c>
      <c r="T55" s="31">
        <v>384830</v>
      </c>
      <c r="U55" s="31">
        <f>AL55</f>
        <v>380255</v>
      </c>
      <c r="V55" s="31">
        <v>380158</v>
      </c>
      <c r="W55" s="31">
        <v>379146</v>
      </c>
      <c r="X55" s="31">
        <v>381164</v>
      </c>
      <c r="Y55" s="31">
        <v>384711</v>
      </c>
      <c r="Z55" s="31">
        <v>380364</v>
      </c>
      <c r="AA55" s="31">
        <v>383285</v>
      </c>
      <c r="AB55" s="31">
        <v>388331</v>
      </c>
      <c r="AC55" s="31">
        <f>SUM(AC47:AC54) +AC44</f>
        <v>404258</v>
      </c>
      <c r="AD55" s="31">
        <v>417882</v>
      </c>
      <c r="AE55" s="31">
        <f>SUM(AE47:AE54) +AE44</f>
        <v>410186</v>
      </c>
      <c r="AF55" s="31"/>
      <c r="AH55" s="11">
        <f t="shared" ref="AH55:AM55" si="13">AH44+AH47+AH48+AH49+AH51+AH52+AH53+AH54</f>
        <v>291727</v>
      </c>
      <c r="AI55" s="11">
        <f t="shared" si="13"/>
        <v>316481</v>
      </c>
      <c r="AJ55" s="11">
        <f t="shared" si="13"/>
        <v>366596</v>
      </c>
      <c r="AK55" s="11">
        <f t="shared" si="13"/>
        <v>379680</v>
      </c>
      <c r="AL55" s="11">
        <f t="shared" si="13"/>
        <v>380255</v>
      </c>
      <c r="AM55" s="11">
        <f t="shared" si="13"/>
        <v>384711</v>
      </c>
      <c r="AN55" s="11">
        <f t="shared" si="11"/>
        <v>404258</v>
      </c>
    </row>
    <row r="56" spans="1:48" outlineLevel="1" x14ac:dyDescent="0.25">
      <c r="A56" t="s">
        <v>57</v>
      </c>
    </row>
    <row r="57" spans="1:48" ht="14.4" outlineLevel="1" x14ac:dyDescent="0.3">
      <c r="A57" t="s">
        <v>58</v>
      </c>
      <c r="AG57" s="5"/>
      <c r="AH57" s="5"/>
      <c r="AI57" s="5"/>
      <c r="AJ57" s="5"/>
      <c r="AK57" s="5"/>
      <c r="AL57" s="5"/>
      <c r="AM57" s="5"/>
      <c r="AN57" s="5"/>
    </row>
    <row r="58" spans="1:48" ht="14.4" outlineLevel="1" x14ac:dyDescent="0.3">
      <c r="A58" t="s">
        <v>59</v>
      </c>
      <c r="B58" s="24"/>
      <c r="D58" s="8">
        <v>7830</v>
      </c>
      <c r="E58" s="8">
        <v>10777</v>
      </c>
      <c r="F58" s="8">
        <v>11175</v>
      </c>
      <c r="G58" s="8">
        <v>6651</v>
      </c>
      <c r="H58" s="8">
        <v>5770</v>
      </c>
      <c r="I58" s="8">
        <v>5889</v>
      </c>
      <c r="J58" s="8">
        <v>8802</v>
      </c>
      <c r="K58" s="8">
        <v>7023</v>
      </c>
      <c r="L58" s="8">
        <v>7623</v>
      </c>
      <c r="M58" s="8">
        <v>7443</v>
      </c>
      <c r="N58" s="8">
        <v>13421</v>
      </c>
      <c r="O58" s="8">
        <v>12873</v>
      </c>
      <c r="P58" s="8">
        <v>14995</v>
      </c>
      <c r="Q58" s="8">
        <v>9963</v>
      </c>
      <c r="R58" s="8">
        <v>12081</v>
      </c>
      <c r="S58" s="8">
        <v>14827</v>
      </c>
      <c r="T58" s="8">
        <v>12950</v>
      </c>
      <c r="U58" s="8">
        <f>AL58</f>
        <v>12973</v>
      </c>
      <c r="V58" s="8">
        <v>15594</v>
      </c>
      <c r="W58" s="8">
        <v>23255</v>
      </c>
      <c r="X58" s="8">
        <v>21763</v>
      </c>
      <c r="Y58" s="8">
        <v>22633</v>
      </c>
      <c r="Z58" s="8">
        <v>22629</v>
      </c>
      <c r="AA58" s="8">
        <v>22067</v>
      </c>
      <c r="AB58" s="8">
        <v>20146</v>
      </c>
      <c r="AC58" s="8">
        <v>18618</v>
      </c>
      <c r="AD58" s="8">
        <v>28229</v>
      </c>
      <c r="AE58" s="8">
        <v>21783</v>
      </c>
      <c r="AF58" s="8"/>
      <c r="AG58" s="5"/>
      <c r="AH58" s="8">
        <v>10777</v>
      </c>
      <c r="AI58" s="8">
        <v>5889</v>
      </c>
      <c r="AJ58" s="8">
        <v>7443</v>
      </c>
      <c r="AK58" s="8">
        <v>9963</v>
      </c>
      <c r="AL58" s="8">
        <v>12973</v>
      </c>
      <c r="AM58" s="8">
        <f>Y58</f>
        <v>22633</v>
      </c>
      <c r="AN58" s="8">
        <f t="shared" ref="AN58:AN68" si="14">AC58</f>
        <v>18618</v>
      </c>
    </row>
    <row r="59" spans="1:48" ht="14.4" outlineLevel="1" x14ac:dyDescent="0.3">
      <c r="A59" t="s">
        <v>60</v>
      </c>
      <c r="B59" s="21"/>
      <c r="D59" s="25">
        <v>19566</v>
      </c>
      <c r="E59" s="25">
        <v>21806</v>
      </c>
      <c r="F59" s="25">
        <v>17419</v>
      </c>
      <c r="G59" s="25">
        <v>19297</v>
      </c>
      <c r="H59" s="25">
        <v>17391</v>
      </c>
      <c r="I59" s="25">
        <v>20658</v>
      </c>
      <c r="J59" s="25">
        <v>17219</v>
      </c>
      <c r="K59" s="25">
        <v>17328</v>
      </c>
      <c r="L59" s="25">
        <v>20153</v>
      </c>
      <c r="M59" s="25">
        <v>24833</v>
      </c>
      <c r="N59" s="25">
        <v>18169</v>
      </c>
      <c r="O59" s="25">
        <v>20956</v>
      </c>
      <c r="P59" s="25">
        <v>22235</v>
      </c>
      <c r="Q59" s="25">
        <v>23977</v>
      </c>
      <c r="R59" s="25">
        <v>19273</v>
      </c>
      <c r="S59" s="25">
        <v>20067</v>
      </c>
      <c r="T59" s="25">
        <v>26140</v>
      </c>
      <c r="U59" s="25">
        <f t="shared" ref="U59:U68" si="15">AL59</f>
        <v>23453</v>
      </c>
      <c r="V59" s="25">
        <v>20139</v>
      </c>
      <c r="W59" s="25">
        <v>19727</v>
      </c>
      <c r="X59" s="25">
        <v>22222</v>
      </c>
      <c r="Y59" s="25">
        <v>23374</v>
      </c>
      <c r="Z59" s="25">
        <v>19413</v>
      </c>
      <c r="AA59" s="25">
        <v>19880</v>
      </c>
      <c r="AB59" s="25">
        <v>20700</v>
      </c>
      <c r="AC59" s="25">
        <v>24981</v>
      </c>
      <c r="AD59" s="25">
        <v>21932</v>
      </c>
      <c r="AE59" s="25">
        <v>20422</v>
      </c>
      <c r="AF59" s="25"/>
      <c r="AH59" s="25">
        <v>21806</v>
      </c>
      <c r="AI59" s="25">
        <v>20658</v>
      </c>
      <c r="AJ59" s="25">
        <v>24833</v>
      </c>
      <c r="AK59" s="25">
        <v>23977</v>
      </c>
      <c r="AL59" s="25">
        <v>23453</v>
      </c>
      <c r="AM59" s="8">
        <f>Y59</f>
        <v>23374</v>
      </c>
      <c r="AN59" s="8">
        <f t="shared" si="14"/>
        <v>24981</v>
      </c>
    </row>
    <row r="60" spans="1:48" ht="14.4" outlineLevel="1" x14ac:dyDescent="0.3">
      <c r="A60" t="s">
        <v>61</v>
      </c>
      <c r="D60" s="8">
        <v>2959</v>
      </c>
      <c r="E60" s="8">
        <v>3261</v>
      </c>
      <c r="F60" s="8">
        <v>3331</v>
      </c>
      <c r="G60" s="8">
        <v>3270</v>
      </c>
      <c r="H60" s="8">
        <v>3494</v>
      </c>
      <c r="I60" s="8">
        <v>3485</v>
      </c>
      <c r="J60" s="8">
        <v>3536</v>
      </c>
      <c r="K60" s="8">
        <v>3881</v>
      </c>
      <c r="L60" s="8">
        <v>3606</v>
      </c>
      <c r="M60" s="8">
        <v>3859</v>
      </c>
      <c r="N60" s="8">
        <v>3847</v>
      </c>
      <c r="O60" s="8">
        <v>3912</v>
      </c>
      <c r="P60" s="8">
        <v>3961</v>
      </c>
      <c r="Q60" s="8">
        <v>4134</v>
      </c>
      <c r="R60" s="8">
        <v>4177</v>
      </c>
      <c r="S60" s="8">
        <v>4211</v>
      </c>
      <c r="T60" s="8">
        <v>3906</v>
      </c>
      <c r="U60" s="8">
        <f t="shared" si="15"/>
        <v>4266</v>
      </c>
      <c r="V60" s="8">
        <v>4282</v>
      </c>
      <c r="W60" s="8">
        <v>4247</v>
      </c>
      <c r="X60" s="8">
        <v>4312</v>
      </c>
      <c r="Y60" s="8">
        <v>4415</v>
      </c>
      <c r="Z60" s="8">
        <v>4686</v>
      </c>
      <c r="AA60" s="8">
        <v>4731</v>
      </c>
      <c r="AB60" s="8">
        <v>4501</v>
      </c>
      <c r="AC60" s="8">
        <v>4542</v>
      </c>
      <c r="AD60" s="8">
        <v>4720</v>
      </c>
      <c r="AE60" s="8">
        <v>4835</v>
      </c>
      <c r="AF60" s="8"/>
      <c r="AH60" s="25">
        <v>3261</v>
      </c>
      <c r="AI60" s="25">
        <v>3485</v>
      </c>
      <c r="AJ60" s="25">
        <v>3859</v>
      </c>
      <c r="AK60" s="25">
        <v>4134</v>
      </c>
      <c r="AL60" s="25">
        <v>4266</v>
      </c>
      <c r="AM60" s="8">
        <f>Y60</f>
        <v>4415</v>
      </c>
      <c r="AN60" s="8">
        <f t="shared" si="14"/>
        <v>4542</v>
      </c>
    </row>
    <row r="61" spans="1:48" ht="14.4" outlineLevel="1" x14ac:dyDescent="0.3">
      <c r="A61" t="s">
        <v>62</v>
      </c>
      <c r="B61" s="21"/>
      <c r="D61" s="25">
        <v>8854</v>
      </c>
      <c r="E61" s="25">
        <v>9024</v>
      </c>
      <c r="F61" s="25">
        <v>9132</v>
      </c>
      <c r="G61" s="25">
        <v>9668</v>
      </c>
      <c r="H61" s="25">
        <v>9530</v>
      </c>
      <c r="I61" s="25">
        <v>9628</v>
      </c>
      <c r="J61" s="25">
        <v>9173</v>
      </c>
      <c r="K61" s="25">
        <v>11846</v>
      </c>
      <c r="L61" s="25">
        <v>9976</v>
      </c>
      <c r="M61" s="25">
        <v>11025</v>
      </c>
      <c r="N61" s="25">
        <v>11148</v>
      </c>
      <c r="O61" s="25">
        <v>11483</v>
      </c>
      <c r="P61" s="25">
        <v>11950</v>
      </c>
      <c r="Q61" s="25">
        <v>12097</v>
      </c>
      <c r="R61" s="25">
        <v>12237</v>
      </c>
      <c r="S61" s="25">
        <v>12299</v>
      </c>
      <c r="T61" s="25">
        <v>12681</v>
      </c>
      <c r="U61" s="25">
        <f t="shared" si="15"/>
        <v>12531</v>
      </c>
      <c r="V61" s="25">
        <v>13616</v>
      </c>
      <c r="W61" s="25">
        <v>13577</v>
      </c>
      <c r="X61" s="25">
        <v>13519</v>
      </c>
      <c r="Y61" s="25">
        <v>14349</v>
      </c>
      <c r="Z61" s="25">
        <v>14338</v>
      </c>
      <c r="AA61" s="25">
        <v>14274</v>
      </c>
      <c r="AB61" s="25">
        <v>14216</v>
      </c>
      <c r="AC61" s="25">
        <v>14229</v>
      </c>
      <c r="AD61" s="25">
        <v>14999</v>
      </c>
      <c r="AE61" s="25">
        <v>15171</v>
      </c>
      <c r="AF61" s="25"/>
      <c r="AH61" s="25">
        <v>9024</v>
      </c>
      <c r="AI61" s="25">
        <v>9628</v>
      </c>
      <c r="AJ61" s="25">
        <v>11025</v>
      </c>
      <c r="AK61" s="25">
        <v>12097</v>
      </c>
      <c r="AL61" s="25">
        <v>12531</v>
      </c>
      <c r="AM61" s="8">
        <f>Y61</f>
        <v>14349</v>
      </c>
      <c r="AN61" s="8">
        <f t="shared" si="14"/>
        <v>14229</v>
      </c>
    </row>
    <row r="62" spans="1:48" s="9" customFormat="1" ht="14.4" outlineLevel="1" x14ac:dyDescent="0.3">
      <c r="A62" s="9" t="s">
        <v>63</v>
      </c>
      <c r="B62" s="27"/>
      <c r="D62" s="28">
        <f t="shared" ref="D62:S62" si="16">SUM(D58:D61)</f>
        <v>39209</v>
      </c>
      <c r="E62" s="28">
        <f t="shared" si="16"/>
        <v>44868</v>
      </c>
      <c r="F62" s="28">
        <f t="shared" si="16"/>
        <v>41057</v>
      </c>
      <c r="G62" s="28">
        <f t="shared" si="16"/>
        <v>38886</v>
      </c>
      <c r="H62" s="28">
        <f t="shared" si="16"/>
        <v>36185</v>
      </c>
      <c r="I62" s="28">
        <f t="shared" si="16"/>
        <v>39660</v>
      </c>
      <c r="J62" s="28">
        <f t="shared" si="16"/>
        <v>38730</v>
      </c>
      <c r="K62" s="28">
        <f t="shared" si="16"/>
        <v>40078</v>
      </c>
      <c r="L62" s="28">
        <f t="shared" si="16"/>
        <v>41358</v>
      </c>
      <c r="M62" s="28">
        <f t="shared" si="16"/>
        <v>47160</v>
      </c>
      <c r="N62" s="28">
        <f t="shared" si="16"/>
        <v>46585</v>
      </c>
      <c r="O62" s="28">
        <f t="shared" si="16"/>
        <v>49224</v>
      </c>
      <c r="P62" s="28">
        <f t="shared" si="16"/>
        <v>53141</v>
      </c>
      <c r="Q62" s="28">
        <f t="shared" si="16"/>
        <v>50171</v>
      </c>
      <c r="R62" s="28">
        <f t="shared" si="16"/>
        <v>47768</v>
      </c>
      <c r="S62" s="28">
        <f t="shared" si="16"/>
        <v>51404</v>
      </c>
      <c r="T62" s="28">
        <f>SUM(T58:T61)</f>
        <v>55677</v>
      </c>
      <c r="U62" s="28">
        <f t="shared" si="15"/>
        <v>53223</v>
      </c>
      <c r="V62" s="28">
        <v>53631</v>
      </c>
      <c r="W62" s="28">
        <v>60806</v>
      </c>
      <c r="X62" s="28">
        <v>61816</v>
      </c>
      <c r="Y62" s="28">
        <v>64771</v>
      </c>
      <c r="Z62" s="28">
        <v>61066</v>
      </c>
      <c r="AA62" s="28">
        <v>60952</v>
      </c>
      <c r="AB62" s="28">
        <v>59563</v>
      </c>
      <c r="AC62" s="28">
        <f>SUM(AC58:AC61)</f>
        <v>62370</v>
      </c>
      <c r="AD62" s="28">
        <v>69880</v>
      </c>
      <c r="AE62" s="28">
        <f>SUM(AE58:AE61)</f>
        <v>62211</v>
      </c>
      <c r="AF62" s="28"/>
      <c r="AH62" s="28">
        <f t="shared" ref="AH62:AM62" si="17">SUM(AH58:AH61)</f>
        <v>44868</v>
      </c>
      <c r="AI62" s="28">
        <f t="shared" si="17"/>
        <v>39660</v>
      </c>
      <c r="AJ62" s="28">
        <f t="shared" si="17"/>
        <v>47160</v>
      </c>
      <c r="AK62" s="28">
        <f t="shared" si="17"/>
        <v>50171</v>
      </c>
      <c r="AL62" s="28">
        <f t="shared" si="17"/>
        <v>53223</v>
      </c>
      <c r="AM62" s="28">
        <f t="shared" si="17"/>
        <v>64771</v>
      </c>
      <c r="AN62" s="28">
        <f t="shared" si="14"/>
        <v>62370</v>
      </c>
    </row>
    <row r="63" spans="1:48" ht="14.4" outlineLevel="1" x14ac:dyDescent="0.3">
      <c r="A63" t="s">
        <v>64</v>
      </c>
      <c r="B63" s="21"/>
      <c r="D63" s="8">
        <v>101769</v>
      </c>
      <c r="E63" s="8">
        <v>100712</v>
      </c>
      <c r="F63" s="8">
        <v>106561</v>
      </c>
      <c r="G63" s="8">
        <v>106190</v>
      </c>
      <c r="H63" s="8">
        <v>109790</v>
      </c>
      <c r="I63" s="8">
        <v>123173</v>
      </c>
      <c r="J63" s="8">
        <v>149700</v>
      </c>
      <c r="K63" s="8">
        <v>144894</v>
      </c>
      <c r="L63" s="8">
        <v>143352</v>
      </c>
      <c r="M63" s="8">
        <v>143425</v>
      </c>
      <c r="N63" s="8">
        <v>139961</v>
      </c>
      <c r="O63" s="8">
        <v>136184</v>
      </c>
      <c r="P63" s="8">
        <v>132912</v>
      </c>
      <c r="Q63" s="8">
        <v>140676</v>
      </c>
      <c r="R63" s="8">
        <v>140772</v>
      </c>
      <c r="S63" s="8">
        <v>137871</v>
      </c>
      <c r="T63" s="8">
        <v>134441</v>
      </c>
      <c r="U63" s="8">
        <f t="shared" si="15"/>
        <v>137701</v>
      </c>
      <c r="V63" s="8">
        <v>136104</v>
      </c>
      <c r="W63" s="8">
        <v>126022</v>
      </c>
      <c r="X63" s="8">
        <v>128878</v>
      </c>
      <c r="Y63" s="8">
        <v>121381</v>
      </c>
      <c r="Z63" s="8">
        <v>121020</v>
      </c>
      <c r="AA63" s="8">
        <v>123929</v>
      </c>
      <c r="AB63" s="8">
        <v>126629</v>
      </c>
      <c r="AC63" s="8">
        <v>139532</v>
      </c>
      <c r="AD63" s="8">
        <v>144231</v>
      </c>
      <c r="AE63" s="8">
        <v>143448</v>
      </c>
      <c r="AF63" s="8"/>
      <c r="AH63" s="25">
        <v>100712</v>
      </c>
      <c r="AI63" s="25">
        <v>123173</v>
      </c>
      <c r="AJ63" s="25">
        <v>143425</v>
      </c>
      <c r="AK63" s="25">
        <v>140676</v>
      </c>
      <c r="AL63" s="25">
        <v>137701</v>
      </c>
      <c r="AM63" s="8">
        <f>Y63</f>
        <v>121381</v>
      </c>
      <c r="AN63" s="8">
        <f t="shared" si="14"/>
        <v>139532</v>
      </c>
    </row>
    <row r="64" spans="1:48" ht="14.4" outlineLevel="1" x14ac:dyDescent="0.3">
      <c r="A64" t="s">
        <v>65</v>
      </c>
      <c r="B64" s="21"/>
      <c r="D64" s="25">
        <v>18236</v>
      </c>
      <c r="E64" s="25">
        <v>17952</v>
      </c>
      <c r="F64" s="25">
        <v>17617</v>
      </c>
      <c r="G64" s="25">
        <v>17821</v>
      </c>
      <c r="H64" s="25">
        <v>18756</v>
      </c>
      <c r="I64" s="25">
        <v>18657</v>
      </c>
      <c r="J64" s="25">
        <v>18252</v>
      </c>
      <c r="K64" s="25">
        <v>16713</v>
      </c>
      <c r="L64" s="25">
        <v>16516</v>
      </c>
      <c r="M64" s="25">
        <v>15410</v>
      </c>
      <c r="N64" s="25">
        <v>15104</v>
      </c>
      <c r="O64" s="25">
        <v>15125</v>
      </c>
      <c r="P64" s="25">
        <v>15912</v>
      </c>
      <c r="Q64" s="25">
        <v>12974</v>
      </c>
      <c r="R64" s="25">
        <v>12750</v>
      </c>
      <c r="S64" s="25">
        <v>12357</v>
      </c>
      <c r="T64" s="25">
        <v>12226</v>
      </c>
      <c r="U64" s="25">
        <f t="shared" si="15"/>
        <v>13189</v>
      </c>
      <c r="V64" s="25">
        <v>12805</v>
      </c>
      <c r="W64" s="25">
        <v>12812</v>
      </c>
      <c r="X64" s="25">
        <v>12744</v>
      </c>
      <c r="Y64" s="25">
        <v>11997</v>
      </c>
      <c r="Z64" s="25">
        <v>11793</v>
      </c>
      <c r="AA64" s="25">
        <v>11170</v>
      </c>
      <c r="AB64" s="25">
        <v>11072</v>
      </c>
      <c r="AC64" s="25">
        <v>11099</v>
      </c>
      <c r="AD64" s="25">
        <v>12023</v>
      </c>
      <c r="AE64" s="25">
        <v>11758</v>
      </c>
      <c r="AF64" s="25"/>
      <c r="AH64" s="25">
        <v>17952</v>
      </c>
      <c r="AI64" s="25">
        <v>18657</v>
      </c>
      <c r="AJ64" s="25">
        <v>15410</v>
      </c>
      <c r="AK64" s="25">
        <v>12974</v>
      </c>
      <c r="AL64" s="25">
        <v>13189</v>
      </c>
      <c r="AM64" s="8">
        <f>Y64</f>
        <v>11997</v>
      </c>
      <c r="AN64" s="8">
        <f t="shared" si="14"/>
        <v>11099</v>
      </c>
    </row>
    <row r="65" spans="1:40" ht="14.4" outlineLevel="1" x14ac:dyDescent="0.3">
      <c r="A65" t="s">
        <v>66</v>
      </c>
      <c r="B65" s="21"/>
      <c r="D65" s="8">
        <v>34592</v>
      </c>
      <c r="E65" s="8">
        <v>34703</v>
      </c>
      <c r="F65" s="8">
        <v>33709</v>
      </c>
      <c r="G65" s="8">
        <v>33798</v>
      </c>
      <c r="H65" s="8">
        <v>34567</v>
      </c>
      <c r="I65" s="8">
        <v>35711</v>
      </c>
      <c r="J65" s="8">
        <v>36747</v>
      </c>
      <c r="K65" s="8">
        <v>37534</v>
      </c>
      <c r="L65" s="8">
        <v>38481</v>
      </c>
      <c r="M65" s="8">
        <v>40685</v>
      </c>
      <c r="N65" s="8">
        <v>41341</v>
      </c>
      <c r="O65" s="8">
        <v>42154</v>
      </c>
      <c r="P65" s="8">
        <v>42094</v>
      </c>
      <c r="Q65" s="8">
        <v>43441</v>
      </c>
      <c r="R65" s="8">
        <v>43667</v>
      </c>
      <c r="S65" s="8">
        <v>44055</v>
      </c>
      <c r="T65" s="8">
        <v>44434</v>
      </c>
      <c r="U65" s="8">
        <f t="shared" si="15"/>
        <v>45781</v>
      </c>
      <c r="V65" s="8">
        <v>45980</v>
      </c>
      <c r="W65" s="8">
        <v>46082</v>
      </c>
      <c r="X65" s="8">
        <v>45865</v>
      </c>
      <c r="Y65" s="8">
        <v>46732</v>
      </c>
      <c r="Z65" s="8">
        <v>46643</v>
      </c>
      <c r="AA65" s="8">
        <v>46568</v>
      </c>
      <c r="AB65" s="8">
        <v>48226</v>
      </c>
      <c r="AC65" s="8">
        <v>48717</v>
      </c>
      <c r="AD65" s="8">
        <v>49312</v>
      </c>
      <c r="AE65" s="8">
        <v>50234</v>
      </c>
      <c r="AF65" s="8"/>
      <c r="AH65" s="25">
        <v>34703</v>
      </c>
      <c r="AI65" s="25">
        <v>35711</v>
      </c>
      <c r="AJ65" s="25">
        <v>40685</v>
      </c>
      <c r="AK65" s="25">
        <v>43441</v>
      </c>
      <c r="AL65" s="25">
        <v>45781</v>
      </c>
      <c r="AM65" s="8">
        <f>Y65</f>
        <v>46732</v>
      </c>
      <c r="AN65" s="8">
        <f t="shared" si="14"/>
        <v>48717</v>
      </c>
    </row>
    <row r="66" spans="1:40" ht="14.4" outlineLevel="1" x14ac:dyDescent="0.3">
      <c r="A66" t="s">
        <v>67</v>
      </c>
      <c r="D66" s="25">
        <v>18214</v>
      </c>
      <c r="E66" s="25">
        <v>18393</v>
      </c>
      <c r="F66" s="25">
        <v>18117</v>
      </c>
      <c r="G66" s="25">
        <v>18158</v>
      </c>
      <c r="H66" s="25">
        <v>18155</v>
      </c>
      <c r="I66" s="25">
        <v>18000</v>
      </c>
      <c r="J66" s="25">
        <v>17766</v>
      </c>
      <c r="K66" s="25">
        <v>23360</v>
      </c>
      <c r="L66" s="25">
        <v>23507</v>
      </c>
      <c r="M66" s="25">
        <v>23203</v>
      </c>
      <c r="N66" s="25">
        <v>22932</v>
      </c>
      <c r="O66" s="25">
        <v>22597</v>
      </c>
      <c r="P66" s="25">
        <v>22175</v>
      </c>
      <c r="Q66" s="25">
        <v>21558</v>
      </c>
      <c r="R66" s="25">
        <v>21303</v>
      </c>
      <c r="S66" s="25">
        <v>20745</v>
      </c>
      <c r="T66" s="25">
        <v>20773</v>
      </c>
      <c r="U66" s="25">
        <f t="shared" si="15"/>
        <v>20002</v>
      </c>
      <c r="V66" s="25">
        <v>19654</v>
      </c>
      <c r="W66" s="25">
        <v>19456</v>
      </c>
      <c r="X66" s="25">
        <v>19247</v>
      </c>
      <c r="Y66" s="25">
        <v>19928</v>
      </c>
      <c r="Z66" s="25">
        <v>19379</v>
      </c>
      <c r="AA66" s="25">
        <v>19164</v>
      </c>
      <c r="AB66" s="25">
        <v>19176</v>
      </c>
      <c r="AC66" s="25">
        <v>18951</v>
      </c>
      <c r="AD66" s="25">
        <v>18692</v>
      </c>
      <c r="AE66" s="25">
        <v>18392</v>
      </c>
      <c r="AF66" s="25"/>
      <c r="AH66" s="25">
        <v>18393</v>
      </c>
      <c r="AI66" s="25">
        <v>18000</v>
      </c>
      <c r="AJ66" s="25">
        <v>23203</v>
      </c>
      <c r="AK66" s="25">
        <v>21558</v>
      </c>
      <c r="AL66" s="25">
        <v>20002</v>
      </c>
      <c r="AM66" s="8">
        <f>Y66</f>
        <v>19928</v>
      </c>
      <c r="AN66" s="8">
        <f t="shared" si="14"/>
        <v>18951</v>
      </c>
    </row>
    <row r="67" spans="1:40" ht="14.4" outlineLevel="1" x14ac:dyDescent="0.3">
      <c r="A67" t="s">
        <v>68</v>
      </c>
      <c r="B67" s="21"/>
      <c r="D67" s="8">
        <v>12543</v>
      </c>
      <c r="E67" s="8">
        <v>12264</v>
      </c>
      <c r="F67" s="8">
        <v>15786</v>
      </c>
      <c r="G67" s="8">
        <v>14293</v>
      </c>
      <c r="H67" s="8">
        <v>13011</v>
      </c>
      <c r="I67" s="8">
        <v>12008</v>
      </c>
      <c r="J67" s="8">
        <v>11695</v>
      </c>
      <c r="K67" s="8">
        <v>11499</v>
      </c>
      <c r="L67" s="8">
        <v>11754</v>
      </c>
      <c r="M67" s="8">
        <v>13513</v>
      </c>
      <c r="N67" s="8">
        <v>14618</v>
      </c>
      <c r="O67" s="8">
        <v>17506</v>
      </c>
      <c r="P67" s="8">
        <v>20073</v>
      </c>
      <c r="Q67" s="8">
        <v>18397</v>
      </c>
      <c r="R67" s="8">
        <v>17237</v>
      </c>
      <c r="S67" s="8">
        <v>17021</v>
      </c>
      <c r="T67" s="8">
        <v>18191</v>
      </c>
      <c r="U67" s="8">
        <f t="shared" si="15"/>
        <v>16560</v>
      </c>
      <c r="V67" s="8">
        <v>16258</v>
      </c>
      <c r="W67" s="8">
        <v>16429</v>
      </c>
      <c r="X67" s="8">
        <v>14946</v>
      </c>
      <c r="Y67" s="8">
        <v>19327</v>
      </c>
      <c r="Z67" s="8">
        <v>18426</v>
      </c>
      <c r="AA67" s="8">
        <v>17141</v>
      </c>
      <c r="AB67" s="8">
        <v>17320</v>
      </c>
      <c r="AC67" s="8">
        <v>17848</v>
      </c>
      <c r="AD67" s="8">
        <v>19122</v>
      </c>
      <c r="AE67" s="8">
        <v>18947</v>
      </c>
      <c r="AF67" s="8"/>
      <c r="AH67" s="25">
        <v>12264</v>
      </c>
      <c r="AI67" s="25">
        <v>12008</v>
      </c>
      <c r="AJ67" s="25">
        <v>13513</v>
      </c>
      <c r="AK67" s="25">
        <v>18397</v>
      </c>
      <c r="AL67" s="25">
        <v>16560</v>
      </c>
      <c r="AM67" s="8">
        <f>Y67</f>
        <v>19327</v>
      </c>
      <c r="AN67" s="8">
        <f t="shared" si="14"/>
        <v>17848</v>
      </c>
    </row>
    <row r="68" spans="1:40" ht="14.4" outlineLevel="1" x14ac:dyDescent="0.3">
      <c r="A68" s="9" t="s">
        <v>69</v>
      </c>
      <c r="B68" s="21"/>
      <c r="D68" s="28">
        <f t="shared" ref="D68:T68" si="18">SUM(D63:D67)</f>
        <v>185354</v>
      </c>
      <c r="E68" s="28">
        <f t="shared" si="18"/>
        <v>184024</v>
      </c>
      <c r="F68" s="28">
        <f t="shared" si="18"/>
        <v>191790</v>
      </c>
      <c r="G68" s="28">
        <f t="shared" si="18"/>
        <v>190260</v>
      </c>
      <c r="H68" s="28">
        <f t="shared" si="18"/>
        <v>194279</v>
      </c>
      <c r="I68" s="28">
        <f t="shared" si="18"/>
        <v>207549</v>
      </c>
      <c r="J68" s="28">
        <f t="shared" si="18"/>
        <v>234160</v>
      </c>
      <c r="K68" s="28">
        <f t="shared" si="18"/>
        <v>234000</v>
      </c>
      <c r="L68" s="28">
        <f t="shared" si="18"/>
        <v>233610</v>
      </c>
      <c r="M68" s="28">
        <f t="shared" si="18"/>
        <v>236236</v>
      </c>
      <c r="N68" s="28">
        <f t="shared" si="18"/>
        <v>233956</v>
      </c>
      <c r="O68" s="28">
        <f t="shared" si="18"/>
        <v>233566</v>
      </c>
      <c r="P68" s="28">
        <f t="shared" si="18"/>
        <v>233166</v>
      </c>
      <c r="Q68" s="28">
        <f t="shared" si="18"/>
        <v>237046</v>
      </c>
      <c r="R68" s="28">
        <f t="shared" si="18"/>
        <v>235729</v>
      </c>
      <c r="S68" s="28">
        <f t="shared" si="18"/>
        <v>232049</v>
      </c>
      <c r="T68" s="28">
        <f t="shared" si="18"/>
        <v>230065</v>
      </c>
      <c r="U68" s="28">
        <f t="shared" si="15"/>
        <v>233233</v>
      </c>
      <c r="V68" s="28">
        <v>230801</v>
      </c>
      <c r="W68" s="28">
        <v>220801</v>
      </c>
      <c r="X68" s="28">
        <v>221680</v>
      </c>
      <c r="Y68" s="28">
        <v>219365</v>
      </c>
      <c r="Z68" s="28">
        <v>217261</v>
      </c>
      <c r="AA68" s="28">
        <v>217972</v>
      </c>
      <c r="AB68" s="28">
        <v>222423</v>
      </c>
      <c r="AC68" s="28">
        <f>SUM(AC63:AC67)</f>
        <v>236147</v>
      </c>
      <c r="AD68" s="28">
        <v>243380</v>
      </c>
      <c r="AE68" s="28">
        <f>SUM(AE63:AE67)</f>
        <v>242779</v>
      </c>
      <c r="AF68" s="28"/>
      <c r="AH68" s="28">
        <f t="shared" ref="AH68:AM68" si="19">SUM(AH63:AH67)</f>
        <v>184024</v>
      </c>
      <c r="AI68" s="28">
        <f t="shared" si="19"/>
        <v>207549</v>
      </c>
      <c r="AJ68" s="28">
        <f t="shared" si="19"/>
        <v>236236</v>
      </c>
      <c r="AK68" s="28">
        <f t="shared" si="19"/>
        <v>237046</v>
      </c>
      <c r="AL68" s="28">
        <f t="shared" si="19"/>
        <v>233233</v>
      </c>
      <c r="AM68" s="28">
        <f t="shared" si="19"/>
        <v>219365</v>
      </c>
      <c r="AN68" s="28">
        <f t="shared" si="14"/>
        <v>236147</v>
      </c>
    </row>
    <row r="69" spans="1:40" outlineLevel="1" x14ac:dyDescent="0.25">
      <c r="A69" t="s">
        <v>70</v>
      </c>
    </row>
    <row r="70" spans="1:40" ht="14.4" outlineLevel="1" x14ac:dyDescent="0.3">
      <c r="A70" t="s">
        <v>71</v>
      </c>
      <c r="AH70" s="5"/>
      <c r="AI70" s="5"/>
      <c r="AJ70" s="5"/>
      <c r="AK70" s="5"/>
      <c r="AL70" s="5"/>
      <c r="AM70" s="5"/>
      <c r="AN70" s="5"/>
    </row>
    <row r="71" spans="1:40" ht="14.4" outlineLevel="1" x14ac:dyDescent="0.3">
      <c r="A71" t="s">
        <v>72</v>
      </c>
      <c r="D71" t="s">
        <v>40</v>
      </c>
      <c r="E71" t="s">
        <v>40</v>
      </c>
      <c r="F71" t="s">
        <v>40</v>
      </c>
      <c r="G71" t="s">
        <v>40</v>
      </c>
      <c r="H71" t="s">
        <v>40</v>
      </c>
      <c r="I71" t="s">
        <v>40</v>
      </c>
      <c r="J71" t="s">
        <v>40</v>
      </c>
      <c r="K71" t="s">
        <v>40</v>
      </c>
      <c r="L71" t="s">
        <v>40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V71">
        <v>0</v>
      </c>
      <c r="W71" t="s">
        <v>73</v>
      </c>
      <c r="AH71" s="19">
        <v>0</v>
      </c>
      <c r="AI71" s="19">
        <v>0</v>
      </c>
      <c r="AJ71" s="19">
        <v>0</v>
      </c>
      <c r="AK71" s="19">
        <v>0</v>
      </c>
      <c r="AL71" s="19" t="s">
        <v>40</v>
      </c>
      <c r="AM71" s="19" t="s">
        <v>40</v>
      </c>
      <c r="AN71" s="19">
        <f t="shared" ref="AN71:AN80" si="20">AC71</f>
        <v>0</v>
      </c>
    </row>
    <row r="72" spans="1:40" ht="14.4" outlineLevel="1" x14ac:dyDescent="0.3">
      <c r="A72" t="s">
        <v>74</v>
      </c>
      <c r="D72" s="8">
        <v>429</v>
      </c>
      <c r="E72" s="8">
        <v>429</v>
      </c>
      <c r="F72" s="8">
        <v>429</v>
      </c>
      <c r="G72" s="8">
        <v>429</v>
      </c>
      <c r="H72" s="8">
        <v>429</v>
      </c>
      <c r="I72" s="8">
        <v>429</v>
      </c>
      <c r="J72" s="8">
        <v>429</v>
      </c>
      <c r="K72" s="8">
        <v>429</v>
      </c>
      <c r="L72" s="8">
        <v>429</v>
      </c>
      <c r="M72" s="8">
        <v>429</v>
      </c>
      <c r="N72" s="8">
        <v>429</v>
      </c>
      <c r="O72" s="8">
        <v>429</v>
      </c>
      <c r="P72" s="8">
        <v>429</v>
      </c>
      <c r="Q72" s="8">
        <v>429</v>
      </c>
      <c r="R72" s="8">
        <v>429</v>
      </c>
      <c r="S72" s="8">
        <v>429</v>
      </c>
      <c r="T72" s="8">
        <v>429</v>
      </c>
      <c r="U72" s="8">
        <f>AL72</f>
        <v>429</v>
      </c>
      <c r="V72" s="8">
        <v>429</v>
      </c>
      <c r="W72" s="8">
        <v>429</v>
      </c>
      <c r="X72" s="8">
        <v>429</v>
      </c>
      <c r="Y72" s="8">
        <v>429</v>
      </c>
      <c r="Z72" s="8">
        <v>429</v>
      </c>
      <c r="AA72" s="8">
        <v>429</v>
      </c>
      <c r="AB72" s="8">
        <v>429</v>
      </c>
      <c r="AC72" s="8">
        <v>429</v>
      </c>
      <c r="AD72" s="8">
        <v>429</v>
      </c>
      <c r="AE72" s="8">
        <v>429</v>
      </c>
      <c r="AF72" s="8"/>
      <c r="AH72" s="8">
        <v>429</v>
      </c>
      <c r="AI72" s="8">
        <v>429</v>
      </c>
      <c r="AJ72" s="8">
        <v>429</v>
      </c>
      <c r="AK72" s="8">
        <v>429</v>
      </c>
      <c r="AL72" s="8">
        <v>429</v>
      </c>
      <c r="AM72" s="8">
        <f t="shared" ref="AM72:AM78" si="21">Y72</f>
        <v>429</v>
      </c>
      <c r="AN72" s="8">
        <f t="shared" si="20"/>
        <v>429</v>
      </c>
    </row>
    <row r="73" spans="1:40" ht="14.4" outlineLevel="1" x14ac:dyDescent="0.3">
      <c r="A73" t="s">
        <v>75</v>
      </c>
      <c r="B73" s="21"/>
      <c r="D73" s="25">
        <v>13418</v>
      </c>
      <c r="E73" s="25">
        <v>13419</v>
      </c>
      <c r="F73" s="25">
        <v>13302</v>
      </c>
      <c r="G73" s="25">
        <v>13281</v>
      </c>
      <c r="H73" s="25">
        <v>13404</v>
      </c>
      <c r="I73" s="25">
        <v>13404</v>
      </c>
      <c r="J73" s="25">
        <v>13408</v>
      </c>
      <c r="K73" s="25">
        <v>13403</v>
      </c>
      <c r="L73" s="25">
        <v>13402</v>
      </c>
      <c r="M73" s="25">
        <v>13861</v>
      </c>
      <c r="N73" s="25">
        <v>13874</v>
      </c>
      <c r="O73" s="25">
        <v>13872</v>
      </c>
      <c r="P73" s="25">
        <v>13467</v>
      </c>
      <c r="Q73" s="25">
        <v>13420</v>
      </c>
      <c r="R73" s="25">
        <v>13523</v>
      </c>
      <c r="S73" s="25">
        <v>13523</v>
      </c>
      <c r="T73" s="25">
        <v>13524</v>
      </c>
      <c r="U73" s="25">
        <f t="shared" ref="U73:U79" si="22">AL73</f>
        <v>13631</v>
      </c>
      <c r="V73" s="25">
        <v>13571</v>
      </c>
      <c r="W73" s="25">
        <v>13539</v>
      </c>
      <c r="X73" s="25">
        <v>13479</v>
      </c>
      <c r="Y73" s="25">
        <v>13466</v>
      </c>
      <c r="Z73" s="25">
        <v>13415</v>
      </c>
      <c r="AA73" s="25">
        <v>13412</v>
      </c>
      <c r="AB73" s="25">
        <v>13408</v>
      </c>
      <c r="AC73" s="25">
        <v>13372</v>
      </c>
      <c r="AD73" s="25">
        <v>13263</v>
      </c>
      <c r="AE73" s="25">
        <v>13258</v>
      </c>
      <c r="AF73" s="25"/>
      <c r="AH73" s="25">
        <v>13419</v>
      </c>
      <c r="AI73" s="25">
        <v>13404</v>
      </c>
      <c r="AJ73" s="25">
        <v>13861</v>
      </c>
      <c r="AK73" s="25">
        <v>13420</v>
      </c>
      <c r="AL73" s="25">
        <v>13631</v>
      </c>
      <c r="AM73" s="8">
        <f t="shared" si="21"/>
        <v>13466</v>
      </c>
      <c r="AN73" s="8">
        <f t="shared" si="20"/>
        <v>13372</v>
      </c>
    </row>
    <row r="74" spans="1:40" ht="14.4" outlineLevel="1" x14ac:dyDescent="0.3">
      <c r="A74" t="s">
        <v>76</v>
      </c>
      <c r="B74" s="21"/>
      <c r="D74" s="8">
        <v>50595</v>
      </c>
      <c r="E74" s="8">
        <v>53147</v>
      </c>
      <c r="F74" s="8">
        <v>54557</v>
      </c>
      <c r="G74" s="8">
        <v>56746</v>
      </c>
      <c r="H74" s="8">
        <v>58473</v>
      </c>
      <c r="I74" s="8">
        <v>60464</v>
      </c>
      <c r="J74" s="8">
        <v>63107</v>
      </c>
      <c r="K74" s="8">
        <v>66310</v>
      </c>
      <c r="L74" s="8">
        <v>70062</v>
      </c>
      <c r="M74" s="8">
        <v>71993</v>
      </c>
      <c r="N74" s="8">
        <v>73891</v>
      </c>
      <c r="O74" s="8">
        <v>76401</v>
      </c>
      <c r="P74" s="8">
        <v>78545</v>
      </c>
      <c r="Q74" s="8">
        <v>82380</v>
      </c>
      <c r="R74" s="8">
        <v>84543</v>
      </c>
      <c r="S74" s="8">
        <v>86448</v>
      </c>
      <c r="T74" s="8">
        <v>88416</v>
      </c>
      <c r="U74" s="8">
        <f t="shared" si="22"/>
        <v>82915</v>
      </c>
      <c r="V74" s="8">
        <v>84714</v>
      </c>
      <c r="W74" s="8">
        <v>86504</v>
      </c>
      <c r="X74" s="8">
        <v>86958</v>
      </c>
      <c r="Y74" s="8">
        <v>89110</v>
      </c>
      <c r="Z74" s="8">
        <v>91128</v>
      </c>
      <c r="AA74" s="8">
        <v>93275</v>
      </c>
      <c r="AB74" s="8">
        <v>95316</v>
      </c>
      <c r="AC74" s="8">
        <v>94744</v>
      </c>
      <c r="AD74" s="8">
        <v>96824</v>
      </c>
      <c r="AE74" s="8">
        <v>97728</v>
      </c>
      <c r="AF74" s="8"/>
      <c r="AH74" s="25">
        <v>53147</v>
      </c>
      <c r="AI74" s="25">
        <v>60464</v>
      </c>
      <c r="AJ74" s="25">
        <v>71993</v>
      </c>
      <c r="AK74" s="25">
        <v>82380</v>
      </c>
      <c r="AL74" s="25">
        <v>82915</v>
      </c>
      <c r="AM74" s="8">
        <f t="shared" si="21"/>
        <v>89110</v>
      </c>
      <c r="AN74" s="8">
        <f t="shared" si="20"/>
        <v>94744</v>
      </c>
    </row>
    <row r="75" spans="1:40" ht="14.4" outlineLevel="1" x14ac:dyDescent="0.3">
      <c r="A75" t="s">
        <v>77</v>
      </c>
      <c r="B75" s="21"/>
      <c r="D75" s="25">
        <v>1104</v>
      </c>
      <c r="E75" s="25">
        <v>998</v>
      </c>
      <c r="F75" s="25">
        <v>-1502</v>
      </c>
      <c r="G75" s="25">
        <v>-1274</v>
      </c>
      <c r="H75" s="25">
        <v>-812</v>
      </c>
      <c r="I75" s="25">
        <v>-71</v>
      </c>
      <c r="J75" s="25">
        <v>640</v>
      </c>
      <c r="K75" s="25">
        <v>-234</v>
      </c>
      <c r="L75" s="25">
        <v>-709</v>
      </c>
      <c r="M75" s="25">
        <v>-927</v>
      </c>
      <c r="N75" s="25">
        <v>-906</v>
      </c>
      <c r="O75" s="25">
        <v>-1320</v>
      </c>
      <c r="P75" s="25">
        <v>-1700</v>
      </c>
      <c r="Q75" s="25">
        <v>-1865</v>
      </c>
      <c r="R75" s="25">
        <v>-2177</v>
      </c>
      <c r="S75" s="25">
        <v>-1921</v>
      </c>
      <c r="T75" s="25">
        <v>-1428</v>
      </c>
      <c r="U75" s="25">
        <f t="shared" si="22"/>
        <v>-1380</v>
      </c>
      <c r="V75" s="25">
        <v>-1199</v>
      </c>
      <c r="W75" s="25">
        <v>-1287</v>
      </c>
      <c r="X75" s="25">
        <v>-1665</v>
      </c>
      <c r="Y75" s="25">
        <v>-923</v>
      </c>
      <c r="Z75" s="25">
        <v>-1489</v>
      </c>
      <c r="AA75" s="25">
        <v>-1475</v>
      </c>
      <c r="AB75" s="25">
        <v>-1651</v>
      </c>
      <c r="AC75" s="25">
        <v>-1727</v>
      </c>
      <c r="AD75" s="25">
        <v>-2372</v>
      </c>
      <c r="AE75" s="25">
        <v>-1784</v>
      </c>
      <c r="AF75" s="25"/>
      <c r="AH75" s="25">
        <v>998</v>
      </c>
      <c r="AI75" s="25">
        <v>-71</v>
      </c>
      <c r="AJ75" s="25">
        <v>-927</v>
      </c>
      <c r="AK75" s="25">
        <v>-1865</v>
      </c>
      <c r="AL75" s="25">
        <v>-1380</v>
      </c>
      <c r="AM75" s="8">
        <f t="shared" si="21"/>
        <v>-923</v>
      </c>
      <c r="AN75" s="8">
        <f t="shared" si="20"/>
        <v>-1727</v>
      </c>
    </row>
    <row r="76" spans="1:40" ht="14.4" outlineLevel="1" x14ac:dyDescent="0.3">
      <c r="A76" t="s">
        <v>78</v>
      </c>
      <c r="B76" s="21"/>
      <c r="D76" s="8">
        <v>-6822</v>
      </c>
      <c r="E76" s="8">
        <v>-6820</v>
      </c>
      <c r="F76" s="8">
        <v>-6725</v>
      </c>
      <c r="G76" s="8">
        <v>-6722</v>
      </c>
      <c r="H76" s="8">
        <v>-6721</v>
      </c>
      <c r="I76" s="8">
        <v>-6719</v>
      </c>
      <c r="J76" s="8">
        <v>-6634</v>
      </c>
      <c r="K76" s="8">
        <v>-6632</v>
      </c>
      <c r="L76" s="8">
        <v>-6630</v>
      </c>
      <c r="M76" s="8">
        <v>-4104</v>
      </c>
      <c r="N76" s="8">
        <v>-4023</v>
      </c>
      <c r="O76" s="8">
        <v>-4020</v>
      </c>
      <c r="P76" s="8">
        <v>-4015</v>
      </c>
      <c r="Q76" s="8">
        <v>-4013</v>
      </c>
      <c r="R76" s="8">
        <v>-3832</v>
      </c>
      <c r="S76" s="8">
        <v>-3830</v>
      </c>
      <c r="T76" s="8">
        <v>-3828</v>
      </c>
      <c r="U76" s="8">
        <f t="shared" si="22"/>
        <v>-3821</v>
      </c>
      <c r="V76" s="8">
        <v>-3602</v>
      </c>
      <c r="W76" s="8">
        <v>-3590</v>
      </c>
      <c r="X76" s="8">
        <v>-3585</v>
      </c>
      <c r="Y76" s="8">
        <v>-3583</v>
      </c>
      <c r="Z76" s="8">
        <v>-3295</v>
      </c>
      <c r="AA76" s="8">
        <v>-3292</v>
      </c>
      <c r="AB76" s="8">
        <v>-3287</v>
      </c>
      <c r="AC76" s="8">
        <v>-3255</v>
      </c>
      <c r="AD76" s="8">
        <v>-5335</v>
      </c>
      <c r="AE76" s="8">
        <v>-6312</v>
      </c>
      <c r="AF76" s="8"/>
      <c r="AH76" s="8">
        <v>-6820</v>
      </c>
      <c r="AI76" s="8">
        <v>-6719</v>
      </c>
      <c r="AJ76" s="8">
        <v>-4104</v>
      </c>
      <c r="AK76" s="8">
        <v>-4013</v>
      </c>
      <c r="AL76" s="8">
        <v>-3821</v>
      </c>
      <c r="AM76" s="8">
        <f t="shared" si="21"/>
        <v>-3583</v>
      </c>
      <c r="AN76" s="8">
        <f t="shared" si="20"/>
        <v>-3255</v>
      </c>
    </row>
    <row r="77" spans="1:40" ht="14.4" outlineLevel="1" x14ac:dyDescent="0.3">
      <c r="A77" t="s">
        <v>79</v>
      </c>
      <c r="D77" s="8">
        <v>197</v>
      </c>
      <c r="E77" s="8">
        <v>222</v>
      </c>
      <c r="F77" s="8">
        <v>149</v>
      </c>
      <c r="G77" s="8">
        <v>237</v>
      </c>
      <c r="H77" s="8">
        <v>296</v>
      </c>
      <c r="I77" s="8">
        <v>335</v>
      </c>
      <c r="J77" s="8">
        <v>282</v>
      </c>
      <c r="K77" s="8">
        <v>408</v>
      </c>
      <c r="L77" s="8">
        <v>490</v>
      </c>
      <c r="M77" s="8">
        <v>538</v>
      </c>
      <c r="N77" s="8">
        <v>497</v>
      </c>
      <c r="O77" s="8">
        <v>654</v>
      </c>
      <c r="P77" s="8">
        <v>742</v>
      </c>
      <c r="Q77" s="8">
        <v>793</v>
      </c>
      <c r="R77" s="8">
        <v>397</v>
      </c>
      <c r="S77" s="8">
        <v>544</v>
      </c>
      <c r="T77" s="8">
        <v>628</v>
      </c>
      <c r="U77" s="8">
        <f t="shared" si="22"/>
        <v>656</v>
      </c>
      <c r="V77" s="8">
        <v>421</v>
      </c>
      <c r="W77" s="8">
        <v>577</v>
      </c>
      <c r="X77" s="8">
        <v>710</v>
      </c>
      <c r="Y77" s="8">
        <v>738</v>
      </c>
      <c r="Z77" s="8">
        <v>534</v>
      </c>
      <c r="AA77" s="8">
        <v>714</v>
      </c>
      <c r="AB77" s="8">
        <v>827</v>
      </c>
      <c r="AC77" s="8">
        <v>897</v>
      </c>
      <c r="AD77" s="8">
        <v>500</v>
      </c>
      <c r="AE77" s="8">
        <v>601</v>
      </c>
      <c r="AF77" s="8"/>
      <c r="AH77" s="25">
        <v>222</v>
      </c>
      <c r="AI77" s="25">
        <v>335</v>
      </c>
      <c r="AJ77" s="25">
        <v>538</v>
      </c>
      <c r="AK77" s="25">
        <v>793</v>
      </c>
      <c r="AL77" s="25">
        <v>656</v>
      </c>
      <c r="AM77" s="8">
        <f t="shared" si="21"/>
        <v>738</v>
      </c>
      <c r="AN77" s="8">
        <f t="shared" si="20"/>
        <v>897</v>
      </c>
    </row>
    <row r="78" spans="1:40" ht="14.4" outlineLevel="1" x14ac:dyDescent="0.3">
      <c r="A78" t="s">
        <v>80</v>
      </c>
      <c r="B78" s="21"/>
      <c r="D78" s="25">
        <v>1391</v>
      </c>
      <c r="E78" s="25">
        <v>1440</v>
      </c>
      <c r="F78" s="25">
        <v>1443</v>
      </c>
      <c r="G78" s="25">
        <v>1416</v>
      </c>
      <c r="H78" s="25">
        <v>1461</v>
      </c>
      <c r="I78" s="25">
        <v>1430</v>
      </c>
      <c r="J78" s="25">
        <v>1451</v>
      </c>
      <c r="K78" s="25">
        <v>1428</v>
      </c>
      <c r="L78" s="25">
        <v>1445</v>
      </c>
      <c r="M78" s="25">
        <v>1410</v>
      </c>
      <c r="N78" s="25">
        <v>1413</v>
      </c>
      <c r="O78" s="25">
        <v>1341</v>
      </c>
      <c r="P78" s="25">
        <v>1315</v>
      </c>
      <c r="Q78" s="25">
        <v>1319</v>
      </c>
      <c r="R78" s="25">
        <v>1336</v>
      </c>
      <c r="S78" s="25">
        <v>1309</v>
      </c>
      <c r="T78" s="25">
        <v>1347</v>
      </c>
      <c r="U78" s="25">
        <f t="shared" si="22"/>
        <v>1369</v>
      </c>
      <c r="V78" s="25">
        <v>1392</v>
      </c>
      <c r="W78" s="25">
        <v>1367</v>
      </c>
      <c r="X78" s="25">
        <v>1342</v>
      </c>
      <c r="Y78" s="25">
        <v>1338</v>
      </c>
      <c r="Z78" s="25">
        <v>1315</v>
      </c>
      <c r="AA78" s="25">
        <v>1298</v>
      </c>
      <c r="AB78" s="25">
        <v>1303</v>
      </c>
      <c r="AC78" s="25">
        <v>1281</v>
      </c>
      <c r="AD78" s="25">
        <v>1313</v>
      </c>
      <c r="AE78" s="25">
        <v>1276</v>
      </c>
      <c r="AF78" s="25"/>
      <c r="AH78" s="25">
        <v>1440</v>
      </c>
      <c r="AI78" s="25">
        <v>1430</v>
      </c>
      <c r="AJ78" s="25">
        <v>1410</v>
      </c>
      <c r="AK78" s="25">
        <v>1319</v>
      </c>
      <c r="AL78" s="25">
        <v>1369</v>
      </c>
      <c r="AM78" s="8">
        <f t="shared" si="21"/>
        <v>1338</v>
      </c>
      <c r="AN78" s="8">
        <f t="shared" si="20"/>
        <v>1281</v>
      </c>
    </row>
    <row r="79" spans="1:40" s="9" customFormat="1" ht="14.4" outlineLevel="1" x14ac:dyDescent="0.3">
      <c r="A79" s="9" t="s">
        <v>81</v>
      </c>
      <c r="B79" s="27"/>
      <c r="D79" s="27">
        <f>SUM(D72:D78)</f>
        <v>60312</v>
      </c>
      <c r="E79" s="27">
        <f t="shared" ref="E79:T79" si="23">SUM(E72:E78)</f>
        <v>62835</v>
      </c>
      <c r="F79" s="27">
        <f t="shared" si="23"/>
        <v>61653</v>
      </c>
      <c r="G79" s="27">
        <f t="shared" si="23"/>
        <v>64113</v>
      </c>
      <c r="H79" s="27">
        <f t="shared" si="23"/>
        <v>66530</v>
      </c>
      <c r="I79" s="27">
        <f t="shared" si="23"/>
        <v>69272</v>
      </c>
      <c r="J79" s="27">
        <f t="shared" si="23"/>
        <v>72683</v>
      </c>
      <c r="K79" s="27">
        <f t="shared" si="23"/>
        <v>75112</v>
      </c>
      <c r="L79" s="27">
        <f t="shared" si="23"/>
        <v>78489</v>
      </c>
      <c r="M79" s="27">
        <f t="shared" si="23"/>
        <v>83200</v>
      </c>
      <c r="N79" s="27">
        <f t="shared" si="23"/>
        <v>85175</v>
      </c>
      <c r="O79" s="27">
        <f t="shared" si="23"/>
        <v>87357</v>
      </c>
      <c r="P79" s="27">
        <f t="shared" si="23"/>
        <v>88783</v>
      </c>
      <c r="Q79" s="27">
        <f t="shared" si="23"/>
        <v>92463</v>
      </c>
      <c r="R79" s="27">
        <f t="shared" si="23"/>
        <v>94219</v>
      </c>
      <c r="S79" s="27">
        <f t="shared" si="23"/>
        <v>96502</v>
      </c>
      <c r="T79" s="27">
        <f t="shared" si="23"/>
        <v>99088</v>
      </c>
      <c r="U79" s="27">
        <f t="shared" si="22"/>
        <v>93799</v>
      </c>
      <c r="V79" s="27">
        <v>95726</v>
      </c>
      <c r="W79" s="27">
        <v>97539</v>
      </c>
      <c r="X79" s="27">
        <v>97668</v>
      </c>
      <c r="Y79" s="27">
        <v>100575</v>
      </c>
      <c r="Z79" s="27">
        <v>102037</v>
      </c>
      <c r="AA79" s="27">
        <v>104361</v>
      </c>
      <c r="AB79" s="27">
        <v>106345</v>
      </c>
      <c r="AC79" s="27">
        <f>SUM(AC72:AC78)</f>
        <v>105741</v>
      </c>
      <c r="AD79" s="27">
        <v>104622</v>
      </c>
      <c r="AE79" s="27">
        <f>SUM(AE72:AE78)</f>
        <v>105196</v>
      </c>
      <c r="AF79" s="27"/>
      <c r="AH79" s="25">
        <f t="shared" ref="AH79:AM79" si="24">SUM(AH72:AH78)</f>
        <v>62835</v>
      </c>
      <c r="AI79" s="25">
        <f t="shared" si="24"/>
        <v>69272</v>
      </c>
      <c r="AJ79" s="25">
        <f t="shared" si="24"/>
        <v>83200</v>
      </c>
      <c r="AK79" s="25">
        <f t="shared" si="24"/>
        <v>92463</v>
      </c>
      <c r="AL79" s="25">
        <f t="shared" si="24"/>
        <v>93799</v>
      </c>
      <c r="AM79" s="25">
        <f t="shared" si="24"/>
        <v>100575</v>
      </c>
      <c r="AN79" s="25">
        <f t="shared" si="20"/>
        <v>105741</v>
      </c>
    </row>
    <row r="80" spans="1:40" ht="14.4" outlineLevel="1" x14ac:dyDescent="0.3">
      <c r="A80" t="s">
        <v>82</v>
      </c>
      <c r="B80" s="24"/>
      <c r="D80" s="32">
        <f t="shared" ref="D80:T80" si="25">D79+D68+D62</f>
        <v>284875</v>
      </c>
      <c r="E80" s="32">
        <f t="shared" si="25"/>
        <v>291727</v>
      </c>
      <c r="F80" s="32">
        <f t="shared" si="25"/>
        <v>294500</v>
      </c>
      <c r="G80" s="32">
        <f t="shared" si="25"/>
        <v>293259</v>
      </c>
      <c r="H80" s="32">
        <f t="shared" si="25"/>
        <v>296994</v>
      </c>
      <c r="I80" s="32">
        <f t="shared" si="25"/>
        <v>316481</v>
      </c>
      <c r="J80" s="32">
        <f t="shared" si="25"/>
        <v>345573</v>
      </c>
      <c r="K80" s="32">
        <f t="shared" si="25"/>
        <v>349190</v>
      </c>
      <c r="L80" s="32">
        <f t="shared" si="25"/>
        <v>353457</v>
      </c>
      <c r="M80" s="32">
        <f t="shared" si="25"/>
        <v>366596</v>
      </c>
      <c r="N80" s="32">
        <f t="shared" si="25"/>
        <v>365716</v>
      </c>
      <c r="O80" s="32">
        <f t="shared" si="25"/>
        <v>370147</v>
      </c>
      <c r="P80" s="32">
        <f t="shared" si="25"/>
        <v>375090</v>
      </c>
      <c r="Q80" s="32">
        <f t="shared" si="25"/>
        <v>379680</v>
      </c>
      <c r="R80" s="32">
        <f t="shared" si="25"/>
        <v>377716</v>
      </c>
      <c r="S80" s="32">
        <f t="shared" si="25"/>
        <v>379955</v>
      </c>
      <c r="T80" s="32">
        <f t="shared" si="25"/>
        <v>384830</v>
      </c>
      <c r="U80" s="32">
        <f>U79+U68+U62</f>
        <v>380255</v>
      </c>
      <c r="V80" s="32">
        <f>V79+V68+V62</f>
        <v>380158</v>
      </c>
      <c r="W80" s="32">
        <f>W79+W68+W62</f>
        <v>379146</v>
      </c>
      <c r="X80" s="32">
        <v>381164</v>
      </c>
      <c r="Y80" s="32">
        <v>384711</v>
      </c>
      <c r="Z80" s="32">
        <v>380364</v>
      </c>
      <c r="AA80" s="32">
        <v>383285</v>
      </c>
      <c r="AB80" s="32">
        <v>388331</v>
      </c>
      <c r="AC80" s="32">
        <f>AC79+AC68+AC62</f>
        <v>404258</v>
      </c>
      <c r="AD80" s="32">
        <v>417882</v>
      </c>
      <c r="AE80" s="32">
        <f>AE79+AE68+AE62</f>
        <v>410186</v>
      </c>
      <c r="AF80" s="32"/>
      <c r="AH80" s="33">
        <f t="shared" ref="AH80:AM80" si="26">AH79+AH62+AH68</f>
        <v>291727</v>
      </c>
      <c r="AI80" s="33">
        <f t="shared" si="26"/>
        <v>316481</v>
      </c>
      <c r="AJ80" s="33">
        <f t="shared" si="26"/>
        <v>366596</v>
      </c>
      <c r="AK80" s="33">
        <f t="shared" si="26"/>
        <v>379680</v>
      </c>
      <c r="AL80" s="33">
        <f t="shared" si="26"/>
        <v>380255</v>
      </c>
      <c r="AM80" s="33">
        <f t="shared" si="26"/>
        <v>384711</v>
      </c>
      <c r="AN80" s="33">
        <f t="shared" si="20"/>
        <v>404258</v>
      </c>
    </row>
    <row r="81" spans="1:40" outlineLevel="1" x14ac:dyDescent="0.25">
      <c r="A81" t="s">
        <v>83</v>
      </c>
      <c r="D81" t="b">
        <f>IF(D55=D80, TRUE, FALSE)</f>
        <v>1</v>
      </c>
      <c r="E81" t="b">
        <f t="shared" ref="E81:AD81" si="27">IF(E55=E80, TRUE, FALSE)</f>
        <v>1</v>
      </c>
      <c r="F81" t="b">
        <f t="shared" si="27"/>
        <v>1</v>
      </c>
      <c r="G81" t="b">
        <f t="shared" si="27"/>
        <v>1</v>
      </c>
      <c r="H81" t="b">
        <f t="shared" si="27"/>
        <v>1</v>
      </c>
      <c r="I81" t="b">
        <f t="shared" si="27"/>
        <v>1</v>
      </c>
      <c r="J81" t="b">
        <f t="shared" si="27"/>
        <v>1</v>
      </c>
      <c r="K81" t="b">
        <f t="shared" si="27"/>
        <v>1</v>
      </c>
      <c r="L81" t="b">
        <f t="shared" si="27"/>
        <v>1</v>
      </c>
      <c r="M81" t="b">
        <f t="shared" si="27"/>
        <v>1</v>
      </c>
      <c r="N81" t="b">
        <f t="shared" si="27"/>
        <v>1</v>
      </c>
      <c r="O81" t="b">
        <f t="shared" si="27"/>
        <v>1</v>
      </c>
      <c r="P81" t="b">
        <f t="shared" si="27"/>
        <v>1</v>
      </c>
      <c r="Q81" t="b">
        <f t="shared" si="27"/>
        <v>1</v>
      </c>
      <c r="R81" t="b">
        <f t="shared" si="27"/>
        <v>1</v>
      </c>
      <c r="S81" t="b">
        <f t="shared" si="27"/>
        <v>1</v>
      </c>
      <c r="T81" t="b">
        <f t="shared" si="27"/>
        <v>1</v>
      </c>
      <c r="U81" t="b">
        <f t="shared" si="27"/>
        <v>1</v>
      </c>
      <c r="V81" t="b">
        <f t="shared" si="27"/>
        <v>1</v>
      </c>
      <c r="W81" t="b">
        <f t="shared" si="27"/>
        <v>1</v>
      </c>
      <c r="X81" t="b">
        <f t="shared" si="27"/>
        <v>1</v>
      </c>
      <c r="Y81" t="b">
        <f t="shared" si="27"/>
        <v>1</v>
      </c>
      <c r="Z81" t="b">
        <f t="shared" si="27"/>
        <v>1</v>
      </c>
      <c r="AA81" t="b">
        <f t="shared" si="27"/>
        <v>1</v>
      </c>
      <c r="AB81" t="b">
        <f t="shared" si="27"/>
        <v>1</v>
      </c>
      <c r="AC81" t="b">
        <f t="shared" si="27"/>
        <v>1</v>
      </c>
      <c r="AD81" t="b">
        <f t="shared" si="27"/>
        <v>1</v>
      </c>
      <c r="AE81" t="b">
        <f t="shared" ref="AE81" si="28">IF(AE55=AE80, TRUE, FALSE)</f>
        <v>1</v>
      </c>
      <c r="AH81" t="b">
        <f t="shared" ref="AH81:AN81" si="29">IF(AH55=AH80, TRUE, FALSE)</f>
        <v>1</v>
      </c>
      <c r="AI81" t="b">
        <f t="shared" si="29"/>
        <v>1</v>
      </c>
      <c r="AJ81" t="b">
        <f t="shared" si="29"/>
        <v>1</v>
      </c>
      <c r="AK81" t="b">
        <f t="shared" si="29"/>
        <v>1</v>
      </c>
      <c r="AL81" t="b">
        <f t="shared" si="29"/>
        <v>1</v>
      </c>
      <c r="AM81" t="b">
        <f t="shared" si="29"/>
        <v>1</v>
      </c>
      <c r="AN81" t="b">
        <f t="shared" si="29"/>
        <v>1</v>
      </c>
    </row>
    <row r="83" spans="1:40" x14ac:dyDescent="0.25">
      <c r="A83" s="6" t="s">
        <v>84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1:40" ht="14.4" outlineLevel="1" x14ac:dyDescent="0.3">
      <c r="A84" t="s">
        <v>85</v>
      </c>
      <c r="AH84" s="5"/>
      <c r="AI84" s="5"/>
      <c r="AJ84" s="5"/>
      <c r="AK84" s="5"/>
      <c r="AL84" s="5"/>
      <c r="AM84" s="5"/>
      <c r="AN84" s="5"/>
    </row>
    <row r="85" spans="1:40" ht="14.4" outlineLevel="1" x14ac:dyDescent="0.3">
      <c r="A85" t="s">
        <v>86</v>
      </c>
      <c r="AH85" s="34"/>
      <c r="AI85" s="34"/>
      <c r="AJ85" s="34"/>
      <c r="AK85" s="34"/>
      <c r="AL85" s="34"/>
      <c r="AM85" s="34"/>
      <c r="AN85" s="34"/>
    </row>
    <row r="86" spans="1:40" ht="14.4" outlineLevel="1" x14ac:dyDescent="0.3">
      <c r="A86" s="35" t="s">
        <v>27</v>
      </c>
      <c r="B86" s="36">
        <v>5160</v>
      </c>
      <c r="C86" s="36">
        <v>9234</v>
      </c>
      <c r="D86" s="8">
        <v>14571</v>
      </c>
      <c r="E86" s="8">
        <v>19788</v>
      </c>
      <c r="F86" s="8">
        <v>4287</v>
      </c>
      <c r="G86" s="8">
        <v>9126</v>
      </c>
      <c r="H86" s="8">
        <v>13630</v>
      </c>
      <c r="I86" s="8">
        <v>18348</v>
      </c>
      <c r="J86" s="8">
        <v>5378</v>
      </c>
      <c r="K86" s="8">
        <v>11327</v>
      </c>
      <c r="L86" s="8">
        <v>17881</v>
      </c>
      <c r="M86" s="8">
        <v>22618</v>
      </c>
      <c r="N86" s="8">
        <v>4711</v>
      </c>
      <c r="O86" s="8">
        <v>10026</v>
      </c>
      <c r="P86" s="8">
        <v>15050</v>
      </c>
      <c r="Q86" s="8">
        <v>21748</v>
      </c>
      <c r="R86" s="8">
        <v>5018</v>
      </c>
      <c r="S86" s="8">
        <v>9784</v>
      </c>
      <c r="T86" s="8">
        <v>14668</v>
      </c>
      <c r="U86" s="8">
        <v>12095</v>
      </c>
      <c r="V86" s="8">
        <v>4722</v>
      </c>
      <c r="W86" s="8">
        <v>9424</v>
      </c>
      <c r="X86" s="8">
        <v>12835</v>
      </c>
      <c r="Y86" s="8">
        <v>17949</v>
      </c>
      <c r="Z86" s="8">
        <v>4983</v>
      </c>
      <c r="AA86" s="8">
        <v>10104</v>
      </c>
      <c r="AB86" s="8">
        <v>15160</v>
      </c>
      <c r="AC86" s="8">
        <v>17608</v>
      </c>
      <c r="AD86" s="8">
        <v>5146</v>
      </c>
      <c r="AE86" s="8">
        <v>9095</v>
      </c>
      <c r="AF86" s="8"/>
      <c r="AG86" s="34">
        <v>16039</v>
      </c>
      <c r="AH86" s="34">
        <v>19788</v>
      </c>
      <c r="AI86" s="34">
        <v>18348</v>
      </c>
      <c r="AJ86" s="34">
        <v>22618</v>
      </c>
      <c r="AK86" s="34">
        <v>21748</v>
      </c>
      <c r="AL86" s="34">
        <v>12095</v>
      </c>
      <c r="AM86" s="34">
        <f>Y86</f>
        <v>17949</v>
      </c>
      <c r="AN86" s="34">
        <f>AC86</f>
        <v>17608</v>
      </c>
    </row>
    <row r="87" spans="1:40" ht="14.4" outlineLevel="1" x14ac:dyDescent="0.3">
      <c r="A87" s="37" t="s">
        <v>87</v>
      </c>
      <c r="B87" s="36"/>
      <c r="C87" s="36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14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5"/>
      <c r="AH87" s="5"/>
      <c r="AI87" s="5"/>
      <c r="AJ87" s="5"/>
      <c r="AK87" s="5"/>
      <c r="AL87" s="4"/>
      <c r="AM87" s="4"/>
      <c r="AN87" s="4">
        <f t="shared" ref="AN87:AN126" si="30">AC87</f>
        <v>0</v>
      </c>
    </row>
    <row r="88" spans="1:40" ht="14.4" outlineLevel="1" x14ac:dyDescent="0.3">
      <c r="A88" s="35" t="s">
        <v>17</v>
      </c>
      <c r="B88" s="36">
        <v>4231</v>
      </c>
      <c r="C88" s="36">
        <v>8463</v>
      </c>
      <c r="D88" s="8">
        <v>12577</v>
      </c>
      <c r="E88" s="8">
        <v>16682</v>
      </c>
      <c r="F88" s="8">
        <v>4150</v>
      </c>
      <c r="G88" s="8">
        <v>8331</v>
      </c>
      <c r="H88" s="8">
        <v>12523</v>
      </c>
      <c r="I88" s="8">
        <v>16720</v>
      </c>
      <c r="J88" s="8">
        <v>4174</v>
      </c>
      <c r="K88" s="8">
        <v>8194</v>
      </c>
      <c r="L88" s="8">
        <v>12155</v>
      </c>
      <c r="M88" s="8">
        <v>16206</v>
      </c>
      <c r="N88" s="8">
        <v>4236</v>
      </c>
      <c r="O88" s="8">
        <v>8557</v>
      </c>
      <c r="P88" s="8">
        <v>12881</v>
      </c>
      <c r="Q88" s="8">
        <v>17099</v>
      </c>
      <c r="R88" s="8">
        <v>4318</v>
      </c>
      <c r="S88" s="8">
        <v>8677</v>
      </c>
      <c r="T88" s="8">
        <v>13108</v>
      </c>
      <c r="U88" s="8">
        <v>17624</v>
      </c>
      <c r="V88" s="8">
        <v>4445</v>
      </c>
      <c r="W88" s="8">
        <v>8928</v>
      </c>
      <c r="X88" s="8">
        <v>13386</v>
      </c>
      <c r="Y88" s="8">
        <v>17892</v>
      </c>
      <c r="Z88" s="8">
        <v>4577</v>
      </c>
      <c r="AA88" s="8">
        <v>9212</v>
      </c>
      <c r="AB88" s="8">
        <v>13830</v>
      </c>
      <c r="AC88" s="8">
        <v>18349</v>
      </c>
      <c r="AD88" s="8">
        <v>4892</v>
      </c>
      <c r="AE88" s="8">
        <v>9900</v>
      </c>
      <c r="AF88" s="8"/>
      <c r="AG88" s="8">
        <v>17403</v>
      </c>
      <c r="AH88" s="8">
        <v>16682</v>
      </c>
      <c r="AI88" s="8">
        <v>16720</v>
      </c>
      <c r="AJ88" s="8">
        <v>16206</v>
      </c>
      <c r="AK88" s="8">
        <v>17099</v>
      </c>
      <c r="AL88" s="8">
        <v>17624</v>
      </c>
      <c r="AM88" s="8">
        <f>Y88</f>
        <v>17892</v>
      </c>
      <c r="AN88" s="8">
        <f t="shared" si="30"/>
        <v>18349</v>
      </c>
    </row>
    <row r="89" spans="1:40" ht="14.4" outlineLevel="1" x14ac:dyDescent="0.3">
      <c r="A89" s="35" t="s">
        <v>88</v>
      </c>
      <c r="B89" s="36">
        <v>-195</v>
      </c>
      <c r="C89" s="36">
        <v>-294</v>
      </c>
      <c r="D89" s="25">
        <v>-105</v>
      </c>
      <c r="E89" s="25">
        <v>-284</v>
      </c>
      <c r="F89" s="25">
        <v>-1</v>
      </c>
      <c r="G89" s="25">
        <v>-32</v>
      </c>
      <c r="H89" s="25">
        <v>867</v>
      </c>
      <c r="I89" s="25">
        <v>840</v>
      </c>
      <c r="J89" s="25">
        <v>-253</v>
      </c>
      <c r="K89" s="25">
        <v>-1819</v>
      </c>
      <c r="L89" s="25">
        <v>-1928</v>
      </c>
      <c r="M89" s="25">
        <v>-3391</v>
      </c>
      <c r="N89" s="25">
        <v>-210</v>
      </c>
      <c r="O89" s="25">
        <v>-121</v>
      </c>
      <c r="P89" s="25">
        <v>479</v>
      </c>
      <c r="Q89" s="25">
        <v>-2046</v>
      </c>
      <c r="R89" s="25">
        <v>54</v>
      </c>
      <c r="S89" s="25">
        <v>108</v>
      </c>
      <c r="T89" s="25">
        <v>161</v>
      </c>
      <c r="U89" s="25">
        <v>1206</v>
      </c>
      <c r="V89" s="8">
        <v>62</v>
      </c>
      <c r="W89" s="8">
        <v>354</v>
      </c>
      <c r="X89" s="8">
        <v>469</v>
      </c>
      <c r="Y89" s="8">
        <v>-52</v>
      </c>
      <c r="Z89" s="8">
        <v>143</v>
      </c>
      <c r="AA89" s="8">
        <v>331</v>
      </c>
      <c r="AB89" s="8">
        <v>444</v>
      </c>
      <c r="AC89" s="8">
        <v>1025</v>
      </c>
      <c r="AD89" s="8">
        <v>-117</v>
      </c>
      <c r="AE89" s="8">
        <v>35</v>
      </c>
      <c r="AF89" s="8"/>
      <c r="AG89" s="25">
        <v>-2657</v>
      </c>
      <c r="AH89" s="25">
        <v>-284</v>
      </c>
      <c r="AI89" s="25">
        <v>840</v>
      </c>
      <c r="AJ89" s="25">
        <v>-3391</v>
      </c>
      <c r="AK89" s="25">
        <v>-2046</v>
      </c>
      <c r="AL89" s="8">
        <v>1206</v>
      </c>
      <c r="AM89" s="8">
        <f>Y89</f>
        <v>-52</v>
      </c>
      <c r="AN89" s="8">
        <f t="shared" si="30"/>
        <v>1025</v>
      </c>
    </row>
    <row r="90" spans="1:40" ht="14.4" outlineLevel="1" x14ac:dyDescent="0.3">
      <c r="A90" s="35" t="s">
        <v>66</v>
      </c>
      <c r="B90" s="36">
        <v>459</v>
      </c>
      <c r="C90" s="36">
        <v>588</v>
      </c>
      <c r="D90" s="8">
        <v>1070</v>
      </c>
      <c r="E90" s="8">
        <v>1232</v>
      </c>
      <c r="F90" s="8">
        <v>-87</v>
      </c>
      <c r="G90" s="8">
        <v>-120</v>
      </c>
      <c r="H90" s="8">
        <v>530</v>
      </c>
      <c r="I90" s="8">
        <v>1553</v>
      </c>
      <c r="J90" s="8">
        <v>762</v>
      </c>
      <c r="K90" s="8">
        <v>1978</v>
      </c>
      <c r="L90" s="8">
        <v>2970</v>
      </c>
      <c r="M90" s="8">
        <v>4264</v>
      </c>
      <c r="N90" s="8">
        <v>627</v>
      </c>
      <c r="O90" s="8">
        <v>1514</v>
      </c>
      <c r="P90" s="8">
        <v>1595</v>
      </c>
      <c r="Q90" s="8">
        <v>2973</v>
      </c>
      <c r="R90" s="8">
        <v>331</v>
      </c>
      <c r="S90" s="8">
        <v>633</v>
      </c>
      <c r="T90" s="8">
        <v>822</v>
      </c>
      <c r="U90" s="8">
        <v>2388</v>
      </c>
      <c r="V90" s="8">
        <v>141</v>
      </c>
      <c r="W90" s="8">
        <v>282</v>
      </c>
      <c r="X90" s="8">
        <v>247</v>
      </c>
      <c r="Y90" s="8">
        <v>815</v>
      </c>
      <c r="Z90" s="8">
        <v>132</v>
      </c>
      <c r="AA90" s="8">
        <v>95</v>
      </c>
      <c r="AB90" s="8">
        <v>1809</v>
      </c>
      <c r="AC90" s="8">
        <v>2340</v>
      </c>
      <c r="AD90" s="8">
        <v>703</v>
      </c>
      <c r="AE90" s="8">
        <v>1433</v>
      </c>
      <c r="AF90" s="8"/>
      <c r="AG90" s="8">
        <v>389</v>
      </c>
      <c r="AH90" s="8">
        <v>1232</v>
      </c>
      <c r="AI90" s="8">
        <v>1553</v>
      </c>
      <c r="AJ90" s="8">
        <v>4264</v>
      </c>
      <c r="AK90" s="8">
        <v>2973</v>
      </c>
      <c r="AL90" s="8">
        <v>2388</v>
      </c>
      <c r="AM90" s="8">
        <f>Y90</f>
        <v>815</v>
      </c>
      <c r="AN90" s="8">
        <f t="shared" si="30"/>
        <v>2340</v>
      </c>
    </row>
    <row r="91" spans="1:40" ht="14.4" outlineLevel="1" x14ac:dyDescent="0.3">
      <c r="A91" s="35" t="s">
        <v>89</v>
      </c>
      <c r="B91" s="36">
        <v>319</v>
      </c>
      <c r="C91" s="36">
        <v>738</v>
      </c>
      <c r="D91" s="8">
        <v>1131</v>
      </c>
      <c r="E91" s="8">
        <v>1588</v>
      </c>
      <c r="F91" s="8">
        <v>553</v>
      </c>
      <c r="G91" s="8">
        <v>831</v>
      </c>
      <c r="H91" s="8">
        <v>1100</v>
      </c>
      <c r="I91" s="8">
        <v>1380</v>
      </c>
      <c r="J91" s="8">
        <v>224</v>
      </c>
      <c r="K91" s="8">
        <v>409</v>
      </c>
      <c r="L91" s="8">
        <v>604</v>
      </c>
      <c r="M91" s="8">
        <v>789</v>
      </c>
      <c r="N91" s="8">
        <v>328</v>
      </c>
      <c r="O91" s="8">
        <v>665</v>
      </c>
      <c r="P91" s="8">
        <v>1048</v>
      </c>
      <c r="Q91" s="8">
        <v>1611</v>
      </c>
      <c r="R91" s="8">
        <v>530</v>
      </c>
      <c r="S91" s="8">
        <v>1061</v>
      </c>
      <c r="T91" s="8">
        <v>1596</v>
      </c>
      <c r="U91" s="8">
        <v>2214</v>
      </c>
      <c r="V91" s="8">
        <v>567</v>
      </c>
      <c r="W91" s="8">
        <v>1119</v>
      </c>
      <c r="X91" s="8">
        <v>1623</v>
      </c>
      <c r="Y91" s="8">
        <v>2338</v>
      </c>
      <c r="Z91" s="8">
        <v>587</v>
      </c>
      <c r="AA91" s="8">
        <v>1135</v>
      </c>
      <c r="AB91" s="8">
        <v>1613</v>
      </c>
      <c r="AC91" s="8">
        <v>2349</v>
      </c>
      <c r="AD91" s="8">
        <v>581</v>
      </c>
      <c r="AE91" s="8">
        <v>1043</v>
      </c>
      <c r="AF91" s="8"/>
      <c r="AG91" s="8">
        <v>980</v>
      </c>
      <c r="AH91" s="8">
        <v>1588</v>
      </c>
      <c r="AI91" s="8">
        <v>1380</v>
      </c>
      <c r="AJ91" s="8">
        <v>789</v>
      </c>
      <c r="AK91" s="8">
        <v>1611</v>
      </c>
      <c r="AL91" s="8">
        <v>2214</v>
      </c>
      <c r="AM91" s="8">
        <f>Y91</f>
        <v>2338</v>
      </c>
      <c r="AN91" s="8">
        <f t="shared" si="30"/>
        <v>2349</v>
      </c>
    </row>
    <row r="92" spans="1:40" ht="14.4" outlineLevel="1" x14ac:dyDescent="0.3">
      <c r="A92" s="35" t="s">
        <v>90</v>
      </c>
      <c r="B92" s="36">
        <v>21</v>
      </c>
      <c r="C92" s="36">
        <v>50</v>
      </c>
      <c r="D92" s="25">
        <v>64</v>
      </c>
      <c r="E92" s="25">
        <v>74</v>
      </c>
      <c r="F92" s="25">
        <v>26</v>
      </c>
      <c r="G92" s="25">
        <v>46</v>
      </c>
      <c r="H92" s="25">
        <v>67</v>
      </c>
      <c r="I92" s="25">
        <v>91</v>
      </c>
      <c r="J92" s="25">
        <v>19</v>
      </c>
      <c r="K92" s="25">
        <v>25</v>
      </c>
      <c r="L92" s="25">
        <v>32</v>
      </c>
      <c r="M92" s="25">
        <v>36</v>
      </c>
      <c r="N92" s="25">
        <v>7</v>
      </c>
      <c r="O92" s="25">
        <v>-18</v>
      </c>
      <c r="P92" s="25">
        <v>-13</v>
      </c>
      <c r="Q92" s="25">
        <v>-10</v>
      </c>
      <c r="R92" s="25">
        <v>10</v>
      </c>
      <c r="S92" s="25">
        <v>49</v>
      </c>
      <c r="T92" s="25">
        <v>69</v>
      </c>
      <c r="U92" s="25">
        <v>84</v>
      </c>
      <c r="V92" s="8">
        <v>14</v>
      </c>
      <c r="W92" s="8">
        <v>33</v>
      </c>
      <c r="X92" s="8">
        <v>62</v>
      </c>
      <c r="Y92" s="8">
        <v>75</v>
      </c>
      <c r="Z92" s="8">
        <v>20</v>
      </c>
      <c r="AA92" s="8">
        <v>29</v>
      </c>
      <c r="AB92" s="8">
        <v>41</v>
      </c>
      <c r="AC92" s="8">
        <v>42</v>
      </c>
      <c r="AD92" s="8">
        <v>3</v>
      </c>
      <c r="AE92" s="8">
        <v>-35</v>
      </c>
      <c r="AF92" s="8"/>
      <c r="AG92" s="25">
        <v>231</v>
      </c>
      <c r="AH92" s="25">
        <v>74</v>
      </c>
      <c r="AI92" s="25">
        <v>91</v>
      </c>
      <c r="AJ92" s="25">
        <v>36</v>
      </c>
      <c r="AK92" s="25">
        <v>-10</v>
      </c>
      <c r="AL92" s="8">
        <v>84</v>
      </c>
      <c r="AM92" s="8">
        <f>Y92</f>
        <v>75</v>
      </c>
      <c r="AN92" s="8">
        <f t="shared" si="30"/>
        <v>42</v>
      </c>
    </row>
    <row r="93" spans="1:40" ht="14.4" outlineLevel="1" x14ac:dyDescent="0.3">
      <c r="A93" s="35" t="s">
        <v>91</v>
      </c>
      <c r="B93" s="36"/>
      <c r="C93" s="36"/>
      <c r="D93" s="25"/>
      <c r="E93" s="25">
        <v>94</v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25"/>
      <c r="AH93" s="25"/>
      <c r="AI93" s="25"/>
      <c r="AJ93" s="25"/>
      <c r="AK93" s="25"/>
      <c r="AL93" s="8"/>
      <c r="AM93" s="8"/>
      <c r="AN93" s="8">
        <f t="shared" si="30"/>
        <v>0</v>
      </c>
    </row>
    <row r="94" spans="1:40" ht="14.4" outlineLevel="1" x14ac:dyDescent="0.3">
      <c r="A94" s="35" t="s">
        <v>92</v>
      </c>
      <c r="B94" s="36"/>
      <c r="C94" s="36"/>
      <c r="D94" s="8"/>
      <c r="E94" s="8">
        <v>186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25">
        <v>5841</v>
      </c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L94" s="8">
        <v>5841</v>
      </c>
      <c r="AM94" s="8">
        <f>Y94</f>
        <v>0</v>
      </c>
      <c r="AN94" s="8">
        <f t="shared" si="30"/>
        <v>0</v>
      </c>
    </row>
    <row r="95" spans="1:40" ht="14.4" outlineLevel="1" x14ac:dyDescent="0.3">
      <c r="A95" s="35" t="s">
        <v>20</v>
      </c>
      <c r="B95" s="36"/>
      <c r="C95" s="36"/>
      <c r="D95" s="25">
        <v>94</v>
      </c>
      <c r="E95" s="25"/>
      <c r="F95" s="25"/>
      <c r="G95" s="25"/>
      <c r="H95" s="25">
        <v>0</v>
      </c>
      <c r="I95" s="25">
        <v>0</v>
      </c>
      <c r="J95" s="25"/>
      <c r="K95" s="25"/>
      <c r="L95" s="25"/>
      <c r="M95" s="25">
        <v>0</v>
      </c>
      <c r="N95" s="25"/>
      <c r="O95" s="25"/>
      <c r="P95" s="25"/>
      <c r="Q95" s="25"/>
      <c r="R95" s="25"/>
      <c r="S95" s="25"/>
      <c r="T95" s="25"/>
      <c r="U95" s="14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>
        <v>4591</v>
      </c>
      <c r="AH95" s="8">
        <v>186</v>
      </c>
      <c r="AI95" s="8">
        <v>0</v>
      </c>
      <c r="AJ95" s="8">
        <v>0</v>
      </c>
      <c r="AK95" s="8"/>
      <c r="AL95" s="8"/>
      <c r="AM95" s="8"/>
      <c r="AN95" s="8">
        <f t="shared" si="30"/>
        <v>0</v>
      </c>
    </row>
    <row r="96" spans="1:40" ht="14.4" outlineLevel="1" x14ac:dyDescent="0.3">
      <c r="A96" s="37" t="s">
        <v>93</v>
      </c>
      <c r="B96" s="36">
        <v>-2702</v>
      </c>
      <c r="C96" s="36">
        <v>-4593</v>
      </c>
      <c r="D96" s="8">
        <v>-3902</v>
      </c>
      <c r="E96" s="8"/>
      <c r="F96" s="8">
        <v>-1208</v>
      </c>
      <c r="G96" s="8">
        <v>3297</v>
      </c>
      <c r="H96" s="8">
        <v>1345</v>
      </c>
      <c r="I96" s="8"/>
      <c r="J96" s="8">
        <v>-41</v>
      </c>
      <c r="K96" s="8">
        <v>82</v>
      </c>
      <c r="L96" s="8">
        <v>603</v>
      </c>
      <c r="M96" s="8"/>
      <c r="N96" s="8">
        <v>-3492</v>
      </c>
      <c r="O96" s="8">
        <v>-1959</v>
      </c>
      <c r="P96" s="8">
        <v>-458</v>
      </c>
      <c r="Q96" s="8"/>
      <c r="R96" s="8">
        <v>-774</v>
      </c>
      <c r="S96" s="8">
        <v>-620</v>
      </c>
      <c r="T96" s="8">
        <v>972</v>
      </c>
      <c r="U96" s="8"/>
      <c r="V96" s="8">
        <v>-2531</v>
      </c>
      <c r="W96" s="8">
        <v>-3572</v>
      </c>
      <c r="X96" s="8">
        <v>-2609</v>
      </c>
      <c r="Y96" s="8">
        <v>-2278</v>
      </c>
      <c r="Z96" s="8">
        <v>-2618</v>
      </c>
      <c r="AA96" s="8">
        <v>-3318</v>
      </c>
      <c r="AB96" s="8">
        <v>-4054</v>
      </c>
      <c r="AC96" s="8">
        <v>-2320</v>
      </c>
      <c r="AD96" s="8">
        <v>-3082</v>
      </c>
      <c r="AE96" s="8">
        <v>-3418</v>
      </c>
      <c r="AF96" s="8"/>
      <c r="AG96" s="8">
        <v>-2667</v>
      </c>
      <c r="AH96" s="8">
        <v>-1471</v>
      </c>
      <c r="AI96" s="8">
        <v>189</v>
      </c>
      <c r="AJ96" s="8">
        <v>-1592</v>
      </c>
      <c r="AK96" s="8">
        <v>-1978</v>
      </c>
      <c r="AL96" s="8">
        <v>-2198</v>
      </c>
      <c r="AM96" s="8">
        <f>Y96</f>
        <v>-2278</v>
      </c>
      <c r="AN96" s="8">
        <f t="shared" si="30"/>
        <v>-2320</v>
      </c>
    </row>
    <row r="97" spans="1:40" ht="14.4" outlineLevel="1" x14ac:dyDescent="0.3">
      <c r="A97" s="35" t="s">
        <v>38</v>
      </c>
      <c r="B97" s="36"/>
      <c r="C97" s="36"/>
      <c r="D97" s="25"/>
      <c r="E97" s="25">
        <v>-1471</v>
      </c>
      <c r="F97" s="25"/>
      <c r="G97" s="25"/>
      <c r="H97" s="25"/>
      <c r="I97" s="25">
        <v>189</v>
      </c>
      <c r="J97" s="25"/>
      <c r="K97" s="25"/>
      <c r="L97" s="25"/>
      <c r="M97" s="25">
        <v>-1592</v>
      </c>
      <c r="N97" s="25"/>
      <c r="O97" s="25"/>
      <c r="P97" s="25"/>
      <c r="Q97" s="25">
        <v>-1978</v>
      </c>
      <c r="R97" s="25"/>
      <c r="S97" s="25"/>
      <c r="T97" s="25"/>
      <c r="U97" s="25">
        <v>-2198</v>
      </c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25">
        <v>-324</v>
      </c>
      <c r="AH97" s="25">
        <v>-76</v>
      </c>
      <c r="AI97" s="25">
        <v>-369</v>
      </c>
      <c r="AJ97" s="25">
        <v>-905</v>
      </c>
      <c r="AK97" s="25">
        <v>627</v>
      </c>
      <c r="AL97" s="8">
        <v>287</v>
      </c>
      <c r="AM97" s="8">
        <f>Y97</f>
        <v>0</v>
      </c>
      <c r="AN97" s="8">
        <f t="shared" si="30"/>
        <v>0</v>
      </c>
    </row>
    <row r="98" spans="1:40" ht="14.4" outlineLevel="1" x14ac:dyDescent="0.3">
      <c r="A98" s="35" t="s">
        <v>43</v>
      </c>
      <c r="B98" s="36"/>
      <c r="C98" s="36"/>
      <c r="D98" s="8"/>
      <c r="E98" s="8">
        <v>-76</v>
      </c>
      <c r="F98" s="8"/>
      <c r="G98" s="8"/>
      <c r="H98" s="8"/>
      <c r="I98" s="8">
        <v>-369</v>
      </c>
      <c r="J98" s="8"/>
      <c r="K98" s="8"/>
      <c r="L98" s="8"/>
      <c r="M98" s="8">
        <v>-905</v>
      </c>
      <c r="N98" s="8"/>
      <c r="O98" s="8"/>
      <c r="P98" s="8"/>
      <c r="Q98" s="8">
        <v>627</v>
      </c>
      <c r="R98" s="8"/>
      <c r="S98" s="8"/>
      <c r="T98" s="8"/>
      <c r="U98" s="25">
        <v>287</v>
      </c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>
        <v>37</v>
      </c>
      <c r="AH98" s="8">
        <v>-2807</v>
      </c>
      <c r="AI98" s="8">
        <v>1202</v>
      </c>
      <c r="AJ98" s="8">
        <v>150</v>
      </c>
      <c r="AK98" s="8">
        <v>928</v>
      </c>
      <c r="AL98" s="8">
        <v>-435</v>
      </c>
      <c r="AM98" s="8">
        <f>Y98</f>
        <v>0</v>
      </c>
      <c r="AN98" s="8">
        <f t="shared" si="30"/>
        <v>0</v>
      </c>
    </row>
    <row r="99" spans="1:40" ht="14.4" outlineLevel="1" x14ac:dyDescent="0.3">
      <c r="A99" s="35" t="s">
        <v>44</v>
      </c>
      <c r="B99" s="36"/>
      <c r="C99" s="36"/>
      <c r="D99" s="8"/>
      <c r="E99" s="8">
        <v>-2807</v>
      </c>
      <c r="F99" s="8"/>
      <c r="G99" s="8"/>
      <c r="H99" s="8"/>
      <c r="I99" s="8">
        <v>1202</v>
      </c>
      <c r="J99" s="8"/>
      <c r="K99" s="8"/>
      <c r="L99" s="8"/>
      <c r="M99" s="8">
        <v>150</v>
      </c>
      <c r="N99" s="8"/>
      <c r="O99" s="8"/>
      <c r="P99" s="8"/>
      <c r="Q99" s="8">
        <v>928</v>
      </c>
      <c r="R99" s="8"/>
      <c r="S99" s="8"/>
      <c r="T99" s="8"/>
      <c r="U99" s="25">
        <v>-435</v>
      </c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>
        <v>1777</v>
      </c>
      <c r="AH99" s="8">
        <v>-2359</v>
      </c>
      <c r="AI99" s="8">
        <v>-966</v>
      </c>
      <c r="AJ99" s="8">
        <v>1457</v>
      </c>
      <c r="AK99" s="8">
        <v>-33</v>
      </c>
      <c r="AL99" s="8">
        <v>2079</v>
      </c>
      <c r="AM99" s="8">
        <f>Y99</f>
        <v>0</v>
      </c>
      <c r="AN99" s="8">
        <f t="shared" si="30"/>
        <v>0</v>
      </c>
    </row>
    <row r="100" spans="1:40" ht="14.4" outlineLevel="1" x14ac:dyDescent="0.3">
      <c r="A100" s="35" t="s">
        <v>94</v>
      </c>
      <c r="B100" s="36"/>
      <c r="C100" s="36"/>
      <c r="D100" s="25"/>
      <c r="E100" s="25">
        <v>-2359</v>
      </c>
      <c r="F100" s="25"/>
      <c r="G100" s="25"/>
      <c r="H100" s="25"/>
      <c r="I100" s="25">
        <v>-966</v>
      </c>
      <c r="J100" s="25"/>
      <c r="K100" s="25"/>
      <c r="L100" s="25"/>
      <c r="M100" s="25">
        <v>1457</v>
      </c>
      <c r="N100" s="25"/>
      <c r="O100" s="25"/>
      <c r="P100" s="25"/>
      <c r="Q100" s="25">
        <v>-33</v>
      </c>
      <c r="R100" s="25"/>
      <c r="S100" s="25"/>
      <c r="T100" s="25"/>
      <c r="U100" s="25">
        <v>2079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25">
        <v>-1679</v>
      </c>
      <c r="AH100" s="25">
        <v>-300</v>
      </c>
      <c r="AI100" s="25">
        <v>0</v>
      </c>
      <c r="AJ100" s="25">
        <v>0</v>
      </c>
      <c r="AK100" s="25"/>
      <c r="AL100" s="8"/>
      <c r="AM100" s="8"/>
      <c r="AN100" s="8">
        <f t="shared" si="30"/>
        <v>0</v>
      </c>
    </row>
    <row r="101" spans="1:40" ht="14.4" outlineLevel="1" x14ac:dyDescent="0.3">
      <c r="A101" s="35" t="s">
        <v>95</v>
      </c>
      <c r="B101" s="36">
        <v>-300</v>
      </c>
      <c r="C101" s="36">
        <v>-300</v>
      </c>
      <c r="D101" s="8">
        <v>-300</v>
      </c>
      <c r="E101" s="8">
        <v>-300</v>
      </c>
      <c r="F101" s="8">
        <v>0</v>
      </c>
      <c r="G101" s="8">
        <v>0</v>
      </c>
      <c r="H101" s="8">
        <v>0</v>
      </c>
      <c r="I101" s="8">
        <v>0</v>
      </c>
      <c r="J101" s="8"/>
      <c r="K101" s="8"/>
      <c r="L101" s="8"/>
      <c r="M101" s="8">
        <v>0</v>
      </c>
      <c r="N101" s="8"/>
      <c r="O101" s="8"/>
      <c r="P101" s="8"/>
      <c r="Q101" s="8"/>
      <c r="R101" s="8"/>
      <c r="S101" s="8"/>
      <c r="T101" s="8"/>
      <c r="U101" s="25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L101" s="8"/>
      <c r="AM101" s="8"/>
      <c r="AN101" s="8">
        <f t="shared" si="30"/>
        <v>0</v>
      </c>
    </row>
    <row r="102" spans="1:40" ht="14.4" outlineLevel="1" x14ac:dyDescent="0.3">
      <c r="A102" s="35" t="s">
        <v>96</v>
      </c>
      <c r="B102" s="36">
        <v>88</v>
      </c>
      <c r="C102" s="36">
        <v>1950</v>
      </c>
      <c r="D102" s="25">
        <v>1548</v>
      </c>
      <c r="E102" s="25">
        <v>3399</v>
      </c>
      <c r="F102" s="25">
        <v>1104</v>
      </c>
      <c r="G102" s="25">
        <v>2073</v>
      </c>
      <c r="H102" s="25">
        <v>2410</v>
      </c>
      <c r="I102" s="25">
        <v>2780</v>
      </c>
      <c r="J102" s="25">
        <v>-569</v>
      </c>
      <c r="K102" s="25">
        <v>242</v>
      </c>
      <c r="L102" s="25">
        <v>-1155</v>
      </c>
      <c r="M102" s="25">
        <v>-93</v>
      </c>
      <c r="N102" s="25">
        <v>614</v>
      </c>
      <c r="O102" s="25">
        <v>-999</v>
      </c>
      <c r="P102" s="25">
        <v>-2383</v>
      </c>
      <c r="Q102" s="25">
        <v>-3778</v>
      </c>
      <c r="R102" s="25">
        <v>-1198</v>
      </c>
      <c r="S102" s="25">
        <v>-1672</v>
      </c>
      <c r="T102" s="25">
        <v>-2598</v>
      </c>
      <c r="U102" s="25">
        <v>-3710</v>
      </c>
      <c r="V102" s="8">
        <v>-336</v>
      </c>
      <c r="W102" s="8">
        <v>1</v>
      </c>
      <c r="X102" s="8">
        <v>467</v>
      </c>
      <c r="Y102" s="8">
        <v>173</v>
      </c>
      <c r="Z102" s="8">
        <v>-42</v>
      </c>
      <c r="AA102" s="8">
        <v>-831</v>
      </c>
      <c r="AB102" s="8">
        <v>-820</v>
      </c>
      <c r="AC102" s="8">
        <v>-2256</v>
      </c>
      <c r="AD102" s="8">
        <v>-142</v>
      </c>
      <c r="AE102" s="8">
        <v>366</v>
      </c>
      <c r="AF102" s="8"/>
      <c r="AG102" s="8">
        <v>219</v>
      </c>
      <c r="AH102" s="8">
        <v>3493</v>
      </c>
      <c r="AI102" s="8">
        <v>2780</v>
      </c>
      <c r="AJ102" s="8">
        <v>-93</v>
      </c>
      <c r="AK102" s="8">
        <v>-3778</v>
      </c>
      <c r="AL102" s="8">
        <v>-3710</v>
      </c>
      <c r="AM102" s="8">
        <f>Y102</f>
        <v>173</v>
      </c>
      <c r="AN102" s="8">
        <f t="shared" si="30"/>
        <v>-2256</v>
      </c>
    </row>
    <row r="103" spans="1:40" s="9" customFormat="1" ht="14.4" outlineLevel="1" x14ac:dyDescent="0.3">
      <c r="A103" s="9" t="s">
        <v>97</v>
      </c>
      <c r="B103" s="38">
        <v>7081</v>
      </c>
      <c r="C103" s="38">
        <v>15836</v>
      </c>
      <c r="D103" s="38">
        <v>26748</v>
      </c>
      <c r="E103" s="38">
        <v>35746</v>
      </c>
      <c r="F103" s="38">
        <v>8824</v>
      </c>
      <c r="G103" s="38">
        <v>23552</v>
      </c>
      <c r="H103" s="38">
        <v>32472</v>
      </c>
      <c r="I103" s="38">
        <v>41768</v>
      </c>
      <c r="J103" s="38">
        <v>9694</v>
      </c>
      <c r="K103" s="38">
        <v>20438</v>
      </c>
      <c r="L103" s="38">
        <v>31162</v>
      </c>
      <c r="M103" s="38">
        <v>39539</v>
      </c>
      <c r="N103" s="38">
        <v>6821</v>
      </c>
      <c r="O103" s="38">
        <v>17665</v>
      </c>
      <c r="P103" s="38">
        <v>28199</v>
      </c>
      <c r="Q103" s="38">
        <v>37141</v>
      </c>
      <c r="R103" s="11">
        <v>8289</v>
      </c>
      <c r="S103" s="11">
        <v>18020</v>
      </c>
      <c r="T103" s="11">
        <v>28798</v>
      </c>
      <c r="U103" s="11">
        <v>37475</v>
      </c>
      <c r="V103" s="11">
        <v>7084</v>
      </c>
      <c r="W103" s="11">
        <v>16569</v>
      </c>
      <c r="X103" s="11">
        <v>26480</v>
      </c>
      <c r="Y103" s="11">
        <v>36912</v>
      </c>
      <c r="Z103" s="11">
        <v>7782</v>
      </c>
      <c r="AA103" s="11">
        <v>16757</v>
      </c>
      <c r="AB103" s="11">
        <v>28023</v>
      </c>
      <c r="AC103" s="11">
        <f>AC102+AC96+SUM(AC86:AC92)</f>
        <v>37137</v>
      </c>
      <c r="AD103" s="11">
        <v>7984</v>
      </c>
      <c r="AE103" s="11">
        <f>AE102+AE96+SUM(AE86:AE92)</f>
        <v>18419</v>
      </c>
      <c r="AF103" s="11"/>
      <c r="AG103" s="28">
        <v>34339</v>
      </c>
      <c r="AH103" s="28">
        <v>35746</v>
      </c>
      <c r="AI103" s="28">
        <v>41768</v>
      </c>
      <c r="AJ103" s="28">
        <v>39539</v>
      </c>
      <c r="AK103" s="28">
        <v>37141</v>
      </c>
      <c r="AL103" s="28">
        <v>37475</v>
      </c>
      <c r="AM103" s="28">
        <f>Y103</f>
        <v>36912</v>
      </c>
      <c r="AN103" s="28">
        <f t="shared" si="30"/>
        <v>37137</v>
      </c>
    </row>
    <row r="104" spans="1:40" s="9" customFormat="1" ht="14.4" outlineLevel="1" x14ac:dyDescent="0.3"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9"/>
      <c r="AH104" s="19"/>
      <c r="AI104" s="19"/>
      <c r="AJ104" s="19"/>
      <c r="AK104" s="19"/>
      <c r="AL104" s="19"/>
      <c r="AM104" s="19"/>
      <c r="AN104" s="19">
        <f t="shared" si="30"/>
        <v>0</v>
      </c>
    </row>
    <row r="105" spans="1:40" ht="14.4" outlineLevel="1" x14ac:dyDescent="0.3">
      <c r="A105" t="s">
        <v>98</v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39">
        <f t="shared" ref="AG105:AL105" si="31">AG106/AG8</f>
        <v>-0.12729342900590693</v>
      </c>
      <c r="AH105" s="39">
        <f t="shared" si="31"/>
        <v>-0.13603755270421938</v>
      </c>
      <c r="AI105" s="39">
        <f t="shared" si="31"/>
        <v>-0.14180151529323731</v>
      </c>
      <c r="AJ105" s="39">
        <f t="shared" si="31"/>
        <v>-0.15182654382432847</v>
      </c>
      <c r="AK105" s="39">
        <f t="shared" si="31"/>
        <v>-0.16872145284466694</v>
      </c>
      <c r="AL105" s="39">
        <f t="shared" si="31"/>
        <v>-0.14007941839461388</v>
      </c>
      <c r="AM105" s="39">
        <f>AM106/AM8</f>
        <v>-0.12679170252544736</v>
      </c>
      <c r="AN105" s="39">
        <f t="shared" si="30"/>
        <v>0</v>
      </c>
    </row>
    <row r="106" spans="1:40" ht="14.4" outlineLevel="1" x14ac:dyDescent="0.3">
      <c r="A106" t="s">
        <v>99</v>
      </c>
      <c r="B106" s="36">
        <v>-4268</v>
      </c>
      <c r="C106" s="36">
        <v>-7967</v>
      </c>
      <c r="D106" s="8">
        <v>-12332</v>
      </c>
      <c r="E106" s="8">
        <v>-17939</v>
      </c>
      <c r="F106" s="8">
        <v>-5274</v>
      </c>
      <c r="G106" s="8">
        <v>-9850</v>
      </c>
      <c r="H106" s="8">
        <v>-14168</v>
      </c>
      <c r="I106" s="8">
        <v>-18192</v>
      </c>
      <c r="J106" s="8">
        <v>-4494</v>
      </c>
      <c r="K106" s="8">
        <v>-8716</v>
      </c>
      <c r="L106" s="8">
        <v>-13861</v>
      </c>
      <c r="M106" s="8">
        <v>-20286</v>
      </c>
      <c r="N106" s="8">
        <v>-5821</v>
      </c>
      <c r="O106" s="8">
        <v>-10491</v>
      </c>
      <c r="P106" s="8">
        <v>-15811</v>
      </c>
      <c r="Q106" s="8">
        <v>-23087</v>
      </c>
      <c r="R106" s="8">
        <v>-5958</v>
      </c>
      <c r="S106" s="8">
        <v>-10070</v>
      </c>
      <c r="T106" s="8">
        <v>-14164</v>
      </c>
      <c r="U106" s="8">
        <v>-18767</v>
      </c>
      <c r="V106" s="14">
        <v>-4376</v>
      </c>
      <c r="W106" s="14">
        <v>-8071</v>
      </c>
      <c r="X106" s="14">
        <v>-12019</v>
      </c>
      <c r="Y106" s="14">
        <v>-17090</v>
      </c>
      <c r="Z106" s="14">
        <v>-4145</v>
      </c>
      <c r="AA106" s="14">
        <v>-7953</v>
      </c>
      <c r="AB106" s="14">
        <v>-12263</v>
      </c>
      <c r="AC106" s="14">
        <v>-17011</v>
      </c>
      <c r="AD106" s="14">
        <v>-4201</v>
      </c>
      <c r="AE106" s="14">
        <v>-8210</v>
      </c>
      <c r="AF106" s="14"/>
      <c r="AG106" s="25">
        <v>-16658</v>
      </c>
      <c r="AH106" s="25">
        <v>-17939</v>
      </c>
      <c r="AI106" s="25">
        <v>-18192</v>
      </c>
      <c r="AJ106" s="25">
        <v>-20286</v>
      </c>
      <c r="AK106" s="25">
        <v>-23087</v>
      </c>
      <c r="AL106" s="25">
        <v>-18767</v>
      </c>
      <c r="AM106" s="8">
        <f t="shared" ref="AM106:AM112" si="32">Y106</f>
        <v>-17090</v>
      </c>
      <c r="AN106" s="8">
        <f t="shared" si="30"/>
        <v>-17011</v>
      </c>
    </row>
    <row r="107" spans="1:40" ht="14.4" outlineLevel="1" x14ac:dyDescent="0.3">
      <c r="A107" t="s">
        <v>100</v>
      </c>
      <c r="B107" s="36">
        <v>-25</v>
      </c>
      <c r="C107" s="36">
        <v>-28</v>
      </c>
      <c r="D107" s="25">
        <v>-29</v>
      </c>
      <c r="E107" s="25">
        <v>-29</v>
      </c>
      <c r="F107" s="25">
        <v>0</v>
      </c>
      <c r="G107" s="25">
        <v>-399</v>
      </c>
      <c r="H107" s="25">
        <v>-507</v>
      </c>
      <c r="I107" s="25">
        <v>-520</v>
      </c>
      <c r="J107" s="25">
        <v>-408</v>
      </c>
      <c r="K107" s="25">
        <v>-458</v>
      </c>
      <c r="L107" s="25">
        <v>-459</v>
      </c>
      <c r="M107" s="25">
        <v>-4065</v>
      </c>
      <c r="N107" s="25">
        <v>0</v>
      </c>
      <c r="O107" s="25">
        <v>247</v>
      </c>
      <c r="P107" s="25">
        <v>248</v>
      </c>
      <c r="Q107" s="25">
        <v>248</v>
      </c>
      <c r="R107" s="25"/>
      <c r="S107" s="25">
        <v>0</v>
      </c>
      <c r="T107" s="25">
        <v>0</v>
      </c>
      <c r="U107" s="8">
        <v>-30</v>
      </c>
      <c r="V107" s="14">
        <v>-449</v>
      </c>
      <c r="W107" s="14"/>
      <c r="X107" s="14"/>
      <c r="Y107" s="14"/>
      <c r="Z107" s="14"/>
      <c r="AA107" s="14"/>
      <c r="AB107" s="14"/>
      <c r="AC107" s="14"/>
      <c r="AD107" s="14">
        <v>-9480</v>
      </c>
      <c r="AE107" s="14">
        <v>-9480</v>
      </c>
      <c r="AF107" s="14"/>
      <c r="AG107" s="25">
        <v>-230</v>
      </c>
      <c r="AH107" s="25">
        <v>-29</v>
      </c>
      <c r="AI107" s="25">
        <v>-520</v>
      </c>
      <c r="AJ107" s="25">
        <v>-4065</v>
      </c>
      <c r="AK107" s="25">
        <v>248</v>
      </c>
      <c r="AL107" s="25">
        <v>-30</v>
      </c>
      <c r="AM107" s="8">
        <f t="shared" si="32"/>
        <v>0</v>
      </c>
      <c r="AN107" s="8">
        <f t="shared" si="30"/>
        <v>0</v>
      </c>
    </row>
    <row r="108" spans="1:40" ht="14.4" outlineLevel="1" x14ac:dyDescent="0.3">
      <c r="A108" t="s">
        <v>101</v>
      </c>
      <c r="B108" s="36">
        <v>-104</v>
      </c>
      <c r="C108" s="36">
        <v>-199</v>
      </c>
      <c r="D108" s="8">
        <v>-299</v>
      </c>
      <c r="E108" s="8">
        <v>-898</v>
      </c>
      <c r="F108" s="8">
        <v>-210</v>
      </c>
      <c r="G108" s="8">
        <v>-1801</v>
      </c>
      <c r="H108" s="8">
        <v>-1987</v>
      </c>
      <c r="I108" s="8">
        <v>-2126</v>
      </c>
      <c r="J108" s="8">
        <v>-44783</v>
      </c>
      <c r="K108" s="8">
        <v>-45278</v>
      </c>
      <c r="L108" s="8">
        <v>-47027</v>
      </c>
      <c r="M108" s="8">
        <v>-47596</v>
      </c>
      <c r="N108" s="8">
        <v>-1838</v>
      </c>
      <c r="O108" s="8">
        <v>-2275</v>
      </c>
      <c r="P108" s="8">
        <v>-2890</v>
      </c>
      <c r="Q108" s="8">
        <v>-3653</v>
      </c>
      <c r="R108" s="8">
        <v>-598</v>
      </c>
      <c r="S108" s="8">
        <v>-1085</v>
      </c>
      <c r="T108" s="8">
        <v>-1859</v>
      </c>
      <c r="U108" s="8">
        <v>-5796</v>
      </c>
      <c r="V108" s="14">
        <v>-432</v>
      </c>
      <c r="W108" s="14">
        <v>-613</v>
      </c>
      <c r="X108" s="14">
        <v>-768</v>
      </c>
      <c r="Y108" s="14">
        <v>-900</v>
      </c>
      <c r="Z108" s="14">
        <v>-122</v>
      </c>
      <c r="AA108" s="14">
        <v>-234</v>
      </c>
      <c r="AB108" s="14">
        <v>-340</v>
      </c>
      <c r="AC108" s="14">
        <v>-450</v>
      </c>
      <c r="AD108" s="14">
        <v>-83</v>
      </c>
      <c r="AE108" s="14">
        <v>-1155</v>
      </c>
      <c r="AF108" s="14"/>
      <c r="AG108" s="25">
        <v>-1429</v>
      </c>
      <c r="AH108" s="25">
        <v>-898</v>
      </c>
      <c r="AI108" s="25">
        <v>-2126</v>
      </c>
      <c r="AJ108" s="25">
        <v>-47596</v>
      </c>
      <c r="AK108" s="25">
        <v>-3653</v>
      </c>
      <c r="AL108" s="25">
        <v>-5796</v>
      </c>
      <c r="AM108" s="8">
        <f t="shared" si="32"/>
        <v>-900</v>
      </c>
      <c r="AN108" s="8">
        <f t="shared" si="30"/>
        <v>-450</v>
      </c>
    </row>
    <row r="109" spans="1:40" ht="14.4" outlineLevel="1" x14ac:dyDescent="0.3">
      <c r="A109" t="s">
        <v>102</v>
      </c>
      <c r="B109" s="36"/>
      <c r="C109" s="36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>
        <v>-4857</v>
      </c>
      <c r="Q109" s="25">
        <v>-2265</v>
      </c>
      <c r="R109" s="25">
        <v>367</v>
      </c>
      <c r="S109" s="25">
        <v>824</v>
      </c>
      <c r="T109" s="25">
        <v>162</v>
      </c>
      <c r="U109" s="25">
        <v>880</v>
      </c>
      <c r="W109">
        <v>-424</v>
      </c>
      <c r="X109" s="25">
        <v>-332</v>
      </c>
      <c r="Y109" s="25">
        <v>-712</v>
      </c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>
        <v>-21</v>
      </c>
      <c r="AK109" s="25">
        <v>-2265</v>
      </c>
      <c r="AL109" s="25">
        <v>880</v>
      </c>
      <c r="AM109" s="8">
        <f t="shared" si="32"/>
        <v>-712</v>
      </c>
      <c r="AN109" s="8">
        <f t="shared" si="30"/>
        <v>0</v>
      </c>
    </row>
    <row r="110" spans="1:40" ht="14.4" outlineLevel="1" x14ac:dyDescent="0.3">
      <c r="A110" t="s">
        <v>103</v>
      </c>
      <c r="B110" s="36"/>
      <c r="C110" s="36"/>
      <c r="D110" s="8">
        <v>27</v>
      </c>
      <c r="E110" s="8">
        <v>28</v>
      </c>
      <c r="F110" s="8"/>
      <c r="G110" s="8"/>
      <c r="H110" s="8">
        <v>0</v>
      </c>
      <c r="I110" s="8">
        <v>0</v>
      </c>
      <c r="J110" s="8"/>
      <c r="K110" s="8"/>
      <c r="L110" s="8">
        <v>4122</v>
      </c>
      <c r="M110" s="8">
        <v>4122</v>
      </c>
      <c r="N110" s="8"/>
      <c r="O110" s="8"/>
      <c r="P110" s="8">
        <v>33</v>
      </c>
      <c r="Q110" s="8">
        <v>33</v>
      </c>
      <c r="R110" s="8"/>
      <c r="S110" s="8"/>
      <c r="T110" s="8">
        <v>0</v>
      </c>
      <c r="U110" s="8">
        <v>0</v>
      </c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25">
        <v>0</v>
      </c>
      <c r="AH110" s="25">
        <v>28</v>
      </c>
      <c r="AI110" s="25">
        <v>0</v>
      </c>
      <c r="AJ110" s="25">
        <v>4122</v>
      </c>
      <c r="AK110" s="25">
        <v>33</v>
      </c>
      <c r="AL110" s="25">
        <v>0</v>
      </c>
      <c r="AM110" s="8">
        <f t="shared" si="32"/>
        <v>0</v>
      </c>
      <c r="AN110" s="8">
        <f t="shared" si="30"/>
        <v>0</v>
      </c>
    </row>
    <row r="111" spans="1:40" ht="14.4" outlineLevel="1" x14ac:dyDescent="0.3">
      <c r="A111" t="s">
        <v>96</v>
      </c>
      <c r="B111" s="36">
        <v>-406</v>
      </c>
      <c r="C111" s="36">
        <v>-395</v>
      </c>
      <c r="D111" s="8">
        <v>476</v>
      </c>
      <c r="E111" s="8">
        <v>1257</v>
      </c>
      <c r="F111" s="8">
        <v>-1496</v>
      </c>
      <c r="G111" s="8">
        <v>-74</v>
      </c>
      <c r="H111" s="8">
        <v>-1807</v>
      </c>
      <c r="I111" s="8">
        <v>-2674</v>
      </c>
      <c r="J111" s="8">
        <v>32</v>
      </c>
      <c r="K111" s="8">
        <v>51</v>
      </c>
      <c r="L111" s="8">
        <v>207</v>
      </c>
      <c r="M111" s="8">
        <v>672</v>
      </c>
      <c r="N111" s="8">
        <v>-336</v>
      </c>
      <c r="O111" s="8">
        <v>-2137</v>
      </c>
      <c r="P111" s="8">
        <v>-43</v>
      </c>
      <c r="Q111" s="8">
        <v>62</v>
      </c>
      <c r="R111" s="8">
        <v>79</v>
      </c>
      <c r="S111" s="8">
        <v>131</v>
      </c>
      <c r="T111" s="8">
        <v>253</v>
      </c>
      <c r="U111" s="8">
        <v>281</v>
      </c>
      <c r="V111" s="14">
        <v>12</v>
      </c>
      <c r="W111" s="14">
        <v>-2</v>
      </c>
      <c r="X111" s="14">
        <v>6</v>
      </c>
      <c r="Y111" s="14">
        <v>28</v>
      </c>
      <c r="Z111" s="14">
        <v>515</v>
      </c>
      <c r="AA111" s="14">
        <v>997</v>
      </c>
      <c r="AB111" s="14">
        <v>923</v>
      </c>
      <c r="AC111" s="14">
        <v>801</v>
      </c>
      <c r="AD111" s="14">
        <v>191</v>
      </c>
      <c r="AE111" s="14">
        <v>345</v>
      </c>
      <c r="AF111" s="14"/>
      <c r="AG111" s="25">
        <v>383</v>
      </c>
      <c r="AH111" s="25">
        <v>1257</v>
      </c>
      <c r="AI111" s="25">
        <v>-2674</v>
      </c>
      <c r="AJ111" s="25">
        <v>693</v>
      </c>
      <c r="AK111" s="25">
        <v>62</v>
      </c>
      <c r="AL111" s="25">
        <v>281</v>
      </c>
      <c r="AM111" s="8">
        <f t="shared" si="32"/>
        <v>28</v>
      </c>
      <c r="AN111" s="8">
        <f t="shared" si="30"/>
        <v>801</v>
      </c>
    </row>
    <row r="112" spans="1:40" s="9" customFormat="1" ht="14.4" outlineLevel="1" x14ac:dyDescent="0.3">
      <c r="A112" s="9" t="s">
        <v>104</v>
      </c>
      <c r="B112" s="38">
        <v>-4803</v>
      </c>
      <c r="C112" s="38">
        <v>-8589</v>
      </c>
      <c r="D112" s="38">
        <v>-12157</v>
      </c>
      <c r="E112" s="38">
        <v>-17581</v>
      </c>
      <c r="F112" s="38">
        <v>-6980</v>
      </c>
      <c r="G112" s="38">
        <v>-12124</v>
      </c>
      <c r="H112" s="38">
        <v>-18469</v>
      </c>
      <c r="I112" s="38">
        <v>-23512</v>
      </c>
      <c r="J112" s="38">
        <v>-49653</v>
      </c>
      <c r="K112" s="38">
        <v>-54401</v>
      </c>
      <c r="L112" s="38">
        <v>-57018</v>
      </c>
      <c r="M112" s="38">
        <v>-67153</v>
      </c>
      <c r="N112" s="38">
        <v>-7995</v>
      </c>
      <c r="O112" s="38">
        <v>-14656</v>
      </c>
      <c r="P112" s="38">
        <v>-23320</v>
      </c>
      <c r="Q112" s="38">
        <v>-28662</v>
      </c>
      <c r="R112" s="11">
        <v>-6110</v>
      </c>
      <c r="S112" s="11">
        <v>-10200</v>
      </c>
      <c r="T112" s="11">
        <v>-15608</v>
      </c>
      <c r="U112" s="11">
        <f>SUM(U106:U111)</f>
        <v>-23432</v>
      </c>
      <c r="V112" s="11">
        <f>SUM(V106:V111)</f>
        <v>-5245</v>
      </c>
      <c r="W112" s="11">
        <f>SUM(W106:W111)</f>
        <v>-9110</v>
      </c>
      <c r="X112" s="11">
        <f>SUM(X106:X111)</f>
        <v>-13113</v>
      </c>
      <c r="Y112" s="11">
        <v>-18674</v>
      </c>
      <c r="Z112" s="11">
        <v>-3752</v>
      </c>
      <c r="AA112" s="11">
        <v>-7190</v>
      </c>
      <c r="AB112" s="11">
        <v>-11680</v>
      </c>
      <c r="AC112" s="11">
        <f>SUM(AC106:AC111)</f>
        <v>-16660</v>
      </c>
      <c r="AD112" s="11">
        <v>-13573</v>
      </c>
      <c r="AE112" s="11">
        <f>SUM(AE106:AE111)</f>
        <v>-18500</v>
      </c>
      <c r="AF112" s="11"/>
      <c r="AG112" s="40">
        <v>-17934</v>
      </c>
      <c r="AH112" s="40">
        <v>-17581</v>
      </c>
      <c r="AI112" s="40">
        <v>-23512</v>
      </c>
      <c r="AJ112" s="40">
        <v>-67153</v>
      </c>
      <c r="AK112" s="40">
        <v>-28662</v>
      </c>
      <c r="AL112" s="11">
        <v>-23432</v>
      </c>
      <c r="AM112" s="11">
        <f t="shared" si="32"/>
        <v>-18674</v>
      </c>
      <c r="AN112" s="11">
        <f t="shared" si="30"/>
        <v>-16660</v>
      </c>
    </row>
    <row r="113" spans="1:40" s="9" customFormat="1" ht="14.4" outlineLevel="1" x14ac:dyDescent="0.3"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5"/>
      <c r="AH113" s="5"/>
      <c r="AI113" s="5"/>
      <c r="AJ113" s="5"/>
      <c r="AK113" s="5"/>
      <c r="AL113" s="28"/>
      <c r="AM113" s="28"/>
      <c r="AN113" s="28">
        <f t="shared" si="30"/>
        <v>0</v>
      </c>
    </row>
    <row r="114" spans="1:40" ht="14.4" outlineLevel="1" x14ac:dyDescent="0.3">
      <c r="A114" t="s">
        <v>105</v>
      </c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2"/>
      <c r="S114" s="42"/>
      <c r="T114" s="42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9"/>
      <c r="AH114" s="19"/>
      <c r="AI114" s="19"/>
      <c r="AJ114" s="19"/>
      <c r="AK114" s="19"/>
      <c r="AL114" s="28"/>
      <c r="AM114" s="28"/>
      <c r="AN114" s="28">
        <f t="shared" si="30"/>
        <v>0</v>
      </c>
    </row>
    <row r="115" spans="1:40" ht="14.4" outlineLevel="1" x14ac:dyDescent="0.3">
      <c r="A115" t="s">
        <v>106</v>
      </c>
      <c r="B115" s="36">
        <v>2131</v>
      </c>
      <c r="C115" s="36">
        <v>6237</v>
      </c>
      <c r="D115" s="8">
        <v>8360</v>
      </c>
      <c r="E115" s="8">
        <v>10079</v>
      </c>
      <c r="F115" s="8">
        <v>5848</v>
      </c>
      <c r="G115" s="8">
        <v>9305</v>
      </c>
      <c r="H115" s="8">
        <v>12387</v>
      </c>
      <c r="I115" s="8">
        <v>25822</v>
      </c>
      <c r="J115" s="8">
        <v>31383</v>
      </c>
      <c r="K115" s="8">
        <v>31444</v>
      </c>
      <c r="L115" s="8">
        <v>32482</v>
      </c>
      <c r="M115" s="8">
        <v>33034</v>
      </c>
      <c r="N115" s="8">
        <v>3604</v>
      </c>
      <c r="O115" s="8">
        <v>3617</v>
      </c>
      <c r="P115" s="8">
        <v>4605</v>
      </c>
      <c r="Q115" s="8">
        <v>7074</v>
      </c>
      <c r="R115" s="8">
        <v>504</v>
      </c>
      <c r="S115" s="8">
        <v>1503</v>
      </c>
      <c r="T115" s="8">
        <v>1999</v>
      </c>
      <c r="U115" s="8">
        <v>2018</v>
      </c>
      <c r="V115" s="14">
        <v>3110</v>
      </c>
      <c r="W115" s="14">
        <v>3122</v>
      </c>
      <c r="X115" s="14">
        <v>3142</v>
      </c>
      <c r="Y115" s="14">
        <v>3146</v>
      </c>
      <c r="Z115" s="14">
        <v>0</v>
      </c>
      <c r="AA115" s="14">
        <v>1676</v>
      </c>
      <c r="AB115" s="14">
        <v>3952</v>
      </c>
      <c r="AC115" s="14">
        <v>18268</v>
      </c>
      <c r="AD115" s="14">
        <v>5975</v>
      </c>
      <c r="AE115" s="14">
        <v>9940</v>
      </c>
      <c r="AF115" s="14"/>
      <c r="AG115" s="25">
        <v>5967</v>
      </c>
      <c r="AH115" s="25">
        <v>10079</v>
      </c>
      <c r="AI115" s="25">
        <v>25822</v>
      </c>
      <c r="AJ115" s="25">
        <v>33034</v>
      </c>
      <c r="AK115" s="25">
        <v>7074</v>
      </c>
      <c r="AL115" s="25">
        <v>2018</v>
      </c>
      <c r="AM115" s="8">
        <f t="shared" ref="AM115:AM122" si="33">Y115</f>
        <v>3146</v>
      </c>
      <c r="AN115" s="8">
        <f t="shared" si="30"/>
        <v>18268</v>
      </c>
    </row>
    <row r="116" spans="1:40" ht="14.4" outlineLevel="1" x14ac:dyDescent="0.3">
      <c r="A116" t="s">
        <v>107</v>
      </c>
      <c r="B116" s="36">
        <v>1117</v>
      </c>
      <c r="C116" s="36">
        <v>3982</v>
      </c>
      <c r="D116" s="25">
        <v>3982</v>
      </c>
      <c r="E116" s="25">
        <v>8576</v>
      </c>
      <c r="F116" s="25">
        <v>2844</v>
      </c>
      <c r="G116" s="25">
        <v>2844</v>
      </c>
      <c r="H116" s="25">
        <v>4439</v>
      </c>
      <c r="I116" s="25">
        <v>5635</v>
      </c>
      <c r="J116" s="25">
        <v>1000</v>
      </c>
      <c r="K116" s="25">
        <v>2695</v>
      </c>
      <c r="L116" s="25">
        <v>2695</v>
      </c>
      <c r="M116" s="25">
        <v>8383</v>
      </c>
      <c r="N116" s="25">
        <v>3545</v>
      </c>
      <c r="O116" s="25">
        <v>5053</v>
      </c>
      <c r="P116" s="25">
        <v>5939</v>
      </c>
      <c r="Q116" s="25">
        <v>10732</v>
      </c>
      <c r="R116" s="25">
        <v>1754</v>
      </c>
      <c r="S116" s="25">
        <v>3705</v>
      </c>
      <c r="T116" s="25">
        <v>4656</v>
      </c>
      <c r="U116" s="25">
        <v>6594</v>
      </c>
      <c r="V116" s="14">
        <v>2510</v>
      </c>
      <c r="W116" s="14">
        <v>5828</v>
      </c>
      <c r="X116" s="14">
        <v>8229</v>
      </c>
      <c r="Y116" s="14">
        <v>12422</v>
      </c>
      <c r="Z116" s="14">
        <v>2781</v>
      </c>
      <c r="AA116" s="14">
        <v>4962</v>
      </c>
      <c r="AB116" s="14">
        <v>7340</v>
      </c>
      <c r="AC116" s="14">
        <v>9338</v>
      </c>
      <c r="AD116" s="14">
        <v>6154</v>
      </c>
      <c r="AE116" s="14">
        <v>12028</v>
      </c>
      <c r="AF116" s="14"/>
      <c r="AG116" s="25">
        <v>4810</v>
      </c>
      <c r="AH116" s="25">
        <v>8576</v>
      </c>
      <c r="AI116" s="25">
        <v>5635</v>
      </c>
      <c r="AJ116" s="25">
        <v>8383</v>
      </c>
      <c r="AK116" s="25">
        <v>10732</v>
      </c>
      <c r="AL116" s="25">
        <v>6594</v>
      </c>
      <c r="AM116" s="8">
        <f t="shared" si="33"/>
        <v>12422</v>
      </c>
      <c r="AN116" s="8">
        <f t="shared" si="30"/>
        <v>9338</v>
      </c>
    </row>
    <row r="117" spans="1:40" ht="14.4" outlineLevel="1" x14ac:dyDescent="0.3">
      <c r="A117" t="s">
        <v>108</v>
      </c>
      <c r="B117" s="36"/>
      <c r="C117" s="36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>
        <v>4514</v>
      </c>
      <c r="Q117" s="8">
        <v>106</v>
      </c>
      <c r="R117" s="8">
        <v>342</v>
      </c>
      <c r="S117" s="8">
        <v>-167</v>
      </c>
      <c r="T117" s="8">
        <v>333</v>
      </c>
      <c r="U117" s="8">
        <v>-150</v>
      </c>
      <c r="V117" s="14">
        <v>2347</v>
      </c>
      <c r="W117" s="14">
        <v>603</v>
      </c>
      <c r="X117" s="14">
        <v>0</v>
      </c>
      <c r="Y117" s="14"/>
      <c r="Z117" s="14"/>
      <c r="AA117" s="14"/>
      <c r="AB117" s="14"/>
      <c r="AC117" s="14"/>
      <c r="AD117" s="14"/>
      <c r="AE117" s="14"/>
      <c r="AF117" s="14"/>
      <c r="AG117" s="25"/>
      <c r="AH117" s="25"/>
      <c r="AI117" s="25"/>
      <c r="AJ117" s="25">
        <v>0</v>
      </c>
      <c r="AK117" s="25">
        <v>106</v>
      </c>
      <c r="AL117" s="25">
        <v>-150</v>
      </c>
      <c r="AM117" s="8">
        <f t="shared" si="33"/>
        <v>0</v>
      </c>
      <c r="AN117" s="8">
        <f t="shared" si="30"/>
        <v>0</v>
      </c>
    </row>
    <row r="118" spans="1:40" ht="14.4" outlineLevel="1" x14ac:dyDescent="0.3">
      <c r="A118" t="s">
        <v>109</v>
      </c>
      <c r="B118" s="36">
        <v>-2963</v>
      </c>
      <c r="C118" s="36">
        <v>-9630</v>
      </c>
      <c r="D118" s="25">
        <v>-12486</v>
      </c>
      <c r="E118" s="25">
        <v>-17584</v>
      </c>
      <c r="F118" s="25">
        <v>-1700</v>
      </c>
      <c r="G118" s="25">
        <v>-8533</v>
      </c>
      <c r="H118" s="25">
        <v>-8853</v>
      </c>
      <c r="I118" s="25">
        <v>-9775</v>
      </c>
      <c r="J118" s="25">
        <v>-302</v>
      </c>
      <c r="K118" s="25">
        <v>-7559</v>
      </c>
      <c r="L118" s="25">
        <v>-7904</v>
      </c>
      <c r="M118" s="25">
        <v>-14063</v>
      </c>
      <c r="N118" s="25">
        <v>-6556</v>
      </c>
      <c r="O118" s="25">
        <v>-7405</v>
      </c>
      <c r="P118" s="25">
        <v>-8001</v>
      </c>
      <c r="Q118" s="25">
        <v>-8616</v>
      </c>
      <c r="R118" s="25">
        <v>-1325</v>
      </c>
      <c r="S118" s="25">
        <v>-2600</v>
      </c>
      <c r="T118" s="25">
        <v>-5568</v>
      </c>
      <c r="U118" s="25">
        <v>-6181</v>
      </c>
      <c r="V118" s="14">
        <v>-4508</v>
      </c>
      <c r="W118" s="14">
        <v>-5719</v>
      </c>
      <c r="X118" s="14">
        <v>-6623</v>
      </c>
      <c r="Y118" s="14">
        <v>-11854</v>
      </c>
      <c r="Z118" s="14">
        <v>-2446</v>
      </c>
      <c r="AA118" s="14">
        <v>-5530</v>
      </c>
      <c r="AB118" s="14">
        <v>-7529</v>
      </c>
      <c r="AC118" s="14">
        <v>-11352</v>
      </c>
      <c r="AD118" s="14">
        <v>-4258</v>
      </c>
      <c r="AE118" s="14">
        <v>-14426</v>
      </c>
      <c r="AF118" s="14"/>
      <c r="AG118" s="25">
        <v>-10923</v>
      </c>
      <c r="AH118" s="25">
        <v>-17584</v>
      </c>
      <c r="AI118" s="25">
        <v>-9775</v>
      </c>
      <c r="AJ118" s="25">
        <v>-14063</v>
      </c>
      <c r="AK118" s="25">
        <v>-8616</v>
      </c>
      <c r="AL118" s="25">
        <v>-6181</v>
      </c>
      <c r="AM118" s="8">
        <f t="shared" si="33"/>
        <v>-11854</v>
      </c>
      <c r="AN118" s="8">
        <f t="shared" si="30"/>
        <v>-11352</v>
      </c>
    </row>
    <row r="119" spans="1:40" ht="14.4" outlineLevel="1" x14ac:dyDescent="0.3">
      <c r="A119" t="s">
        <v>110</v>
      </c>
      <c r="B119" s="36">
        <v>-813</v>
      </c>
      <c r="C119" s="36">
        <v>-2817</v>
      </c>
      <c r="D119" s="8">
        <v>-5273</v>
      </c>
      <c r="E119" s="8">
        <v>-6302</v>
      </c>
      <c r="F119" s="8">
        <v>-2229</v>
      </c>
      <c r="G119" s="8">
        <v>-4612</v>
      </c>
      <c r="H119" s="8">
        <v>-6726</v>
      </c>
      <c r="I119" s="8">
        <v>-7413</v>
      </c>
      <c r="J119" s="8">
        <v>-732</v>
      </c>
      <c r="K119" s="8">
        <v>-2993</v>
      </c>
      <c r="L119" s="8">
        <v>-3887</v>
      </c>
      <c r="M119" s="8">
        <v>-4800</v>
      </c>
      <c r="N119" s="8">
        <v>-1650</v>
      </c>
      <c r="O119" s="8">
        <v>-2695</v>
      </c>
      <c r="P119" s="8">
        <v>-3647</v>
      </c>
      <c r="Q119" s="8">
        <v>-4948</v>
      </c>
      <c r="R119" s="8">
        <v>-931</v>
      </c>
      <c r="S119" s="8">
        <v>-2383</v>
      </c>
      <c r="T119" s="8">
        <v>-3729</v>
      </c>
      <c r="U119" s="8">
        <v>-4443</v>
      </c>
      <c r="V119" s="14">
        <v>-1408</v>
      </c>
      <c r="W119" s="14">
        <v>-4008</v>
      </c>
      <c r="X119" s="14">
        <v>-6158</v>
      </c>
      <c r="Y119" s="14">
        <v>-8490</v>
      </c>
      <c r="Z119" s="14">
        <v>-2589</v>
      </c>
      <c r="AA119" s="14">
        <v>-4512</v>
      </c>
      <c r="AB119" s="14">
        <v>-6437</v>
      </c>
      <c r="AC119" s="14">
        <v>-8437</v>
      </c>
      <c r="AD119" s="14">
        <v>-6828</v>
      </c>
      <c r="AE119" s="14">
        <v>-13912</v>
      </c>
      <c r="AF119" s="14"/>
      <c r="AG119" s="25">
        <v>-3635</v>
      </c>
      <c r="AH119" s="25">
        <v>-6302</v>
      </c>
      <c r="AI119" s="25">
        <v>-7413</v>
      </c>
      <c r="AJ119" s="25">
        <v>-4800</v>
      </c>
      <c r="AK119" s="25">
        <v>-4948</v>
      </c>
      <c r="AL119" s="25">
        <v>-4443</v>
      </c>
      <c r="AM119" s="8">
        <f t="shared" si="33"/>
        <v>-8490</v>
      </c>
      <c r="AN119" s="8">
        <f t="shared" si="30"/>
        <v>-8437</v>
      </c>
    </row>
    <row r="120" spans="1:40" ht="14.4" outlineLevel="1" x14ac:dyDescent="0.3">
      <c r="A120" t="s">
        <v>111</v>
      </c>
      <c r="B120" s="36">
        <v>-2489</v>
      </c>
      <c r="C120" s="36">
        <v>-4981</v>
      </c>
      <c r="D120" s="8">
        <v>-7474</v>
      </c>
      <c r="E120" s="8">
        <v>-10016</v>
      </c>
      <c r="F120" s="8">
        <v>-2547</v>
      </c>
      <c r="G120" s="8">
        <v>-5090</v>
      </c>
      <c r="H120" s="8">
        <v>-7636</v>
      </c>
      <c r="I120" s="8">
        <v>-10232</v>
      </c>
      <c r="J120" s="8">
        <v>-2601</v>
      </c>
      <c r="K120" s="8">
        <v>-5198</v>
      </c>
      <c r="L120" s="8">
        <v>-7797</v>
      </c>
      <c r="M120" s="8">
        <v>-10445</v>
      </c>
      <c r="N120" s="8">
        <v>-2654</v>
      </c>
      <c r="O120" s="8">
        <v>-5378</v>
      </c>
      <c r="P120" s="8">
        <v>-8066</v>
      </c>
      <c r="Q120" s="8">
        <v>-10805</v>
      </c>
      <c r="R120" s="8">
        <v>-2744</v>
      </c>
      <c r="S120" s="8">
        <v>-5487</v>
      </c>
      <c r="T120" s="8">
        <v>-8231</v>
      </c>
      <c r="U120" s="8">
        <v>-11025</v>
      </c>
      <c r="V120" s="11">
        <v>-2796</v>
      </c>
      <c r="W120" s="11">
        <v>-5598</v>
      </c>
      <c r="X120" s="11">
        <v>-8399</v>
      </c>
      <c r="Y120" s="11">
        <v>-11249</v>
      </c>
      <c r="Z120" s="11">
        <v>-2856</v>
      </c>
      <c r="AA120" s="11">
        <v>-5712</v>
      </c>
      <c r="AB120" s="11">
        <v>-8569</v>
      </c>
      <c r="AC120" s="11">
        <v>-11481</v>
      </c>
      <c r="AD120" s="11">
        <v>-2910</v>
      </c>
      <c r="AE120" s="11">
        <v>-5864</v>
      </c>
      <c r="AF120" s="11"/>
      <c r="AG120" s="25">
        <v>-9772</v>
      </c>
      <c r="AH120" s="25">
        <v>-10016</v>
      </c>
      <c r="AI120" s="25">
        <v>-10232</v>
      </c>
      <c r="AJ120" s="25">
        <v>-10445</v>
      </c>
      <c r="AK120" s="25">
        <v>-10805</v>
      </c>
      <c r="AL120" s="25">
        <v>-11025</v>
      </c>
      <c r="AM120" s="8">
        <f t="shared" si="33"/>
        <v>-11249</v>
      </c>
      <c r="AN120" s="8">
        <f t="shared" si="30"/>
        <v>-11481</v>
      </c>
    </row>
    <row r="121" spans="1:40" ht="14.4" outlineLevel="1" x14ac:dyDescent="0.3">
      <c r="A121" t="s">
        <v>112</v>
      </c>
      <c r="B121" s="36"/>
      <c r="C121" s="36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11"/>
      <c r="W121" s="11"/>
      <c r="X121" s="11"/>
      <c r="Y121" s="11"/>
      <c r="Z121" s="11"/>
      <c r="AA121" s="11"/>
      <c r="AB121" s="11"/>
      <c r="AC121" s="11"/>
      <c r="AD121" s="11">
        <v>-2500</v>
      </c>
      <c r="AE121" s="11">
        <v>-3500</v>
      </c>
      <c r="AF121" s="11"/>
      <c r="AG121" s="25"/>
      <c r="AH121" s="25"/>
      <c r="AI121" s="25"/>
      <c r="AJ121" s="25"/>
      <c r="AK121" s="25"/>
      <c r="AL121" s="25"/>
      <c r="AM121" s="8"/>
      <c r="AN121" s="8"/>
    </row>
    <row r="122" spans="1:40" ht="14.4" outlineLevel="1" x14ac:dyDescent="0.3">
      <c r="A122" t="s">
        <v>96</v>
      </c>
      <c r="B122" s="36">
        <v>360</v>
      </c>
      <c r="C122" s="36">
        <v>-834</v>
      </c>
      <c r="D122" s="8">
        <v>-1410</v>
      </c>
      <c r="E122" s="8">
        <v>-2917</v>
      </c>
      <c r="F122" s="8">
        <v>347</v>
      </c>
      <c r="G122" s="8">
        <v>-146</v>
      </c>
      <c r="H122" s="8">
        <v>-1348</v>
      </c>
      <c r="I122" s="8">
        <v>-2712</v>
      </c>
      <c r="J122" s="8">
        <v>-792</v>
      </c>
      <c r="K122" s="8">
        <v>-1839</v>
      </c>
      <c r="L122" s="8">
        <v>-2120</v>
      </c>
      <c r="M122" s="8">
        <v>-3832</v>
      </c>
      <c r="N122" s="8">
        <v>3956</v>
      </c>
      <c r="O122" s="8">
        <v>2971</v>
      </c>
      <c r="P122" s="8">
        <v>-797</v>
      </c>
      <c r="Q122" s="8">
        <v>-2072</v>
      </c>
      <c r="R122" s="8">
        <v>17</v>
      </c>
      <c r="S122" s="8">
        <v>-157</v>
      </c>
      <c r="T122" s="8">
        <v>-1101</v>
      </c>
      <c r="U122" s="8">
        <v>-1470</v>
      </c>
      <c r="V122" s="11">
        <v>-683</v>
      </c>
      <c r="W122" s="11">
        <v>-1290</v>
      </c>
      <c r="X122" s="11">
        <v>-1668</v>
      </c>
      <c r="Y122" s="11">
        <v>-1075</v>
      </c>
      <c r="Z122" s="11">
        <v>-783</v>
      </c>
      <c r="AA122" s="11">
        <v>-1155</v>
      </c>
      <c r="AB122" s="11">
        <v>-1579</v>
      </c>
      <c r="AC122" s="11">
        <v>-1949</v>
      </c>
      <c r="AD122" s="11">
        <v>-911</v>
      </c>
      <c r="AE122" s="11">
        <v>-1380</v>
      </c>
      <c r="AF122" s="11"/>
      <c r="AG122" s="25">
        <v>-1824</v>
      </c>
      <c r="AH122" s="25">
        <v>-2917</v>
      </c>
      <c r="AI122" s="25">
        <v>-2712</v>
      </c>
      <c r="AJ122" s="25">
        <v>-3832</v>
      </c>
      <c r="AK122" s="25">
        <v>-2072</v>
      </c>
      <c r="AL122" s="25">
        <v>-1470</v>
      </c>
      <c r="AM122" s="8">
        <f t="shared" si="33"/>
        <v>-1075</v>
      </c>
      <c r="AN122" s="8">
        <f t="shared" si="30"/>
        <v>-1949</v>
      </c>
    </row>
    <row r="123" spans="1:40" s="9" customFormat="1" ht="14.4" outlineLevel="1" x14ac:dyDescent="0.3">
      <c r="A123" s="9" t="s">
        <v>113</v>
      </c>
      <c r="B123" s="11">
        <f>SUM(B115:B122)</f>
        <v>-2657</v>
      </c>
      <c r="C123" s="11">
        <f t="shared" ref="C123:V123" si="34">SUM(C115:C122)</f>
        <v>-8043</v>
      </c>
      <c r="D123" s="11">
        <f t="shared" si="34"/>
        <v>-14301</v>
      </c>
      <c r="E123" s="11">
        <f t="shared" si="34"/>
        <v>-18164</v>
      </c>
      <c r="F123" s="11">
        <f t="shared" si="34"/>
        <v>2563</v>
      </c>
      <c r="G123" s="11">
        <f t="shared" si="34"/>
        <v>-6232</v>
      </c>
      <c r="H123" s="11">
        <f t="shared" si="34"/>
        <v>-7737</v>
      </c>
      <c r="I123" s="11">
        <f t="shared" si="34"/>
        <v>1325</v>
      </c>
      <c r="J123" s="11">
        <f t="shared" si="34"/>
        <v>27956</v>
      </c>
      <c r="K123" s="11">
        <f t="shared" si="34"/>
        <v>16550</v>
      </c>
      <c r="L123" s="11">
        <f t="shared" si="34"/>
        <v>13469</v>
      </c>
      <c r="M123" s="11">
        <f t="shared" si="34"/>
        <v>8277</v>
      </c>
      <c r="N123" s="11">
        <f t="shared" si="34"/>
        <v>245</v>
      </c>
      <c r="O123" s="11">
        <f t="shared" si="34"/>
        <v>-3837</v>
      </c>
      <c r="P123" s="11">
        <f t="shared" si="34"/>
        <v>-5453</v>
      </c>
      <c r="Q123" s="11">
        <f t="shared" si="34"/>
        <v>-8529</v>
      </c>
      <c r="R123" s="11">
        <f t="shared" si="34"/>
        <v>-2383</v>
      </c>
      <c r="S123" s="11">
        <f t="shared" si="34"/>
        <v>-5586</v>
      </c>
      <c r="T123" s="11">
        <f t="shared" si="34"/>
        <v>-11641</v>
      </c>
      <c r="U123" s="11">
        <f t="shared" si="34"/>
        <v>-14657</v>
      </c>
      <c r="V123" s="11">
        <f t="shared" si="34"/>
        <v>-1428</v>
      </c>
      <c r="W123" s="11">
        <f>SUM(W115:W122)</f>
        <v>-7062</v>
      </c>
      <c r="X123" s="11">
        <f>SUM(X115:X122)</f>
        <v>-11477</v>
      </c>
      <c r="Y123" s="11">
        <v>-17100</v>
      </c>
      <c r="Z123" s="11">
        <v>-5893</v>
      </c>
      <c r="AA123" s="11">
        <v>-10271</v>
      </c>
      <c r="AB123" s="11">
        <v>-12822</v>
      </c>
      <c r="AC123" s="11">
        <f>SUM(AC115:AC122)</f>
        <v>-5613</v>
      </c>
      <c r="AD123" s="11">
        <v>-5278</v>
      </c>
      <c r="AE123" s="11">
        <f>SUM(AE115:AE122)</f>
        <v>-17114</v>
      </c>
      <c r="AF123" s="11"/>
      <c r="AG123" s="28">
        <f t="shared" ref="AG123:AL123" si="35">SUM(AG115:AG122)</f>
        <v>-15377</v>
      </c>
      <c r="AH123" s="28">
        <f t="shared" si="35"/>
        <v>-18164</v>
      </c>
      <c r="AI123" s="28">
        <f t="shared" si="35"/>
        <v>1325</v>
      </c>
      <c r="AJ123" s="28">
        <f t="shared" si="35"/>
        <v>8277</v>
      </c>
      <c r="AK123" s="28">
        <f t="shared" si="35"/>
        <v>-8529</v>
      </c>
      <c r="AL123" s="28">
        <f t="shared" si="35"/>
        <v>-14657</v>
      </c>
      <c r="AM123" s="28">
        <f>SUM(AM115:AM122)</f>
        <v>-17100</v>
      </c>
      <c r="AN123" s="28">
        <f t="shared" si="30"/>
        <v>-5613</v>
      </c>
    </row>
    <row r="124" spans="1:40" ht="14.4" outlineLevel="1" x14ac:dyDescent="0.3">
      <c r="A124" t="s">
        <v>114</v>
      </c>
      <c r="B124" s="36">
        <v>-379</v>
      </c>
      <c r="C124" s="36">
        <v>-796</v>
      </c>
      <c r="D124" s="8">
        <v>290</v>
      </c>
      <c r="E124" s="8">
        <v>1</v>
      </c>
      <c r="F124" s="8">
        <v>4407</v>
      </c>
      <c r="G124" s="8">
        <v>5196</v>
      </c>
      <c r="H124" s="8">
        <v>6266</v>
      </c>
      <c r="I124" s="8">
        <v>19581</v>
      </c>
      <c r="J124" s="8">
        <v>-12003</v>
      </c>
      <c r="K124" s="8">
        <v>-17413</v>
      </c>
      <c r="L124" s="8">
        <v>-12387</v>
      </c>
      <c r="M124" s="8">
        <v>-19337</v>
      </c>
      <c r="N124" s="8">
        <v>-929</v>
      </c>
      <c r="O124" s="8">
        <v>-828</v>
      </c>
      <c r="P124" s="8">
        <v>-574</v>
      </c>
      <c r="Q124" s="8">
        <v>-50</v>
      </c>
      <c r="R124" s="8">
        <v>-204</v>
      </c>
      <c r="S124" s="8">
        <v>2234</v>
      </c>
      <c r="T124" s="8">
        <v>1549</v>
      </c>
      <c r="U124" s="8">
        <v>-614</v>
      </c>
      <c r="V124" s="36">
        <v>411</v>
      </c>
      <c r="W124" s="36">
        <v>397</v>
      </c>
      <c r="X124" s="36">
        <v>1890</v>
      </c>
      <c r="Y124" s="36">
        <v>1138</v>
      </c>
      <c r="Z124" s="36">
        <v>-1863</v>
      </c>
      <c r="AA124" s="36">
        <v>-704</v>
      </c>
      <c r="AB124" s="36">
        <v>3521</v>
      </c>
      <c r="AC124" s="36">
        <v>14864</v>
      </c>
      <c r="AD124" s="36">
        <v>-10867</v>
      </c>
      <c r="AE124" s="36">
        <v>-17195</v>
      </c>
      <c r="AF124" s="36"/>
      <c r="AG124" s="14">
        <v>1028</v>
      </c>
      <c r="AH124" s="14">
        <v>1</v>
      </c>
      <c r="AI124" s="14">
        <v>19581</v>
      </c>
      <c r="AJ124" s="14">
        <v>-19337</v>
      </c>
      <c r="AK124" s="14">
        <v>-50</v>
      </c>
      <c r="AL124" s="14">
        <v>-614</v>
      </c>
      <c r="AM124" s="14">
        <f>Y124</f>
        <v>1138</v>
      </c>
      <c r="AN124" s="14">
        <f t="shared" si="30"/>
        <v>14864</v>
      </c>
    </row>
    <row r="125" spans="1:40" ht="14.4" outlineLevel="1" x14ac:dyDescent="0.3">
      <c r="A125" t="s">
        <v>115</v>
      </c>
      <c r="B125" s="36">
        <v>3916</v>
      </c>
      <c r="C125" s="36">
        <v>3916</v>
      </c>
      <c r="D125" s="25">
        <v>3916</v>
      </c>
      <c r="E125" s="25">
        <v>3916</v>
      </c>
      <c r="F125" s="25">
        <v>3917</v>
      </c>
      <c r="G125" s="25">
        <v>3917</v>
      </c>
      <c r="H125" s="25">
        <v>3917</v>
      </c>
      <c r="I125" s="25">
        <v>3917</v>
      </c>
      <c r="J125" s="25">
        <v>23498</v>
      </c>
      <c r="K125" s="25">
        <v>23498</v>
      </c>
      <c r="L125" s="25">
        <v>23498</v>
      </c>
      <c r="M125" s="25">
        <v>23498</v>
      </c>
      <c r="N125" s="25">
        <v>4161</v>
      </c>
      <c r="O125" s="25">
        <v>4161</v>
      </c>
      <c r="P125" s="25">
        <v>4161</v>
      </c>
      <c r="Q125" s="25">
        <v>4161</v>
      </c>
      <c r="R125" s="25">
        <v>4111</v>
      </c>
      <c r="S125" s="25">
        <v>4111</v>
      </c>
      <c r="T125" s="25">
        <v>4111</v>
      </c>
      <c r="U125" s="25">
        <v>4111</v>
      </c>
      <c r="V125" s="36">
        <v>3497</v>
      </c>
      <c r="W125" s="36">
        <v>3497</v>
      </c>
      <c r="X125" s="36">
        <v>3497</v>
      </c>
      <c r="Y125" s="36">
        <v>3497</v>
      </c>
      <c r="Z125" s="36">
        <v>4635</v>
      </c>
      <c r="AA125" s="36">
        <v>4635</v>
      </c>
      <c r="AB125" s="36">
        <v>4635</v>
      </c>
      <c r="AC125" s="36">
        <v>4635</v>
      </c>
      <c r="AD125" s="36">
        <v>19499</v>
      </c>
      <c r="AE125" s="36">
        <v>19499</v>
      </c>
      <c r="AF125" s="36"/>
      <c r="AG125" s="14">
        <v>2888</v>
      </c>
      <c r="AH125" s="14">
        <v>3916</v>
      </c>
      <c r="AI125" s="14">
        <v>3917</v>
      </c>
      <c r="AJ125" s="14">
        <v>23498</v>
      </c>
      <c r="AK125" s="14">
        <v>4161</v>
      </c>
      <c r="AL125" s="14">
        <v>4111</v>
      </c>
      <c r="AM125" s="14">
        <f>Y125</f>
        <v>3497</v>
      </c>
      <c r="AN125" s="14">
        <f t="shared" si="30"/>
        <v>4635</v>
      </c>
    </row>
    <row r="126" spans="1:40" ht="14.4" outlineLevel="1" x14ac:dyDescent="0.3">
      <c r="A126" t="s">
        <v>116</v>
      </c>
      <c r="B126" s="36">
        <v>3537</v>
      </c>
      <c r="C126" s="36">
        <v>3120</v>
      </c>
      <c r="D126" s="8">
        <v>4206</v>
      </c>
      <c r="E126" s="8">
        <v>3917</v>
      </c>
      <c r="F126" s="8">
        <v>8324</v>
      </c>
      <c r="G126" s="8">
        <v>9113</v>
      </c>
      <c r="H126" s="8">
        <v>10183</v>
      </c>
      <c r="I126" s="8">
        <v>23498</v>
      </c>
      <c r="J126" s="8">
        <v>11495</v>
      </c>
      <c r="K126" s="8">
        <v>6085</v>
      </c>
      <c r="L126" s="8">
        <v>11111</v>
      </c>
      <c r="M126" s="8">
        <v>4161</v>
      </c>
      <c r="N126" s="8">
        <v>3232</v>
      </c>
      <c r="O126" s="8">
        <v>3333</v>
      </c>
      <c r="P126" s="8">
        <v>3587</v>
      </c>
      <c r="Q126" s="8">
        <v>4111</v>
      </c>
      <c r="R126" s="8">
        <v>3907</v>
      </c>
      <c r="S126" s="8">
        <v>6345</v>
      </c>
      <c r="T126" s="8">
        <v>5660</v>
      </c>
      <c r="U126" s="8">
        <v>3497</v>
      </c>
      <c r="V126" s="36">
        <v>3908</v>
      </c>
      <c r="W126" s="36">
        <v>3894</v>
      </c>
      <c r="X126" s="36">
        <v>5387</v>
      </c>
      <c r="Y126" s="36">
        <v>4635</v>
      </c>
      <c r="Z126" s="36">
        <v>2772</v>
      </c>
      <c r="AA126" s="36">
        <v>3931</v>
      </c>
      <c r="AB126" s="36">
        <v>8156</v>
      </c>
      <c r="AC126" s="36">
        <v>19499</v>
      </c>
      <c r="AD126" s="36">
        <v>8632</v>
      </c>
      <c r="AE126" s="36">
        <v>2304</v>
      </c>
      <c r="AF126" s="36"/>
      <c r="AG126" s="14">
        <v>3916</v>
      </c>
      <c r="AH126" s="14">
        <v>3917</v>
      </c>
      <c r="AI126" s="14">
        <v>23498</v>
      </c>
      <c r="AJ126" s="14">
        <v>4161</v>
      </c>
      <c r="AK126" s="14">
        <v>4111</v>
      </c>
      <c r="AL126" s="14">
        <v>3497</v>
      </c>
      <c r="AM126" s="14">
        <f>Y126</f>
        <v>4635</v>
      </c>
      <c r="AN126" s="14">
        <f t="shared" si="30"/>
        <v>19499</v>
      </c>
    </row>
    <row r="128" spans="1:40" x14ac:dyDescent="0.25">
      <c r="A128" s="6" t="s">
        <v>117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1:40" outlineLevel="1" x14ac:dyDescent="0.25">
      <c r="A129" t="s">
        <v>85</v>
      </c>
    </row>
    <row r="130" spans="1:40" ht="14.4" outlineLevel="1" x14ac:dyDescent="0.3">
      <c r="A130" t="s">
        <v>86</v>
      </c>
      <c r="AG130" s="43"/>
      <c r="AH130" s="43"/>
      <c r="AI130" s="43"/>
      <c r="AJ130" s="43"/>
      <c r="AK130" s="43"/>
      <c r="AL130" s="43"/>
      <c r="AM130" s="43"/>
      <c r="AN130" s="43"/>
    </row>
    <row r="131" spans="1:40" ht="14.4" outlineLevel="1" x14ac:dyDescent="0.3">
      <c r="A131" s="35" t="s">
        <v>27</v>
      </c>
      <c r="B131" s="32">
        <f t="shared" ref="B131:B148" si="36">B86</f>
        <v>5160</v>
      </c>
      <c r="C131" s="32">
        <f t="shared" ref="C131:E146" si="37">C86-B86</f>
        <v>4074</v>
      </c>
      <c r="D131" s="32">
        <f t="shared" si="37"/>
        <v>5337</v>
      </c>
      <c r="E131" s="32">
        <f t="shared" si="37"/>
        <v>5217</v>
      </c>
      <c r="F131" s="32">
        <f t="shared" ref="F131:F148" si="38">F86</f>
        <v>4287</v>
      </c>
      <c r="G131" s="32">
        <f t="shared" ref="G131:I146" si="39">G86-F86</f>
        <v>4839</v>
      </c>
      <c r="H131" s="32">
        <f t="shared" si="39"/>
        <v>4504</v>
      </c>
      <c r="I131" s="32">
        <f t="shared" si="39"/>
        <v>4718</v>
      </c>
      <c r="J131" s="32">
        <f t="shared" ref="J131:J148" si="40">J86</f>
        <v>5378</v>
      </c>
      <c r="K131" s="32">
        <f t="shared" ref="K131:M146" si="41">K86-J86</f>
        <v>5949</v>
      </c>
      <c r="L131" s="32">
        <f t="shared" si="41"/>
        <v>6554</v>
      </c>
      <c r="M131" s="32">
        <f t="shared" si="41"/>
        <v>4737</v>
      </c>
      <c r="N131" s="32">
        <f t="shared" ref="N131:N148" si="42">N86</f>
        <v>4711</v>
      </c>
      <c r="O131" s="32">
        <f t="shared" ref="O131:Q146" si="43">O86-N86</f>
        <v>5315</v>
      </c>
      <c r="P131" s="32">
        <f t="shared" si="43"/>
        <v>5024</v>
      </c>
      <c r="Q131" s="32">
        <f t="shared" si="43"/>
        <v>6698</v>
      </c>
      <c r="R131" s="32">
        <f t="shared" ref="R131:R148" si="44">R86</f>
        <v>5018</v>
      </c>
      <c r="S131" s="32">
        <f t="shared" ref="S131:U146" si="45">S86-R86</f>
        <v>4766</v>
      </c>
      <c r="T131" s="32">
        <f t="shared" si="45"/>
        <v>4884</v>
      </c>
      <c r="U131" s="32">
        <f t="shared" si="45"/>
        <v>-2573</v>
      </c>
      <c r="V131" s="32">
        <f t="shared" ref="V131:V148" si="46">V86</f>
        <v>4722</v>
      </c>
      <c r="W131" s="32">
        <f t="shared" ref="W131:Y146" si="47">W86-V86</f>
        <v>4702</v>
      </c>
      <c r="X131" s="32">
        <f t="shared" si="47"/>
        <v>3411</v>
      </c>
      <c r="Y131" s="32">
        <f t="shared" si="47"/>
        <v>5114</v>
      </c>
      <c r="Z131" s="32">
        <f t="shared" ref="Z131:Z148" si="48">Z86</f>
        <v>4983</v>
      </c>
      <c r="AA131" s="32">
        <f t="shared" ref="AA131:AE146" si="49">AA86-Z86</f>
        <v>5121</v>
      </c>
      <c r="AB131" s="32">
        <f t="shared" si="49"/>
        <v>5056</v>
      </c>
      <c r="AC131" s="32">
        <f t="shared" si="49"/>
        <v>2448</v>
      </c>
      <c r="AD131" s="32">
        <f t="shared" ref="AD131:AD148" si="50">AD86</f>
        <v>5146</v>
      </c>
      <c r="AE131" s="32">
        <f t="shared" si="49"/>
        <v>3949</v>
      </c>
      <c r="AF131" s="32"/>
      <c r="AG131" s="42">
        <v>16039</v>
      </c>
      <c r="AH131" s="42">
        <v>19788</v>
      </c>
      <c r="AI131" s="42">
        <v>18348</v>
      </c>
      <c r="AJ131" s="42">
        <v>22618</v>
      </c>
      <c r="AK131" s="42">
        <v>21748</v>
      </c>
      <c r="AL131" s="42">
        <v>12095</v>
      </c>
      <c r="AM131" s="42">
        <f>AM86</f>
        <v>17949</v>
      </c>
      <c r="AN131" s="42">
        <f>AN86</f>
        <v>17608</v>
      </c>
    </row>
    <row r="132" spans="1:40" ht="14.4" outlineLevel="1" x14ac:dyDescent="0.3">
      <c r="A132" s="37" t="s">
        <v>87</v>
      </c>
      <c r="B132" s="32">
        <f t="shared" si="36"/>
        <v>0</v>
      </c>
      <c r="C132" s="32">
        <f t="shared" si="37"/>
        <v>0</v>
      </c>
      <c r="D132" s="32">
        <f t="shared" si="37"/>
        <v>0</v>
      </c>
      <c r="E132" s="32">
        <f t="shared" si="37"/>
        <v>0</v>
      </c>
      <c r="F132" s="32">
        <f t="shared" si="38"/>
        <v>0</v>
      </c>
      <c r="G132" s="32">
        <f t="shared" si="39"/>
        <v>0</v>
      </c>
      <c r="H132" s="32">
        <f t="shared" si="39"/>
        <v>0</v>
      </c>
      <c r="I132" s="32">
        <f t="shared" si="39"/>
        <v>0</v>
      </c>
      <c r="J132" s="32">
        <f t="shared" si="40"/>
        <v>0</v>
      </c>
      <c r="K132" s="32">
        <f t="shared" si="41"/>
        <v>0</v>
      </c>
      <c r="L132" s="32">
        <f t="shared" si="41"/>
        <v>0</v>
      </c>
      <c r="M132" s="32">
        <f t="shared" si="41"/>
        <v>0</v>
      </c>
      <c r="N132" s="32">
        <f t="shared" si="42"/>
        <v>0</v>
      </c>
      <c r="O132" s="32">
        <f t="shared" si="43"/>
        <v>0</v>
      </c>
      <c r="P132" s="32">
        <f t="shared" si="43"/>
        <v>0</v>
      </c>
      <c r="Q132" s="32">
        <f t="shared" si="43"/>
        <v>0</v>
      </c>
      <c r="R132" s="32">
        <f t="shared" si="44"/>
        <v>0</v>
      </c>
      <c r="S132" s="32">
        <f t="shared" si="45"/>
        <v>0</v>
      </c>
      <c r="T132" s="32">
        <f t="shared" si="45"/>
        <v>0</v>
      </c>
      <c r="U132" s="32">
        <f t="shared" si="45"/>
        <v>0</v>
      </c>
      <c r="V132" s="32">
        <f t="shared" si="46"/>
        <v>0</v>
      </c>
      <c r="W132" s="32">
        <f t="shared" si="47"/>
        <v>0</v>
      </c>
      <c r="X132" s="32">
        <f t="shared" si="47"/>
        <v>0</v>
      </c>
      <c r="Y132" s="32">
        <f t="shared" si="47"/>
        <v>0</v>
      </c>
      <c r="Z132" s="32">
        <f t="shared" si="48"/>
        <v>0</v>
      </c>
      <c r="AA132" s="32">
        <f t="shared" si="49"/>
        <v>0</v>
      </c>
      <c r="AB132" s="32">
        <f t="shared" si="49"/>
        <v>0</v>
      </c>
      <c r="AC132" s="32">
        <f t="shared" si="49"/>
        <v>0</v>
      </c>
      <c r="AD132" s="32">
        <f t="shared" si="50"/>
        <v>0</v>
      </c>
      <c r="AE132" s="32">
        <f t="shared" si="49"/>
        <v>0</v>
      </c>
      <c r="AF132" s="32"/>
    </row>
    <row r="133" spans="1:40" ht="14.4" outlineLevel="1" x14ac:dyDescent="0.3">
      <c r="A133" s="35" t="s">
        <v>17</v>
      </c>
      <c r="B133" s="32">
        <f t="shared" si="36"/>
        <v>4231</v>
      </c>
      <c r="C133" s="32">
        <f t="shared" si="37"/>
        <v>4232</v>
      </c>
      <c r="D133" s="32">
        <f t="shared" si="37"/>
        <v>4114</v>
      </c>
      <c r="E133" s="32">
        <f t="shared" si="37"/>
        <v>4105</v>
      </c>
      <c r="F133" s="32">
        <f t="shared" si="38"/>
        <v>4150</v>
      </c>
      <c r="G133" s="32">
        <f t="shared" si="39"/>
        <v>4181</v>
      </c>
      <c r="H133" s="32">
        <f t="shared" si="39"/>
        <v>4192</v>
      </c>
      <c r="I133" s="32">
        <f t="shared" si="39"/>
        <v>4197</v>
      </c>
      <c r="J133" s="32">
        <f t="shared" si="40"/>
        <v>4174</v>
      </c>
      <c r="K133" s="32">
        <f t="shared" si="41"/>
        <v>4020</v>
      </c>
      <c r="L133" s="32">
        <f t="shared" si="41"/>
        <v>3961</v>
      </c>
      <c r="M133" s="32">
        <f t="shared" si="41"/>
        <v>4051</v>
      </c>
      <c r="N133" s="32">
        <f t="shared" si="42"/>
        <v>4236</v>
      </c>
      <c r="O133" s="32">
        <f t="shared" si="43"/>
        <v>4321</v>
      </c>
      <c r="P133" s="32">
        <f t="shared" si="43"/>
        <v>4324</v>
      </c>
      <c r="Q133" s="32">
        <f t="shared" si="43"/>
        <v>4218</v>
      </c>
      <c r="R133" s="32">
        <f t="shared" si="44"/>
        <v>4318</v>
      </c>
      <c r="S133" s="32">
        <f t="shared" si="45"/>
        <v>4359</v>
      </c>
      <c r="T133" s="32">
        <f t="shared" si="45"/>
        <v>4431</v>
      </c>
      <c r="U133" s="32">
        <f t="shared" si="45"/>
        <v>4516</v>
      </c>
      <c r="V133" s="32">
        <f t="shared" si="46"/>
        <v>4445</v>
      </c>
      <c r="W133" s="32">
        <f t="shared" si="47"/>
        <v>4483</v>
      </c>
      <c r="X133" s="32">
        <f t="shared" si="47"/>
        <v>4458</v>
      </c>
      <c r="Y133" s="32">
        <f t="shared" si="47"/>
        <v>4506</v>
      </c>
      <c r="Z133" s="32">
        <f t="shared" si="48"/>
        <v>4577</v>
      </c>
      <c r="AA133" s="32">
        <f t="shared" si="49"/>
        <v>4635</v>
      </c>
      <c r="AB133" s="32">
        <f t="shared" si="49"/>
        <v>4618</v>
      </c>
      <c r="AC133" s="32">
        <f t="shared" si="49"/>
        <v>4519</v>
      </c>
      <c r="AD133" s="32">
        <f t="shared" si="50"/>
        <v>4892</v>
      </c>
      <c r="AE133" s="32">
        <f t="shared" si="49"/>
        <v>5008</v>
      </c>
      <c r="AF133" s="32"/>
      <c r="AG133" s="25">
        <v>17403</v>
      </c>
      <c r="AH133" s="25">
        <v>16682</v>
      </c>
      <c r="AI133" s="25">
        <v>16720</v>
      </c>
      <c r="AJ133" s="25">
        <v>16206</v>
      </c>
      <c r="AK133" s="25">
        <v>17099</v>
      </c>
      <c r="AL133" s="25">
        <v>17624</v>
      </c>
      <c r="AM133" s="25">
        <f t="shared" ref="AM133:AN137" si="51">AM88</f>
        <v>17892</v>
      </c>
      <c r="AN133" s="25">
        <f t="shared" si="51"/>
        <v>18349</v>
      </c>
    </row>
    <row r="134" spans="1:40" ht="14.4" outlineLevel="1" x14ac:dyDescent="0.3">
      <c r="A134" s="35" t="s">
        <v>88</v>
      </c>
      <c r="B134" s="32">
        <f t="shared" si="36"/>
        <v>-195</v>
      </c>
      <c r="C134" s="32">
        <f t="shared" si="37"/>
        <v>-99</v>
      </c>
      <c r="D134" s="32">
        <f t="shared" si="37"/>
        <v>189</v>
      </c>
      <c r="E134" s="32">
        <f t="shared" si="37"/>
        <v>-179</v>
      </c>
      <c r="F134" s="32">
        <f t="shared" si="38"/>
        <v>-1</v>
      </c>
      <c r="G134" s="32">
        <f t="shared" si="39"/>
        <v>-31</v>
      </c>
      <c r="H134" s="32">
        <f t="shared" si="39"/>
        <v>899</v>
      </c>
      <c r="I134" s="32">
        <f t="shared" si="39"/>
        <v>-27</v>
      </c>
      <c r="J134" s="32">
        <f t="shared" si="40"/>
        <v>-253</v>
      </c>
      <c r="K134" s="32">
        <f t="shared" si="41"/>
        <v>-1566</v>
      </c>
      <c r="L134" s="32">
        <f t="shared" si="41"/>
        <v>-109</v>
      </c>
      <c r="M134" s="32">
        <f t="shared" si="41"/>
        <v>-1463</v>
      </c>
      <c r="N134" s="32">
        <f t="shared" si="42"/>
        <v>-210</v>
      </c>
      <c r="O134" s="32">
        <f t="shared" si="43"/>
        <v>89</v>
      </c>
      <c r="P134" s="32">
        <f t="shared" si="43"/>
        <v>600</v>
      </c>
      <c r="Q134" s="32">
        <f t="shared" si="43"/>
        <v>-2525</v>
      </c>
      <c r="R134" s="32">
        <f t="shared" si="44"/>
        <v>54</v>
      </c>
      <c r="S134" s="32">
        <f t="shared" si="45"/>
        <v>54</v>
      </c>
      <c r="T134" s="32">
        <f t="shared" si="45"/>
        <v>53</v>
      </c>
      <c r="U134" s="32">
        <f t="shared" si="45"/>
        <v>1045</v>
      </c>
      <c r="V134" s="32">
        <f t="shared" si="46"/>
        <v>62</v>
      </c>
      <c r="W134" s="32">
        <f t="shared" si="47"/>
        <v>292</v>
      </c>
      <c r="X134" s="32">
        <f t="shared" si="47"/>
        <v>115</v>
      </c>
      <c r="Y134" s="32">
        <f t="shared" si="47"/>
        <v>-521</v>
      </c>
      <c r="Z134" s="32">
        <f t="shared" si="48"/>
        <v>143</v>
      </c>
      <c r="AA134" s="32">
        <f t="shared" si="49"/>
        <v>188</v>
      </c>
      <c r="AB134" s="32">
        <f t="shared" si="49"/>
        <v>113</v>
      </c>
      <c r="AC134" s="32">
        <f t="shared" si="49"/>
        <v>581</v>
      </c>
      <c r="AD134" s="32">
        <f t="shared" si="50"/>
        <v>-117</v>
      </c>
      <c r="AE134" s="32">
        <f t="shared" si="49"/>
        <v>152</v>
      </c>
      <c r="AF134" s="32"/>
      <c r="AG134" s="8">
        <v>-2657</v>
      </c>
      <c r="AH134" s="8">
        <v>-284</v>
      </c>
      <c r="AI134" s="8">
        <v>840</v>
      </c>
      <c r="AJ134" s="8">
        <v>-3391</v>
      </c>
      <c r="AK134" s="8">
        <v>-2046</v>
      </c>
      <c r="AL134" s="8">
        <v>1206</v>
      </c>
      <c r="AM134" s="25">
        <f t="shared" si="51"/>
        <v>-52</v>
      </c>
      <c r="AN134" s="25">
        <f t="shared" si="51"/>
        <v>1025</v>
      </c>
    </row>
    <row r="135" spans="1:40" ht="14.4" outlineLevel="1" x14ac:dyDescent="0.3">
      <c r="A135" s="35" t="s">
        <v>66</v>
      </c>
      <c r="B135" s="32">
        <f t="shared" si="36"/>
        <v>459</v>
      </c>
      <c r="C135" s="32">
        <f t="shared" si="37"/>
        <v>129</v>
      </c>
      <c r="D135" s="32">
        <f t="shared" si="37"/>
        <v>482</v>
      </c>
      <c r="E135" s="32">
        <f t="shared" si="37"/>
        <v>162</v>
      </c>
      <c r="F135" s="32">
        <f t="shared" si="38"/>
        <v>-87</v>
      </c>
      <c r="G135" s="32">
        <f t="shared" si="39"/>
        <v>-33</v>
      </c>
      <c r="H135" s="32">
        <f t="shared" si="39"/>
        <v>650</v>
      </c>
      <c r="I135" s="32">
        <f t="shared" si="39"/>
        <v>1023</v>
      </c>
      <c r="J135" s="32">
        <f t="shared" si="40"/>
        <v>762</v>
      </c>
      <c r="K135" s="32">
        <f t="shared" si="41"/>
        <v>1216</v>
      </c>
      <c r="L135" s="32">
        <f t="shared" si="41"/>
        <v>992</v>
      </c>
      <c r="M135" s="32">
        <f t="shared" si="41"/>
        <v>1294</v>
      </c>
      <c r="N135" s="32">
        <f t="shared" si="42"/>
        <v>627</v>
      </c>
      <c r="O135" s="32">
        <f t="shared" si="43"/>
        <v>887</v>
      </c>
      <c r="P135" s="32">
        <f t="shared" si="43"/>
        <v>81</v>
      </c>
      <c r="Q135" s="32">
        <f t="shared" si="43"/>
        <v>1378</v>
      </c>
      <c r="R135" s="32">
        <f t="shared" si="44"/>
        <v>331</v>
      </c>
      <c r="S135" s="32">
        <f t="shared" si="45"/>
        <v>302</v>
      </c>
      <c r="T135" s="32">
        <f t="shared" si="45"/>
        <v>189</v>
      </c>
      <c r="U135" s="32">
        <f t="shared" si="45"/>
        <v>1566</v>
      </c>
      <c r="V135" s="32">
        <f t="shared" si="46"/>
        <v>141</v>
      </c>
      <c r="W135" s="32">
        <f t="shared" si="47"/>
        <v>141</v>
      </c>
      <c r="X135" s="32">
        <f t="shared" si="47"/>
        <v>-35</v>
      </c>
      <c r="Y135" s="32">
        <f t="shared" si="47"/>
        <v>568</v>
      </c>
      <c r="Z135" s="32">
        <f t="shared" si="48"/>
        <v>132</v>
      </c>
      <c r="AA135" s="32">
        <f t="shared" si="49"/>
        <v>-37</v>
      </c>
      <c r="AB135" s="32">
        <f t="shared" si="49"/>
        <v>1714</v>
      </c>
      <c r="AC135" s="32">
        <f t="shared" si="49"/>
        <v>531</v>
      </c>
      <c r="AD135" s="32">
        <f t="shared" si="50"/>
        <v>703</v>
      </c>
      <c r="AE135" s="32">
        <f t="shared" si="49"/>
        <v>730</v>
      </c>
      <c r="AF135" s="32"/>
      <c r="AG135" s="8">
        <v>389</v>
      </c>
      <c r="AH135" s="8">
        <v>1232</v>
      </c>
      <c r="AI135" s="8">
        <v>1553</v>
      </c>
      <c r="AJ135" s="8">
        <v>4264</v>
      </c>
      <c r="AK135" s="8">
        <v>2973</v>
      </c>
      <c r="AL135" s="8">
        <v>2388</v>
      </c>
      <c r="AM135" s="25">
        <f t="shared" si="51"/>
        <v>815</v>
      </c>
      <c r="AN135" s="25">
        <f t="shared" si="51"/>
        <v>2340</v>
      </c>
    </row>
    <row r="136" spans="1:40" ht="14.4" outlineLevel="1" x14ac:dyDescent="0.3">
      <c r="A136" s="35" t="s">
        <v>89</v>
      </c>
      <c r="B136" s="32">
        <f t="shared" si="36"/>
        <v>319</v>
      </c>
      <c r="C136" s="32">
        <f t="shared" si="37"/>
        <v>419</v>
      </c>
      <c r="D136" s="32">
        <f t="shared" si="37"/>
        <v>393</v>
      </c>
      <c r="E136" s="32">
        <f t="shared" si="37"/>
        <v>457</v>
      </c>
      <c r="F136" s="32">
        <f t="shared" si="38"/>
        <v>553</v>
      </c>
      <c r="G136" s="32">
        <f t="shared" si="39"/>
        <v>278</v>
      </c>
      <c r="H136" s="32">
        <f t="shared" si="39"/>
        <v>269</v>
      </c>
      <c r="I136" s="32">
        <f t="shared" si="39"/>
        <v>280</v>
      </c>
      <c r="J136" s="32">
        <f t="shared" si="40"/>
        <v>224</v>
      </c>
      <c r="K136" s="32">
        <f t="shared" si="41"/>
        <v>185</v>
      </c>
      <c r="L136" s="32">
        <f t="shared" si="41"/>
        <v>195</v>
      </c>
      <c r="M136" s="32">
        <f t="shared" si="41"/>
        <v>185</v>
      </c>
      <c r="N136" s="32">
        <f t="shared" si="42"/>
        <v>328</v>
      </c>
      <c r="O136" s="32">
        <f t="shared" si="43"/>
        <v>337</v>
      </c>
      <c r="P136" s="32">
        <f t="shared" si="43"/>
        <v>383</v>
      </c>
      <c r="Q136" s="32">
        <f t="shared" si="43"/>
        <v>563</v>
      </c>
      <c r="R136" s="32">
        <f t="shared" si="44"/>
        <v>530</v>
      </c>
      <c r="S136" s="32">
        <f t="shared" si="45"/>
        <v>531</v>
      </c>
      <c r="T136" s="32">
        <f t="shared" si="45"/>
        <v>535</v>
      </c>
      <c r="U136" s="32">
        <f t="shared" si="45"/>
        <v>618</v>
      </c>
      <c r="V136" s="32">
        <f t="shared" si="46"/>
        <v>567</v>
      </c>
      <c r="W136" s="32">
        <f t="shared" si="47"/>
        <v>552</v>
      </c>
      <c r="X136" s="32">
        <f t="shared" si="47"/>
        <v>504</v>
      </c>
      <c r="Y136" s="32">
        <f t="shared" si="47"/>
        <v>715</v>
      </c>
      <c r="Z136" s="32">
        <f t="shared" si="48"/>
        <v>587</v>
      </c>
      <c r="AA136" s="32">
        <f t="shared" si="49"/>
        <v>548</v>
      </c>
      <c r="AB136" s="32">
        <f t="shared" si="49"/>
        <v>478</v>
      </c>
      <c r="AC136" s="32">
        <f t="shared" si="49"/>
        <v>736</v>
      </c>
      <c r="AD136" s="32">
        <f t="shared" si="50"/>
        <v>581</v>
      </c>
      <c r="AE136" s="32">
        <f t="shared" si="49"/>
        <v>462</v>
      </c>
      <c r="AF136" s="32"/>
      <c r="AG136" s="25">
        <v>980</v>
      </c>
      <c r="AH136" s="25">
        <v>1588</v>
      </c>
      <c r="AI136" s="25">
        <v>1380</v>
      </c>
      <c r="AJ136" s="25">
        <v>789</v>
      </c>
      <c r="AK136" s="25">
        <v>1611</v>
      </c>
      <c r="AL136" s="25">
        <v>2214</v>
      </c>
      <c r="AM136" s="25">
        <f t="shared" si="51"/>
        <v>2338</v>
      </c>
      <c r="AN136" s="25">
        <f t="shared" si="51"/>
        <v>2349</v>
      </c>
    </row>
    <row r="137" spans="1:40" ht="14.4" outlineLevel="1" x14ac:dyDescent="0.3">
      <c r="A137" s="35" t="s">
        <v>90</v>
      </c>
      <c r="B137" s="32">
        <f t="shared" si="36"/>
        <v>21</v>
      </c>
      <c r="C137" s="32">
        <f t="shared" si="37"/>
        <v>29</v>
      </c>
      <c r="D137" s="32">
        <f t="shared" si="37"/>
        <v>14</v>
      </c>
      <c r="E137" s="32">
        <f t="shared" si="37"/>
        <v>10</v>
      </c>
      <c r="F137" s="32">
        <f t="shared" si="38"/>
        <v>26</v>
      </c>
      <c r="G137" s="32">
        <f t="shared" si="39"/>
        <v>20</v>
      </c>
      <c r="H137" s="32">
        <f t="shared" si="39"/>
        <v>21</v>
      </c>
      <c r="I137" s="32">
        <f t="shared" si="39"/>
        <v>24</v>
      </c>
      <c r="J137" s="32">
        <f t="shared" si="40"/>
        <v>19</v>
      </c>
      <c r="K137" s="32">
        <f t="shared" si="41"/>
        <v>6</v>
      </c>
      <c r="L137" s="32">
        <f t="shared" si="41"/>
        <v>7</v>
      </c>
      <c r="M137" s="32">
        <f t="shared" si="41"/>
        <v>4</v>
      </c>
      <c r="N137" s="32">
        <f t="shared" si="42"/>
        <v>7</v>
      </c>
      <c r="O137" s="32">
        <f t="shared" si="43"/>
        <v>-25</v>
      </c>
      <c r="P137" s="32">
        <f t="shared" si="43"/>
        <v>5</v>
      </c>
      <c r="Q137" s="32">
        <f t="shared" si="43"/>
        <v>3</v>
      </c>
      <c r="R137" s="32">
        <f t="shared" si="44"/>
        <v>10</v>
      </c>
      <c r="S137" s="32">
        <f t="shared" si="45"/>
        <v>39</v>
      </c>
      <c r="T137" s="32">
        <f t="shared" si="45"/>
        <v>20</v>
      </c>
      <c r="U137" s="32">
        <f t="shared" si="45"/>
        <v>15</v>
      </c>
      <c r="V137" s="32">
        <f t="shared" si="46"/>
        <v>14</v>
      </c>
      <c r="W137" s="32">
        <f t="shared" si="47"/>
        <v>19</v>
      </c>
      <c r="X137" s="32">
        <f t="shared" si="47"/>
        <v>29</v>
      </c>
      <c r="Y137" s="32">
        <f t="shared" si="47"/>
        <v>13</v>
      </c>
      <c r="Z137" s="32">
        <f t="shared" si="48"/>
        <v>20</v>
      </c>
      <c r="AA137" s="32">
        <f t="shared" si="49"/>
        <v>9</v>
      </c>
      <c r="AB137" s="32">
        <f t="shared" si="49"/>
        <v>12</v>
      </c>
      <c r="AC137" s="32">
        <f t="shared" si="49"/>
        <v>1</v>
      </c>
      <c r="AD137" s="32">
        <f t="shared" si="50"/>
        <v>3</v>
      </c>
      <c r="AE137" s="32">
        <f t="shared" si="49"/>
        <v>-38</v>
      </c>
      <c r="AF137" s="32"/>
      <c r="AG137" s="8">
        <v>231</v>
      </c>
      <c r="AH137" s="8">
        <v>74</v>
      </c>
      <c r="AI137" s="8">
        <v>91</v>
      </c>
      <c r="AJ137" s="8">
        <v>36</v>
      </c>
      <c r="AK137" s="8">
        <v>-10</v>
      </c>
      <c r="AL137" s="8">
        <v>84</v>
      </c>
      <c r="AM137" s="25">
        <f t="shared" si="51"/>
        <v>75</v>
      </c>
      <c r="AN137" s="25">
        <f t="shared" si="51"/>
        <v>42</v>
      </c>
    </row>
    <row r="138" spans="1:40" ht="14.4" outlineLevel="1" x14ac:dyDescent="0.3">
      <c r="A138" s="35" t="s">
        <v>91</v>
      </c>
      <c r="B138" s="32">
        <f t="shared" si="36"/>
        <v>0</v>
      </c>
      <c r="C138" s="32">
        <f t="shared" si="37"/>
        <v>0</v>
      </c>
      <c r="D138" s="32">
        <f t="shared" si="37"/>
        <v>0</v>
      </c>
      <c r="E138" s="32">
        <f t="shared" si="37"/>
        <v>94</v>
      </c>
      <c r="F138" s="32">
        <f t="shared" si="38"/>
        <v>0</v>
      </c>
      <c r="G138" s="32">
        <f t="shared" si="39"/>
        <v>0</v>
      </c>
      <c r="H138" s="32">
        <f t="shared" si="39"/>
        <v>0</v>
      </c>
      <c r="I138" s="32">
        <f t="shared" si="39"/>
        <v>0</v>
      </c>
      <c r="J138" s="32">
        <f t="shared" si="40"/>
        <v>0</v>
      </c>
      <c r="K138" s="32">
        <f t="shared" si="41"/>
        <v>0</v>
      </c>
      <c r="L138" s="32">
        <f t="shared" si="41"/>
        <v>0</v>
      </c>
      <c r="M138" s="32">
        <f t="shared" si="41"/>
        <v>0</v>
      </c>
      <c r="N138" s="32">
        <f t="shared" si="42"/>
        <v>0</v>
      </c>
      <c r="O138" s="32">
        <f t="shared" si="43"/>
        <v>0</v>
      </c>
      <c r="P138" s="32">
        <f t="shared" si="43"/>
        <v>0</v>
      </c>
      <c r="Q138" s="32">
        <f t="shared" si="43"/>
        <v>0</v>
      </c>
      <c r="R138" s="32">
        <f t="shared" si="44"/>
        <v>0</v>
      </c>
      <c r="S138" s="32">
        <f t="shared" si="45"/>
        <v>0</v>
      </c>
      <c r="T138" s="32">
        <f t="shared" si="45"/>
        <v>0</v>
      </c>
      <c r="U138" s="32">
        <f t="shared" si="45"/>
        <v>0</v>
      </c>
      <c r="V138" s="32">
        <f t="shared" si="46"/>
        <v>0</v>
      </c>
      <c r="W138" s="32">
        <f t="shared" si="47"/>
        <v>0</v>
      </c>
      <c r="X138" s="32">
        <f t="shared" si="47"/>
        <v>0</v>
      </c>
      <c r="Y138" s="32">
        <f t="shared" si="47"/>
        <v>0</v>
      </c>
      <c r="Z138" s="32">
        <f t="shared" si="48"/>
        <v>0</v>
      </c>
      <c r="AA138" s="32">
        <f t="shared" si="49"/>
        <v>0</v>
      </c>
      <c r="AB138" s="32">
        <f t="shared" si="49"/>
        <v>0</v>
      </c>
      <c r="AC138" s="32">
        <f t="shared" si="49"/>
        <v>0</v>
      </c>
      <c r="AD138" s="32">
        <f t="shared" si="50"/>
        <v>0</v>
      </c>
      <c r="AE138" s="32">
        <f t="shared" si="49"/>
        <v>0</v>
      </c>
      <c r="AF138" s="32"/>
      <c r="AG138" s="8"/>
      <c r="AH138" s="8"/>
      <c r="AI138" s="8"/>
      <c r="AJ138" s="8"/>
      <c r="AK138" s="8"/>
      <c r="AL138" s="8"/>
      <c r="AM138" s="8"/>
      <c r="AN138" s="8"/>
    </row>
    <row r="139" spans="1:40" ht="14.4" outlineLevel="1" x14ac:dyDescent="0.3">
      <c r="A139" s="35" t="s">
        <v>92</v>
      </c>
      <c r="B139" s="32">
        <f t="shared" si="36"/>
        <v>0</v>
      </c>
      <c r="C139" s="32">
        <f t="shared" si="37"/>
        <v>0</v>
      </c>
      <c r="D139" s="32">
        <f t="shared" si="37"/>
        <v>0</v>
      </c>
      <c r="E139" s="32">
        <f t="shared" si="37"/>
        <v>186</v>
      </c>
      <c r="F139" s="32">
        <f t="shared" si="38"/>
        <v>0</v>
      </c>
      <c r="G139" s="32">
        <f t="shared" si="39"/>
        <v>0</v>
      </c>
      <c r="H139" s="32">
        <f t="shared" si="39"/>
        <v>0</v>
      </c>
      <c r="I139" s="32">
        <f t="shared" si="39"/>
        <v>0</v>
      </c>
      <c r="J139" s="32">
        <f t="shared" si="40"/>
        <v>0</v>
      </c>
      <c r="K139" s="32">
        <f t="shared" si="41"/>
        <v>0</v>
      </c>
      <c r="L139" s="32">
        <f t="shared" si="41"/>
        <v>0</v>
      </c>
      <c r="M139" s="32">
        <f t="shared" si="41"/>
        <v>0</v>
      </c>
      <c r="N139" s="32">
        <f t="shared" si="42"/>
        <v>0</v>
      </c>
      <c r="O139" s="32">
        <f t="shared" si="43"/>
        <v>0</v>
      </c>
      <c r="P139" s="32">
        <f t="shared" si="43"/>
        <v>0</v>
      </c>
      <c r="Q139" s="32">
        <f t="shared" si="43"/>
        <v>0</v>
      </c>
      <c r="R139" s="32">
        <f t="shared" si="44"/>
        <v>0</v>
      </c>
      <c r="S139" s="32">
        <f t="shared" si="45"/>
        <v>0</v>
      </c>
      <c r="T139" s="32">
        <f t="shared" si="45"/>
        <v>0</v>
      </c>
      <c r="U139" s="32">
        <f t="shared" si="45"/>
        <v>5841</v>
      </c>
      <c r="V139" s="32">
        <f t="shared" si="46"/>
        <v>0</v>
      </c>
      <c r="W139" s="32">
        <f t="shared" si="47"/>
        <v>0</v>
      </c>
      <c r="X139" s="32">
        <f t="shared" si="47"/>
        <v>0</v>
      </c>
      <c r="Y139" s="32">
        <f t="shared" si="47"/>
        <v>0</v>
      </c>
      <c r="Z139" s="32">
        <f t="shared" si="48"/>
        <v>0</v>
      </c>
      <c r="AA139" s="32">
        <f t="shared" si="49"/>
        <v>0</v>
      </c>
      <c r="AB139" s="32">
        <f t="shared" si="49"/>
        <v>0</v>
      </c>
      <c r="AC139" s="32">
        <f t="shared" si="49"/>
        <v>0</v>
      </c>
      <c r="AD139" s="32">
        <f t="shared" si="50"/>
        <v>0</v>
      </c>
      <c r="AE139" s="32">
        <f t="shared" si="49"/>
        <v>0</v>
      </c>
      <c r="AF139" s="32"/>
      <c r="AL139" s="25">
        <v>5841</v>
      </c>
      <c r="AM139" s="25">
        <f>AM94</f>
        <v>0</v>
      </c>
      <c r="AN139" s="25">
        <f>AN94</f>
        <v>0</v>
      </c>
    </row>
    <row r="140" spans="1:40" ht="14.4" outlineLevel="1" x14ac:dyDescent="0.3">
      <c r="A140" s="35" t="s">
        <v>20</v>
      </c>
      <c r="B140" s="32">
        <f t="shared" si="36"/>
        <v>0</v>
      </c>
      <c r="C140" s="32">
        <f t="shared" si="37"/>
        <v>0</v>
      </c>
      <c r="D140" s="32">
        <f t="shared" si="37"/>
        <v>94</v>
      </c>
      <c r="E140" s="32">
        <f t="shared" si="37"/>
        <v>-94</v>
      </c>
      <c r="F140" s="32">
        <f t="shared" si="38"/>
        <v>0</v>
      </c>
      <c r="G140" s="32">
        <f t="shared" si="39"/>
        <v>0</v>
      </c>
      <c r="H140" s="32">
        <f t="shared" si="39"/>
        <v>0</v>
      </c>
      <c r="I140" s="32">
        <f t="shared" si="39"/>
        <v>0</v>
      </c>
      <c r="J140" s="32">
        <f t="shared" si="40"/>
        <v>0</v>
      </c>
      <c r="K140" s="32">
        <f t="shared" si="41"/>
        <v>0</v>
      </c>
      <c r="L140" s="32">
        <f t="shared" si="41"/>
        <v>0</v>
      </c>
      <c r="M140" s="32">
        <f t="shared" si="41"/>
        <v>0</v>
      </c>
      <c r="N140" s="32">
        <f t="shared" si="42"/>
        <v>0</v>
      </c>
      <c r="O140" s="32">
        <f t="shared" si="43"/>
        <v>0</v>
      </c>
      <c r="P140" s="32">
        <f t="shared" si="43"/>
        <v>0</v>
      </c>
      <c r="Q140" s="32">
        <f t="shared" si="43"/>
        <v>0</v>
      </c>
      <c r="R140" s="32">
        <f t="shared" si="44"/>
        <v>0</v>
      </c>
      <c r="S140" s="32">
        <f t="shared" si="45"/>
        <v>0</v>
      </c>
      <c r="T140" s="32">
        <f t="shared" si="45"/>
        <v>0</v>
      </c>
      <c r="U140" s="32">
        <f t="shared" si="45"/>
        <v>0</v>
      </c>
      <c r="V140" s="32">
        <f t="shared" si="46"/>
        <v>0</v>
      </c>
      <c r="W140" s="32">
        <f t="shared" si="47"/>
        <v>0</v>
      </c>
      <c r="X140" s="32">
        <f t="shared" si="47"/>
        <v>0</v>
      </c>
      <c r="Y140" s="32">
        <f t="shared" si="47"/>
        <v>0</v>
      </c>
      <c r="Z140" s="32">
        <f t="shared" si="48"/>
        <v>0</v>
      </c>
      <c r="AA140" s="32">
        <f t="shared" si="49"/>
        <v>0</v>
      </c>
      <c r="AB140" s="32">
        <f t="shared" si="49"/>
        <v>0</v>
      </c>
      <c r="AC140" s="32">
        <f t="shared" si="49"/>
        <v>0</v>
      </c>
      <c r="AD140" s="32">
        <f t="shared" si="50"/>
        <v>0</v>
      </c>
      <c r="AE140" s="32">
        <f t="shared" si="49"/>
        <v>0</v>
      </c>
      <c r="AF140" s="32"/>
      <c r="AG140" s="25">
        <v>4591</v>
      </c>
      <c r="AH140" s="25">
        <v>186</v>
      </c>
      <c r="AI140" s="25">
        <v>0</v>
      </c>
      <c r="AJ140" s="25">
        <v>0</v>
      </c>
      <c r="AK140" s="25"/>
      <c r="AL140" s="8"/>
      <c r="AM140" s="8"/>
      <c r="AN140" s="8"/>
    </row>
    <row r="141" spans="1:40" ht="14.4" outlineLevel="1" x14ac:dyDescent="0.3">
      <c r="A141" s="37" t="s">
        <v>93</v>
      </c>
      <c r="B141" s="32">
        <f t="shared" si="36"/>
        <v>-2702</v>
      </c>
      <c r="C141" s="32">
        <f t="shared" si="37"/>
        <v>-1891</v>
      </c>
      <c r="D141" s="32">
        <f t="shared" si="37"/>
        <v>691</v>
      </c>
      <c r="E141" s="32">
        <f t="shared" si="37"/>
        <v>3902</v>
      </c>
      <c r="F141" s="32">
        <f t="shared" si="38"/>
        <v>-1208</v>
      </c>
      <c r="G141" s="32">
        <f t="shared" si="39"/>
        <v>4505</v>
      </c>
      <c r="H141" s="32">
        <f t="shared" si="39"/>
        <v>-1952</v>
      </c>
      <c r="I141" s="32">
        <f t="shared" si="39"/>
        <v>-1345</v>
      </c>
      <c r="J141" s="32">
        <f t="shared" si="40"/>
        <v>-41</v>
      </c>
      <c r="K141" s="32">
        <f t="shared" si="41"/>
        <v>123</v>
      </c>
      <c r="L141" s="32">
        <f t="shared" si="41"/>
        <v>521</v>
      </c>
      <c r="M141" s="32">
        <f t="shared" si="41"/>
        <v>-603</v>
      </c>
      <c r="N141" s="32">
        <f t="shared" si="42"/>
        <v>-3492</v>
      </c>
      <c r="O141" s="32">
        <f t="shared" si="43"/>
        <v>1533</v>
      </c>
      <c r="P141" s="32">
        <f t="shared" si="43"/>
        <v>1501</v>
      </c>
      <c r="Q141" s="32">
        <f t="shared" si="43"/>
        <v>458</v>
      </c>
      <c r="R141" s="32">
        <f t="shared" si="44"/>
        <v>-774</v>
      </c>
      <c r="S141" s="32">
        <f t="shared" si="45"/>
        <v>154</v>
      </c>
      <c r="T141" s="32">
        <f t="shared" si="45"/>
        <v>1592</v>
      </c>
      <c r="U141" s="32">
        <f t="shared" si="45"/>
        <v>-972</v>
      </c>
      <c r="V141" s="32">
        <f t="shared" si="46"/>
        <v>-2531</v>
      </c>
      <c r="W141" s="32">
        <f t="shared" si="47"/>
        <v>-1041</v>
      </c>
      <c r="X141" s="32">
        <f t="shared" si="47"/>
        <v>963</v>
      </c>
      <c r="Y141" s="32">
        <f t="shared" si="47"/>
        <v>331</v>
      </c>
      <c r="Z141" s="32">
        <f t="shared" si="48"/>
        <v>-2618</v>
      </c>
      <c r="AA141" s="32">
        <f t="shared" si="49"/>
        <v>-700</v>
      </c>
      <c r="AB141" s="32">
        <f t="shared" si="49"/>
        <v>-736</v>
      </c>
      <c r="AC141" s="32">
        <f t="shared" si="49"/>
        <v>1734</v>
      </c>
      <c r="AD141" s="32">
        <f t="shared" si="50"/>
        <v>-3082</v>
      </c>
      <c r="AE141" s="32">
        <f t="shared" si="49"/>
        <v>-336</v>
      </c>
      <c r="AF141" s="32"/>
    </row>
    <row r="142" spans="1:40" ht="14.4" outlineLevel="1" x14ac:dyDescent="0.3">
      <c r="A142" s="35" t="s">
        <v>38</v>
      </c>
      <c r="B142" s="32">
        <f t="shared" si="36"/>
        <v>0</v>
      </c>
      <c r="C142" s="32">
        <f t="shared" si="37"/>
        <v>0</v>
      </c>
      <c r="D142" s="32">
        <f t="shared" si="37"/>
        <v>0</v>
      </c>
      <c r="E142" s="32"/>
      <c r="F142" s="32">
        <f t="shared" si="38"/>
        <v>0</v>
      </c>
      <c r="G142" s="32">
        <f t="shared" si="39"/>
        <v>0</v>
      </c>
      <c r="H142" s="32">
        <f t="shared" si="39"/>
        <v>0</v>
      </c>
      <c r="I142" s="32"/>
      <c r="J142" s="32">
        <f t="shared" si="40"/>
        <v>0</v>
      </c>
      <c r="K142" s="32">
        <f t="shared" si="41"/>
        <v>0</v>
      </c>
      <c r="L142" s="32">
        <f t="shared" si="41"/>
        <v>0</v>
      </c>
      <c r="M142" s="32"/>
      <c r="N142" s="32">
        <f t="shared" si="42"/>
        <v>0</v>
      </c>
      <c r="O142" s="32">
        <f t="shared" si="43"/>
        <v>0</v>
      </c>
      <c r="P142" s="32">
        <f t="shared" si="43"/>
        <v>0</v>
      </c>
      <c r="Q142" s="32"/>
      <c r="R142" s="32">
        <f t="shared" si="44"/>
        <v>0</v>
      </c>
      <c r="S142" s="32">
        <f t="shared" si="45"/>
        <v>0</v>
      </c>
      <c r="T142" s="32">
        <f t="shared" si="45"/>
        <v>0</v>
      </c>
      <c r="U142" s="32"/>
      <c r="V142" s="32">
        <f t="shared" si="46"/>
        <v>0</v>
      </c>
      <c r="W142" s="32">
        <f t="shared" si="47"/>
        <v>0</v>
      </c>
      <c r="X142" s="32">
        <f t="shared" si="47"/>
        <v>0</v>
      </c>
      <c r="Y142" s="32">
        <f t="shared" si="47"/>
        <v>0</v>
      </c>
      <c r="Z142" s="32">
        <f t="shared" si="48"/>
        <v>0</v>
      </c>
      <c r="AA142" s="32">
        <f t="shared" si="49"/>
        <v>0</v>
      </c>
      <c r="AB142" s="32">
        <f t="shared" si="49"/>
        <v>0</v>
      </c>
      <c r="AC142" s="32">
        <f t="shared" si="49"/>
        <v>0</v>
      </c>
      <c r="AD142" s="32">
        <f t="shared" si="50"/>
        <v>0</v>
      </c>
      <c r="AE142" s="32">
        <f t="shared" si="49"/>
        <v>0</v>
      </c>
      <c r="AF142" s="32"/>
      <c r="AG142" s="25">
        <v>-2667</v>
      </c>
      <c r="AH142" s="25">
        <v>-1471</v>
      </c>
      <c r="AI142" s="25">
        <v>189</v>
      </c>
      <c r="AJ142" s="25">
        <v>-1592</v>
      </c>
      <c r="AK142" s="25">
        <v>-1978</v>
      </c>
      <c r="AL142" s="25">
        <v>-2198</v>
      </c>
      <c r="AM142" s="25">
        <f t="shared" ref="AM142:AN145" si="52">AM96</f>
        <v>-2278</v>
      </c>
      <c r="AN142" s="25">
        <f t="shared" si="52"/>
        <v>-2320</v>
      </c>
    </row>
    <row r="143" spans="1:40" ht="14.4" outlineLevel="1" x14ac:dyDescent="0.3">
      <c r="A143" s="35" t="s">
        <v>43</v>
      </c>
      <c r="B143" s="32">
        <f t="shared" si="36"/>
        <v>0</v>
      </c>
      <c r="C143" s="32">
        <f t="shared" si="37"/>
        <v>0</v>
      </c>
      <c r="D143" s="32">
        <f t="shared" si="37"/>
        <v>0</v>
      </c>
      <c r="E143" s="32"/>
      <c r="F143" s="32">
        <f t="shared" si="38"/>
        <v>0</v>
      </c>
      <c r="G143" s="32">
        <f t="shared" si="39"/>
        <v>0</v>
      </c>
      <c r="H143" s="32">
        <f t="shared" si="39"/>
        <v>0</v>
      </c>
      <c r="I143" s="32"/>
      <c r="J143" s="32">
        <f t="shared" si="40"/>
        <v>0</v>
      </c>
      <c r="K143" s="32">
        <f t="shared" si="41"/>
        <v>0</v>
      </c>
      <c r="L143" s="32">
        <f t="shared" si="41"/>
        <v>0</v>
      </c>
      <c r="M143" s="32"/>
      <c r="N143" s="32">
        <f t="shared" si="42"/>
        <v>0</v>
      </c>
      <c r="O143" s="32">
        <f t="shared" si="43"/>
        <v>0</v>
      </c>
      <c r="P143" s="32">
        <f t="shared" si="43"/>
        <v>0</v>
      </c>
      <c r="Q143" s="32"/>
      <c r="R143" s="32">
        <f t="shared" si="44"/>
        <v>0</v>
      </c>
      <c r="S143" s="32">
        <f t="shared" si="45"/>
        <v>0</v>
      </c>
      <c r="T143" s="32">
        <f t="shared" si="45"/>
        <v>0</v>
      </c>
      <c r="U143" s="32"/>
      <c r="V143" s="32">
        <f t="shared" si="46"/>
        <v>0</v>
      </c>
      <c r="W143" s="32">
        <f t="shared" si="47"/>
        <v>0</v>
      </c>
      <c r="X143" s="32">
        <f t="shared" si="47"/>
        <v>0</v>
      </c>
      <c r="Y143" s="32">
        <f t="shared" si="47"/>
        <v>0</v>
      </c>
      <c r="Z143" s="32">
        <f t="shared" si="48"/>
        <v>0</v>
      </c>
      <c r="AA143" s="32">
        <f t="shared" si="49"/>
        <v>0</v>
      </c>
      <c r="AB143" s="32">
        <f t="shared" si="49"/>
        <v>0</v>
      </c>
      <c r="AC143" s="32">
        <f t="shared" si="49"/>
        <v>0</v>
      </c>
      <c r="AD143" s="32">
        <f t="shared" si="50"/>
        <v>0</v>
      </c>
      <c r="AE143" s="32">
        <f t="shared" si="49"/>
        <v>0</v>
      </c>
      <c r="AF143" s="32"/>
      <c r="AG143" s="8">
        <v>-324</v>
      </c>
      <c r="AH143" s="8">
        <v>-76</v>
      </c>
      <c r="AI143" s="8">
        <v>-369</v>
      </c>
      <c r="AJ143" s="8">
        <v>-905</v>
      </c>
      <c r="AK143" s="8">
        <v>627</v>
      </c>
      <c r="AL143" s="8">
        <v>287</v>
      </c>
      <c r="AM143" s="25">
        <f t="shared" si="52"/>
        <v>0</v>
      </c>
      <c r="AN143" s="25">
        <f t="shared" si="52"/>
        <v>0</v>
      </c>
    </row>
    <row r="144" spans="1:40" ht="14.4" outlineLevel="1" x14ac:dyDescent="0.3">
      <c r="A144" s="35" t="s">
        <v>44</v>
      </c>
      <c r="B144" s="32">
        <f t="shared" si="36"/>
        <v>0</v>
      </c>
      <c r="C144" s="32">
        <f t="shared" si="37"/>
        <v>0</v>
      </c>
      <c r="D144" s="32">
        <f t="shared" si="37"/>
        <v>0</v>
      </c>
      <c r="E144" s="32"/>
      <c r="F144" s="32">
        <f t="shared" si="38"/>
        <v>0</v>
      </c>
      <c r="G144" s="32">
        <f t="shared" si="39"/>
        <v>0</v>
      </c>
      <c r="H144" s="32">
        <f t="shared" si="39"/>
        <v>0</v>
      </c>
      <c r="I144" s="32"/>
      <c r="J144" s="32">
        <f t="shared" si="40"/>
        <v>0</v>
      </c>
      <c r="K144" s="32">
        <f t="shared" si="41"/>
        <v>0</v>
      </c>
      <c r="L144" s="32">
        <f t="shared" si="41"/>
        <v>0</v>
      </c>
      <c r="M144" s="32"/>
      <c r="N144" s="32">
        <f t="shared" si="42"/>
        <v>0</v>
      </c>
      <c r="O144" s="32">
        <f t="shared" si="43"/>
        <v>0</v>
      </c>
      <c r="P144" s="32">
        <f t="shared" si="43"/>
        <v>0</v>
      </c>
      <c r="Q144" s="32"/>
      <c r="R144" s="32">
        <f t="shared" si="44"/>
        <v>0</v>
      </c>
      <c r="S144" s="32">
        <f t="shared" si="45"/>
        <v>0</v>
      </c>
      <c r="T144" s="32">
        <f t="shared" si="45"/>
        <v>0</v>
      </c>
      <c r="U144" s="32"/>
      <c r="V144" s="32">
        <f t="shared" si="46"/>
        <v>0</v>
      </c>
      <c r="W144" s="32">
        <f t="shared" si="47"/>
        <v>0</v>
      </c>
      <c r="X144" s="32">
        <f t="shared" si="47"/>
        <v>0</v>
      </c>
      <c r="Y144" s="32">
        <f t="shared" si="47"/>
        <v>0</v>
      </c>
      <c r="Z144" s="32">
        <f t="shared" si="48"/>
        <v>0</v>
      </c>
      <c r="AA144" s="32">
        <f t="shared" si="49"/>
        <v>0</v>
      </c>
      <c r="AB144" s="32">
        <f t="shared" si="49"/>
        <v>0</v>
      </c>
      <c r="AC144" s="32">
        <f t="shared" si="49"/>
        <v>0</v>
      </c>
      <c r="AD144" s="32">
        <f t="shared" si="50"/>
        <v>0</v>
      </c>
      <c r="AE144" s="32">
        <f t="shared" si="49"/>
        <v>0</v>
      </c>
      <c r="AF144" s="32"/>
      <c r="AG144" s="8">
        <v>37</v>
      </c>
      <c r="AH144" s="8">
        <v>-2807</v>
      </c>
      <c r="AI144" s="8">
        <v>1202</v>
      </c>
      <c r="AJ144" s="8">
        <v>150</v>
      </c>
      <c r="AK144" s="8">
        <v>928</v>
      </c>
      <c r="AL144" s="8">
        <v>-435</v>
      </c>
      <c r="AM144" s="25">
        <f t="shared" si="52"/>
        <v>0</v>
      </c>
      <c r="AN144" s="25">
        <f t="shared" si="52"/>
        <v>0</v>
      </c>
    </row>
    <row r="145" spans="1:40" ht="14.4" outlineLevel="1" x14ac:dyDescent="0.3">
      <c r="A145" s="35" t="s">
        <v>94</v>
      </c>
      <c r="B145" s="32">
        <f t="shared" si="36"/>
        <v>0</v>
      </c>
      <c r="C145" s="32">
        <f t="shared" si="37"/>
        <v>0</v>
      </c>
      <c r="D145" s="32">
        <f t="shared" si="37"/>
        <v>0</v>
      </c>
      <c r="E145" s="32"/>
      <c r="F145" s="32">
        <f t="shared" si="38"/>
        <v>0</v>
      </c>
      <c r="G145" s="32">
        <f t="shared" si="39"/>
        <v>0</v>
      </c>
      <c r="H145" s="32">
        <f t="shared" si="39"/>
        <v>0</v>
      </c>
      <c r="I145" s="32"/>
      <c r="J145" s="32">
        <f t="shared" si="40"/>
        <v>0</v>
      </c>
      <c r="K145" s="32">
        <f t="shared" si="41"/>
        <v>0</v>
      </c>
      <c r="L145" s="32">
        <f t="shared" si="41"/>
        <v>0</v>
      </c>
      <c r="M145" s="32"/>
      <c r="N145" s="32">
        <f t="shared" si="42"/>
        <v>0</v>
      </c>
      <c r="O145" s="32">
        <f t="shared" si="43"/>
        <v>0</v>
      </c>
      <c r="P145" s="32">
        <f t="shared" si="43"/>
        <v>0</v>
      </c>
      <c r="Q145" s="32"/>
      <c r="R145" s="32">
        <f t="shared" si="44"/>
        <v>0</v>
      </c>
      <c r="S145" s="32">
        <f t="shared" si="45"/>
        <v>0</v>
      </c>
      <c r="T145" s="32">
        <f t="shared" si="45"/>
        <v>0</v>
      </c>
      <c r="U145" s="32"/>
      <c r="V145" s="32">
        <f t="shared" si="46"/>
        <v>0</v>
      </c>
      <c r="W145" s="32">
        <f t="shared" si="47"/>
        <v>0</v>
      </c>
      <c r="X145" s="32">
        <f t="shared" si="47"/>
        <v>0</v>
      </c>
      <c r="Y145" s="32">
        <f t="shared" si="47"/>
        <v>0</v>
      </c>
      <c r="Z145" s="32">
        <f t="shared" si="48"/>
        <v>0</v>
      </c>
      <c r="AA145" s="32">
        <f t="shared" si="49"/>
        <v>0</v>
      </c>
      <c r="AB145" s="32">
        <f t="shared" si="49"/>
        <v>0</v>
      </c>
      <c r="AC145" s="32">
        <f t="shared" si="49"/>
        <v>0</v>
      </c>
      <c r="AD145" s="32">
        <f t="shared" si="50"/>
        <v>0</v>
      </c>
      <c r="AE145" s="32">
        <f t="shared" si="49"/>
        <v>0</v>
      </c>
      <c r="AF145" s="32"/>
      <c r="AG145" s="25">
        <v>1777</v>
      </c>
      <c r="AH145" s="25">
        <v>-2359</v>
      </c>
      <c r="AI145" s="25">
        <v>-966</v>
      </c>
      <c r="AJ145" s="25">
        <v>1457</v>
      </c>
      <c r="AK145" s="25">
        <v>-33</v>
      </c>
      <c r="AL145" s="25">
        <v>2079</v>
      </c>
      <c r="AM145" s="25">
        <f t="shared" si="52"/>
        <v>0</v>
      </c>
      <c r="AN145" s="25">
        <f t="shared" si="52"/>
        <v>0</v>
      </c>
    </row>
    <row r="146" spans="1:40" ht="14.4" outlineLevel="1" x14ac:dyDescent="0.3">
      <c r="A146" s="35" t="s">
        <v>95</v>
      </c>
      <c r="B146" s="32">
        <f t="shared" si="36"/>
        <v>-300</v>
      </c>
      <c r="C146" s="32">
        <f t="shared" si="37"/>
        <v>0</v>
      </c>
      <c r="D146" s="32">
        <f t="shared" si="37"/>
        <v>0</v>
      </c>
      <c r="E146" s="32"/>
      <c r="F146" s="32">
        <f t="shared" si="38"/>
        <v>0</v>
      </c>
      <c r="G146" s="32">
        <f t="shared" si="39"/>
        <v>0</v>
      </c>
      <c r="H146" s="32">
        <f t="shared" si="39"/>
        <v>0</v>
      </c>
      <c r="I146" s="32"/>
      <c r="J146" s="32">
        <f t="shared" si="40"/>
        <v>0</v>
      </c>
      <c r="K146" s="32">
        <f t="shared" si="41"/>
        <v>0</v>
      </c>
      <c r="L146" s="32">
        <f t="shared" si="41"/>
        <v>0</v>
      </c>
      <c r="M146" s="32"/>
      <c r="N146" s="32">
        <f t="shared" si="42"/>
        <v>0</v>
      </c>
      <c r="O146" s="32">
        <f t="shared" si="43"/>
        <v>0</v>
      </c>
      <c r="P146" s="32">
        <f t="shared" si="43"/>
        <v>0</v>
      </c>
      <c r="Q146" s="32"/>
      <c r="R146" s="32">
        <f t="shared" si="44"/>
        <v>0</v>
      </c>
      <c r="S146" s="32">
        <f t="shared" si="45"/>
        <v>0</v>
      </c>
      <c r="T146" s="32">
        <f t="shared" si="45"/>
        <v>0</v>
      </c>
      <c r="U146" s="32"/>
      <c r="V146" s="32">
        <f t="shared" si="46"/>
        <v>0</v>
      </c>
      <c r="W146" s="32">
        <f t="shared" si="47"/>
        <v>0</v>
      </c>
      <c r="X146" s="32">
        <f t="shared" si="47"/>
        <v>0</v>
      </c>
      <c r="Y146" s="32">
        <f t="shared" si="47"/>
        <v>0</v>
      </c>
      <c r="Z146" s="32">
        <f t="shared" si="48"/>
        <v>0</v>
      </c>
      <c r="AA146" s="32">
        <f t="shared" si="49"/>
        <v>0</v>
      </c>
      <c r="AB146" s="32">
        <f t="shared" si="49"/>
        <v>0</v>
      </c>
      <c r="AC146" s="32">
        <f t="shared" si="49"/>
        <v>0</v>
      </c>
      <c r="AD146" s="32">
        <f t="shared" si="50"/>
        <v>0</v>
      </c>
      <c r="AE146" s="32">
        <f t="shared" si="49"/>
        <v>0</v>
      </c>
      <c r="AF146" s="32"/>
      <c r="AG146" s="8">
        <v>-1679</v>
      </c>
      <c r="AH146" s="8">
        <v>-300</v>
      </c>
      <c r="AI146" s="8">
        <v>0</v>
      </c>
      <c r="AJ146" s="8">
        <v>0</v>
      </c>
      <c r="AK146" s="8"/>
      <c r="AL146" s="8"/>
      <c r="AM146" s="8"/>
      <c r="AN146" s="8"/>
    </row>
    <row r="147" spans="1:40" ht="14.4" outlineLevel="1" x14ac:dyDescent="0.3">
      <c r="A147" s="35" t="s">
        <v>96</v>
      </c>
      <c r="B147" s="32">
        <f t="shared" si="36"/>
        <v>88</v>
      </c>
      <c r="C147" s="32">
        <f t="shared" ref="C147:D148" si="53">C102-B102</f>
        <v>1862</v>
      </c>
      <c r="D147" s="32">
        <f t="shared" si="53"/>
        <v>-402</v>
      </c>
      <c r="E147" s="32"/>
      <c r="F147" s="32">
        <f t="shared" si="38"/>
        <v>1104</v>
      </c>
      <c r="G147" s="32">
        <f t="shared" ref="G147:H148" si="54">G102-F102</f>
        <v>969</v>
      </c>
      <c r="H147" s="32">
        <f t="shared" si="54"/>
        <v>337</v>
      </c>
      <c r="I147" s="32"/>
      <c r="J147" s="32">
        <f t="shared" si="40"/>
        <v>-569</v>
      </c>
      <c r="K147" s="32">
        <f t="shared" ref="K147:L148" si="55">K102-J102</f>
        <v>811</v>
      </c>
      <c r="L147" s="32">
        <f t="shared" si="55"/>
        <v>-1397</v>
      </c>
      <c r="M147" s="32"/>
      <c r="N147" s="32">
        <f t="shared" si="42"/>
        <v>614</v>
      </c>
      <c r="O147" s="32">
        <f t="shared" ref="O147:P148" si="56">O102-N102</f>
        <v>-1613</v>
      </c>
      <c r="P147" s="32">
        <f t="shared" si="56"/>
        <v>-1384</v>
      </c>
      <c r="Q147" s="32"/>
      <c r="R147" s="32">
        <f t="shared" si="44"/>
        <v>-1198</v>
      </c>
      <c r="S147" s="32">
        <f t="shared" ref="S147:T148" si="57">S102-R102</f>
        <v>-474</v>
      </c>
      <c r="T147" s="32">
        <f t="shared" si="57"/>
        <v>-926</v>
      </c>
      <c r="U147" s="32"/>
      <c r="V147" s="32">
        <f t="shared" si="46"/>
        <v>-336</v>
      </c>
      <c r="W147" s="32">
        <f t="shared" ref="W147:Y148" si="58">W102-V102</f>
        <v>337</v>
      </c>
      <c r="X147" s="32">
        <f t="shared" si="58"/>
        <v>466</v>
      </c>
      <c r="Y147" s="32">
        <f t="shared" si="58"/>
        <v>-294</v>
      </c>
      <c r="Z147" s="32">
        <f t="shared" si="48"/>
        <v>-42</v>
      </c>
      <c r="AA147" s="32">
        <f t="shared" ref="AA147:AE148" si="59">AA102-Z102</f>
        <v>-789</v>
      </c>
      <c r="AB147" s="32">
        <f t="shared" si="59"/>
        <v>11</v>
      </c>
      <c r="AC147" s="32">
        <f t="shared" si="59"/>
        <v>-1436</v>
      </c>
      <c r="AD147" s="32">
        <f t="shared" si="50"/>
        <v>-142</v>
      </c>
      <c r="AE147" s="32">
        <f t="shared" si="59"/>
        <v>508</v>
      </c>
      <c r="AF147" s="32"/>
      <c r="AG147" s="8">
        <v>219</v>
      </c>
      <c r="AH147" s="8">
        <v>3493</v>
      </c>
      <c r="AI147" s="8">
        <v>2780</v>
      </c>
      <c r="AJ147" s="8">
        <v>-93</v>
      </c>
      <c r="AK147" s="8">
        <v>-3778</v>
      </c>
      <c r="AL147" s="8">
        <v>-3710</v>
      </c>
      <c r="AM147" s="25">
        <f>AM102</f>
        <v>173</v>
      </c>
      <c r="AN147" s="25">
        <f>AN102</f>
        <v>-2256</v>
      </c>
    </row>
    <row r="148" spans="1:40" s="45" customFormat="1" ht="14.4" outlineLevel="1" x14ac:dyDescent="0.3">
      <c r="A148" s="44" t="s">
        <v>97</v>
      </c>
      <c r="B148" s="32">
        <f t="shared" si="36"/>
        <v>7081</v>
      </c>
      <c r="C148" s="32">
        <f t="shared" si="53"/>
        <v>8755</v>
      </c>
      <c r="D148" s="32">
        <f t="shared" si="53"/>
        <v>10912</v>
      </c>
      <c r="E148" s="32">
        <f>E103-D103</f>
        <v>8998</v>
      </c>
      <c r="F148" s="32">
        <f t="shared" si="38"/>
        <v>8824</v>
      </c>
      <c r="G148" s="32">
        <f t="shared" si="54"/>
        <v>14728</v>
      </c>
      <c r="H148" s="32">
        <f t="shared" si="54"/>
        <v>8920</v>
      </c>
      <c r="I148" s="32">
        <f>I103-H103</f>
        <v>9296</v>
      </c>
      <c r="J148" s="32">
        <f t="shared" si="40"/>
        <v>9694</v>
      </c>
      <c r="K148" s="32">
        <f t="shared" si="55"/>
        <v>10744</v>
      </c>
      <c r="L148" s="32">
        <f t="shared" si="55"/>
        <v>10724</v>
      </c>
      <c r="M148" s="32">
        <f>M103-L103</f>
        <v>8377</v>
      </c>
      <c r="N148" s="32">
        <f t="shared" si="42"/>
        <v>6821</v>
      </c>
      <c r="O148" s="32">
        <f t="shared" si="56"/>
        <v>10844</v>
      </c>
      <c r="P148" s="32">
        <f t="shared" si="56"/>
        <v>10534</v>
      </c>
      <c r="Q148" s="32">
        <f>Q103-P103</f>
        <v>8942</v>
      </c>
      <c r="R148" s="32">
        <f t="shared" si="44"/>
        <v>8289</v>
      </c>
      <c r="S148" s="32">
        <f t="shared" si="57"/>
        <v>9731</v>
      </c>
      <c r="T148" s="32">
        <f t="shared" si="57"/>
        <v>10778</v>
      </c>
      <c r="U148" s="32">
        <f>U103-T103</f>
        <v>8677</v>
      </c>
      <c r="V148" s="32">
        <f t="shared" si="46"/>
        <v>7084</v>
      </c>
      <c r="W148" s="32">
        <f t="shared" si="58"/>
        <v>9485</v>
      </c>
      <c r="X148" s="32">
        <f t="shared" si="58"/>
        <v>9911</v>
      </c>
      <c r="Y148" s="32">
        <f t="shared" si="58"/>
        <v>10432</v>
      </c>
      <c r="Z148" s="32">
        <f t="shared" si="48"/>
        <v>7782</v>
      </c>
      <c r="AA148" s="32">
        <f t="shared" si="59"/>
        <v>8975</v>
      </c>
      <c r="AB148" s="32">
        <f t="shared" si="59"/>
        <v>11266</v>
      </c>
      <c r="AC148" s="32">
        <f t="shared" si="59"/>
        <v>9114</v>
      </c>
      <c r="AD148" s="32">
        <f t="shared" si="50"/>
        <v>7984</v>
      </c>
      <c r="AE148" s="32">
        <f t="shared" si="59"/>
        <v>10435</v>
      </c>
      <c r="AF148" s="32"/>
      <c r="AG148" s="14">
        <v>34339</v>
      </c>
      <c r="AH148" s="14">
        <v>35746</v>
      </c>
      <c r="AI148" s="14">
        <v>41768</v>
      </c>
      <c r="AJ148" s="14">
        <v>39539</v>
      </c>
      <c r="AK148" s="14">
        <v>37141</v>
      </c>
      <c r="AL148" s="14">
        <v>37475</v>
      </c>
      <c r="AM148" s="14">
        <f>AM103</f>
        <v>36912</v>
      </c>
      <c r="AN148" s="14">
        <f>AN103</f>
        <v>37137</v>
      </c>
    </row>
    <row r="149" spans="1:40" ht="14.4" outlineLevel="1" x14ac:dyDescent="0.3">
      <c r="A149" s="9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8"/>
      <c r="AH149" s="8"/>
      <c r="AI149" s="8"/>
      <c r="AJ149" s="8"/>
      <c r="AK149" s="8"/>
      <c r="AL149" s="8"/>
      <c r="AM149" s="8"/>
      <c r="AN149" s="8"/>
    </row>
    <row r="150" spans="1:40" ht="14.4" outlineLevel="1" x14ac:dyDescent="0.3">
      <c r="A150" s="9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8"/>
      <c r="AH150" s="8"/>
      <c r="AI150" s="8"/>
      <c r="AJ150" s="8"/>
      <c r="AK150" s="8"/>
      <c r="AL150" s="8"/>
      <c r="AM150" s="8"/>
      <c r="AN150" s="8"/>
    </row>
    <row r="151" spans="1:40" outlineLevel="1" x14ac:dyDescent="0.25">
      <c r="A151" t="s">
        <v>98</v>
      </c>
      <c r="B151" s="32">
        <f t="shared" ref="B151:B158" si="60">B105</f>
        <v>0</v>
      </c>
      <c r="C151" s="32">
        <f t="shared" ref="C151:E158" si="61">C105-B105</f>
        <v>0</v>
      </c>
      <c r="D151" s="32">
        <f t="shared" si="61"/>
        <v>0</v>
      </c>
      <c r="E151" s="32">
        <f t="shared" si="61"/>
        <v>0</v>
      </c>
      <c r="F151" s="32">
        <f t="shared" ref="F151:F158" si="62">F105</f>
        <v>0</v>
      </c>
      <c r="G151" s="32">
        <f t="shared" ref="G151:I158" si="63">G105-F105</f>
        <v>0</v>
      </c>
      <c r="H151" s="32">
        <f t="shared" si="63"/>
        <v>0</v>
      </c>
      <c r="I151" s="32">
        <f t="shared" si="63"/>
        <v>0</v>
      </c>
      <c r="J151" s="32">
        <f t="shared" ref="J151:J158" si="64">J105</f>
        <v>0</v>
      </c>
      <c r="K151" s="32">
        <f t="shared" ref="K151:M158" si="65">K105-J105</f>
        <v>0</v>
      </c>
      <c r="L151" s="32">
        <f t="shared" si="65"/>
        <v>0</v>
      </c>
      <c r="M151" s="32">
        <f t="shared" si="65"/>
        <v>0</v>
      </c>
      <c r="N151" s="32">
        <f t="shared" ref="N151:N158" si="66">N105</f>
        <v>0</v>
      </c>
      <c r="O151" s="32">
        <f t="shared" ref="O151:Q158" si="67">O105-N105</f>
        <v>0</v>
      </c>
      <c r="P151" s="32">
        <f t="shared" si="67"/>
        <v>0</v>
      </c>
      <c r="Q151" s="32">
        <f t="shared" si="67"/>
        <v>0</v>
      </c>
      <c r="R151" s="32">
        <f t="shared" ref="R151:R158" si="68">R105</f>
        <v>0</v>
      </c>
      <c r="S151" s="32">
        <f t="shared" ref="S151:U158" si="69">S105-R105</f>
        <v>0</v>
      </c>
      <c r="T151" s="32">
        <f t="shared" si="69"/>
        <v>0</v>
      </c>
      <c r="U151" s="32">
        <f t="shared" si="69"/>
        <v>0</v>
      </c>
      <c r="V151" s="32">
        <f t="shared" ref="V151:V158" si="70">V105</f>
        <v>0</v>
      </c>
      <c r="W151" s="32">
        <f t="shared" ref="W151:Y158" si="71">W105-V105</f>
        <v>0</v>
      </c>
      <c r="X151" s="32">
        <f t="shared" si="71"/>
        <v>0</v>
      </c>
      <c r="Y151" s="32">
        <f t="shared" si="71"/>
        <v>0</v>
      </c>
      <c r="Z151" s="32">
        <f t="shared" ref="Z151:Z158" si="72">Z105</f>
        <v>0</v>
      </c>
      <c r="AA151" s="32">
        <f t="shared" ref="AA151:AE158" si="73">AA105-Z105</f>
        <v>0</v>
      </c>
      <c r="AB151" s="32">
        <f t="shared" si="73"/>
        <v>0</v>
      </c>
      <c r="AC151" s="32">
        <f t="shared" si="73"/>
        <v>0</v>
      </c>
      <c r="AD151" s="32">
        <f t="shared" ref="AD151:AD158" si="74">AD105</f>
        <v>0</v>
      </c>
      <c r="AE151" s="32">
        <f t="shared" si="73"/>
        <v>0</v>
      </c>
      <c r="AF151" s="32"/>
    </row>
    <row r="152" spans="1:40" ht="14.4" outlineLevel="1" x14ac:dyDescent="0.3">
      <c r="A152" t="s">
        <v>99</v>
      </c>
      <c r="B152" s="32">
        <f t="shared" si="60"/>
        <v>-4268</v>
      </c>
      <c r="C152" s="32">
        <f t="shared" si="61"/>
        <v>-3699</v>
      </c>
      <c r="D152" s="32">
        <f t="shared" si="61"/>
        <v>-4365</v>
      </c>
      <c r="E152" s="32">
        <f t="shared" si="61"/>
        <v>-5607</v>
      </c>
      <c r="F152" s="32">
        <f t="shared" si="62"/>
        <v>-5274</v>
      </c>
      <c r="G152" s="32">
        <f t="shared" si="63"/>
        <v>-4576</v>
      </c>
      <c r="H152" s="32">
        <f t="shared" si="63"/>
        <v>-4318</v>
      </c>
      <c r="I152" s="32">
        <f t="shared" si="63"/>
        <v>-4024</v>
      </c>
      <c r="J152" s="32">
        <f t="shared" si="64"/>
        <v>-4494</v>
      </c>
      <c r="K152" s="32">
        <f t="shared" si="65"/>
        <v>-4222</v>
      </c>
      <c r="L152" s="32">
        <f t="shared" si="65"/>
        <v>-5145</v>
      </c>
      <c r="M152" s="32">
        <f t="shared" si="65"/>
        <v>-6425</v>
      </c>
      <c r="N152" s="32">
        <f t="shared" si="66"/>
        <v>-5821</v>
      </c>
      <c r="O152" s="32">
        <f t="shared" si="67"/>
        <v>-4670</v>
      </c>
      <c r="P152" s="32">
        <f t="shared" si="67"/>
        <v>-5320</v>
      </c>
      <c r="Q152" s="32">
        <f t="shared" si="67"/>
        <v>-7276</v>
      </c>
      <c r="R152" s="32">
        <f t="shared" si="68"/>
        <v>-5958</v>
      </c>
      <c r="S152" s="32">
        <f t="shared" si="69"/>
        <v>-4112</v>
      </c>
      <c r="T152" s="32">
        <f t="shared" si="69"/>
        <v>-4094</v>
      </c>
      <c r="U152" s="32">
        <f t="shared" si="69"/>
        <v>-4603</v>
      </c>
      <c r="V152" s="32">
        <f t="shared" si="70"/>
        <v>-4376</v>
      </c>
      <c r="W152" s="32">
        <f t="shared" si="71"/>
        <v>-3695</v>
      </c>
      <c r="X152" s="32">
        <f t="shared" si="71"/>
        <v>-3948</v>
      </c>
      <c r="Y152" s="32">
        <f t="shared" si="71"/>
        <v>-5071</v>
      </c>
      <c r="Z152" s="32">
        <f t="shared" si="72"/>
        <v>-4145</v>
      </c>
      <c r="AA152" s="32">
        <f t="shared" si="73"/>
        <v>-3808</v>
      </c>
      <c r="AB152" s="32">
        <f t="shared" si="73"/>
        <v>-4310</v>
      </c>
      <c r="AC152" s="32">
        <f t="shared" si="73"/>
        <v>-4748</v>
      </c>
      <c r="AD152" s="32">
        <f t="shared" si="74"/>
        <v>-4201</v>
      </c>
      <c r="AE152" s="32">
        <f t="shared" si="73"/>
        <v>-4009</v>
      </c>
      <c r="AF152" s="32"/>
      <c r="AG152" s="25">
        <v>-16658</v>
      </c>
      <c r="AH152" s="25">
        <v>-17939</v>
      </c>
      <c r="AI152" s="25">
        <v>-18192</v>
      </c>
      <c r="AJ152" s="25">
        <v>-20286</v>
      </c>
      <c r="AK152" s="25">
        <v>-23087</v>
      </c>
      <c r="AL152" s="25">
        <v>-18767</v>
      </c>
      <c r="AM152" s="25">
        <f>AM106</f>
        <v>-17090</v>
      </c>
      <c r="AN152" s="25">
        <f>AN106</f>
        <v>-17011</v>
      </c>
    </row>
    <row r="153" spans="1:40" ht="14.4" outlineLevel="1" x14ac:dyDescent="0.3">
      <c r="A153" t="s">
        <v>100</v>
      </c>
      <c r="B153" s="32">
        <f t="shared" si="60"/>
        <v>-25</v>
      </c>
      <c r="C153" s="32">
        <f t="shared" si="61"/>
        <v>-3</v>
      </c>
      <c r="D153" s="32">
        <f t="shared" si="61"/>
        <v>-1</v>
      </c>
      <c r="E153" s="32">
        <f t="shared" si="61"/>
        <v>0</v>
      </c>
      <c r="F153" s="32">
        <f t="shared" si="62"/>
        <v>0</v>
      </c>
      <c r="G153" s="32">
        <f t="shared" si="63"/>
        <v>-399</v>
      </c>
      <c r="H153" s="32">
        <f t="shared" si="63"/>
        <v>-108</v>
      </c>
      <c r="I153" s="32">
        <f t="shared" si="63"/>
        <v>-13</v>
      </c>
      <c r="J153" s="32">
        <f t="shared" si="64"/>
        <v>-408</v>
      </c>
      <c r="K153" s="32">
        <f t="shared" si="65"/>
        <v>-50</v>
      </c>
      <c r="L153" s="32">
        <f t="shared" si="65"/>
        <v>-1</v>
      </c>
      <c r="M153" s="32">
        <f t="shared" si="65"/>
        <v>-3606</v>
      </c>
      <c r="N153" s="32">
        <f t="shared" si="66"/>
        <v>0</v>
      </c>
      <c r="O153" s="32">
        <f t="shared" si="67"/>
        <v>247</v>
      </c>
      <c r="P153" s="32">
        <f t="shared" si="67"/>
        <v>1</v>
      </c>
      <c r="Q153" s="32">
        <f t="shared" si="67"/>
        <v>0</v>
      </c>
      <c r="R153" s="32">
        <f t="shared" si="68"/>
        <v>0</v>
      </c>
      <c r="S153" s="32">
        <f t="shared" si="69"/>
        <v>0</v>
      </c>
      <c r="T153" s="32">
        <f t="shared" si="69"/>
        <v>0</v>
      </c>
      <c r="U153" s="32">
        <f t="shared" si="69"/>
        <v>-30</v>
      </c>
      <c r="V153" s="32">
        <f t="shared" si="70"/>
        <v>-449</v>
      </c>
      <c r="W153" s="32">
        <f t="shared" si="71"/>
        <v>449</v>
      </c>
      <c r="X153" s="32">
        <f t="shared" si="71"/>
        <v>0</v>
      </c>
      <c r="Y153" s="32">
        <f t="shared" si="71"/>
        <v>0</v>
      </c>
      <c r="Z153" s="32">
        <f t="shared" si="72"/>
        <v>0</v>
      </c>
      <c r="AA153" s="32">
        <f t="shared" si="73"/>
        <v>0</v>
      </c>
      <c r="AB153" s="32">
        <f t="shared" si="73"/>
        <v>0</v>
      </c>
      <c r="AC153" s="32">
        <f t="shared" si="73"/>
        <v>0</v>
      </c>
      <c r="AD153" s="32">
        <f t="shared" si="74"/>
        <v>-9480</v>
      </c>
      <c r="AE153" s="32">
        <f t="shared" si="73"/>
        <v>0</v>
      </c>
      <c r="AF153" s="32"/>
      <c r="AG153" s="8">
        <v>-230</v>
      </c>
      <c r="AH153" s="8">
        <v>-29</v>
      </c>
      <c r="AI153" s="8">
        <v>-520</v>
      </c>
      <c r="AJ153" s="8">
        <v>-4065</v>
      </c>
      <c r="AK153" s="8">
        <v>248</v>
      </c>
      <c r="AL153" s="8">
        <v>-30</v>
      </c>
      <c r="AM153" s="25">
        <f t="shared" ref="AM153:AN158" si="75">AM107</f>
        <v>0</v>
      </c>
      <c r="AN153" s="25">
        <f t="shared" si="75"/>
        <v>0</v>
      </c>
    </row>
    <row r="154" spans="1:40" ht="14.4" outlineLevel="1" x14ac:dyDescent="0.3">
      <c r="A154" t="s">
        <v>101</v>
      </c>
      <c r="B154" s="32">
        <f t="shared" si="60"/>
        <v>-104</v>
      </c>
      <c r="C154" s="32">
        <f t="shared" si="61"/>
        <v>-95</v>
      </c>
      <c r="D154" s="32">
        <f t="shared" si="61"/>
        <v>-100</v>
      </c>
      <c r="E154" s="32">
        <f t="shared" si="61"/>
        <v>-599</v>
      </c>
      <c r="F154" s="32">
        <f t="shared" si="62"/>
        <v>-210</v>
      </c>
      <c r="G154" s="32">
        <f t="shared" si="63"/>
        <v>-1591</v>
      </c>
      <c r="H154" s="32">
        <f t="shared" si="63"/>
        <v>-186</v>
      </c>
      <c r="I154" s="32">
        <f t="shared" si="63"/>
        <v>-139</v>
      </c>
      <c r="J154" s="32">
        <f t="shared" si="64"/>
        <v>-44783</v>
      </c>
      <c r="K154" s="32">
        <f t="shared" si="65"/>
        <v>-495</v>
      </c>
      <c r="L154" s="32">
        <f t="shared" si="65"/>
        <v>-1749</v>
      </c>
      <c r="M154" s="32">
        <f t="shared" si="65"/>
        <v>-569</v>
      </c>
      <c r="N154" s="32">
        <f t="shared" si="66"/>
        <v>-1838</v>
      </c>
      <c r="O154" s="32">
        <f t="shared" si="67"/>
        <v>-437</v>
      </c>
      <c r="P154" s="32">
        <f t="shared" si="67"/>
        <v>-615</v>
      </c>
      <c r="Q154" s="32">
        <f t="shared" si="67"/>
        <v>-763</v>
      </c>
      <c r="R154" s="32">
        <f t="shared" si="68"/>
        <v>-598</v>
      </c>
      <c r="S154" s="32">
        <f t="shared" si="69"/>
        <v>-487</v>
      </c>
      <c r="T154" s="32">
        <f t="shared" si="69"/>
        <v>-774</v>
      </c>
      <c r="U154" s="32">
        <f t="shared" si="69"/>
        <v>-3937</v>
      </c>
      <c r="V154" s="32">
        <f t="shared" si="70"/>
        <v>-432</v>
      </c>
      <c r="W154" s="32">
        <f t="shared" si="71"/>
        <v>-181</v>
      </c>
      <c r="X154" s="32">
        <f t="shared" si="71"/>
        <v>-155</v>
      </c>
      <c r="Y154" s="32">
        <f t="shared" si="71"/>
        <v>-132</v>
      </c>
      <c r="Z154" s="32">
        <f t="shared" si="72"/>
        <v>-122</v>
      </c>
      <c r="AA154" s="32">
        <f t="shared" si="73"/>
        <v>-112</v>
      </c>
      <c r="AB154" s="32">
        <f t="shared" si="73"/>
        <v>-106</v>
      </c>
      <c r="AC154" s="32">
        <f t="shared" si="73"/>
        <v>-110</v>
      </c>
      <c r="AD154" s="32">
        <f t="shared" si="74"/>
        <v>-83</v>
      </c>
      <c r="AE154" s="32">
        <f t="shared" si="73"/>
        <v>-1072</v>
      </c>
      <c r="AF154" s="32"/>
      <c r="AG154" s="8">
        <v>-1429</v>
      </c>
      <c r="AH154" s="8">
        <v>-898</v>
      </c>
      <c r="AI154" s="8">
        <v>-2126</v>
      </c>
      <c r="AJ154" s="8">
        <v>-47596</v>
      </c>
      <c r="AK154" s="8">
        <v>-3653</v>
      </c>
      <c r="AL154" s="8">
        <v>-5796</v>
      </c>
      <c r="AM154" s="25">
        <f t="shared" si="75"/>
        <v>-900</v>
      </c>
      <c r="AN154" s="25">
        <f t="shared" si="75"/>
        <v>-450</v>
      </c>
    </row>
    <row r="155" spans="1:40" ht="14.4" outlineLevel="1" x14ac:dyDescent="0.3">
      <c r="A155" t="s">
        <v>102</v>
      </c>
      <c r="B155" s="32">
        <f t="shared" si="60"/>
        <v>0</v>
      </c>
      <c r="C155" s="32">
        <f t="shared" si="61"/>
        <v>0</v>
      </c>
      <c r="D155" s="32">
        <f t="shared" si="61"/>
        <v>0</v>
      </c>
      <c r="E155" s="32">
        <f t="shared" si="61"/>
        <v>0</v>
      </c>
      <c r="F155" s="32">
        <f t="shared" si="62"/>
        <v>0</v>
      </c>
      <c r="G155" s="32">
        <f t="shared" si="63"/>
        <v>0</v>
      </c>
      <c r="H155" s="32">
        <f t="shared" si="63"/>
        <v>0</v>
      </c>
      <c r="I155" s="32">
        <f t="shared" si="63"/>
        <v>0</v>
      </c>
      <c r="J155" s="32">
        <f t="shared" si="64"/>
        <v>0</v>
      </c>
      <c r="K155" s="32">
        <f t="shared" si="65"/>
        <v>0</v>
      </c>
      <c r="L155" s="32">
        <f t="shared" si="65"/>
        <v>0</v>
      </c>
      <c r="M155" s="32">
        <f t="shared" si="65"/>
        <v>0</v>
      </c>
      <c r="N155" s="32">
        <f t="shared" si="66"/>
        <v>0</v>
      </c>
      <c r="O155" s="32">
        <f t="shared" si="67"/>
        <v>0</v>
      </c>
      <c r="P155" s="32">
        <f t="shared" si="67"/>
        <v>-4857</v>
      </c>
      <c r="Q155" s="32">
        <f t="shared" si="67"/>
        <v>2592</v>
      </c>
      <c r="R155" s="32">
        <f t="shared" si="68"/>
        <v>367</v>
      </c>
      <c r="S155" s="32">
        <f t="shared" si="69"/>
        <v>457</v>
      </c>
      <c r="T155" s="32">
        <f t="shared" si="69"/>
        <v>-662</v>
      </c>
      <c r="U155" s="32">
        <f t="shared" si="69"/>
        <v>718</v>
      </c>
      <c r="V155" s="32">
        <f t="shared" si="70"/>
        <v>0</v>
      </c>
      <c r="W155" s="32">
        <f t="shared" si="71"/>
        <v>-424</v>
      </c>
      <c r="X155" s="32">
        <f t="shared" si="71"/>
        <v>92</v>
      </c>
      <c r="Y155" s="32">
        <f t="shared" si="71"/>
        <v>-380</v>
      </c>
      <c r="Z155" s="32">
        <f t="shared" si="72"/>
        <v>0</v>
      </c>
      <c r="AA155" s="32">
        <f t="shared" si="73"/>
        <v>0</v>
      </c>
      <c r="AB155" s="32">
        <f t="shared" si="73"/>
        <v>0</v>
      </c>
      <c r="AC155" s="32">
        <f t="shared" si="73"/>
        <v>0</v>
      </c>
      <c r="AD155" s="32">
        <f t="shared" si="74"/>
        <v>0</v>
      </c>
      <c r="AE155" s="32">
        <f t="shared" si="73"/>
        <v>0</v>
      </c>
      <c r="AF155" s="32"/>
      <c r="AG155" s="25"/>
      <c r="AH155" s="25"/>
      <c r="AI155" s="25"/>
      <c r="AJ155" s="25"/>
      <c r="AK155" s="25">
        <v>-2265</v>
      </c>
      <c r="AL155" s="25">
        <v>880</v>
      </c>
      <c r="AM155" s="25">
        <f t="shared" si="75"/>
        <v>-712</v>
      </c>
      <c r="AN155" s="25">
        <f t="shared" si="75"/>
        <v>0</v>
      </c>
    </row>
    <row r="156" spans="1:40" ht="14.4" outlineLevel="1" x14ac:dyDescent="0.3">
      <c r="A156" t="s">
        <v>103</v>
      </c>
      <c r="B156" s="32">
        <f t="shared" si="60"/>
        <v>0</v>
      </c>
      <c r="C156" s="32">
        <f t="shared" si="61"/>
        <v>0</v>
      </c>
      <c r="D156" s="32">
        <f t="shared" si="61"/>
        <v>27</v>
      </c>
      <c r="E156" s="32">
        <f t="shared" si="61"/>
        <v>1</v>
      </c>
      <c r="F156" s="32">
        <f t="shared" si="62"/>
        <v>0</v>
      </c>
      <c r="G156" s="32">
        <f t="shared" si="63"/>
        <v>0</v>
      </c>
      <c r="H156" s="32">
        <f t="shared" si="63"/>
        <v>0</v>
      </c>
      <c r="I156" s="32">
        <f t="shared" si="63"/>
        <v>0</v>
      </c>
      <c r="J156" s="32">
        <f t="shared" si="64"/>
        <v>0</v>
      </c>
      <c r="K156" s="32">
        <f t="shared" si="65"/>
        <v>0</v>
      </c>
      <c r="L156" s="32">
        <f t="shared" si="65"/>
        <v>4122</v>
      </c>
      <c r="M156" s="32">
        <f t="shared" si="65"/>
        <v>0</v>
      </c>
      <c r="N156" s="32">
        <f t="shared" si="66"/>
        <v>0</v>
      </c>
      <c r="O156" s="32">
        <f t="shared" si="67"/>
        <v>0</v>
      </c>
      <c r="P156" s="32">
        <f t="shared" si="67"/>
        <v>33</v>
      </c>
      <c r="Q156" s="32">
        <f t="shared" si="67"/>
        <v>0</v>
      </c>
      <c r="R156" s="32">
        <f t="shared" si="68"/>
        <v>0</v>
      </c>
      <c r="S156" s="32">
        <f t="shared" si="69"/>
        <v>0</v>
      </c>
      <c r="T156" s="32">
        <f t="shared" si="69"/>
        <v>0</v>
      </c>
      <c r="U156" s="32">
        <f t="shared" si="69"/>
        <v>0</v>
      </c>
      <c r="V156" s="32">
        <f t="shared" si="70"/>
        <v>0</v>
      </c>
      <c r="W156" s="32">
        <f t="shared" si="71"/>
        <v>0</v>
      </c>
      <c r="X156" s="32">
        <f t="shared" si="71"/>
        <v>0</v>
      </c>
      <c r="Y156" s="32">
        <f t="shared" si="71"/>
        <v>0</v>
      </c>
      <c r="Z156" s="32">
        <f t="shared" si="72"/>
        <v>0</v>
      </c>
      <c r="AA156" s="32">
        <f t="shared" si="73"/>
        <v>0</v>
      </c>
      <c r="AB156" s="32">
        <f t="shared" si="73"/>
        <v>0</v>
      </c>
      <c r="AC156" s="32">
        <f t="shared" si="73"/>
        <v>0</v>
      </c>
      <c r="AD156" s="32">
        <f t="shared" si="74"/>
        <v>0</v>
      </c>
      <c r="AE156" s="32">
        <f t="shared" si="73"/>
        <v>0</v>
      </c>
      <c r="AF156" s="32"/>
      <c r="AG156" s="8">
        <v>0</v>
      </c>
      <c r="AH156" s="8">
        <v>28</v>
      </c>
      <c r="AI156" s="8">
        <v>0</v>
      </c>
      <c r="AJ156" s="8">
        <v>4122</v>
      </c>
      <c r="AK156" s="8">
        <v>33</v>
      </c>
      <c r="AL156" s="8">
        <v>0</v>
      </c>
      <c r="AM156" s="25">
        <f t="shared" si="75"/>
        <v>0</v>
      </c>
      <c r="AN156" s="25">
        <f t="shared" si="75"/>
        <v>0</v>
      </c>
    </row>
    <row r="157" spans="1:40" ht="14.4" outlineLevel="1" x14ac:dyDescent="0.3">
      <c r="A157" t="s">
        <v>96</v>
      </c>
      <c r="B157" s="32">
        <f t="shared" si="60"/>
        <v>-406</v>
      </c>
      <c r="C157" s="32">
        <f t="shared" si="61"/>
        <v>11</v>
      </c>
      <c r="D157" s="32">
        <f t="shared" si="61"/>
        <v>871</v>
      </c>
      <c r="E157" s="32">
        <f t="shared" si="61"/>
        <v>781</v>
      </c>
      <c r="F157" s="32">
        <f t="shared" si="62"/>
        <v>-1496</v>
      </c>
      <c r="G157" s="32">
        <f t="shared" si="63"/>
        <v>1422</v>
      </c>
      <c r="H157" s="32">
        <f t="shared" si="63"/>
        <v>-1733</v>
      </c>
      <c r="I157" s="32">
        <f t="shared" si="63"/>
        <v>-867</v>
      </c>
      <c r="J157" s="32">
        <f t="shared" si="64"/>
        <v>32</v>
      </c>
      <c r="K157" s="32">
        <f t="shared" si="65"/>
        <v>19</v>
      </c>
      <c r="L157" s="32">
        <f t="shared" si="65"/>
        <v>156</v>
      </c>
      <c r="M157" s="32">
        <f t="shared" si="65"/>
        <v>465</v>
      </c>
      <c r="N157" s="32">
        <f t="shared" si="66"/>
        <v>-336</v>
      </c>
      <c r="O157" s="32">
        <f t="shared" si="67"/>
        <v>-1801</v>
      </c>
      <c r="P157" s="32">
        <f t="shared" si="67"/>
        <v>2094</v>
      </c>
      <c r="Q157" s="32">
        <f t="shared" si="67"/>
        <v>105</v>
      </c>
      <c r="R157" s="32">
        <f t="shared" si="68"/>
        <v>79</v>
      </c>
      <c r="S157" s="32">
        <f t="shared" si="69"/>
        <v>52</v>
      </c>
      <c r="T157" s="32">
        <f t="shared" si="69"/>
        <v>122</v>
      </c>
      <c r="U157" s="32">
        <f t="shared" si="69"/>
        <v>28</v>
      </c>
      <c r="V157" s="32">
        <f t="shared" si="70"/>
        <v>12</v>
      </c>
      <c r="W157" s="32">
        <f t="shared" si="71"/>
        <v>-14</v>
      </c>
      <c r="X157" s="32">
        <f t="shared" si="71"/>
        <v>8</v>
      </c>
      <c r="Y157" s="32">
        <f t="shared" si="71"/>
        <v>22</v>
      </c>
      <c r="Z157" s="32">
        <f t="shared" si="72"/>
        <v>515</v>
      </c>
      <c r="AA157" s="32">
        <f t="shared" si="73"/>
        <v>482</v>
      </c>
      <c r="AB157" s="32">
        <f t="shared" si="73"/>
        <v>-74</v>
      </c>
      <c r="AC157" s="32">
        <f t="shared" si="73"/>
        <v>-122</v>
      </c>
      <c r="AD157" s="32">
        <f t="shared" si="74"/>
        <v>191</v>
      </c>
      <c r="AE157" s="32">
        <f t="shared" si="73"/>
        <v>154</v>
      </c>
      <c r="AF157" s="32"/>
      <c r="AG157" s="8">
        <v>383</v>
      </c>
      <c r="AH157" s="8">
        <v>1257</v>
      </c>
      <c r="AI157" s="8">
        <v>-2674</v>
      </c>
      <c r="AJ157" s="8">
        <v>672</v>
      </c>
      <c r="AK157" s="8">
        <v>62</v>
      </c>
      <c r="AL157" s="8">
        <v>281</v>
      </c>
      <c r="AM157" s="25">
        <f t="shared" si="75"/>
        <v>28</v>
      </c>
      <c r="AN157" s="25">
        <f t="shared" si="75"/>
        <v>801</v>
      </c>
    </row>
    <row r="158" spans="1:40" ht="14.4" outlineLevel="1" x14ac:dyDescent="0.3">
      <c r="A158" s="9" t="s">
        <v>104</v>
      </c>
      <c r="B158" s="32">
        <f t="shared" si="60"/>
        <v>-4803</v>
      </c>
      <c r="C158" s="32">
        <f t="shared" si="61"/>
        <v>-3786</v>
      </c>
      <c r="D158" s="32">
        <f t="shared" si="61"/>
        <v>-3568</v>
      </c>
      <c r="E158" s="32">
        <f t="shared" si="61"/>
        <v>-5424</v>
      </c>
      <c r="F158" s="32">
        <f t="shared" si="62"/>
        <v>-6980</v>
      </c>
      <c r="G158" s="32">
        <f t="shared" si="63"/>
        <v>-5144</v>
      </c>
      <c r="H158" s="32">
        <f t="shared" si="63"/>
        <v>-6345</v>
      </c>
      <c r="I158" s="32">
        <f t="shared" si="63"/>
        <v>-5043</v>
      </c>
      <c r="J158" s="32">
        <f t="shared" si="64"/>
        <v>-49653</v>
      </c>
      <c r="K158" s="32">
        <f t="shared" si="65"/>
        <v>-4748</v>
      </c>
      <c r="L158" s="32">
        <f t="shared" si="65"/>
        <v>-2617</v>
      </c>
      <c r="M158" s="32">
        <f t="shared" si="65"/>
        <v>-10135</v>
      </c>
      <c r="N158" s="32">
        <f t="shared" si="66"/>
        <v>-7995</v>
      </c>
      <c r="O158" s="32">
        <f t="shared" si="67"/>
        <v>-6661</v>
      </c>
      <c r="P158" s="32">
        <f t="shared" si="67"/>
        <v>-8664</v>
      </c>
      <c r="Q158" s="32">
        <f t="shared" si="67"/>
        <v>-5342</v>
      </c>
      <c r="R158" s="32">
        <f t="shared" si="68"/>
        <v>-6110</v>
      </c>
      <c r="S158" s="32">
        <f t="shared" si="69"/>
        <v>-4090</v>
      </c>
      <c r="T158" s="32">
        <f t="shared" si="69"/>
        <v>-5408</v>
      </c>
      <c r="U158" s="32">
        <f t="shared" si="69"/>
        <v>-7824</v>
      </c>
      <c r="V158" s="32">
        <f t="shared" si="70"/>
        <v>-5245</v>
      </c>
      <c r="W158" s="32">
        <f t="shared" si="71"/>
        <v>-3865</v>
      </c>
      <c r="X158" s="32">
        <f t="shared" si="71"/>
        <v>-4003</v>
      </c>
      <c r="Y158" s="32">
        <f t="shared" si="71"/>
        <v>-5561</v>
      </c>
      <c r="Z158" s="32">
        <f t="shared" si="72"/>
        <v>-3752</v>
      </c>
      <c r="AA158" s="32">
        <f t="shared" si="73"/>
        <v>-3438</v>
      </c>
      <c r="AB158" s="32">
        <f t="shared" si="73"/>
        <v>-4490</v>
      </c>
      <c r="AC158" s="32">
        <f t="shared" si="73"/>
        <v>-4980</v>
      </c>
      <c r="AD158" s="32">
        <f t="shared" si="74"/>
        <v>-13573</v>
      </c>
      <c r="AE158" s="32">
        <f t="shared" si="73"/>
        <v>-4927</v>
      </c>
      <c r="AF158" s="32"/>
      <c r="AG158" s="42">
        <v>-17934</v>
      </c>
      <c r="AH158" s="42">
        <v>-17581</v>
      </c>
      <c r="AI158" s="42">
        <v>-23512</v>
      </c>
      <c r="AJ158" s="42">
        <v>-67153</v>
      </c>
      <c r="AK158" s="42">
        <v>-28662</v>
      </c>
      <c r="AL158" s="14">
        <v>-23432</v>
      </c>
      <c r="AM158" s="14">
        <f t="shared" si="75"/>
        <v>-18674</v>
      </c>
      <c r="AN158" s="14">
        <f t="shared" si="75"/>
        <v>-16660</v>
      </c>
    </row>
    <row r="159" spans="1:40" ht="14.4" outlineLevel="1" x14ac:dyDescent="0.3">
      <c r="A159" s="9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42"/>
      <c r="AH159" s="42"/>
      <c r="AI159" s="42"/>
      <c r="AJ159" s="42"/>
      <c r="AK159" s="42"/>
      <c r="AL159" s="14"/>
      <c r="AM159" s="14"/>
      <c r="AN159" s="14"/>
    </row>
    <row r="160" spans="1:40" outlineLevel="1" x14ac:dyDescent="0.25">
      <c r="A160" t="s">
        <v>105</v>
      </c>
      <c r="B160" s="32">
        <f t="shared" ref="B160:B166" si="76">B114</f>
        <v>0</v>
      </c>
      <c r="C160" s="32">
        <f t="shared" ref="C160:E166" si="77">C114-B114</f>
        <v>0</v>
      </c>
      <c r="D160" s="32">
        <f t="shared" si="77"/>
        <v>0</v>
      </c>
      <c r="E160" s="32">
        <f t="shared" si="77"/>
        <v>0</v>
      </c>
      <c r="F160" s="32">
        <f t="shared" ref="F160:F166" si="78">F114</f>
        <v>0</v>
      </c>
      <c r="G160" s="32">
        <f t="shared" ref="G160:I166" si="79">G114-F114</f>
        <v>0</v>
      </c>
      <c r="H160" s="32">
        <f t="shared" si="79"/>
        <v>0</v>
      </c>
      <c r="I160" s="32">
        <f t="shared" si="79"/>
        <v>0</v>
      </c>
      <c r="J160" s="32">
        <f t="shared" ref="J160:J166" si="80">J114</f>
        <v>0</v>
      </c>
      <c r="K160" s="32">
        <f t="shared" ref="K160:M166" si="81">K114-J114</f>
        <v>0</v>
      </c>
      <c r="L160" s="32">
        <f t="shared" si="81"/>
        <v>0</v>
      </c>
      <c r="M160" s="32">
        <f t="shared" si="81"/>
        <v>0</v>
      </c>
      <c r="N160" s="32">
        <f t="shared" ref="N160:N166" si="82">N114</f>
        <v>0</v>
      </c>
      <c r="O160" s="32">
        <f t="shared" ref="O160:Q166" si="83">O114-N114</f>
        <v>0</v>
      </c>
      <c r="P160" s="32">
        <f t="shared" si="83"/>
        <v>0</v>
      </c>
      <c r="Q160" s="32">
        <f t="shared" si="83"/>
        <v>0</v>
      </c>
      <c r="R160" s="32">
        <f t="shared" ref="R160:R166" si="84">R114</f>
        <v>0</v>
      </c>
      <c r="S160" s="32">
        <f t="shared" ref="S160:U166" si="85">S114-R114</f>
        <v>0</v>
      </c>
      <c r="T160" s="32">
        <f t="shared" si="85"/>
        <v>0</v>
      </c>
      <c r="U160" s="32">
        <f t="shared" si="85"/>
        <v>0</v>
      </c>
      <c r="V160" s="32">
        <f t="shared" ref="V160:V166" si="86">V114</f>
        <v>0</v>
      </c>
      <c r="W160" s="32">
        <f t="shared" ref="W160:Y166" si="87">W114-V114</f>
        <v>0</v>
      </c>
      <c r="X160" s="32">
        <f t="shared" si="87"/>
        <v>0</v>
      </c>
      <c r="Y160" s="32">
        <f t="shared" si="87"/>
        <v>0</v>
      </c>
      <c r="Z160" s="32">
        <f t="shared" ref="Z160:Z166" si="88">Z114</f>
        <v>0</v>
      </c>
      <c r="AA160" s="32">
        <f t="shared" ref="AA160:AE166" si="89">AA114-Z114</f>
        <v>0</v>
      </c>
      <c r="AB160" s="32">
        <f t="shared" si="89"/>
        <v>0</v>
      </c>
      <c r="AC160" s="32">
        <f t="shared" si="89"/>
        <v>0</v>
      </c>
      <c r="AD160" s="32">
        <f t="shared" ref="AD160:AD166" si="90">AD114</f>
        <v>0</v>
      </c>
      <c r="AE160" s="32">
        <f t="shared" si="89"/>
        <v>0</v>
      </c>
      <c r="AF160" s="32"/>
    </row>
    <row r="161" spans="1:40" ht="14.4" outlineLevel="1" x14ac:dyDescent="0.3">
      <c r="A161" t="s">
        <v>106</v>
      </c>
      <c r="B161" s="32">
        <f t="shared" si="76"/>
        <v>2131</v>
      </c>
      <c r="C161" s="32">
        <f t="shared" si="77"/>
        <v>4106</v>
      </c>
      <c r="D161" s="32">
        <f t="shared" si="77"/>
        <v>2123</v>
      </c>
      <c r="E161" s="32">
        <f t="shared" si="77"/>
        <v>1719</v>
      </c>
      <c r="F161" s="32">
        <f t="shared" si="78"/>
        <v>5848</v>
      </c>
      <c r="G161" s="32">
        <f t="shared" si="79"/>
        <v>3457</v>
      </c>
      <c r="H161" s="32">
        <f t="shared" si="79"/>
        <v>3082</v>
      </c>
      <c r="I161" s="32">
        <f t="shared" si="79"/>
        <v>13435</v>
      </c>
      <c r="J161" s="32">
        <f t="shared" si="80"/>
        <v>31383</v>
      </c>
      <c r="K161" s="32">
        <f t="shared" si="81"/>
        <v>61</v>
      </c>
      <c r="L161" s="32">
        <f t="shared" si="81"/>
        <v>1038</v>
      </c>
      <c r="M161" s="32">
        <f t="shared" si="81"/>
        <v>552</v>
      </c>
      <c r="N161" s="32">
        <f t="shared" si="82"/>
        <v>3604</v>
      </c>
      <c r="O161" s="32">
        <f t="shared" si="83"/>
        <v>13</v>
      </c>
      <c r="P161" s="32">
        <f t="shared" si="83"/>
        <v>988</v>
      </c>
      <c r="Q161" s="32">
        <f t="shared" si="83"/>
        <v>2469</v>
      </c>
      <c r="R161" s="32">
        <f t="shared" si="84"/>
        <v>504</v>
      </c>
      <c r="S161" s="32">
        <f t="shared" si="85"/>
        <v>999</v>
      </c>
      <c r="T161" s="32">
        <f t="shared" si="85"/>
        <v>496</v>
      </c>
      <c r="U161" s="32">
        <f t="shared" si="85"/>
        <v>19</v>
      </c>
      <c r="V161" s="32">
        <f t="shared" si="86"/>
        <v>3110</v>
      </c>
      <c r="W161" s="32">
        <f t="shared" si="87"/>
        <v>12</v>
      </c>
      <c r="X161" s="32">
        <f t="shared" si="87"/>
        <v>20</v>
      </c>
      <c r="Y161" s="32">
        <f t="shared" si="87"/>
        <v>4</v>
      </c>
      <c r="Z161" s="32">
        <f t="shared" si="88"/>
        <v>0</v>
      </c>
      <c r="AA161" s="32">
        <f t="shared" si="89"/>
        <v>1676</v>
      </c>
      <c r="AB161" s="32">
        <f t="shared" si="89"/>
        <v>2276</v>
      </c>
      <c r="AC161" s="32">
        <f t="shared" si="89"/>
        <v>14316</v>
      </c>
      <c r="AD161" s="32">
        <f t="shared" si="90"/>
        <v>5975</v>
      </c>
      <c r="AE161" s="32">
        <f t="shared" si="89"/>
        <v>3965</v>
      </c>
      <c r="AF161" s="32"/>
      <c r="AG161" s="19">
        <v>5967</v>
      </c>
      <c r="AH161" s="19">
        <v>10079</v>
      </c>
      <c r="AI161" s="19">
        <v>25822</v>
      </c>
      <c r="AJ161" s="19">
        <v>33034</v>
      </c>
      <c r="AK161" s="19">
        <v>7074</v>
      </c>
      <c r="AL161" s="19">
        <v>2018</v>
      </c>
      <c r="AM161" s="19">
        <f t="shared" ref="AM161:AN166" si="91">AM115</f>
        <v>3146</v>
      </c>
      <c r="AN161" s="19">
        <f t="shared" si="91"/>
        <v>18268</v>
      </c>
    </row>
    <row r="162" spans="1:40" ht="14.4" outlineLevel="1" x14ac:dyDescent="0.3">
      <c r="A162" t="s">
        <v>107</v>
      </c>
      <c r="B162" s="32">
        <f t="shared" si="76"/>
        <v>1117</v>
      </c>
      <c r="C162" s="32">
        <f t="shared" si="77"/>
        <v>2865</v>
      </c>
      <c r="D162" s="32">
        <f t="shared" si="77"/>
        <v>0</v>
      </c>
      <c r="E162" s="32">
        <f t="shared" si="77"/>
        <v>4594</v>
      </c>
      <c r="F162" s="32">
        <f t="shared" si="78"/>
        <v>2844</v>
      </c>
      <c r="G162" s="32">
        <f t="shared" si="79"/>
        <v>0</v>
      </c>
      <c r="H162" s="32">
        <f t="shared" si="79"/>
        <v>1595</v>
      </c>
      <c r="I162" s="32">
        <f t="shared" si="79"/>
        <v>1196</v>
      </c>
      <c r="J162" s="32">
        <f t="shared" si="80"/>
        <v>1000</v>
      </c>
      <c r="K162" s="32">
        <f t="shared" si="81"/>
        <v>1695</v>
      </c>
      <c r="L162" s="32">
        <f t="shared" si="81"/>
        <v>0</v>
      </c>
      <c r="M162" s="32">
        <f t="shared" si="81"/>
        <v>5688</v>
      </c>
      <c r="N162" s="32">
        <f t="shared" si="82"/>
        <v>3545</v>
      </c>
      <c r="O162" s="32">
        <f t="shared" si="83"/>
        <v>1508</v>
      </c>
      <c r="P162" s="32">
        <f t="shared" si="83"/>
        <v>886</v>
      </c>
      <c r="Q162" s="32">
        <f t="shared" si="83"/>
        <v>4793</v>
      </c>
      <c r="R162" s="32">
        <f t="shared" si="84"/>
        <v>1754</v>
      </c>
      <c r="S162" s="32">
        <f t="shared" si="85"/>
        <v>1951</v>
      </c>
      <c r="T162" s="32">
        <f t="shared" si="85"/>
        <v>951</v>
      </c>
      <c r="U162" s="32">
        <f t="shared" si="85"/>
        <v>1938</v>
      </c>
      <c r="V162" s="32">
        <f t="shared" si="86"/>
        <v>2510</v>
      </c>
      <c r="W162" s="32">
        <f t="shared" si="87"/>
        <v>3318</v>
      </c>
      <c r="X162" s="32">
        <f t="shared" si="87"/>
        <v>2401</v>
      </c>
      <c r="Y162" s="32">
        <f t="shared" si="87"/>
        <v>4193</v>
      </c>
      <c r="Z162" s="32">
        <f t="shared" si="88"/>
        <v>2781</v>
      </c>
      <c r="AA162" s="32">
        <f t="shared" si="89"/>
        <v>2181</v>
      </c>
      <c r="AB162" s="32">
        <f t="shared" si="89"/>
        <v>2378</v>
      </c>
      <c r="AC162" s="32">
        <f t="shared" si="89"/>
        <v>1998</v>
      </c>
      <c r="AD162" s="32">
        <f t="shared" si="90"/>
        <v>6154</v>
      </c>
      <c r="AE162" s="32">
        <f t="shared" si="89"/>
        <v>5874</v>
      </c>
      <c r="AF162" s="32"/>
      <c r="AG162" s="4">
        <v>4810</v>
      </c>
      <c r="AH162" s="4">
        <v>8576</v>
      </c>
      <c r="AI162" s="4">
        <v>5635</v>
      </c>
      <c r="AJ162" s="4">
        <v>8383</v>
      </c>
      <c r="AK162" s="19">
        <v>10732</v>
      </c>
      <c r="AL162" s="19">
        <v>6594</v>
      </c>
      <c r="AM162" s="19">
        <f t="shared" si="91"/>
        <v>12422</v>
      </c>
      <c r="AN162" s="19">
        <f t="shared" si="91"/>
        <v>9338</v>
      </c>
    </row>
    <row r="163" spans="1:40" ht="14.4" outlineLevel="1" x14ac:dyDescent="0.3">
      <c r="A163" t="s">
        <v>108</v>
      </c>
      <c r="B163" s="32">
        <f t="shared" si="76"/>
        <v>0</v>
      </c>
      <c r="C163" s="32">
        <f t="shared" si="77"/>
        <v>0</v>
      </c>
      <c r="D163" s="32">
        <f t="shared" si="77"/>
        <v>0</v>
      </c>
      <c r="E163" s="32">
        <f t="shared" si="77"/>
        <v>0</v>
      </c>
      <c r="F163" s="32">
        <f t="shared" si="78"/>
        <v>0</v>
      </c>
      <c r="G163" s="32">
        <f t="shared" si="79"/>
        <v>0</v>
      </c>
      <c r="H163" s="32">
        <f t="shared" si="79"/>
        <v>0</v>
      </c>
      <c r="I163" s="32">
        <f t="shared" si="79"/>
        <v>0</v>
      </c>
      <c r="J163" s="32">
        <f t="shared" si="80"/>
        <v>0</v>
      </c>
      <c r="K163" s="32">
        <f t="shared" si="81"/>
        <v>0</v>
      </c>
      <c r="L163" s="32">
        <f t="shared" si="81"/>
        <v>0</v>
      </c>
      <c r="M163" s="32">
        <f t="shared" si="81"/>
        <v>0</v>
      </c>
      <c r="N163" s="32">
        <f t="shared" si="82"/>
        <v>0</v>
      </c>
      <c r="O163" s="32">
        <f t="shared" si="83"/>
        <v>0</v>
      </c>
      <c r="P163" s="32">
        <f t="shared" si="83"/>
        <v>4514</v>
      </c>
      <c r="Q163" s="32">
        <f t="shared" si="83"/>
        <v>-4408</v>
      </c>
      <c r="R163" s="32">
        <f t="shared" si="84"/>
        <v>342</v>
      </c>
      <c r="S163" s="32">
        <f t="shared" si="85"/>
        <v>-509</v>
      </c>
      <c r="T163" s="32">
        <f t="shared" si="85"/>
        <v>500</v>
      </c>
      <c r="U163" s="32">
        <f t="shared" si="85"/>
        <v>-483</v>
      </c>
      <c r="V163" s="32">
        <f t="shared" si="86"/>
        <v>2347</v>
      </c>
      <c r="W163" s="32">
        <f t="shared" si="87"/>
        <v>-1744</v>
      </c>
      <c r="X163" s="32">
        <f t="shared" si="87"/>
        <v>-603</v>
      </c>
      <c r="Y163" s="32">
        <f t="shared" si="87"/>
        <v>0</v>
      </c>
      <c r="Z163" s="32">
        <f t="shared" si="88"/>
        <v>0</v>
      </c>
      <c r="AA163" s="32">
        <f t="shared" si="89"/>
        <v>0</v>
      </c>
      <c r="AB163" s="32">
        <f t="shared" si="89"/>
        <v>0</v>
      </c>
      <c r="AC163" s="32">
        <f t="shared" si="89"/>
        <v>0</v>
      </c>
      <c r="AD163" s="32">
        <f t="shared" si="90"/>
        <v>0</v>
      </c>
      <c r="AE163" s="32">
        <f t="shared" si="89"/>
        <v>0</v>
      </c>
      <c r="AF163" s="32"/>
      <c r="AG163" s="19"/>
      <c r="AH163" s="19"/>
      <c r="AI163" s="19"/>
      <c r="AJ163" s="19"/>
      <c r="AK163" s="19">
        <v>106</v>
      </c>
      <c r="AL163" s="19">
        <v>-150</v>
      </c>
      <c r="AM163" s="19">
        <f t="shared" si="91"/>
        <v>0</v>
      </c>
      <c r="AN163" s="19">
        <f t="shared" si="91"/>
        <v>0</v>
      </c>
    </row>
    <row r="164" spans="1:40" ht="14.4" outlineLevel="1" x14ac:dyDescent="0.3">
      <c r="A164" t="s">
        <v>109</v>
      </c>
      <c r="B164" s="32">
        <f t="shared" si="76"/>
        <v>-2963</v>
      </c>
      <c r="C164" s="32">
        <f t="shared" si="77"/>
        <v>-6667</v>
      </c>
      <c r="D164" s="32">
        <f t="shared" si="77"/>
        <v>-2856</v>
      </c>
      <c r="E164" s="32">
        <f t="shared" si="77"/>
        <v>-5098</v>
      </c>
      <c r="F164" s="32">
        <f t="shared" si="78"/>
        <v>-1700</v>
      </c>
      <c r="G164" s="32">
        <f t="shared" si="79"/>
        <v>-6833</v>
      </c>
      <c r="H164" s="32">
        <f t="shared" si="79"/>
        <v>-320</v>
      </c>
      <c r="I164" s="32">
        <f t="shared" si="79"/>
        <v>-922</v>
      </c>
      <c r="J164" s="32">
        <f t="shared" si="80"/>
        <v>-302</v>
      </c>
      <c r="K164" s="32">
        <f t="shared" si="81"/>
        <v>-7257</v>
      </c>
      <c r="L164" s="32">
        <f t="shared" si="81"/>
        <v>-345</v>
      </c>
      <c r="M164" s="32">
        <f t="shared" si="81"/>
        <v>-6159</v>
      </c>
      <c r="N164" s="32">
        <f t="shared" si="82"/>
        <v>-6556</v>
      </c>
      <c r="O164" s="32">
        <f t="shared" si="83"/>
        <v>-849</v>
      </c>
      <c r="P164" s="32">
        <f t="shared" si="83"/>
        <v>-596</v>
      </c>
      <c r="Q164" s="32">
        <f t="shared" si="83"/>
        <v>-615</v>
      </c>
      <c r="R164" s="32">
        <f t="shared" si="84"/>
        <v>-1325</v>
      </c>
      <c r="S164" s="32">
        <f t="shared" si="85"/>
        <v>-1275</v>
      </c>
      <c r="T164" s="32">
        <f t="shared" si="85"/>
        <v>-2968</v>
      </c>
      <c r="U164" s="32">
        <f t="shared" si="85"/>
        <v>-613</v>
      </c>
      <c r="V164" s="32">
        <f t="shared" si="86"/>
        <v>-4508</v>
      </c>
      <c r="W164" s="32">
        <f t="shared" si="87"/>
        <v>-1211</v>
      </c>
      <c r="X164" s="32">
        <f t="shared" si="87"/>
        <v>-904</v>
      </c>
      <c r="Y164" s="32">
        <f t="shared" si="87"/>
        <v>-5231</v>
      </c>
      <c r="Z164" s="32">
        <f t="shared" si="88"/>
        <v>-2446</v>
      </c>
      <c r="AA164" s="32">
        <f t="shared" si="89"/>
        <v>-3084</v>
      </c>
      <c r="AB164" s="32">
        <f t="shared" si="89"/>
        <v>-1999</v>
      </c>
      <c r="AC164" s="32">
        <f t="shared" si="89"/>
        <v>-3823</v>
      </c>
      <c r="AD164" s="32">
        <f t="shared" si="90"/>
        <v>-4258</v>
      </c>
      <c r="AE164" s="32">
        <f t="shared" si="89"/>
        <v>-10168</v>
      </c>
      <c r="AF164" s="32"/>
      <c r="AG164" s="19">
        <v>-10923</v>
      </c>
      <c r="AH164" s="19">
        <v>-17584</v>
      </c>
      <c r="AI164" s="19">
        <v>-9775</v>
      </c>
      <c r="AJ164" s="19">
        <v>-14063</v>
      </c>
      <c r="AK164" s="19">
        <v>-8616</v>
      </c>
      <c r="AL164" s="19">
        <v>-6181</v>
      </c>
      <c r="AM164" s="19">
        <f t="shared" si="91"/>
        <v>-11854</v>
      </c>
      <c r="AN164" s="19">
        <f t="shared" si="91"/>
        <v>-11352</v>
      </c>
    </row>
    <row r="165" spans="1:40" ht="14.4" outlineLevel="1" x14ac:dyDescent="0.3">
      <c r="A165" t="s">
        <v>110</v>
      </c>
      <c r="B165" s="32">
        <f t="shared" si="76"/>
        <v>-813</v>
      </c>
      <c r="C165" s="32">
        <f t="shared" si="77"/>
        <v>-2004</v>
      </c>
      <c r="D165" s="32">
        <f t="shared" si="77"/>
        <v>-2456</v>
      </c>
      <c r="E165" s="32">
        <f t="shared" si="77"/>
        <v>-1029</v>
      </c>
      <c r="F165" s="32">
        <f t="shared" si="78"/>
        <v>-2229</v>
      </c>
      <c r="G165" s="32">
        <f t="shared" si="79"/>
        <v>-2383</v>
      </c>
      <c r="H165" s="32">
        <f t="shared" si="79"/>
        <v>-2114</v>
      </c>
      <c r="I165" s="32">
        <f t="shared" si="79"/>
        <v>-687</v>
      </c>
      <c r="J165" s="32">
        <f t="shared" si="80"/>
        <v>-732</v>
      </c>
      <c r="K165" s="32">
        <f t="shared" si="81"/>
        <v>-2261</v>
      </c>
      <c r="L165" s="32">
        <f t="shared" si="81"/>
        <v>-894</v>
      </c>
      <c r="M165" s="32">
        <f t="shared" si="81"/>
        <v>-913</v>
      </c>
      <c r="N165" s="32">
        <f t="shared" si="82"/>
        <v>-1650</v>
      </c>
      <c r="O165" s="32">
        <f t="shared" si="83"/>
        <v>-1045</v>
      </c>
      <c r="P165" s="32">
        <f t="shared" si="83"/>
        <v>-952</v>
      </c>
      <c r="Q165" s="32">
        <f t="shared" si="83"/>
        <v>-1301</v>
      </c>
      <c r="R165" s="32">
        <f t="shared" si="84"/>
        <v>-931</v>
      </c>
      <c r="S165" s="32">
        <f t="shared" si="85"/>
        <v>-1452</v>
      </c>
      <c r="T165" s="32">
        <f t="shared" si="85"/>
        <v>-1346</v>
      </c>
      <c r="U165" s="32">
        <f t="shared" si="85"/>
        <v>-714</v>
      </c>
      <c r="V165" s="32">
        <f t="shared" si="86"/>
        <v>-1408</v>
      </c>
      <c r="W165" s="32">
        <f t="shared" si="87"/>
        <v>-2600</v>
      </c>
      <c r="X165" s="32">
        <f t="shared" si="87"/>
        <v>-2150</v>
      </c>
      <c r="Y165" s="32">
        <f t="shared" si="87"/>
        <v>-2332</v>
      </c>
      <c r="Z165" s="32">
        <f t="shared" si="88"/>
        <v>-2589</v>
      </c>
      <c r="AA165" s="32">
        <f t="shared" si="89"/>
        <v>-1923</v>
      </c>
      <c r="AB165" s="32">
        <f t="shared" si="89"/>
        <v>-1925</v>
      </c>
      <c r="AC165" s="32">
        <f t="shared" si="89"/>
        <v>-2000</v>
      </c>
      <c r="AD165" s="32">
        <f t="shared" si="90"/>
        <v>-6828</v>
      </c>
      <c r="AE165" s="32">
        <f t="shared" si="89"/>
        <v>-7084</v>
      </c>
      <c r="AF165" s="32"/>
      <c r="AG165" s="19">
        <v>-3635</v>
      </c>
      <c r="AH165" s="19">
        <v>-6302</v>
      </c>
      <c r="AI165" s="19">
        <v>-7413</v>
      </c>
      <c r="AJ165" s="19">
        <v>-4800</v>
      </c>
      <c r="AK165" s="19">
        <v>-4948</v>
      </c>
      <c r="AL165" s="19">
        <v>-4443</v>
      </c>
      <c r="AM165" s="19">
        <f t="shared" si="91"/>
        <v>-8490</v>
      </c>
      <c r="AN165" s="19">
        <f t="shared" si="91"/>
        <v>-8437</v>
      </c>
    </row>
    <row r="166" spans="1:40" ht="14.4" outlineLevel="1" x14ac:dyDescent="0.3">
      <c r="A166" t="s">
        <v>111</v>
      </c>
      <c r="B166" s="32">
        <f t="shared" si="76"/>
        <v>-2489</v>
      </c>
      <c r="C166" s="32">
        <f t="shared" si="77"/>
        <v>-2492</v>
      </c>
      <c r="D166" s="32">
        <f t="shared" si="77"/>
        <v>-2493</v>
      </c>
      <c r="E166" s="32">
        <f t="shared" si="77"/>
        <v>-2542</v>
      </c>
      <c r="F166" s="32">
        <f t="shared" si="78"/>
        <v>-2547</v>
      </c>
      <c r="G166" s="32">
        <f t="shared" si="79"/>
        <v>-2543</v>
      </c>
      <c r="H166" s="32">
        <f t="shared" si="79"/>
        <v>-2546</v>
      </c>
      <c r="I166" s="32">
        <f t="shared" si="79"/>
        <v>-2596</v>
      </c>
      <c r="J166" s="32">
        <f t="shared" si="80"/>
        <v>-2601</v>
      </c>
      <c r="K166" s="32">
        <f t="shared" si="81"/>
        <v>-2597</v>
      </c>
      <c r="L166" s="32">
        <f t="shared" si="81"/>
        <v>-2599</v>
      </c>
      <c r="M166" s="32">
        <f t="shared" si="81"/>
        <v>-2648</v>
      </c>
      <c r="N166" s="32">
        <f t="shared" si="82"/>
        <v>-2654</v>
      </c>
      <c r="O166" s="32">
        <f t="shared" si="83"/>
        <v>-2724</v>
      </c>
      <c r="P166" s="32">
        <f t="shared" si="83"/>
        <v>-2688</v>
      </c>
      <c r="Q166" s="32">
        <f t="shared" si="83"/>
        <v>-2739</v>
      </c>
      <c r="R166" s="32">
        <f t="shared" si="84"/>
        <v>-2744</v>
      </c>
      <c r="S166" s="32">
        <f t="shared" si="85"/>
        <v>-2743</v>
      </c>
      <c r="T166" s="32">
        <f t="shared" si="85"/>
        <v>-2744</v>
      </c>
      <c r="U166" s="32">
        <f t="shared" si="85"/>
        <v>-2794</v>
      </c>
      <c r="V166" s="32">
        <f t="shared" si="86"/>
        <v>-2796</v>
      </c>
      <c r="W166" s="32">
        <f t="shared" si="87"/>
        <v>-2802</v>
      </c>
      <c r="X166" s="32">
        <f t="shared" si="87"/>
        <v>-2801</v>
      </c>
      <c r="Y166" s="32">
        <f t="shared" si="87"/>
        <v>-2850</v>
      </c>
      <c r="Z166" s="32">
        <f t="shared" si="88"/>
        <v>-2856</v>
      </c>
      <c r="AA166" s="32">
        <f t="shared" si="89"/>
        <v>-2856</v>
      </c>
      <c r="AB166" s="32">
        <f t="shared" si="89"/>
        <v>-2857</v>
      </c>
      <c r="AC166" s="32">
        <f t="shared" si="89"/>
        <v>-2912</v>
      </c>
      <c r="AD166" s="32">
        <f t="shared" si="90"/>
        <v>-2910</v>
      </c>
      <c r="AE166" s="32">
        <f t="shared" si="89"/>
        <v>-2954</v>
      </c>
      <c r="AF166" s="32"/>
      <c r="AG166" s="19">
        <v>-9772</v>
      </c>
      <c r="AH166" s="19">
        <v>-10016</v>
      </c>
      <c r="AI166" s="19">
        <v>-10232</v>
      </c>
      <c r="AJ166" s="19">
        <v>-10445</v>
      </c>
      <c r="AK166" s="19">
        <v>-10805</v>
      </c>
      <c r="AL166" s="19">
        <v>-11025</v>
      </c>
      <c r="AM166" s="19">
        <f t="shared" si="91"/>
        <v>-11249</v>
      </c>
      <c r="AN166" s="19">
        <f t="shared" si="91"/>
        <v>-11481</v>
      </c>
    </row>
    <row r="167" spans="1:40" ht="14.4" outlineLevel="1" x14ac:dyDescent="0.3">
      <c r="A167" t="s">
        <v>112</v>
      </c>
      <c r="B167" s="32">
        <f>B121</f>
        <v>0</v>
      </c>
      <c r="C167" s="32">
        <f>C121-B121</f>
        <v>0</v>
      </c>
      <c r="D167" s="32">
        <f>D121-C121</f>
        <v>0</v>
      </c>
      <c r="E167" s="32">
        <f>E121-D121</f>
        <v>0</v>
      </c>
      <c r="F167" s="32">
        <f>F121</f>
        <v>0</v>
      </c>
      <c r="G167" s="32">
        <f>G121-F121</f>
        <v>0</v>
      </c>
      <c r="H167" s="32">
        <f>H121-G121</f>
        <v>0</v>
      </c>
      <c r="I167" s="32">
        <f>I121-H121</f>
        <v>0</v>
      </c>
      <c r="J167" s="32">
        <f>J121</f>
        <v>0</v>
      </c>
      <c r="K167" s="32">
        <f>K121-J121</f>
        <v>0</v>
      </c>
      <c r="L167" s="32">
        <f>L121-K121</f>
        <v>0</v>
      </c>
      <c r="M167" s="32">
        <f>M121-L121</f>
        <v>0</v>
      </c>
      <c r="N167" s="32">
        <f>N121</f>
        <v>0</v>
      </c>
      <c r="O167" s="32">
        <f>O121-N121</f>
        <v>0</v>
      </c>
      <c r="P167" s="32">
        <f>P121-O121</f>
        <v>0</v>
      </c>
      <c r="Q167" s="32">
        <f>Q121-P121</f>
        <v>0</v>
      </c>
      <c r="R167" s="32">
        <f>R121</f>
        <v>0</v>
      </c>
      <c r="S167" s="32">
        <f>S121-R121</f>
        <v>0</v>
      </c>
      <c r="T167" s="32">
        <f>T121-S121</f>
        <v>0</v>
      </c>
      <c r="U167" s="32">
        <f>U121-T121</f>
        <v>0</v>
      </c>
      <c r="V167" s="32">
        <f>V121</f>
        <v>0</v>
      </c>
      <c r="W167" s="32">
        <f>W121-V121</f>
        <v>0</v>
      </c>
      <c r="X167" s="32">
        <f>X121-W121</f>
        <v>0</v>
      </c>
      <c r="Y167" s="32">
        <f>Y121-X121</f>
        <v>0</v>
      </c>
      <c r="Z167" s="32">
        <f>Z121</f>
        <v>0</v>
      </c>
      <c r="AA167" s="32">
        <f>AA121-Z121</f>
        <v>0</v>
      </c>
      <c r="AB167" s="32">
        <f>AB121-AA121</f>
        <v>0</v>
      </c>
      <c r="AC167" s="32">
        <f>AC121-AB121</f>
        <v>0</v>
      </c>
      <c r="AD167" s="32">
        <f>AD121</f>
        <v>-2500</v>
      </c>
      <c r="AE167" s="32">
        <f>AE121-AD121</f>
        <v>-1000</v>
      </c>
      <c r="AF167" s="32"/>
      <c r="AG167" s="19"/>
      <c r="AH167" s="19"/>
      <c r="AI167" s="19"/>
      <c r="AJ167" s="19"/>
      <c r="AK167" s="19"/>
      <c r="AL167" s="19"/>
      <c r="AM167" s="19"/>
      <c r="AN167" s="19"/>
    </row>
    <row r="168" spans="1:40" ht="14.4" outlineLevel="1" x14ac:dyDescent="0.3">
      <c r="A168" t="s">
        <v>96</v>
      </c>
      <c r="B168" s="32">
        <f t="shared" ref="B168:B172" si="92">B122</f>
        <v>360</v>
      </c>
      <c r="C168" s="32">
        <f t="shared" ref="C168:E170" si="93">C122-B122</f>
        <v>-1194</v>
      </c>
      <c r="D168" s="32">
        <f t="shared" si="93"/>
        <v>-576</v>
      </c>
      <c r="E168" s="32">
        <f t="shared" si="93"/>
        <v>-1507</v>
      </c>
      <c r="F168" s="32">
        <f t="shared" ref="F168:F172" si="94">F122</f>
        <v>347</v>
      </c>
      <c r="G168" s="32">
        <f t="shared" ref="G168:I170" si="95">G122-F122</f>
        <v>-493</v>
      </c>
      <c r="H168" s="32">
        <f t="shared" si="95"/>
        <v>-1202</v>
      </c>
      <c r="I168" s="32">
        <f t="shared" si="95"/>
        <v>-1364</v>
      </c>
      <c r="J168" s="32">
        <f t="shared" ref="J168:J172" si="96">J122</f>
        <v>-792</v>
      </c>
      <c r="K168" s="32">
        <f t="shared" ref="K168:M170" si="97">K122-J122</f>
        <v>-1047</v>
      </c>
      <c r="L168" s="32">
        <f t="shared" si="97"/>
        <v>-281</v>
      </c>
      <c r="M168" s="32">
        <f t="shared" si="97"/>
        <v>-1712</v>
      </c>
      <c r="N168" s="32">
        <f t="shared" ref="N168:N172" si="98">N122</f>
        <v>3956</v>
      </c>
      <c r="O168" s="32">
        <f t="shared" ref="O168:Q170" si="99">O122-N122</f>
        <v>-985</v>
      </c>
      <c r="P168" s="32">
        <f t="shared" si="99"/>
        <v>-3768</v>
      </c>
      <c r="Q168" s="32">
        <f t="shared" si="99"/>
        <v>-1275</v>
      </c>
      <c r="R168" s="32">
        <f t="shared" ref="R168:R172" si="100">R122</f>
        <v>17</v>
      </c>
      <c r="S168" s="32">
        <f t="shared" ref="S168:U170" si="101">S122-R122</f>
        <v>-174</v>
      </c>
      <c r="T168" s="32">
        <f t="shared" si="101"/>
        <v>-944</v>
      </c>
      <c r="U168" s="32">
        <f t="shared" si="101"/>
        <v>-369</v>
      </c>
      <c r="V168" s="32">
        <f t="shared" ref="V168:V172" si="102">V122</f>
        <v>-683</v>
      </c>
      <c r="W168" s="32">
        <f t="shared" ref="W168:AE170" si="103">W122-V122</f>
        <v>-607</v>
      </c>
      <c r="X168" s="32">
        <f t="shared" si="103"/>
        <v>-378</v>
      </c>
      <c r="Y168" s="32">
        <f t="shared" si="103"/>
        <v>593</v>
      </c>
      <c r="Z168" s="32">
        <f t="shared" ref="Z168:Z172" si="104">Z122</f>
        <v>-783</v>
      </c>
      <c r="AA168" s="32">
        <f t="shared" si="103"/>
        <v>-372</v>
      </c>
      <c r="AB168" s="32">
        <f t="shared" si="103"/>
        <v>-424</v>
      </c>
      <c r="AC168" s="32">
        <f t="shared" si="103"/>
        <v>-370</v>
      </c>
      <c r="AD168" s="32">
        <f t="shared" ref="AD168:AD172" si="105">AD122</f>
        <v>-911</v>
      </c>
      <c r="AE168" s="32">
        <f t="shared" si="103"/>
        <v>-469</v>
      </c>
      <c r="AF168" s="32"/>
      <c r="AG168" s="19">
        <v>-1824</v>
      </c>
      <c r="AH168" s="19">
        <v>-2917</v>
      </c>
      <c r="AI168" s="19">
        <v>-2712</v>
      </c>
      <c r="AJ168" s="19">
        <v>-3832</v>
      </c>
      <c r="AK168" s="19">
        <v>-2072</v>
      </c>
      <c r="AL168" s="19">
        <v>-1470</v>
      </c>
      <c r="AM168" s="19">
        <f t="shared" ref="AM168:AN172" si="106">AM122</f>
        <v>-1075</v>
      </c>
      <c r="AN168" s="19">
        <f t="shared" si="106"/>
        <v>-1949</v>
      </c>
    </row>
    <row r="169" spans="1:40" ht="14.4" outlineLevel="1" x14ac:dyDescent="0.3">
      <c r="A169" s="9" t="s">
        <v>113</v>
      </c>
      <c r="B169" s="32">
        <f t="shared" si="92"/>
        <v>-2657</v>
      </c>
      <c r="C169" s="32">
        <f t="shared" si="93"/>
        <v>-5386</v>
      </c>
      <c r="D169" s="32">
        <f t="shared" si="93"/>
        <v>-6258</v>
      </c>
      <c r="E169" s="32">
        <f t="shared" si="93"/>
        <v>-3863</v>
      </c>
      <c r="F169" s="32">
        <f t="shared" si="94"/>
        <v>2563</v>
      </c>
      <c r="G169" s="32">
        <f t="shared" si="95"/>
        <v>-8795</v>
      </c>
      <c r="H169" s="32">
        <f t="shared" si="95"/>
        <v>-1505</v>
      </c>
      <c r="I169" s="32">
        <f t="shared" si="95"/>
        <v>9062</v>
      </c>
      <c r="J169" s="32">
        <f t="shared" si="96"/>
        <v>27956</v>
      </c>
      <c r="K169" s="32">
        <f t="shared" si="97"/>
        <v>-11406</v>
      </c>
      <c r="L169" s="32">
        <f t="shared" si="97"/>
        <v>-3081</v>
      </c>
      <c r="M169" s="32">
        <f t="shared" si="97"/>
        <v>-5192</v>
      </c>
      <c r="N169" s="32">
        <f t="shared" si="98"/>
        <v>245</v>
      </c>
      <c r="O169" s="32">
        <f t="shared" si="99"/>
        <v>-4082</v>
      </c>
      <c r="P169" s="32">
        <f t="shared" si="99"/>
        <v>-1616</v>
      </c>
      <c r="Q169" s="32">
        <f t="shared" si="99"/>
        <v>-3076</v>
      </c>
      <c r="R169" s="32">
        <f t="shared" si="100"/>
        <v>-2383</v>
      </c>
      <c r="S169" s="32">
        <f t="shared" si="101"/>
        <v>-3203</v>
      </c>
      <c r="T169" s="32">
        <f t="shared" si="101"/>
        <v>-6055</v>
      </c>
      <c r="U169" s="32">
        <f t="shared" si="101"/>
        <v>-3016</v>
      </c>
      <c r="V169" s="32">
        <f t="shared" si="102"/>
        <v>-1428</v>
      </c>
      <c r="W169" s="32">
        <f t="shared" si="103"/>
        <v>-5634</v>
      </c>
      <c r="X169" s="32">
        <f t="shared" si="103"/>
        <v>-4415</v>
      </c>
      <c r="Y169" s="32">
        <f t="shared" si="103"/>
        <v>-5623</v>
      </c>
      <c r="Z169" s="32">
        <f t="shared" si="104"/>
        <v>-5893</v>
      </c>
      <c r="AA169" s="32">
        <f t="shared" si="103"/>
        <v>-4378</v>
      </c>
      <c r="AB169" s="32">
        <f t="shared" si="103"/>
        <v>-2551</v>
      </c>
      <c r="AC169" s="32">
        <f t="shared" si="103"/>
        <v>7209</v>
      </c>
      <c r="AD169" s="32">
        <f t="shared" si="105"/>
        <v>-5278</v>
      </c>
      <c r="AE169" s="32">
        <f t="shared" si="103"/>
        <v>-11836</v>
      </c>
      <c r="AF169" s="32"/>
      <c r="AG169" s="19">
        <v>-15377</v>
      </c>
      <c r="AH169" s="19">
        <v>-18164</v>
      </c>
      <c r="AI169" s="19">
        <v>1325</v>
      </c>
      <c r="AJ169" s="19">
        <v>8277</v>
      </c>
      <c r="AK169" s="19">
        <v>-8529</v>
      </c>
      <c r="AL169" s="19">
        <v>-14657</v>
      </c>
      <c r="AM169" s="19">
        <f t="shared" si="106"/>
        <v>-17100</v>
      </c>
      <c r="AN169" s="19">
        <f t="shared" si="106"/>
        <v>-5613</v>
      </c>
    </row>
    <row r="170" spans="1:40" ht="14.4" outlineLevel="1" x14ac:dyDescent="0.3">
      <c r="A170" t="s">
        <v>114</v>
      </c>
      <c r="B170" s="32">
        <f t="shared" si="92"/>
        <v>-379</v>
      </c>
      <c r="C170" s="32">
        <f t="shared" si="93"/>
        <v>-417</v>
      </c>
      <c r="D170" s="32">
        <f t="shared" si="93"/>
        <v>1086</v>
      </c>
      <c r="E170" s="32">
        <f t="shared" si="93"/>
        <v>-289</v>
      </c>
      <c r="F170" s="32">
        <f t="shared" si="94"/>
        <v>4407</v>
      </c>
      <c r="G170" s="32">
        <f t="shared" si="95"/>
        <v>789</v>
      </c>
      <c r="H170" s="32">
        <f t="shared" si="95"/>
        <v>1070</v>
      </c>
      <c r="I170" s="32">
        <f t="shared" si="95"/>
        <v>13315</v>
      </c>
      <c r="J170" s="32">
        <f t="shared" si="96"/>
        <v>-12003</v>
      </c>
      <c r="K170" s="32">
        <f t="shared" si="97"/>
        <v>-5410</v>
      </c>
      <c r="L170" s="32">
        <f t="shared" si="97"/>
        <v>5026</v>
      </c>
      <c r="M170" s="32">
        <f t="shared" si="97"/>
        <v>-6950</v>
      </c>
      <c r="N170" s="32">
        <f t="shared" si="98"/>
        <v>-929</v>
      </c>
      <c r="O170" s="32">
        <f t="shared" si="99"/>
        <v>101</v>
      </c>
      <c r="P170" s="32">
        <f t="shared" si="99"/>
        <v>254</v>
      </c>
      <c r="Q170" s="32">
        <f t="shared" si="99"/>
        <v>524</v>
      </c>
      <c r="R170" s="32">
        <f t="shared" si="100"/>
        <v>-204</v>
      </c>
      <c r="S170" s="32">
        <f t="shared" si="101"/>
        <v>2438</v>
      </c>
      <c r="T170" s="32">
        <f t="shared" si="101"/>
        <v>-685</v>
      </c>
      <c r="U170" s="32">
        <f t="shared" si="101"/>
        <v>-2163</v>
      </c>
      <c r="V170" s="32">
        <f t="shared" si="102"/>
        <v>411</v>
      </c>
      <c r="W170" s="32">
        <f t="shared" si="103"/>
        <v>-14</v>
      </c>
      <c r="X170" s="32">
        <f t="shared" si="103"/>
        <v>1493</v>
      </c>
      <c r="Y170" s="32">
        <f t="shared" si="103"/>
        <v>-752</v>
      </c>
      <c r="Z170" s="32">
        <f t="shared" si="104"/>
        <v>-1863</v>
      </c>
      <c r="AA170" s="32">
        <f t="shared" si="103"/>
        <v>1159</v>
      </c>
      <c r="AB170" s="32">
        <f t="shared" si="103"/>
        <v>4225</v>
      </c>
      <c r="AC170" s="32">
        <f t="shared" si="103"/>
        <v>11343</v>
      </c>
      <c r="AD170" s="32">
        <f t="shared" si="105"/>
        <v>-10867</v>
      </c>
      <c r="AE170" s="32">
        <f t="shared" si="103"/>
        <v>-6328</v>
      </c>
      <c r="AF170" s="32"/>
      <c r="AG170" s="19">
        <v>1028</v>
      </c>
      <c r="AH170" s="19">
        <v>1</v>
      </c>
      <c r="AI170" s="19">
        <v>19581</v>
      </c>
      <c r="AJ170" s="19">
        <v>-19337</v>
      </c>
      <c r="AK170" s="19">
        <v>-50</v>
      </c>
      <c r="AL170" s="19">
        <v>-614</v>
      </c>
      <c r="AM170" s="19">
        <f t="shared" si="106"/>
        <v>1138</v>
      </c>
      <c r="AN170" s="19">
        <f t="shared" si="106"/>
        <v>14864</v>
      </c>
    </row>
    <row r="171" spans="1:40" ht="14.4" outlineLevel="1" x14ac:dyDescent="0.3">
      <c r="A171" t="s">
        <v>115</v>
      </c>
      <c r="B171" s="32">
        <f t="shared" si="92"/>
        <v>3916</v>
      </c>
      <c r="C171" s="32">
        <f>B172</f>
        <v>3537</v>
      </c>
      <c r="D171" s="32">
        <f>C172</f>
        <v>3120</v>
      </c>
      <c r="E171" s="32">
        <f>D172</f>
        <v>4206</v>
      </c>
      <c r="F171" s="32">
        <f t="shared" si="94"/>
        <v>3917</v>
      </c>
      <c r="G171" s="32">
        <f>F172</f>
        <v>8324</v>
      </c>
      <c r="H171" s="32">
        <f>G172</f>
        <v>9113</v>
      </c>
      <c r="I171" s="32">
        <f>H172</f>
        <v>10183</v>
      </c>
      <c r="J171" s="32">
        <f t="shared" si="96"/>
        <v>23498</v>
      </c>
      <c r="K171" s="32">
        <f>J172</f>
        <v>11495</v>
      </c>
      <c r="L171" s="32">
        <f>K172</f>
        <v>6085</v>
      </c>
      <c r="M171" s="32">
        <f>L172</f>
        <v>11111</v>
      </c>
      <c r="N171" s="32">
        <f t="shared" si="98"/>
        <v>4161</v>
      </c>
      <c r="O171" s="32">
        <f>N172</f>
        <v>3232</v>
      </c>
      <c r="P171" s="32">
        <f>O172</f>
        <v>3333</v>
      </c>
      <c r="Q171" s="32">
        <f>P172</f>
        <v>3587</v>
      </c>
      <c r="R171" s="32">
        <f t="shared" si="100"/>
        <v>4111</v>
      </c>
      <c r="S171" s="32">
        <f>R172</f>
        <v>3907</v>
      </c>
      <c r="T171" s="32">
        <f>S172</f>
        <v>6345</v>
      </c>
      <c r="U171" s="32">
        <f>T172</f>
        <v>5660</v>
      </c>
      <c r="V171" s="32">
        <f t="shared" si="102"/>
        <v>3497</v>
      </c>
      <c r="W171" s="32">
        <f>V172</f>
        <v>3908</v>
      </c>
      <c r="X171" s="32">
        <f>W172</f>
        <v>3894</v>
      </c>
      <c r="Y171" s="32">
        <f>X172</f>
        <v>5387</v>
      </c>
      <c r="Z171" s="32">
        <f t="shared" si="104"/>
        <v>4635</v>
      </c>
      <c r="AA171" s="32">
        <f>Z172</f>
        <v>2772</v>
      </c>
      <c r="AB171" s="32">
        <f>AA172</f>
        <v>3931</v>
      </c>
      <c r="AC171" s="32">
        <f>AB172</f>
        <v>8156</v>
      </c>
      <c r="AD171" s="32">
        <f t="shared" si="105"/>
        <v>19499</v>
      </c>
      <c r="AE171" s="32">
        <f>AD172</f>
        <v>8632</v>
      </c>
      <c r="AF171" s="32"/>
      <c r="AG171" s="19">
        <v>2888</v>
      </c>
      <c r="AH171" s="19">
        <v>3916</v>
      </c>
      <c r="AI171" s="19">
        <v>3917</v>
      </c>
      <c r="AJ171" s="19">
        <v>23498</v>
      </c>
      <c r="AK171" s="19">
        <v>4161</v>
      </c>
      <c r="AL171" s="19">
        <v>4111</v>
      </c>
      <c r="AM171" s="19">
        <f t="shared" si="106"/>
        <v>3497</v>
      </c>
      <c r="AN171" s="19">
        <f t="shared" si="106"/>
        <v>4635</v>
      </c>
    </row>
    <row r="172" spans="1:40" ht="14.4" outlineLevel="1" x14ac:dyDescent="0.3">
      <c r="A172" t="s">
        <v>116</v>
      </c>
      <c r="B172" s="32">
        <f t="shared" si="92"/>
        <v>3537</v>
      </c>
      <c r="C172" s="32">
        <f>SUM(C170:C171)</f>
        <v>3120</v>
      </c>
      <c r="D172" s="32">
        <f>SUM(D170:D171)</f>
        <v>4206</v>
      </c>
      <c r="E172" s="32">
        <f>SUM(E170:E171)</f>
        <v>3917</v>
      </c>
      <c r="F172" s="32">
        <f t="shared" si="94"/>
        <v>8324</v>
      </c>
      <c r="G172" s="32">
        <f>SUM(G170:G171)</f>
        <v>9113</v>
      </c>
      <c r="H172" s="32">
        <f>SUM(H170:H171)</f>
        <v>10183</v>
      </c>
      <c r="I172" s="32">
        <f>SUM(I170:I171)</f>
        <v>23498</v>
      </c>
      <c r="J172" s="32">
        <f t="shared" si="96"/>
        <v>11495</v>
      </c>
      <c r="K172" s="32">
        <f>SUM(K170:K171)</f>
        <v>6085</v>
      </c>
      <c r="L172" s="32">
        <f>SUM(L170:L171)</f>
        <v>11111</v>
      </c>
      <c r="M172" s="32">
        <f>SUM(M170:M171)</f>
        <v>4161</v>
      </c>
      <c r="N172" s="32">
        <f t="shared" si="98"/>
        <v>3232</v>
      </c>
      <c r="O172" s="32">
        <f>SUM(O170:O171)</f>
        <v>3333</v>
      </c>
      <c r="P172" s="32">
        <f>SUM(P170:P171)</f>
        <v>3587</v>
      </c>
      <c r="Q172" s="32">
        <f>SUM(Q170:Q171)</f>
        <v>4111</v>
      </c>
      <c r="R172" s="32">
        <f t="shared" si="100"/>
        <v>3907</v>
      </c>
      <c r="S172" s="32">
        <f>SUM(S170:S171)</f>
        <v>6345</v>
      </c>
      <c r="T172" s="32">
        <f>SUM(T170:T171)</f>
        <v>5660</v>
      </c>
      <c r="U172" s="32">
        <f>SUM(U170:U171)</f>
        <v>3497</v>
      </c>
      <c r="V172" s="32">
        <f t="shared" si="102"/>
        <v>3908</v>
      </c>
      <c r="W172" s="32">
        <f>SUM(W170:W171)</f>
        <v>3894</v>
      </c>
      <c r="X172" s="32">
        <f>SUM(X170:X171)</f>
        <v>5387</v>
      </c>
      <c r="Y172" s="32">
        <f>SUM(Y170:Y171)</f>
        <v>4635</v>
      </c>
      <c r="Z172" s="32">
        <f t="shared" si="104"/>
        <v>2772</v>
      </c>
      <c r="AA172" s="32">
        <f>SUM(AA170:AA171)</f>
        <v>3931</v>
      </c>
      <c r="AB172" s="32">
        <f>SUM(AB170:AB171)</f>
        <v>8156</v>
      </c>
      <c r="AC172" s="32">
        <f>SUM(AC170:AC171)</f>
        <v>19499</v>
      </c>
      <c r="AD172" s="32">
        <f t="shared" si="105"/>
        <v>8632</v>
      </c>
      <c r="AE172" s="32">
        <f>SUM(AE170:AE171)</f>
        <v>2304</v>
      </c>
      <c r="AF172" s="32"/>
      <c r="AG172" s="19">
        <v>3916</v>
      </c>
      <c r="AH172" s="19">
        <v>3917</v>
      </c>
      <c r="AI172" s="19">
        <v>23498</v>
      </c>
      <c r="AJ172" s="19">
        <v>4161</v>
      </c>
      <c r="AK172" s="19">
        <v>4111</v>
      </c>
      <c r="AL172" s="19">
        <v>3497</v>
      </c>
      <c r="AM172" s="19">
        <f t="shared" si="106"/>
        <v>4635</v>
      </c>
      <c r="AN172" s="19">
        <f t="shared" si="106"/>
        <v>19499</v>
      </c>
    </row>
    <row r="173" spans="1:40" outlineLevel="1" x14ac:dyDescent="0.25">
      <c r="A173" t="s">
        <v>83</v>
      </c>
      <c r="B173" s="32" t="b">
        <f t="shared" ref="B173:AD173" si="107">IF(B131=B22, TRUE, FALSE)</f>
        <v>1</v>
      </c>
      <c r="C173" s="32" t="b">
        <f t="shared" si="107"/>
        <v>1</v>
      </c>
      <c r="D173" s="32" t="b">
        <f t="shared" si="107"/>
        <v>1</v>
      </c>
      <c r="E173" s="32" t="b">
        <f t="shared" si="107"/>
        <v>0</v>
      </c>
      <c r="F173" s="32" t="b">
        <f t="shared" si="107"/>
        <v>1</v>
      </c>
      <c r="G173" s="32" t="b">
        <f t="shared" si="107"/>
        <v>1</v>
      </c>
      <c r="H173" s="32" t="b">
        <f t="shared" si="107"/>
        <v>1</v>
      </c>
      <c r="I173" s="32" t="b">
        <f t="shared" si="107"/>
        <v>1</v>
      </c>
      <c r="J173" s="32" t="b">
        <f t="shared" si="107"/>
        <v>1</v>
      </c>
      <c r="K173" s="32" t="b">
        <f t="shared" si="107"/>
        <v>1</v>
      </c>
      <c r="L173" s="32" t="b">
        <f t="shared" si="107"/>
        <v>1</v>
      </c>
      <c r="M173" s="32" t="b">
        <f t="shared" si="107"/>
        <v>1</v>
      </c>
      <c r="N173" s="32" t="b">
        <f t="shared" si="107"/>
        <v>1</v>
      </c>
      <c r="O173" s="32" t="b">
        <f t="shared" si="107"/>
        <v>1</v>
      </c>
      <c r="P173" s="32" t="b">
        <f t="shared" si="107"/>
        <v>1</v>
      </c>
      <c r="Q173" s="32" t="b">
        <f t="shared" si="107"/>
        <v>1</v>
      </c>
      <c r="R173" s="32" t="b">
        <f t="shared" si="107"/>
        <v>1</v>
      </c>
      <c r="S173" s="32" t="b">
        <f t="shared" si="107"/>
        <v>1</v>
      </c>
      <c r="T173" s="32" t="b">
        <f t="shared" si="107"/>
        <v>1</v>
      </c>
      <c r="U173" s="32" t="b">
        <f t="shared" si="107"/>
        <v>1</v>
      </c>
      <c r="V173" s="32" t="b">
        <f t="shared" si="107"/>
        <v>1</v>
      </c>
      <c r="W173" s="32" t="b">
        <f t="shared" si="107"/>
        <v>1</v>
      </c>
      <c r="X173" s="32" t="b">
        <f t="shared" si="107"/>
        <v>1</v>
      </c>
      <c r="Y173" s="32" t="b">
        <f t="shared" si="107"/>
        <v>1</v>
      </c>
      <c r="Z173" s="32" t="b">
        <f t="shared" si="107"/>
        <v>1</v>
      </c>
      <c r="AA173" s="32" t="b">
        <f t="shared" si="107"/>
        <v>1</v>
      </c>
      <c r="AB173" s="32" t="b">
        <f t="shared" si="107"/>
        <v>1</v>
      </c>
      <c r="AC173" s="32" t="b">
        <f t="shared" si="107"/>
        <v>1</v>
      </c>
      <c r="AD173" s="32" t="b">
        <f t="shared" si="107"/>
        <v>1</v>
      </c>
      <c r="AE173" s="32" t="b">
        <f t="shared" ref="AE173" si="108">IF(AE131=AE22, TRUE, FALSE)</f>
        <v>1</v>
      </c>
      <c r="AF173" s="32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DCBE-7A27-401F-8009-C68A7D202B96}">
  <dimension ref="A1:AL119"/>
  <sheetViews>
    <sheetView showGridLines="0" zoomScale="60" zoomScaleNormal="100" workbookViewId="0">
      <pane xSplit="1" ySplit="2" topLeftCell="N52" activePane="bottomRight" state="frozen"/>
      <selection pane="topRight"/>
      <selection pane="bottomLeft"/>
      <selection pane="bottomRight" activeCell="AA72" sqref="AA72"/>
    </sheetView>
  </sheetViews>
  <sheetFormatPr defaultRowHeight="13.2" outlineLevelRow="1" x14ac:dyDescent="0.25"/>
  <cols>
    <col min="1" max="1" width="39.109375" customWidth="1"/>
    <col min="2" max="13" width="10.33203125" bestFit="1" customWidth="1"/>
    <col min="14" max="16" width="10.5546875" bestFit="1" customWidth="1"/>
    <col min="18" max="20" width="10.5546875" bestFit="1" customWidth="1"/>
    <col min="22" max="27" width="10.5546875" bestFit="1" customWidth="1"/>
    <col min="28" max="30" width="10.5546875" customWidth="1"/>
  </cols>
  <sheetData>
    <row r="1" spans="1:38" x14ac:dyDescent="0.25">
      <c r="A1" s="6"/>
      <c r="B1" s="6" t="s">
        <v>118</v>
      </c>
      <c r="C1" s="6" t="s">
        <v>119</v>
      </c>
      <c r="D1" s="6" t="s">
        <v>120</v>
      </c>
      <c r="E1" s="6" t="s">
        <v>121</v>
      </c>
      <c r="F1" s="6" t="s">
        <v>122</v>
      </c>
      <c r="G1" s="6" t="s">
        <v>123</v>
      </c>
      <c r="H1" s="6" t="s">
        <v>124</v>
      </c>
      <c r="I1" s="6" t="s">
        <v>125</v>
      </c>
      <c r="J1" s="6" t="s">
        <v>126</v>
      </c>
      <c r="K1" s="6" t="s">
        <v>127</v>
      </c>
      <c r="L1" s="6" t="s">
        <v>128</v>
      </c>
      <c r="M1" s="6" t="s">
        <v>129</v>
      </c>
      <c r="N1" s="6" t="s">
        <v>130</v>
      </c>
      <c r="O1" s="6" t="s">
        <v>131</v>
      </c>
      <c r="P1" s="6" t="s">
        <v>132</v>
      </c>
      <c r="Q1" s="6" t="s">
        <v>133</v>
      </c>
      <c r="R1" s="6" t="s">
        <v>134</v>
      </c>
      <c r="S1" s="6" t="s">
        <v>135</v>
      </c>
      <c r="T1" s="6" t="s">
        <v>136</v>
      </c>
      <c r="U1" s="6" t="s">
        <v>137</v>
      </c>
      <c r="V1" s="6" t="s">
        <v>2</v>
      </c>
      <c r="W1" s="6" t="s">
        <v>3</v>
      </c>
      <c r="X1" s="6" t="s">
        <v>4</v>
      </c>
      <c r="Y1" s="6" t="s">
        <v>5</v>
      </c>
      <c r="Z1" s="6" t="s">
        <v>6</v>
      </c>
      <c r="AA1" s="6" t="s">
        <v>7</v>
      </c>
      <c r="AB1" s="6" t="s">
        <v>8</v>
      </c>
      <c r="AC1" s="6" t="s">
        <v>138</v>
      </c>
      <c r="AD1" s="6" t="s">
        <v>139</v>
      </c>
      <c r="AE1" s="6" t="s">
        <v>283</v>
      </c>
      <c r="AG1" s="6">
        <v>2018</v>
      </c>
      <c r="AH1" s="6">
        <v>2019</v>
      </c>
      <c r="AI1" s="6">
        <v>2020</v>
      </c>
      <c r="AJ1" s="6">
        <v>2021</v>
      </c>
      <c r="AK1" s="6">
        <v>2022</v>
      </c>
      <c r="AL1" s="6">
        <v>2023</v>
      </c>
    </row>
    <row r="2" spans="1:38" ht="12.45" x14ac:dyDescent="0.25">
      <c r="A2" s="46" t="s">
        <v>140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38" ht="12.45" outlineLevel="1" x14ac:dyDescent="0.25">
      <c r="A3" s="47" t="s">
        <v>141</v>
      </c>
    </row>
    <row r="4" spans="1:38" outlineLevel="1" x14ac:dyDescent="0.25">
      <c r="A4" s="48" t="s">
        <v>142</v>
      </c>
      <c r="B4" s="49">
        <v>16259</v>
      </c>
      <c r="C4" s="49">
        <v>16350</v>
      </c>
      <c r="D4" s="49">
        <v>16433</v>
      </c>
      <c r="E4" s="49">
        <v>16341</v>
      </c>
      <c r="F4" s="49">
        <v>16341</v>
      </c>
      <c r="G4" s="49">
        <v>15900</v>
      </c>
      <c r="H4" s="49">
        <v>16255</v>
      </c>
      <c r="I4" s="49">
        <v>16388</v>
      </c>
      <c r="J4" s="49">
        <v>16569</v>
      </c>
      <c r="K4" s="49">
        <v>16709</v>
      </c>
      <c r="L4" s="49">
        <v>16891</v>
      </c>
      <c r="M4" s="49">
        <v>17564</v>
      </c>
      <c r="N4" s="50">
        <v>18126</v>
      </c>
      <c r="O4" s="50">
        <v>18149</v>
      </c>
      <c r="P4" s="50">
        <v>18421</v>
      </c>
      <c r="Q4" s="50">
        <v>18443</v>
      </c>
      <c r="R4" s="50">
        <v>18456</v>
      </c>
      <c r="S4" s="50">
        <v>18641</v>
      </c>
      <c r="T4" s="50">
        <v>18850</v>
      </c>
      <c r="U4" s="50">
        <v>18927</v>
      </c>
      <c r="V4" s="50">
        <v>19624</v>
      </c>
      <c r="W4" s="50">
        <v>19851</v>
      </c>
      <c r="X4" s="50">
        <v>19919</v>
      </c>
      <c r="Y4" s="50">
        <v>20064</v>
      </c>
      <c r="Z4" s="50">
        <v>18801</v>
      </c>
      <c r="AA4" s="50">
        <v>19002</v>
      </c>
      <c r="AB4" s="50">
        <v>19096</v>
      </c>
      <c r="AC4" s="50">
        <v>19024</v>
      </c>
      <c r="AD4" s="50">
        <v>19180</v>
      </c>
      <c r="AE4" s="50">
        <v>19637</v>
      </c>
    </row>
    <row r="5" spans="1:38" outlineLevel="1" x14ac:dyDescent="0.25">
      <c r="A5" s="48" t="s">
        <v>143</v>
      </c>
      <c r="B5" s="49">
        <v>4166</v>
      </c>
      <c r="C5" s="49">
        <v>3903</v>
      </c>
      <c r="D5" s="49">
        <v>4257</v>
      </c>
      <c r="E5" s="49">
        <v>5722</v>
      </c>
      <c r="F5" s="49">
        <v>3377</v>
      </c>
      <c r="G5" s="49">
        <v>3209</v>
      </c>
      <c r="H5" s="49">
        <v>3403</v>
      </c>
      <c r="I5" s="49">
        <v>5503</v>
      </c>
      <c r="J5" s="49">
        <v>4192</v>
      </c>
      <c r="K5" s="49">
        <v>4739</v>
      </c>
      <c r="L5" s="49">
        <v>4530</v>
      </c>
      <c r="M5" s="49">
        <v>6320</v>
      </c>
      <c r="N5" s="50">
        <v>5374</v>
      </c>
      <c r="O5" s="50">
        <v>5708</v>
      </c>
      <c r="P5" s="50">
        <v>5558</v>
      </c>
      <c r="Q5" s="50">
        <v>6528</v>
      </c>
      <c r="R5" s="50">
        <v>4878</v>
      </c>
      <c r="S5" s="50">
        <v>4430</v>
      </c>
      <c r="T5" s="50">
        <v>4902</v>
      </c>
      <c r="U5" s="50">
        <v>6435</v>
      </c>
      <c r="V5" s="50">
        <v>4490</v>
      </c>
      <c r="W5" s="50">
        <v>4143</v>
      </c>
      <c r="X5" s="50">
        <v>4478</v>
      </c>
      <c r="Y5" s="50">
        <v>6487</v>
      </c>
      <c r="Z5" s="50">
        <v>4532</v>
      </c>
      <c r="AA5" s="50">
        <v>5369</v>
      </c>
      <c r="AB5" s="50">
        <v>4766</v>
      </c>
      <c r="AC5" s="50">
        <v>7112</v>
      </c>
      <c r="AD5" s="50">
        <v>4824</v>
      </c>
      <c r="AE5" s="50">
        <v>4178</v>
      </c>
    </row>
    <row r="6" spans="1:38" outlineLevel="1" x14ac:dyDescent="0.25">
      <c r="A6" s="48" t="s">
        <v>144</v>
      </c>
      <c r="B6" s="49">
        <v>1723</v>
      </c>
      <c r="C6" s="49">
        <v>1742</v>
      </c>
      <c r="D6" s="49">
        <v>2016</v>
      </c>
      <c r="E6" s="49">
        <v>2144</v>
      </c>
      <c r="F6" s="49">
        <v>2047</v>
      </c>
      <c r="G6" s="49">
        <v>2004</v>
      </c>
      <c r="H6" s="49">
        <v>2078</v>
      </c>
      <c r="I6" s="49">
        <v>2028</v>
      </c>
      <c r="J6" s="49">
        <v>2037</v>
      </c>
      <c r="K6" s="49">
        <v>2029</v>
      </c>
      <c r="L6" s="49">
        <v>1907</v>
      </c>
      <c r="M6" s="49">
        <v>1813</v>
      </c>
      <c r="N6" s="50">
        <v>1792</v>
      </c>
      <c r="O6" s="50">
        <v>1747</v>
      </c>
      <c r="P6" s="50">
        <v>1861</v>
      </c>
      <c r="Q6" s="50">
        <v>1799</v>
      </c>
      <c r="R6" s="50">
        <v>1523</v>
      </c>
      <c r="S6" s="50">
        <v>1487</v>
      </c>
      <c r="T6" s="50">
        <v>1505</v>
      </c>
      <c r="U6" s="50">
        <v>1592</v>
      </c>
      <c r="V6" s="50">
        <v>943</v>
      </c>
      <c r="W6" s="50">
        <v>933</v>
      </c>
      <c r="X6" s="50">
        <v>963</v>
      </c>
      <c r="Y6" s="50">
        <v>1009</v>
      </c>
      <c r="Z6" s="50">
        <v>2285</v>
      </c>
      <c r="AA6" s="50">
        <v>2277</v>
      </c>
      <c r="AB6" s="50">
        <v>2243</v>
      </c>
      <c r="AC6" s="50">
        <v>2300</v>
      </c>
      <c r="AD6" s="50">
        <v>2449</v>
      </c>
      <c r="AE6" s="50">
        <v>2427</v>
      </c>
    </row>
    <row r="7" spans="1:38" outlineLevel="1" x14ac:dyDescent="0.25">
      <c r="A7" s="51" t="s">
        <v>145</v>
      </c>
      <c r="B7" s="52">
        <f>SUM(B4:B6)</f>
        <v>22148</v>
      </c>
      <c r="C7" s="52">
        <f t="shared" ref="C7:Y7" si="0">SUM(C4:C6)</f>
        <v>21995</v>
      </c>
      <c r="D7" s="52">
        <f t="shared" si="0"/>
        <v>22706</v>
      </c>
      <c r="E7" s="52">
        <f t="shared" si="0"/>
        <v>24207</v>
      </c>
      <c r="F7" s="52">
        <f t="shared" si="0"/>
        <v>21765</v>
      </c>
      <c r="G7" s="52">
        <f t="shared" si="0"/>
        <v>21113</v>
      </c>
      <c r="H7" s="52">
        <f t="shared" si="0"/>
        <v>21736</v>
      </c>
      <c r="I7" s="52">
        <f t="shared" si="0"/>
        <v>23919</v>
      </c>
      <c r="J7" s="52">
        <f t="shared" si="0"/>
        <v>22798</v>
      </c>
      <c r="K7" s="52">
        <f t="shared" si="0"/>
        <v>23477</v>
      </c>
      <c r="L7" s="52">
        <f t="shared" si="0"/>
        <v>23328</v>
      </c>
      <c r="M7" s="52">
        <f t="shared" si="0"/>
        <v>25697</v>
      </c>
      <c r="N7" s="53">
        <f t="shared" si="0"/>
        <v>25292</v>
      </c>
      <c r="O7" s="53">
        <f t="shared" si="0"/>
        <v>25604</v>
      </c>
      <c r="P7" s="53">
        <f t="shared" si="0"/>
        <v>25840</v>
      </c>
      <c r="Q7" s="53">
        <f t="shared" si="0"/>
        <v>26770</v>
      </c>
      <c r="R7" s="53">
        <f t="shared" si="0"/>
        <v>24857</v>
      </c>
      <c r="S7" s="53">
        <f t="shared" si="0"/>
        <v>24558</v>
      </c>
      <c r="T7" s="53">
        <f t="shared" si="0"/>
        <v>25257</v>
      </c>
      <c r="U7" s="53">
        <f t="shared" si="0"/>
        <v>26954</v>
      </c>
      <c r="V7" s="53">
        <f t="shared" si="0"/>
        <v>25057</v>
      </c>
      <c r="W7" s="53">
        <f t="shared" si="0"/>
        <v>24927</v>
      </c>
      <c r="X7" s="53">
        <f t="shared" si="0"/>
        <v>25360</v>
      </c>
      <c r="Y7" s="53">
        <f t="shared" si="0"/>
        <v>27560</v>
      </c>
      <c r="Z7" s="53">
        <v>25618</v>
      </c>
      <c r="AA7" s="50">
        <v>26648</v>
      </c>
      <c r="AB7" s="50">
        <v>26105</v>
      </c>
      <c r="AC7" s="50">
        <v>28436</v>
      </c>
      <c r="AD7" s="50">
        <v>26453</v>
      </c>
      <c r="AE7" s="50">
        <v>26242</v>
      </c>
    </row>
    <row r="8" spans="1:38" ht="12.45" outlineLevel="1" x14ac:dyDescent="0.25">
      <c r="A8" s="47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38" ht="12.45" outlineLevel="1" x14ac:dyDescent="0.25">
      <c r="A9" s="54" t="s">
        <v>146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38" ht="12.45" outlineLevel="1" x14ac:dyDescent="0.25">
      <c r="A10" s="47" t="s">
        <v>141</v>
      </c>
    </row>
    <row r="11" spans="1:38" ht="12.45" outlineLevel="1" x14ac:dyDescent="0.25">
      <c r="A11" s="48" t="s">
        <v>147</v>
      </c>
      <c r="B11" s="49">
        <v>16259</v>
      </c>
      <c r="C11" s="49">
        <v>16350</v>
      </c>
      <c r="D11" s="49">
        <v>16433</v>
      </c>
      <c r="E11" s="49">
        <v>16341</v>
      </c>
      <c r="F11" s="49">
        <v>16341</v>
      </c>
      <c r="G11" s="49">
        <v>15900</v>
      </c>
      <c r="H11" s="49">
        <v>16255</v>
      </c>
      <c r="I11" s="49">
        <v>16388</v>
      </c>
      <c r="J11" s="49">
        <v>16569</v>
      </c>
      <c r="K11" s="49">
        <v>16709</v>
      </c>
      <c r="L11" s="49">
        <v>16891</v>
      </c>
      <c r="M11" s="49">
        <v>17564</v>
      </c>
      <c r="N11" s="50">
        <v>18126</v>
      </c>
      <c r="O11" s="50">
        <v>18149</v>
      </c>
      <c r="P11" s="50">
        <v>18421</v>
      </c>
      <c r="Q11" s="50">
        <v>18443</v>
      </c>
      <c r="R11" s="50">
        <v>18456</v>
      </c>
      <c r="S11" s="50">
        <v>18641</v>
      </c>
      <c r="T11" s="50">
        <v>18850</v>
      </c>
      <c r="U11" s="50">
        <v>18927</v>
      </c>
      <c r="V11" s="50">
        <v>19624</v>
      </c>
      <c r="W11" s="50">
        <v>19851</v>
      </c>
      <c r="X11" s="50">
        <v>19919</v>
      </c>
      <c r="Y11" s="50">
        <v>20064</v>
      </c>
      <c r="Z11" s="50">
        <v>20066</v>
      </c>
      <c r="AA11" s="50">
        <v>20260</v>
      </c>
      <c r="AB11" s="50">
        <v>20338</v>
      </c>
      <c r="AC11" s="50">
        <v>20248</v>
      </c>
    </row>
    <row r="12" spans="1:38" ht="12.45" outlineLevel="1" x14ac:dyDescent="0.25">
      <c r="A12" s="48" t="s">
        <v>143</v>
      </c>
      <c r="B12" s="49">
        <v>4166</v>
      </c>
      <c r="C12" s="49">
        <v>3903</v>
      </c>
      <c r="D12" s="49">
        <v>4257</v>
      </c>
      <c r="E12" s="49">
        <v>5722</v>
      </c>
      <c r="F12" s="49">
        <v>3377</v>
      </c>
      <c r="G12" s="49">
        <v>3209</v>
      </c>
      <c r="H12" s="49">
        <v>3403</v>
      </c>
      <c r="I12" s="49">
        <v>5503</v>
      </c>
      <c r="J12" s="49">
        <v>4192</v>
      </c>
      <c r="K12" s="49">
        <v>4739</v>
      </c>
      <c r="L12" s="49">
        <v>4530</v>
      </c>
      <c r="M12" s="49">
        <v>6320</v>
      </c>
      <c r="N12" s="50">
        <v>5374</v>
      </c>
      <c r="O12" s="50">
        <v>5708</v>
      </c>
      <c r="P12" s="50">
        <v>5558</v>
      </c>
      <c r="Q12" s="50">
        <v>6528</v>
      </c>
      <c r="R12" s="50">
        <v>4878</v>
      </c>
      <c r="S12" s="50">
        <v>4430</v>
      </c>
      <c r="T12" s="50">
        <v>4902</v>
      </c>
      <c r="U12" s="50">
        <v>6435</v>
      </c>
      <c r="V12" s="50">
        <v>4490</v>
      </c>
      <c r="W12" s="50">
        <v>4143</v>
      </c>
      <c r="X12" s="50">
        <v>4478</v>
      </c>
      <c r="Y12" s="50">
        <v>6487</v>
      </c>
      <c r="Z12" s="50">
        <v>4532</v>
      </c>
      <c r="AA12" s="50">
        <v>5369</v>
      </c>
      <c r="AB12" s="50">
        <v>4766</v>
      </c>
      <c r="AC12" s="50">
        <v>7112</v>
      </c>
    </row>
    <row r="13" spans="1:38" ht="12.45" outlineLevel="1" x14ac:dyDescent="0.25">
      <c r="A13" s="48" t="s">
        <v>144</v>
      </c>
      <c r="B13" s="49">
        <v>1723</v>
      </c>
      <c r="C13" s="49">
        <v>1742</v>
      </c>
      <c r="D13" s="49">
        <v>2016</v>
      </c>
      <c r="E13" s="49">
        <v>2144</v>
      </c>
      <c r="F13" s="49">
        <v>2047</v>
      </c>
      <c r="G13" s="49">
        <v>2004</v>
      </c>
      <c r="H13" s="49">
        <v>2078</v>
      </c>
      <c r="I13" s="49">
        <v>2028</v>
      </c>
      <c r="J13" s="49">
        <v>2037</v>
      </c>
      <c r="K13" s="49">
        <v>2029</v>
      </c>
      <c r="L13" s="49">
        <v>1907</v>
      </c>
      <c r="M13" s="49">
        <v>1813</v>
      </c>
      <c r="N13" s="50">
        <v>1792</v>
      </c>
      <c r="O13" s="50">
        <v>1747</v>
      </c>
      <c r="P13" s="50">
        <v>1861</v>
      </c>
      <c r="Q13" s="50">
        <v>1799</v>
      </c>
      <c r="R13" s="50">
        <v>1523</v>
      </c>
      <c r="S13" s="50">
        <v>1487</v>
      </c>
      <c r="T13" s="50">
        <v>1505</v>
      </c>
      <c r="U13" s="50">
        <v>1592</v>
      </c>
      <c r="V13" s="50">
        <v>943</v>
      </c>
      <c r="W13" s="50">
        <v>933</v>
      </c>
      <c r="X13" s="50">
        <v>963</v>
      </c>
      <c r="Y13" s="50">
        <v>1009</v>
      </c>
      <c r="Z13" s="50">
        <v>1020</v>
      </c>
      <c r="AA13" s="50">
        <v>1019</v>
      </c>
      <c r="AB13" s="50">
        <v>1001</v>
      </c>
      <c r="AC13" s="50">
        <v>1076</v>
      </c>
    </row>
    <row r="14" spans="1:38" ht="12.45" outlineLevel="1" x14ac:dyDescent="0.25">
      <c r="A14" s="51" t="s">
        <v>145</v>
      </c>
      <c r="B14" s="52">
        <f>SUM(B11:B13)</f>
        <v>22148</v>
      </c>
      <c r="C14" s="52">
        <f t="shared" ref="C14:Y14" si="1">SUM(C11:C13)</f>
        <v>21995</v>
      </c>
      <c r="D14" s="52">
        <f t="shared" si="1"/>
        <v>22706</v>
      </c>
      <c r="E14" s="52">
        <f t="shared" si="1"/>
        <v>24207</v>
      </c>
      <c r="F14" s="52">
        <f t="shared" si="1"/>
        <v>21765</v>
      </c>
      <c r="G14" s="52">
        <f t="shared" si="1"/>
        <v>21113</v>
      </c>
      <c r="H14" s="52">
        <f t="shared" si="1"/>
        <v>21736</v>
      </c>
      <c r="I14" s="52">
        <f t="shared" si="1"/>
        <v>23919</v>
      </c>
      <c r="J14" s="52">
        <f t="shared" si="1"/>
        <v>22798</v>
      </c>
      <c r="K14" s="52">
        <f t="shared" si="1"/>
        <v>23477</v>
      </c>
      <c r="L14" s="52">
        <f t="shared" si="1"/>
        <v>23328</v>
      </c>
      <c r="M14" s="52">
        <f t="shared" si="1"/>
        <v>25697</v>
      </c>
      <c r="N14" s="53">
        <f t="shared" si="1"/>
        <v>25292</v>
      </c>
      <c r="O14" s="53">
        <f t="shared" si="1"/>
        <v>25604</v>
      </c>
      <c r="P14" s="53">
        <f t="shared" si="1"/>
        <v>25840</v>
      </c>
      <c r="Q14" s="53">
        <f t="shared" si="1"/>
        <v>26770</v>
      </c>
      <c r="R14" s="53">
        <f t="shared" si="1"/>
        <v>24857</v>
      </c>
      <c r="S14" s="53">
        <f t="shared" si="1"/>
        <v>24558</v>
      </c>
      <c r="T14" s="53">
        <f t="shared" si="1"/>
        <v>25257</v>
      </c>
      <c r="U14" s="53">
        <f t="shared" si="1"/>
        <v>26954</v>
      </c>
      <c r="V14" s="53">
        <f t="shared" si="1"/>
        <v>25057</v>
      </c>
      <c r="W14" s="53">
        <f t="shared" si="1"/>
        <v>24927</v>
      </c>
      <c r="X14" s="53">
        <f t="shared" si="1"/>
        <v>25360</v>
      </c>
      <c r="Y14" s="53">
        <f t="shared" si="1"/>
        <v>27560</v>
      </c>
      <c r="Z14" s="53">
        <v>25618</v>
      </c>
      <c r="AA14" s="50">
        <v>26648</v>
      </c>
      <c r="AB14" s="50">
        <v>26105</v>
      </c>
      <c r="AC14" s="50">
        <v>28436</v>
      </c>
    </row>
    <row r="15" spans="1:38" ht="12.45" outlineLevel="1" x14ac:dyDescent="0.25">
      <c r="A15" s="47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0"/>
      <c r="AB15" s="50"/>
      <c r="AC15" s="50"/>
    </row>
    <row r="16" spans="1:38" ht="12.45" outlineLevel="1" x14ac:dyDescent="0.25">
      <c r="A16" s="54" t="s">
        <v>148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31" ht="12.45" outlineLevel="1" x14ac:dyDescent="0.25">
      <c r="A17" s="47" t="s">
        <v>141</v>
      </c>
    </row>
    <row r="18" spans="1:31" ht="12.45" outlineLevel="1" x14ac:dyDescent="0.25">
      <c r="A18" s="48" t="s">
        <v>147</v>
      </c>
      <c r="B18" s="49">
        <v>16259</v>
      </c>
      <c r="C18" s="49">
        <v>16350</v>
      </c>
      <c r="D18" s="49">
        <v>16433</v>
      </c>
      <c r="E18" s="49">
        <v>16341</v>
      </c>
      <c r="F18" s="49">
        <v>16341</v>
      </c>
      <c r="G18" s="49">
        <v>15900</v>
      </c>
      <c r="H18" s="49">
        <v>16255</v>
      </c>
      <c r="I18" s="49">
        <v>16388</v>
      </c>
      <c r="J18" s="49">
        <v>16569</v>
      </c>
      <c r="K18" s="49">
        <v>16709</v>
      </c>
      <c r="L18" s="49">
        <v>16891</v>
      </c>
      <c r="M18" s="49">
        <v>17564</v>
      </c>
      <c r="N18" s="50">
        <v>18126</v>
      </c>
      <c r="O18" s="50">
        <v>18149</v>
      </c>
      <c r="P18" s="50">
        <v>18421</v>
      </c>
      <c r="Q18" s="50">
        <v>18443</v>
      </c>
      <c r="R18" s="50">
        <v>18456</v>
      </c>
      <c r="S18" s="50">
        <v>18641</v>
      </c>
      <c r="T18" s="50">
        <v>18850</v>
      </c>
      <c r="U18" s="50">
        <v>18927</v>
      </c>
      <c r="V18" s="50">
        <v>18998</v>
      </c>
      <c r="W18" s="50">
        <v>19208</v>
      </c>
      <c r="X18" s="50">
        <v>19260</v>
      </c>
      <c r="Y18" s="50">
        <v>19414</v>
      </c>
      <c r="Z18" s="50">
        <v>20066</v>
      </c>
    </row>
    <row r="19" spans="1:31" ht="12.45" outlineLevel="1" x14ac:dyDescent="0.25">
      <c r="A19" s="48" t="s">
        <v>143</v>
      </c>
      <c r="B19" s="49">
        <v>4166</v>
      </c>
      <c r="C19" s="49">
        <v>3903</v>
      </c>
      <c r="D19" s="49">
        <v>4257</v>
      </c>
      <c r="E19" s="49">
        <v>5722</v>
      </c>
      <c r="F19" s="49">
        <v>3377</v>
      </c>
      <c r="G19" s="49">
        <v>3209</v>
      </c>
      <c r="H19" s="49">
        <v>3403</v>
      </c>
      <c r="I19" s="49">
        <v>5503</v>
      </c>
      <c r="J19" s="49">
        <v>4192</v>
      </c>
      <c r="K19" s="49">
        <v>4739</v>
      </c>
      <c r="L19" s="49">
        <v>4530</v>
      </c>
      <c r="M19" s="49">
        <v>6320</v>
      </c>
      <c r="N19" s="50">
        <v>5374</v>
      </c>
      <c r="O19" s="50">
        <v>5708</v>
      </c>
      <c r="P19" s="50">
        <v>5558</v>
      </c>
      <c r="Q19" s="50">
        <v>6528</v>
      </c>
      <c r="R19" s="50">
        <v>4878</v>
      </c>
      <c r="S19" s="50">
        <v>4430</v>
      </c>
      <c r="T19" s="50">
        <v>4902</v>
      </c>
      <c r="U19" s="50">
        <v>6435</v>
      </c>
      <c r="V19" s="50">
        <v>4490</v>
      </c>
      <c r="W19" s="50">
        <v>4143</v>
      </c>
      <c r="X19" s="50">
        <v>4478</v>
      </c>
      <c r="Y19" s="50">
        <v>6487</v>
      </c>
      <c r="Z19" s="50">
        <v>4532</v>
      </c>
    </row>
    <row r="20" spans="1:31" ht="12.45" outlineLevel="1" x14ac:dyDescent="0.25">
      <c r="A20" s="48" t="s">
        <v>144</v>
      </c>
      <c r="B20" s="49">
        <v>1723</v>
      </c>
      <c r="C20" s="49">
        <v>1742</v>
      </c>
      <c r="D20" s="49">
        <v>2016</v>
      </c>
      <c r="E20" s="49">
        <v>2144</v>
      </c>
      <c r="F20" s="49">
        <v>2047</v>
      </c>
      <c r="G20" s="49">
        <v>2004</v>
      </c>
      <c r="H20" s="49">
        <v>2078</v>
      </c>
      <c r="I20" s="49">
        <v>2028</v>
      </c>
      <c r="J20" s="49">
        <v>2037</v>
      </c>
      <c r="K20" s="49">
        <v>2029</v>
      </c>
      <c r="L20" s="49">
        <v>1907</v>
      </c>
      <c r="M20" s="49">
        <v>1813</v>
      </c>
      <c r="N20" s="50">
        <v>1792</v>
      </c>
      <c r="O20" s="50">
        <v>1747</v>
      </c>
      <c r="P20" s="50">
        <v>1861</v>
      </c>
      <c r="Q20" s="50">
        <v>1799</v>
      </c>
      <c r="R20" s="50">
        <v>1523</v>
      </c>
      <c r="S20" s="50">
        <v>1487</v>
      </c>
      <c r="T20" s="50">
        <v>1505</v>
      </c>
      <c r="U20" s="50">
        <v>1592</v>
      </c>
      <c r="V20" s="50">
        <v>1517</v>
      </c>
      <c r="W20" s="50">
        <v>1576</v>
      </c>
      <c r="X20" s="50">
        <v>1622</v>
      </c>
      <c r="Y20" s="50">
        <v>1659</v>
      </c>
      <c r="Z20" s="50">
        <v>1020</v>
      </c>
    </row>
    <row r="21" spans="1:31" ht="12.45" outlineLevel="1" x14ac:dyDescent="0.25">
      <c r="A21" s="51" t="s">
        <v>145</v>
      </c>
      <c r="B21" s="52">
        <f>SUM(B18:B20)</f>
        <v>22148</v>
      </c>
      <c r="C21" s="52">
        <f t="shared" ref="C21:Y21" si="2">SUM(C18:C20)</f>
        <v>21995</v>
      </c>
      <c r="D21" s="52">
        <f t="shared" si="2"/>
        <v>22706</v>
      </c>
      <c r="E21" s="52">
        <f t="shared" si="2"/>
        <v>24207</v>
      </c>
      <c r="F21" s="52">
        <f t="shared" si="2"/>
        <v>21765</v>
      </c>
      <c r="G21" s="52">
        <f t="shared" si="2"/>
        <v>21113</v>
      </c>
      <c r="H21" s="52">
        <f t="shared" si="2"/>
        <v>21736</v>
      </c>
      <c r="I21" s="52">
        <f t="shared" si="2"/>
        <v>23919</v>
      </c>
      <c r="J21" s="52">
        <f t="shared" si="2"/>
        <v>22798</v>
      </c>
      <c r="K21" s="52">
        <f t="shared" si="2"/>
        <v>23477</v>
      </c>
      <c r="L21" s="52">
        <f t="shared" si="2"/>
        <v>23328</v>
      </c>
      <c r="M21" s="52">
        <f t="shared" si="2"/>
        <v>25697</v>
      </c>
      <c r="N21" s="53">
        <f t="shared" si="2"/>
        <v>25292</v>
      </c>
      <c r="O21" s="53">
        <f t="shared" si="2"/>
        <v>25604</v>
      </c>
      <c r="P21" s="53">
        <f t="shared" si="2"/>
        <v>25840</v>
      </c>
      <c r="Q21" s="53">
        <f t="shared" si="2"/>
        <v>26770</v>
      </c>
      <c r="R21" s="53">
        <f t="shared" si="2"/>
        <v>24857</v>
      </c>
      <c r="S21" s="53">
        <f t="shared" si="2"/>
        <v>24558</v>
      </c>
      <c r="T21" s="53">
        <f t="shared" si="2"/>
        <v>25257</v>
      </c>
      <c r="U21" s="53">
        <f t="shared" si="2"/>
        <v>26954</v>
      </c>
      <c r="V21" s="53">
        <f t="shared" si="2"/>
        <v>25005</v>
      </c>
      <c r="W21" s="53">
        <f t="shared" si="2"/>
        <v>24927</v>
      </c>
      <c r="X21" s="53">
        <f t="shared" si="2"/>
        <v>25360</v>
      </c>
      <c r="Y21" s="53">
        <f t="shared" si="2"/>
        <v>27560</v>
      </c>
      <c r="Z21" s="53">
        <v>25618</v>
      </c>
    </row>
    <row r="22" spans="1:31" ht="12.45" outlineLevel="1" x14ac:dyDescent="0.25">
      <c r="A22" s="47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31" ht="12.45" outlineLevel="1" x14ac:dyDescent="0.25">
      <c r="A23" s="47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31" ht="12.45" outlineLevel="1" x14ac:dyDescent="0.25">
      <c r="A24" s="47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31" ht="12.45" outlineLevel="1" x14ac:dyDescent="0.25">
      <c r="A25" s="5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 spans="1:31" ht="12.45" outlineLevel="1" x14ac:dyDescent="0.25">
      <c r="A26" s="47" t="s">
        <v>149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</row>
    <row r="27" spans="1:31" ht="12.45" outlineLevel="1" x14ac:dyDescent="0.25">
      <c r="A27" s="48" t="s">
        <v>150</v>
      </c>
      <c r="B27" s="49">
        <v>3879</v>
      </c>
      <c r="C27" s="49">
        <v>3847</v>
      </c>
      <c r="D27" s="49">
        <v>4035</v>
      </c>
      <c r="E27" s="49">
        <v>4123</v>
      </c>
      <c r="F27" s="49">
        <v>3930</v>
      </c>
      <c r="G27" s="49">
        <v>3885</v>
      </c>
      <c r="H27" s="49">
        <v>3971</v>
      </c>
      <c r="I27" s="49">
        <v>3824</v>
      </c>
      <c r="J27" s="49">
        <v>4000</v>
      </c>
      <c r="K27" s="49">
        <v>4181</v>
      </c>
      <c r="L27" s="49">
        <v>4149</v>
      </c>
      <c r="M27" s="49">
        <v>4251</v>
      </c>
      <c r="N27" s="49">
        <v>4446</v>
      </c>
      <c r="O27" s="50">
        <v>4284</v>
      </c>
      <c r="P27" s="50">
        <v>4566</v>
      </c>
      <c r="Q27" s="50">
        <v>4450</v>
      </c>
      <c r="R27">
        <v>4432</v>
      </c>
      <c r="S27">
        <v>4367</v>
      </c>
      <c r="T27">
        <v>4419</v>
      </c>
      <c r="U27">
        <v>4362</v>
      </c>
      <c r="V27">
        <v>4537</v>
      </c>
      <c r="W27">
        <v>4450</v>
      </c>
      <c r="X27">
        <v>4567</v>
      </c>
      <c r="Y27">
        <v>4518</v>
      </c>
      <c r="Z27">
        <v>4574</v>
      </c>
      <c r="AA27">
        <v>4581</v>
      </c>
      <c r="AB27">
        <v>4635</v>
      </c>
      <c r="AC27" s="21">
        <v>4643</v>
      </c>
      <c r="AD27" s="21">
        <v>4820</v>
      </c>
      <c r="AE27" s="21">
        <v>4928</v>
      </c>
    </row>
    <row r="28" spans="1:31" ht="12.45" outlineLevel="1" x14ac:dyDescent="0.25">
      <c r="A28" s="48" t="s">
        <v>15</v>
      </c>
      <c r="B28" s="49">
        <v>4142</v>
      </c>
      <c r="C28" s="49">
        <v>3909</v>
      </c>
      <c r="D28" s="49">
        <v>4291</v>
      </c>
      <c r="E28" s="49">
        <v>5877</v>
      </c>
      <c r="F28" s="49">
        <v>3451</v>
      </c>
      <c r="G28" s="49">
        <v>3299</v>
      </c>
      <c r="H28" s="49">
        <v>3411</v>
      </c>
      <c r="I28" s="49">
        <v>5575</v>
      </c>
      <c r="J28" s="49">
        <v>4392</v>
      </c>
      <c r="K28" s="49">
        <v>4854</v>
      </c>
      <c r="L28" s="49">
        <v>4611</v>
      </c>
      <c r="M28" s="49">
        <v>6666</v>
      </c>
      <c r="N28" s="49">
        <v>5813</v>
      </c>
      <c r="O28" s="50">
        <v>6221</v>
      </c>
      <c r="P28" s="50">
        <v>5963</v>
      </c>
      <c r="Q28" s="50">
        <v>7137</v>
      </c>
      <c r="R28">
        <v>5191</v>
      </c>
      <c r="S28">
        <v>4626</v>
      </c>
      <c r="T28">
        <v>5133</v>
      </c>
      <c r="U28">
        <v>6877</v>
      </c>
      <c r="V28">
        <v>4750</v>
      </c>
      <c r="W28">
        <v>4432</v>
      </c>
      <c r="X28">
        <v>4850</v>
      </c>
      <c r="Y28">
        <v>7227</v>
      </c>
      <c r="Z28">
        <v>4912</v>
      </c>
      <c r="AA28">
        <v>5806</v>
      </c>
      <c r="AB28">
        <v>5270</v>
      </c>
      <c r="AC28" s="21">
        <v>7942</v>
      </c>
      <c r="AD28" s="21">
        <v>5303</v>
      </c>
      <c r="AE28" s="21">
        <v>4658</v>
      </c>
    </row>
    <row r="29" spans="1:31" ht="12.45" outlineLevel="1" x14ac:dyDescent="0.25">
      <c r="A29" s="48" t="s">
        <v>16</v>
      </c>
      <c r="B29" s="49">
        <v>3983</v>
      </c>
      <c r="C29" s="49">
        <v>4022</v>
      </c>
      <c r="D29" s="49">
        <v>4085</v>
      </c>
      <c r="E29" s="49">
        <v>4549</v>
      </c>
      <c r="F29" s="49">
        <v>4282</v>
      </c>
      <c r="G29" s="49">
        <v>4016</v>
      </c>
      <c r="H29" s="49">
        <v>4055</v>
      </c>
      <c r="I29" s="49">
        <v>4583</v>
      </c>
      <c r="J29" s="49">
        <v>4026</v>
      </c>
      <c r="K29" s="49">
        <v>4045</v>
      </c>
      <c r="L29" s="49">
        <v>4060</v>
      </c>
      <c r="M29" s="49">
        <v>4431</v>
      </c>
      <c r="N29" s="49">
        <v>4552</v>
      </c>
      <c r="O29" s="50">
        <v>4738</v>
      </c>
      <c r="P29" s="50">
        <v>4730</v>
      </c>
      <c r="Q29" s="50">
        <v>5044</v>
      </c>
      <c r="R29">
        <v>4921</v>
      </c>
      <c r="S29">
        <v>4988</v>
      </c>
      <c r="T29">
        <v>4886</v>
      </c>
      <c r="U29">
        <v>5336</v>
      </c>
      <c r="V29">
        <v>5089</v>
      </c>
      <c r="W29">
        <v>5047</v>
      </c>
      <c r="X29">
        <v>4928</v>
      </c>
      <c r="Y29">
        <v>5473</v>
      </c>
      <c r="Z29">
        <v>5165</v>
      </c>
      <c r="AA29">
        <v>5036</v>
      </c>
      <c r="AB29">
        <v>4968</v>
      </c>
      <c r="AC29" s="21">
        <v>5474</v>
      </c>
      <c r="AD29" s="21">
        <v>4886</v>
      </c>
      <c r="AE29" s="21">
        <v>4837</v>
      </c>
    </row>
    <row r="30" spans="1:31" ht="12.45" outlineLevel="1" x14ac:dyDescent="0.25">
      <c r="A30" s="48" t="s">
        <v>17</v>
      </c>
      <c r="B30" s="49">
        <v>2894</v>
      </c>
      <c r="C30" s="49">
        <v>2881</v>
      </c>
      <c r="D30" s="49">
        <v>2806</v>
      </c>
      <c r="E30" s="49">
        <v>2772</v>
      </c>
      <c r="F30" s="49">
        <v>2820</v>
      </c>
      <c r="G30" s="49">
        <v>2849</v>
      </c>
      <c r="H30" s="49">
        <v>2862</v>
      </c>
      <c r="I30" s="49">
        <v>2864</v>
      </c>
      <c r="J30" s="49">
        <v>2861</v>
      </c>
      <c r="K30" s="49">
        <v>2900</v>
      </c>
      <c r="L30" s="49">
        <v>2918</v>
      </c>
      <c r="M30" s="49">
        <v>3000</v>
      </c>
      <c r="N30" s="49">
        <v>3162</v>
      </c>
      <c r="O30" s="50">
        <v>3211</v>
      </c>
      <c r="P30" s="50">
        <v>3232</v>
      </c>
      <c r="Q30" s="50">
        <v>3111</v>
      </c>
      <c r="R30">
        <v>3214</v>
      </c>
      <c r="S30">
        <v>3247</v>
      </c>
      <c r="T30">
        <v>3272</v>
      </c>
      <c r="U30">
        <v>3344</v>
      </c>
      <c r="V30">
        <v>3309</v>
      </c>
      <c r="W30">
        <v>3394</v>
      </c>
      <c r="X30">
        <v>3411</v>
      </c>
      <c r="Y30">
        <v>3438</v>
      </c>
      <c r="Z30">
        <v>3543</v>
      </c>
      <c r="AA30">
        <v>3582</v>
      </c>
      <c r="AB30">
        <v>3568</v>
      </c>
      <c r="AC30" s="21">
        <v>3480</v>
      </c>
      <c r="AD30" s="21">
        <v>3730</v>
      </c>
      <c r="AE30" s="21">
        <v>3787</v>
      </c>
    </row>
    <row r="31" spans="1:31" ht="12.45" outlineLevel="1" x14ac:dyDescent="0.25">
      <c r="A31" s="51" t="s">
        <v>151</v>
      </c>
      <c r="B31" s="36">
        <f>SUM(B27:B30)</f>
        <v>14898</v>
      </c>
      <c r="C31" s="36">
        <f t="shared" ref="C31:Y31" si="3">SUM(C27:C30)</f>
        <v>14659</v>
      </c>
      <c r="D31" s="36">
        <f t="shared" si="3"/>
        <v>15217</v>
      </c>
      <c r="E31" s="36">
        <f t="shared" si="3"/>
        <v>17321</v>
      </c>
      <c r="F31" s="36">
        <f t="shared" si="3"/>
        <v>14483</v>
      </c>
      <c r="G31" s="36">
        <f t="shared" si="3"/>
        <v>14049</v>
      </c>
      <c r="H31" s="36">
        <f t="shared" si="3"/>
        <v>14299</v>
      </c>
      <c r="I31" s="36">
        <f t="shared" si="3"/>
        <v>16846</v>
      </c>
      <c r="J31" s="36">
        <f t="shared" si="3"/>
        <v>15279</v>
      </c>
      <c r="K31" s="36">
        <f t="shared" si="3"/>
        <v>15980</v>
      </c>
      <c r="L31" s="36">
        <f t="shared" si="3"/>
        <v>15738</v>
      </c>
      <c r="M31" s="36">
        <f t="shared" si="3"/>
        <v>18348</v>
      </c>
      <c r="N31" s="36">
        <f t="shared" si="3"/>
        <v>17973</v>
      </c>
      <c r="O31" s="36">
        <f t="shared" si="3"/>
        <v>18454</v>
      </c>
      <c r="P31" s="36">
        <f t="shared" si="3"/>
        <v>18491</v>
      </c>
      <c r="Q31" s="36">
        <f t="shared" si="3"/>
        <v>19742</v>
      </c>
      <c r="R31" s="36">
        <f t="shared" si="3"/>
        <v>17758</v>
      </c>
      <c r="S31" s="36">
        <f t="shared" si="3"/>
        <v>17228</v>
      </c>
      <c r="T31" s="36">
        <f t="shared" si="3"/>
        <v>17710</v>
      </c>
      <c r="U31" s="36">
        <f t="shared" si="3"/>
        <v>19919</v>
      </c>
      <c r="V31" s="36">
        <f t="shared" si="3"/>
        <v>17685</v>
      </c>
      <c r="W31" s="36">
        <f t="shared" si="3"/>
        <v>17323</v>
      </c>
      <c r="X31" s="36">
        <f t="shared" si="3"/>
        <v>17756</v>
      </c>
      <c r="Y31" s="36">
        <f t="shared" si="3"/>
        <v>20656</v>
      </c>
      <c r="Z31" s="36">
        <v>18194</v>
      </c>
      <c r="AA31">
        <v>19005</v>
      </c>
      <c r="AB31">
        <v>18441</v>
      </c>
      <c r="AC31" s="21">
        <v>21539</v>
      </c>
      <c r="AD31" s="21">
        <v>18739</v>
      </c>
      <c r="AE31" s="21">
        <v>18210</v>
      </c>
    </row>
    <row r="32" spans="1:31" ht="12.45" outlineLevel="1" x14ac:dyDescent="0.25">
      <c r="A32" s="48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</row>
    <row r="33" spans="1:31" ht="12.45" outlineLevel="1" x14ac:dyDescent="0.25">
      <c r="A33" s="47" t="s">
        <v>21</v>
      </c>
      <c r="B33" s="36">
        <f>B7-B31</f>
        <v>7250</v>
      </c>
      <c r="C33" s="36">
        <f t="shared" ref="C33:T33" si="4">C7-C31</f>
        <v>7336</v>
      </c>
      <c r="D33" s="36">
        <f t="shared" si="4"/>
        <v>7489</v>
      </c>
      <c r="E33" s="36">
        <f t="shared" si="4"/>
        <v>6886</v>
      </c>
      <c r="F33" s="36">
        <f t="shared" si="4"/>
        <v>7282</v>
      </c>
      <c r="G33" s="36">
        <f t="shared" si="4"/>
        <v>7064</v>
      </c>
      <c r="H33" s="36">
        <f t="shared" si="4"/>
        <v>7437</v>
      </c>
      <c r="I33" s="36">
        <f t="shared" si="4"/>
        <v>7073</v>
      </c>
      <c r="J33" s="36">
        <f t="shared" si="4"/>
        <v>7519</v>
      </c>
      <c r="K33" s="36">
        <f t="shared" si="4"/>
        <v>7497</v>
      </c>
      <c r="L33" s="36">
        <f t="shared" si="4"/>
        <v>7590</v>
      </c>
      <c r="M33" s="36">
        <f t="shared" si="4"/>
        <v>7349</v>
      </c>
      <c r="N33" s="36">
        <f t="shared" si="4"/>
        <v>7319</v>
      </c>
      <c r="O33" s="36">
        <f t="shared" si="4"/>
        <v>7150</v>
      </c>
      <c r="P33" s="36">
        <f t="shared" si="4"/>
        <v>7349</v>
      </c>
      <c r="Q33" s="36">
        <f>Q7-Q31</f>
        <v>7028</v>
      </c>
      <c r="R33" s="36">
        <f t="shared" si="4"/>
        <v>7099</v>
      </c>
      <c r="S33" s="36">
        <f t="shared" si="4"/>
        <v>7330</v>
      </c>
      <c r="T33" s="36">
        <f t="shared" si="4"/>
        <v>7547</v>
      </c>
      <c r="U33" s="36">
        <f>U7-U31</f>
        <v>7035</v>
      </c>
      <c r="V33" s="36">
        <f>V7-V31</f>
        <v>7372</v>
      </c>
      <c r="W33" s="36">
        <f>W7-W31</f>
        <v>7604</v>
      </c>
      <c r="X33" s="36">
        <f>X7-X31</f>
        <v>7604</v>
      </c>
      <c r="Y33">
        <v>6904</v>
      </c>
      <c r="Z33">
        <v>7424</v>
      </c>
      <c r="AA33">
        <v>7643</v>
      </c>
      <c r="AB33">
        <v>7664</v>
      </c>
      <c r="AC33" s="21">
        <v>6897</v>
      </c>
      <c r="AD33" s="21">
        <v>7714</v>
      </c>
      <c r="AE33" s="21">
        <v>8032</v>
      </c>
    </row>
    <row r="34" spans="1:31" ht="12.45" outlineLevel="1" x14ac:dyDescent="0.25">
      <c r="A34" s="56" t="s">
        <v>152</v>
      </c>
      <c r="B34" s="57">
        <f>B33/B7</f>
        <v>0.32734332671121547</v>
      </c>
      <c r="C34" s="57">
        <f t="shared" ref="C34:AA34" si="5">C33/C7</f>
        <v>0.33353034780631963</v>
      </c>
      <c r="D34" s="57">
        <f t="shared" si="5"/>
        <v>0.32982471593411433</v>
      </c>
      <c r="E34" s="57">
        <f t="shared" si="5"/>
        <v>0.28446317180980707</v>
      </c>
      <c r="F34" s="57">
        <f t="shared" si="5"/>
        <v>0.33457385711003906</v>
      </c>
      <c r="G34" s="57">
        <f t="shared" si="5"/>
        <v>0.33458059015772273</v>
      </c>
      <c r="H34" s="57">
        <f t="shared" si="5"/>
        <v>0.34215126978284871</v>
      </c>
      <c r="I34" s="57">
        <f t="shared" si="5"/>
        <v>0.29570634223838788</v>
      </c>
      <c r="J34" s="57">
        <f t="shared" si="5"/>
        <v>0.32980963242389683</v>
      </c>
      <c r="K34" s="57">
        <f t="shared" si="5"/>
        <v>0.31933381607530775</v>
      </c>
      <c r="L34" s="57">
        <f t="shared" si="5"/>
        <v>0.32536008230452673</v>
      </c>
      <c r="M34" s="57">
        <f t="shared" si="5"/>
        <v>0.28598669105343039</v>
      </c>
      <c r="N34" s="57">
        <f t="shared" si="5"/>
        <v>0.28938004111972165</v>
      </c>
      <c r="O34" s="57">
        <f t="shared" si="5"/>
        <v>0.27925324168098736</v>
      </c>
      <c r="P34" s="57">
        <f t="shared" si="5"/>
        <v>0.28440402476780186</v>
      </c>
      <c r="Q34" s="57">
        <f>Q33/Q7</f>
        <v>0.26253268584236084</v>
      </c>
      <c r="R34" s="57">
        <f t="shared" si="5"/>
        <v>0.28559359536549062</v>
      </c>
      <c r="S34" s="57">
        <f t="shared" si="5"/>
        <v>0.29847707468034856</v>
      </c>
      <c r="T34" s="57">
        <f t="shared" si="5"/>
        <v>0.29880825117789128</v>
      </c>
      <c r="U34" s="57">
        <f t="shared" si="5"/>
        <v>0.26100022260146916</v>
      </c>
      <c r="V34" s="57">
        <f t="shared" si="5"/>
        <v>0.29420920301712095</v>
      </c>
      <c r="W34" s="57">
        <f t="shared" si="5"/>
        <v>0.30505074818469935</v>
      </c>
      <c r="X34" s="57">
        <f t="shared" si="5"/>
        <v>0.29984227129337537</v>
      </c>
      <c r="Y34" s="57">
        <f t="shared" si="5"/>
        <v>0.2505079825834543</v>
      </c>
      <c r="Z34" s="57">
        <f t="shared" si="5"/>
        <v>0.28979623702084473</v>
      </c>
      <c r="AA34" s="57">
        <f t="shared" si="5"/>
        <v>0.28681326928850193</v>
      </c>
      <c r="AB34" s="57">
        <v>0.29399999999999998</v>
      </c>
      <c r="AC34" s="57">
        <v>0.24299999999999999</v>
      </c>
      <c r="AD34" s="57">
        <v>0.29199999999999998</v>
      </c>
      <c r="AE34" s="57">
        <v>0.30599999999999999</v>
      </c>
    </row>
    <row r="35" spans="1:31" ht="12.45" outlineLevel="1" x14ac:dyDescent="0.25">
      <c r="A35" s="58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spans="1:31" ht="12.45" outlineLevel="1" x14ac:dyDescent="0.25">
      <c r="A36" s="47" t="s">
        <v>153</v>
      </c>
      <c r="B36" s="36">
        <f>B33+B30</f>
        <v>10144</v>
      </c>
      <c r="C36" s="36">
        <f t="shared" ref="C36:T36" si="6">C33+C30</f>
        <v>10217</v>
      </c>
      <c r="D36" s="36">
        <f t="shared" si="6"/>
        <v>10295</v>
      </c>
      <c r="E36" s="36">
        <f t="shared" si="6"/>
        <v>9658</v>
      </c>
      <c r="F36" s="36">
        <f t="shared" si="6"/>
        <v>10102</v>
      </c>
      <c r="G36" s="36">
        <f t="shared" si="6"/>
        <v>9913</v>
      </c>
      <c r="H36" s="36">
        <f t="shared" si="6"/>
        <v>10299</v>
      </c>
      <c r="I36" s="36">
        <f t="shared" si="6"/>
        <v>9937</v>
      </c>
      <c r="J36" s="36">
        <f t="shared" si="6"/>
        <v>10380</v>
      </c>
      <c r="K36" s="36">
        <f t="shared" si="6"/>
        <v>10397</v>
      </c>
      <c r="L36" s="36">
        <f t="shared" si="6"/>
        <v>10508</v>
      </c>
      <c r="M36" s="36">
        <f t="shared" si="6"/>
        <v>10349</v>
      </c>
      <c r="N36" s="36">
        <f t="shared" si="6"/>
        <v>10481</v>
      </c>
      <c r="O36" s="36">
        <f t="shared" si="6"/>
        <v>10361</v>
      </c>
      <c r="P36" s="36">
        <f t="shared" si="6"/>
        <v>10581</v>
      </c>
      <c r="Q36" s="36">
        <f>Q33+Q30</f>
        <v>10139</v>
      </c>
      <c r="R36" s="36">
        <f t="shared" si="6"/>
        <v>10313</v>
      </c>
      <c r="S36" s="36">
        <f t="shared" si="6"/>
        <v>10577</v>
      </c>
      <c r="T36" s="36">
        <f t="shared" si="6"/>
        <v>10819</v>
      </c>
      <c r="U36" s="36">
        <f>U33+U30</f>
        <v>10379</v>
      </c>
      <c r="V36" s="36">
        <f>V33+V30</f>
        <v>10681</v>
      </c>
      <c r="W36" s="36">
        <f>W33+W30</f>
        <v>10998</v>
      </c>
      <c r="X36" s="36">
        <f>X33+X30</f>
        <v>11015</v>
      </c>
      <c r="Y36">
        <v>10342</v>
      </c>
      <c r="Z36">
        <v>10967</v>
      </c>
      <c r="AA36">
        <v>11225</v>
      </c>
      <c r="AB36">
        <v>11232</v>
      </c>
      <c r="AC36" s="21">
        <v>10377</v>
      </c>
      <c r="AD36" s="21">
        <v>11444</v>
      </c>
      <c r="AE36" s="21">
        <v>11819</v>
      </c>
    </row>
    <row r="37" spans="1:31" ht="12.45" outlineLevel="1" x14ac:dyDescent="0.25">
      <c r="A37" s="56" t="s">
        <v>154</v>
      </c>
      <c r="B37" s="39">
        <f>B36/B7</f>
        <v>0.45800975257359583</v>
      </c>
      <c r="C37" s="39">
        <f t="shared" ref="C37:AA37" si="7">C36/C7</f>
        <v>0.46451466242327799</v>
      </c>
      <c r="D37" s="39">
        <f t="shared" si="7"/>
        <v>0.45340438650576942</v>
      </c>
      <c r="E37" s="39">
        <f t="shared" si="7"/>
        <v>0.39897550295369111</v>
      </c>
      <c r="F37" s="39">
        <f t="shared" si="7"/>
        <v>0.46413967378819204</v>
      </c>
      <c r="G37" s="39">
        <f t="shared" si="7"/>
        <v>0.46952114810780088</v>
      </c>
      <c r="H37" s="39">
        <f t="shared" si="7"/>
        <v>0.47382223040117777</v>
      </c>
      <c r="I37" s="39">
        <f t="shared" si="7"/>
        <v>0.41544378945608096</v>
      </c>
      <c r="J37" s="39">
        <f t="shared" si="7"/>
        <v>0.45530309676287395</v>
      </c>
      <c r="K37" s="39">
        <f t="shared" si="7"/>
        <v>0.44285896835200411</v>
      </c>
      <c r="L37" s="39">
        <f t="shared" si="7"/>
        <v>0.45044581618655694</v>
      </c>
      <c r="M37" s="39">
        <f t="shared" si="7"/>
        <v>0.4027318364011363</v>
      </c>
      <c r="N37" s="39">
        <f t="shared" si="7"/>
        <v>0.41439981021666933</v>
      </c>
      <c r="O37" s="39">
        <f t="shared" si="7"/>
        <v>0.40466333385408532</v>
      </c>
      <c r="P37" s="39">
        <f t="shared" si="7"/>
        <v>0.40948142414860683</v>
      </c>
      <c r="Q37" s="39">
        <f>Q36/Q7</f>
        <v>0.37874486365334331</v>
      </c>
      <c r="R37" s="39">
        <f t="shared" si="7"/>
        <v>0.41489318904131633</v>
      </c>
      <c r="S37" s="39">
        <f t="shared" si="7"/>
        <v>0.43069468197735972</v>
      </c>
      <c r="T37" s="39">
        <f t="shared" si="7"/>
        <v>0.4283564952290454</v>
      </c>
      <c r="U37" s="39">
        <f t="shared" si="7"/>
        <v>0.38506344141871335</v>
      </c>
      <c r="V37" s="39">
        <f t="shared" si="7"/>
        <v>0.42626810871213633</v>
      </c>
      <c r="W37" s="39">
        <f t="shared" si="7"/>
        <v>0.44120832831869056</v>
      </c>
      <c r="X37" s="39">
        <f t="shared" si="7"/>
        <v>0.43434542586750791</v>
      </c>
      <c r="Y37" s="39">
        <f t="shared" si="7"/>
        <v>0.37525399129172715</v>
      </c>
      <c r="Z37" s="39">
        <f t="shared" si="7"/>
        <v>0.42809743149348117</v>
      </c>
      <c r="AA37" s="39">
        <f t="shared" si="7"/>
        <v>0.42123236265385772</v>
      </c>
      <c r="AB37" s="39">
        <v>0.43</v>
      </c>
      <c r="AC37" s="39">
        <v>0.36499999999999999</v>
      </c>
      <c r="AD37" s="39">
        <v>0.433</v>
      </c>
      <c r="AE37" s="39">
        <v>0.45</v>
      </c>
    </row>
    <row r="39" spans="1:31" ht="12.45" x14ac:dyDescent="0.25">
      <c r="A39" s="46" t="s">
        <v>155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</row>
    <row r="40" spans="1:31" ht="12.45" outlineLevel="1" x14ac:dyDescent="0.25">
      <c r="A40" t="s">
        <v>141</v>
      </c>
    </row>
    <row r="41" spans="1:31" ht="12.45" outlineLevel="1" x14ac:dyDescent="0.25">
      <c r="A41" s="59" t="s">
        <v>156</v>
      </c>
      <c r="P41" s="60" t="s">
        <v>157</v>
      </c>
    </row>
    <row r="42" spans="1:31" ht="12.45" outlineLevel="1" x14ac:dyDescent="0.25">
      <c r="A42" t="s">
        <v>158</v>
      </c>
      <c r="B42" s="49">
        <v>2691</v>
      </c>
      <c r="C42" s="49">
        <v>2673</v>
      </c>
      <c r="D42" s="49">
        <v>2714</v>
      </c>
      <c r="E42" s="49">
        <v>2740</v>
      </c>
      <c r="F42" s="49">
        <v>2631</v>
      </c>
      <c r="G42" s="49">
        <v>2589</v>
      </c>
      <c r="H42" s="49">
        <v>2595</v>
      </c>
      <c r="I42" s="49">
        <v>2595</v>
      </c>
      <c r="J42" s="49">
        <v>2559</v>
      </c>
      <c r="K42" s="49">
        <v>2583</v>
      </c>
      <c r="L42" s="49">
        <v>2552</v>
      </c>
      <c r="M42" s="49">
        <v>2530</v>
      </c>
      <c r="N42" s="49">
        <v>2460</v>
      </c>
      <c r="O42" s="49">
        <v>2401</v>
      </c>
      <c r="P42" s="49">
        <v>2449</v>
      </c>
      <c r="Q42" s="61"/>
      <c r="R42" s="61"/>
      <c r="S42" s="61"/>
      <c r="T42" s="61"/>
      <c r="U42" s="61"/>
      <c r="V42" s="61"/>
    </row>
    <row r="43" spans="1:31" ht="12.45" outlineLevel="1" x14ac:dyDescent="0.25">
      <c r="A43" t="s">
        <v>159</v>
      </c>
      <c r="B43" s="49">
        <v>2708</v>
      </c>
      <c r="C43" s="49">
        <v>2785</v>
      </c>
      <c r="D43" s="49">
        <v>2899</v>
      </c>
      <c r="E43" s="49">
        <v>3072</v>
      </c>
      <c r="F43" s="49">
        <v>2804</v>
      </c>
      <c r="G43" s="49">
        <v>2601</v>
      </c>
      <c r="H43" s="49">
        <v>2742</v>
      </c>
      <c r="I43" s="49">
        <v>2985</v>
      </c>
      <c r="J43" s="49">
        <v>2830</v>
      </c>
      <c r="K43" s="49">
        <v>2895</v>
      </c>
      <c r="L43" s="49">
        <v>2937</v>
      </c>
      <c r="M43" s="49">
        <v>3112</v>
      </c>
      <c r="N43" s="49">
        <v>3041</v>
      </c>
      <c r="O43" s="49">
        <v>3092</v>
      </c>
      <c r="P43" s="49">
        <v>3196</v>
      </c>
      <c r="Q43" s="61"/>
      <c r="R43" s="61"/>
      <c r="S43" s="61"/>
      <c r="T43" s="61"/>
      <c r="U43" s="61"/>
      <c r="V43" s="61"/>
    </row>
    <row r="44" spans="1:31" ht="12.45" outlineLevel="1" x14ac:dyDescent="0.25">
      <c r="A44" t="s">
        <v>160</v>
      </c>
      <c r="B44" s="49">
        <v>1471</v>
      </c>
      <c r="C44" s="49">
        <v>1492</v>
      </c>
      <c r="D44" s="49">
        <v>1472</v>
      </c>
      <c r="E44" s="49">
        <v>1487</v>
      </c>
      <c r="F44" s="49">
        <v>1474</v>
      </c>
      <c r="G44" s="49">
        <v>1523</v>
      </c>
      <c r="H44" s="49">
        <v>1639</v>
      </c>
      <c r="I44" s="49">
        <v>1726</v>
      </c>
      <c r="J44" s="49">
        <v>1646</v>
      </c>
      <c r="K44" s="49">
        <v>1614</v>
      </c>
      <c r="L44" s="49">
        <v>1547</v>
      </c>
      <c r="M44" s="49">
        <v>1517</v>
      </c>
      <c r="N44" s="49">
        <v>1552</v>
      </c>
      <c r="O44" s="49">
        <v>1504</v>
      </c>
      <c r="P44" s="49">
        <v>1531</v>
      </c>
      <c r="Q44" s="61"/>
      <c r="R44" s="61"/>
      <c r="S44" s="61"/>
      <c r="T44" s="61"/>
      <c r="U44" s="61"/>
      <c r="V44" s="61"/>
    </row>
    <row r="45" spans="1:31" ht="12.45" outlineLevel="1" x14ac:dyDescent="0.25">
      <c r="A45" t="s">
        <v>161</v>
      </c>
      <c r="B45" s="49">
        <v>849</v>
      </c>
      <c r="C45" s="49">
        <v>818</v>
      </c>
      <c r="D45" s="49">
        <v>800</v>
      </c>
      <c r="E45" s="49">
        <v>772</v>
      </c>
      <c r="F45" s="49">
        <v>772</v>
      </c>
      <c r="G45" s="49">
        <v>769</v>
      </c>
      <c r="H45" s="49">
        <v>773</v>
      </c>
      <c r="I45" s="49">
        <v>744</v>
      </c>
      <c r="J45" s="49">
        <v>746</v>
      </c>
      <c r="K45" s="49">
        <v>670</v>
      </c>
      <c r="L45" s="49">
        <v>653</v>
      </c>
      <c r="M45" s="49">
        <v>651</v>
      </c>
      <c r="N45" s="49">
        <v>647</v>
      </c>
      <c r="O45" s="49">
        <v>623</v>
      </c>
      <c r="P45" s="49">
        <v>661</v>
      </c>
      <c r="Q45" s="61"/>
      <c r="R45" s="61"/>
      <c r="S45" s="61"/>
      <c r="T45" s="61"/>
      <c r="U45" s="61"/>
      <c r="V45" s="61"/>
    </row>
    <row r="46" spans="1:31" ht="12.45" outlineLevel="1" x14ac:dyDescent="0.25">
      <c r="A46" t="s">
        <v>162</v>
      </c>
      <c r="B46" s="36">
        <f>SUM(B42:B45)</f>
        <v>7719</v>
      </c>
      <c r="C46" s="36">
        <f t="shared" ref="C46:M46" si="8">SUM(C42:C45)</f>
        <v>7768</v>
      </c>
      <c r="D46" s="36">
        <f t="shared" si="8"/>
        <v>7885</v>
      </c>
      <c r="E46" s="36">
        <f t="shared" si="8"/>
        <v>8071</v>
      </c>
      <c r="F46" s="36">
        <f t="shared" si="8"/>
        <v>7681</v>
      </c>
      <c r="G46" s="36">
        <f t="shared" si="8"/>
        <v>7482</v>
      </c>
      <c r="H46" s="36">
        <f t="shared" si="8"/>
        <v>7749</v>
      </c>
      <c r="I46" s="36">
        <f t="shared" si="8"/>
        <v>8050</v>
      </c>
      <c r="J46" s="36">
        <f t="shared" si="8"/>
        <v>7781</v>
      </c>
      <c r="K46" s="36">
        <f t="shared" si="8"/>
        <v>7762</v>
      </c>
      <c r="L46" s="36">
        <f t="shared" si="8"/>
        <v>7689</v>
      </c>
      <c r="M46" s="36">
        <f t="shared" si="8"/>
        <v>7810</v>
      </c>
      <c r="N46" s="36">
        <v>7696</v>
      </c>
      <c r="O46" s="36">
        <v>7615</v>
      </c>
      <c r="P46" s="36">
        <f>P62+P63+P64</f>
        <v>7837</v>
      </c>
      <c r="Q46" s="36">
        <f>Q65</f>
        <v>7900</v>
      </c>
      <c r="R46" s="36">
        <f>R65</f>
        <v>7494</v>
      </c>
      <c r="S46" s="36">
        <f>S65</f>
        <v>7483</v>
      </c>
      <c r="T46" s="36">
        <f>T65</f>
        <v>7527</v>
      </c>
      <c r="U46" s="36">
        <f>U65</f>
        <v>7527</v>
      </c>
      <c r="V46" s="36">
        <f>V62+V63+V64</f>
        <v>7376</v>
      </c>
    </row>
    <row r="47" spans="1:31" ht="12.45" outlineLevel="1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spans="1:31" ht="12.45" outlineLevel="1" x14ac:dyDescent="0.25">
      <c r="A48" s="54" t="s">
        <v>148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spans="1:31" ht="12.45" outlineLevel="1" x14ac:dyDescent="0.25">
      <c r="A49" t="s">
        <v>163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>
        <v>3978</v>
      </c>
      <c r="O49" s="36">
        <v>3867</v>
      </c>
      <c r="P49" s="36">
        <v>3940</v>
      </c>
      <c r="Q49" s="36">
        <v>3908</v>
      </c>
      <c r="R49" s="36">
        <v>3787</v>
      </c>
      <c r="S49" s="36">
        <v>3784</v>
      </c>
      <c r="T49" s="36">
        <v>3787</v>
      </c>
      <c r="U49" s="36">
        <v>3787</v>
      </c>
      <c r="V49" s="36">
        <v>3587</v>
      </c>
      <c r="W49">
        <v>3545</v>
      </c>
      <c r="X49">
        <v>3538</v>
      </c>
      <c r="Y49">
        <v>3548</v>
      </c>
      <c r="Z49">
        <v>3457</v>
      </c>
    </row>
    <row r="50" spans="1:31" ht="12.45" outlineLevel="1" x14ac:dyDescent="0.25">
      <c r="A50" t="s">
        <v>164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>
        <v>3076</v>
      </c>
      <c r="O50" s="36">
        <v>3130</v>
      </c>
      <c r="P50" s="36">
        <v>3236</v>
      </c>
      <c r="Q50" s="36">
        <v>3330</v>
      </c>
      <c r="R50" s="36">
        <v>3104</v>
      </c>
      <c r="S50" s="36">
        <v>3109</v>
      </c>
      <c r="T50" s="36">
        <v>3184</v>
      </c>
      <c r="U50" s="36">
        <v>3184</v>
      </c>
      <c r="V50" s="36">
        <v>3190</v>
      </c>
      <c r="W50">
        <v>3203</v>
      </c>
      <c r="X50">
        <v>3263</v>
      </c>
      <c r="Y50">
        <v>3438</v>
      </c>
      <c r="Z50">
        <v>3314</v>
      </c>
    </row>
    <row r="51" spans="1:31" ht="12.45" outlineLevel="1" x14ac:dyDescent="0.25">
      <c r="A51" t="s">
        <v>161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>
        <v>655</v>
      </c>
      <c r="O51" s="36">
        <v>629</v>
      </c>
      <c r="P51" s="36">
        <v>661</v>
      </c>
      <c r="Q51" s="36">
        <v>662</v>
      </c>
      <c r="R51" s="36">
        <v>603</v>
      </c>
      <c r="S51" s="36">
        <v>590</v>
      </c>
      <c r="T51" s="36">
        <v>556</v>
      </c>
      <c r="U51" s="36">
        <v>556</v>
      </c>
      <c r="V51" s="36">
        <v>590</v>
      </c>
      <c r="W51">
        <v>552</v>
      </c>
      <c r="X51">
        <v>550</v>
      </c>
      <c r="Y51">
        <v>518</v>
      </c>
      <c r="Z51">
        <v>515</v>
      </c>
    </row>
    <row r="52" spans="1:31" ht="12.45" outlineLevel="1" x14ac:dyDescent="0.25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>
        <v>7709</v>
      </c>
      <c r="O52" s="36">
        <v>7626</v>
      </c>
      <c r="P52" s="36">
        <v>7837</v>
      </c>
      <c r="Q52" s="36">
        <v>7900</v>
      </c>
      <c r="R52" s="36">
        <v>7494</v>
      </c>
      <c r="S52" s="36">
        <v>7483</v>
      </c>
      <c r="T52" s="36">
        <v>7527</v>
      </c>
      <c r="U52" s="36">
        <v>7527</v>
      </c>
      <c r="V52" s="36">
        <v>7367</v>
      </c>
      <c r="W52">
        <v>7300</v>
      </c>
      <c r="X52">
        <v>7351</v>
      </c>
      <c r="Y52">
        <v>7504</v>
      </c>
      <c r="Z52">
        <v>7286</v>
      </c>
    </row>
    <row r="53" spans="1:31" ht="12.45" outlineLevel="1" x14ac:dyDescent="0.25">
      <c r="A53" s="54" t="s">
        <v>146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spans="1:31" ht="12.45" outlineLevel="1" x14ac:dyDescent="0.25">
      <c r="A54" t="s">
        <v>163</v>
      </c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49">
        <v>3978</v>
      </c>
      <c r="O54" s="49">
        <v>3867</v>
      </c>
      <c r="P54" s="49">
        <v>3940</v>
      </c>
      <c r="Q54" s="49">
        <v>3908</v>
      </c>
      <c r="R54" s="49">
        <v>3787</v>
      </c>
      <c r="S54" s="49">
        <v>3784</v>
      </c>
      <c r="T54" s="49">
        <v>3787</v>
      </c>
      <c r="U54" s="49">
        <v>3787</v>
      </c>
      <c r="V54" s="49">
        <v>3587</v>
      </c>
      <c r="W54" s="49">
        <v>3545</v>
      </c>
      <c r="X54" s="49">
        <v>3538</v>
      </c>
      <c r="Y54" s="49">
        <v>3548</v>
      </c>
      <c r="Z54" s="49">
        <v>3457</v>
      </c>
      <c r="AA54" s="49">
        <v>3435</v>
      </c>
      <c r="AB54" s="49">
        <v>3311</v>
      </c>
      <c r="AC54" s="49">
        <v>3331</v>
      </c>
    </row>
    <row r="55" spans="1:31" ht="12.45" outlineLevel="1" x14ac:dyDescent="0.25">
      <c r="A55" t="s">
        <v>164</v>
      </c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49">
        <v>3076</v>
      </c>
      <c r="O55" s="49">
        <v>3130</v>
      </c>
      <c r="P55" s="49">
        <v>3236</v>
      </c>
      <c r="Q55" s="49">
        <v>3330</v>
      </c>
      <c r="R55" s="49">
        <v>3104</v>
      </c>
      <c r="S55" s="49">
        <v>3109</v>
      </c>
      <c r="T55" s="49">
        <v>3184</v>
      </c>
      <c r="U55" s="49">
        <v>3184</v>
      </c>
      <c r="V55" s="49">
        <v>3195</v>
      </c>
      <c r="W55" s="49">
        <v>3203</v>
      </c>
      <c r="X55" s="49">
        <v>3263</v>
      </c>
      <c r="Y55" s="49">
        <v>3438</v>
      </c>
      <c r="Z55" s="49">
        <v>3314</v>
      </c>
      <c r="AA55" s="49">
        <v>3346</v>
      </c>
      <c r="AB55" s="49">
        <v>3352</v>
      </c>
      <c r="AC55" s="49">
        <v>3569</v>
      </c>
    </row>
    <row r="56" spans="1:31" ht="12.45" outlineLevel="1" x14ac:dyDescent="0.25">
      <c r="A56" t="s">
        <v>161</v>
      </c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49">
        <v>655</v>
      </c>
      <c r="O56" s="49">
        <v>629</v>
      </c>
      <c r="P56" s="49">
        <v>661</v>
      </c>
      <c r="Q56" s="49">
        <v>662</v>
      </c>
      <c r="R56" s="49">
        <v>603</v>
      </c>
      <c r="S56" s="49">
        <v>590</v>
      </c>
      <c r="T56" s="49">
        <v>556</v>
      </c>
      <c r="U56" s="49">
        <v>556</v>
      </c>
      <c r="V56" s="49">
        <v>594</v>
      </c>
      <c r="W56" s="49">
        <v>552</v>
      </c>
      <c r="X56" s="49">
        <v>550</v>
      </c>
      <c r="Y56" s="49">
        <v>518</v>
      </c>
      <c r="Z56" s="49">
        <v>515</v>
      </c>
      <c r="AA56" s="49">
        <v>494</v>
      </c>
      <c r="AB56" s="49">
        <v>479</v>
      </c>
      <c r="AC56" s="49">
        <v>466</v>
      </c>
    </row>
    <row r="57" spans="1:31" ht="12.45" outlineLevel="1" x14ac:dyDescent="0.25">
      <c r="A57" t="s">
        <v>165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>
        <f t="shared" ref="N57:Z57" si="9">SUM(N54:N56)</f>
        <v>7709</v>
      </c>
      <c r="O57" s="36">
        <f t="shared" si="9"/>
        <v>7626</v>
      </c>
      <c r="P57" s="36">
        <f t="shared" si="9"/>
        <v>7837</v>
      </c>
      <c r="Q57" s="36">
        <f t="shared" si="9"/>
        <v>7900</v>
      </c>
      <c r="R57" s="36">
        <f t="shared" si="9"/>
        <v>7494</v>
      </c>
      <c r="S57" s="36">
        <f t="shared" si="9"/>
        <v>7483</v>
      </c>
      <c r="T57" s="36">
        <f t="shared" si="9"/>
        <v>7527</v>
      </c>
      <c r="U57" s="36">
        <f t="shared" si="9"/>
        <v>7527</v>
      </c>
      <c r="V57" s="36">
        <f t="shared" si="9"/>
        <v>7376</v>
      </c>
      <c r="W57" s="36">
        <f t="shared" si="9"/>
        <v>7300</v>
      </c>
      <c r="X57" s="36">
        <f t="shared" si="9"/>
        <v>7351</v>
      </c>
      <c r="Y57" s="36">
        <f t="shared" si="9"/>
        <v>7504</v>
      </c>
      <c r="Z57" s="36">
        <f t="shared" si="9"/>
        <v>7286</v>
      </c>
      <c r="AA57" s="49">
        <v>7275</v>
      </c>
      <c r="AB57" s="49">
        <v>7142</v>
      </c>
      <c r="AC57" s="49">
        <v>7366</v>
      </c>
    </row>
    <row r="58" spans="1:31" ht="12.45" outlineLevel="1" x14ac:dyDescent="0.25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P58" s="32"/>
    </row>
    <row r="59" spans="1:31" ht="12.45" outlineLevel="1" x14ac:dyDescent="0.25"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P59" s="32"/>
    </row>
    <row r="60" spans="1:31" ht="12.45" outlineLevel="1" x14ac:dyDescent="0.25"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P60" s="32"/>
    </row>
    <row r="61" spans="1:31" ht="12.45" outlineLevel="1" x14ac:dyDescent="0.25">
      <c r="A61" s="59" t="s">
        <v>166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1:31" outlineLevel="1" x14ac:dyDescent="0.25">
      <c r="A62" t="s">
        <v>142</v>
      </c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49">
        <v>3978</v>
      </c>
      <c r="O62" s="49">
        <v>3867</v>
      </c>
      <c r="P62" s="49">
        <v>3940</v>
      </c>
      <c r="Q62" s="49">
        <v>3908</v>
      </c>
      <c r="R62" s="49">
        <v>3787</v>
      </c>
      <c r="S62" s="49">
        <v>3784</v>
      </c>
      <c r="T62" s="49">
        <v>3787</v>
      </c>
      <c r="U62" s="49">
        <v>3787</v>
      </c>
      <c r="V62" s="49">
        <v>3587</v>
      </c>
      <c r="W62" s="49">
        <v>3545</v>
      </c>
      <c r="X62" s="49">
        <v>3538</v>
      </c>
      <c r="Y62" s="49">
        <v>3548</v>
      </c>
      <c r="Z62" s="49">
        <v>3717</v>
      </c>
      <c r="AA62" s="49">
        <v>3733</v>
      </c>
      <c r="AB62" s="49">
        <v>3743</v>
      </c>
      <c r="AC62" s="49">
        <v>3747</v>
      </c>
      <c r="AD62" s="49">
        <v>3688</v>
      </c>
      <c r="AE62" s="49">
        <v>3728</v>
      </c>
    </row>
    <row r="63" spans="1:31" outlineLevel="1" x14ac:dyDescent="0.25">
      <c r="A63" t="s">
        <v>143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49">
        <v>3076</v>
      </c>
      <c r="O63" s="49">
        <v>3130</v>
      </c>
      <c r="P63" s="49">
        <v>3236</v>
      </c>
      <c r="Q63" s="49">
        <v>3330</v>
      </c>
      <c r="R63" s="49">
        <v>3104</v>
      </c>
      <c r="S63" s="49">
        <v>3109</v>
      </c>
      <c r="T63" s="49">
        <v>3184</v>
      </c>
      <c r="U63" s="49">
        <v>3184</v>
      </c>
      <c r="V63" s="49">
        <v>3195</v>
      </c>
      <c r="W63" s="49">
        <v>3203</v>
      </c>
      <c r="X63" s="49">
        <v>3263</v>
      </c>
      <c r="Y63" s="49">
        <v>3438</v>
      </c>
      <c r="Z63" s="49">
        <v>866</v>
      </c>
      <c r="AA63" s="49">
        <v>886</v>
      </c>
      <c r="AB63" s="49">
        <v>853</v>
      </c>
      <c r="AC63" s="49">
        <v>1087</v>
      </c>
      <c r="AD63" s="49">
        <v>857</v>
      </c>
      <c r="AE63" s="49">
        <v>846</v>
      </c>
    </row>
    <row r="64" spans="1:31" outlineLevel="1" x14ac:dyDescent="0.25">
      <c r="A64" t="s">
        <v>144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49">
        <v>655</v>
      </c>
      <c r="O64" s="49">
        <v>629</v>
      </c>
      <c r="P64" s="49">
        <v>661</v>
      </c>
      <c r="Q64" s="49">
        <v>662</v>
      </c>
      <c r="R64" s="49">
        <v>603</v>
      </c>
      <c r="S64" s="49">
        <v>590</v>
      </c>
      <c r="T64" s="49">
        <v>556</v>
      </c>
      <c r="U64" s="49">
        <v>556</v>
      </c>
      <c r="V64" s="49">
        <v>594</v>
      </c>
      <c r="W64" s="49">
        <v>552</v>
      </c>
      <c r="X64" s="49">
        <v>550</v>
      </c>
      <c r="Y64" s="49">
        <v>518</v>
      </c>
      <c r="Z64" s="49">
        <v>2419</v>
      </c>
      <c r="AA64" s="49">
        <v>2354</v>
      </c>
      <c r="AB64" s="49">
        <v>2247</v>
      </c>
      <c r="AC64" s="49">
        <v>2243</v>
      </c>
      <c r="AD64" s="49">
        <v>2585</v>
      </c>
      <c r="AE64" s="49">
        <v>2581</v>
      </c>
    </row>
    <row r="65" spans="1:31" outlineLevel="1" x14ac:dyDescent="0.25">
      <c r="A65" t="s">
        <v>165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>
        <f t="shared" ref="N65:Z65" si="10">SUM(N62:N64)</f>
        <v>7709</v>
      </c>
      <c r="O65" s="36">
        <f t="shared" si="10"/>
        <v>7626</v>
      </c>
      <c r="P65" s="36">
        <f t="shared" si="10"/>
        <v>7837</v>
      </c>
      <c r="Q65" s="36">
        <f t="shared" si="10"/>
        <v>7900</v>
      </c>
      <c r="R65" s="36">
        <f t="shared" si="10"/>
        <v>7494</v>
      </c>
      <c r="S65" s="36">
        <f t="shared" si="10"/>
        <v>7483</v>
      </c>
      <c r="T65" s="36">
        <f t="shared" si="10"/>
        <v>7527</v>
      </c>
      <c r="U65" s="36">
        <f t="shared" si="10"/>
        <v>7527</v>
      </c>
      <c r="V65" s="36">
        <f t="shared" si="10"/>
        <v>7376</v>
      </c>
      <c r="W65" s="36">
        <f t="shared" si="10"/>
        <v>7300</v>
      </c>
      <c r="X65" s="36">
        <f t="shared" si="10"/>
        <v>7351</v>
      </c>
      <c r="Y65" s="36">
        <f t="shared" si="10"/>
        <v>7504</v>
      </c>
      <c r="Z65" s="36">
        <f>SUM(Z62:Z64)</f>
        <v>7002</v>
      </c>
      <c r="AA65" s="36">
        <f t="shared" ref="AA65:AE65" si="11">SUM(AA62:AA64)</f>
        <v>6973</v>
      </c>
      <c r="AB65" s="36">
        <f t="shared" si="11"/>
        <v>6843</v>
      </c>
      <c r="AC65" s="36">
        <f t="shared" si="11"/>
        <v>7077</v>
      </c>
      <c r="AD65" s="36">
        <f t="shared" si="11"/>
        <v>7130</v>
      </c>
      <c r="AE65" s="36">
        <f t="shared" si="11"/>
        <v>7155</v>
      </c>
    </row>
    <row r="66" spans="1:31" ht="12.45" outlineLevel="1" x14ac:dyDescent="0.25"/>
    <row r="67" spans="1:31" ht="12.45" outlineLevel="1" x14ac:dyDescent="0.25">
      <c r="A67" t="s">
        <v>149</v>
      </c>
    </row>
    <row r="68" spans="1:31" outlineLevel="1" x14ac:dyDescent="0.25">
      <c r="A68" t="s">
        <v>150</v>
      </c>
      <c r="B68" s="49">
        <v>2591</v>
      </c>
      <c r="C68" s="49">
        <v>2581</v>
      </c>
      <c r="D68" s="49">
        <v>2666</v>
      </c>
      <c r="E68" s="49">
        <v>2817</v>
      </c>
      <c r="F68" s="49">
        <v>2589</v>
      </c>
      <c r="G68" s="49">
        <v>2641</v>
      </c>
      <c r="H68" s="49">
        <v>2739</v>
      </c>
      <c r="I68" s="49">
        <v>2690</v>
      </c>
      <c r="J68" s="49">
        <v>2690</v>
      </c>
      <c r="K68" s="49">
        <v>2729</v>
      </c>
      <c r="L68" s="49">
        <v>2647</v>
      </c>
      <c r="M68" s="49">
        <v>2587</v>
      </c>
      <c r="N68" s="49">
        <v>2606</v>
      </c>
      <c r="O68" s="49">
        <v>2559</v>
      </c>
      <c r="P68" s="49">
        <v>2653</v>
      </c>
      <c r="Q68" s="49">
        <v>2665</v>
      </c>
      <c r="R68" s="49">
        <v>2582</v>
      </c>
      <c r="S68" s="49">
        <v>2543</v>
      </c>
      <c r="T68" s="49">
        <v>2536</v>
      </c>
      <c r="U68" s="49">
        <v>2536</v>
      </c>
      <c r="V68" s="49">
        <v>2432</v>
      </c>
      <c r="W68" s="49">
        <v>2455</v>
      </c>
      <c r="X68" s="49">
        <v>2440</v>
      </c>
      <c r="Y68" s="49">
        <v>2415</v>
      </c>
      <c r="Z68" s="49">
        <v>2154</v>
      </c>
      <c r="AA68" s="49">
        <v>2060</v>
      </c>
      <c r="AB68" s="49">
        <v>1985</v>
      </c>
      <c r="AC68" s="49">
        <v>2083</v>
      </c>
      <c r="AD68" s="49">
        <v>2117</v>
      </c>
      <c r="AE68" s="49">
        <v>2023</v>
      </c>
    </row>
    <row r="69" spans="1:31" outlineLevel="1" x14ac:dyDescent="0.25">
      <c r="A69" t="s">
        <v>15</v>
      </c>
      <c r="B69" s="49">
        <v>1057</v>
      </c>
      <c r="C69" s="49">
        <v>1109</v>
      </c>
      <c r="D69" s="49">
        <v>1190</v>
      </c>
      <c r="E69" s="49">
        <v>1377</v>
      </c>
      <c r="F69" s="49">
        <v>1090</v>
      </c>
      <c r="G69" s="49">
        <v>812</v>
      </c>
      <c r="H69" s="49">
        <v>968</v>
      </c>
      <c r="I69" s="49">
        <v>1194</v>
      </c>
      <c r="J69" s="49">
        <v>1111</v>
      </c>
      <c r="K69" s="49">
        <v>1076</v>
      </c>
      <c r="L69" s="49">
        <v>1061</v>
      </c>
      <c r="M69" s="49">
        <v>1296</v>
      </c>
      <c r="N69" s="49">
        <v>1310</v>
      </c>
      <c r="O69" s="49">
        <v>1268</v>
      </c>
      <c r="P69" s="49">
        <v>1344</v>
      </c>
      <c r="Q69" s="49">
        <v>1440</v>
      </c>
      <c r="R69" s="49">
        <v>1234</v>
      </c>
      <c r="S69" s="49">
        <v>1152</v>
      </c>
      <c r="T69" s="49">
        <v>1220</v>
      </c>
      <c r="U69" s="49">
        <v>1220</v>
      </c>
      <c r="V69" s="49">
        <v>1155</v>
      </c>
      <c r="W69" s="49">
        <v>1135</v>
      </c>
      <c r="X69" s="49">
        <v>1197</v>
      </c>
      <c r="Y69" s="49">
        <v>1354</v>
      </c>
      <c r="Z69" s="49">
        <v>1194</v>
      </c>
      <c r="AA69" s="49">
        <v>1201</v>
      </c>
      <c r="AB69" s="49">
        <v>1213</v>
      </c>
      <c r="AC69" s="49">
        <v>1438</v>
      </c>
      <c r="AD69" s="49">
        <v>1202</v>
      </c>
      <c r="AE69" s="49">
        <v>1203</v>
      </c>
    </row>
    <row r="70" spans="1:31" outlineLevel="1" x14ac:dyDescent="0.25">
      <c r="A70" t="s">
        <v>16</v>
      </c>
      <c r="B70" s="49">
        <v>1981</v>
      </c>
      <c r="C70" s="49">
        <v>1961</v>
      </c>
      <c r="D70" s="49">
        <v>2042</v>
      </c>
      <c r="E70" s="49">
        <v>2204</v>
      </c>
      <c r="F70" s="49">
        <v>2034</v>
      </c>
      <c r="G70" s="49">
        <v>2069</v>
      </c>
      <c r="H70" s="49">
        <v>2092</v>
      </c>
      <c r="I70" s="49">
        <v>2185</v>
      </c>
      <c r="J70" s="49">
        <v>2068</v>
      </c>
      <c r="K70" s="49">
        <v>2086</v>
      </c>
      <c r="L70" s="49">
        <v>2077</v>
      </c>
      <c r="M70" s="49">
        <v>2093</v>
      </c>
      <c r="N70" s="49">
        <v>2059</v>
      </c>
      <c r="O70" s="49">
        <v>2050</v>
      </c>
      <c r="P70" s="49">
        <v>2063</v>
      </c>
      <c r="Q70" s="49">
        <v>2112</v>
      </c>
      <c r="R70" s="49">
        <v>2033</v>
      </c>
      <c r="S70" s="49">
        <v>2152</v>
      </c>
      <c r="T70" s="49">
        <v>2105</v>
      </c>
      <c r="U70" s="49">
        <v>2105</v>
      </c>
      <c r="V70" s="49">
        <v>2262</v>
      </c>
      <c r="W70" s="49">
        <v>2132</v>
      </c>
      <c r="X70" s="49">
        <v>2109</v>
      </c>
      <c r="Y70" s="49">
        <v>2080</v>
      </c>
      <c r="Z70" s="49">
        <v>1919</v>
      </c>
      <c r="AA70" s="49">
        <v>1990</v>
      </c>
      <c r="AB70" s="49">
        <v>1927</v>
      </c>
      <c r="AC70" s="49">
        <v>1885</v>
      </c>
      <c r="AD70" s="49">
        <v>1806</v>
      </c>
      <c r="AE70" s="49">
        <v>1847</v>
      </c>
    </row>
    <row r="71" spans="1:31" outlineLevel="1" x14ac:dyDescent="0.25">
      <c r="A71" t="s">
        <v>17</v>
      </c>
      <c r="B71" s="49">
        <v>1042</v>
      </c>
      <c r="C71" s="49">
        <v>1046</v>
      </c>
      <c r="D71" s="49">
        <v>1010</v>
      </c>
      <c r="E71" s="49">
        <v>1007</v>
      </c>
      <c r="F71" s="49">
        <v>1014</v>
      </c>
      <c r="G71" s="49">
        <v>1014</v>
      </c>
      <c r="H71" s="49">
        <v>1027</v>
      </c>
      <c r="I71" s="49">
        <v>1031</v>
      </c>
      <c r="J71" s="49">
        <v>1013</v>
      </c>
      <c r="K71" s="49">
        <v>1015</v>
      </c>
      <c r="L71" s="49">
        <v>1018</v>
      </c>
      <c r="M71" s="49">
        <v>1038</v>
      </c>
      <c r="N71" s="49">
        <v>1061</v>
      </c>
      <c r="O71" s="49">
        <v>1074</v>
      </c>
      <c r="P71" s="49">
        <v>1079</v>
      </c>
      <c r="Q71" s="49">
        <v>1098</v>
      </c>
      <c r="R71" s="49">
        <v>1094</v>
      </c>
      <c r="S71" s="49">
        <v>1103</v>
      </c>
      <c r="T71" s="49">
        <v>1127</v>
      </c>
      <c r="U71" s="49">
        <v>1127</v>
      </c>
      <c r="V71" s="49">
        <v>1128</v>
      </c>
      <c r="W71" s="49">
        <v>1078</v>
      </c>
      <c r="X71" s="49">
        <v>1040</v>
      </c>
      <c r="Y71" s="49">
        <v>1061</v>
      </c>
      <c r="Z71" s="49">
        <v>989</v>
      </c>
      <c r="AA71" s="49">
        <v>998</v>
      </c>
      <c r="AB71" s="49">
        <v>1002</v>
      </c>
      <c r="AC71" s="49">
        <v>987</v>
      </c>
      <c r="AD71" s="49">
        <v>1049</v>
      </c>
      <c r="AE71" s="49">
        <v>1091</v>
      </c>
    </row>
    <row r="72" spans="1:31" outlineLevel="1" x14ac:dyDescent="0.25">
      <c r="A72" t="s">
        <v>151</v>
      </c>
      <c r="B72" s="36">
        <f>SUM(B68:B71)</f>
        <v>6671</v>
      </c>
      <c r="C72" s="36">
        <f t="shared" ref="C72:U72" si="12">SUM(C68:C71)</f>
        <v>6697</v>
      </c>
      <c r="D72" s="36">
        <f t="shared" si="12"/>
        <v>6908</v>
      </c>
      <c r="E72" s="36">
        <f t="shared" si="12"/>
        <v>7405</v>
      </c>
      <c r="F72" s="36">
        <f t="shared" si="12"/>
        <v>6727</v>
      </c>
      <c r="G72" s="36">
        <f t="shared" si="12"/>
        <v>6536</v>
      </c>
      <c r="H72" s="36">
        <f t="shared" si="12"/>
        <v>6826</v>
      </c>
      <c r="I72" s="36">
        <f t="shared" si="12"/>
        <v>7100</v>
      </c>
      <c r="J72" s="36">
        <f t="shared" si="12"/>
        <v>6882</v>
      </c>
      <c r="K72" s="36">
        <f t="shared" si="12"/>
        <v>6906</v>
      </c>
      <c r="L72" s="36">
        <f t="shared" si="12"/>
        <v>6803</v>
      </c>
      <c r="M72" s="36">
        <f t="shared" si="12"/>
        <v>7014</v>
      </c>
      <c r="N72" s="36">
        <f t="shared" si="12"/>
        <v>7036</v>
      </c>
      <c r="O72" s="36">
        <f t="shared" si="12"/>
        <v>6951</v>
      </c>
      <c r="P72" s="36">
        <f t="shared" si="12"/>
        <v>7139</v>
      </c>
      <c r="Q72" s="36">
        <f t="shared" si="12"/>
        <v>7315</v>
      </c>
      <c r="R72" s="36">
        <f t="shared" si="12"/>
        <v>6943</v>
      </c>
      <c r="S72" s="36">
        <f t="shared" si="12"/>
        <v>6950</v>
      </c>
      <c r="T72" s="36">
        <f t="shared" si="12"/>
        <v>6988</v>
      </c>
      <c r="U72" s="36">
        <f t="shared" si="12"/>
        <v>6988</v>
      </c>
      <c r="V72" s="36">
        <f>SUM(V68:V71)</f>
        <v>6977</v>
      </c>
      <c r="W72" s="36">
        <f>SUM(W68:W71)</f>
        <v>6800</v>
      </c>
      <c r="X72" s="36">
        <f>SUM(X68:X71)</f>
        <v>6786</v>
      </c>
      <c r="Y72" s="36">
        <f>SUM(Y68:Y71)</f>
        <v>6910</v>
      </c>
      <c r="Z72" s="36">
        <f>SUM(Z68:Z71)</f>
        <v>6256</v>
      </c>
      <c r="AA72" s="36">
        <f t="shared" ref="AA72:AE72" si="13">SUM(AA68:AA71)</f>
        <v>6249</v>
      </c>
      <c r="AB72" s="36">
        <f t="shared" si="13"/>
        <v>6127</v>
      </c>
      <c r="AC72" s="36">
        <f t="shared" si="13"/>
        <v>6393</v>
      </c>
      <c r="AD72" s="36">
        <f t="shared" si="13"/>
        <v>6174</v>
      </c>
      <c r="AE72" s="36">
        <f t="shared" si="13"/>
        <v>6164</v>
      </c>
    </row>
    <row r="73" spans="1:31" ht="12.45" outlineLevel="1" x14ac:dyDescent="0.25"/>
    <row r="74" spans="1:31" outlineLevel="1" x14ac:dyDescent="0.25">
      <c r="A74" t="s">
        <v>21</v>
      </c>
      <c r="B74" s="32">
        <f t="shared" ref="B74:M74" si="14">B46-B72</f>
        <v>1048</v>
      </c>
      <c r="C74" s="32">
        <f t="shared" si="14"/>
        <v>1071</v>
      </c>
      <c r="D74" s="32">
        <f t="shared" si="14"/>
        <v>977</v>
      </c>
      <c r="E74" s="32">
        <f t="shared" si="14"/>
        <v>666</v>
      </c>
      <c r="F74" s="32">
        <f t="shared" si="14"/>
        <v>954</v>
      </c>
      <c r="G74" s="32">
        <f t="shared" si="14"/>
        <v>946</v>
      </c>
      <c r="H74" s="32">
        <f t="shared" si="14"/>
        <v>923</v>
      </c>
      <c r="I74" s="32">
        <f t="shared" si="14"/>
        <v>950</v>
      </c>
      <c r="J74" s="32">
        <f t="shared" si="14"/>
        <v>899</v>
      </c>
      <c r="K74" s="32">
        <f t="shared" si="14"/>
        <v>856</v>
      </c>
      <c r="L74" s="32">
        <f t="shared" si="14"/>
        <v>886</v>
      </c>
      <c r="M74" s="32">
        <f t="shared" si="14"/>
        <v>796</v>
      </c>
      <c r="N74" s="32">
        <f>N46-N72</f>
        <v>660</v>
      </c>
      <c r="O74" s="32">
        <f>O46-O72</f>
        <v>664</v>
      </c>
      <c r="P74" s="32">
        <f>P46-P72</f>
        <v>698</v>
      </c>
      <c r="Q74" s="32">
        <f t="shared" ref="Q74:V74" si="15">Q46-Q72</f>
        <v>585</v>
      </c>
      <c r="R74" s="32">
        <f t="shared" si="15"/>
        <v>551</v>
      </c>
      <c r="S74" s="32">
        <f t="shared" si="15"/>
        <v>533</v>
      </c>
      <c r="T74" s="32">
        <f t="shared" si="15"/>
        <v>539</v>
      </c>
      <c r="U74" s="32">
        <f t="shared" si="15"/>
        <v>539</v>
      </c>
      <c r="V74" s="32">
        <f t="shared" si="15"/>
        <v>399</v>
      </c>
      <c r="W74" s="32">
        <f>W65-W72</f>
        <v>500</v>
      </c>
      <c r="X74" s="32">
        <f>X65-X72</f>
        <v>565</v>
      </c>
      <c r="Y74" s="49">
        <v>594</v>
      </c>
      <c r="Z74" s="49">
        <f>Z65-Z72</f>
        <v>746</v>
      </c>
      <c r="AA74" s="49">
        <f>AA65-AA72</f>
        <v>724</v>
      </c>
      <c r="AB74" s="49">
        <f>AB65-AB72</f>
        <v>716</v>
      </c>
      <c r="AC74" s="49">
        <f>AC65-AC72</f>
        <v>684</v>
      </c>
      <c r="AD74" s="49">
        <f>AD65-AD72</f>
        <v>956</v>
      </c>
      <c r="AE74" s="49">
        <f>AE65-AE72</f>
        <v>991</v>
      </c>
    </row>
    <row r="75" spans="1:31" ht="12.45" outlineLevel="1" x14ac:dyDescent="0.25">
      <c r="A75" t="s">
        <v>152</v>
      </c>
      <c r="B75" s="57">
        <f t="shared" ref="B75:M75" si="16">B74/B46</f>
        <v>0.13576888197953102</v>
      </c>
      <c r="C75" s="57">
        <f t="shared" si="16"/>
        <v>0.1378733264675592</v>
      </c>
      <c r="D75" s="57">
        <f t="shared" si="16"/>
        <v>0.12390615091946734</v>
      </c>
      <c r="E75" s="57">
        <f t="shared" si="16"/>
        <v>8.2517655804732998E-2</v>
      </c>
      <c r="F75" s="57">
        <f t="shared" si="16"/>
        <v>0.12420257778935034</v>
      </c>
      <c r="G75" s="57">
        <f t="shared" si="16"/>
        <v>0.12643678160919541</v>
      </c>
      <c r="H75" s="57">
        <f t="shared" si="16"/>
        <v>0.1191121435023874</v>
      </c>
      <c r="I75" s="57">
        <f t="shared" si="16"/>
        <v>0.11801242236024845</v>
      </c>
      <c r="J75" s="57">
        <f t="shared" si="16"/>
        <v>0.11553784860557768</v>
      </c>
      <c r="K75" s="57">
        <f t="shared" si="16"/>
        <v>0.11028085544962639</v>
      </c>
      <c r="L75" s="57">
        <f t="shared" si="16"/>
        <v>0.11522954870594355</v>
      </c>
      <c r="M75" s="57">
        <f t="shared" si="16"/>
        <v>0.10192061459667094</v>
      </c>
      <c r="N75" s="57">
        <f>N74/N46</f>
        <v>8.5758835758835764E-2</v>
      </c>
      <c r="O75" s="57">
        <f>O74/O46</f>
        <v>8.7196323046618521E-2</v>
      </c>
      <c r="P75" s="57">
        <f>P74/P46</f>
        <v>8.9064693122368255E-2</v>
      </c>
      <c r="Q75" s="57">
        <f t="shared" ref="Q75:V75" si="17">Q74/Q46</f>
        <v>7.4050632911392411E-2</v>
      </c>
      <c r="R75" s="57">
        <f t="shared" si="17"/>
        <v>7.352548705631172E-2</v>
      </c>
      <c r="S75" s="57">
        <f t="shared" si="17"/>
        <v>7.1228117065348123E-2</v>
      </c>
      <c r="T75" s="57">
        <f t="shared" si="17"/>
        <v>7.1608874717683013E-2</v>
      </c>
      <c r="U75" s="57">
        <f t="shared" si="17"/>
        <v>7.1608874717683013E-2</v>
      </c>
      <c r="V75" s="57">
        <f t="shared" si="17"/>
        <v>5.4094360086767893E-2</v>
      </c>
      <c r="W75" s="57">
        <f>W74/W65</f>
        <v>6.8493150684931503E-2</v>
      </c>
      <c r="X75" s="57">
        <f>X74/X65</f>
        <v>7.6860291116854856E-2</v>
      </c>
      <c r="Y75" s="57">
        <f>Y74/Y65</f>
        <v>7.9157782515991468E-2</v>
      </c>
      <c r="Z75" s="57">
        <f>Z74/Z65</f>
        <v>0.10654098828906026</v>
      </c>
      <c r="AA75" s="57">
        <f>AA74/AA65</f>
        <v>0.10382905492614369</v>
      </c>
      <c r="AB75" s="57">
        <f>AB74/AB65</f>
        <v>0.1046324711383896</v>
      </c>
      <c r="AC75" s="57">
        <f>AC74/AC65</f>
        <v>9.6651123357354818E-2</v>
      </c>
      <c r="AD75" s="57">
        <f>AD74/AD65</f>
        <v>0.13408134642356243</v>
      </c>
      <c r="AE75" s="57">
        <f>AE74/AE65</f>
        <v>0.1385045422781272</v>
      </c>
    </row>
    <row r="76" spans="1:31" ht="12.45" outlineLevel="1" x14ac:dyDescent="0.25"/>
    <row r="77" spans="1:31" ht="12.45" outlineLevel="1" x14ac:dyDescent="0.25">
      <c r="A77" t="s">
        <v>153</v>
      </c>
      <c r="B77" s="36">
        <f t="shared" ref="B77:L77" si="18">B74+B71</f>
        <v>2090</v>
      </c>
      <c r="C77" s="36">
        <f t="shared" si="18"/>
        <v>2117</v>
      </c>
      <c r="D77" s="36">
        <f t="shared" si="18"/>
        <v>1987</v>
      </c>
      <c r="E77" s="36">
        <f t="shared" si="18"/>
        <v>1673</v>
      </c>
      <c r="F77" s="36">
        <f t="shared" si="18"/>
        <v>1968</v>
      </c>
      <c r="G77" s="36">
        <f t="shared" si="18"/>
        <v>1960</v>
      </c>
      <c r="H77" s="36">
        <f t="shared" si="18"/>
        <v>1950</v>
      </c>
      <c r="I77" s="36">
        <f t="shared" si="18"/>
        <v>1981</v>
      </c>
      <c r="J77" s="36">
        <f t="shared" si="18"/>
        <v>1912</v>
      </c>
      <c r="K77" s="36">
        <f t="shared" si="18"/>
        <v>1871</v>
      </c>
      <c r="L77" s="36">
        <f t="shared" si="18"/>
        <v>1904</v>
      </c>
      <c r="M77" s="36">
        <f>M74+M71</f>
        <v>1834</v>
      </c>
      <c r="N77" s="36">
        <f>N74+N71</f>
        <v>1721</v>
      </c>
      <c r="O77" s="36">
        <f>O74+O71</f>
        <v>1738</v>
      </c>
      <c r="P77" s="36">
        <f>P74+P71</f>
        <v>1777</v>
      </c>
      <c r="Q77" s="36">
        <f t="shared" ref="Q77:V77" si="19">Q74+Q71</f>
        <v>1683</v>
      </c>
      <c r="R77" s="36">
        <f t="shared" si="19"/>
        <v>1645</v>
      </c>
      <c r="S77" s="36">
        <f t="shared" si="19"/>
        <v>1636</v>
      </c>
      <c r="T77" s="36">
        <f t="shared" si="19"/>
        <v>1666</v>
      </c>
      <c r="U77" s="36">
        <f t="shared" si="19"/>
        <v>1666</v>
      </c>
      <c r="V77" s="36">
        <f t="shared" si="19"/>
        <v>1527</v>
      </c>
      <c r="W77" s="36">
        <f>W74+W71</f>
        <v>1578</v>
      </c>
      <c r="X77" s="36">
        <f>X74+X71</f>
        <v>1605</v>
      </c>
      <c r="Y77">
        <v>1655</v>
      </c>
      <c r="Z77" s="32">
        <f>Z74+Z71</f>
        <v>1735</v>
      </c>
      <c r="AA77" s="32">
        <f>AA74+AA71</f>
        <v>1722</v>
      </c>
      <c r="AB77" s="32">
        <f>AB74+AB71</f>
        <v>1718</v>
      </c>
      <c r="AC77" s="21">
        <f>AC74+AC71</f>
        <v>1671</v>
      </c>
      <c r="AD77" s="21">
        <f>AD74+AD71</f>
        <v>2005</v>
      </c>
      <c r="AE77" s="21">
        <f>AE74+AE71</f>
        <v>2082</v>
      </c>
    </row>
    <row r="78" spans="1:31" ht="12.45" outlineLevel="1" x14ac:dyDescent="0.25">
      <c r="A78" t="s">
        <v>154</v>
      </c>
      <c r="B78" s="39">
        <f t="shared" ref="B78:M78" si="20">B77/B46</f>
        <v>0.27076046119963726</v>
      </c>
      <c r="C78" s="39">
        <f t="shared" si="20"/>
        <v>0.27252832131822863</v>
      </c>
      <c r="D78" s="39">
        <f t="shared" si="20"/>
        <v>0.251997463538364</v>
      </c>
      <c r="E78" s="39">
        <f t="shared" si="20"/>
        <v>0.20728534258456202</v>
      </c>
      <c r="F78" s="39">
        <f t="shared" si="20"/>
        <v>0.25621663845853404</v>
      </c>
      <c r="G78" s="39">
        <f t="shared" si="20"/>
        <v>0.2619620422346966</v>
      </c>
      <c r="H78" s="39">
        <f t="shared" si="20"/>
        <v>0.25164537359659311</v>
      </c>
      <c r="I78" s="39">
        <f t="shared" si="20"/>
        <v>0.24608695652173912</v>
      </c>
      <c r="J78" s="39">
        <f t="shared" si="20"/>
        <v>0.24572677033800283</v>
      </c>
      <c r="K78" s="39">
        <f t="shared" si="20"/>
        <v>0.24104612213347076</v>
      </c>
      <c r="L78" s="39">
        <f t="shared" si="20"/>
        <v>0.24762647938613605</v>
      </c>
      <c r="M78" s="39">
        <f t="shared" si="20"/>
        <v>0.23482714468629962</v>
      </c>
      <c r="N78" s="39">
        <f>N77/N46</f>
        <v>0.22362266112266113</v>
      </c>
      <c r="O78" s="39">
        <f>O77/O46</f>
        <v>0.22823374917925149</v>
      </c>
      <c r="P78" s="39">
        <f>P77/P46</f>
        <v>0.22674492790608652</v>
      </c>
      <c r="Q78" s="39">
        <f t="shared" ref="Q78:V78" si="21">Q77/Q46</f>
        <v>0.2130379746835443</v>
      </c>
      <c r="R78" s="39">
        <f t="shared" si="21"/>
        <v>0.21950894048572192</v>
      </c>
      <c r="S78" s="39">
        <f t="shared" si="21"/>
        <v>0.21862889215555259</v>
      </c>
      <c r="T78" s="39">
        <f t="shared" si="21"/>
        <v>0.22133652185465658</v>
      </c>
      <c r="U78" s="39">
        <f t="shared" si="21"/>
        <v>0.22133652185465658</v>
      </c>
      <c r="V78" s="39">
        <f t="shared" si="21"/>
        <v>0.2070227765726681</v>
      </c>
      <c r="W78" s="39">
        <f>W77/W65</f>
        <v>0.21616438356164383</v>
      </c>
      <c r="X78" s="39">
        <f>X77/X65</f>
        <v>0.21833764113726023</v>
      </c>
      <c r="Y78" s="39">
        <f>Y77/Y65</f>
        <v>0.22054904051172708</v>
      </c>
      <c r="Z78" s="39">
        <f>Z77/Z65</f>
        <v>0.24778634675806913</v>
      </c>
      <c r="AA78" s="39">
        <f>AA77/AA65</f>
        <v>0.24695253119173957</v>
      </c>
      <c r="AB78" s="39">
        <f>AB77/AB65</f>
        <v>0.25105947683764429</v>
      </c>
      <c r="AC78" s="39">
        <f>AC77/AC65</f>
        <v>0.23611699872827469</v>
      </c>
      <c r="AD78" s="39">
        <f>AD77/AD65</f>
        <v>0.2812061711079944</v>
      </c>
      <c r="AE78" s="39">
        <f>AE77/AE65</f>
        <v>0.29098532494758911</v>
      </c>
    </row>
    <row r="80" spans="1:31" x14ac:dyDescent="0.25">
      <c r="A80" s="107" t="s">
        <v>284</v>
      </c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</row>
    <row r="81" spans="1:30" x14ac:dyDescent="0.25">
      <c r="A81" s="59" t="s">
        <v>166</v>
      </c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</row>
    <row r="82" spans="1:30" x14ac:dyDescent="0.25">
      <c r="A82" t="s">
        <v>142</v>
      </c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49">
        <v>3978</v>
      </c>
      <c r="O82" s="49">
        <v>3867</v>
      </c>
      <c r="P82" s="49">
        <v>3940</v>
      </c>
      <c r="Q82" s="49">
        <v>3908</v>
      </c>
      <c r="R82" s="49">
        <v>3787</v>
      </c>
      <c r="S82" s="49">
        <v>3784</v>
      </c>
      <c r="T82" s="49">
        <v>3787</v>
      </c>
      <c r="U82" s="49">
        <v>3787</v>
      </c>
      <c r="V82" s="49">
        <v>3587</v>
      </c>
      <c r="W82" s="49">
        <v>3545</v>
      </c>
      <c r="X82" s="49">
        <v>3538</v>
      </c>
      <c r="Y82" s="49">
        <v>3548</v>
      </c>
      <c r="Z82" s="49">
        <v>3717</v>
      </c>
      <c r="AA82" s="49">
        <v>3733</v>
      </c>
      <c r="AB82" s="49">
        <v>3743</v>
      </c>
      <c r="AC82" s="49">
        <v>3747</v>
      </c>
      <c r="AD82" s="49">
        <v>3688</v>
      </c>
    </row>
    <row r="83" spans="1:30" x14ac:dyDescent="0.25">
      <c r="A83" t="s">
        <v>143</v>
      </c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49">
        <v>3076</v>
      </c>
      <c r="O83" s="49">
        <v>3130</v>
      </c>
      <c r="P83" s="49">
        <v>3236</v>
      </c>
      <c r="Q83" s="49">
        <v>3330</v>
      </c>
      <c r="R83" s="49">
        <v>3104</v>
      </c>
      <c r="S83" s="49">
        <v>3109</v>
      </c>
      <c r="T83" s="49">
        <v>3184</v>
      </c>
      <c r="U83" s="49">
        <v>3184</v>
      </c>
      <c r="V83" s="49">
        <v>3195</v>
      </c>
      <c r="W83" s="49">
        <v>3203</v>
      </c>
      <c r="X83" s="49">
        <v>3263</v>
      </c>
      <c r="Y83" s="49">
        <v>3438</v>
      </c>
      <c r="Z83" s="49">
        <v>866</v>
      </c>
      <c r="AA83" s="49">
        <v>886</v>
      </c>
      <c r="AB83" s="49">
        <v>853</v>
      </c>
      <c r="AC83" s="49">
        <v>1087</v>
      </c>
      <c r="AD83" s="49">
        <v>857</v>
      </c>
    </row>
    <row r="84" spans="1:30" x14ac:dyDescent="0.25">
      <c r="A84" t="s">
        <v>144</v>
      </c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49">
        <v>655</v>
      </c>
      <c r="O84" s="49">
        <v>629</v>
      </c>
      <c r="P84" s="49">
        <v>661</v>
      </c>
      <c r="Q84" s="49">
        <v>662</v>
      </c>
      <c r="R84" s="49">
        <v>603</v>
      </c>
      <c r="S84" s="49">
        <v>590</v>
      </c>
      <c r="T84" s="49">
        <v>556</v>
      </c>
      <c r="U84" s="49">
        <v>556</v>
      </c>
      <c r="V84" s="49">
        <v>594</v>
      </c>
      <c r="W84" s="49">
        <v>552</v>
      </c>
      <c r="X84" s="49">
        <v>550</v>
      </c>
      <c r="Y84" s="49">
        <v>518</v>
      </c>
      <c r="Z84" s="49">
        <v>2703</v>
      </c>
      <c r="AA84" s="49">
        <v>2656</v>
      </c>
      <c r="AB84" s="49">
        <v>2546</v>
      </c>
      <c r="AC84" s="49">
        <v>2532</v>
      </c>
      <c r="AD84" s="49">
        <v>2874</v>
      </c>
    </row>
    <row r="85" spans="1:30" x14ac:dyDescent="0.25">
      <c r="A85" t="s">
        <v>165</v>
      </c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>
        <v>7709</v>
      </c>
      <c r="O85" s="36">
        <v>7626</v>
      </c>
      <c r="P85" s="36">
        <v>7837</v>
      </c>
      <c r="Q85" s="36">
        <v>7900</v>
      </c>
      <c r="R85" s="36">
        <v>7494</v>
      </c>
      <c r="S85" s="36">
        <v>7483</v>
      </c>
      <c r="T85" s="36">
        <v>7527</v>
      </c>
      <c r="U85" s="36">
        <v>7527</v>
      </c>
      <c r="V85" s="36">
        <v>7376</v>
      </c>
      <c r="W85" s="36">
        <v>7300</v>
      </c>
      <c r="X85" s="36">
        <v>7351</v>
      </c>
      <c r="Y85" s="36">
        <v>7504</v>
      </c>
      <c r="Z85" s="36">
        <v>7286</v>
      </c>
      <c r="AA85" s="49">
        <v>7275</v>
      </c>
      <c r="AB85" s="49">
        <v>7142</v>
      </c>
      <c r="AC85" s="49">
        <v>7366</v>
      </c>
      <c r="AD85" s="49">
        <v>7419</v>
      </c>
    </row>
    <row r="87" spans="1:30" x14ac:dyDescent="0.25">
      <c r="A87" t="s">
        <v>149</v>
      </c>
    </row>
    <row r="88" spans="1:30" x14ac:dyDescent="0.25">
      <c r="A88" t="s">
        <v>150</v>
      </c>
      <c r="B88" s="49">
        <v>2591</v>
      </c>
      <c r="C88" s="49">
        <v>2581</v>
      </c>
      <c r="D88" s="49">
        <v>2666</v>
      </c>
      <c r="E88" s="49">
        <v>2817</v>
      </c>
      <c r="F88" s="49">
        <v>2589</v>
      </c>
      <c r="G88" s="49">
        <v>2641</v>
      </c>
      <c r="H88" s="49">
        <v>2739</v>
      </c>
      <c r="I88" s="49">
        <v>2690</v>
      </c>
      <c r="J88" s="49">
        <v>2690</v>
      </c>
      <c r="K88" s="49">
        <v>2729</v>
      </c>
      <c r="L88" s="49">
        <v>2647</v>
      </c>
      <c r="M88" s="49">
        <v>2587</v>
      </c>
      <c r="N88" s="49">
        <v>2606</v>
      </c>
      <c r="O88" s="49">
        <v>2559</v>
      </c>
      <c r="P88" s="49">
        <v>2653</v>
      </c>
      <c r="Q88" s="49">
        <v>2665</v>
      </c>
      <c r="R88" s="49">
        <v>2582</v>
      </c>
      <c r="S88" s="49">
        <v>2543</v>
      </c>
      <c r="T88" s="49">
        <v>2536</v>
      </c>
      <c r="U88" s="49">
        <v>2536</v>
      </c>
      <c r="V88" s="49">
        <v>2432</v>
      </c>
      <c r="W88" s="49">
        <v>2455</v>
      </c>
      <c r="X88" s="49">
        <v>2440</v>
      </c>
      <c r="Y88" s="49">
        <v>2415</v>
      </c>
      <c r="Z88" s="49">
        <v>2376</v>
      </c>
      <c r="AA88" s="49">
        <v>2297</v>
      </c>
      <c r="AB88" s="49">
        <v>2224</v>
      </c>
      <c r="AC88" s="49">
        <v>2306</v>
      </c>
      <c r="AD88" s="49">
        <v>2341</v>
      </c>
    </row>
    <row r="89" spans="1:30" x14ac:dyDescent="0.25">
      <c r="A89" t="s">
        <v>15</v>
      </c>
      <c r="B89" s="49">
        <v>1057</v>
      </c>
      <c r="C89" s="49">
        <v>1109</v>
      </c>
      <c r="D89" s="49">
        <v>1190</v>
      </c>
      <c r="E89" s="49">
        <v>1377</v>
      </c>
      <c r="F89" s="49">
        <v>1090</v>
      </c>
      <c r="G89" s="49">
        <v>812</v>
      </c>
      <c r="H89" s="49">
        <v>968</v>
      </c>
      <c r="I89" s="49">
        <v>1194</v>
      </c>
      <c r="J89" s="49">
        <v>1111</v>
      </c>
      <c r="K89" s="49">
        <v>1076</v>
      </c>
      <c r="L89" s="49">
        <v>1061</v>
      </c>
      <c r="M89" s="49">
        <v>1296</v>
      </c>
      <c r="N89" s="49">
        <v>1310</v>
      </c>
      <c r="O89" s="49">
        <v>1268</v>
      </c>
      <c r="P89" s="49">
        <v>1344</v>
      </c>
      <c r="Q89" s="49">
        <v>1440</v>
      </c>
      <c r="R89" s="49">
        <v>1234</v>
      </c>
      <c r="S89" s="49">
        <v>1152</v>
      </c>
      <c r="T89" s="49">
        <v>1220</v>
      </c>
      <c r="U89" s="49">
        <v>1220</v>
      </c>
      <c r="V89" s="49">
        <v>1155</v>
      </c>
      <c r="W89" s="49">
        <v>1135</v>
      </c>
      <c r="X89" s="49">
        <v>1197</v>
      </c>
      <c r="Y89" s="49">
        <v>1354</v>
      </c>
      <c r="Z89" s="49">
        <v>1194</v>
      </c>
      <c r="AA89" s="49">
        <v>1201</v>
      </c>
      <c r="AB89" s="49">
        <v>1213</v>
      </c>
      <c r="AC89" s="49">
        <v>1438</v>
      </c>
      <c r="AD89" s="49">
        <v>1202</v>
      </c>
    </row>
    <row r="90" spans="1:30" x14ac:dyDescent="0.25">
      <c r="A90" t="s">
        <v>16</v>
      </c>
      <c r="B90" s="49">
        <v>1981</v>
      </c>
      <c r="C90" s="49">
        <v>1961</v>
      </c>
      <c r="D90" s="49">
        <v>2042</v>
      </c>
      <c r="E90" s="49">
        <v>2204</v>
      </c>
      <c r="F90" s="49">
        <v>2034</v>
      </c>
      <c r="G90" s="49">
        <v>2069</v>
      </c>
      <c r="H90" s="49">
        <v>2092</v>
      </c>
      <c r="I90" s="49">
        <v>2185</v>
      </c>
      <c r="J90" s="49">
        <v>2068</v>
      </c>
      <c r="K90" s="49">
        <v>2086</v>
      </c>
      <c r="L90" s="49">
        <v>2077</v>
      </c>
      <c r="M90" s="49">
        <v>2093</v>
      </c>
      <c r="N90" s="49">
        <v>2059</v>
      </c>
      <c r="O90" s="49">
        <v>2050</v>
      </c>
      <c r="P90" s="49">
        <v>2063</v>
      </c>
      <c r="Q90" s="49">
        <v>2112</v>
      </c>
      <c r="R90" s="49">
        <v>2033</v>
      </c>
      <c r="S90" s="49">
        <v>2152</v>
      </c>
      <c r="T90" s="49">
        <v>2105</v>
      </c>
      <c r="U90" s="49">
        <v>2105</v>
      </c>
      <c r="V90" s="49">
        <v>2262</v>
      </c>
      <c r="W90" s="49">
        <v>2132</v>
      </c>
      <c r="X90" s="49">
        <v>2109</v>
      </c>
      <c r="Y90" s="49">
        <v>2080</v>
      </c>
      <c r="Z90" s="49">
        <v>2032</v>
      </c>
      <c r="AA90" s="49">
        <v>2108</v>
      </c>
      <c r="AB90" s="49">
        <v>2033</v>
      </c>
      <c r="AC90" s="49">
        <v>2003</v>
      </c>
      <c r="AD90" s="49">
        <v>1911</v>
      </c>
    </row>
    <row r="91" spans="1:30" x14ac:dyDescent="0.25">
      <c r="A91" t="s">
        <v>17</v>
      </c>
      <c r="B91" s="49">
        <v>1042</v>
      </c>
      <c r="C91" s="49">
        <v>1046</v>
      </c>
      <c r="D91" s="49">
        <v>1010</v>
      </c>
      <c r="E91" s="49">
        <v>1007</v>
      </c>
      <c r="F91" s="49">
        <v>1014</v>
      </c>
      <c r="G91" s="49">
        <v>1014</v>
      </c>
      <c r="H91" s="49">
        <v>1027</v>
      </c>
      <c r="I91" s="49">
        <v>1031</v>
      </c>
      <c r="J91" s="49">
        <v>1013</v>
      </c>
      <c r="K91" s="49">
        <v>1015</v>
      </c>
      <c r="L91" s="49">
        <v>1018</v>
      </c>
      <c r="M91" s="49">
        <v>1038</v>
      </c>
      <c r="N91" s="49">
        <v>1061</v>
      </c>
      <c r="O91" s="49">
        <v>1074</v>
      </c>
      <c r="P91" s="49">
        <v>1079</v>
      </c>
      <c r="Q91" s="49">
        <v>1098</v>
      </c>
      <c r="R91" s="49">
        <v>1094</v>
      </c>
      <c r="S91" s="49">
        <v>1103</v>
      </c>
      <c r="T91" s="49">
        <v>1127</v>
      </c>
      <c r="U91" s="49">
        <v>1127</v>
      </c>
      <c r="V91" s="49">
        <v>1128</v>
      </c>
      <c r="W91" s="49">
        <v>1078</v>
      </c>
      <c r="X91" s="49">
        <v>1040</v>
      </c>
      <c r="Y91" s="49">
        <v>1061</v>
      </c>
      <c r="Z91" s="49">
        <v>1020</v>
      </c>
      <c r="AA91" s="49">
        <v>1031</v>
      </c>
      <c r="AB91" s="49">
        <v>1035</v>
      </c>
      <c r="AC91" s="49">
        <v>1026</v>
      </c>
      <c r="AD91" s="49">
        <v>1081</v>
      </c>
    </row>
    <row r="92" spans="1:30" x14ac:dyDescent="0.25">
      <c r="A92" t="s">
        <v>151</v>
      </c>
      <c r="B92" s="36">
        <v>6671</v>
      </c>
      <c r="C92" s="36">
        <v>6697</v>
      </c>
      <c r="D92" s="36">
        <v>6908</v>
      </c>
      <c r="E92" s="36">
        <v>7405</v>
      </c>
      <c r="F92" s="36">
        <v>6727</v>
      </c>
      <c r="G92" s="36">
        <v>6536</v>
      </c>
      <c r="H92" s="36">
        <v>6826</v>
      </c>
      <c r="I92" s="36">
        <v>7100</v>
      </c>
      <c r="J92" s="36">
        <v>6882</v>
      </c>
      <c r="K92" s="36">
        <v>6906</v>
      </c>
      <c r="L92" s="36">
        <v>6803</v>
      </c>
      <c r="M92" s="36">
        <v>7014</v>
      </c>
      <c r="N92" s="36">
        <v>7036</v>
      </c>
      <c r="O92" s="36">
        <v>6951</v>
      </c>
      <c r="P92" s="36">
        <v>7139</v>
      </c>
      <c r="Q92" s="36">
        <v>7315</v>
      </c>
      <c r="R92" s="36">
        <v>6943</v>
      </c>
      <c r="S92" s="36">
        <v>6950</v>
      </c>
      <c r="T92" s="36">
        <v>6988</v>
      </c>
      <c r="U92" s="36">
        <v>6988</v>
      </c>
      <c r="V92" s="36">
        <v>6977</v>
      </c>
      <c r="W92" s="36">
        <v>6800</v>
      </c>
      <c r="X92" s="36">
        <v>6786</v>
      </c>
      <c r="Y92" s="36">
        <v>6910</v>
      </c>
      <c r="Z92" s="36">
        <v>6622</v>
      </c>
      <c r="AA92" s="49">
        <v>6637</v>
      </c>
      <c r="AB92" s="49">
        <v>6505</v>
      </c>
      <c r="AC92" s="49">
        <v>6773</v>
      </c>
      <c r="AD92" s="49">
        <v>6535</v>
      </c>
    </row>
    <row r="94" spans="1:30" x14ac:dyDescent="0.25">
      <c r="A94" t="s">
        <v>21</v>
      </c>
      <c r="B94" s="32">
        <v>1048</v>
      </c>
      <c r="C94" s="32">
        <v>1071</v>
      </c>
      <c r="D94" s="32">
        <v>977</v>
      </c>
      <c r="E94" s="32">
        <v>666</v>
      </c>
      <c r="F94" s="32">
        <v>954</v>
      </c>
      <c r="G94" s="32">
        <v>946</v>
      </c>
      <c r="H94" s="32">
        <v>923</v>
      </c>
      <c r="I94" s="32">
        <v>950</v>
      </c>
      <c r="J94" s="32">
        <v>899</v>
      </c>
      <c r="K94" s="32">
        <v>856</v>
      </c>
      <c r="L94" s="32">
        <v>886</v>
      </c>
      <c r="M94" s="32">
        <v>796</v>
      </c>
      <c r="N94" s="32">
        <v>660</v>
      </c>
      <c r="O94" s="32">
        <v>664</v>
      </c>
      <c r="P94" s="32">
        <v>698</v>
      </c>
      <c r="Q94" s="32">
        <v>585</v>
      </c>
      <c r="R94" s="32">
        <v>551</v>
      </c>
      <c r="S94" s="32">
        <v>533</v>
      </c>
      <c r="T94" s="32">
        <v>539</v>
      </c>
      <c r="U94" s="32">
        <v>539</v>
      </c>
      <c r="V94" s="32">
        <v>399</v>
      </c>
      <c r="W94" s="32">
        <v>500</v>
      </c>
      <c r="X94" s="32">
        <v>565</v>
      </c>
      <c r="Y94" s="49">
        <v>594</v>
      </c>
      <c r="Z94" s="49">
        <v>664</v>
      </c>
      <c r="AA94" s="49">
        <v>638</v>
      </c>
      <c r="AB94" s="49">
        <v>637</v>
      </c>
      <c r="AC94" s="49">
        <v>593</v>
      </c>
      <c r="AD94" s="49">
        <v>884</v>
      </c>
    </row>
    <row r="95" spans="1:30" x14ac:dyDescent="0.25">
      <c r="A95" t="s">
        <v>152</v>
      </c>
      <c r="B95" s="57">
        <v>0.13576888197953102</v>
      </c>
      <c r="C95" s="57">
        <v>0.1378733264675592</v>
      </c>
      <c r="D95" s="57">
        <v>0.12390615091946734</v>
      </c>
      <c r="E95" s="57">
        <v>8.2517655804732998E-2</v>
      </c>
      <c r="F95" s="57">
        <v>0.12420257778935034</v>
      </c>
      <c r="G95" s="57">
        <v>0.12643678160919541</v>
      </c>
      <c r="H95" s="57">
        <v>0.1191121435023874</v>
      </c>
      <c r="I95" s="57">
        <v>0.11801242236024845</v>
      </c>
      <c r="J95" s="57">
        <v>0.11553784860557768</v>
      </c>
      <c r="K95" s="57">
        <v>0.11028085544962639</v>
      </c>
      <c r="L95" s="57">
        <v>0.11522954870594355</v>
      </c>
      <c r="M95" s="57">
        <v>0.10192061459667094</v>
      </c>
      <c r="N95" s="57">
        <v>8.5758835758835764E-2</v>
      </c>
      <c r="O95" s="57">
        <v>8.7196323046618521E-2</v>
      </c>
      <c r="P95" s="57">
        <v>8.9064693122368255E-2</v>
      </c>
      <c r="Q95" s="57">
        <v>7.4050632911392411E-2</v>
      </c>
      <c r="R95" s="57">
        <v>7.352548705631172E-2</v>
      </c>
      <c r="S95" s="57">
        <v>7.1228117065348123E-2</v>
      </c>
      <c r="T95" s="57">
        <v>7.1608874717683013E-2</v>
      </c>
      <c r="U95" s="57">
        <v>7.1608874717683013E-2</v>
      </c>
      <c r="V95" s="57">
        <v>5.4094360086767893E-2</v>
      </c>
      <c r="W95" s="57">
        <v>6.8493150684931503E-2</v>
      </c>
      <c r="X95" s="57">
        <v>7.6860291116854856E-2</v>
      </c>
      <c r="Y95" s="57">
        <v>7.9157782515991468E-2</v>
      </c>
      <c r="Z95" s="57">
        <v>9.1133681032116387E-2</v>
      </c>
      <c r="AA95" s="57">
        <v>8.7697594501718212E-2</v>
      </c>
      <c r="AB95" s="57">
        <v>8.8999999999999996E-2</v>
      </c>
      <c r="AC95" s="57">
        <v>8.1000000000000003E-2</v>
      </c>
      <c r="AD95" s="57">
        <v>0.11899999999999999</v>
      </c>
    </row>
    <row r="97" spans="1:30" x14ac:dyDescent="0.25">
      <c r="A97" t="s">
        <v>153</v>
      </c>
      <c r="B97" s="36">
        <v>2090</v>
      </c>
      <c r="C97" s="36">
        <v>2117</v>
      </c>
      <c r="D97" s="36">
        <v>1987</v>
      </c>
      <c r="E97" s="36">
        <v>1673</v>
      </c>
      <c r="F97" s="36">
        <v>1968</v>
      </c>
      <c r="G97" s="36">
        <v>1960</v>
      </c>
      <c r="H97" s="36">
        <v>1950</v>
      </c>
      <c r="I97" s="36">
        <v>1981</v>
      </c>
      <c r="J97" s="36">
        <v>1912</v>
      </c>
      <c r="K97" s="36">
        <v>1871</v>
      </c>
      <c r="L97" s="36">
        <v>1904</v>
      </c>
      <c r="M97" s="36">
        <v>1834</v>
      </c>
      <c r="N97" s="36">
        <v>1721</v>
      </c>
      <c r="O97" s="36">
        <v>1738</v>
      </c>
      <c r="P97" s="36">
        <v>1777</v>
      </c>
      <c r="Q97" s="36">
        <v>1683</v>
      </c>
      <c r="R97" s="36">
        <v>1645</v>
      </c>
      <c r="S97" s="36">
        <v>1636</v>
      </c>
      <c r="T97" s="36">
        <v>1666</v>
      </c>
      <c r="U97" s="36">
        <v>1666</v>
      </c>
      <c r="V97" s="36">
        <v>1527</v>
      </c>
      <c r="W97" s="36">
        <v>1578</v>
      </c>
      <c r="X97" s="36">
        <v>1605</v>
      </c>
      <c r="Y97">
        <v>1655</v>
      </c>
      <c r="Z97">
        <v>1684</v>
      </c>
      <c r="AA97">
        <v>1669</v>
      </c>
      <c r="AB97">
        <v>1672</v>
      </c>
      <c r="AC97" s="21">
        <v>1619</v>
      </c>
      <c r="AD97" s="21">
        <v>1965</v>
      </c>
    </row>
    <row r="98" spans="1:30" x14ac:dyDescent="0.25">
      <c r="A98" t="s">
        <v>154</v>
      </c>
      <c r="B98" s="39">
        <v>0.27076046119963726</v>
      </c>
      <c r="C98" s="39">
        <v>0.27252832131822863</v>
      </c>
      <c r="D98" s="39">
        <v>0.251997463538364</v>
      </c>
      <c r="E98" s="39">
        <v>0.20728534258456202</v>
      </c>
      <c r="F98" s="39">
        <v>0.25621663845853404</v>
      </c>
      <c r="G98" s="39">
        <v>0.2619620422346966</v>
      </c>
      <c r="H98" s="39">
        <v>0.25164537359659311</v>
      </c>
      <c r="I98" s="39">
        <v>0.24608695652173912</v>
      </c>
      <c r="J98" s="39">
        <v>0.24572677033800283</v>
      </c>
      <c r="K98" s="39">
        <v>0.24104612213347076</v>
      </c>
      <c r="L98" s="39">
        <v>0.24762647938613605</v>
      </c>
      <c r="M98" s="39">
        <v>0.23482714468629962</v>
      </c>
      <c r="N98" s="39">
        <v>0.22362266112266113</v>
      </c>
      <c r="O98" s="39">
        <v>0.22823374917925149</v>
      </c>
      <c r="P98" s="39">
        <v>0.22674492790608652</v>
      </c>
      <c r="Q98" s="39">
        <v>0.2130379746835443</v>
      </c>
      <c r="R98" s="39">
        <v>0.21950894048572192</v>
      </c>
      <c r="S98" s="39">
        <v>0.21862889215555259</v>
      </c>
      <c r="T98" s="39">
        <v>0.22133652185465658</v>
      </c>
      <c r="U98" s="39">
        <v>0.22133652185465658</v>
      </c>
      <c r="V98" s="39">
        <v>0.2070227765726681</v>
      </c>
      <c r="W98" s="39">
        <v>0.21616438356164383</v>
      </c>
      <c r="X98" s="39">
        <v>0.21833764113726023</v>
      </c>
      <c r="Y98" s="39">
        <v>0.22054904051172708</v>
      </c>
      <c r="Z98" s="39">
        <v>0.23112819105133131</v>
      </c>
      <c r="AA98" s="39">
        <v>0.22941580756013746</v>
      </c>
      <c r="AB98" s="39">
        <v>0.23400000000000001</v>
      </c>
      <c r="AC98" s="39">
        <v>0.22</v>
      </c>
      <c r="AD98" s="39">
        <v>0.26500000000000001</v>
      </c>
    </row>
    <row r="100" spans="1:30" ht="12.45" x14ac:dyDescent="0.25">
      <c r="A100" s="46" t="s">
        <v>167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</row>
    <row r="101" spans="1:30" ht="12.45" outlineLevel="1" x14ac:dyDescent="0.25">
      <c r="A101" t="s">
        <v>141</v>
      </c>
      <c r="B101" s="49">
        <v>2261</v>
      </c>
      <c r="C101" s="49">
        <v>2308</v>
      </c>
      <c r="D101" s="49">
        <v>2303</v>
      </c>
      <c r="E101" s="49">
        <v>2497</v>
      </c>
      <c r="F101" s="49">
        <v>2164</v>
      </c>
      <c r="G101" s="49">
        <v>1852</v>
      </c>
      <c r="H101" s="49">
        <v>2058</v>
      </c>
      <c r="I101" s="49">
        <v>2723</v>
      </c>
      <c r="J101" s="49">
        <v>2288</v>
      </c>
      <c r="K101" s="49">
        <v>2525</v>
      </c>
      <c r="L101" s="49">
        <v>1898</v>
      </c>
      <c r="M101" s="49">
        <v>560</v>
      </c>
    </row>
    <row r="102" spans="1:30" ht="12.45" outlineLevel="1" x14ac:dyDescent="0.25"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</row>
    <row r="103" spans="1:30" ht="12.45" outlineLevel="1" x14ac:dyDescent="0.25">
      <c r="A103" t="s">
        <v>149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</row>
    <row r="104" spans="1:30" ht="12.45" outlineLevel="1" x14ac:dyDescent="0.25">
      <c r="A104" t="s">
        <v>150</v>
      </c>
      <c r="B104" s="49">
        <v>1322</v>
      </c>
      <c r="C104" s="49">
        <v>1274</v>
      </c>
      <c r="D104" s="49">
        <v>1201</v>
      </c>
      <c r="E104" s="49">
        <v>1436</v>
      </c>
      <c r="F104" s="49">
        <v>1235</v>
      </c>
      <c r="G104" s="49">
        <v>1113</v>
      </c>
      <c r="H104" s="49">
        <v>1245</v>
      </c>
      <c r="I104" s="49">
        <v>1539</v>
      </c>
      <c r="J104" s="49">
        <v>1330</v>
      </c>
      <c r="K104" s="49">
        <v>1414</v>
      </c>
      <c r="L104" s="49">
        <v>1059</v>
      </c>
      <c r="M104" s="49">
        <v>197</v>
      </c>
    </row>
    <row r="105" spans="1:30" ht="12.45" outlineLevel="1" x14ac:dyDescent="0.25">
      <c r="A105" t="s">
        <v>168</v>
      </c>
      <c r="B105" s="49">
        <v>-1</v>
      </c>
      <c r="C105" s="49">
        <v>1</v>
      </c>
      <c r="D105" s="49">
        <v>1</v>
      </c>
      <c r="E105" s="49">
        <v>1</v>
      </c>
      <c r="F105" s="49">
        <v>1</v>
      </c>
      <c r="G105" s="49">
        <v>-1</v>
      </c>
      <c r="H105" s="49">
        <v>0</v>
      </c>
      <c r="I105" s="49">
        <v>0</v>
      </c>
      <c r="J105" s="49">
        <v>-1</v>
      </c>
      <c r="K105" s="49">
        <v>1</v>
      </c>
      <c r="L105" s="49">
        <v>1</v>
      </c>
      <c r="M105" s="49">
        <v>-1</v>
      </c>
    </row>
    <row r="106" spans="1:30" ht="12.45" outlineLevel="1" x14ac:dyDescent="0.25">
      <c r="A106" t="s">
        <v>16</v>
      </c>
      <c r="B106" s="49">
        <v>1234</v>
      </c>
      <c r="C106" s="49">
        <v>1285</v>
      </c>
      <c r="D106" s="49">
        <v>1089</v>
      </c>
      <c r="E106" s="49">
        <v>1461</v>
      </c>
      <c r="F106" s="49">
        <v>2269</v>
      </c>
      <c r="G106" s="49">
        <v>1071</v>
      </c>
      <c r="H106" s="49">
        <v>1192</v>
      </c>
      <c r="I106" s="49">
        <v>1725</v>
      </c>
      <c r="J106" s="49">
        <v>1307</v>
      </c>
      <c r="K106" s="49">
        <v>1193</v>
      </c>
      <c r="L106" s="49">
        <v>384</v>
      </c>
      <c r="M106" s="49">
        <v>888</v>
      </c>
    </row>
    <row r="107" spans="1:30" ht="12.45" outlineLevel="1" x14ac:dyDescent="0.25">
      <c r="A107" t="s">
        <v>17</v>
      </c>
      <c r="B107" s="49">
        <v>295</v>
      </c>
      <c r="C107" s="49">
        <v>305</v>
      </c>
      <c r="D107" s="49">
        <v>298</v>
      </c>
      <c r="E107" s="49">
        <v>326</v>
      </c>
      <c r="F107" s="49">
        <v>316</v>
      </c>
      <c r="G107" s="49">
        <v>318</v>
      </c>
      <c r="H107" s="49">
        <v>303</v>
      </c>
      <c r="I107" s="49">
        <v>302</v>
      </c>
      <c r="J107" s="49">
        <v>300</v>
      </c>
      <c r="K107" s="49">
        <v>105</v>
      </c>
      <c r="L107" s="49">
        <v>25</v>
      </c>
      <c r="M107" s="49">
        <v>13</v>
      </c>
    </row>
    <row r="108" spans="1:30" ht="12.45" outlineLevel="1" x14ac:dyDescent="0.25">
      <c r="A108" t="s">
        <v>151</v>
      </c>
      <c r="B108" s="36">
        <f>SUM(B104:B107)</f>
        <v>2850</v>
      </c>
      <c r="C108" s="36">
        <f t="shared" ref="C108:M108" si="22">SUM(C104:C107)</f>
        <v>2865</v>
      </c>
      <c r="D108" s="36">
        <f t="shared" si="22"/>
        <v>2589</v>
      </c>
      <c r="E108" s="36">
        <f t="shared" si="22"/>
        <v>3224</v>
      </c>
      <c r="F108" s="36">
        <f t="shared" si="22"/>
        <v>3821</v>
      </c>
      <c r="G108" s="36">
        <f t="shared" si="22"/>
        <v>2501</v>
      </c>
      <c r="H108" s="36">
        <f t="shared" si="22"/>
        <v>2740</v>
      </c>
      <c r="I108" s="36">
        <f t="shared" si="22"/>
        <v>3566</v>
      </c>
      <c r="J108" s="36">
        <f t="shared" si="22"/>
        <v>2936</v>
      </c>
      <c r="K108" s="36">
        <f t="shared" si="22"/>
        <v>2713</v>
      </c>
      <c r="L108" s="36">
        <f t="shared" si="22"/>
        <v>1469</v>
      </c>
      <c r="M108" s="36">
        <f t="shared" si="22"/>
        <v>1097</v>
      </c>
    </row>
    <row r="109" spans="1:30" ht="12.45" outlineLevel="1" x14ac:dyDescent="0.25"/>
    <row r="110" spans="1:30" ht="12.45" outlineLevel="1" x14ac:dyDescent="0.25">
      <c r="A110" t="s">
        <v>169</v>
      </c>
      <c r="B110" s="36">
        <f>B101-B108</f>
        <v>-589</v>
      </c>
      <c r="C110" s="36">
        <f t="shared" ref="C110:M110" si="23">C101-C108</f>
        <v>-557</v>
      </c>
      <c r="D110" s="36">
        <f t="shared" si="23"/>
        <v>-286</v>
      </c>
      <c r="E110" s="36">
        <f t="shared" si="23"/>
        <v>-727</v>
      </c>
      <c r="F110" s="36">
        <f t="shared" si="23"/>
        <v>-1657</v>
      </c>
      <c r="G110" s="36">
        <f t="shared" si="23"/>
        <v>-649</v>
      </c>
      <c r="H110" s="36">
        <f t="shared" si="23"/>
        <v>-682</v>
      </c>
      <c r="I110" s="36">
        <f t="shared" si="23"/>
        <v>-843</v>
      </c>
      <c r="J110" s="36">
        <f t="shared" si="23"/>
        <v>-648</v>
      </c>
      <c r="K110" s="36">
        <f t="shared" si="23"/>
        <v>-188</v>
      </c>
      <c r="L110" s="36">
        <f t="shared" si="23"/>
        <v>429</v>
      </c>
      <c r="M110" s="36">
        <f t="shared" si="23"/>
        <v>-537</v>
      </c>
    </row>
    <row r="111" spans="1:30" ht="12.45" outlineLevel="1" x14ac:dyDescent="0.25">
      <c r="A111" t="s">
        <v>170</v>
      </c>
      <c r="B111" s="57">
        <f>B110/B101</f>
        <v>-0.26050420168067229</v>
      </c>
      <c r="C111" s="57">
        <f t="shared" ref="C111:M111" si="24">C110/C101</f>
        <v>-0.24133448873483535</v>
      </c>
      <c r="D111" s="57">
        <f t="shared" si="24"/>
        <v>-0.12418584455058619</v>
      </c>
      <c r="E111" s="57">
        <f t="shared" si="24"/>
        <v>-0.29114937925510614</v>
      </c>
      <c r="F111" s="57">
        <f t="shared" si="24"/>
        <v>-0.76571164510166356</v>
      </c>
      <c r="G111" s="57">
        <f t="shared" si="24"/>
        <v>-0.35043196544276456</v>
      </c>
      <c r="H111" s="57">
        <f t="shared" si="24"/>
        <v>-0.33138969873663754</v>
      </c>
      <c r="I111" s="57">
        <f t="shared" si="24"/>
        <v>-0.30958501652589054</v>
      </c>
      <c r="J111" s="57">
        <f t="shared" si="24"/>
        <v>-0.28321678321678323</v>
      </c>
      <c r="K111" s="57">
        <f t="shared" si="24"/>
        <v>-7.4455445544554452E-2</v>
      </c>
      <c r="L111" s="57">
        <f t="shared" si="24"/>
        <v>0.22602739726027396</v>
      </c>
      <c r="M111" s="57">
        <f t="shared" si="24"/>
        <v>-0.95892857142857146</v>
      </c>
    </row>
    <row r="112" spans="1:30" ht="12.45" outlineLevel="1" x14ac:dyDescent="0.25"/>
    <row r="113" spans="1:22" ht="12.45" outlineLevel="1" x14ac:dyDescent="0.25">
      <c r="A113" t="s">
        <v>153</v>
      </c>
      <c r="B113" s="36">
        <f>B110+B107</f>
        <v>-294</v>
      </c>
      <c r="C113" s="36">
        <f t="shared" ref="C113:M113" si="25">C110+C107</f>
        <v>-252</v>
      </c>
      <c r="D113" s="36">
        <f t="shared" si="25"/>
        <v>12</v>
      </c>
      <c r="E113" s="36">
        <f t="shared" si="25"/>
        <v>-401</v>
      </c>
      <c r="F113" s="36">
        <f t="shared" si="25"/>
        <v>-1341</v>
      </c>
      <c r="G113" s="36">
        <f t="shared" si="25"/>
        <v>-331</v>
      </c>
      <c r="H113" s="36">
        <f t="shared" si="25"/>
        <v>-379</v>
      </c>
      <c r="I113" s="36">
        <f t="shared" si="25"/>
        <v>-541</v>
      </c>
      <c r="J113" s="36">
        <f t="shared" si="25"/>
        <v>-348</v>
      </c>
      <c r="K113" s="36">
        <f t="shared" si="25"/>
        <v>-83</v>
      </c>
      <c r="L113" s="36">
        <f t="shared" si="25"/>
        <v>454</v>
      </c>
      <c r="M113" s="36">
        <f t="shared" si="25"/>
        <v>-524</v>
      </c>
    </row>
    <row r="114" spans="1:22" ht="12.45" outlineLevel="1" x14ac:dyDescent="0.25">
      <c r="A114" t="s">
        <v>154</v>
      </c>
      <c r="B114" s="57">
        <f>B113/B101</f>
        <v>-0.13003095975232198</v>
      </c>
      <c r="C114" s="57">
        <f t="shared" ref="C114:M114" si="26">C113/C101</f>
        <v>-0.10918544194107452</v>
      </c>
      <c r="D114" s="57">
        <f t="shared" si="26"/>
        <v>5.2105948762483714E-3</v>
      </c>
      <c r="E114" s="57">
        <f t="shared" si="26"/>
        <v>-0.16059271125350422</v>
      </c>
      <c r="F114" s="57">
        <f t="shared" si="26"/>
        <v>-0.61968576709796674</v>
      </c>
      <c r="G114" s="57">
        <f t="shared" si="26"/>
        <v>-0.17872570194384449</v>
      </c>
      <c r="H114" s="57">
        <f t="shared" si="26"/>
        <v>-0.18415937803692906</v>
      </c>
      <c r="I114" s="57">
        <f t="shared" si="26"/>
        <v>-0.19867792875504958</v>
      </c>
      <c r="J114" s="57">
        <f t="shared" si="26"/>
        <v>-0.15209790209790211</v>
      </c>
      <c r="K114" s="57">
        <f t="shared" si="26"/>
        <v>-3.2871287128712873E-2</v>
      </c>
      <c r="L114" s="57">
        <f t="shared" si="26"/>
        <v>0.23919915700737618</v>
      </c>
      <c r="M114" s="57">
        <f t="shared" si="26"/>
        <v>-0.93571428571428572</v>
      </c>
    </row>
    <row r="116" spans="1:22" ht="12.45" x14ac:dyDescent="0.25">
      <c r="A116" s="46" t="s">
        <v>171</v>
      </c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</row>
    <row r="117" spans="1:22" ht="12.45" outlineLevel="1" x14ac:dyDescent="0.25">
      <c r="A117" t="s">
        <v>172</v>
      </c>
      <c r="B117" s="63">
        <v>50</v>
      </c>
      <c r="C117" s="63">
        <v>61</v>
      </c>
      <c r="D117" s="63">
        <v>65</v>
      </c>
      <c r="E117" s="63"/>
      <c r="F117" s="63">
        <v>59</v>
      </c>
      <c r="G117" s="63">
        <v>60</v>
      </c>
      <c r="H117" s="63">
        <v>64</v>
      </c>
      <c r="I117" s="63">
        <v>59</v>
      </c>
      <c r="J117" s="63">
        <v>58</v>
      </c>
      <c r="K117" s="63">
        <v>61</v>
      </c>
      <c r="L117" s="63">
        <v>57</v>
      </c>
      <c r="M117" s="63">
        <v>58</v>
      </c>
      <c r="N117" s="63">
        <v>50</v>
      </c>
      <c r="O117" s="63">
        <v>50</v>
      </c>
      <c r="P117" s="63">
        <v>51</v>
      </c>
      <c r="Q117" s="63">
        <v>51</v>
      </c>
      <c r="R117" s="63">
        <v>52</v>
      </c>
      <c r="S117" s="63">
        <v>52</v>
      </c>
      <c r="T117" s="63">
        <v>49</v>
      </c>
      <c r="U117" s="63">
        <v>52</v>
      </c>
    </row>
    <row r="118" spans="1:22" ht="12.45" outlineLevel="1" x14ac:dyDescent="0.25">
      <c r="A118" t="s">
        <v>173</v>
      </c>
      <c r="B118" s="63">
        <v>13</v>
      </c>
      <c r="C118" s="63">
        <v>12</v>
      </c>
      <c r="D118" s="63">
        <v>15</v>
      </c>
      <c r="E118" s="63"/>
      <c r="F118" s="63">
        <v>19</v>
      </c>
      <c r="G118" s="63">
        <v>19</v>
      </c>
      <c r="H118" s="63">
        <v>16</v>
      </c>
      <c r="I118" s="63">
        <v>19</v>
      </c>
      <c r="J118" s="63">
        <v>19</v>
      </c>
      <c r="K118" s="63">
        <v>18</v>
      </c>
      <c r="L118" s="63">
        <v>16</v>
      </c>
      <c r="M118" s="63">
        <v>19</v>
      </c>
      <c r="N118" s="63">
        <v>13</v>
      </c>
      <c r="O118" s="63">
        <v>13</v>
      </c>
      <c r="P118" s="63">
        <v>11</v>
      </c>
      <c r="Q118" s="63">
        <v>11</v>
      </c>
      <c r="R118" s="63">
        <v>10</v>
      </c>
      <c r="S118" s="63">
        <v>10</v>
      </c>
      <c r="T118" s="63">
        <v>9</v>
      </c>
      <c r="U118" s="63">
        <v>8</v>
      </c>
    </row>
    <row r="119" spans="1:22" ht="12.45" outlineLevel="1" x14ac:dyDescent="0.25">
      <c r="A119" t="s">
        <v>165</v>
      </c>
      <c r="B119">
        <f>B117+B118</f>
        <v>63</v>
      </c>
      <c r="C119">
        <f t="shared" ref="C119:U119" si="27">C117+C118</f>
        <v>73</v>
      </c>
      <c r="D119">
        <f t="shared" si="27"/>
        <v>80</v>
      </c>
      <c r="E119">
        <f t="shared" si="27"/>
        <v>0</v>
      </c>
      <c r="F119">
        <f t="shared" si="27"/>
        <v>78</v>
      </c>
      <c r="G119">
        <f t="shared" si="27"/>
        <v>79</v>
      </c>
      <c r="H119">
        <f t="shared" si="27"/>
        <v>80</v>
      </c>
      <c r="I119">
        <f t="shared" si="27"/>
        <v>78</v>
      </c>
      <c r="J119">
        <f t="shared" si="27"/>
        <v>77</v>
      </c>
      <c r="K119">
        <f t="shared" si="27"/>
        <v>79</v>
      </c>
      <c r="L119">
        <f t="shared" si="27"/>
        <v>73</v>
      </c>
      <c r="M119">
        <f t="shared" si="27"/>
        <v>77</v>
      </c>
      <c r="N119">
        <f t="shared" si="27"/>
        <v>63</v>
      </c>
      <c r="O119">
        <f t="shared" si="27"/>
        <v>63</v>
      </c>
      <c r="P119">
        <f t="shared" si="27"/>
        <v>62</v>
      </c>
      <c r="Q119">
        <f t="shared" si="27"/>
        <v>62</v>
      </c>
      <c r="R119">
        <f t="shared" si="27"/>
        <v>62</v>
      </c>
      <c r="S119">
        <f t="shared" si="27"/>
        <v>62</v>
      </c>
      <c r="T119">
        <f t="shared" si="27"/>
        <v>58</v>
      </c>
      <c r="U119">
        <f t="shared" si="27"/>
        <v>60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D995-98B3-45B4-B657-A1C4CDE6C843}">
  <dimension ref="A2:AK345"/>
  <sheetViews>
    <sheetView showGridLines="0" tabSelected="1" zoomScale="72" zoomScaleNormal="100" workbookViewId="0">
      <pane xSplit="1" ySplit="2" topLeftCell="W274" activePane="bottomRight" state="frozen"/>
      <selection pane="topRight"/>
      <selection pane="bottomLeft"/>
      <selection pane="bottomRight" activeCell="AH290" sqref="AH290"/>
    </sheetView>
  </sheetViews>
  <sheetFormatPr defaultRowHeight="13.2" outlineLevelRow="1" x14ac:dyDescent="0.25"/>
  <cols>
    <col min="1" max="1" width="47.6640625" customWidth="1"/>
    <col min="2" max="13" width="10.33203125" bestFit="1" customWidth="1"/>
    <col min="22" max="23" width="10.5546875" bestFit="1" customWidth="1"/>
    <col min="24" max="30" width="10.5546875" customWidth="1"/>
  </cols>
  <sheetData>
    <row r="2" spans="1:37" s="6" customFormat="1" x14ac:dyDescent="0.25">
      <c r="A2" s="6" t="s">
        <v>140</v>
      </c>
      <c r="B2" s="6" t="s">
        <v>118</v>
      </c>
      <c r="C2" s="6" t="s">
        <v>119</v>
      </c>
      <c r="D2" s="6" t="s">
        <v>120</v>
      </c>
      <c r="E2" s="6" t="s">
        <v>121</v>
      </c>
      <c r="F2" s="6" t="s">
        <v>122</v>
      </c>
      <c r="G2" s="6" t="s">
        <v>123</v>
      </c>
      <c r="H2" s="6" t="s">
        <v>124</v>
      </c>
      <c r="I2" s="6" t="s">
        <v>125</v>
      </c>
      <c r="J2" s="6" t="s">
        <v>126</v>
      </c>
      <c r="K2" s="6" t="s">
        <v>127</v>
      </c>
      <c r="L2" s="6" t="s">
        <v>128</v>
      </c>
      <c r="M2" s="6" t="s">
        <v>129</v>
      </c>
      <c r="N2" s="6" t="s">
        <v>130</v>
      </c>
      <c r="O2" s="6" t="s">
        <v>131</v>
      </c>
      <c r="P2" s="6" t="s">
        <v>132</v>
      </c>
      <c r="Q2" s="6" t="s">
        <v>133</v>
      </c>
      <c r="R2" s="6" t="s">
        <v>134</v>
      </c>
      <c r="S2" s="6" t="s">
        <v>135</v>
      </c>
      <c r="T2" s="6" t="s">
        <v>136</v>
      </c>
      <c r="U2" s="6" t="s">
        <v>137</v>
      </c>
      <c r="V2" s="6" t="s">
        <v>2</v>
      </c>
      <c r="W2" s="6" t="s">
        <v>3</v>
      </c>
      <c r="X2" s="6" t="s">
        <v>4</v>
      </c>
      <c r="Y2" s="6" t="s">
        <v>5</v>
      </c>
      <c r="Z2" s="6" t="s">
        <v>6</v>
      </c>
      <c r="AA2" s="6" t="s">
        <v>7</v>
      </c>
      <c r="AB2" s="6" t="s">
        <v>8</v>
      </c>
      <c r="AC2" s="6" t="s">
        <v>9</v>
      </c>
      <c r="AD2" s="6" t="s">
        <v>10</v>
      </c>
      <c r="AE2" s="6" t="s">
        <v>282</v>
      </c>
      <c r="AG2" s="6">
        <v>2018</v>
      </c>
      <c r="AH2" s="6">
        <v>2019</v>
      </c>
      <c r="AI2" s="6">
        <v>2020</v>
      </c>
      <c r="AJ2" s="6">
        <v>2021</v>
      </c>
      <c r="AK2" s="6">
        <v>2022</v>
      </c>
    </row>
    <row r="3" spans="1:37" s="45" customFormat="1" outlineLevel="1" x14ac:dyDescent="0.25">
      <c r="A3" s="64" t="s">
        <v>174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</row>
    <row r="4" spans="1:37" outlineLevel="1" x14ac:dyDescent="0.25">
      <c r="A4" s="66" t="s">
        <v>175</v>
      </c>
      <c r="B4" s="67">
        <v>89580</v>
      </c>
      <c r="C4" s="67">
        <v>89630</v>
      </c>
      <c r="D4" s="67">
        <v>89739</v>
      </c>
      <c r="E4" s="65">
        <v>90481</v>
      </c>
      <c r="F4" s="65">
        <v>89914</v>
      </c>
      <c r="G4" s="65">
        <v>89977</v>
      </c>
      <c r="H4" s="65">
        <v>90026</v>
      </c>
      <c r="I4" s="65">
        <v>90346</v>
      </c>
      <c r="J4" s="65">
        <v>90172</v>
      </c>
      <c r="K4" s="65">
        <v>90514</v>
      </c>
      <c r="L4" s="65">
        <v>90916</v>
      </c>
      <c r="M4" s="65">
        <v>91543</v>
      </c>
      <c r="N4" s="65">
        <v>91414</v>
      </c>
      <c r="O4" s="65">
        <v>91475</v>
      </c>
      <c r="P4" s="65">
        <v>91478</v>
      </c>
      <c r="Q4" s="65">
        <v>91856</v>
      </c>
      <c r="R4" s="65">
        <v>92192</v>
      </c>
      <c r="S4" s="65">
        <v>92474</v>
      </c>
      <c r="T4" s="65">
        <v>92704</v>
      </c>
      <c r="U4" s="65">
        <v>93850</v>
      </c>
      <c r="V4" s="65">
        <v>93905</v>
      </c>
      <c r="W4" s="65">
        <v>93960</v>
      </c>
      <c r="X4" s="65">
        <v>94005</v>
      </c>
      <c r="Y4" s="65">
        <v>95118</v>
      </c>
      <c r="Z4" s="65">
        <v>94854</v>
      </c>
      <c r="AA4" s="65">
        <v>94948</v>
      </c>
      <c r="AB4" s="65">
        <v>94870</v>
      </c>
      <c r="AC4" s="65">
        <v>95678</v>
      </c>
      <c r="AD4" s="65"/>
      <c r="AE4" s="32"/>
      <c r="AF4" s="32"/>
    </row>
    <row r="5" spans="1:37" outlineLevel="1" x14ac:dyDescent="0.25">
      <c r="A5" s="66" t="s">
        <v>176</v>
      </c>
      <c r="B5" s="67">
        <v>4479</v>
      </c>
      <c r="C5" s="67">
        <v>4266</v>
      </c>
      <c r="D5" s="67">
        <v>4183</v>
      </c>
      <c r="E5" s="65">
        <v>4063</v>
      </c>
      <c r="F5" s="65">
        <v>3980</v>
      </c>
      <c r="G5" s="65">
        <v>3998</v>
      </c>
      <c r="H5" s="65">
        <v>4075</v>
      </c>
      <c r="I5" s="65">
        <v>4027</v>
      </c>
      <c r="J5" s="65">
        <v>4058</v>
      </c>
      <c r="K5" s="65">
        <v>4075</v>
      </c>
      <c r="L5" s="65">
        <v>4072</v>
      </c>
      <c r="M5" s="65">
        <v>23852</v>
      </c>
      <c r="N5" s="65">
        <v>23772</v>
      </c>
      <c r="O5" s="65">
        <v>23138</v>
      </c>
      <c r="P5" s="65">
        <v>23076</v>
      </c>
      <c r="Q5" s="65">
        <v>22664</v>
      </c>
      <c r="R5" s="65">
        <v>22331</v>
      </c>
      <c r="S5" s="65">
        <v>21646</v>
      </c>
      <c r="T5" s="65">
        <v>21420</v>
      </c>
      <c r="U5" s="65">
        <v>21122</v>
      </c>
      <c r="V5" s="65">
        <v>20904</v>
      </c>
      <c r="W5" s="65">
        <v>20276</v>
      </c>
      <c r="X5" s="65">
        <v>20206</v>
      </c>
      <c r="Y5" s="65">
        <v>20138</v>
      </c>
      <c r="Z5" s="65"/>
      <c r="AA5" s="65"/>
      <c r="AB5" s="65"/>
      <c r="AC5" s="65"/>
      <c r="AD5" s="65"/>
    </row>
    <row r="6" spans="1:37" outlineLevel="1" x14ac:dyDescent="0.25">
      <c r="A6" s="66" t="s">
        <v>177</v>
      </c>
      <c r="B6" s="65">
        <f t="shared" ref="B6:V6" si="0">SUM(B4:B5)</f>
        <v>94059</v>
      </c>
      <c r="C6" s="65">
        <f t="shared" si="0"/>
        <v>93896</v>
      </c>
      <c r="D6" s="65">
        <f t="shared" si="0"/>
        <v>93922</v>
      </c>
      <c r="E6" s="65">
        <f t="shared" si="0"/>
        <v>94544</v>
      </c>
      <c r="F6" s="65">
        <f t="shared" si="0"/>
        <v>93894</v>
      </c>
      <c r="G6" s="65">
        <f t="shared" si="0"/>
        <v>93975</v>
      </c>
      <c r="H6" s="65">
        <f t="shared" si="0"/>
        <v>94101</v>
      </c>
      <c r="I6" s="65">
        <f t="shared" si="0"/>
        <v>94373</v>
      </c>
      <c r="J6" s="65">
        <f t="shared" si="0"/>
        <v>94230</v>
      </c>
      <c r="K6" s="65">
        <f t="shared" si="0"/>
        <v>94589</v>
      </c>
      <c r="L6" s="65">
        <f t="shared" si="0"/>
        <v>94988</v>
      </c>
      <c r="M6" s="65">
        <f t="shared" si="0"/>
        <v>115395</v>
      </c>
      <c r="N6" s="65">
        <f t="shared" si="0"/>
        <v>115186</v>
      </c>
      <c r="O6" s="65">
        <f t="shared" si="0"/>
        <v>114613</v>
      </c>
      <c r="P6" s="65">
        <f t="shared" si="0"/>
        <v>114554</v>
      </c>
      <c r="Q6" s="65">
        <f t="shared" si="0"/>
        <v>114520</v>
      </c>
      <c r="R6" s="65">
        <f t="shared" si="0"/>
        <v>114523</v>
      </c>
      <c r="S6" s="65">
        <f t="shared" si="0"/>
        <v>114120</v>
      </c>
      <c r="T6" s="65">
        <f t="shared" si="0"/>
        <v>114124</v>
      </c>
      <c r="U6" s="65">
        <f t="shared" si="0"/>
        <v>114972</v>
      </c>
      <c r="V6" s="65">
        <f t="shared" si="0"/>
        <v>114809</v>
      </c>
      <c r="W6" s="65">
        <f>SUM(W4:W5)</f>
        <v>114236</v>
      </c>
      <c r="X6" s="65">
        <f>SUM(X4:X5)</f>
        <v>114211</v>
      </c>
      <c r="Y6" s="65">
        <f>SUM(Y4:Y5)</f>
        <v>115256</v>
      </c>
      <c r="Z6" s="65">
        <v>115084</v>
      </c>
      <c r="AA6" s="65">
        <v>115189</v>
      </c>
      <c r="AB6" s="65">
        <v>115076</v>
      </c>
      <c r="AC6" s="65">
        <v>115903</v>
      </c>
      <c r="AD6" s="65"/>
    </row>
    <row r="7" spans="1:37" outlineLevel="1" x14ac:dyDescent="0.25">
      <c r="A7" s="66"/>
      <c r="B7" s="68"/>
      <c r="C7" s="68"/>
      <c r="D7" s="68"/>
      <c r="E7" s="68"/>
      <c r="F7" s="68"/>
      <c r="G7" s="68"/>
      <c r="H7" s="68"/>
      <c r="I7" s="68"/>
      <c r="J7" s="68"/>
      <c r="K7" s="68"/>
      <c r="L7" s="66"/>
      <c r="M7" s="66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</row>
    <row r="8" spans="1:37" outlineLevel="1" x14ac:dyDescent="0.25">
      <c r="A8" s="66" t="s">
        <v>178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6"/>
      <c r="M8" s="66"/>
      <c r="N8" s="65"/>
      <c r="O8" s="65"/>
      <c r="P8" s="65"/>
      <c r="Q8" s="65"/>
      <c r="R8" s="65">
        <v>19758</v>
      </c>
      <c r="S8" s="65">
        <v>19362</v>
      </c>
      <c r="T8" s="65">
        <v>19123</v>
      </c>
      <c r="U8" s="65">
        <v>18851</v>
      </c>
      <c r="V8" s="65">
        <v>18717</v>
      </c>
      <c r="W8" s="65">
        <v>18702</v>
      </c>
      <c r="X8" s="65">
        <v>18780</v>
      </c>
      <c r="Y8" s="65">
        <v>18843</v>
      </c>
      <c r="Z8" s="65">
        <v>18977</v>
      </c>
      <c r="AA8" s="65">
        <v>19017</v>
      </c>
      <c r="AB8" s="65">
        <v>19062</v>
      </c>
      <c r="AC8" s="65">
        <v>19169</v>
      </c>
      <c r="AD8" s="65"/>
    </row>
    <row r="9" spans="1:37" outlineLevel="1" x14ac:dyDescent="0.25">
      <c r="A9" s="66" t="s">
        <v>179</v>
      </c>
      <c r="B9" s="68"/>
      <c r="C9" s="68"/>
      <c r="D9" s="68"/>
      <c r="E9" s="68"/>
      <c r="F9" s="68"/>
      <c r="G9" s="68"/>
      <c r="H9" s="68"/>
      <c r="I9" s="68"/>
      <c r="J9" s="68"/>
      <c r="K9" s="69">
        <v>75118</v>
      </c>
      <c r="L9" s="69">
        <v>75388</v>
      </c>
      <c r="M9" s="69">
        <v>75712</v>
      </c>
      <c r="N9" s="69">
        <v>75422</v>
      </c>
      <c r="O9" s="69">
        <v>75197</v>
      </c>
      <c r="P9" s="69">
        <v>74997</v>
      </c>
      <c r="Q9" s="69">
        <v>74857</v>
      </c>
      <c r="R9" s="69">
        <v>74611</v>
      </c>
      <c r="S9" s="69">
        <v>74465</v>
      </c>
      <c r="T9" s="69">
        <v>74407</v>
      </c>
      <c r="U9" s="69">
        <v>74720</v>
      </c>
      <c r="V9" s="69">
        <v>74523</v>
      </c>
      <c r="W9" s="69">
        <v>74407</v>
      </c>
      <c r="X9" s="69">
        <v>74412</v>
      </c>
      <c r="Y9" s="69">
        <v>74772</v>
      </c>
      <c r="Z9" s="69">
        <v>74406</v>
      </c>
      <c r="AA9" s="69">
        <v>74359</v>
      </c>
      <c r="AB9" s="69">
        <v>74364</v>
      </c>
      <c r="AC9" s="69">
        <v>74924</v>
      </c>
      <c r="AD9" s="69"/>
    </row>
    <row r="10" spans="1:37" outlineLevel="1" x14ac:dyDescent="0.25">
      <c r="A10" s="66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6"/>
      <c r="M10" s="66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</row>
    <row r="11" spans="1:37" outlineLevel="1" x14ac:dyDescent="0.25">
      <c r="A11" s="66" t="s">
        <v>180</v>
      </c>
      <c r="B11" s="67">
        <v>4322</v>
      </c>
      <c r="C11" s="67">
        <v>4270</v>
      </c>
      <c r="D11" s="67">
        <v>4203</v>
      </c>
      <c r="E11" s="65">
        <v>4152</v>
      </c>
      <c r="F11" s="65">
        <v>4068</v>
      </c>
      <c r="G11" s="65">
        <v>3967</v>
      </c>
      <c r="H11" s="65">
        <v>3926</v>
      </c>
      <c r="I11" s="65">
        <v>3854</v>
      </c>
      <c r="J11" s="65">
        <v>3772</v>
      </c>
      <c r="K11" s="65">
        <v>3710</v>
      </c>
      <c r="L11" s="65">
        <v>3642</v>
      </c>
      <c r="M11" s="65">
        <v>3573</v>
      </c>
      <c r="N11" s="65">
        <v>3495</v>
      </c>
      <c r="O11" s="65">
        <v>3409</v>
      </c>
      <c r="P11" s="65">
        <v>3314</v>
      </c>
      <c r="Q11" s="65">
        <v>3234</v>
      </c>
      <c r="R11" s="65">
        <v>3160</v>
      </c>
      <c r="S11" s="65">
        <v>3091</v>
      </c>
      <c r="T11" s="65">
        <v>3013</v>
      </c>
      <c r="U11" s="65">
        <v>2951</v>
      </c>
      <c r="V11" s="65">
        <v>2883</v>
      </c>
      <c r="W11" s="65">
        <v>2818</v>
      </c>
      <c r="X11" s="65">
        <v>2744</v>
      </c>
      <c r="Y11" s="65">
        <v>2684</v>
      </c>
      <c r="Z11" s="65">
        <v>2626</v>
      </c>
      <c r="AA11" s="65">
        <v>2564</v>
      </c>
      <c r="AB11" s="65">
        <v>2494</v>
      </c>
      <c r="AC11" s="65">
        <v>2441</v>
      </c>
      <c r="AD11" s="65"/>
    </row>
    <row r="12" spans="1:37" outlineLevel="1" x14ac:dyDescent="0.25">
      <c r="A12" s="66" t="s">
        <v>181</v>
      </c>
      <c r="B12" s="67">
        <v>5808</v>
      </c>
      <c r="C12" s="67">
        <v>5837</v>
      </c>
      <c r="D12" s="67">
        <v>5867</v>
      </c>
      <c r="E12" s="65">
        <v>5902</v>
      </c>
      <c r="F12" s="65">
        <v>5961</v>
      </c>
      <c r="G12" s="65">
        <v>5971</v>
      </c>
      <c r="H12" s="65">
        <v>6110</v>
      </c>
      <c r="I12" s="65">
        <v>6202</v>
      </c>
      <c r="J12" s="65">
        <v>6300</v>
      </c>
      <c r="K12" s="65">
        <v>6392</v>
      </c>
      <c r="L12" s="65">
        <v>6490</v>
      </c>
      <c r="M12" s="65">
        <v>6541</v>
      </c>
      <c r="N12" s="65">
        <v>6596</v>
      </c>
      <c r="O12" s="65">
        <v>6626</v>
      </c>
      <c r="P12" s="65">
        <v>6684</v>
      </c>
      <c r="Q12" s="65">
        <v>6740</v>
      </c>
      <c r="R12" s="65">
        <v>6803</v>
      </c>
      <c r="S12" s="65">
        <v>6854</v>
      </c>
      <c r="T12" s="65">
        <v>6923</v>
      </c>
      <c r="U12" s="65">
        <v>6976</v>
      </c>
      <c r="V12" s="65">
        <v>7025</v>
      </c>
      <c r="W12" s="65">
        <v>7049</v>
      </c>
      <c r="X12" s="65">
        <v>7088</v>
      </c>
      <c r="Y12" s="65">
        <v>7135</v>
      </c>
      <c r="Z12" s="65">
        <v>7176</v>
      </c>
      <c r="AA12" s="65">
        <v>7204</v>
      </c>
      <c r="AB12" s="65">
        <v>7263</v>
      </c>
      <c r="AC12" s="65">
        <v>7328</v>
      </c>
      <c r="AD12" s="65"/>
    </row>
    <row r="13" spans="1:37" outlineLevel="1" x14ac:dyDescent="0.25">
      <c r="A13" s="66" t="s">
        <v>182</v>
      </c>
      <c r="B13" s="67">
        <v>3758</v>
      </c>
      <c r="C13" s="67">
        <v>3725</v>
      </c>
      <c r="D13" s="67">
        <v>3672</v>
      </c>
      <c r="E13" s="65">
        <v>3620</v>
      </c>
      <c r="F13" s="65">
        <v>3526</v>
      </c>
      <c r="G13" s="65">
        <v>3456</v>
      </c>
      <c r="H13" s="65">
        <v>3384</v>
      </c>
      <c r="I13" s="65">
        <v>3306</v>
      </c>
      <c r="J13" s="65">
        <v>3227</v>
      </c>
      <c r="K13" s="65">
        <v>3165</v>
      </c>
      <c r="L13" s="65">
        <v>3094</v>
      </c>
      <c r="M13" s="65">
        <v>3026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</row>
    <row r="14" spans="1:37" outlineLevel="1" x14ac:dyDescent="0.25">
      <c r="A14" s="66" t="s">
        <v>183</v>
      </c>
      <c r="B14" s="67">
        <v>13888</v>
      </c>
      <c r="C14" s="67">
        <v>13832</v>
      </c>
      <c r="D14" s="67">
        <v>13742</v>
      </c>
      <c r="E14" s="65">
        <v>13674</v>
      </c>
      <c r="F14" s="65">
        <v>13555</v>
      </c>
      <c r="G14" s="65">
        <v>13414</v>
      </c>
      <c r="H14" s="65">
        <v>13420</v>
      </c>
      <c r="I14" s="65">
        <v>13362</v>
      </c>
      <c r="J14" s="65">
        <v>13299</v>
      </c>
      <c r="K14" s="65">
        <v>13267</v>
      </c>
      <c r="L14" s="65">
        <v>13226</v>
      </c>
      <c r="M14" s="65">
        <v>13140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</row>
    <row r="15" spans="1:37" outlineLevel="1" x14ac:dyDescent="0.25">
      <c r="A15" s="71"/>
      <c r="B15" s="72"/>
      <c r="C15" s="72"/>
      <c r="D15" s="72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</row>
    <row r="16" spans="1:37" outlineLevel="1" x14ac:dyDescent="0.25">
      <c r="A16" s="66" t="s">
        <v>184</v>
      </c>
      <c r="B16" s="67">
        <v>6476</v>
      </c>
      <c r="C16" s="67">
        <v>6474</v>
      </c>
      <c r="D16" s="67">
        <v>6469</v>
      </c>
      <c r="E16" s="65">
        <v>6467</v>
      </c>
      <c r="F16" s="65">
        <v>6481</v>
      </c>
      <c r="G16" s="65">
        <v>6468</v>
      </c>
      <c r="H16" s="65">
        <v>6581</v>
      </c>
      <c r="I16" s="65">
        <v>6647</v>
      </c>
      <c r="J16" s="65">
        <v>6713</v>
      </c>
      <c r="K16" s="65">
        <v>6783</v>
      </c>
      <c r="L16" s="65">
        <v>6858</v>
      </c>
      <c r="M16" s="65">
        <v>6888</v>
      </c>
      <c r="N16" s="65">
        <v>6925</v>
      </c>
      <c r="O16" s="65">
        <v>6938</v>
      </c>
      <c r="P16" s="65">
        <v>6976</v>
      </c>
      <c r="Q16" s="65">
        <v>7016</v>
      </c>
      <c r="R16" s="65">
        <v>7062</v>
      </c>
      <c r="S16" s="65">
        <v>7098</v>
      </c>
      <c r="T16" s="65">
        <v>7151</v>
      </c>
      <c r="U16" s="65">
        <v>7190</v>
      </c>
      <c r="V16" s="65">
        <v>7227</v>
      </c>
      <c r="W16" s="65">
        <v>7238</v>
      </c>
      <c r="X16" s="65">
        <v>7264</v>
      </c>
      <c r="Y16" s="65">
        <v>7300</v>
      </c>
      <c r="Z16" s="65">
        <v>7330</v>
      </c>
      <c r="AA16" s="65">
        <v>7348</v>
      </c>
      <c r="AB16" s="65">
        <v>7395</v>
      </c>
      <c r="AC16" s="65">
        <v>7451</v>
      </c>
      <c r="AD16" s="65"/>
      <c r="AE16" s="65"/>
      <c r="AF16" s="65"/>
    </row>
    <row r="17" spans="1:32" outlineLevel="1" x14ac:dyDescent="0.25">
      <c r="A17" s="66" t="s">
        <v>185</v>
      </c>
      <c r="B17" s="74"/>
      <c r="C17" s="74"/>
      <c r="D17" s="74"/>
      <c r="E17" s="65"/>
      <c r="F17" s="65"/>
      <c r="G17" s="65"/>
      <c r="H17" s="65"/>
      <c r="I17" s="65"/>
      <c r="J17" s="65">
        <v>26</v>
      </c>
      <c r="K17" s="65">
        <v>37</v>
      </c>
      <c r="L17" s="65">
        <v>63</v>
      </c>
      <c r="M17" s="65">
        <v>101</v>
      </c>
      <c r="N17" s="65">
        <v>216</v>
      </c>
      <c r="O17" s="65">
        <v>384</v>
      </c>
      <c r="P17" s="65">
        <v>621</v>
      </c>
      <c r="Q17" s="65">
        <v>884</v>
      </c>
      <c r="R17" s="65">
        <v>1140</v>
      </c>
      <c r="S17" s="65">
        <v>1390</v>
      </c>
      <c r="T17" s="65">
        <v>1641</v>
      </c>
      <c r="U17" s="65">
        <v>1866</v>
      </c>
      <c r="V17" s="65">
        <v>2070</v>
      </c>
      <c r="W17" s="65">
        <v>2292</v>
      </c>
      <c r="X17" s="65">
        <v>2498</v>
      </c>
      <c r="Y17" s="65">
        <v>2714</v>
      </c>
      <c r="Z17" s="65">
        <v>2914</v>
      </c>
      <c r="AA17" s="65">
        <v>3077</v>
      </c>
      <c r="AB17" s="65">
        <v>3198</v>
      </c>
      <c r="AC17" s="65">
        <v>3407</v>
      </c>
      <c r="AD17" s="65"/>
      <c r="AE17" s="65"/>
      <c r="AF17" s="65"/>
    </row>
    <row r="18" spans="1:32" outlineLevel="1" x14ac:dyDescent="0.25">
      <c r="A18" s="66" t="s">
        <v>186</v>
      </c>
      <c r="B18" s="72"/>
      <c r="C18" s="72"/>
      <c r="D18" s="72"/>
      <c r="E18" s="72"/>
      <c r="F18" s="72"/>
      <c r="G18" s="73"/>
      <c r="H18" s="73"/>
      <c r="I18" s="73"/>
      <c r="J18" s="65">
        <f t="shared" ref="J18:X18" si="1">SUM(J16:J17)</f>
        <v>6739</v>
      </c>
      <c r="K18" s="65">
        <f t="shared" si="1"/>
        <v>6820</v>
      </c>
      <c r="L18" s="65">
        <f t="shared" si="1"/>
        <v>6921</v>
      </c>
      <c r="M18" s="65">
        <f t="shared" si="1"/>
        <v>6989</v>
      </c>
      <c r="N18" s="65">
        <f t="shared" si="1"/>
        <v>7141</v>
      </c>
      <c r="O18" s="65">
        <f t="shared" si="1"/>
        <v>7322</v>
      </c>
      <c r="P18" s="65">
        <f t="shared" si="1"/>
        <v>7597</v>
      </c>
      <c r="Q18" s="65">
        <f t="shared" si="1"/>
        <v>7900</v>
      </c>
      <c r="R18" s="65">
        <f t="shared" si="1"/>
        <v>8202</v>
      </c>
      <c r="S18" s="65">
        <f t="shared" si="1"/>
        <v>8488</v>
      </c>
      <c r="T18" s="65">
        <f t="shared" si="1"/>
        <v>8792</v>
      </c>
      <c r="U18" s="65">
        <f t="shared" si="1"/>
        <v>9056</v>
      </c>
      <c r="V18" s="65">
        <f t="shared" si="1"/>
        <v>9297</v>
      </c>
      <c r="W18" s="65">
        <f t="shared" si="1"/>
        <v>9530</v>
      </c>
      <c r="X18" s="65">
        <f t="shared" si="1"/>
        <v>9762</v>
      </c>
      <c r="Y18" s="65">
        <f>SUM(Y16:Y17)</f>
        <v>10014</v>
      </c>
      <c r="Z18" s="65">
        <f>SUM(Z16:Z17)</f>
        <v>10244</v>
      </c>
      <c r="AA18" s="65">
        <f>SUM(AA16:AA17)</f>
        <v>10425</v>
      </c>
      <c r="AB18" s="65">
        <f>SUM(AB16:AB17)</f>
        <v>10593</v>
      </c>
      <c r="AC18" s="65">
        <f>SUM(AC16:AC17)</f>
        <v>10858</v>
      </c>
      <c r="AD18" s="65"/>
    </row>
    <row r="19" spans="1:32" outlineLevel="1" x14ac:dyDescent="0.25">
      <c r="A19" s="66"/>
      <c r="B19" s="74"/>
      <c r="C19" s="74"/>
      <c r="D19" s="74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</row>
    <row r="20" spans="1:32" outlineLevel="1" x14ac:dyDescent="0.25">
      <c r="A20" s="66" t="s">
        <v>187</v>
      </c>
      <c r="B20" s="67">
        <v>6418</v>
      </c>
      <c r="C20" s="67">
        <v>6058</v>
      </c>
      <c r="D20" s="67">
        <v>5904</v>
      </c>
      <c r="E20" s="65">
        <v>5754</v>
      </c>
      <c r="F20" s="65">
        <v>5578</v>
      </c>
      <c r="G20" s="65">
        <v>5444</v>
      </c>
      <c r="H20" s="65">
        <v>5302</v>
      </c>
      <c r="I20" s="75"/>
      <c r="J20" s="75"/>
      <c r="K20" s="75"/>
      <c r="L20" s="75"/>
      <c r="M20" s="75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</row>
    <row r="21" spans="1:32" outlineLevel="1" x14ac:dyDescent="0.25">
      <c r="A21" s="66" t="s">
        <v>188</v>
      </c>
      <c r="B21" s="67">
        <v>668</v>
      </c>
      <c r="C21" s="67">
        <v>637</v>
      </c>
      <c r="D21" s="67">
        <v>602</v>
      </c>
      <c r="E21" s="67">
        <v>565</v>
      </c>
      <c r="F21" s="67">
        <v>520</v>
      </c>
      <c r="G21" s="67">
        <v>497</v>
      </c>
      <c r="H21" s="67">
        <v>471</v>
      </c>
      <c r="I21" s="67">
        <v>445</v>
      </c>
      <c r="J21" s="67">
        <v>413</v>
      </c>
      <c r="K21" s="67">
        <v>391</v>
      </c>
      <c r="L21" s="67">
        <v>368</v>
      </c>
      <c r="M21" s="67">
        <v>347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</row>
    <row r="22" spans="1:32" outlineLevel="1" x14ac:dyDescent="0.25">
      <c r="A22" s="66" t="s">
        <v>189</v>
      </c>
      <c r="B22" s="67"/>
      <c r="C22" s="67"/>
      <c r="D22" s="67"/>
      <c r="E22" s="65"/>
      <c r="F22" s="65">
        <v>0</v>
      </c>
      <c r="G22" s="65">
        <v>0</v>
      </c>
      <c r="H22" s="65">
        <v>0</v>
      </c>
      <c r="I22" s="65">
        <v>16</v>
      </c>
      <c r="J22" s="65">
        <v>33</v>
      </c>
      <c r="K22" s="65">
        <v>95</v>
      </c>
      <c r="L22" s="65">
        <v>150</v>
      </c>
      <c r="M22" s="65">
        <v>228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</row>
    <row r="23" spans="1:32" outlineLevel="1" x14ac:dyDescent="0.25">
      <c r="A23" s="66"/>
      <c r="B23" s="67"/>
      <c r="C23" s="67"/>
      <c r="D23" s="67"/>
      <c r="E23" s="65"/>
      <c r="F23" s="65"/>
      <c r="G23" s="65"/>
      <c r="H23" s="65"/>
      <c r="I23" s="65"/>
      <c r="J23" s="65"/>
      <c r="K23" s="65"/>
      <c r="L23" s="65"/>
      <c r="M23" s="65"/>
    </row>
    <row r="24" spans="1:32" outlineLevel="1" x14ac:dyDescent="0.25">
      <c r="A24" s="54" t="s">
        <v>148</v>
      </c>
      <c r="B24" s="67"/>
      <c r="C24" s="67"/>
      <c r="D24" s="67"/>
      <c r="E24" s="65"/>
      <c r="F24" s="65"/>
      <c r="G24" s="65"/>
      <c r="H24" s="65"/>
      <c r="I24" s="65"/>
      <c r="J24" s="65"/>
      <c r="K24" s="65"/>
      <c r="L24" s="65"/>
      <c r="M24" s="65"/>
    </row>
    <row r="25" spans="1:32" outlineLevel="1" x14ac:dyDescent="0.25">
      <c r="A25" s="64" t="s">
        <v>174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</row>
    <row r="26" spans="1:32" outlineLevel="1" x14ac:dyDescent="0.25">
      <c r="A26" s="66" t="s">
        <v>175</v>
      </c>
      <c r="B26" s="67">
        <v>89580</v>
      </c>
      <c r="C26" s="67">
        <v>89630</v>
      </c>
      <c r="D26" s="67">
        <v>89739</v>
      </c>
      <c r="E26" s="65">
        <v>90481</v>
      </c>
      <c r="F26" s="65">
        <v>89914</v>
      </c>
      <c r="G26" s="65">
        <v>89977</v>
      </c>
      <c r="H26" s="65">
        <v>90026</v>
      </c>
      <c r="I26" s="65">
        <v>90346</v>
      </c>
      <c r="J26" s="65">
        <v>90172</v>
      </c>
      <c r="K26" s="65">
        <v>90514</v>
      </c>
      <c r="L26" s="65">
        <v>90916</v>
      </c>
      <c r="M26" s="65">
        <v>91543</v>
      </c>
      <c r="N26" s="65">
        <v>91414</v>
      </c>
      <c r="O26" s="65">
        <v>91475</v>
      </c>
      <c r="P26" s="65">
        <v>91478</v>
      </c>
      <c r="Q26" s="65">
        <v>91856</v>
      </c>
      <c r="R26" s="65">
        <v>92192</v>
      </c>
      <c r="S26" s="65">
        <v>92474</v>
      </c>
      <c r="T26" s="65">
        <v>92704</v>
      </c>
      <c r="U26" s="65">
        <v>93850</v>
      </c>
      <c r="V26" s="65">
        <v>93905</v>
      </c>
      <c r="W26" s="65">
        <v>93960</v>
      </c>
      <c r="X26" s="65">
        <v>94005</v>
      </c>
      <c r="Y26" s="65">
        <v>95118</v>
      </c>
      <c r="Z26" s="65">
        <v>94854</v>
      </c>
      <c r="AA26" s="65"/>
      <c r="AB26" s="65"/>
      <c r="AC26" s="65"/>
      <c r="AD26" s="65"/>
    </row>
    <row r="27" spans="1:32" outlineLevel="1" x14ac:dyDescent="0.25">
      <c r="A27" s="66" t="s">
        <v>176</v>
      </c>
      <c r="B27" s="67">
        <v>4479</v>
      </c>
      <c r="C27" s="67">
        <v>4266</v>
      </c>
      <c r="D27" s="67">
        <v>4183</v>
      </c>
      <c r="E27" s="65">
        <v>4063</v>
      </c>
      <c r="F27" s="65">
        <v>3980</v>
      </c>
      <c r="G27" s="65">
        <v>3998</v>
      </c>
      <c r="H27" s="65">
        <v>4075</v>
      </c>
      <c r="I27" s="65">
        <v>4027</v>
      </c>
      <c r="J27" s="65">
        <v>4058</v>
      </c>
      <c r="K27" s="65">
        <v>4075</v>
      </c>
      <c r="L27" s="65">
        <v>4072</v>
      </c>
      <c r="M27" s="65">
        <v>23852</v>
      </c>
      <c r="N27" s="65">
        <v>23772</v>
      </c>
      <c r="O27" s="65">
        <v>23138</v>
      </c>
      <c r="P27" s="65">
        <v>23076</v>
      </c>
      <c r="Q27" s="65">
        <v>22664</v>
      </c>
      <c r="R27" s="65">
        <v>22331</v>
      </c>
      <c r="S27" s="65">
        <v>21646</v>
      </c>
      <c r="T27" s="65">
        <v>21420</v>
      </c>
      <c r="U27" s="65">
        <v>21122</v>
      </c>
      <c r="V27" s="65">
        <v>20904</v>
      </c>
      <c r="W27" s="65">
        <v>20276</v>
      </c>
      <c r="X27" s="65">
        <v>20206</v>
      </c>
      <c r="Y27" s="65">
        <v>20138</v>
      </c>
      <c r="Z27" s="65"/>
      <c r="AA27" s="65"/>
      <c r="AB27" s="65"/>
      <c r="AC27" s="65"/>
      <c r="AD27" s="65"/>
    </row>
    <row r="28" spans="1:32" outlineLevel="1" x14ac:dyDescent="0.25">
      <c r="A28" s="66" t="s">
        <v>177</v>
      </c>
      <c r="B28" s="65">
        <f t="shared" ref="B28:V28" si="2">SUM(B26:B27)</f>
        <v>94059</v>
      </c>
      <c r="C28" s="65">
        <f t="shared" si="2"/>
        <v>93896</v>
      </c>
      <c r="D28" s="65">
        <f t="shared" si="2"/>
        <v>93922</v>
      </c>
      <c r="E28" s="65">
        <f t="shared" si="2"/>
        <v>94544</v>
      </c>
      <c r="F28" s="65">
        <f t="shared" si="2"/>
        <v>93894</v>
      </c>
      <c r="G28" s="65">
        <f t="shared" si="2"/>
        <v>93975</v>
      </c>
      <c r="H28" s="65">
        <f t="shared" si="2"/>
        <v>94101</v>
      </c>
      <c r="I28" s="65">
        <f t="shared" si="2"/>
        <v>94373</v>
      </c>
      <c r="J28" s="65">
        <f t="shared" si="2"/>
        <v>94230</v>
      </c>
      <c r="K28" s="65">
        <f t="shared" si="2"/>
        <v>94589</v>
      </c>
      <c r="L28" s="65">
        <f t="shared" si="2"/>
        <v>94988</v>
      </c>
      <c r="M28" s="65">
        <f t="shared" si="2"/>
        <v>115395</v>
      </c>
      <c r="N28" s="65">
        <f t="shared" si="2"/>
        <v>115186</v>
      </c>
      <c r="O28" s="65">
        <f t="shared" si="2"/>
        <v>114613</v>
      </c>
      <c r="P28" s="65">
        <f t="shared" si="2"/>
        <v>114554</v>
      </c>
      <c r="Q28" s="65">
        <f t="shared" si="2"/>
        <v>114520</v>
      </c>
      <c r="R28" s="65">
        <f t="shared" si="2"/>
        <v>114523</v>
      </c>
      <c r="S28" s="65">
        <f t="shared" si="2"/>
        <v>114120</v>
      </c>
      <c r="T28" s="65">
        <f t="shared" si="2"/>
        <v>114124</v>
      </c>
      <c r="U28" s="65">
        <f t="shared" si="2"/>
        <v>114972</v>
      </c>
      <c r="V28" s="65">
        <f t="shared" si="2"/>
        <v>114809</v>
      </c>
      <c r="W28" s="65">
        <f>SUM(W26:W27)</f>
        <v>114236</v>
      </c>
      <c r="X28" s="65">
        <f>SUM(X26:X27)</f>
        <v>114211</v>
      </c>
      <c r="Y28" s="65">
        <f>SUM(Y26:Y27)</f>
        <v>115256</v>
      </c>
      <c r="Z28" s="65">
        <v>115084</v>
      </c>
      <c r="AA28" s="65"/>
      <c r="AB28" s="65"/>
      <c r="AC28" s="65"/>
      <c r="AD28" s="65"/>
    </row>
    <row r="29" spans="1:32" outlineLevel="1" x14ac:dyDescent="0.25">
      <c r="A29" s="66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6"/>
      <c r="M29" s="66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</row>
    <row r="30" spans="1:32" outlineLevel="1" x14ac:dyDescent="0.25">
      <c r="A30" s="66" t="s">
        <v>178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6"/>
      <c r="M30" s="66"/>
      <c r="N30" s="65"/>
      <c r="O30" s="65"/>
      <c r="P30" s="65"/>
      <c r="Q30" s="65"/>
      <c r="R30" s="65">
        <v>19758</v>
      </c>
      <c r="S30" s="65">
        <v>19362</v>
      </c>
      <c r="T30" s="65">
        <v>19123</v>
      </c>
      <c r="U30" s="65">
        <v>18851</v>
      </c>
      <c r="V30" s="65">
        <v>18717</v>
      </c>
      <c r="W30" s="65">
        <v>18702</v>
      </c>
      <c r="X30" s="65">
        <v>18780</v>
      </c>
      <c r="Y30" s="65">
        <v>18843</v>
      </c>
      <c r="Z30" s="65">
        <v>18977</v>
      </c>
      <c r="AA30" s="65"/>
      <c r="AB30" s="65"/>
      <c r="AC30" s="65"/>
      <c r="AD30" s="65"/>
    </row>
    <row r="31" spans="1:32" outlineLevel="1" x14ac:dyDescent="0.25">
      <c r="A31" s="66" t="s">
        <v>179</v>
      </c>
      <c r="B31" s="68"/>
      <c r="C31" s="68"/>
      <c r="D31" s="68"/>
      <c r="E31" s="68"/>
      <c r="F31" s="68"/>
      <c r="G31" s="68"/>
      <c r="H31" s="68"/>
      <c r="I31" s="68"/>
      <c r="J31" s="68"/>
      <c r="K31" s="69">
        <v>75118</v>
      </c>
      <c r="L31" s="69">
        <v>75388</v>
      </c>
      <c r="M31" s="69">
        <v>75712</v>
      </c>
      <c r="N31" s="69">
        <v>75422</v>
      </c>
      <c r="O31" s="69">
        <v>75197</v>
      </c>
      <c r="P31" s="69">
        <v>74997</v>
      </c>
      <c r="Q31" s="69">
        <v>74857</v>
      </c>
      <c r="R31" s="69">
        <v>74611</v>
      </c>
      <c r="S31" s="69">
        <v>74465</v>
      </c>
      <c r="T31" s="69">
        <v>74407</v>
      </c>
      <c r="U31" s="69">
        <v>74720</v>
      </c>
      <c r="V31" s="69">
        <v>74561</v>
      </c>
      <c r="W31" s="69">
        <v>74551</v>
      </c>
      <c r="X31" s="69">
        <v>74624</v>
      </c>
      <c r="Y31" s="69">
        <v>75048</v>
      </c>
      <c r="Z31" s="69">
        <v>74406</v>
      </c>
      <c r="AA31" s="69"/>
      <c r="AB31" s="69"/>
      <c r="AC31" s="69"/>
      <c r="AD31" s="69"/>
    </row>
    <row r="32" spans="1:32" outlineLevel="1" x14ac:dyDescent="0.25">
      <c r="A32" s="66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6"/>
      <c r="M32" s="66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</row>
    <row r="33" spans="1:30" outlineLevel="1" x14ac:dyDescent="0.25">
      <c r="A33" s="66" t="s">
        <v>180</v>
      </c>
      <c r="B33" s="67">
        <v>4322</v>
      </c>
      <c r="C33" s="67">
        <v>4270</v>
      </c>
      <c r="D33" s="67">
        <v>4203</v>
      </c>
      <c r="E33" s="65">
        <v>4152</v>
      </c>
      <c r="F33" s="65">
        <v>4068</v>
      </c>
      <c r="G33" s="65">
        <v>3967</v>
      </c>
      <c r="H33" s="65">
        <v>3926</v>
      </c>
      <c r="I33" s="65">
        <v>3854</v>
      </c>
      <c r="J33" s="65">
        <v>3772</v>
      </c>
      <c r="K33" s="65">
        <v>3710</v>
      </c>
      <c r="L33" s="65">
        <v>3642</v>
      </c>
      <c r="M33" s="65">
        <v>3573</v>
      </c>
      <c r="N33" s="65">
        <v>3495</v>
      </c>
      <c r="O33" s="65">
        <v>3409</v>
      </c>
      <c r="P33" s="65">
        <v>3314</v>
      </c>
      <c r="Q33" s="65">
        <v>3234</v>
      </c>
      <c r="R33" s="65">
        <v>3160</v>
      </c>
      <c r="S33" s="65">
        <v>3091</v>
      </c>
      <c r="T33" s="65">
        <v>3013</v>
      </c>
      <c r="U33" s="65">
        <v>2951</v>
      </c>
      <c r="V33" s="65">
        <v>2883</v>
      </c>
      <c r="W33" s="65">
        <v>2818</v>
      </c>
      <c r="X33" s="65">
        <v>2744</v>
      </c>
      <c r="Y33" s="65">
        <v>2684</v>
      </c>
      <c r="Z33" s="65">
        <v>2626</v>
      </c>
      <c r="AA33" s="65"/>
      <c r="AB33" s="65"/>
      <c r="AC33" s="65"/>
      <c r="AD33" s="65"/>
    </row>
    <row r="34" spans="1:30" outlineLevel="1" x14ac:dyDescent="0.25">
      <c r="A34" s="66" t="s">
        <v>181</v>
      </c>
      <c r="B34" s="67">
        <v>5808</v>
      </c>
      <c r="C34" s="67">
        <v>5837</v>
      </c>
      <c r="D34" s="67">
        <v>5867</v>
      </c>
      <c r="E34" s="65">
        <v>5902</v>
      </c>
      <c r="F34" s="65">
        <v>5961</v>
      </c>
      <c r="G34" s="65">
        <v>5971</v>
      </c>
      <c r="H34" s="65">
        <v>6110</v>
      </c>
      <c r="I34" s="65">
        <v>6202</v>
      </c>
      <c r="J34" s="65">
        <v>6300</v>
      </c>
      <c r="K34" s="65">
        <v>6392</v>
      </c>
      <c r="L34" s="65">
        <v>6490</v>
      </c>
      <c r="M34" s="65">
        <v>6541</v>
      </c>
      <c r="N34" s="65">
        <v>6596</v>
      </c>
      <c r="O34" s="65">
        <v>6626</v>
      </c>
      <c r="P34" s="65">
        <v>6684</v>
      </c>
      <c r="Q34" s="65">
        <v>6740</v>
      </c>
      <c r="R34" s="65">
        <v>6803</v>
      </c>
      <c r="S34" s="65">
        <v>6854</v>
      </c>
      <c r="T34" s="65">
        <v>6923</v>
      </c>
      <c r="U34" s="65">
        <v>6976</v>
      </c>
      <c r="V34" s="65">
        <v>7025</v>
      </c>
      <c r="W34" s="65">
        <v>7049</v>
      </c>
      <c r="X34" s="65">
        <v>7088</v>
      </c>
      <c r="Y34" s="65">
        <v>7135</v>
      </c>
      <c r="Z34" s="65">
        <v>7176</v>
      </c>
      <c r="AA34" s="65"/>
      <c r="AB34" s="65"/>
      <c r="AC34" s="65"/>
      <c r="AD34" s="65"/>
    </row>
    <row r="35" spans="1:30" outlineLevel="1" x14ac:dyDescent="0.25">
      <c r="A35" s="66" t="s">
        <v>182</v>
      </c>
      <c r="B35" s="67">
        <v>3758</v>
      </c>
      <c r="C35" s="67">
        <v>3725</v>
      </c>
      <c r="D35" s="67">
        <v>3672</v>
      </c>
      <c r="E35" s="65">
        <v>3620</v>
      </c>
      <c r="F35" s="65">
        <v>3526</v>
      </c>
      <c r="G35" s="65">
        <v>3456</v>
      </c>
      <c r="H35" s="65">
        <v>3384</v>
      </c>
      <c r="I35" s="65">
        <v>3306</v>
      </c>
      <c r="J35" s="65">
        <v>3227</v>
      </c>
      <c r="K35" s="65">
        <v>3165</v>
      </c>
      <c r="L35" s="65">
        <v>3094</v>
      </c>
      <c r="M35" s="65">
        <v>3026</v>
      </c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</row>
    <row r="36" spans="1:30" outlineLevel="1" x14ac:dyDescent="0.25">
      <c r="A36" s="66" t="s">
        <v>183</v>
      </c>
      <c r="B36" s="67">
        <v>13888</v>
      </c>
      <c r="C36" s="67">
        <v>13832</v>
      </c>
      <c r="D36" s="67">
        <v>13742</v>
      </c>
      <c r="E36" s="65">
        <v>13674</v>
      </c>
      <c r="F36" s="65">
        <v>13555</v>
      </c>
      <c r="G36" s="65">
        <v>13414</v>
      </c>
      <c r="H36" s="65">
        <v>13420</v>
      </c>
      <c r="I36" s="65">
        <v>13362</v>
      </c>
      <c r="J36" s="65">
        <v>13299</v>
      </c>
      <c r="K36" s="65">
        <v>13267</v>
      </c>
      <c r="L36" s="65">
        <v>13226</v>
      </c>
      <c r="M36" s="65">
        <v>13140</v>
      </c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</row>
    <row r="37" spans="1:30" outlineLevel="1" x14ac:dyDescent="0.25">
      <c r="A37" s="71"/>
      <c r="B37" s="72"/>
      <c r="C37" s="72"/>
      <c r="D37" s="72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</row>
    <row r="38" spans="1:30" outlineLevel="1" x14ac:dyDescent="0.25">
      <c r="A38" s="66" t="s">
        <v>184</v>
      </c>
      <c r="B38" s="67">
        <v>6476</v>
      </c>
      <c r="C38" s="67">
        <v>6474</v>
      </c>
      <c r="D38" s="67">
        <v>6469</v>
      </c>
      <c r="E38" s="65">
        <v>6467</v>
      </c>
      <c r="F38" s="65">
        <v>6481</v>
      </c>
      <c r="G38" s="65">
        <v>6468</v>
      </c>
      <c r="H38" s="65">
        <v>6581</v>
      </c>
      <c r="I38" s="65">
        <v>6647</v>
      </c>
      <c r="J38" s="65">
        <v>6713</v>
      </c>
      <c r="K38" s="65">
        <v>6783</v>
      </c>
      <c r="L38" s="65">
        <v>6858</v>
      </c>
      <c r="M38" s="65">
        <v>6888</v>
      </c>
      <c r="N38" s="65">
        <v>6925</v>
      </c>
      <c r="O38" s="65">
        <v>6938</v>
      </c>
      <c r="P38" s="65">
        <v>6976</v>
      </c>
      <c r="Q38" s="65">
        <v>7016</v>
      </c>
      <c r="R38" s="65">
        <v>7062</v>
      </c>
      <c r="S38" s="65">
        <v>7098</v>
      </c>
      <c r="T38" s="65">
        <v>7151</v>
      </c>
      <c r="U38" s="65">
        <v>7190</v>
      </c>
      <c r="V38" s="65">
        <v>7227</v>
      </c>
      <c r="W38" s="65">
        <v>7238</v>
      </c>
      <c r="X38" s="65">
        <v>7264</v>
      </c>
      <c r="Y38" s="65">
        <v>7300</v>
      </c>
      <c r="Z38" s="65">
        <v>7330</v>
      </c>
      <c r="AA38" s="65"/>
      <c r="AB38" s="65"/>
      <c r="AC38" s="65"/>
      <c r="AD38" s="65"/>
    </row>
    <row r="39" spans="1:30" outlineLevel="1" x14ac:dyDescent="0.25">
      <c r="A39" s="66" t="s">
        <v>185</v>
      </c>
      <c r="B39" s="74"/>
      <c r="C39" s="74"/>
      <c r="D39" s="74"/>
      <c r="E39" s="65"/>
      <c r="F39" s="65"/>
      <c r="G39" s="65"/>
      <c r="H39" s="65"/>
      <c r="I39" s="65"/>
      <c r="J39" s="65">
        <v>26</v>
      </c>
      <c r="K39" s="65">
        <v>37</v>
      </c>
      <c r="L39" s="65">
        <v>63</v>
      </c>
      <c r="M39" s="65">
        <v>101</v>
      </c>
      <c r="N39" s="65">
        <v>216</v>
      </c>
      <c r="O39" s="65">
        <v>384</v>
      </c>
      <c r="P39" s="65">
        <v>621</v>
      </c>
      <c r="Q39" s="65">
        <v>884</v>
      </c>
      <c r="R39" s="65">
        <v>1140</v>
      </c>
      <c r="S39" s="65">
        <v>1390</v>
      </c>
      <c r="T39" s="65">
        <v>1641</v>
      </c>
      <c r="U39" s="65">
        <v>1866</v>
      </c>
      <c r="V39" s="65">
        <v>2070</v>
      </c>
      <c r="W39" s="65">
        <v>2292</v>
      </c>
      <c r="X39" s="65">
        <v>2498</v>
      </c>
      <c r="Y39" s="65">
        <v>2714</v>
      </c>
      <c r="Z39" s="65">
        <v>2914</v>
      </c>
      <c r="AA39" s="65"/>
      <c r="AB39" s="65"/>
      <c r="AC39" s="65"/>
      <c r="AD39" s="65"/>
    </row>
    <row r="40" spans="1:30" outlineLevel="1" x14ac:dyDescent="0.25">
      <c r="A40" s="66" t="s">
        <v>186</v>
      </c>
      <c r="B40" s="72"/>
      <c r="C40" s="72"/>
      <c r="D40" s="72"/>
      <c r="E40" s="72"/>
      <c r="F40" s="72"/>
      <c r="G40" s="73"/>
      <c r="H40" s="73"/>
      <c r="I40" s="73"/>
      <c r="J40" s="65">
        <f t="shared" ref="J40:Y40" si="3">SUM(J38:J39)</f>
        <v>6739</v>
      </c>
      <c r="K40" s="65">
        <f t="shared" si="3"/>
        <v>6820</v>
      </c>
      <c r="L40" s="65">
        <f t="shared" si="3"/>
        <v>6921</v>
      </c>
      <c r="M40" s="65">
        <f t="shared" si="3"/>
        <v>6989</v>
      </c>
      <c r="N40" s="65">
        <f t="shared" si="3"/>
        <v>7141</v>
      </c>
      <c r="O40" s="65">
        <f t="shared" si="3"/>
        <v>7322</v>
      </c>
      <c r="P40" s="65">
        <f t="shared" si="3"/>
        <v>7597</v>
      </c>
      <c r="Q40" s="65">
        <f t="shared" si="3"/>
        <v>7900</v>
      </c>
      <c r="R40" s="65">
        <f t="shared" si="3"/>
        <v>8202</v>
      </c>
      <c r="S40" s="65">
        <f t="shared" si="3"/>
        <v>8488</v>
      </c>
      <c r="T40" s="65">
        <f t="shared" si="3"/>
        <v>8792</v>
      </c>
      <c r="U40" s="65">
        <f t="shared" si="3"/>
        <v>9056</v>
      </c>
      <c r="V40" s="65">
        <f t="shared" si="3"/>
        <v>9297</v>
      </c>
      <c r="W40" s="65">
        <f t="shared" si="3"/>
        <v>9530</v>
      </c>
      <c r="X40" s="65">
        <f t="shared" si="3"/>
        <v>9762</v>
      </c>
      <c r="Y40" s="65">
        <f t="shared" si="3"/>
        <v>10014</v>
      </c>
      <c r="Z40" s="65">
        <v>10244</v>
      </c>
      <c r="AA40" s="65"/>
      <c r="AB40" s="65"/>
      <c r="AC40" s="65"/>
      <c r="AD40" s="65"/>
    </row>
    <row r="41" spans="1:30" outlineLevel="1" x14ac:dyDescent="0.25">
      <c r="A41" s="66"/>
      <c r="B41" s="74"/>
      <c r="C41" s="74"/>
      <c r="D41" s="74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</row>
    <row r="42" spans="1:30" outlineLevel="1" x14ac:dyDescent="0.25">
      <c r="A42" s="66" t="s">
        <v>187</v>
      </c>
      <c r="B42" s="67">
        <v>6418</v>
      </c>
      <c r="C42" s="67">
        <v>6058</v>
      </c>
      <c r="D42" s="67">
        <v>5904</v>
      </c>
      <c r="E42" s="65">
        <v>5754</v>
      </c>
      <c r="F42" s="65">
        <v>5578</v>
      </c>
      <c r="G42" s="65">
        <v>5444</v>
      </c>
      <c r="H42" s="65">
        <v>5302</v>
      </c>
      <c r="I42" s="75"/>
      <c r="J42" s="75"/>
      <c r="K42" s="75"/>
      <c r="L42" s="75"/>
      <c r="M42" s="75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</row>
    <row r="43" spans="1:30" outlineLevel="1" x14ac:dyDescent="0.25">
      <c r="A43" s="66" t="s">
        <v>188</v>
      </c>
      <c r="B43" s="67">
        <v>668</v>
      </c>
      <c r="C43" s="67">
        <v>637</v>
      </c>
      <c r="D43" s="67">
        <v>602</v>
      </c>
      <c r="E43" s="67">
        <v>565</v>
      </c>
      <c r="F43" s="67">
        <v>520</v>
      </c>
      <c r="G43" s="67">
        <v>497</v>
      </c>
      <c r="H43" s="67">
        <v>471</v>
      </c>
      <c r="I43" s="67">
        <v>445</v>
      </c>
      <c r="J43" s="67">
        <v>413</v>
      </c>
      <c r="K43" s="67">
        <v>391</v>
      </c>
      <c r="L43" s="67">
        <v>368</v>
      </c>
      <c r="M43" s="67">
        <v>347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</row>
    <row r="44" spans="1:30" outlineLevel="1" x14ac:dyDescent="0.25">
      <c r="A44" s="66" t="s">
        <v>189</v>
      </c>
      <c r="B44" s="67"/>
      <c r="C44" s="67"/>
      <c r="D44" s="67"/>
      <c r="E44" s="65"/>
      <c r="F44" s="65">
        <v>0</v>
      </c>
      <c r="G44" s="65">
        <v>0</v>
      </c>
      <c r="H44" s="65">
        <v>0</v>
      </c>
      <c r="I44" s="65">
        <v>16</v>
      </c>
      <c r="J44" s="65">
        <v>33</v>
      </c>
      <c r="K44" s="65">
        <v>95</v>
      </c>
      <c r="L44" s="65">
        <v>150</v>
      </c>
      <c r="M44" s="65">
        <v>228</v>
      </c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</row>
    <row r="45" spans="1:30" outlineLevel="1" x14ac:dyDescent="0.25">
      <c r="A45" s="66"/>
      <c r="B45" s="67"/>
      <c r="C45" s="67"/>
      <c r="D45" s="67"/>
      <c r="E45" s="65"/>
      <c r="F45" s="65"/>
      <c r="G45" s="65"/>
      <c r="H45" s="65"/>
      <c r="I45" s="65"/>
      <c r="J45" s="65"/>
      <c r="K45" s="65"/>
      <c r="L45" s="65"/>
      <c r="M45" s="65"/>
    </row>
    <row r="46" spans="1:30" outlineLevel="1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 spans="1:30" outlineLevel="1" x14ac:dyDescent="0.25">
      <c r="A47" s="71" t="s">
        <v>190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</row>
    <row r="48" spans="1:30" outlineLevel="1" x14ac:dyDescent="0.25">
      <c r="A48" s="66" t="s">
        <v>191</v>
      </c>
      <c r="B48" s="66">
        <v>2714</v>
      </c>
      <c r="C48" s="66">
        <v>2725</v>
      </c>
      <c r="D48" s="66">
        <v>3020</v>
      </c>
      <c r="E48" s="66">
        <v>3794</v>
      </c>
      <c r="F48" s="65">
        <v>2220</v>
      </c>
      <c r="G48" s="65">
        <v>1927</v>
      </c>
      <c r="H48" s="65">
        <v>2304</v>
      </c>
      <c r="I48" s="65">
        <v>2945</v>
      </c>
      <c r="J48" s="65">
        <v>2307</v>
      </c>
      <c r="K48" s="65">
        <v>2592</v>
      </c>
      <c r="L48" s="65">
        <v>2701</v>
      </c>
      <c r="M48" s="65">
        <v>3234</v>
      </c>
      <c r="N48" s="65">
        <v>2481</v>
      </c>
      <c r="O48" s="65">
        <v>2622</v>
      </c>
      <c r="P48" s="65">
        <v>3045</v>
      </c>
      <c r="Q48" s="65">
        <v>3889</v>
      </c>
      <c r="R48" s="65">
        <v>3210</v>
      </c>
      <c r="S48" s="65">
        <v>2928</v>
      </c>
      <c r="T48" s="65">
        <v>3152</v>
      </c>
      <c r="U48" s="65">
        <v>4185</v>
      </c>
      <c r="V48" s="65">
        <v>2983</v>
      </c>
      <c r="W48" s="65">
        <v>2901</v>
      </c>
      <c r="X48" s="65">
        <v>3088</v>
      </c>
      <c r="Y48" s="65">
        <v>4310</v>
      </c>
      <c r="Z48" s="65">
        <v>2970</v>
      </c>
      <c r="AA48" s="65">
        <v>3277</v>
      </c>
      <c r="AB48" s="65">
        <v>3104</v>
      </c>
      <c r="AC48" s="65">
        <v>4279</v>
      </c>
      <c r="AD48" s="65"/>
    </row>
    <row r="49" spans="1:30" outlineLevel="1" x14ac:dyDescent="0.25">
      <c r="A49" s="66" t="s">
        <v>192</v>
      </c>
      <c r="B49" s="65">
        <v>1583.8978399999999</v>
      </c>
      <c r="C49" s="65">
        <v>1620.9423999999999</v>
      </c>
      <c r="D49" s="65">
        <v>1938.3848000000003</v>
      </c>
      <c r="E49" s="65">
        <v>2375.60088</v>
      </c>
      <c r="F49" s="65">
        <v>1365.0888800000002</v>
      </c>
      <c r="G49" s="65">
        <v>1197.54736</v>
      </c>
      <c r="H49" s="65">
        <v>1502.4522400000001</v>
      </c>
      <c r="I49" s="65">
        <v>1805.0742399999999</v>
      </c>
      <c r="J49" s="65">
        <v>1444.5940800000003</v>
      </c>
      <c r="K49" s="65">
        <v>1603.6831999999999</v>
      </c>
      <c r="L49" s="65">
        <v>1722.4651199999998</v>
      </c>
      <c r="M49" s="65">
        <v>2016.1276800000003</v>
      </c>
      <c r="N49" s="70"/>
      <c r="O49" s="70"/>
      <c r="P49" s="70"/>
      <c r="Q49" s="70"/>
      <c r="R49" s="65">
        <v>1624</v>
      </c>
      <c r="S49" s="65">
        <v>1570</v>
      </c>
      <c r="T49" s="65">
        <v>1843</v>
      </c>
      <c r="U49" s="65">
        <v>2293</v>
      </c>
      <c r="V49" s="65">
        <v>1674</v>
      </c>
      <c r="W49" s="65">
        <v>1647</v>
      </c>
      <c r="X49" s="65">
        <v>1860</v>
      </c>
      <c r="Y49" s="65">
        <v>2324</v>
      </c>
      <c r="Z49" s="65">
        <v>1658</v>
      </c>
      <c r="AA49" s="65">
        <v>1958</v>
      </c>
      <c r="AB49" s="65">
        <v>2016</v>
      </c>
      <c r="AC49" s="65">
        <v>2679</v>
      </c>
      <c r="AD49" s="65"/>
    </row>
    <row r="50" spans="1:30" outlineLevel="1" x14ac:dyDescent="0.25">
      <c r="A50" s="66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</row>
    <row r="51" spans="1:30" outlineLevel="1" x14ac:dyDescent="0.25">
      <c r="A51" s="54" t="s">
        <v>148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</row>
    <row r="52" spans="1:30" outlineLevel="1" x14ac:dyDescent="0.25">
      <c r="A52" s="71" t="s">
        <v>190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</row>
    <row r="53" spans="1:30" outlineLevel="1" x14ac:dyDescent="0.25">
      <c r="A53" s="66" t="s">
        <v>191</v>
      </c>
      <c r="B53" s="66">
        <v>2714</v>
      </c>
      <c r="C53" s="66">
        <v>2725</v>
      </c>
      <c r="D53" s="66">
        <v>3020</v>
      </c>
      <c r="E53" s="66">
        <v>3794</v>
      </c>
      <c r="F53" s="65">
        <v>2220</v>
      </c>
      <c r="G53" s="65">
        <v>1927</v>
      </c>
      <c r="H53" s="65">
        <v>2304</v>
      </c>
      <c r="I53" s="65">
        <v>2945</v>
      </c>
      <c r="J53" s="65">
        <v>2307</v>
      </c>
      <c r="K53" s="65">
        <v>2592</v>
      </c>
      <c r="L53" s="65">
        <v>2701</v>
      </c>
      <c r="M53" s="65">
        <v>3234</v>
      </c>
      <c r="N53" s="65">
        <v>2481</v>
      </c>
      <c r="O53" s="65">
        <v>2622</v>
      </c>
      <c r="P53" s="65">
        <v>3045</v>
      </c>
      <c r="Q53" s="65">
        <v>3889</v>
      </c>
      <c r="R53" s="65">
        <v>3210</v>
      </c>
      <c r="S53" s="65">
        <v>2928</v>
      </c>
      <c r="T53" s="65">
        <v>3152</v>
      </c>
      <c r="U53" s="65">
        <v>4185</v>
      </c>
      <c r="V53" s="65">
        <v>2983</v>
      </c>
      <c r="W53" s="65">
        <v>2901</v>
      </c>
      <c r="X53" s="65">
        <v>3088</v>
      </c>
      <c r="Y53" s="65">
        <v>4310</v>
      </c>
      <c r="Z53" s="65">
        <v>2970</v>
      </c>
      <c r="AA53" s="65"/>
      <c r="AB53" s="65"/>
      <c r="AC53" s="65"/>
      <c r="AD53" s="65"/>
    </row>
    <row r="54" spans="1:30" outlineLevel="1" x14ac:dyDescent="0.25">
      <c r="A54" s="66" t="s">
        <v>192</v>
      </c>
      <c r="B54" s="65">
        <v>1583.8978399999999</v>
      </c>
      <c r="C54" s="65">
        <v>1620.9423999999999</v>
      </c>
      <c r="D54" s="65">
        <v>1938.3848000000003</v>
      </c>
      <c r="E54" s="65">
        <v>2375.60088</v>
      </c>
      <c r="F54" s="65">
        <v>1365.0888800000002</v>
      </c>
      <c r="G54" s="65">
        <v>1197.54736</v>
      </c>
      <c r="H54" s="65">
        <v>1502.4522400000001</v>
      </c>
      <c r="I54" s="65">
        <v>1805.0742399999999</v>
      </c>
      <c r="J54" s="65">
        <v>1444.5940800000003</v>
      </c>
      <c r="K54" s="65">
        <v>1603.6831999999999</v>
      </c>
      <c r="L54" s="65">
        <v>1722.4651199999998</v>
      </c>
      <c r="M54" s="65">
        <v>2016.1276800000003</v>
      </c>
      <c r="N54" s="70"/>
      <c r="O54" s="70"/>
      <c r="P54" s="70"/>
      <c r="Q54" s="70"/>
      <c r="R54" s="65">
        <v>1624</v>
      </c>
      <c r="S54" s="65">
        <v>1570</v>
      </c>
      <c r="T54" s="65">
        <v>1843</v>
      </c>
      <c r="U54" s="65">
        <v>2293</v>
      </c>
      <c r="V54" s="65">
        <v>1710</v>
      </c>
      <c r="W54" s="65">
        <v>1758</v>
      </c>
      <c r="X54" s="65">
        <v>1952</v>
      </c>
      <c r="Y54" s="65">
        <v>2418</v>
      </c>
      <c r="Z54" s="65">
        <v>1658</v>
      </c>
      <c r="AA54" s="65"/>
      <c r="AB54" s="65"/>
      <c r="AC54" s="65"/>
      <c r="AD54" s="65"/>
    </row>
    <row r="55" spans="1:30" outlineLevel="1" x14ac:dyDescent="0.25">
      <c r="A55" s="66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</row>
    <row r="56" spans="1:30" outlineLevel="1" x14ac:dyDescent="0.25">
      <c r="A56" s="71" t="s">
        <v>193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</row>
    <row r="57" spans="1:30" outlineLevel="1" x14ac:dyDescent="0.25">
      <c r="A57" s="66" t="s">
        <v>194</v>
      </c>
      <c r="B57" s="66">
        <v>-201</v>
      </c>
      <c r="C57" s="66">
        <v>126</v>
      </c>
      <c r="D57" s="66">
        <v>193</v>
      </c>
      <c r="E57" s="66">
        <v>852</v>
      </c>
      <c r="F57" s="66">
        <v>-525</v>
      </c>
      <c r="G57" s="66">
        <v>72</v>
      </c>
      <c r="H57" s="66">
        <v>136</v>
      </c>
      <c r="I57" s="66">
        <v>357</v>
      </c>
      <c r="J57" s="66">
        <v>-326</v>
      </c>
      <c r="K57" s="66">
        <v>350</v>
      </c>
      <c r="L57" s="66">
        <v>423</v>
      </c>
      <c r="M57" s="66">
        <v>667</v>
      </c>
      <c r="N57" s="66">
        <v>-126</v>
      </c>
      <c r="O57" s="66">
        <v>84</v>
      </c>
      <c r="P57" s="66">
        <v>28</v>
      </c>
      <c r="Q57" s="66">
        <v>979</v>
      </c>
      <c r="R57" s="66">
        <v>321</v>
      </c>
      <c r="S57" s="66">
        <v>304</v>
      </c>
      <c r="T57" s="66">
        <v>251</v>
      </c>
      <c r="U57" s="66">
        <v>1168</v>
      </c>
      <c r="V57" s="66">
        <v>75</v>
      </c>
      <c r="W57" s="66">
        <v>72</v>
      </c>
      <c r="X57" s="66">
        <v>68</v>
      </c>
      <c r="Y57" s="66">
        <v>1130</v>
      </c>
      <c r="Z57" s="66">
        <v>-253</v>
      </c>
      <c r="AA57" s="66">
        <v>90</v>
      </c>
      <c r="AB57" s="66">
        <v>-74</v>
      </c>
      <c r="AC57" s="66">
        <v>818</v>
      </c>
      <c r="AD57" s="66"/>
    </row>
    <row r="58" spans="1:30" outlineLevel="1" x14ac:dyDescent="0.25">
      <c r="A58" s="66" t="s">
        <v>195</v>
      </c>
      <c r="B58" s="66">
        <v>-176</v>
      </c>
      <c r="C58" s="66">
        <v>-213</v>
      </c>
      <c r="D58" s="66">
        <v>-81</v>
      </c>
      <c r="E58" s="66">
        <v>-121</v>
      </c>
      <c r="F58" s="66">
        <v>-84</v>
      </c>
      <c r="G58" s="66">
        <v>12</v>
      </c>
      <c r="H58" s="66">
        <v>77</v>
      </c>
      <c r="I58" s="66">
        <v>-50</v>
      </c>
      <c r="J58" s="66">
        <v>19</v>
      </c>
      <c r="K58" s="66">
        <v>18</v>
      </c>
      <c r="L58" s="66">
        <v>-4</v>
      </c>
      <c r="M58" s="66">
        <v>-85</v>
      </c>
      <c r="N58" s="66">
        <v>-80</v>
      </c>
      <c r="O58" s="66">
        <v>-229</v>
      </c>
      <c r="P58" s="66">
        <v>39</v>
      </c>
      <c r="Q58" s="66">
        <v>-175</v>
      </c>
      <c r="R58" s="66">
        <v>-351</v>
      </c>
      <c r="S58" s="66">
        <v>-304</v>
      </c>
      <c r="T58" s="66">
        <v>-207</v>
      </c>
      <c r="U58" s="66">
        <v>-289</v>
      </c>
      <c r="V58" s="66">
        <v>-216</v>
      </c>
      <c r="W58" s="66">
        <v>-624</v>
      </c>
      <c r="X58" s="66">
        <v>-69</v>
      </c>
      <c r="Y58" s="66">
        <v>-66</v>
      </c>
      <c r="Z58" s="66"/>
      <c r="AA58" s="66"/>
      <c r="AB58" s="66"/>
      <c r="AC58" s="66"/>
      <c r="AD58" s="66"/>
    </row>
    <row r="59" spans="1:30" outlineLevel="1" x14ac:dyDescent="0.25">
      <c r="A59" s="66" t="s">
        <v>196</v>
      </c>
      <c r="B59" s="66">
        <f t="shared" ref="B59:V59" si="4">SUM(B57:B58)</f>
        <v>-377</v>
      </c>
      <c r="C59" s="66">
        <f t="shared" si="4"/>
        <v>-87</v>
      </c>
      <c r="D59" s="66">
        <f t="shared" si="4"/>
        <v>112</v>
      </c>
      <c r="E59" s="66">
        <f t="shared" si="4"/>
        <v>731</v>
      </c>
      <c r="F59" s="66">
        <f t="shared" si="4"/>
        <v>-609</v>
      </c>
      <c r="G59" s="66">
        <f t="shared" si="4"/>
        <v>84</v>
      </c>
      <c r="H59" s="66">
        <f t="shared" si="4"/>
        <v>213</v>
      </c>
      <c r="I59" s="66">
        <f t="shared" si="4"/>
        <v>307</v>
      </c>
      <c r="J59" s="66">
        <f t="shared" si="4"/>
        <v>-307</v>
      </c>
      <c r="K59" s="66">
        <f t="shared" si="4"/>
        <v>368</v>
      </c>
      <c r="L59" s="66">
        <f t="shared" si="4"/>
        <v>419</v>
      </c>
      <c r="M59" s="66">
        <f t="shared" si="4"/>
        <v>582</v>
      </c>
      <c r="N59" s="66">
        <f t="shared" si="4"/>
        <v>-206</v>
      </c>
      <c r="O59" s="66">
        <f t="shared" si="4"/>
        <v>-145</v>
      </c>
      <c r="P59" s="66">
        <f t="shared" si="4"/>
        <v>67</v>
      </c>
      <c r="Q59" s="66">
        <f t="shared" si="4"/>
        <v>804</v>
      </c>
      <c r="R59" s="66">
        <f t="shared" si="4"/>
        <v>-30</v>
      </c>
      <c r="S59" s="66">
        <f t="shared" si="4"/>
        <v>0</v>
      </c>
      <c r="T59" s="66">
        <f t="shared" si="4"/>
        <v>44</v>
      </c>
      <c r="U59" s="66">
        <f t="shared" si="4"/>
        <v>879</v>
      </c>
      <c r="V59" s="66">
        <f t="shared" si="4"/>
        <v>-141</v>
      </c>
      <c r="W59" s="66">
        <f>SUM(W57:W58)</f>
        <v>-552</v>
      </c>
      <c r="X59" s="66">
        <f>SUM(X57:X58)</f>
        <v>-1</v>
      </c>
      <c r="Y59" s="66">
        <f>SUM(Y57:Y58)</f>
        <v>1064</v>
      </c>
      <c r="Z59" s="66">
        <v>-159</v>
      </c>
      <c r="AA59" s="66">
        <v>112</v>
      </c>
      <c r="AB59" s="66">
        <v>-108</v>
      </c>
      <c r="AC59" s="66">
        <v>840</v>
      </c>
      <c r="AD59" s="66"/>
    </row>
    <row r="60" spans="1:30" outlineLevel="1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 spans="1:30" outlineLevel="1" x14ac:dyDescent="0.25">
      <c r="A61" s="66" t="s">
        <v>178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>
        <v>-277</v>
      </c>
      <c r="S61" s="66">
        <v>-317</v>
      </c>
      <c r="T61" s="66">
        <v>-221</v>
      </c>
      <c r="U61" s="66">
        <v>-263</v>
      </c>
      <c r="V61" s="66">
        <v>-131</v>
      </c>
      <c r="W61" s="66">
        <v>-12</v>
      </c>
      <c r="X61" s="66">
        <v>80</v>
      </c>
      <c r="Y61" s="66">
        <v>65</v>
      </c>
      <c r="Z61" s="66">
        <v>137</v>
      </c>
      <c r="AA61" s="66">
        <v>50</v>
      </c>
      <c r="AB61" s="66">
        <v>47</v>
      </c>
      <c r="AC61" s="66">
        <v>109</v>
      </c>
      <c r="AD61" s="66"/>
    </row>
    <row r="62" spans="1:30" s="77" customFormat="1" outlineLevel="1" x14ac:dyDescent="0.25">
      <c r="A62" s="66" t="s">
        <v>197</v>
      </c>
      <c r="B62" s="66">
        <v>-163</v>
      </c>
      <c r="C62" s="66">
        <v>73</v>
      </c>
      <c r="D62" s="66">
        <v>239</v>
      </c>
      <c r="E62" s="66">
        <v>588</v>
      </c>
      <c r="F62" s="66">
        <v>-307</v>
      </c>
      <c r="G62" s="76">
        <v>97</v>
      </c>
      <c r="H62" s="76">
        <v>142</v>
      </c>
      <c r="I62" s="76">
        <v>163</v>
      </c>
      <c r="J62" s="76">
        <v>-225</v>
      </c>
      <c r="K62" s="76">
        <v>197</v>
      </c>
      <c r="L62" s="76">
        <v>267</v>
      </c>
      <c r="M62" s="76">
        <v>336</v>
      </c>
      <c r="N62" s="76">
        <v>-292</v>
      </c>
      <c r="O62" s="76">
        <v>-215</v>
      </c>
      <c r="P62" s="76">
        <v>-189</v>
      </c>
      <c r="Q62" s="76">
        <v>41</v>
      </c>
      <c r="R62" s="76">
        <v>-263</v>
      </c>
      <c r="S62" s="76">
        <v>-136</v>
      </c>
      <c r="T62" s="76">
        <v>-51</v>
      </c>
      <c r="U62" s="76">
        <v>318</v>
      </c>
      <c r="V62" s="76">
        <v>-194</v>
      </c>
      <c r="W62" s="76">
        <v>-109</v>
      </c>
      <c r="X62" s="76">
        <v>18</v>
      </c>
      <c r="Y62" s="76">
        <v>367</v>
      </c>
      <c r="Z62" s="76">
        <v>-356</v>
      </c>
      <c r="AA62" s="76">
        <v>-51</v>
      </c>
      <c r="AB62" s="76">
        <v>-7</v>
      </c>
      <c r="AC62" s="76">
        <v>551</v>
      </c>
      <c r="AD62" s="76"/>
    </row>
    <row r="63" spans="1:30" outlineLevel="1" x14ac:dyDescent="0.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 spans="1:30" outlineLevel="1" x14ac:dyDescent="0.25">
      <c r="A64" s="66" t="s">
        <v>198</v>
      </c>
      <c r="B64" s="66">
        <v>-55</v>
      </c>
      <c r="C64" s="66">
        <v>-52</v>
      </c>
      <c r="D64" s="66">
        <v>-67</v>
      </c>
      <c r="E64" s="66">
        <v>-51</v>
      </c>
      <c r="F64" s="66">
        <v>-84</v>
      </c>
      <c r="G64" s="66">
        <v>-81</v>
      </c>
      <c r="H64" s="66">
        <v>-61</v>
      </c>
      <c r="I64" s="66">
        <v>-72</v>
      </c>
      <c r="J64" s="66">
        <v>-82</v>
      </c>
      <c r="K64" s="66">
        <v>-62</v>
      </c>
      <c r="L64" s="66">
        <v>-68</v>
      </c>
      <c r="M64" s="66">
        <v>-69</v>
      </c>
      <c r="N64" s="66">
        <v>-78</v>
      </c>
      <c r="O64" s="66">
        <v>-86</v>
      </c>
      <c r="P64" s="66">
        <v>-95</v>
      </c>
      <c r="Q64" s="66">
        <v>-80</v>
      </c>
      <c r="R64" s="66">
        <v>-74</v>
      </c>
      <c r="S64" s="66">
        <v>-69</v>
      </c>
      <c r="T64" s="66">
        <v>-78</v>
      </c>
      <c r="U64" s="66">
        <v>-62</v>
      </c>
      <c r="V64" s="66">
        <v>-68</v>
      </c>
      <c r="W64" s="66">
        <v>-65</v>
      </c>
      <c r="X64" s="66">
        <v>-74</v>
      </c>
      <c r="Y64" s="66">
        <v>-60</v>
      </c>
      <c r="Z64" s="66">
        <v>-58</v>
      </c>
      <c r="AA64" s="66">
        <v>-62</v>
      </c>
      <c r="AB64" s="66">
        <v>-70</v>
      </c>
      <c r="AC64" s="66">
        <v>-53</v>
      </c>
      <c r="AD64" s="66"/>
    </row>
    <row r="65" spans="1:30" outlineLevel="1" x14ac:dyDescent="0.25">
      <c r="A65" s="66" t="s">
        <v>199</v>
      </c>
      <c r="B65" s="66">
        <v>48</v>
      </c>
      <c r="C65" s="66">
        <v>28</v>
      </c>
      <c r="D65" s="66">
        <v>30</v>
      </c>
      <c r="E65" s="66">
        <v>35</v>
      </c>
      <c r="F65" s="66">
        <v>59</v>
      </c>
      <c r="G65" s="66">
        <v>10</v>
      </c>
      <c r="H65" s="66">
        <v>139</v>
      </c>
      <c r="I65" s="66">
        <v>92</v>
      </c>
      <c r="J65" s="66">
        <v>98</v>
      </c>
      <c r="K65" s="66">
        <v>92</v>
      </c>
      <c r="L65" s="66">
        <v>98</v>
      </c>
      <c r="M65" s="66">
        <v>51</v>
      </c>
      <c r="N65" s="66">
        <v>55</v>
      </c>
      <c r="O65" s="66">
        <v>30</v>
      </c>
      <c r="P65" s="66">
        <v>58</v>
      </c>
      <c r="Q65" s="66">
        <v>56</v>
      </c>
      <c r="R65" s="66">
        <v>63</v>
      </c>
      <c r="S65" s="66">
        <v>51</v>
      </c>
      <c r="T65" s="66">
        <v>69</v>
      </c>
      <c r="U65" s="66">
        <v>53</v>
      </c>
      <c r="V65" s="66">
        <v>49</v>
      </c>
      <c r="W65" s="66">
        <v>24</v>
      </c>
      <c r="X65" s="66">
        <v>39</v>
      </c>
      <c r="Y65" s="66">
        <v>47</v>
      </c>
      <c r="Z65" s="66">
        <v>41</v>
      </c>
      <c r="AA65" s="66">
        <v>28</v>
      </c>
      <c r="AB65" s="66">
        <v>59</v>
      </c>
      <c r="AC65" s="66">
        <v>65</v>
      </c>
      <c r="AD65" s="66"/>
    </row>
    <row r="66" spans="1:30" outlineLevel="1" x14ac:dyDescent="0.25">
      <c r="A66" s="66" t="s">
        <v>200</v>
      </c>
      <c r="B66" s="66">
        <v>-45</v>
      </c>
      <c r="C66" s="66">
        <v>-32</v>
      </c>
      <c r="D66" s="66">
        <v>-53</v>
      </c>
      <c r="E66" s="66">
        <v>-52</v>
      </c>
      <c r="F66" s="66">
        <v>-94</v>
      </c>
      <c r="G66" s="66">
        <v>-70</v>
      </c>
      <c r="H66" s="66">
        <v>-72</v>
      </c>
      <c r="I66" s="66">
        <v>-78</v>
      </c>
      <c r="J66" s="66">
        <v>-79</v>
      </c>
      <c r="K66" s="66">
        <v>-62</v>
      </c>
      <c r="L66" s="66">
        <v>-71</v>
      </c>
      <c r="M66" s="66">
        <v>-68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</row>
    <row r="67" spans="1:30" outlineLevel="1" x14ac:dyDescent="0.25">
      <c r="A67" s="66" t="s">
        <v>201</v>
      </c>
      <c r="B67" s="66">
        <v>-52</v>
      </c>
      <c r="C67" s="66">
        <v>-56</v>
      </c>
      <c r="D67" s="66">
        <v>-90</v>
      </c>
      <c r="E67" s="78">
        <v>-68</v>
      </c>
      <c r="F67" s="78">
        <v>-119</v>
      </c>
      <c r="G67" s="78">
        <v>-141</v>
      </c>
      <c r="H67" s="78">
        <v>6</v>
      </c>
      <c r="I67" s="78">
        <v>-58</v>
      </c>
      <c r="J67" s="78">
        <v>-63</v>
      </c>
      <c r="K67" s="78">
        <v>-32</v>
      </c>
      <c r="L67" s="78">
        <v>-41</v>
      </c>
      <c r="M67" s="78">
        <v>-86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</row>
    <row r="68" spans="1:30" outlineLevel="1" x14ac:dyDescent="0.25">
      <c r="A68" s="66" t="s">
        <v>185</v>
      </c>
      <c r="B68" s="79"/>
      <c r="C68" s="79"/>
      <c r="D68" s="79"/>
      <c r="E68" s="80"/>
      <c r="F68" s="80"/>
      <c r="G68" s="80"/>
      <c r="H68" s="80"/>
      <c r="I68" s="80"/>
      <c r="J68" s="78">
        <v>12</v>
      </c>
      <c r="K68" s="78">
        <v>11</v>
      </c>
      <c r="L68" s="78">
        <v>26</v>
      </c>
      <c r="M68" s="78">
        <v>38</v>
      </c>
      <c r="N68" s="78">
        <v>112</v>
      </c>
      <c r="O68" s="78">
        <v>168</v>
      </c>
      <c r="P68" s="78">
        <v>234</v>
      </c>
      <c r="Q68" s="78">
        <v>262</v>
      </c>
      <c r="R68" s="78">
        <v>256</v>
      </c>
      <c r="S68" s="78">
        <v>251</v>
      </c>
      <c r="T68" s="78">
        <v>251</v>
      </c>
      <c r="U68" s="78">
        <v>231</v>
      </c>
      <c r="V68" s="78">
        <v>203</v>
      </c>
      <c r="W68" s="78">
        <v>218</v>
      </c>
      <c r="X68" s="78">
        <v>209</v>
      </c>
      <c r="Y68" s="78">
        <v>216</v>
      </c>
      <c r="Z68" s="78">
        <v>199</v>
      </c>
      <c r="AA68" s="78">
        <v>164</v>
      </c>
      <c r="AB68" s="78">
        <v>121</v>
      </c>
      <c r="AC68" s="78">
        <v>209</v>
      </c>
      <c r="AD68" s="78"/>
    </row>
    <row r="69" spans="1:30" outlineLevel="1" x14ac:dyDescent="0.25">
      <c r="A69" s="66" t="s">
        <v>202</v>
      </c>
      <c r="B69" s="66">
        <v>16</v>
      </c>
      <c r="C69" s="66">
        <v>-2</v>
      </c>
      <c r="D69" s="66">
        <v>-5</v>
      </c>
      <c r="E69" s="78">
        <v>-2</v>
      </c>
      <c r="F69" s="78">
        <v>31</v>
      </c>
      <c r="G69" s="78">
        <v>-13</v>
      </c>
      <c r="H69" s="78">
        <v>113</v>
      </c>
      <c r="I69" s="78">
        <v>66</v>
      </c>
      <c r="J69" s="78">
        <v>66</v>
      </c>
      <c r="K69" s="78">
        <v>70</v>
      </c>
      <c r="L69" s="78">
        <v>75</v>
      </c>
      <c r="M69" s="78">
        <v>30</v>
      </c>
      <c r="N69" s="78">
        <v>37</v>
      </c>
      <c r="O69" s="78">
        <v>13</v>
      </c>
      <c r="P69" s="78">
        <v>38</v>
      </c>
      <c r="Q69" s="78">
        <v>40</v>
      </c>
      <c r="R69" s="78">
        <v>46</v>
      </c>
      <c r="S69" s="78">
        <v>36</v>
      </c>
      <c r="T69" s="78">
        <v>53</v>
      </c>
      <c r="U69" s="78">
        <v>39</v>
      </c>
      <c r="V69" s="78">
        <v>36</v>
      </c>
      <c r="W69" s="78">
        <v>13</v>
      </c>
      <c r="X69" s="78">
        <v>26</v>
      </c>
      <c r="Y69" s="78">
        <v>35</v>
      </c>
      <c r="Z69" s="78">
        <v>31</v>
      </c>
      <c r="AA69" s="78">
        <v>17</v>
      </c>
      <c r="AB69" s="78">
        <v>47</v>
      </c>
      <c r="AC69" s="78">
        <v>56</v>
      </c>
      <c r="AD69" s="78"/>
    </row>
    <row r="70" spans="1:30" outlineLevel="1" x14ac:dyDescent="0.25">
      <c r="A70" s="66" t="s">
        <v>203</v>
      </c>
      <c r="B70" s="79"/>
      <c r="C70" s="79"/>
      <c r="D70" s="79"/>
      <c r="E70" s="80"/>
      <c r="F70" s="80"/>
      <c r="G70" s="80"/>
      <c r="H70" s="80"/>
      <c r="I70" s="80"/>
      <c r="J70" s="78">
        <f t="shared" ref="J70:Y70" si="5">J69+J68</f>
        <v>78</v>
      </c>
      <c r="K70" s="78">
        <f t="shared" si="5"/>
        <v>81</v>
      </c>
      <c r="L70" s="78">
        <f t="shared" si="5"/>
        <v>101</v>
      </c>
      <c r="M70" s="78">
        <f t="shared" si="5"/>
        <v>68</v>
      </c>
      <c r="N70" s="78">
        <f t="shared" si="5"/>
        <v>149</v>
      </c>
      <c r="O70" s="78">
        <f t="shared" si="5"/>
        <v>181</v>
      </c>
      <c r="P70" s="78">
        <f t="shared" si="5"/>
        <v>272</v>
      </c>
      <c r="Q70" s="78">
        <f t="shared" si="5"/>
        <v>302</v>
      </c>
      <c r="R70" s="78">
        <f t="shared" si="5"/>
        <v>302</v>
      </c>
      <c r="S70" s="78">
        <f t="shared" si="5"/>
        <v>287</v>
      </c>
      <c r="T70" s="78">
        <f t="shared" si="5"/>
        <v>304</v>
      </c>
      <c r="U70" s="78">
        <f t="shared" si="5"/>
        <v>270</v>
      </c>
      <c r="V70" s="78">
        <f t="shared" si="5"/>
        <v>239</v>
      </c>
      <c r="W70" s="78">
        <f t="shared" si="5"/>
        <v>231</v>
      </c>
      <c r="X70" s="78">
        <f t="shared" si="5"/>
        <v>235</v>
      </c>
      <c r="Y70" s="78">
        <f t="shared" si="5"/>
        <v>251</v>
      </c>
      <c r="Z70" s="78">
        <v>230</v>
      </c>
      <c r="AA70" s="78">
        <v>181</v>
      </c>
      <c r="AB70" s="78">
        <v>168</v>
      </c>
      <c r="AC70" s="78">
        <f>SUM(AC68:AC69)</f>
        <v>265</v>
      </c>
      <c r="AD70" s="78"/>
    </row>
    <row r="71" spans="1:30" outlineLevel="1" x14ac:dyDescent="0.25">
      <c r="A71" s="66" t="s">
        <v>204</v>
      </c>
      <c r="B71" s="66">
        <v>-148</v>
      </c>
      <c r="C71" s="66">
        <v>-126</v>
      </c>
      <c r="D71" s="66">
        <v>-154</v>
      </c>
      <c r="E71" s="78">
        <v>-150</v>
      </c>
      <c r="F71" s="78">
        <v>-176</v>
      </c>
      <c r="G71" s="78">
        <v>-134</v>
      </c>
      <c r="H71" s="78">
        <v>-142</v>
      </c>
      <c r="I71" s="80"/>
      <c r="J71" s="80"/>
      <c r="K71" s="80"/>
      <c r="L71" s="80"/>
      <c r="M71" s="8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</row>
    <row r="72" spans="1:30" outlineLevel="1" x14ac:dyDescent="0.25">
      <c r="A72" s="66" t="s">
        <v>205</v>
      </c>
      <c r="B72" s="65">
        <v>-32</v>
      </c>
      <c r="C72" s="65">
        <v>-31</v>
      </c>
      <c r="D72" s="65">
        <v>-35</v>
      </c>
      <c r="E72" s="65">
        <v>-37</v>
      </c>
      <c r="F72" s="65">
        <v>-45</v>
      </c>
      <c r="G72" s="65">
        <v>-23</v>
      </c>
      <c r="H72" s="65">
        <v>-26</v>
      </c>
      <c r="I72" s="65">
        <v>-26</v>
      </c>
      <c r="J72" s="65">
        <v>-32</v>
      </c>
      <c r="K72" s="65">
        <v>-22</v>
      </c>
      <c r="L72" s="65">
        <v>-23</v>
      </c>
      <c r="M72" s="65">
        <v>-21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</row>
    <row r="73" spans="1:30" outlineLevel="1" x14ac:dyDescent="0.25">
      <c r="A73" s="66" t="s">
        <v>206</v>
      </c>
      <c r="B73" s="66"/>
      <c r="C73" s="66"/>
      <c r="D73" s="66"/>
      <c r="E73" s="78"/>
      <c r="F73" s="78">
        <v>0</v>
      </c>
      <c r="G73" s="78">
        <v>0</v>
      </c>
      <c r="H73" s="78">
        <v>0</v>
      </c>
      <c r="I73" s="78">
        <v>16</v>
      </c>
      <c r="J73" s="78">
        <v>17</v>
      </c>
      <c r="K73" s="78">
        <v>23</v>
      </c>
      <c r="L73" s="78">
        <v>55</v>
      </c>
      <c r="M73" s="78">
        <v>78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  <row r="74" spans="1:30" outlineLevel="1" x14ac:dyDescent="0.25">
      <c r="A74" s="66"/>
      <c r="B74" s="66"/>
      <c r="C74" s="66"/>
      <c r="D74" s="66"/>
      <c r="E74" s="78"/>
      <c r="F74" s="78"/>
      <c r="G74" s="78"/>
      <c r="H74" s="78"/>
      <c r="I74" s="78"/>
      <c r="J74" s="78"/>
      <c r="K74" s="78"/>
      <c r="L74" s="78"/>
      <c r="M74" s="78"/>
    </row>
    <row r="75" spans="1:30" outlineLevel="1" x14ac:dyDescent="0.25">
      <c r="A75" s="54" t="s">
        <v>148</v>
      </c>
      <c r="B75" s="66"/>
      <c r="C75" s="66"/>
      <c r="D75" s="66"/>
      <c r="E75" s="78"/>
      <c r="F75" s="78"/>
      <c r="G75" s="78"/>
      <c r="H75" s="78"/>
      <c r="I75" s="78"/>
      <c r="J75" s="78"/>
      <c r="K75" s="78"/>
      <c r="L75" s="78"/>
      <c r="M75" s="78"/>
    </row>
    <row r="76" spans="1:30" outlineLevel="1" x14ac:dyDescent="0.25">
      <c r="A76" s="71" t="s">
        <v>193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</row>
    <row r="77" spans="1:30" outlineLevel="1" x14ac:dyDescent="0.25">
      <c r="A77" s="66" t="s">
        <v>194</v>
      </c>
      <c r="B77" s="66">
        <v>-201</v>
      </c>
      <c r="C77" s="66">
        <v>126</v>
      </c>
      <c r="D77" s="66">
        <v>193</v>
      </c>
      <c r="E77" s="66">
        <v>852</v>
      </c>
      <c r="F77" s="66">
        <v>-525</v>
      </c>
      <c r="G77" s="66">
        <v>72</v>
      </c>
      <c r="H77" s="66">
        <v>136</v>
      </c>
      <c r="I77" s="66">
        <v>357</v>
      </c>
      <c r="J77" s="66">
        <v>-326</v>
      </c>
      <c r="K77" s="66">
        <v>350</v>
      </c>
      <c r="L77" s="66">
        <v>423</v>
      </c>
      <c r="M77" s="66">
        <v>667</v>
      </c>
      <c r="N77" s="66">
        <v>-126</v>
      </c>
      <c r="O77" s="66">
        <v>84</v>
      </c>
      <c r="P77" s="66">
        <v>28</v>
      </c>
      <c r="Q77" s="66">
        <v>979</v>
      </c>
      <c r="R77" s="66">
        <v>321</v>
      </c>
      <c r="S77" s="66">
        <v>304</v>
      </c>
      <c r="T77" s="66">
        <v>251</v>
      </c>
      <c r="U77" s="66">
        <v>1168</v>
      </c>
      <c r="V77" s="66">
        <v>75</v>
      </c>
      <c r="W77" s="66">
        <v>72</v>
      </c>
      <c r="X77" s="66">
        <v>68</v>
      </c>
      <c r="Y77" s="66">
        <v>1130</v>
      </c>
      <c r="Z77" s="66">
        <v>-253</v>
      </c>
      <c r="AA77" s="66"/>
      <c r="AB77" s="66"/>
      <c r="AC77" s="66"/>
      <c r="AD77" s="66"/>
    </row>
    <row r="78" spans="1:30" outlineLevel="1" x14ac:dyDescent="0.25">
      <c r="A78" s="66" t="s">
        <v>195</v>
      </c>
      <c r="B78" s="66">
        <v>-176</v>
      </c>
      <c r="C78" s="66">
        <v>-213</v>
      </c>
      <c r="D78" s="66">
        <v>-81</v>
      </c>
      <c r="E78" s="66">
        <v>-121</v>
      </c>
      <c r="F78" s="66">
        <v>-84</v>
      </c>
      <c r="G78" s="66">
        <v>12</v>
      </c>
      <c r="H78" s="66">
        <v>77</v>
      </c>
      <c r="I78" s="66">
        <v>-50</v>
      </c>
      <c r="J78" s="66">
        <v>19</v>
      </c>
      <c r="K78" s="66">
        <v>18</v>
      </c>
      <c r="L78" s="66">
        <v>-4</v>
      </c>
      <c r="M78" s="66">
        <v>-85</v>
      </c>
      <c r="N78" s="66">
        <v>-80</v>
      </c>
      <c r="O78" s="66">
        <v>-229</v>
      </c>
      <c r="P78" s="66">
        <v>39</v>
      </c>
      <c r="Q78" s="66">
        <v>-175</v>
      </c>
      <c r="R78" s="66">
        <v>-351</v>
      </c>
      <c r="S78" s="66">
        <v>-304</v>
      </c>
      <c r="T78" s="66">
        <v>-207</v>
      </c>
      <c r="U78" s="66">
        <v>-289</v>
      </c>
      <c r="V78" s="66">
        <v>-216</v>
      </c>
      <c r="W78" s="66">
        <v>-624</v>
      </c>
      <c r="X78" s="66">
        <v>-69</v>
      </c>
      <c r="Y78" s="66">
        <v>-66</v>
      </c>
      <c r="Z78" s="66"/>
      <c r="AA78" s="66"/>
      <c r="AB78" s="66"/>
      <c r="AC78" s="66"/>
      <c r="AD78" s="66"/>
    </row>
    <row r="79" spans="1:30" outlineLevel="1" x14ac:dyDescent="0.25">
      <c r="A79" s="66" t="s">
        <v>196</v>
      </c>
      <c r="B79" s="66">
        <f t="shared" ref="B79:V79" si="6">SUM(B77:B78)</f>
        <v>-377</v>
      </c>
      <c r="C79" s="66">
        <f t="shared" si="6"/>
        <v>-87</v>
      </c>
      <c r="D79" s="66">
        <f t="shared" si="6"/>
        <v>112</v>
      </c>
      <c r="E79" s="66">
        <f t="shared" si="6"/>
        <v>731</v>
      </c>
      <c r="F79" s="66">
        <f t="shared" si="6"/>
        <v>-609</v>
      </c>
      <c r="G79" s="66">
        <f t="shared" si="6"/>
        <v>84</v>
      </c>
      <c r="H79" s="66">
        <f t="shared" si="6"/>
        <v>213</v>
      </c>
      <c r="I79" s="66">
        <f t="shared" si="6"/>
        <v>307</v>
      </c>
      <c r="J79" s="66">
        <f t="shared" si="6"/>
        <v>-307</v>
      </c>
      <c r="K79" s="66">
        <f t="shared" si="6"/>
        <v>368</v>
      </c>
      <c r="L79" s="66">
        <f t="shared" si="6"/>
        <v>419</v>
      </c>
      <c r="M79" s="66">
        <f t="shared" si="6"/>
        <v>582</v>
      </c>
      <c r="N79" s="66">
        <f t="shared" si="6"/>
        <v>-206</v>
      </c>
      <c r="O79" s="66">
        <f t="shared" si="6"/>
        <v>-145</v>
      </c>
      <c r="P79" s="66">
        <f t="shared" si="6"/>
        <v>67</v>
      </c>
      <c r="Q79" s="66">
        <f t="shared" si="6"/>
        <v>804</v>
      </c>
      <c r="R79" s="66">
        <f t="shared" si="6"/>
        <v>-30</v>
      </c>
      <c r="S79" s="66">
        <f t="shared" si="6"/>
        <v>0</v>
      </c>
      <c r="T79" s="66">
        <f t="shared" si="6"/>
        <v>44</v>
      </c>
      <c r="U79" s="66">
        <f t="shared" si="6"/>
        <v>879</v>
      </c>
      <c r="V79" s="66">
        <f t="shared" si="6"/>
        <v>-141</v>
      </c>
      <c r="W79" s="66">
        <f>SUM(W77:W78)</f>
        <v>-552</v>
      </c>
      <c r="X79" s="66">
        <f>SUM(X77:X78)</f>
        <v>-1</v>
      </c>
      <c r="Y79" s="66">
        <f>SUM(Y77:Y78)</f>
        <v>1064</v>
      </c>
      <c r="Z79" s="66">
        <v>-159</v>
      </c>
      <c r="AA79" s="66"/>
      <c r="AB79" s="66"/>
      <c r="AC79" s="66"/>
      <c r="AD79" s="66"/>
    </row>
    <row r="80" spans="1:30" outlineLevel="1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</row>
    <row r="81" spans="1:30" outlineLevel="1" x14ac:dyDescent="0.25">
      <c r="A81" s="66" t="s">
        <v>178</v>
      </c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>
        <v>-277</v>
      </c>
      <c r="S81" s="66">
        <v>-317</v>
      </c>
      <c r="T81" s="66">
        <v>-221</v>
      </c>
      <c r="U81" s="66">
        <v>-263</v>
      </c>
      <c r="V81" s="66">
        <v>-131</v>
      </c>
      <c r="W81" s="66">
        <v>-12</v>
      </c>
      <c r="X81" s="66">
        <v>80</v>
      </c>
      <c r="Y81" s="66">
        <v>65</v>
      </c>
      <c r="Z81" s="66">
        <v>137</v>
      </c>
      <c r="AA81" s="66"/>
      <c r="AB81" s="66"/>
      <c r="AC81" s="66"/>
      <c r="AD81" s="66"/>
    </row>
    <row r="82" spans="1:30" outlineLevel="1" x14ac:dyDescent="0.25">
      <c r="A82" s="66" t="s">
        <v>197</v>
      </c>
      <c r="B82" s="66">
        <v>-163</v>
      </c>
      <c r="C82" s="66">
        <v>73</v>
      </c>
      <c r="D82" s="66">
        <v>239</v>
      </c>
      <c r="E82" s="66">
        <v>588</v>
      </c>
      <c r="F82" s="66">
        <v>-307</v>
      </c>
      <c r="G82" s="76">
        <v>97</v>
      </c>
      <c r="H82" s="76">
        <v>142</v>
      </c>
      <c r="I82" s="76">
        <v>163</v>
      </c>
      <c r="J82" s="76">
        <v>-225</v>
      </c>
      <c r="K82" s="76">
        <v>197</v>
      </c>
      <c r="L82" s="76">
        <v>267</v>
      </c>
      <c r="M82" s="76">
        <v>336</v>
      </c>
      <c r="N82" s="76">
        <v>-292</v>
      </c>
      <c r="O82" s="76">
        <v>-215</v>
      </c>
      <c r="P82" s="76">
        <v>-189</v>
      </c>
      <c r="Q82" s="76">
        <v>41</v>
      </c>
      <c r="R82" s="76">
        <v>-263</v>
      </c>
      <c r="S82" s="76">
        <v>-136</v>
      </c>
      <c r="T82" s="76">
        <v>-51</v>
      </c>
      <c r="U82" s="76">
        <v>318</v>
      </c>
      <c r="V82" s="76">
        <v>-158</v>
      </c>
      <c r="W82" s="76">
        <v>-8</v>
      </c>
      <c r="X82" s="76">
        <v>81</v>
      </c>
      <c r="Y82" s="76">
        <v>426</v>
      </c>
      <c r="Z82" s="76">
        <v>-356</v>
      </c>
      <c r="AA82" s="76"/>
      <c r="AB82" s="76"/>
      <c r="AC82" s="76"/>
      <c r="AD82" s="76"/>
    </row>
    <row r="83" spans="1:30" outlineLevel="1" x14ac:dyDescent="0.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</row>
    <row r="84" spans="1:30" outlineLevel="1" x14ac:dyDescent="0.25">
      <c r="A84" s="66" t="s">
        <v>198</v>
      </c>
      <c r="B84" s="66">
        <v>-55</v>
      </c>
      <c r="C84" s="66">
        <v>-52</v>
      </c>
      <c r="D84" s="66">
        <v>-67</v>
      </c>
      <c r="E84" s="66">
        <v>-51</v>
      </c>
      <c r="F84" s="66">
        <v>-84</v>
      </c>
      <c r="G84" s="66">
        <v>-81</v>
      </c>
      <c r="H84" s="66">
        <v>-61</v>
      </c>
      <c r="I84" s="66">
        <v>-72</v>
      </c>
      <c r="J84" s="66">
        <v>-82</v>
      </c>
      <c r="K84" s="66">
        <v>-62</v>
      </c>
      <c r="L84" s="66">
        <v>-68</v>
      </c>
      <c r="M84" s="66">
        <v>-69</v>
      </c>
      <c r="N84" s="66">
        <v>-78</v>
      </c>
      <c r="O84" s="66">
        <v>-86</v>
      </c>
      <c r="P84" s="66">
        <v>-95</v>
      </c>
      <c r="Q84" s="66">
        <v>-80</v>
      </c>
      <c r="R84" s="66">
        <v>-74</v>
      </c>
      <c r="S84" s="66">
        <v>-69</v>
      </c>
      <c r="T84" s="66">
        <v>-78</v>
      </c>
      <c r="U84" s="66">
        <v>-62</v>
      </c>
      <c r="V84" s="66">
        <v>-68</v>
      </c>
      <c r="W84" s="66">
        <v>-65</v>
      </c>
      <c r="X84" s="66">
        <v>-74</v>
      </c>
      <c r="Y84" s="66">
        <v>-60</v>
      </c>
      <c r="Z84" s="66">
        <v>-58</v>
      </c>
      <c r="AA84" s="66"/>
      <c r="AB84" s="66"/>
      <c r="AC84" s="66"/>
      <c r="AD84" s="66"/>
    </row>
    <row r="85" spans="1:30" outlineLevel="1" x14ac:dyDescent="0.25">
      <c r="A85" s="66" t="s">
        <v>199</v>
      </c>
      <c r="B85" s="66">
        <v>48</v>
      </c>
      <c r="C85" s="66">
        <v>28</v>
      </c>
      <c r="D85" s="66">
        <v>30</v>
      </c>
      <c r="E85" s="66">
        <v>35</v>
      </c>
      <c r="F85" s="66">
        <v>59</v>
      </c>
      <c r="G85" s="66">
        <v>10</v>
      </c>
      <c r="H85" s="66">
        <v>139</v>
      </c>
      <c r="I85" s="66">
        <v>92</v>
      </c>
      <c r="J85" s="66">
        <v>98</v>
      </c>
      <c r="K85" s="66">
        <v>92</v>
      </c>
      <c r="L85" s="66">
        <v>98</v>
      </c>
      <c r="M85" s="66">
        <v>51</v>
      </c>
      <c r="N85" s="66">
        <v>55</v>
      </c>
      <c r="O85" s="66">
        <v>30</v>
      </c>
      <c r="P85" s="66">
        <v>58</v>
      </c>
      <c r="Q85" s="66">
        <v>56</v>
      </c>
      <c r="R85" s="66">
        <v>63</v>
      </c>
      <c r="S85" s="66">
        <v>51</v>
      </c>
      <c r="T85" s="66">
        <v>69</v>
      </c>
      <c r="U85" s="66">
        <v>53</v>
      </c>
      <c r="V85" s="66">
        <v>49</v>
      </c>
      <c r="W85" s="66">
        <v>24</v>
      </c>
      <c r="X85" s="66">
        <v>39</v>
      </c>
      <c r="Y85" s="66">
        <v>47</v>
      </c>
      <c r="Z85" s="66">
        <v>41</v>
      </c>
      <c r="AA85" s="66"/>
      <c r="AB85" s="66"/>
      <c r="AC85" s="66"/>
      <c r="AD85" s="66"/>
    </row>
    <row r="86" spans="1:30" outlineLevel="1" x14ac:dyDescent="0.25">
      <c r="A86" s="66" t="s">
        <v>200</v>
      </c>
      <c r="B86" s="66">
        <v>-45</v>
      </c>
      <c r="C86" s="66">
        <v>-32</v>
      </c>
      <c r="D86" s="66">
        <v>-53</v>
      </c>
      <c r="E86" s="66">
        <v>-52</v>
      </c>
      <c r="F86" s="66">
        <v>-94</v>
      </c>
      <c r="G86" s="66">
        <v>-70</v>
      </c>
      <c r="H86" s="66">
        <v>-72</v>
      </c>
      <c r="I86" s="66">
        <v>-78</v>
      </c>
      <c r="J86" s="66">
        <v>-79</v>
      </c>
      <c r="K86" s="66">
        <v>-62</v>
      </c>
      <c r="L86" s="66">
        <v>-71</v>
      </c>
      <c r="M86" s="66">
        <v>-68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</row>
    <row r="87" spans="1:30" outlineLevel="1" x14ac:dyDescent="0.25">
      <c r="A87" s="66" t="s">
        <v>201</v>
      </c>
      <c r="B87" s="66">
        <v>-52</v>
      </c>
      <c r="C87" s="66">
        <v>-56</v>
      </c>
      <c r="D87" s="66">
        <v>-90</v>
      </c>
      <c r="E87" s="78">
        <v>-68</v>
      </c>
      <c r="F87" s="78">
        <v>-119</v>
      </c>
      <c r="G87" s="78">
        <v>-141</v>
      </c>
      <c r="H87" s="78">
        <v>6</v>
      </c>
      <c r="I87" s="78">
        <v>-58</v>
      </c>
      <c r="J87" s="78">
        <v>-63</v>
      </c>
      <c r="K87" s="78">
        <v>-32</v>
      </c>
      <c r="L87" s="78">
        <v>-41</v>
      </c>
      <c r="M87" s="78">
        <v>-86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</row>
    <row r="88" spans="1:30" outlineLevel="1" x14ac:dyDescent="0.25">
      <c r="A88" s="66" t="s">
        <v>185</v>
      </c>
      <c r="B88" s="79"/>
      <c r="C88" s="79"/>
      <c r="D88" s="79"/>
      <c r="E88" s="80"/>
      <c r="F88" s="80"/>
      <c r="G88" s="80"/>
      <c r="H88" s="80"/>
      <c r="I88" s="80"/>
      <c r="J88" s="78">
        <v>12</v>
      </c>
      <c r="K88" s="78">
        <v>11</v>
      </c>
      <c r="L88" s="78">
        <v>26</v>
      </c>
      <c r="M88" s="78">
        <v>38</v>
      </c>
      <c r="N88" s="78">
        <v>112</v>
      </c>
      <c r="O88" s="78">
        <v>168</v>
      </c>
      <c r="P88" s="78">
        <v>234</v>
      </c>
      <c r="Q88" s="78">
        <v>262</v>
      </c>
      <c r="R88" s="78">
        <v>256</v>
      </c>
      <c r="S88" s="78">
        <v>251</v>
      </c>
      <c r="T88" s="78">
        <v>251</v>
      </c>
      <c r="U88" s="78">
        <v>231</v>
      </c>
      <c r="V88" s="78">
        <v>203</v>
      </c>
      <c r="W88" s="78">
        <v>218</v>
      </c>
      <c r="X88" s="78">
        <v>209</v>
      </c>
      <c r="Y88" s="78">
        <v>216</v>
      </c>
      <c r="Z88" s="78">
        <v>199</v>
      </c>
      <c r="AA88" s="78"/>
      <c r="AB88" s="78"/>
      <c r="AC88" s="78"/>
      <c r="AD88" s="78"/>
    </row>
    <row r="89" spans="1:30" outlineLevel="1" x14ac:dyDescent="0.25">
      <c r="A89" s="66" t="s">
        <v>202</v>
      </c>
      <c r="B89" s="66">
        <v>16</v>
      </c>
      <c r="C89" s="66">
        <v>-2</v>
      </c>
      <c r="D89" s="66">
        <v>-5</v>
      </c>
      <c r="E89" s="78">
        <v>-2</v>
      </c>
      <c r="F89" s="78">
        <v>31</v>
      </c>
      <c r="G89" s="78">
        <v>-13</v>
      </c>
      <c r="H89" s="78">
        <v>113</v>
      </c>
      <c r="I89" s="78">
        <v>66</v>
      </c>
      <c r="J89" s="78">
        <v>66</v>
      </c>
      <c r="K89" s="78">
        <v>70</v>
      </c>
      <c r="L89" s="78">
        <v>75</v>
      </c>
      <c r="M89" s="78">
        <v>30</v>
      </c>
      <c r="N89" s="78">
        <v>37</v>
      </c>
      <c r="O89" s="78">
        <v>13</v>
      </c>
      <c r="P89" s="78">
        <v>38</v>
      </c>
      <c r="Q89" s="78">
        <v>40</v>
      </c>
      <c r="R89" s="78">
        <v>46</v>
      </c>
      <c r="S89" s="78">
        <v>36</v>
      </c>
      <c r="T89" s="78">
        <v>53</v>
      </c>
      <c r="U89" s="78">
        <v>39</v>
      </c>
      <c r="V89" s="78">
        <v>36</v>
      </c>
      <c r="W89" s="78">
        <v>13</v>
      </c>
      <c r="X89" s="78">
        <v>26</v>
      </c>
      <c r="Y89" s="78">
        <v>35</v>
      </c>
      <c r="Z89" s="78">
        <v>31</v>
      </c>
      <c r="AA89" s="78"/>
      <c r="AB89" s="78"/>
      <c r="AC89" s="78"/>
      <c r="AD89" s="78"/>
    </row>
    <row r="90" spans="1:30" outlineLevel="1" x14ac:dyDescent="0.25">
      <c r="A90" s="66" t="s">
        <v>203</v>
      </c>
      <c r="B90" s="79"/>
      <c r="C90" s="79"/>
      <c r="D90" s="79"/>
      <c r="E90" s="80"/>
      <c r="F90" s="80"/>
      <c r="G90" s="80"/>
      <c r="H90" s="80"/>
      <c r="I90" s="80"/>
      <c r="J90" s="78">
        <f t="shared" ref="J90:Y90" si="7">J89+J88</f>
        <v>78</v>
      </c>
      <c r="K90" s="78">
        <f t="shared" si="7"/>
        <v>81</v>
      </c>
      <c r="L90" s="78">
        <f t="shared" si="7"/>
        <v>101</v>
      </c>
      <c r="M90" s="78">
        <f t="shared" si="7"/>
        <v>68</v>
      </c>
      <c r="N90" s="78">
        <f t="shared" si="7"/>
        <v>149</v>
      </c>
      <c r="O90" s="78">
        <f t="shared" si="7"/>
        <v>181</v>
      </c>
      <c r="P90" s="78">
        <f t="shared" si="7"/>
        <v>272</v>
      </c>
      <c r="Q90" s="78">
        <f t="shared" si="7"/>
        <v>302</v>
      </c>
      <c r="R90" s="78">
        <f t="shared" si="7"/>
        <v>302</v>
      </c>
      <c r="S90" s="78">
        <f t="shared" si="7"/>
        <v>287</v>
      </c>
      <c r="T90" s="78">
        <f t="shared" si="7"/>
        <v>304</v>
      </c>
      <c r="U90" s="78">
        <f t="shared" si="7"/>
        <v>270</v>
      </c>
      <c r="V90" s="78">
        <f t="shared" si="7"/>
        <v>239</v>
      </c>
      <c r="W90" s="78">
        <f t="shared" si="7"/>
        <v>231</v>
      </c>
      <c r="X90" s="78">
        <f t="shared" si="7"/>
        <v>235</v>
      </c>
      <c r="Y90" s="78">
        <f t="shared" si="7"/>
        <v>251</v>
      </c>
      <c r="Z90" s="78">
        <v>230</v>
      </c>
      <c r="AA90" s="78"/>
      <c r="AB90" s="78"/>
      <c r="AC90" s="78"/>
      <c r="AD90" s="78"/>
    </row>
    <row r="91" spans="1:30" outlineLevel="1" x14ac:dyDescent="0.25">
      <c r="A91" s="66" t="s">
        <v>204</v>
      </c>
      <c r="B91" s="66">
        <v>-148</v>
      </c>
      <c r="C91" s="66">
        <v>-126</v>
      </c>
      <c r="D91" s="66">
        <v>-154</v>
      </c>
      <c r="E91" s="78">
        <v>-150</v>
      </c>
      <c r="F91" s="78">
        <v>-176</v>
      </c>
      <c r="G91" s="78">
        <v>-134</v>
      </c>
      <c r="H91" s="78">
        <v>-142</v>
      </c>
      <c r="I91" s="80"/>
      <c r="J91" s="80"/>
      <c r="K91" s="80"/>
      <c r="L91" s="80"/>
      <c r="M91" s="8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</row>
    <row r="92" spans="1:30" outlineLevel="1" x14ac:dyDescent="0.25">
      <c r="A92" s="66" t="s">
        <v>205</v>
      </c>
      <c r="B92" s="65">
        <v>-32</v>
      </c>
      <c r="C92" s="65">
        <v>-31</v>
      </c>
      <c r="D92" s="65">
        <v>-35</v>
      </c>
      <c r="E92" s="65">
        <v>-37</v>
      </c>
      <c r="F92" s="65">
        <v>-45</v>
      </c>
      <c r="G92" s="65">
        <v>-23</v>
      </c>
      <c r="H92" s="65">
        <v>-26</v>
      </c>
      <c r="I92" s="65">
        <v>-26</v>
      </c>
      <c r="J92" s="65">
        <v>-32</v>
      </c>
      <c r="K92" s="65">
        <v>-22</v>
      </c>
      <c r="L92" s="65">
        <v>-23</v>
      </c>
      <c r="M92" s="65">
        <v>-21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</row>
    <row r="93" spans="1:30" outlineLevel="1" x14ac:dyDescent="0.25">
      <c r="A93" s="66" t="s">
        <v>206</v>
      </c>
      <c r="B93" s="66"/>
      <c r="C93" s="66"/>
      <c r="D93" s="66"/>
      <c r="E93" s="78"/>
      <c r="F93" s="78">
        <v>0</v>
      </c>
      <c r="G93" s="78">
        <v>0</v>
      </c>
      <c r="H93" s="78">
        <v>0</v>
      </c>
      <c r="I93" s="78">
        <v>16</v>
      </c>
      <c r="J93" s="78">
        <v>17</v>
      </c>
      <c r="K93" s="78">
        <v>23</v>
      </c>
      <c r="L93" s="78">
        <v>55</v>
      </c>
      <c r="M93" s="78">
        <v>78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</row>
    <row r="94" spans="1:30" outlineLevel="1" x14ac:dyDescent="0.25">
      <c r="A94" s="66"/>
      <c r="B94" s="66"/>
      <c r="C94" s="66"/>
      <c r="D94" s="66"/>
      <c r="E94" s="78"/>
      <c r="F94" s="78"/>
      <c r="G94" s="78"/>
      <c r="H94" s="78"/>
      <c r="I94" s="78"/>
      <c r="J94" s="78"/>
      <c r="K94" s="78"/>
      <c r="L94" s="78"/>
      <c r="M94" s="78"/>
    </row>
    <row r="95" spans="1:30" outlineLevel="1" x14ac:dyDescent="0.25">
      <c r="A95" s="71" t="s">
        <v>207</v>
      </c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</row>
    <row r="96" spans="1:30" outlineLevel="1" x14ac:dyDescent="0.25">
      <c r="A96" s="66" t="s">
        <v>208</v>
      </c>
      <c r="B96" s="81">
        <v>1.0800000000000001E-2</v>
      </c>
      <c r="C96" s="81">
        <v>9.7000000000000003E-3</v>
      </c>
      <c r="D96" s="81">
        <v>1.0500000000000001E-2</v>
      </c>
      <c r="E96" s="81">
        <v>1.09E-2</v>
      </c>
      <c r="F96" s="81">
        <v>1.01E-2</v>
      </c>
      <c r="G96" s="81">
        <v>6.8999999999999999E-3</v>
      </c>
      <c r="H96" s="81">
        <v>8.0000000000000002E-3</v>
      </c>
      <c r="I96" s="81">
        <v>9.5999999999999992E-3</v>
      </c>
      <c r="J96" s="81">
        <v>9.7000000000000003E-3</v>
      </c>
      <c r="K96" s="81">
        <v>8.3000000000000001E-3</v>
      </c>
      <c r="L96" s="81">
        <v>8.3999999999999995E-3</v>
      </c>
      <c r="M96" s="81">
        <v>9.4000000000000004E-3</v>
      </c>
      <c r="N96" s="81">
        <v>9.4999999999999998E-3</v>
      </c>
      <c r="O96" s="81">
        <v>9.2999999999999992E-3</v>
      </c>
      <c r="P96" s="81">
        <v>1.0999999999999999E-2</v>
      </c>
      <c r="Q96" s="81">
        <v>1.06E-2</v>
      </c>
      <c r="R96" s="81">
        <v>1.0500000000000001E-2</v>
      </c>
      <c r="S96" s="81">
        <v>9.4999999999999998E-3</v>
      </c>
      <c r="T96" s="81">
        <v>1.04E-2</v>
      </c>
      <c r="U96" s="81">
        <v>1.0800000000000001E-2</v>
      </c>
      <c r="V96" s="81">
        <v>1.03E-2</v>
      </c>
      <c r="W96" s="81">
        <v>0.01</v>
      </c>
      <c r="X96" s="81">
        <v>1.0699999999999999E-2</v>
      </c>
      <c r="Y96" s="81">
        <v>1.12E-2</v>
      </c>
      <c r="Z96" s="81">
        <v>1.1299999999999999E-2</v>
      </c>
      <c r="AA96" s="81">
        <v>1.12E-2</v>
      </c>
      <c r="AB96" s="81">
        <v>1.12E-2</v>
      </c>
      <c r="AC96" s="81">
        <v>1.21E-2</v>
      </c>
      <c r="AD96" s="81"/>
    </row>
    <row r="97" spans="1:30" outlineLevel="1" x14ac:dyDescent="0.25">
      <c r="A97" s="66" t="s">
        <v>209</v>
      </c>
      <c r="B97" s="81">
        <v>8.0999999999999996E-3</v>
      </c>
      <c r="C97" s="81">
        <v>7.1999999999999998E-3</v>
      </c>
      <c r="D97" s="81">
        <v>7.9000000000000008E-3</v>
      </c>
      <c r="E97" s="81">
        <v>8.3000000000000001E-3</v>
      </c>
      <c r="F97" s="81">
        <v>7.7000000000000002E-3</v>
      </c>
      <c r="G97" s="81">
        <v>5.1000000000000004E-3</v>
      </c>
      <c r="H97" s="81">
        <v>6.3E-3</v>
      </c>
      <c r="I97" s="81">
        <v>7.6E-3</v>
      </c>
      <c r="J97" s="81">
        <v>7.7000000000000002E-3</v>
      </c>
      <c r="K97" s="81">
        <v>6.4999999999999997E-3</v>
      </c>
      <c r="L97" s="81">
        <v>6.7000000000000002E-3</v>
      </c>
      <c r="M97" s="81">
        <v>7.7000000000000002E-3</v>
      </c>
      <c r="N97" s="81">
        <v>7.7000000000000002E-3</v>
      </c>
      <c r="O97" s="81">
        <v>7.4999999999999997E-3</v>
      </c>
      <c r="P97" s="81">
        <v>8.8000000000000005E-3</v>
      </c>
      <c r="Q97" s="81">
        <v>8.6E-3</v>
      </c>
      <c r="R97" s="81">
        <v>8.3999999999999995E-3</v>
      </c>
      <c r="S97" s="81">
        <v>7.6E-3</v>
      </c>
      <c r="T97" s="81">
        <v>8.5000000000000006E-3</v>
      </c>
      <c r="U97" s="81">
        <v>8.8000000000000005E-3</v>
      </c>
      <c r="V97" s="81">
        <v>8.3000000000000001E-3</v>
      </c>
      <c r="W97" s="81">
        <v>7.9000000000000008E-3</v>
      </c>
      <c r="X97" s="81">
        <v>8.3000000000000001E-3</v>
      </c>
      <c r="Y97" s="81">
        <v>8.8000000000000005E-3</v>
      </c>
      <c r="Z97" s="81">
        <v>8.9999999999999993E-3</v>
      </c>
      <c r="AA97" s="81">
        <v>8.9999999999999993E-3</v>
      </c>
      <c r="AB97" s="81">
        <v>9.1000000000000004E-3</v>
      </c>
      <c r="AC97" s="82">
        <v>9.4999999999999998E-3</v>
      </c>
      <c r="AD97" s="82"/>
    </row>
    <row r="98" spans="1:30" outlineLevel="1" x14ac:dyDescent="0.25">
      <c r="A98" s="66" t="s">
        <v>195</v>
      </c>
      <c r="B98" s="66"/>
      <c r="C98" s="66"/>
      <c r="D98" s="66"/>
      <c r="E98" s="66"/>
      <c r="F98" s="66"/>
      <c r="G98" s="66"/>
      <c r="H98" s="66"/>
      <c r="I98" s="66"/>
      <c r="J98" s="81">
        <v>4.2200000000000001E-2</v>
      </c>
      <c r="K98" s="81">
        <v>4.1200000000000001E-2</v>
      </c>
      <c r="L98" s="81">
        <v>4.2099999999999999E-2</v>
      </c>
      <c r="M98" s="81">
        <v>4.7300000000000002E-2</v>
      </c>
      <c r="N98" s="81">
        <v>3.6900000000000002E-2</v>
      </c>
      <c r="O98" s="81">
        <v>3.9E-2</v>
      </c>
      <c r="P98" s="81">
        <v>3.9E-2</v>
      </c>
      <c r="Q98" s="81">
        <v>4.9000000000000002E-2</v>
      </c>
      <c r="R98" s="81">
        <v>4.3099999999999999E-2</v>
      </c>
      <c r="S98" s="81">
        <v>4.24E-2</v>
      </c>
      <c r="T98" s="81">
        <v>4.3899999999999995E-2</v>
      </c>
      <c r="U98" s="81">
        <v>4.5499999999999999E-2</v>
      </c>
      <c r="V98" s="81">
        <v>4.2599999999999999E-2</v>
      </c>
      <c r="W98" s="81">
        <v>4.4900000000000002E-2</v>
      </c>
      <c r="X98" s="81">
        <v>4.0800000000000003E-2</v>
      </c>
      <c r="Y98" s="81">
        <v>4.0399999999999998E-2</v>
      </c>
      <c r="Z98" s="81"/>
      <c r="AA98" s="81"/>
      <c r="AB98" s="81"/>
      <c r="AC98" s="81"/>
      <c r="AD98" s="81"/>
    </row>
    <row r="99" spans="1:30" outlineLevel="1" x14ac:dyDescent="0.25">
      <c r="A99" s="66" t="s">
        <v>178</v>
      </c>
      <c r="B99" s="66"/>
      <c r="C99" s="66"/>
      <c r="D99" s="66"/>
      <c r="E99" s="66"/>
      <c r="F99" s="66"/>
      <c r="G99" s="66"/>
      <c r="H99" s="66"/>
      <c r="I99" s="66"/>
      <c r="J99" s="81"/>
      <c r="K99" s="81"/>
      <c r="L99" s="81"/>
      <c r="M99" s="81"/>
      <c r="N99" s="81"/>
      <c r="O99" s="81"/>
      <c r="P99" s="81"/>
      <c r="Q99" s="81"/>
      <c r="R99" s="81">
        <v>3.7199999999999997E-2</v>
      </c>
      <c r="S99" s="81">
        <v>3.7100000000000001E-2</v>
      </c>
      <c r="T99" s="81">
        <v>3.85E-2</v>
      </c>
      <c r="U99" s="81">
        <v>3.9399999999999998E-2</v>
      </c>
      <c r="V99" s="81">
        <v>3.61E-2</v>
      </c>
      <c r="W99" s="81">
        <v>3.5900000000000001E-2</v>
      </c>
      <c r="X99" s="81">
        <v>3.7199999999999997E-2</v>
      </c>
      <c r="Y99" s="81">
        <v>3.78E-2</v>
      </c>
      <c r="Z99" s="81">
        <v>3.4700000000000002E-2</v>
      </c>
      <c r="AA99" s="81">
        <v>3.5999999999999997E-2</v>
      </c>
      <c r="AB99" s="81">
        <v>3.73E-2</v>
      </c>
      <c r="AC99" s="81">
        <v>3.73E-2</v>
      </c>
      <c r="AD99" s="81"/>
    </row>
    <row r="100" spans="1:30" outlineLevel="1" x14ac:dyDescent="0.25">
      <c r="A100" s="66" t="s">
        <v>210</v>
      </c>
      <c r="B100" s="81">
        <v>1.32E-2</v>
      </c>
      <c r="C100" s="81">
        <v>1.23E-2</v>
      </c>
      <c r="D100" s="81">
        <v>1.2699999999999999E-2</v>
      </c>
      <c r="E100" s="81">
        <v>1.2999999999999999E-2</v>
      </c>
      <c r="F100" s="81">
        <v>1.2E-2</v>
      </c>
      <c r="G100" s="81">
        <v>8.6E-3</v>
      </c>
      <c r="H100" s="81">
        <v>9.4999999999999998E-3</v>
      </c>
      <c r="I100" s="81">
        <v>1.12E-2</v>
      </c>
      <c r="J100" s="81">
        <v>1.11E-2</v>
      </c>
      <c r="K100" s="81">
        <v>9.7000000000000003E-3</v>
      </c>
      <c r="L100" s="81">
        <v>9.7999999999999997E-3</v>
      </c>
      <c r="M100" s="81">
        <v>1.34E-2</v>
      </c>
      <c r="N100" s="81">
        <v>1.5100000000000001E-2</v>
      </c>
      <c r="O100" s="81">
        <v>1.5299999999999999E-2</v>
      </c>
      <c r="P100" s="81">
        <v>1.66E-2</v>
      </c>
      <c r="Q100" s="81">
        <v>1.83E-2</v>
      </c>
      <c r="R100" s="81">
        <v>1.6899999999999998E-2</v>
      </c>
      <c r="S100" s="81">
        <v>1.5800000000000002E-2</v>
      </c>
      <c r="T100" s="81">
        <v>1.6799999999999999E-2</v>
      </c>
      <c r="U100" s="81">
        <v>1.7299999999999999E-2</v>
      </c>
      <c r="V100" s="81">
        <v>1.6199999999999999E-2</v>
      </c>
      <c r="W100" s="81">
        <v>1.6299999999999999E-2</v>
      </c>
      <c r="X100" s="81">
        <v>1.61E-2</v>
      </c>
      <c r="Y100" s="81">
        <v>1.6400000000000001E-2</v>
      </c>
      <c r="Z100" s="81">
        <v>1.5699999999999999E-2</v>
      </c>
      <c r="AA100" s="81">
        <v>1.5800000000000002E-2</v>
      </c>
      <c r="AB100" s="81">
        <v>1.61E-2</v>
      </c>
      <c r="AC100" s="81">
        <v>1.6799999999999999E-2</v>
      </c>
      <c r="AD100" s="81"/>
    </row>
    <row r="101" spans="1:30" outlineLevel="1" x14ac:dyDescent="0.25">
      <c r="A101" s="66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</row>
    <row r="102" spans="1:30" outlineLevel="1" x14ac:dyDescent="0.25">
      <c r="A102" s="54" t="s">
        <v>148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</row>
    <row r="103" spans="1:30" outlineLevel="1" x14ac:dyDescent="0.25">
      <c r="A103" s="71" t="s">
        <v>207</v>
      </c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</row>
    <row r="104" spans="1:30" outlineLevel="1" x14ac:dyDescent="0.25">
      <c r="A104" s="66" t="s">
        <v>208</v>
      </c>
      <c r="B104" s="81">
        <v>1.0800000000000001E-2</v>
      </c>
      <c r="C104" s="81">
        <v>9.7000000000000003E-3</v>
      </c>
      <c r="D104" s="81">
        <v>1.0500000000000001E-2</v>
      </c>
      <c r="E104" s="81">
        <v>1.09E-2</v>
      </c>
      <c r="F104" s="81">
        <v>1.01E-2</v>
      </c>
      <c r="G104" s="81">
        <v>6.8999999999999999E-3</v>
      </c>
      <c r="H104" s="81">
        <v>8.0000000000000002E-3</v>
      </c>
      <c r="I104" s="81">
        <v>9.5999999999999992E-3</v>
      </c>
      <c r="J104" s="81">
        <v>9.7000000000000003E-3</v>
      </c>
      <c r="K104" s="81">
        <v>8.3000000000000001E-3</v>
      </c>
      <c r="L104" s="81">
        <v>8.3999999999999995E-3</v>
      </c>
      <c r="M104" s="81">
        <v>9.4000000000000004E-3</v>
      </c>
      <c r="N104" s="81">
        <v>9.4999999999999998E-3</v>
      </c>
      <c r="O104" s="81">
        <v>9.2999999999999992E-3</v>
      </c>
      <c r="P104" s="81">
        <v>1.0999999999999999E-2</v>
      </c>
      <c r="Q104" s="81">
        <v>1.06E-2</v>
      </c>
      <c r="R104" s="81">
        <v>1.0500000000000001E-2</v>
      </c>
      <c r="S104" s="81">
        <v>9.4999999999999998E-3</v>
      </c>
      <c r="T104" s="81">
        <v>1.04E-2</v>
      </c>
      <c r="U104" s="81">
        <v>1.0800000000000001E-2</v>
      </c>
      <c r="V104" s="81">
        <v>1.03E-2</v>
      </c>
      <c r="W104" s="81">
        <v>0.01</v>
      </c>
      <c r="X104" s="81">
        <v>1.0699999999999999E-2</v>
      </c>
      <c r="Y104" s="81">
        <v>1.12E-2</v>
      </c>
      <c r="Z104" s="81">
        <v>1.1299999999999999E-2</v>
      </c>
      <c r="AA104" s="81"/>
      <c r="AB104" s="81"/>
      <c r="AC104" s="81"/>
      <c r="AD104" s="81"/>
    </row>
    <row r="105" spans="1:30" outlineLevel="1" x14ac:dyDescent="0.25">
      <c r="A105" s="66" t="s">
        <v>209</v>
      </c>
      <c r="B105" s="81">
        <v>8.0999999999999996E-3</v>
      </c>
      <c r="C105" s="81">
        <v>7.1999999999999998E-3</v>
      </c>
      <c r="D105" s="81">
        <v>7.9000000000000008E-3</v>
      </c>
      <c r="E105" s="81">
        <v>8.3000000000000001E-3</v>
      </c>
      <c r="F105" s="81">
        <v>7.7000000000000002E-3</v>
      </c>
      <c r="G105" s="81">
        <v>5.1000000000000004E-3</v>
      </c>
      <c r="H105" s="81">
        <v>6.3E-3</v>
      </c>
      <c r="I105" s="81">
        <v>7.6E-3</v>
      </c>
      <c r="J105" s="81">
        <v>7.7000000000000002E-3</v>
      </c>
      <c r="K105" s="81">
        <v>6.4999999999999997E-3</v>
      </c>
      <c r="L105" s="81">
        <v>6.7000000000000002E-3</v>
      </c>
      <c r="M105" s="81">
        <v>7.7000000000000002E-3</v>
      </c>
      <c r="N105" s="81">
        <v>7.7000000000000002E-3</v>
      </c>
      <c r="O105" s="81">
        <v>7.4999999999999997E-3</v>
      </c>
      <c r="P105" s="81">
        <v>8.8000000000000005E-3</v>
      </c>
      <c r="Q105" s="81">
        <v>8.6E-3</v>
      </c>
      <c r="R105" s="81">
        <v>8.3999999999999995E-3</v>
      </c>
      <c r="S105" s="81">
        <v>7.6E-3</v>
      </c>
      <c r="T105" s="81">
        <v>8.5000000000000006E-3</v>
      </c>
      <c r="U105" s="81">
        <v>8.8000000000000005E-3</v>
      </c>
      <c r="V105" s="81">
        <v>8.3000000000000001E-3</v>
      </c>
      <c r="W105" s="81">
        <v>7.9000000000000008E-3</v>
      </c>
      <c r="X105" s="81">
        <v>8.3999999999999995E-3</v>
      </c>
      <c r="Y105" s="81">
        <v>8.8999999999999999E-3</v>
      </c>
      <c r="Z105" s="81">
        <v>8.9999999999999993E-3</v>
      </c>
      <c r="AA105" s="81"/>
      <c r="AB105" s="81"/>
      <c r="AC105" s="81"/>
      <c r="AD105" s="81"/>
    </row>
    <row r="106" spans="1:30" outlineLevel="1" x14ac:dyDescent="0.25">
      <c r="A106" s="66" t="s">
        <v>195</v>
      </c>
      <c r="B106" s="66"/>
      <c r="C106" s="66"/>
      <c r="D106" s="66"/>
      <c r="E106" s="66"/>
      <c r="F106" s="66"/>
      <c r="G106" s="66"/>
      <c r="H106" s="66"/>
      <c r="I106" s="66"/>
      <c r="J106" s="81">
        <v>4.2200000000000001E-2</v>
      </c>
      <c r="K106" s="81">
        <v>4.1200000000000001E-2</v>
      </c>
      <c r="L106" s="81">
        <v>4.2099999999999999E-2</v>
      </c>
      <c r="M106" s="81">
        <v>4.7300000000000002E-2</v>
      </c>
      <c r="N106" s="81">
        <v>3.6900000000000002E-2</v>
      </c>
      <c r="O106" s="81">
        <v>3.9E-2</v>
      </c>
      <c r="P106" s="81">
        <v>3.9E-2</v>
      </c>
      <c r="Q106" s="81">
        <v>4.9000000000000002E-2</v>
      </c>
      <c r="R106" s="81">
        <v>4.3099999999999999E-2</v>
      </c>
      <c r="S106" s="81">
        <v>4.24E-2</v>
      </c>
      <c r="T106" s="81">
        <v>4.3899999999999995E-2</v>
      </c>
      <c r="U106" s="81">
        <v>4.5499999999999999E-2</v>
      </c>
      <c r="V106" s="81">
        <v>4.2599999999999999E-2</v>
      </c>
      <c r="W106" s="81">
        <v>4.4900000000000002E-2</v>
      </c>
      <c r="X106" s="81">
        <v>4.0800000000000003E-2</v>
      </c>
      <c r="Y106" s="81">
        <v>4.0399999999999998E-2</v>
      </c>
      <c r="Z106" s="81"/>
      <c r="AA106" s="81"/>
      <c r="AB106" s="81"/>
      <c r="AC106" s="81"/>
      <c r="AD106" s="81"/>
    </row>
    <row r="107" spans="1:30" outlineLevel="1" x14ac:dyDescent="0.25">
      <c r="A107" s="66" t="s">
        <v>178</v>
      </c>
      <c r="B107" s="66"/>
      <c r="C107" s="66"/>
      <c r="D107" s="66"/>
      <c r="E107" s="66"/>
      <c r="F107" s="66"/>
      <c r="G107" s="66"/>
      <c r="H107" s="66"/>
      <c r="I107" s="66"/>
      <c r="J107" s="81"/>
      <c r="K107" s="81"/>
      <c r="L107" s="81"/>
      <c r="M107" s="81"/>
      <c r="N107" s="81"/>
      <c r="O107" s="81"/>
      <c r="P107" s="81"/>
      <c r="Q107" s="81"/>
      <c r="R107" s="81">
        <v>3.7199999999999997E-2</v>
      </c>
      <c r="S107" s="81">
        <v>3.7100000000000001E-2</v>
      </c>
      <c r="T107" s="81">
        <v>3.85E-2</v>
      </c>
      <c r="U107" s="81">
        <v>3.9399999999999998E-2</v>
      </c>
      <c r="V107" s="81">
        <v>3.61E-2</v>
      </c>
      <c r="W107" s="81">
        <v>3.5900000000000001E-2</v>
      </c>
      <c r="X107" s="81">
        <v>3.7199999999999997E-2</v>
      </c>
      <c r="Y107" s="81">
        <v>3.78E-2</v>
      </c>
      <c r="Z107" s="81">
        <v>3.4700000000000002E-2</v>
      </c>
      <c r="AA107" s="81"/>
      <c r="AB107" s="81"/>
      <c r="AC107" s="81"/>
      <c r="AD107" s="81"/>
    </row>
    <row r="108" spans="1:30" outlineLevel="1" x14ac:dyDescent="0.25">
      <c r="A108" s="66" t="s">
        <v>210</v>
      </c>
      <c r="B108" s="81">
        <v>1.32E-2</v>
      </c>
      <c r="C108" s="81">
        <v>1.23E-2</v>
      </c>
      <c r="D108" s="81">
        <v>1.2699999999999999E-2</v>
      </c>
      <c r="E108" s="81">
        <v>1.2999999999999999E-2</v>
      </c>
      <c r="F108" s="81">
        <v>1.2E-2</v>
      </c>
      <c r="G108" s="81">
        <v>8.6E-3</v>
      </c>
      <c r="H108" s="81">
        <v>9.4999999999999998E-3</v>
      </c>
      <c r="I108" s="81">
        <v>1.12E-2</v>
      </c>
      <c r="J108" s="81">
        <v>1.11E-2</v>
      </c>
      <c r="K108" s="81">
        <v>9.7000000000000003E-3</v>
      </c>
      <c r="L108" s="81">
        <v>9.7999999999999997E-3</v>
      </c>
      <c r="M108" s="81">
        <v>1.34E-2</v>
      </c>
      <c r="N108" s="81">
        <v>1.5100000000000001E-2</v>
      </c>
      <c r="O108" s="81">
        <v>1.5299999999999999E-2</v>
      </c>
      <c r="P108" s="81">
        <v>1.66E-2</v>
      </c>
      <c r="Q108" s="81">
        <v>1.83E-2</v>
      </c>
      <c r="R108" s="81">
        <v>1.6899999999999998E-2</v>
      </c>
      <c r="S108" s="81">
        <v>1.5800000000000002E-2</v>
      </c>
      <c r="T108" s="81">
        <v>1.6799999999999999E-2</v>
      </c>
      <c r="U108" s="81">
        <v>1.7299999999999999E-2</v>
      </c>
      <c r="V108" s="81">
        <v>1.6199999999999999E-2</v>
      </c>
      <c r="W108" s="81">
        <v>1.6299999999999999E-2</v>
      </c>
      <c r="X108" s="81">
        <v>1.61E-2</v>
      </c>
      <c r="Y108" s="81">
        <v>1.6400000000000001E-2</v>
      </c>
      <c r="Z108" s="81">
        <v>1.5699999999999999E-2</v>
      </c>
      <c r="AA108" s="81"/>
      <c r="AB108" s="81"/>
      <c r="AC108" s="81"/>
      <c r="AD108" s="81"/>
    </row>
    <row r="109" spans="1:30" outlineLevel="1" x14ac:dyDescent="0.25">
      <c r="A109" s="66"/>
      <c r="B109" s="66"/>
      <c r="C109" s="66"/>
      <c r="D109" s="66"/>
      <c r="E109" s="66"/>
      <c r="F109" s="66"/>
      <c r="G109" s="66"/>
      <c r="H109" s="66"/>
      <c r="I109" s="66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</row>
    <row r="110" spans="1:30" outlineLevel="1" x14ac:dyDescent="0.25">
      <c r="A110" s="71" t="s">
        <v>211</v>
      </c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</row>
    <row r="111" spans="1:30" outlineLevel="1" x14ac:dyDescent="0.25">
      <c r="A111" s="66" t="s">
        <v>212</v>
      </c>
      <c r="B111" s="67">
        <v>13357</v>
      </c>
      <c r="C111" s="67">
        <v>13456</v>
      </c>
      <c r="D111" s="67">
        <v>13533</v>
      </c>
      <c r="E111" s="67">
        <v>13445</v>
      </c>
      <c r="F111" s="67">
        <v>13476</v>
      </c>
      <c r="G111" s="67">
        <v>13087</v>
      </c>
      <c r="H111" s="67">
        <v>13442</v>
      </c>
      <c r="I111" s="67">
        <v>13600</v>
      </c>
      <c r="J111" s="67">
        <v>13684</v>
      </c>
      <c r="K111" s="67">
        <v>13794</v>
      </c>
      <c r="L111" s="67">
        <v>13982</v>
      </c>
      <c r="M111" s="67">
        <v>14643</v>
      </c>
      <c r="N111" s="67">
        <v>15217</v>
      </c>
      <c r="O111" s="67">
        <v>15236</v>
      </c>
      <c r="P111" s="67">
        <v>15517</v>
      </c>
      <c r="Q111" s="67">
        <v>15539</v>
      </c>
      <c r="R111" s="67">
        <v>15599</v>
      </c>
      <c r="S111" s="67">
        <v>15762</v>
      </c>
      <c r="T111" s="67">
        <v>15963</v>
      </c>
      <c r="U111" s="67">
        <v>16034</v>
      </c>
      <c r="V111" s="67">
        <v>16760</v>
      </c>
      <c r="W111" s="67">
        <v>16985</v>
      </c>
      <c r="X111" s="67">
        <v>17036</v>
      </c>
      <c r="Y111" s="67">
        <v>17170</v>
      </c>
      <c r="Z111" s="67">
        <v>17199</v>
      </c>
      <c r="AA111" s="67">
        <v>17369</v>
      </c>
      <c r="AB111" s="67">
        <v>17441</v>
      </c>
      <c r="AC111" s="67">
        <v>17373</v>
      </c>
      <c r="AD111" s="67"/>
    </row>
    <row r="112" spans="1:30" outlineLevel="1" x14ac:dyDescent="0.25">
      <c r="A112" s="66" t="s">
        <v>213</v>
      </c>
      <c r="B112" s="67">
        <v>2764</v>
      </c>
      <c r="C112" s="67">
        <v>2772</v>
      </c>
      <c r="D112" s="67">
        <v>2811</v>
      </c>
      <c r="E112" s="67">
        <v>2828</v>
      </c>
      <c r="F112" s="67">
        <v>2799</v>
      </c>
      <c r="G112" s="67">
        <v>2754</v>
      </c>
      <c r="H112" s="67">
        <v>2773</v>
      </c>
      <c r="I112" s="67">
        <v>2756</v>
      </c>
      <c r="J112" s="67">
        <v>2860</v>
      </c>
      <c r="K112" s="67">
        <v>2895</v>
      </c>
      <c r="L112" s="67">
        <v>2893</v>
      </c>
      <c r="M112" s="67">
        <v>2910</v>
      </c>
      <c r="N112" s="67">
        <v>2911</v>
      </c>
      <c r="O112" s="67">
        <v>2895</v>
      </c>
      <c r="P112" s="67">
        <v>2902</v>
      </c>
      <c r="Q112" s="67">
        <v>2914</v>
      </c>
      <c r="R112" s="67">
        <v>2889</v>
      </c>
      <c r="S112" s="67">
        <v>2886</v>
      </c>
      <c r="T112" s="67">
        <v>2897</v>
      </c>
      <c r="U112" s="67">
        <v>2942</v>
      </c>
      <c r="V112" s="67">
        <v>2896</v>
      </c>
      <c r="W112" s="67">
        <v>2896</v>
      </c>
      <c r="X112" s="67">
        <v>2916</v>
      </c>
      <c r="Y112" s="67">
        <v>2939</v>
      </c>
      <c r="Z112" s="67">
        <v>2896</v>
      </c>
      <c r="AA112" s="67">
        <v>2924</v>
      </c>
      <c r="AB112" s="67">
        <v>2937</v>
      </c>
      <c r="AC112" s="67">
        <v>2921</v>
      </c>
      <c r="AD112" s="67"/>
    </row>
    <row r="113" spans="1:30" outlineLevel="1" x14ac:dyDescent="0.25">
      <c r="A113" s="66" t="s">
        <v>214</v>
      </c>
      <c r="B113" s="67">
        <v>138</v>
      </c>
      <c r="C113" s="67">
        <v>122</v>
      </c>
      <c r="D113" s="67">
        <v>89</v>
      </c>
      <c r="E113" s="67">
        <v>68</v>
      </c>
      <c r="F113" s="67">
        <v>66</v>
      </c>
      <c r="G113" s="67">
        <v>59</v>
      </c>
      <c r="H113" s="67">
        <v>40</v>
      </c>
      <c r="I113" s="67">
        <v>32</v>
      </c>
      <c r="J113" s="67">
        <v>25</v>
      </c>
      <c r="K113" s="67">
        <v>20</v>
      </c>
      <c r="L113" s="67">
        <v>16</v>
      </c>
      <c r="M113" s="67">
        <v>11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 t="s">
        <v>162</v>
      </c>
      <c r="AB113" s="70"/>
      <c r="AC113" s="70"/>
      <c r="AD113" s="70"/>
    </row>
    <row r="114" spans="1:30" outlineLevel="1" x14ac:dyDescent="0.25">
      <c r="A114" s="66" t="s">
        <v>215</v>
      </c>
      <c r="B114" s="67">
        <v>11974.628096590908</v>
      </c>
      <c r="C114" s="67">
        <v>12030.489488636364</v>
      </c>
      <c r="D114" s="67">
        <v>12070.856835849057</v>
      </c>
      <c r="E114" s="67">
        <v>11950.205955056181</v>
      </c>
      <c r="F114" s="67">
        <v>12008.065213483145</v>
      </c>
      <c r="G114" s="67">
        <v>11725.254955056182</v>
      </c>
      <c r="H114" s="67">
        <v>11985.36829213483</v>
      </c>
      <c r="I114" s="67">
        <v>12134.728208955225</v>
      </c>
      <c r="J114" s="67">
        <v>12199.464089552239</v>
      </c>
      <c r="K114" s="67">
        <v>12215.448312267657</v>
      </c>
      <c r="L114" s="67">
        <v>12401.748444444444</v>
      </c>
      <c r="M114" s="67">
        <v>12483.012981617649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</row>
    <row r="115" spans="1:30" outlineLevel="1" x14ac:dyDescent="0.25">
      <c r="A115" s="66" t="s">
        <v>216</v>
      </c>
      <c r="B115" s="67">
        <v>479.70090000000005</v>
      </c>
      <c r="C115" s="67">
        <v>468.29475000000002</v>
      </c>
      <c r="D115" s="67">
        <v>452.44395000000009</v>
      </c>
      <c r="E115" s="67">
        <v>441.57330000000007</v>
      </c>
      <c r="F115" s="67">
        <v>434.78316000000001</v>
      </c>
      <c r="G115" s="67">
        <v>435.76633799999996</v>
      </c>
      <c r="H115" s="67">
        <v>440.955333</v>
      </c>
      <c r="I115" s="67">
        <v>442.53934199999998</v>
      </c>
      <c r="J115" s="67">
        <v>452.17011672000001</v>
      </c>
      <c r="K115" s="67">
        <v>453.11724486000003</v>
      </c>
      <c r="L115" s="67">
        <v>453.89723273999999</v>
      </c>
      <c r="M115" s="67">
        <v>953.73009247999994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</row>
    <row r="116" spans="1:30" outlineLevel="1" x14ac:dyDescent="0.25">
      <c r="A116" s="66" t="s">
        <v>217</v>
      </c>
      <c r="B116" s="65">
        <v>902.67100340909178</v>
      </c>
      <c r="C116" s="65">
        <v>957.21576136363637</v>
      </c>
      <c r="D116" s="65">
        <v>1009.6992141509425</v>
      </c>
      <c r="E116" s="65">
        <v>1053.2207449438192</v>
      </c>
      <c r="F116" s="65">
        <v>1033.1516265168548</v>
      </c>
      <c r="G116" s="65">
        <v>925.97870694381845</v>
      </c>
      <c r="H116" s="65">
        <v>1015.67637486517</v>
      </c>
      <c r="I116" s="65">
        <v>1022.7324490447754</v>
      </c>
      <c r="J116" s="65">
        <v>1032.3657937277612</v>
      </c>
      <c r="K116" s="65">
        <v>1125.4344428723425</v>
      </c>
      <c r="L116" s="65">
        <v>1107.9793228155565</v>
      </c>
      <c r="M116" s="65">
        <v>1177.9069259023515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</row>
    <row r="117" spans="1:30" outlineLevel="1" x14ac:dyDescent="0.25">
      <c r="A117" s="66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</row>
    <row r="118" spans="1:30" outlineLevel="1" x14ac:dyDescent="0.25">
      <c r="A118" s="66" t="s">
        <v>218</v>
      </c>
      <c r="B118" s="65"/>
      <c r="C118" s="65"/>
      <c r="D118" s="65"/>
      <c r="E118" s="65"/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18.375</v>
      </c>
      <c r="M118" s="65">
        <v>28.35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</row>
    <row r="119" spans="1:30" outlineLevel="1" x14ac:dyDescent="0.25">
      <c r="A119" s="66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</row>
    <row r="120" spans="1:30" outlineLevel="1" x14ac:dyDescent="0.25">
      <c r="A120" s="54" t="s">
        <v>148</v>
      </c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</row>
    <row r="121" spans="1:30" outlineLevel="1" x14ac:dyDescent="0.25">
      <c r="A121" s="71" t="s">
        <v>211</v>
      </c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</row>
    <row r="122" spans="1:30" outlineLevel="1" x14ac:dyDescent="0.25">
      <c r="A122" s="66" t="s">
        <v>212</v>
      </c>
      <c r="B122" s="67">
        <v>13357</v>
      </c>
      <c r="C122" s="67">
        <v>13456</v>
      </c>
      <c r="D122" s="67">
        <v>13533</v>
      </c>
      <c r="E122" s="67">
        <v>13445</v>
      </c>
      <c r="F122" s="67">
        <v>13476</v>
      </c>
      <c r="G122" s="67">
        <v>13087</v>
      </c>
      <c r="H122" s="67">
        <v>13442</v>
      </c>
      <c r="I122" s="67">
        <v>13600</v>
      </c>
      <c r="J122" s="67">
        <v>13684</v>
      </c>
      <c r="K122" s="67">
        <v>13794</v>
      </c>
      <c r="L122" s="67">
        <v>13982</v>
      </c>
      <c r="M122" s="67">
        <v>14643</v>
      </c>
      <c r="N122" s="67">
        <v>15217</v>
      </c>
      <c r="O122" s="67">
        <v>15236</v>
      </c>
      <c r="P122" s="67">
        <v>15517</v>
      </c>
      <c r="Q122" s="67">
        <v>15539</v>
      </c>
      <c r="R122" s="67">
        <v>15599</v>
      </c>
      <c r="S122" s="67">
        <v>15762</v>
      </c>
      <c r="T122" s="67">
        <v>15963</v>
      </c>
      <c r="U122" s="67">
        <v>16034</v>
      </c>
      <c r="V122" s="67">
        <v>16134</v>
      </c>
      <c r="W122" s="67">
        <v>16342</v>
      </c>
      <c r="X122" s="67">
        <v>16377</v>
      </c>
      <c r="Y122" s="67">
        <v>16521</v>
      </c>
      <c r="Z122" s="67">
        <v>17199</v>
      </c>
      <c r="AA122" s="67"/>
      <c r="AB122" s="67"/>
      <c r="AC122" s="67"/>
      <c r="AD122" s="67"/>
    </row>
    <row r="123" spans="1:30" outlineLevel="1" x14ac:dyDescent="0.25">
      <c r="A123" s="66" t="s">
        <v>213</v>
      </c>
      <c r="B123" s="67">
        <v>2764</v>
      </c>
      <c r="C123" s="67">
        <v>2772</v>
      </c>
      <c r="D123" s="67">
        <v>2811</v>
      </c>
      <c r="E123" s="67">
        <v>2828</v>
      </c>
      <c r="F123" s="67">
        <v>2799</v>
      </c>
      <c r="G123" s="67">
        <v>2754</v>
      </c>
      <c r="H123" s="67">
        <v>2773</v>
      </c>
      <c r="I123" s="67">
        <v>2756</v>
      </c>
      <c r="J123" s="67">
        <v>2860</v>
      </c>
      <c r="K123" s="67">
        <v>2895</v>
      </c>
      <c r="L123" s="67">
        <v>2893</v>
      </c>
      <c r="M123" s="67">
        <v>2910</v>
      </c>
      <c r="N123" s="67">
        <v>2911</v>
      </c>
      <c r="O123" s="67">
        <v>2895</v>
      </c>
      <c r="P123" s="67">
        <v>2902</v>
      </c>
      <c r="Q123" s="67">
        <v>2914</v>
      </c>
      <c r="R123" s="67">
        <v>2889</v>
      </c>
      <c r="S123" s="67">
        <v>2886</v>
      </c>
      <c r="T123" s="67">
        <v>2897</v>
      </c>
      <c r="U123" s="67">
        <v>2942</v>
      </c>
      <c r="V123" s="67">
        <v>2896</v>
      </c>
      <c r="W123" s="67">
        <v>2896</v>
      </c>
      <c r="X123" s="67">
        <v>2916</v>
      </c>
      <c r="Y123" s="67">
        <v>2939</v>
      </c>
      <c r="Z123" s="67">
        <v>2896</v>
      </c>
      <c r="AA123" s="67"/>
      <c r="AB123" s="67"/>
      <c r="AC123" s="67"/>
      <c r="AD123" s="67"/>
    </row>
    <row r="124" spans="1:30" outlineLevel="1" x14ac:dyDescent="0.25">
      <c r="A124" s="66" t="s">
        <v>214</v>
      </c>
      <c r="B124" s="67">
        <v>138</v>
      </c>
      <c r="C124" s="67">
        <v>122</v>
      </c>
      <c r="D124" s="67">
        <v>89</v>
      </c>
      <c r="E124" s="67">
        <v>68</v>
      </c>
      <c r="F124" s="67">
        <v>66</v>
      </c>
      <c r="G124" s="67">
        <v>59</v>
      </c>
      <c r="H124" s="67">
        <v>40</v>
      </c>
      <c r="I124" s="67">
        <v>32</v>
      </c>
      <c r="J124" s="67">
        <v>25</v>
      </c>
      <c r="K124" s="67">
        <v>20</v>
      </c>
      <c r="L124" s="67">
        <v>16</v>
      </c>
      <c r="M124" s="67">
        <v>11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</row>
    <row r="125" spans="1:30" outlineLevel="1" x14ac:dyDescent="0.25">
      <c r="A125" s="66" t="s">
        <v>215</v>
      </c>
      <c r="B125" s="67">
        <v>11974.628096590908</v>
      </c>
      <c r="C125" s="67">
        <v>12030.489488636364</v>
      </c>
      <c r="D125" s="67">
        <v>12070.856835849057</v>
      </c>
      <c r="E125" s="67">
        <v>11950.205955056181</v>
      </c>
      <c r="F125" s="67">
        <v>12008.065213483145</v>
      </c>
      <c r="G125" s="67">
        <v>11725.254955056182</v>
      </c>
      <c r="H125" s="67">
        <v>11985.36829213483</v>
      </c>
      <c r="I125" s="67">
        <v>12134.728208955225</v>
      </c>
      <c r="J125" s="67">
        <v>12199.464089552239</v>
      </c>
      <c r="K125" s="67">
        <v>12215.448312267657</v>
      </c>
      <c r="L125" s="67">
        <v>12401.748444444444</v>
      </c>
      <c r="M125" s="67">
        <v>12483.012981617649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</row>
    <row r="126" spans="1:30" outlineLevel="1" x14ac:dyDescent="0.25">
      <c r="A126" s="66" t="s">
        <v>216</v>
      </c>
      <c r="B126" s="67">
        <v>479.70090000000005</v>
      </c>
      <c r="C126" s="67">
        <v>468.29475000000002</v>
      </c>
      <c r="D126" s="67">
        <v>452.44395000000009</v>
      </c>
      <c r="E126" s="67">
        <v>441.57330000000007</v>
      </c>
      <c r="F126" s="67">
        <v>434.78316000000001</v>
      </c>
      <c r="G126" s="67">
        <v>435.76633799999996</v>
      </c>
      <c r="H126" s="67">
        <v>440.955333</v>
      </c>
      <c r="I126" s="67">
        <v>442.53934199999998</v>
      </c>
      <c r="J126" s="67">
        <v>452.17011672000001</v>
      </c>
      <c r="K126" s="67">
        <v>453.11724486000003</v>
      </c>
      <c r="L126" s="67">
        <v>453.89723273999999</v>
      </c>
      <c r="M126" s="67">
        <v>953.73009247999994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</row>
    <row r="127" spans="1:30" outlineLevel="1" x14ac:dyDescent="0.25">
      <c r="A127" s="66" t="s">
        <v>217</v>
      </c>
      <c r="B127" s="65">
        <v>902.67100340909178</v>
      </c>
      <c r="C127" s="65">
        <v>957.21576136363637</v>
      </c>
      <c r="D127" s="65">
        <v>1009.6992141509425</v>
      </c>
      <c r="E127" s="65">
        <v>1053.2207449438192</v>
      </c>
      <c r="F127" s="65">
        <v>1033.1516265168548</v>
      </c>
      <c r="G127" s="65">
        <v>925.97870694381845</v>
      </c>
      <c r="H127" s="65">
        <v>1015.67637486517</v>
      </c>
      <c r="I127" s="65">
        <v>1022.7324490447754</v>
      </c>
      <c r="J127" s="65">
        <v>1032.3657937277612</v>
      </c>
      <c r="K127" s="65">
        <v>1125.4344428723425</v>
      </c>
      <c r="L127" s="65">
        <v>1107.9793228155565</v>
      </c>
      <c r="M127" s="65">
        <v>1177.9069259023515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</row>
    <row r="128" spans="1:30" outlineLevel="1" x14ac:dyDescent="0.25">
      <c r="A128" s="66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</row>
    <row r="129" spans="1:30" outlineLevel="1" x14ac:dyDescent="0.25">
      <c r="A129" s="66" t="s">
        <v>218</v>
      </c>
      <c r="B129" s="65"/>
      <c r="C129" s="65"/>
      <c r="D129" s="65"/>
      <c r="E129" s="65"/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18.375</v>
      </c>
      <c r="M129" s="65">
        <v>28.35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</row>
    <row r="130" spans="1:30" outlineLevel="1" x14ac:dyDescent="0.25">
      <c r="A130" s="66"/>
      <c r="B130" s="84"/>
      <c r="C130" s="84"/>
      <c r="D130" s="84"/>
      <c r="E130" s="84"/>
      <c r="F130" s="84"/>
      <c r="G130" s="84"/>
      <c r="H130" s="68"/>
      <c r="I130" s="84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</row>
    <row r="131" spans="1:30" outlineLevel="1" x14ac:dyDescent="0.25">
      <c r="A131" s="71" t="s">
        <v>219</v>
      </c>
      <c r="B131" s="86">
        <v>3.5349083215796995E-2</v>
      </c>
      <c r="C131" s="86">
        <v>2.2678092270405958E-2</v>
      </c>
      <c r="D131" s="86">
        <v>1.5633008713480168E-2</v>
      </c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</row>
    <row r="132" spans="1:30" outlineLevel="1" x14ac:dyDescent="0.25">
      <c r="A132" s="66" t="s">
        <v>220</v>
      </c>
      <c r="B132" s="87">
        <v>117.45</v>
      </c>
      <c r="C132" s="87">
        <v>118.15</v>
      </c>
      <c r="D132" s="87">
        <v>118.89</v>
      </c>
      <c r="E132" s="87">
        <v>118.03</v>
      </c>
      <c r="F132" s="87">
        <v>118.86</v>
      </c>
      <c r="G132" s="87">
        <v>116.02</v>
      </c>
      <c r="H132" s="87">
        <v>118.52</v>
      </c>
      <c r="I132" s="87">
        <v>120.2</v>
      </c>
      <c r="J132" s="87">
        <v>120.86</v>
      </c>
      <c r="K132" s="88">
        <v>121.24</v>
      </c>
      <c r="L132" s="89">
        <v>123.04</v>
      </c>
      <c r="M132" s="89">
        <v>124.06</v>
      </c>
      <c r="N132" s="90">
        <v>123.96</v>
      </c>
      <c r="O132" s="90">
        <v>124.16</v>
      </c>
      <c r="P132" s="90">
        <v>127.76</v>
      </c>
      <c r="Q132" s="90">
        <v>128.02000000000001</v>
      </c>
      <c r="R132" s="90">
        <v>130.06</v>
      </c>
      <c r="S132" s="90">
        <v>131.83000000000001</v>
      </c>
      <c r="T132" s="90">
        <v>133.47</v>
      </c>
      <c r="U132" s="90">
        <v>134.1</v>
      </c>
      <c r="V132" s="90">
        <v>141.31</v>
      </c>
      <c r="W132" s="90">
        <v>144.15</v>
      </c>
      <c r="X132" s="90">
        <v>144.94</v>
      </c>
      <c r="Y132" s="90">
        <v>145.61000000000001</v>
      </c>
      <c r="Z132" s="90">
        <v>146.46</v>
      </c>
      <c r="AA132" s="90">
        <v>147.5</v>
      </c>
      <c r="AB132" s="90">
        <v>147.91</v>
      </c>
      <c r="AC132" s="90">
        <v>147.36000000000001</v>
      </c>
      <c r="AD132" s="90"/>
    </row>
    <row r="133" spans="1:30" outlineLevel="1" x14ac:dyDescent="0.25">
      <c r="A133" s="66" t="s">
        <v>221</v>
      </c>
      <c r="B133" s="81">
        <v>4.3999999999999997E-2</v>
      </c>
      <c r="C133" s="81">
        <v>4.2999999999999997E-2</v>
      </c>
      <c r="D133" s="81">
        <v>4.9000000000000002E-2</v>
      </c>
      <c r="E133" s="81">
        <v>6.3E-2</v>
      </c>
      <c r="F133" s="81">
        <v>3.6999999999999998E-2</v>
      </c>
      <c r="G133" s="81">
        <v>3.9E-2</v>
      </c>
      <c r="H133" s="81">
        <v>4.2000000000000003E-2</v>
      </c>
      <c r="I133" s="81">
        <v>0.06</v>
      </c>
      <c r="J133" s="81">
        <v>4.4999999999999998E-2</v>
      </c>
      <c r="K133" s="81">
        <v>4.9000000000000002E-2</v>
      </c>
      <c r="L133" s="81">
        <v>4.7E-2</v>
      </c>
      <c r="M133" s="81">
        <v>6.3E-2</v>
      </c>
      <c r="N133" s="81">
        <v>4.8000000000000001E-2</v>
      </c>
      <c r="O133" s="81">
        <v>5.5999999999999994E-2</v>
      </c>
      <c r="P133" s="81">
        <v>5.0999999999999997E-2</v>
      </c>
      <c r="Q133" s="81">
        <v>5.5999999999999994E-2</v>
      </c>
      <c r="R133" s="81">
        <v>0.04</v>
      </c>
      <c r="S133" s="81">
        <v>3.5000000000000003E-2</v>
      </c>
      <c r="T133" s="81">
        <v>3.6000000000000004E-2</v>
      </c>
      <c r="U133" s="81">
        <v>4.4000000000000004E-2</v>
      </c>
      <c r="V133" s="81">
        <v>3.1E-2</v>
      </c>
      <c r="W133" s="81">
        <v>2.9000000000000001E-2</v>
      </c>
      <c r="X133" s="81">
        <v>3.2000000000000001E-2</v>
      </c>
      <c r="Y133" s="81">
        <v>4.4999999999999998E-2</v>
      </c>
      <c r="Z133" s="81">
        <v>0.03</v>
      </c>
      <c r="AA133" s="81">
        <v>0.04</v>
      </c>
      <c r="AB133" s="81">
        <v>3.5999999999999997E-2</v>
      </c>
      <c r="AC133" s="81">
        <v>0.05</v>
      </c>
      <c r="AD133" s="81"/>
    </row>
    <row r="134" spans="1:30" outlineLevel="1" x14ac:dyDescent="0.25">
      <c r="A134" s="66" t="s">
        <v>222</v>
      </c>
      <c r="B134" s="66">
        <v>33958</v>
      </c>
      <c r="C134" s="66">
        <v>33924</v>
      </c>
      <c r="D134" s="66">
        <v>33898</v>
      </c>
      <c r="E134" s="66">
        <v>33875</v>
      </c>
      <c r="F134" s="66">
        <v>33669</v>
      </c>
      <c r="G134" s="66">
        <v>33695</v>
      </c>
      <c r="H134" s="66">
        <v>33712</v>
      </c>
      <c r="I134" s="66">
        <v>33659</v>
      </c>
      <c r="J134" s="66">
        <v>33588</v>
      </c>
      <c r="K134" s="65">
        <v>33606</v>
      </c>
      <c r="L134" s="65">
        <v>33640</v>
      </c>
      <c r="M134" s="65">
        <v>33651</v>
      </c>
      <c r="N134" s="65">
        <v>33514</v>
      </c>
      <c r="O134" s="65">
        <v>33386</v>
      </c>
      <c r="P134" s="65">
        <v>33251</v>
      </c>
      <c r="Q134" s="65">
        <v>33183</v>
      </c>
      <c r="R134" s="65">
        <v>33034</v>
      </c>
      <c r="S134" s="65">
        <v>32976</v>
      </c>
      <c r="T134" s="65">
        <v>32938</v>
      </c>
      <c r="U134" s="65">
        <v>32990</v>
      </c>
      <c r="V134" s="65">
        <v>32876</v>
      </c>
      <c r="W134" s="65">
        <v>32769</v>
      </c>
      <c r="X134" s="65">
        <v>32719</v>
      </c>
      <c r="Y134" s="65">
        <v>32794</v>
      </c>
      <c r="Z134" s="65">
        <v>32620</v>
      </c>
      <c r="AA134" s="65">
        <v>32550</v>
      </c>
      <c r="AB134" s="65">
        <v>32353</v>
      </c>
      <c r="AC134" s="65">
        <v>32384</v>
      </c>
      <c r="AD134" s="65"/>
    </row>
    <row r="135" spans="1:30" outlineLevel="1" x14ac:dyDescent="0.25">
      <c r="A135" s="66" t="s">
        <v>223</v>
      </c>
      <c r="B135" s="91">
        <v>2.64</v>
      </c>
      <c r="C135" s="91">
        <v>2.64</v>
      </c>
      <c r="D135" s="91">
        <v>2.65</v>
      </c>
      <c r="E135" s="91">
        <v>2.67</v>
      </c>
      <c r="F135" s="91">
        <v>2.67</v>
      </c>
      <c r="G135" s="91">
        <v>2.67</v>
      </c>
      <c r="H135" s="91">
        <v>2.67</v>
      </c>
      <c r="I135" s="91">
        <v>2.68</v>
      </c>
      <c r="J135" s="91">
        <v>2.68</v>
      </c>
      <c r="K135" s="91">
        <v>2.69</v>
      </c>
      <c r="L135" s="91">
        <v>2.7</v>
      </c>
      <c r="M135" s="91">
        <v>2.72</v>
      </c>
      <c r="N135" s="66">
        <v>2.73</v>
      </c>
      <c r="O135" s="91">
        <v>2.74</v>
      </c>
      <c r="P135" s="91">
        <v>2.75</v>
      </c>
      <c r="Q135" s="91">
        <v>2.77</v>
      </c>
      <c r="R135" s="91">
        <v>2.79</v>
      </c>
      <c r="S135" s="91">
        <v>2.8</v>
      </c>
      <c r="T135" s="91">
        <v>2.81</v>
      </c>
      <c r="U135" s="91">
        <v>2.84</v>
      </c>
      <c r="V135" s="91">
        <v>2.86</v>
      </c>
      <c r="W135" s="91">
        <v>2.87</v>
      </c>
      <c r="X135" s="91">
        <v>2.87</v>
      </c>
      <c r="Y135" s="91">
        <v>2.9</v>
      </c>
      <c r="Z135" s="91">
        <v>2.91</v>
      </c>
      <c r="AA135" s="91">
        <v>2.92</v>
      </c>
      <c r="AB135" s="91">
        <v>2.93</v>
      </c>
      <c r="AC135" s="91">
        <v>2.95</v>
      </c>
      <c r="AD135" s="91"/>
    </row>
    <row r="136" spans="1:30" outlineLevel="1" x14ac:dyDescent="0.25">
      <c r="A136" s="66" t="s">
        <v>224</v>
      </c>
      <c r="B136" s="68">
        <v>0.161</v>
      </c>
      <c r="C136" s="68">
        <v>0.16200000000000001</v>
      </c>
      <c r="D136" s="68">
        <v>0.161</v>
      </c>
      <c r="E136" s="68">
        <v>0.16200000000000001</v>
      </c>
      <c r="F136" s="68">
        <v>0.161</v>
      </c>
      <c r="G136" s="68">
        <v>0.16</v>
      </c>
      <c r="H136" s="68">
        <v>0.159</v>
      </c>
      <c r="I136" s="68">
        <v>0.16</v>
      </c>
      <c r="J136" s="68">
        <v>0.16</v>
      </c>
      <c r="K136" s="68">
        <v>0.161</v>
      </c>
      <c r="L136" s="68">
        <v>0.16200000000000001</v>
      </c>
      <c r="M136" s="68">
        <v>0.16400000000000001</v>
      </c>
      <c r="N136" s="68">
        <v>0.16600000000000001</v>
      </c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</row>
    <row r="137" spans="1:30" outlineLevel="1" x14ac:dyDescent="0.25">
      <c r="A137" s="66" t="s">
        <v>225</v>
      </c>
      <c r="B137" s="91">
        <v>44.48863636363636</v>
      </c>
      <c r="C137" s="91">
        <v>44.753787878787875</v>
      </c>
      <c r="D137" s="91">
        <v>44.864150943396226</v>
      </c>
      <c r="E137" s="91">
        <v>44.205992509363298</v>
      </c>
      <c r="F137" s="91">
        <v>44.516853932584269</v>
      </c>
      <c r="G137" s="91">
        <v>43.453183520599254</v>
      </c>
      <c r="H137" s="91">
        <v>44.389513108614231</v>
      </c>
      <c r="I137" s="91">
        <v>44.850746268656714</v>
      </c>
      <c r="J137" s="91">
        <v>45.097014925373131</v>
      </c>
      <c r="K137" s="91">
        <v>45.070631970260223</v>
      </c>
      <c r="L137" s="91">
        <v>45.57037037037037</v>
      </c>
      <c r="M137" s="91">
        <v>45.610294117647058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</row>
    <row r="138" spans="1:30" outlineLevel="1" x14ac:dyDescent="0.25">
      <c r="A138" s="66" t="s">
        <v>226</v>
      </c>
      <c r="B138" s="91">
        <v>35.700000000000003</v>
      </c>
      <c r="C138" s="91">
        <v>35.700000000000003</v>
      </c>
      <c r="D138" s="91">
        <v>35.700000000000003</v>
      </c>
      <c r="E138" s="91">
        <v>35.700000000000003</v>
      </c>
      <c r="F138" s="91">
        <v>36.414000000000001</v>
      </c>
      <c r="G138" s="91">
        <v>36.414000000000001</v>
      </c>
      <c r="H138" s="91">
        <v>36.414000000000001</v>
      </c>
      <c r="I138" s="91">
        <v>36.414000000000001</v>
      </c>
      <c r="J138" s="91">
        <v>37.14228</v>
      </c>
      <c r="K138" s="91">
        <v>37.14228</v>
      </c>
      <c r="L138" s="91">
        <v>37.14228</v>
      </c>
      <c r="M138" s="91">
        <v>37.14228</v>
      </c>
      <c r="N138" s="91">
        <v>30.89</v>
      </c>
      <c r="O138" s="91">
        <v>31.26</v>
      </c>
      <c r="P138" s="91">
        <v>31.18</v>
      </c>
      <c r="Q138" s="91">
        <v>31.53</v>
      </c>
      <c r="R138" s="91">
        <v>30.71</v>
      </c>
      <c r="S138" s="91">
        <v>31.42</v>
      </c>
      <c r="T138" s="91">
        <v>31.87</v>
      </c>
      <c r="U138" s="91">
        <v>31.87</v>
      </c>
      <c r="V138" s="91">
        <v>31.17</v>
      </c>
      <c r="W138" s="91">
        <v>30.9</v>
      </c>
      <c r="X138" s="91">
        <v>30.7</v>
      </c>
      <c r="Y138" s="91">
        <v>30.89</v>
      </c>
      <c r="Z138" s="91"/>
      <c r="AA138" s="91"/>
      <c r="AB138" s="91"/>
      <c r="AC138" s="91"/>
      <c r="AD138" s="91"/>
    </row>
    <row r="139" spans="1:30" outlineLevel="1" x14ac:dyDescent="0.25">
      <c r="A139" s="66" t="s">
        <v>227</v>
      </c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>
        <v>32.15</v>
      </c>
      <c r="S139" s="91">
        <v>32.9</v>
      </c>
      <c r="T139" s="91">
        <v>33.130000000000003</v>
      </c>
      <c r="U139" s="91">
        <v>33.11</v>
      </c>
      <c r="V139" s="91">
        <v>32.26</v>
      </c>
      <c r="W139" s="91">
        <v>32.479999999999997</v>
      </c>
      <c r="X139" s="91">
        <v>32.409999999999997</v>
      </c>
      <c r="Y139" s="91">
        <v>32.340000000000003</v>
      </c>
      <c r="Z139" s="91">
        <v>31.92</v>
      </c>
      <c r="AA139" s="91">
        <v>32.56</v>
      </c>
      <c r="AB139" s="91">
        <v>32.700000000000003</v>
      </c>
      <c r="AC139" s="91">
        <v>32.9</v>
      </c>
      <c r="AD139" s="91"/>
    </row>
    <row r="140" spans="1:30" outlineLevel="1" x14ac:dyDescent="0.25">
      <c r="A140" s="66" t="s">
        <v>228</v>
      </c>
      <c r="B140" s="91">
        <v>67.251461988304087</v>
      </c>
      <c r="C140" s="91">
        <v>62.324393358876122</v>
      </c>
      <c r="D140" s="91">
        <v>47.88808178638687</v>
      </c>
      <c r="E140" s="91">
        <v>38.846043987432161</v>
      </c>
      <c r="F140" s="91">
        <v>40.552995391705075</v>
      </c>
      <c r="G140" s="91">
        <v>38.675843985578503</v>
      </c>
      <c r="H140" s="91">
        <v>27.548209366391184</v>
      </c>
      <c r="I140" s="91">
        <v>23.289665211062587</v>
      </c>
      <c r="J140" s="91">
        <v>20.177562550443906</v>
      </c>
      <c r="K140" s="91">
        <v>16.58374792703151</v>
      </c>
      <c r="L140" s="91">
        <v>14.053579270970577</v>
      </c>
      <c r="M140" s="91">
        <v>10.256410256410257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</row>
    <row r="141" spans="1:30" outlineLevel="1" x14ac:dyDescent="0.25">
      <c r="A141" s="67" t="s">
        <v>229</v>
      </c>
      <c r="B141" s="67">
        <v>90978.459000000003</v>
      </c>
      <c r="C141" s="67">
        <v>91223.459000000003</v>
      </c>
      <c r="D141" s="67">
        <v>91667.459000000003</v>
      </c>
      <c r="E141" s="67">
        <v>92457.459000000003</v>
      </c>
      <c r="F141" s="67">
        <v>92389.459000000003</v>
      </c>
      <c r="G141" s="67">
        <v>92562.459000000003</v>
      </c>
      <c r="H141" s="67">
        <v>92845.459000000003</v>
      </c>
      <c r="I141" s="67">
        <v>93124.459000000003</v>
      </c>
      <c r="J141" s="67">
        <v>92946.459000000003</v>
      </c>
      <c r="K141" s="67">
        <v>93221.459000000003</v>
      </c>
      <c r="L141" s="67">
        <v>93650.459000000003</v>
      </c>
      <c r="M141" s="67">
        <v>94265.459000000003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</row>
    <row r="142" spans="1:30" outlineLevel="1" x14ac:dyDescent="0.25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</row>
    <row r="143" spans="1:30" outlineLevel="1" x14ac:dyDescent="0.25">
      <c r="A143" s="54" t="s">
        <v>148</v>
      </c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</row>
    <row r="144" spans="1:30" outlineLevel="1" x14ac:dyDescent="0.25">
      <c r="A144" s="71" t="s">
        <v>219</v>
      </c>
      <c r="B144" s="86">
        <v>3.5349083215796995E-2</v>
      </c>
      <c r="C144" s="86">
        <v>2.2678092270405958E-2</v>
      </c>
      <c r="D144" s="86">
        <v>1.5633008713480168E-2</v>
      </c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</row>
    <row r="145" spans="1:30" outlineLevel="1" x14ac:dyDescent="0.25">
      <c r="A145" s="66" t="s">
        <v>220</v>
      </c>
      <c r="B145" s="87">
        <v>117.45</v>
      </c>
      <c r="C145" s="87">
        <v>118.15</v>
      </c>
      <c r="D145" s="87">
        <v>118.89</v>
      </c>
      <c r="E145" s="87">
        <v>118.03</v>
      </c>
      <c r="F145" s="87">
        <v>118.86</v>
      </c>
      <c r="G145" s="87">
        <v>116.02</v>
      </c>
      <c r="H145" s="87">
        <v>118.52</v>
      </c>
      <c r="I145" s="87">
        <v>120.2</v>
      </c>
      <c r="J145" s="87">
        <v>120.86</v>
      </c>
      <c r="K145" s="88">
        <v>121.24</v>
      </c>
      <c r="L145" s="89">
        <v>123.04</v>
      </c>
      <c r="M145" s="89">
        <v>124.06</v>
      </c>
      <c r="N145" s="90">
        <v>123.96</v>
      </c>
      <c r="O145" s="90">
        <v>124.16</v>
      </c>
      <c r="P145" s="90">
        <v>127.76</v>
      </c>
      <c r="Q145" s="90">
        <v>128.02000000000001</v>
      </c>
      <c r="R145" s="90">
        <v>130.06</v>
      </c>
      <c r="S145" s="90">
        <v>131.83000000000001</v>
      </c>
      <c r="T145" s="90">
        <v>133.47</v>
      </c>
      <c r="U145" s="90">
        <v>134.1</v>
      </c>
      <c r="V145" s="90">
        <v>135.75</v>
      </c>
      <c r="W145" s="90">
        <v>138.44</v>
      </c>
      <c r="X145" s="90">
        <v>139.06</v>
      </c>
      <c r="Y145" s="90">
        <v>139.77000000000001</v>
      </c>
      <c r="Z145" s="90">
        <v>146.46</v>
      </c>
      <c r="AA145" s="90"/>
      <c r="AB145" s="90"/>
      <c r="AC145" s="90"/>
      <c r="AD145" s="90"/>
    </row>
    <row r="146" spans="1:30" outlineLevel="1" x14ac:dyDescent="0.25">
      <c r="A146" s="66" t="s">
        <v>221</v>
      </c>
      <c r="B146" s="81">
        <v>4.3999999999999997E-2</v>
      </c>
      <c r="C146" s="81">
        <v>4.2999999999999997E-2</v>
      </c>
      <c r="D146" s="81">
        <v>4.9000000000000002E-2</v>
      </c>
      <c r="E146" s="81">
        <v>6.3E-2</v>
      </c>
      <c r="F146" s="81">
        <v>3.6999999999999998E-2</v>
      </c>
      <c r="G146" s="81">
        <v>3.9E-2</v>
      </c>
      <c r="H146" s="81">
        <v>4.2000000000000003E-2</v>
      </c>
      <c r="I146" s="81">
        <v>0.06</v>
      </c>
      <c r="J146" s="81">
        <v>4.4999999999999998E-2</v>
      </c>
      <c r="K146" s="81">
        <v>4.9000000000000002E-2</v>
      </c>
      <c r="L146" s="81">
        <v>4.7E-2</v>
      </c>
      <c r="M146" s="81">
        <v>6.3E-2</v>
      </c>
      <c r="N146" s="81">
        <v>4.8000000000000001E-2</v>
      </c>
      <c r="O146" s="81">
        <v>5.5999999999999994E-2</v>
      </c>
      <c r="P146" s="81">
        <v>5.0999999999999997E-2</v>
      </c>
      <c r="Q146" s="81">
        <v>5.5999999999999994E-2</v>
      </c>
      <c r="R146" s="81">
        <v>0.04</v>
      </c>
      <c r="S146" s="81">
        <v>3.5000000000000003E-2</v>
      </c>
      <c r="T146" s="81">
        <v>3.6000000000000004E-2</v>
      </c>
      <c r="U146" s="81">
        <v>4.4000000000000004E-2</v>
      </c>
      <c r="V146" s="81">
        <v>3.1E-2</v>
      </c>
      <c r="W146" s="81">
        <v>2.9000000000000001E-2</v>
      </c>
      <c r="X146" s="81">
        <v>3.2000000000000001E-2</v>
      </c>
      <c r="Y146" s="81">
        <v>4.4999999999999998E-2</v>
      </c>
      <c r="Z146" s="81">
        <v>0.03</v>
      </c>
      <c r="AA146" s="81"/>
      <c r="AB146" s="81"/>
      <c r="AC146" s="81"/>
      <c r="AD146" s="81"/>
    </row>
    <row r="147" spans="1:30" outlineLevel="1" x14ac:dyDescent="0.25">
      <c r="A147" s="66" t="s">
        <v>222</v>
      </c>
      <c r="B147" s="66">
        <v>33958</v>
      </c>
      <c r="C147" s="66">
        <v>33924</v>
      </c>
      <c r="D147" s="66">
        <v>33898</v>
      </c>
      <c r="E147" s="66">
        <v>33875</v>
      </c>
      <c r="F147" s="66">
        <v>33669</v>
      </c>
      <c r="G147" s="66">
        <v>33695</v>
      </c>
      <c r="H147" s="66">
        <v>33712</v>
      </c>
      <c r="I147" s="66">
        <v>33659</v>
      </c>
      <c r="J147" s="66">
        <v>33588</v>
      </c>
      <c r="K147" s="65">
        <v>33606</v>
      </c>
      <c r="L147" s="65">
        <v>33640</v>
      </c>
      <c r="M147" s="65">
        <v>33651</v>
      </c>
      <c r="N147" s="65">
        <v>33514</v>
      </c>
      <c r="O147" s="65">
        <v>33386</v>
      </c>
      <c r="P147" s="65">
        <v>33251</v>
      </c>
      <c r="Q147" s="65">
        <v>33183</v>
      </c>
      <c r="R147" s="65">
        <v>33034</v>
      </c>
      <c r="S147" s="65">
        <v>32976</v>
      </c>
      <c r="T147" s="65">
        <v>32938</v>
      </c>
      <c r="U147" s="65">
        <v>32990</v>
      </c>
      <c r="V147" s="65">
        <v>32876</v>
      </c>
      <c r="W147" s="65">
        <v>32769</v>
      </c>
      <c r="X147" s="65">
        <v>32719</v>
      </c>
      <c r="Y147" s="65">
        <v>32794</v>
      </c>
      <c r="Z147" s="65">
        <v>32620</v>
      </c>
      <c r="AA147" s="65"/>
      <c r="AB147" s="65"/>
      <c r="AC147" s="65"/>
      <c r="AD147" s="65"/>
    </row>
    <row r="148" spans="1:30" outlineLevel="1" x14ac:dyDescent="0.25">
      <c r="A148" s="66" t="s">
        <v>223</v>
      </c>
      <c r="B148" s="91">
        <v>2.64</v>
      </c>
      <c r="C148" s="91">
        <v>2.64</v>
      </c>
      <c r="D148" s="91">
        <v>2.65</v>
      </c>
      <c r="E148" s="91">
        <v>2.67</v>
      </c>
      <c r="F148" s="91">
        <v>2.67</v>
      </c>
      <c r="G148" s="91">
        <v>2.67</v>
      </c>
      <c r="H148" s="91">
        <v>2.67</v>
      </c>
      <c r="I148" s="91">
        <v>2.68</v>
      </c>
      <c r="J148" s="91">
        <v>2.68</v>
      </c>
      <c r="K148" s="91">
        <v>2.69</v>
      </c>
      <c r="L148" s="91">
        <v>2.7</v>
      </c>
      <c r="M148" s="91">
        <v>2.72</v>
      </c>
      <c r="N148" s="66">
        <v>2.73</v>
      </c>
      <c r="O148" s="91">
        <v>2.74</v>
      </c>
      <c r="P148" s="91">
        <v>2.75</v>
      </c>
      <c r="Q148" s="91">
        <v>2.77</v>
      </c>
      <c r="R148" s="91">
        <v>2.79</v>
      </c>
      <c r="S148" s="91">
        <v>2.8</v>
      </c>
      <c r="T148" s="91">
        <v>2.81</v>
      </c>
      <c r="U148" s="91">
        <v>2.84</v>
      </c>
      <c r="V148" s="91">
        <v>2.86</v>
      </c>
      <c r="W148" s="91">
        <v>2.87</v>
      </c>
      <c r="X148" s="91">
        <v>2.87</v>
      </c>
      <c r="Y148" s="91">
        <v>2.9</v>
      </c>
      <c r="Z148" s="91">
        <v>2.91</v>
      </c>
      <c r="AA148" s="91"/>
      <c r="AB148" s="91"/>
      <c r="AC148" s="91"/>
      <c r="AD148" s="91"/>
    </row>
    <row r="149" spans="1:30" outlineLevel="1" x14ac:dyDescent="0.25">
      <c r="A149" s="66" t="s">
        <v>224</v>
      </c>
      <c r="B149" s="68">
        <v>0.161</v>
      </c>
      <c r="C149" s="68">
        <v>0.16200000000000001</v>
      </c>
      <c r="D149" s="68">
        <v>0.161</v>
      </c>
      <c r="E149" s="68">
        <v>0.16200000000000001</v>
      </c>
      <c r="F149" s="68">
        <v>0.161</v>
      </c>
      <c r="G149" s="68">
        <v>0.16</v>
      </c>
      <c r="H149" s="68">
        <v>0.159</v>
      </c>
      <c r="I149" s="68">
        <v>0.16</v>
      </c>
      <c r="J149" s="68">
        <v>0.16</v>
      </c>
      <c r="K149" s="68">
        <v>0.161</v>
      </c>
      <c r="L149" s="68">
        <v>0.16200000000000001</v>
      </c>
      <c r="M149" s="68">
        <v>0.16400000000000001</v>
      </c>
      <c r="N149" s="68">
        <v>0.16600000000000001</v>
      </c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</row>
    <row r="150" spans="1:30" outlineLevel="1" x14ac:dyDescent="0.25">
      <c r="A150" s="66" t="s">
        <v>225</v>
      </c>
      <c r="B150" s="91">
        <v>44.48863636363636</v>
      </c>
      <c r="C150" s="91">
        <v>44.753787878787875</v>
      </c>
      <c r="D150" s="91">
        <v>44.864150943396226</v>
      </c>
      <c r="E150" s="91">
        <v>44.205992509363298</v>
      </c>
      <c r="F150" s="91">
        <v>44.516853932584269</v>
      </c>
      <c r="G150" s="91">
        <v>43.453183520599254</v>
      </c>
      <c r="H150" s="91">
        <v>44.389513108614231</v>
      </c>
      <c r="I150" s="91">
        <v>44.850746268656714</v>
      </c>
      <c r="J150" s="91">
        <v>45.097014925373131</v>
      </c>
      <c r="K150" s="91">
        <v>45.070631970260223</v>
      </c>
      <c r="L150" s="91">
        <v>45.57037037037037</v>
      </c>
      <c r="M150" s="91">
        <v>45.610294117647058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</row>
    <row r="151" spans="1:30" outlineLevel="1" x14ac:dyDescent="0.25">
      <c r="A151" s="66" t="s">
        <v>226</v>
      </c>
      <c r="B151" s="91">
        <v>35.700000000000003</v>
      </c>
      <c r="C151" s="91">
        <v>35.700000000000003</v>
      </c>
      <c r="D151" s="91">
        <v>35.700000000000003</v>
      </c>
      <c r="E151" s="91">
        <v>35.700000000000003</v>
      </c>
      <c r="F151" s="91">
        <v>36.414000000000001</v>
      </c>
      <c r="G151" s="91">
        <v>36.414000000000001</v>
      </c>
      <c r="H151" s="91">
        <v>36.414000000000001</v>
      </c>
      <c r="I151" s="91">
        <v>36.414000000000001</v>
      </c>
      <c r="J151" s="91">
        <v>37.14228</v>
      </c>
      <c r="K151" s="91">
        <v>37.14228</v>
      </c>
      <c r="L151" s="91">
        <v>37.14228</v>
      </c>
      <c r="M151" s="91">
        <v>37.14228</v>
      </c>
      <c r="N151" s="91">
        <v>30.89</v>
      </c>
      <c r="O151" s="91">
        <v>31.26</v>
      </c>
      <c r="P151" s="91">
        <v>31.18</v>
      </c>
      <c r="Q151" s="91">
        <v>31.53</v>
      </c>
      <c r="R151" s="91">
        <v>30.71</v>
      </c>
      <c r="S151" s="91">
        <v>31.42</v>
      </c>
      <c r="T151" s="91">
        <v>31.87</v>
      </c>
      <c r="U151" s="91">
        <v>31.87</v>
      </c>
      <c r="V151" s="91">
        <v>31.17</v>
      </c>
      <c r="W151" s="91">
        <v>30.9</v>
      </c>
      <c r="X151" s="91">
        <v>30.7</v>
      </c>
      <c r="Y151" s="91">
        <v>30.89</v>
      </c>
      <c r="Z151" s="91"/>
      <c r="AA151" s="91"/>
      <c r="AB151" s="91"/>
      <c r="AC151" s="91"/>
      <c r="AD151" s="91"/>
    </row>
    <row r="152" spans="1:30" outlineLevel="1" x14ac:dyDescent="0.25">
      <c r="A152" s="66" t="s">
        <v>227</v>
      </c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>
        <v>32.15</v>
      </c>
      <c r="S152" s="91">
        <v>32.9</v>
      </c>
      <c r="T152" s="91">
        <v>33.130000000000003</v>
      </c>
      <c r="U152" s="91">
        <v>33.11</v>
      </c>
      <c r="V152" s="91">
        <v>32.26</v>
      </c>
      <c r="W152" s="91">
        <v>32.479999999999997</v>
      </c>
      <c r="X152" s="91">
        <v>32.409999999999997</v>
      </c>
      <c r="Y152" s="91">
        <v>32.340000000000003</v>
      </c>
      <c r="Z152" s="91">
        <v>31.92</v>
      </c>
      <c r="AA152" s="91"/>
      <c r="AB152" s="91"/>
      <c r="AC152" s="91"/>
      <c r="AD152" s="91"/>
    </row>
    <row r="153" spans="1:30" outlineLevel="1" x14ac:dyDescent="0.25">
      <c r="A153" s="66" t="s">
        <v>228</v>
      </c>
      <c r="B153" s="91">
        <v>67.251461988304087</v>
      </c>
      <c r="C153" s="91">
        <v>62.324393358876122</v>
      </c>
      <c r="D153" s="91">
        <v>47.88808178638687</v>
      </c>
      <c r="E153" s="91">
        <v>38.846043987432161</v>
      </c>
      <c r="F153" s="91">
        <v>40.552995391705075</v>
      </c>
      <c r="G153" s="91">
        <v>38.675843985578503</v>
      </c>
      <c r="H153" s="91">
        <v>27.548209366391184</v>
      </c>
      <c r="I153" s="91">
        <v>23.289665211062587</v>
      </c>
      <c r="J153" s="91">
        <v>20.177562550443906</v>
      </c>
      <c r="K153" s="91">
        <v>16.58374792703151</v>
      </c>
      <c r="L153" s="91">
        <v>14.053579270970577</v>
      </c>
      <c r="M153" s="91">
        <v>10.256410256410257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</row>
    <row r="154" spans="1:30" outlineLevel="1" x14ac:dyDescent="0.25">
      <c r="A154" s="67" t="s">
        <v>229</v>
      </c>
      <c r="B154" s="67">
        <v>90978.459000000003</v>
      </c>
      <c r="C154" s="67">
        <v>91223.459000000003</v>
      </c>
      <c r="D154" s="67">
        <v>91667.459000000003</v>
      </c>
      <c r="E154" s="67">
        <v>92457.459000000003</v>
      </c>
      <c r="F154" s="67">
        <v>92389.459000000003</v>
      </c>
      <c r="G154" s="67">
        <v>92562.459000000003</v>
      </c>
      <c r="H154" s="67">
        <v>92845.459000000003</v>
      </c>
      <c r="I154" s="67">
        <v>93124.459000000003</v>
      </c>
      <c r="J154" s="67">
        <v>92946.459000000003</v>
      </c>
      <c r="K154" s="67">
        <v>93221.459000000003</v>
      </c>
      <c r="L154" s="67">
        <v>93650.459000000003</v>
      </c>
      <c r="M154" s="67">
        <v>94265.459000000003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</row>
    <row r="155" spans="1:30" outlineLevel="1" x14ac:dyDescent="0.2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</row>
    <row r="156" spans="1:30" x14ac:dyDescent="0.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</row>
    <row r="157" spans="1:30" s="3" customFormat="1" x14ac:dyDescent="0.25">
      <c r="A157" s="6" t="s">
        <v>155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outlineLevel="1" x14ac:dyDescent="0.25">
      <c r="A158" s="71" t="s">
        <v>174</v>
      </c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</row>
    <row r="159" spans="1:30" outlineLevel="1" x14ac:dyDescent="0.25">
      <c r="A159" s="66" t="s">
        <v>230</v>
      </c>
      <c r="B159" s="67">
        <v>23827</v>
      </c>
      <c r="C159" s="67">
        <v>24221</v>
      </c>
      <c r="D159" s="67">
        <v>24732</v>
      </c>
      <c r="E159" s="65">
        <v>25217</v>
      </c>
      <c r="F159" s="65">
        <v>25658</v>
      </c>
      <c r="G159" s="65">
        <v>25897</v>
      </c>
      <c r="H159" s="65">
        <v>26223</v>
      </c>
      <c r="I159" s="65">
        <v>26507</v>
      </c>
      <c r="J159" s="65">
        <v>26621</v>
      </c>
      <c r="K159" s="65">
        <v>26740</v>
      </c>
      <c r="L159" s="65">
        <v>26998</v>
      </c>
      <c r="M159" s="65">
        <v>27411</v>
      </c>
      <c r="N159" s="65">
        <v>27809</v>
      </c>
      <c r="O159" s="65">
        <v>28208</v>
      </c>
      <c r="P159" s="65">
        <v>28584</v>
      </c>
      <c r="Q159" s="65">
        <v>28733</v>
      </c>
      <c r="R159" s="65">
        <v>28820</v>
      </c>
      <c r="S159" s="65">
        <v>29105</v>
      </c>
      <c r="T159" s="65">
        <v>29455</v>
      </c>
      <c r="U159" s="65">
        <v>29779</v>
      </c>
      <c r="V159" s="65">
        <v>29947</v>
      </c>
      <c r="W159" s="65">
        <v>30230</v>
      </c>
      <c r="X159" s="65">
        <v>30532</v>
      </c>
      <c r="Y159" s="65">
        <v>30819</v>
      </c>
      <c r="Z159" s="65">
        <v>30890</v>
      </c>
      <c r="AA159" s="65">
        <v>30947</v>
      </c>
      <c r="AB159" s="65">
        <v>31043</v>
      </c>
      <c r="AC159" s="65">
        <v>31027</v>
      </c>
      <c r="AD159" s="65"/>
    </row>
    <row r="160" spans="1:30" outlineLevel="1" x14ac:dyDescent="0.25">
      <c r="A160" s="66" t="s">
        <v>231</v>
      </c>
      <c r="B160" s="67"/>
      <c r="C160" s="67"/>
      <c r="D160" s="67"/>
      <c r="E160" s="65"/>
      <c r="F160" s="65"/>
      <c r="G160" s="65"/>
      <c r="H160" s="65"/>
      <c r="I160" s="65"/>
      <c r="J160" s="65"/>
      <c r="K160" s="69">
        <v>16708</v>
      </c>
      <c r="L160" s="69">
        <v>16866</v>
      </c>
      <c r="M160" s="69">
        <v>17103</v>
      </c>
      <c r="N160" s="69">
        <v>17353</v>
      </c>
      <c r="O160" s="69">
        <v>17586</v>
      </c>
      <c r="P160" s="69">
        <v>17795</v>
      </c>
      <c r="Q160" s="69">
        <v>17782</v>
      </c>
      <c r="R160" s="69">
        <v>17703</v>
      </c>
      <c r="S160" s="69">
        <v>17856</v>
      </c>
      <c r="T160" s="69">
        <v>18019</v>
      </c>
      <c r="U160" s="69">
        <v>18170</v>
      </c>
      <c r="V160" s="69">
        <v>18295</v>
      </c>
      <c r="W160" s="69">
        <v>18445</v>
      </c>
      <c r="X160" s="69">
        <v>18603</v>
      </c>
      <c r="Y160" s="69">
        <v>18745</v>
      </c>
      <c r="Z160" s="69">
        <v>18808</v>
      </c>
      <c r="AA160" s="69">
        <v>18848</v>
      </c>
      <c r="AB160" s="69">
        <v>18882</v>
      </c>
      <c r="AC160" s="69">
        <v>18944</v>
      </c>
      <c r="AD160" s="69"/>
    </row>
    <row r="161" spans="1:30" outlineLevel="1" x14ac:dyDescent="0.25">
      <c r="A161" s="66"/>
      <c r="B161" s="67"/>
      <c r="C161" s="67"/>
      <c r="D161" s="67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</row>
    <row r="162" spans="1:30" outlineLevel="1" x14ac:dyDescent="0.25">
      <c r="A162" s="66" t="s">
        <v>180</v>
      </c>
      <c r="B162" s="67">
        <v>76</v>
      </c>
      <c r="C162" s="67">
        <v>76</v>
      </c>
      <c r="D162" s="67">
        <v>77</v>
      </c>
      <c r="E162" s="67">
        <v>77</v>
      </c>
      <c r="F162" s="65">
        <v>77</v>
      </c>
      <c r="G162" s="65">
        <v>75</v>
      </c>
      <c r="H162" s="65">
        <v>74</v>
      </c>
      <c r="I162" s="65">
        <v>73</v>
      </c>
      <c r="J162" s="65">
        <v>73</v>
      </c>
      <c r="K162" s="65">
        <v>72</v>
      </c>
      <c r="L162" s="65">
        <v>72</v>
      </c>
      <c r="M162" s="65">
        <v>71</v>
      </c>
      <c r="N162" s="65">
        <v>71</v>
      </c>
      <c r="O162" s="65">
        <v>70</v>
      </c>
      <c r="P162" s="65">
        <v>69</v>
      </c>
      <c r="Q162" s="65">
        <v>67</v>
      </c>
      <c r="R162" s="65">
        <v>65</v>
      </c>
      <c r="S162" s="65">
        <v>64</v>
      </c>
      <c r="T162" s="65">
        <v>63</v>
      </c>
      <c r="U162" s="65">
        <v>61</v>
      </c>
      <c r="V162" s="65">
        <v>59</v>
      </c>
      <c r="W162" s="65">
        <v>58</v>
      </c>
      <c r="X162" s="65">
        <v>56</v>
      </c>
      <c r="Y162" s="65">
        <v>54</v>
      </c>
      <c r="Z162" s="65">
        <v>52</v>
      </c>
      <c r="AA162" s="65">
        <v>51</v>
      </c>
      <c r="AB162" s="65">
        <v>49</v>
      </c>
      <c r="AC162" s="65">
        <v>47</v>
      </c>
      <c r="AD162" s="65"/>
    </row>
    <row r="163" spans="1:30" outlineLevel="1" x14ac:dyDescent="0.25">
      <c r="A163" s="66" t="s">
        <v>181</v>
      </c>
      <c r="B163" s="67">
        <v>311</v>
      </c>
      <c r="C163" s="67">
        <v>316</v>
      </c>
      <c r="D163" s="67">
        <v>322</v>
      </c>
      <c r="E163" s="67">
        <v>326</v>
      </c>
      <c r="F163" s="67">
        <v>330</v>
      </c>
      <c r="G163" s="67">
        <v>327</v>
      </c>
      <c r="H163" s="67">
        <v>332</v>
      </c>
      <c r="I163" s="67">
        <v>335</v>
      </c>
      <c r="J163" s="67">
        <v>339</v>
      </c>
      <c r="K163" s="67">
        <v>346</v>
      </c>
      <c r="L163" s="67">
        <v>352</v>
      </c>
      <c r="M163" s="67">
        <v>356</v>
      </c>
      <c r="N163" s="67">
        <v>361</v>
      </c>
      <c r="O163" s="67">
        <v>367</v>
      </c>
      <c r="P163" s="67">
        <v>370</v>
      </c>
      <c r="Q163" s="67">
        <v>373</v>
      </c>
      <c r="R163" s="67">
        <v>377</v>
      </c>
      <c r="S163" s="67">
        <v>380</v>
      </c>
      <c r="T163" s="67">
        <v>383</v>
      </c>
      <c r="U163" s="67">
        <v>385</v>
      </c>
      <c r="V163" s="67">
        <v>389</v>
      </c>
      <c r="W163" s="67">
        <v>393</v>
      </c>
      <c r="X163" s="67">
        <v>397</v>
      </c>
      <c r="Y163" s="67">
        <v>401</v>
      </c>
      <c r="Z163" s="67">
        <v>405</v>
      </c>
      <c r="AA163" s="67">
        <v>409</v>
      </c>
      <c r="AB163" s="67">
        <v>411</v>
      </c>
      <c r="AC163" s="67">
        <v>413</v>
      </c>
      <c r="AD163" s="67"/>
    </row>
    <row r="164" spans="1:30" outlineLevel="1" x14ac:dyDescent="0.25">
      <c r="A164" s="66" t="s">
        <v>183</v>
      </c>
      <c r="B164" s="67">
        <v>387</v>
      </c>
      <c r="C164" s="67">
        <v>392</v>
      </c>
      <c r="D164" s="67">
        <v>399</v>
      </c>
      <c r="E164" s="65">
        <v>403</v>
      </c>
      <c r="F164" s="65">
        <v>407</v>
      </c>
      <c r="G164" s="65">
        <v>402</v>
      </c>
      <c r="H164" s="65">
        <v>406</v>
      </c>
      <c r="I164" s="65">
        <v>408</v>
      </c>
      <c r="J164" s="65">
        <v>412</v>
      </c>
      <c r="K164" s="65">
        <v>418</v>
      </c>
      <c r="L164" s="65">
        <v>424</v>
      </c>
      <c r="M164" s="65">
        <v>427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</row>
    <row r="165" spans="1:30" outlineLevel="1" x14ac:dyDescent="0.25">
      <c r="A165" s="66" t="s">
        <v>185</v>
      </c>
      <c r="B165" s="67"/>
      <c r="C165" s="67"/>
      <c r="D165" s="67"/>
      <c r="E165" s="65"/>
      <c r="F165" s="65"/>
      <c r="G165" s="65"/>
      <c r="H165" s="65"/>
      <c r="I165" s="65"/>
      <c r="J165" s="65">
        <v>32</v>
      </c>
      <c r="K165" s="65">
        <v>43</v>
      </c>
      <c r="L165" s="65">
        <v>76</v>
      </c>
      <c r="M165" s="65">
        <v>122</v>
      </c>
      <c r="N165" s="65">
        <v>217</v>
      </c>
      <c r="O165" s="65">
        <v>316</v>
      </c>
      <c r="P165" s="65">
        <v>442</v>
      </c>
      <c r="Q165" s="65">
        <v>568</v>
      </c>
      <c r="R165" s="65">
        <v>726</v>
      </c>
      <c r="S165" s="65">
        <v>870</v>
      </c>
      <c r="T165" s="65">
        <v>1038</v>
      </c>
      <c r="U165" s="65">
        <v>1201</v>
      </c>
      <c r="V165" s="67">
        <v>1358</v>
      </c>
      <c r="W165" s="67">
        <v>1523</v>
      </c>
      <c r="X165" s="67">
        <v>1698</v>
      </c>
      <c r="Y165" s="67">
        <v>1854</v>
      </c>
      <c r="Z165" s="67">
        <v>1931</v>
      </c>
      <c r="AA165" s="67">
        <v>2035</v>
      </c>
      <c r="AB165" s="67">
        <v>2193</v>
      </c>
      <c r="AC165" s="67">
        <v>2320</v>
      </c>
      <c r="AD165" s="67"/>
    </row>
    <row r="166" spans="1:30" outlineLevel="1" x14ac:dyDescent="0.25">
      <c r="A166" s="66" t="s">
        <v>202</v>
      </c>
      <c r="B166" s="67">
        <v>497</v>
      </c>
      <c r="C166" s="67">
        <v>494</v>
      </c>
      <c r="D166" s="67">
        <v>492</v>
      </c>
      <c r="E166" s="65">
        <v>489</v>
      </c>
      <c r="F166" s="65">
        <v>501</v>
      </c>
      <c r="G166" s="65">
        <v>491</v>
      </c>
      <c r="H166" s="65">
        <v>488</v>
      </c>
      <c r="I166" s="65">
        <v>482</v>
      </c>
      <c r="J166" s="65">
        <v>480</v>
      </c>
      <c r="K166" s="65">
        <v>480</v>
      </c>
      <c r="L166" s="65">
        <v>479</v>
      </c>
      <c r="M166" s="65">
        <v>477</v>
      </c>
      <c r="N166" s="65">
        <v>475</v>
      </c>
      <c r="O166" s="65">
        <v>474</v>
      </c>
      <c r="P166" s="65">
        <v>471</v>
      </c>
      <c r="Q166" s="65">
        <v>468</v>
      </c>
      <c r="R166" s="65">
        <v>466</v>
      </c>
      <c r="S166" s="65">
        <v>464</v>
      </c>
      <c r="T166" s="65">
        <v>461</v>
      </c>
      <c r="U166" s="65">
        <v>460</v>
      </c>
      <c r="V166" s="67">
        <v>458</v>
      </c>
      <c r="W166" s="67">
        <v>458</v>
      </c>
      <c r="X166" s="67">
        <v>459</v>
      </c>
      <c r="Y166" s="67">
        <v>459</v>
      </c>
      <c r="Z166" s="67">
        <v>459</v>
      </c>
      <c r="AA166" s="67">
        <v>458</v>
      </c>
      <c r="AB166" s="67">
        <v>456</v>
      </c>
      <c r="AC166" s="67">
        <v>452</v>
      </c>
      <c r="AD166" s="67"/>
    </row>
    <row r="167" spans="1:30" outlineLevel="1" x14ac:dyDescent="0.25">
      <c r="A167" s="66" t="s">
        <v>203</v>
      </c>
      <c r="B167" s="65">
        <f t="shared" ref="B167:I167" si="8">B165+B166</f>
        <v>497</v>
      </c>
      <c r="C167" s="65">
        <f t="shared" si="8"/>
        <v>494</v>
      </c>
      <c r="D167" s="65">
        <f t="shared" si="8"/>
        <v>492</v>
      </c>
      <c r="E167" s="65">
        <f t="shared" si="8"/>
        <v>489</v>
      </c>
      <c r="F167" s="65">
        <f t="shared" si="8"/>
        <v>501</v>
      </c>
      <c r="G167" s="65">
        <f t="shared" si="8"/>
        <v>491</v>
      </c>
      <c r="H167" s="65">
        <f t="shared" si="8"/>
        <v>488</v>
      </c>
      <c r="I167" s="65">
        <f t="shared" si="8"/>
        <v>482</v>
      </c>
      <c r="J167" s="65">
        <f>J165+J166</f>
        <v>512</v>
      </c>
      <c r="K167" s="65">
        <f>K165+K166</f>
        <v>523</v>
      </c>
      <c r="L167" s="65">
        <f>L165+L166</f>
        <v>555</v>
      </c>
      <c r="M167" s="65">
        <f>M165+M166</f>
        <v>599</v>
      </c>
      <c r="N167" s="65">
        <f>N165+N166</f>
        <v>692</v>
      </c>
      <c r="O167" s="65">
        <v>790</v>
      </c>
      <c r="P167" s="65">
        <v>913</v>
      </c>
      <c r="Q167" s="65">
        <v>1036</v>
      </c>
      <c r="R167" s="65">
        <v>1192</v>
      </c>
      <c r="S167" s="65">
        <v>1334</v>
      </c>
      <c r="T167" s="65">
        <v>1499</v>
      </c>
      <c r="U167" s="65">
        <v>1661</v>
      </c>
      <c r="V167" s="67">
        <v>1816</v>
      </c>
      <c r="W167" s="67">
        <v>1981</v>
      </c>
      <c r="X167" s="67">
        <v>2157</v>
      </c>
      <c r="Y167" s="67">
        <f>SUM(Y165:Y166)</f>
        <v>2313</v>
      </c>
      <c r="Z167" s="67">
        <v>2390</v>
      </c>
      <c r="AA167" s="67">
        <v>2493</v>
      </c>
      <c r="AB167" s="67">
        <v>2649</v>
      </c>
      <c r="AC167" s="67">
        <v>2772</v>
      </c>
      <c r="AD167" s="67"/>
    </row>
    <row r="168" spans="1:30" outlineLevel="1" x14ac:dyDescent="0.25">
      <c r="A168" s="66"/>
      <c r="B168" s="67"/>
      <c r="C168" s="67"/>
      <c r="D168" s="67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</row>
    <row r="169" spans="1:30" outlineLevel="1" x14ac:dyDescent="0.25">
      <c r="A169" s="66" t="s">
        <v>232</v>
      </c>
      <c r="B169" s="67">
        <v>5269</v>
      </c>
      <c r="C169" s="67">
        <v>5163</v>
      </c>
      <c r="D169" s="67">
        <v>5058</v>
      </c>
      <c r="E169" s="65">
        <v>4959</v>
      </c>
      <c r="F169" s="65">
        <v>4860</v>
      </c>
      <c r="G169" s="65">
        <v>4758</v>
      </c>
      <c r="H169" s="65">
        <v>4668</v>
      </c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</row>
    <row r="170" spans="1:30" outlineLevel="1" x14ac:dyDescent="0.25">
      <c r="A170" s="66" t="s">
        <v>233</v>
      </c>
      <c r="B170" s="67">
        <v>110</v>
      </c>
      <c r="C170" s="67">
        <v>102</v>
      </c>
      <c r="D170" s="67">
        <v>93</v>
      </c>
      <c r="E170" s="65">
        <v>86</v>
      </c>
      <c r="F170" s="65">
        <v>94</v>
      </c>
      <c r="G170" s="65">
        <v>89</v>
      </c>
      <c r="H170" s="65">
        <v>82</v>
      </c>
      <c r="I170" s="65">
        <v>74</v>
      </c>
      <c r="J170" s="65">
        <v>68</v>
      </c>
      <c r="K170" s="65">
        <v>62</v>
      </c>
      <c r="L170" s="65">
        <v>55</v>
      </c>
      <c r="M170" s="65">
        <v>50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</row>
    <row r="171" spans="1:30" outlineLevel="1" x14ac:dyDescent="0.25">
      <c r="A171" s="66"/>
      <c r="B171" s="67"/>
      <c r="C171" s="67"/>
      <c r="D171" s="67"/>
      <c r="E171" s="65"/>
      <c r="F171" s="65"/>
      <c r="G171" s="65"/>
      <c r="H171" s="65"/>
      <c r="I171" s="65"/>
      <c r="J171" s="65"/>
      <c r="K171" s="65"/>
      <c r="L171" s="65"/>
      <c r="M171" s="65"/>
    </row>
    <row r="172" spans="1:30" outlineLevel="1" x14ac:dyDescent="0.25">
      <c r="A172" s="54" t="s">
        <v>148</v>
      </c>
      <c r="B172" s="67"/>
      <c r="C172" s="67"/>
      <c r="D172" s="67"/>
      <c r="E172" s="65"/>
      <c r="F172" s="65"/>
      <c r="G172" s="65"/>
      <c r="H172" s="65"/>
      <c r="I172" s="65"/>
      <c r="J172" s="65"/>
      <c r="K172" s="65"/>
      <c r="L172" s="65"/>
      <c r="M172" s="65"/>
    </row>
    <row r="173" spans="1:30" outlineLevel="1" x14ac:dyDescent="0.25">
      <c r="A173" s="71" t="s">
        <v>174</v>
      </c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</row>
    <row r="174" spans="1:30" outlineLevel="1" x14ac:dyDescent="0.25">
      <c r="A174" s="66" t="s">
        <v>230</v>
      </c>
      <c r="B174" s="67">
        <v>23827</v>
      </c>
      <c r="C174" s="67">
        <v>24221</v>
      </c>
      <c r="D174" s="67">
        <v>24732</v>
      </c>
      <c r="E174" s="65">
        <v>25217</v>
      </c>
      <c r="F174" s="65">
        <v>25658</v>
      </c>
      <c r="G174" s="65">
        <v>25897</v>
      </c>
      <c r="H174" s="65">
        <v>26223</v>
      </c>
      <c r="I174" s="65">
        <v>26507</v>
      </c>
      <c r="J174" s="65">
        <v>26621</v>
      </c>
      <c r="K174" s="65">
        <v>26740</v>
      </c>
      <c r="L174" s="65">
        <v>26998</v>
      </c>
      <c r="M174" s="65">
        <v>27411</v>
      </c>
      <c r="N174" s="65">
        <v>27809</v>
      </c>
      <c r="O174" s="65">
        <v>28208</v>
      </c>
      <c r="P174" s="65">
        <v>28584</v>
      </c>
      <c r="Q174" s="65">
        <v>28733</v>
      </c>
      <c r="R174" s="65">
        <v>28820</v>
      </c>
      <c r="S174" s="65">
        <v>29105</v>
      </c>
      <c r="T174" s="65">
        <v>29455</v>
      </c>
      <c r="U174" s="65">
        <v>29779</v>
      </c>
      <c r="V174" s="65">
        <v>29947</v>
      </c>
      <c r="W174" s="65">
        <v>30230</v>
      </c>
      <c r="X174" s="65">
        <v>30532</v>
      </c>
      <c r="Y174" s="65">
        <v>30819</v>
      </c>
      <c r="Z174" s="65">
        <v>30890</v>
      </c>
      <c r="AA174" s="65"/>
      <c r="AB174" s="65"/>
      <c r="AC174" s="65"/>
      <c r="AD174" s="65"/>
    </row>
    <row r="175" spans="1:30" outlineLevel="1" x14ac:dyDescent="0.25">
      <c r="A175" s="66" t="s">
        <v>231</v>
      </c>
      <c r="B175" s="67"/>
      <c r="C175" s="67"/>
      <c r="D175" s="67"/>
      <c r="E175" s="65"/>
      <c r="F175" s="65"/>
      <c r="G175" s="65"/>
      <c r="H175" s="65"/>
      <c r="I175" s="65"/>
      <c r="J175" s="65"/>
      <c r="K175" s="69">
        <v>16708</v>
      </c>
      <c r="L175" s="69">
        <v>16866</v>
      </c>
      <c r="M175" s="69">
        <v>17103</v>
      </c>
      <c r="N175" s="69">
        <v>17353</v>
      </c>
      <c r="O175" s="69">
        <v>17586</v>
      </c>
      <c r="P175" s="69">
        <v>17795</v>
      </c>
      <c r="Q175" s="69">
        <v>17782</v>
      </c>
      <c r="R175" s="69">
        <v>17703</v>
      </c>
      <c r="S175" s="69">
        <v>17856</v>
      </c>
      <c r="T175" s="69">
        <v>18019</v>
      </c>
      <c r="U175" s="69">
        <v>18170</v>
      </c>
      <c r="V175" s="69">
        <v>18306</v>
      </c>
      <c r="W175" s="69">
        <v>18480</v>
      </c>
      <c r="X175" s="69">
        <v>18649</v>
      </c>
      <c r="Y175" s="69">
        <v>18798</v>
      </c>
      <c r="Z175" s="69">
        <v>18808</v>
      </c>
      <c r="AA175" s="69"/>
      <c r="AB175" s="69"/>
      <c r="AC175" s="69"/>
      <c r="AD175" s="69"/>
    </row>
    <row r="176" spans="1:30" outlineLevel="1" x14ac:dyDescent="0.25">
      <c r="A176" s="66"/>
      <c r="B176" s="67"/>
      <c r="C176" s="67"/>
      <c r="D176" s="67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</row>
    <row r="177" spans="1:30" outlineLevel="1" x14ac:dyDescent="0.25">
      <c r="A177" s="66" t="s">
        <v>180</v>
      </c>
      <c r="B177" s="67">
        <v>76</v>
      </c>
      <c r="C177" s="67">
        <v>76</v>
      </c>
      <c r="D177" s="67">
        <v>77</v>
      </c>
      <c r="E177" s="67">
        <v>77</v>
      </c>
      <c r="F177" s="65">
        <v>77</v>
      </c>
      <c r="G177" s="65">
        <v>75</v>
      </c>
      <c r="H177" s="65">
        <v>74</v>
      </c>
      <c r="I177" s="65">
        <v>73</v>
      </c>
      <c r="J177" s="65">
        <v>73</v>
      </c>
      <c r="K177" s="65">
        <v>72</v>
      </c>
      <c r="L177" s="65">
        <v>72</v>
      </c>
      <c r="M177" s="65">
        <v>71</v>
      </c>
      <c r="N177" s="65">
        <v>71</v>
      </c>
      <c r="O177" s="65">
        <v>70</v>
      </c>
      <c r="P177" s="65">
        <v>69</v>
      </c>
      <c r="Q177" s="65">
        <v>67</v>
      </c>
      <c r="R177" s="65">
        <v>65</v>
      </c>
      <c r="S177" s="65">
        <v>64</v>
      </c>
      <c r="T177" s="65">
        <v>63</v>
      </c>
      <c r="U177" s="65">
        <v>61</v>
      </c>
      <c r="V177" s="65">
        <v>59</v>
      </c>
      <c r="W177" s="65">
        <v>58</v>
      </c>
      <c r="X177" s="65">
        <v>56</v>
      </c>
      <c r="Y177" s="65">
        <v>54</v>
      </c>
      <c r="Z177" s="65">
        <v>52</v>
      </c>
      <c r="AA177" s="65"/>
      <c r="AB177" s="65"/>
      <c r="AC177" s="65"/>
      <c r="AD177" s="65"/>
    </row>
    <row r="178" spans="1:30" outlineLevel="1" x14ac:dyDescent="0.25">
      <c r="A178" s="66" t="s">
        <v>181</v>
      </c>
      <c r="B178" s="67">
        <v>311</v>
      </c>
      <c r="C178" s="67">
        <v>316</v>
      </c>
      <c r="D178" s="67">
        <v>322</v>
      </c>
      <c r="E178" s="67">
        <v>326</v>
      </c>
      <c r="F178" s="67">
        <v>330</v>
      </c>
      <c r="G178" s="67">
        <v>327</v>
      </c>
      <c r="H178" s="67">
        <v>332</v>
      </c>
      <c r="I178" s="67">
        <v>335</v>
      </c>
      <c r="J178" s="67">
        <v>339</v>
      </c>
      <c r="K178" s="67">
        <v>346</v>
      </c>
      <c r="L178" s="67">
        <v>352</v>
      </c>
      <c r="M178" s="67">
        <v>356</v>
      </c>
      <c r="N178" s="67">
        <v>361</v>
      </c>
      <c r="O178" s="67">
        <v>367</v>
      </c>
      <c r="P178" s="67">
        <v>370</v>
      </c>
      <c r="Q178" s="67">
        <v>373</v>
      </c>
      <c r="R178" s="67">
        <v>377</v>
      </c>
      <c r="S178" s="67">
        <v>380</v>
      </c>
      <c r="T178" s="67">
        <v>383</v>
      </c>
      <c r="U178" s="67">
        <v>385</v>
      </c>
      <c r="V178" s="67">
        <v>389</v>
      </c>
      <c r="W178" s="67">
        <v>393</v>
      </c>
      <c r="X178" s="67">
        <v>397</v>
      </c>
      <c r="Y178" s="67">
        <v>401</v>
      </c>
      <c r="Z178" s="67">
        <v>405</v>
      </c>
      <c r="AA178" s="67"/>
      <c r="AB178" s="67"/>
      <c r="AC178" s="67"/>
      <c r="AD178" s="67"/>
    </row>
    <row r="179" spans="1:30" outlineLevel="1" x14ac:dyDescent="0.25">
      <c r="A179" s="66" t="s">
        <v>183</v>
      </c>
      <c r="B179" s="67">
        <v>387</v>
      </c>
      <c r="C179" s="67">
        <v>392</v>
      </c>
      <c r="D179" s="67">
        <v>399</v>
      </c>
      <c r="E179" s="65">
        <v>403</v>
      </c>
      <c r="F179" s="65">
        <v>407</v>
      </c>
      <c r="G179" s="65">
        <v>402</v>
      </c>
      <c r="H179" s="65">
        <v>406</v>
      </c>
      <c r="I179" s="65">
        <v>408</v>
      </c>
      <c r="J179" s="65">
        <v>412</v>
      </c>
      <c r="K179" s="65">
        <v>418</v>
      </c>
      <c r="L179" s="65">
        <v>424</v>
      </c>
      <c r="M179" s="65">
        <v>427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</row>
    <row r="180" spans="1:30" outlineLevel="1" x14ac:dyDescent="0.25">
      <c r="A180" s="66" t="s">
        <v>185</v>
      </c>
      <c r="B180" s="67"/>
      <c r="C180" s="67"/>
      <c r="D180" s="67"/>
      <c r="E180" s="65"/>
      <c r="F180" s="65"/>
      <c r="G180" s="65"/>
      <c r="H180" s="65"/>
      <c r="I180" s="65"/>
      <c r="J180" s="65">
        <v>32</v>
      </c>
      <c r="K180" s="65">
        <v>43</v>
      </c>
      <c r="L180" s="65">
        <v>76</v>
      </c>
      <c r="M180" s="65">
        <v>122</v>
      </c>
      <c r="N180" s="65">
        <v>217</v>
      </c>
      <c r="O180" s="65">
        <v>316</v>
      </c>
      <c r="P180" s="65">
        <v>442</v>
      </c>
      <c r="Q180" s="65">
        <v>568</v>
      </c>
      <c r="R180" s="65">
        <v>726</v>
      </c>
      <c r="S180" s="65">
        <v>870</v>
      </c>
      <c r="T180" s="65">
        <v>1038</v>
      </c>
      <c r="U180" s="65">
        <v>1201</v>
      </c>
      <c r="V180" s="67">
        <v>1358</v>
      </c>
      <c r="W180" s="67">
        <v>1523</v>
      </c>
      <c r="X180" s="67">
        <v>1698</v>
      </c>
      <c r="Y180" s="67">
        <v>1854</v>
      </c>
      <c r="Z180" s="67">
        <v>1931</v>
      </c>
      <c r="AA180" s="67"/>
      <c r="AB180" s="67"/>
      <c r="AC180" s="67"/>
      <c r="AD180" s="67"/>
    </row>
    <row r="181" spans="1:30" outlineLevel="1" x14ac:dyDescent="0.25">
      <c r="A181" s="66" t="s">
        <v>202</v>
      </c>
      <c r="B181" s="67">
        <v>497</v>
      </c>
      <c r="C181" s="67">
        <v>494</v>
      </c>
      <c r="D181" s="67">
        <v>492</v>
      </c>
      <c r="E181" s="65">
        <v>489</v>
      </c>
      <c r="F181" s="65">
        <v>501</v>
      </c>
      <c r="G181" s="65">
        <v>491</v>
      </c>
      <c r="H181" s="65">
        <v>488</v>
      </c>
      <c r="I181" s="65">
        <v>482</v>
      </c>
      <c r="J181" s="65">
        <v>480</v>
      </c>
      <c r="K181" s="65">
        <v>480</v>
      </c>
      <c r="L181" s="65">
        <v>479</v>
      </c>
      <c r="M181" s="65">
        <v>477</v>
      </c>
      <c r="N181" s="65">
        <v>475</v>
      </c>
      <c r="O181" s="65">
        <v>474</v>
      </c>
      <c r="P181" s="65">
        <v>471</v>
      </c>
      <c r="Q181" s="65">
        <v>468</v>
      </c>
      <c r="R181" s="65">
        <v>466</v>
      </c>
      <c r="S181" s="65">
        <v>464</v>
      </c>
      <c r="T181" s="65">
        <v>461</v>
      </c>
      <c r="U181" s="65">
        <v>460</v>
      </c>
      <c r="V181" s="67">
        <v>458</v>
      </c>
      <c r="W181" s="67">
        <v>458</v>
      </c>
      <c r="X181" s="67">
        <v>459</v>
      </c>
      <c r="Y181" s="67">
        <v>459</v>
      </c>
      <c r="Z181" s="67">
        <v>459</v>
      </c>
      <c r="AA181" s="67"/>
      <c r="AB181" s="67"/>
      <c r="AC181" s="67"/>
      <c r="AD181" s="67"/>
    </row>
    <row r="182" spans="1:30" outlineLevel="1" x14ac:dyDescent="0.25">
      <c r="A182" s="66" t="s">
        <v>203</v>
      </c>
      <c r="B182" s="65">
        <f t="shared" ref="B182:I182" si="9">B180+B181</f>
        <v>497</v>
      </c>
      <c r="C182" s="65">
        <f t="shared" si="9"/>
        <v>494</v>
      </c>
      <c r="D182" s="65">
        <f t="shared" si="9"/>
        <v>492</v>
      </c>
      <c r="E182" s="65">
        <f t="shared" si="9"/>
        <v>489</v>
      </c>
      <c r="F182" s="65">
        <f t="shared" si="9"/>
        <v>501</v>
      </c>
      <c r="G182" s="65">
        <f t="shared" si="9"/>
        <v>491</v>
      </c>
      <c r="H182" s="65">
        <f t="shared" si="9"/>
        <v>488</v>
      </c>
      <c r="I182" s="65">
        <f t="shared" si="9"/>
        <v>482</v>
      </c>
      <c r="J182" s="65">
        <f>J180+J181</f>
        <v>512</v>
      </c>
      <c r="K182" s="65">
        <f>K180+K181</f>
        <v>523</v>
      </c>
      <c r="L182" s="65">
        <f>L180+L181</f>
        <v>555</v>
      </c>
      <c r="M182" s="65">
        <f>M180+M181</f>
        <v>599</v>
      </c>
      <c r="N182" s="65">
        <f>N180+N181</f>
        <v>692</v>
      </c>
      <c r="O182" s="65">
        <v>790</v>
      </c>
      <c r="P182" s="65">
        <v>913</v>
      </c>
      <c r="Q182" s="65">
        <v>1036</v>
      </c>
      <c r="R182" s="65">
        <v>1192</v>
      </c>
      <c r="S182" s="65">
        <v>1334</v>
      </c>
      <c r="T182" s="65">
        <v>1499</v>
      </c>
      <c r="U182" s="65">
        <v>1661</v>
      </c>
      <c r="V182" s="67">
        <v>1816</v>
      </c>
      <c r="W182" s="67">
        <v>1981</v>
      </c>
      <c r="X182" s="67">
        <v>2157</v>
      </c>
      <c r="Y182" s="67">
        <f>SUM(Y180:Y181)</f>
        <v>2313</v>
      </c>
      <c r="Z182" s="67">
        <v>2390</v>
      </c>
      <c r="AA182" s="67"/>
      <c r="AB182" s="67"/>
      <c r="AC182" s="67"/>
      <c r="AD182" s="67"/>
    </row>
    <row r="183" spans="1:30" outlineLevel="1" x14ac:dyDescent="0.25">
      <c r="A183" s="66"/>
      <c r="B183" s="67"/>
      <c r="C183" s="67"/>
      <c r="D183" s="67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</row>
    <row r="184" spans="1:30" outlineLevel="1" x14ac:dyDescent="0.25">
      <c r="A184" s="66" t="s">
        <v>232</v>
      </c>
      <c r="B184" s="67">
        <v>5269</v>
      </c>
      <c r="C184" s="67">
        <v>5163</v>
      </c>
      <c r="D184" s="67">
        <v>5058</v>
      </c>
      <c r="E184" s="65">
        <v>4959</v>
      </c>
      <c r="F184" s="65">
        <v>4860</v>
      </c>
      <c r="G184" s="65">
        <v>4758</v>
      </c>
      <c r="H184" s="65">
        <v>4668</v>
      </c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</row>
    <row r="185" spans="1:30" outlineLevel="1" x14ac:dyDescent="0.25">
      <c r="A185" s="66" t="s">
        <v>233</v>
      </c>
      <c r="B185" s="67">
        <v>110</v>
      </c>
      <c r="C185" s="67">
        <v>102</v>
      </c>
      <c r="D185" s="67">
        <v>93</v>
      </c>
      <c r="E185" s="65">
        <v>86</v>
      </c>
      <c r="F185" s="65">
        <v>94</v>
      </c>
      <c r="G185" s="65">
        <v>89</v>
      </c>
      <c r="H185" s="65">
        <v>82</v>
      </c>
      <c r="I185" s="65">
        <v>74</v>
      </c>
      <c r="J185" s="65">
        <v>68</v>
      </c>
      <c r="K185" s="65">
        <v>62</v>
      </c>
      <c r="L185" s="65">
        <v>55</v>
      </c>
      <c r="M185" s="65">
        <v>50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</row>
    <row r="186" spans="1:30" outlineLevel="1" x14ac:dyDescent="0.25">
      <c r="A186" s="66"/>
      <c r="B186" s="67"/>
      <c r="C186" s="67"/>
      <c r="D186" s="67"/>
      <c r="E186" s="65"/>
      <c r="F186" s="65"/>
      <c r="G186" s="65"/>
      <c r="H186" s="65"/>
      <c r="I186" s="65"/>
      <c r="J186" s="65"/>
      <c r="K186" s="65"/>
      <c r="L186" s="65"/>
      <c r="M186" s="65"/>
    </row>
    <row r="187" spans="1:30" outlineLevel="1" x14ac:dyDescent="0.25">
      <c r="A187" s="66"/>
      <c r="B187" s="67"/>
      <c r="C187" s="67"/>
      <c r="D187" s="67"/>
      <c r="E187" s="65"/>
      <c r="F187" s="65"/>
      <c r="G187" s="65"/>
      <c r="H187" s="65"/>
      <c r="I187" s="65"/>
      <c r="J187" s="65"/>
      <c r="K187" s="65"/>
      <c r="L187" s="65"/>
      <c r="M187" s="65"/>
    </row>
    <row r="188" spans="1:30" outlineLevel="1" x14ac:dyDescent="0.25">
      <c r="A188" s="71" t="s">
        <v>190</v>
      </c>
      <c r="B188" s="67"/>
      <c r="C188" s="67"/>
      <c r="D188" s="67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</row>
    <row r="189" spans="1:30" outlineLevel="1" x14ac:dyDescent="0.25">
      <c r="A189" s="66" t="s">
        <v>234</v>
      </c>
      <c r="B189" s="67">
        <v>1143</v>
      </c>
      <c r="C189" s="67">
        <v>1199</v>
      </c>
      <c r="D189" s="67">
        <v>1302</v>
      </c>
      <c r="E189" s="65">
        <v>1353</v>
      </c>
      <c r="F189" s="65">
        <v>1464</v>
      </c>
      <c r="G189" s="65">
        <v>1148</v>
      </c>
      <c r="H189" s="65">
        <v>1345</v>
      </c>
      <c r="I189" s="65">
        <v>1285</v>
      </c>
      <c r="J189" s="65">
        <v>1141</v>
      </c>
      <c r="K189" s="65">
        <v>1220</v>
      </c>
      <c r="L189" s="65">
        <v>1314</v>
      </c>
      <c r="M189" s="65">
        <v>1417</v>
      </c>
      <c r="N189" s="65">
        <v>1502</v>
      </c>
      <c r="O189" s="65">
        <v>1582</v>
      </c>
      <c r="P189" s="65">
        <v>1566</v>
      </c>
      <c r="Q189" s="65">
        <v>1644</v>
      </c>
      <c r="R189" s="65">
        <v>1607</v>
      </c>
      <c r="S189" s="65">
        <v>1590</v>
      </c>
      <c r="T189" s="65">
        <v>1618</v>
      </c>
      <c r="U189" s="65">
        <v>1605</v>
      </c>
      <c r="V189" s="65">
        <v>1531</v>
      </c>
      <c r="W189" s="65">
        <v>1579</v>
      </c>
      <c r="X189" s="65">
        <v>1601</v>
      </c>
      <c r="Y189" s="65">
        <v>1617</v>
      </c>
      <c r="Z189" s="65">
        <v>1504</v>
      </c>
      <c r="AA189" s="65">
        <v>1557</v>
      </c>
      <c r="AB189" s="65">
        <v>1559</v>
      </c>
      <c r="AC189" s="65">
        <v>1534</v>
      </c>
      <c r="AD189" s="65"/>
    </row>
    <row r="190" spans="1:30" outlineLevel="1" x14ac:dyDescent="0.25">
      <c r="A190" s="66" t="s">
        <v>235</v>
      </c>
      <c r="B190" s="67">
        <v>694.08416000000011</v>
      </c>
      <c r="C190" s="67">
        <v>726.69256000000007</v>
      </c>
      <c r="D190" s="67">
        <v>774.67791999999997</v>
      </c>
      <c r="E190" s="67">
        <v>795.5680000000001</v>
      </c>
      <c r="F190" s="67">
        <v>856.31216000000018</v>
      </c>
      <c r="G190" s="67">
        <v>630.21280000000002</v>
      </c>
      <c r="H190" s="67">
        <v>737.66687999999999</v>
      </c>
      <c r="I190" s="67">
        <v>732.76495999999997</v>
      </c>
      <c r="J190" s="67">
        <v>689.5296800000001</v>
      </c>
      <c r="K190" s="67">
        <v>761.62728000000004</v>
      </c>
      <c r="L190" s="67">
        <v>829.43039999999996</v>
      </c>
      <c r="M190" s="67">
        <v>876.43152000000009</v>
      </c>
      <c r="N190" s="70"/>
      <c r="O190" s="70"/>
      <c r="P190" s="70"/>
      <c r="Q190" s="70"/>
      <c r="R190" s="90">
        <v>757</v>
      </c>
      <c r="S190" s="90">
        <v>733</v>
      </c>
      <c r="T190" s="90">
        <v>761</v>
      </c>
      <c r="U190" s="90">
        <v>738</v>
      </c>
      <c r="V190" s="90">
        <v>694</v>
      </c>
      <c r="W190" s="90">
        <v>737</v>
      </c>
      <c r="X190" s="90">
        <v>770</v>
      </c>
      <c r="Y190" s="90">
        <v>740</v>
      </c>
      <c r="Z190" s="90">
        <v>715</v>
      </c>
      <c r="AA190" s="90">
        <v>756</v>
      </c>
      <c r="AB190" s="90">
        <v>756</v>
      </c>
      <c r="AC190" s="90">
        <v>783</v>
      </c>
      <c r="AD190" s="90"/>
    </row>
    <row r="191" spans="1:30" outlineLevel="1" x14ac:dyDescent="0.25">
      <c r="A191" s="66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V191" s="90"/>
      <c r="W191" s="90"/>
      <c r="X191" s="90"/>
      <c r="Y191" s="90"/>
      <c r="Z191" s="90"/>
      <c r="AA191" s="90"/>
      <c r="AB191" s="90"/>
      <c r="AC191" s="90"/>
      <c r="AD191" s="90"/>
    </row>
    <row r="192" spans="1:30" outlineLevel="1" x14ac:dyDescent="0.25">
      <c r="A192" s="54" t="s">
        <v>148</v>
      </c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V192" s="90"/>
      <c r="W192" s="90"/>
      <c r="X192" s="90"/>
      <c r="Y192" s="90"/>
      <c r="Z192" s="90"/>
      <c r="AA192" s="90"/>
      <c r="AB192" s="90"/>
      <c r="AC192" s="90"/>
      <c r="AD192" s="90"/>
    </row>
    <row r="193" spans="1:30" outlineLevel="1" x14ac:dyDescent="0.25">
      <c r="A193" s="71" t="s">
        <v>190</v>
      </c>
      <c r="B193" s="67"/>
      <c r="C193" s="67"/>
      <c r="D193" s="67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</row>
    <row r="194" spans="1:30" outlineLevel="1" x14ac:dyDescent="0.25">
      <c r="A194" s="66" t="s">
        <v>234</v>
      </c>
      <c r="B194" s="67">
        <v>1143</v>
      </c>
      <c r="C194" s="67">
        <v>1199</v>
      </c>
      <c r="D194" s="67">
        <v>1302</v>
      </c>
      <c r="E194" s="65">
        <v>1353</v>
      </c>
      <c r="F194" s="65">
        <v>1464</v>
      </c>
      <c r="G194" s="65">
        <v>1148</v>
      </c>
      <c r="H194" s="65">
        <v>1345</v>
      </c>
      <c r="I194" s="65">
        <v>1285</v>
      </c>
      <c r="J194" s="65">
        <v>1141</v>
      </c>
      <c r="K194" s="65">
        <v>1220</v>
      </c>
      <c r="L194" s="65">
        <v>1314</v>
      </c>
      <c r="M194" s="65">
        <v>1417</v>
      </c>
      <c r="N194" s="65">
        <v>1502</v>
      </c>
      <c r="O194" s="65">
        <v>1582</v>
      </c>
      <c r="P194" s="65">
        <v>1566</v>
      </c>
      <c r="Q194" s="65">
        <v>1644</v>
      </c>
      <c r="R194" s="65">
        <v>1607</v>
      </c>
      <c r="S194" s="65">
        <v>1590</v>
      </c>
      <c r="T194" s="65">
        <v>1618</v>
      </c>
      <c r="U194" s="65">
        <v>1605</v>
      </c>
      <c r="V194" s="65">
        <v>1531</v>
      </c>
      <c r="W194" s="65">
        <v>1579</v>
      </c>
      <c r="X194" s="65">
        <v>1601</v>
      </c>
      <c r="Y194" s="65">
        <v>1617</v>
      </c>
      <c r="Z194" s="65">
        <v>1504</v>
      </c>
      <c r="AA194" s="65"/>
      <c r="AB194" s="65"/>
      <c r="AC194" s="65"/>
      <c r="AD194" s="65"/>
    </row>
    <row r="195" spans="1:30" outlineLevel="1" x14ac:dyDescent="0.25">
      <c r="A195" s="66" t="s">
        <v>235</v>
      </c>
      <c r="B195" s="67">
        <v>694.08416000000011</v>
      </c>
      <c r="C195" s="67">
        <v>726.69256000000007</v>
      </c>
      <c r="D195" s="67">
        <v>774.67791999999997</v>
      </c>
      <c r="E195" s="67">
        <v>795.5680000000001</v>
      </c>
      <c r="F195" s="67">
        <v>856.31216000000018</v>
      </c>
      <c r="G195" s="67">
        <v>630.21280000000002</v>
      </c>
      <c r="H195" s="67">
        <v>737.66687999999999</v>
      </c>
      <c r="I195" s="67">
        <v>732.76495999999997</v>
      </c>
      <c r="J195" s="67">
        <v>689.5296800000001</v>
      </c>
      <c r="K195" s="67">
        <v>761.62728000000004</v>
      </c>
      <c r="L195" s="67">
        <v>829.43039999999996</v>
      </c>
      <c r="M195" s="67">
        <v>876.43152000000009</v>
      </c>
      <c r="N195" s="70"/>
      <c r="O195" s="70"/>
      <c r="P195" s="70"/>
      <c r="Q195" s="70"/>
      <c r="R195" s="90">
        <v>757</v>
      </c>
      <c r="S195" s="90">
        <v>733</v>
      </c>
      <c r="T195" s="90">
        <v>761</v>
      </c>
      <c r="U195" s="90">
        <v>738</v>
      </c>
      <c r="V195" s="90">
        <v>705</v>
      </c>
      <c r="W195" s="90">
        <v>760</v>
      </c>
      <c r="X195" s="90">
        <v>784</v>
      </c>
      <c r="Y195" s="90">
        <v>751</v>
      </c>
      <c r="Z195" s="90">
        <v>715</v>
      </c>
      <c r="AA195" s="90"/>
      <c r="AB195" s="90"/>
      <c r="AC195" s="90"/>
      <c r="AD195" s="90"/>
    </row>
    <row r="196" spans="1:30" outlineLevel="1" x14ac:dyDescent="0.25">
      <c r="A196" s="66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V196" s="90"/>
      <c r="W196" s="90"/>
      <c r="X196" s="90"/>
      <c r="Y196" s="90"/>
      <c r="Z196" s="90"/>
      <c r="AA196" s="90"/>
      <c r="AB196" s="90"/>
      <c r="AC196" s="90"/>
      <c r="AD196" s="90"/>
    </row>
    <row r="197" spans="1:30" outlineLevel="1" x14ac:dyDescent="0.25">
      <c r="A197" s="71" t="s">
        <v>236</v>
      </c>
      <c r="B197" s="67"/>
      <c r="C197" s="67"/>
      <c r="D197" s="67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</row>
    <row r="198" spans="1:30" outlineLevel="1" x14ac:dyDescent="0.25">
      <c r="A198" s="66" t="s">
        <v>208</v>
      </c>
      <c r="B198" s="66">
        <v>262</v>
      </c>
      <c r="C198" s="66">
        <v>325</v>
      </c>
      <c r="D198" s="66">
        <v>408</v>
      </c>
      <c r="E198" s="66">
        <v>396</v>
      </c>
      <c r="F198" s="66">
        <v>475</v>
      </c>
      <c r="G198" s="66">
        <v>280</v>
      </c>
      <c r="H198" s="66">
        <v>417</v>
      </c>
      <c r="I198" s="66">
        <v>346</v>
      </c>
      <c r="J198" s="66">
        <v>156</v>
      </c>
      <c r="K198" s="66">
        <v>178</v>
      </c>
      <c r="L198" s="66">
        <v>276</v>
      </c>
      <c r="M198" s="66">
        <v>391</v>
      </c>
      <c r="N198" s="66">
        <v>395</v>
      </c>
      <c r="O198" s="66">
        <v>430</v>
      </c>
      <c r="P198" s="66">
        <v>360</v>
      </c>
      <c r="Q198" s="66">
        <v>455</v>
      </c>
      <c r="R198" s="66">
        <v>312</v>
      </c>
      <c r="S198" s="66">
        <v>308</v>
      </c>
      <c r="T198" s="66">
        <v>330</v>
      </c>
      <c r="U198" s="66">
        <v>292</v>
      </c>
      <c r="V198" s="66">
        <v>178</v>
      </c>
      <c r="W198" s="66">
        <v>268</v>
      </c>
      <c r="X198" s="66">
        <v>281</v>
      </c>
      <c r="Y198" s="66">
        <v>283</v>
      </c>
      <c r="Z198" s="66">
        <v>94</v>
      </c>
      <c r="AA198" s="66">
        <v>65</v>
      </c>
      <c r="AB198" s="66">
        <v>110</v>
      </c>
      <c r="AC198" s="66">
        <v>11</v>
      </c>
      <c r="AD198" s="66"/>
    </row>
    <row r="199" spans="1:30" outlineLevel="1" x14ac:dyDescent="0.25">
      <c r="A199" s="66" t="s">
        <v>209</v>
      </c>
      <c r="B199" s="66">
        <v>119</v>
      </c>
      <c r="C199" s="66">
        <v>172</v>
      </c>
      <c r="D199" s="66">
        <v>205</v>
      </c>
      <c r="E199" s="66">
        <v>202</v>
      </c>
      <c r="F199" s="66">
        <v>239</v>
      </c>
      <c r="G199" s="66">
        <v>76</v>
      </c>
      <c r="H199" s="66">
        <v>141</v>
      </c>
      <c r="I199" s="66">
        <v>116</v>
      </c>
      <c r="J199" s="66">
        <v>47</v>
      </c>
      <c r="K199" s="66">
        <v>78</v>
      </c>
      <c r="L199" s="66">
        <v>162</v>
      </c>
      <c r="M199" s="66">
        <v>222</v>
      </c>
      <c r="N199" s="66">
        <v>256</v>
      </c>
      <c r="O199" s="66">
        <v>227</v>
      </c>
      <c r="P199" s="66">
        <v>197</v>
      </c>
      <c r="Q199" s="66">
        <v>176</v>
      </c>
      <c r="R199" s="66">
        <v>136</v>
      </c>
      <c r="S199" s="66">
        <v>144</v>
      </c>
      <c r="T199" s="66">
        <v>151</v>
      </c>
      <c r="U199" s="66">
        <v>131</v>
      </c>
      <c r="V199" s="65">
        <v>80</v>
      </c>
      <c r="W199" s="65">
        <v>135</v>
      </c>
      <c r="X199" s="65">
        <v>149</v>
      </c>
      <c r="Y199" s="65">
        <v>137</v>
      </c>
      <c r="Z199" s="65">
        <v>67</v>
      </c>
      <c r="AA199" s="65">
        <v>42</v>
      </c>
      <c r="AB199" s="65">
        <v>51</v>
      </c>
      <c r="AC199" s="65">
        <v>65</v>
      </c>
      <c r="AD199" s="65"/>
    </row>
    <row r="200" spans="1:30" outlineLevel="1" x14ac:dyDescent="0.25">
      <c r="A200" s="66"/>
      <c r="B200" s="66"/>
      <c r="C200" s="66"/>
      <c r="D200" s="66"/>
      <c r="E200" s="66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</row>
    <row r="201" spans="1:30" outlineLevel="1" x14ac:dyDescent="0.25">
      <c r="A201" s="66" t="s">
        <v>198</v>
      </c>
      <c r="B201" s="65">
        <v>2</v>
      </c>
      <c r="C201" s="65"/>
      <c r="D201" s="65">
        <v>1</v>
      </c>
      <c r="E201" s="65">
        <v>0</v>
      </c>
      <c r="F201" s="65"/>
      <c r="G201" s="65">
        <v>-2</v>
      </c>
      <c r="H201" s="65">
        <v>-1</v>
      </c>
      <c r="I201" s="65">
        <v>-1</v>
      </c>
      <c r="J201" s="65"/>
      <c r="K201" s="65">
        <v>-1</v>
      </c>
      <c r="L201" s="65">
        <v>0</v>
      </c>
      <c r="M201" s="65">
        <v>-1</v>
      </c>
      <c r="N201" s="65">
        <v>0</v>
      </c>
      <c r="O201" s="65">
        <v>-1</v>
      </c>
      <c r="P201" s="65">
        <v>-1</v>
      </c>
      <c r="Q201" s="65">
        <v>-2</v>
      </c>
      <c r="R201" s="65">
        <v>-2</v>
      </c>
      <c r="S201" s="65">
        <v>-1</v>
      </c>
      <c r="T201" s="65">
        <v>-1</v>
      </c>
      <c r="U201" s="65">
        <v>-2</v>
      </c>
      <c r="V201" s="65">
        <v>-2</v>
      </c>
      <c r="W201" s="65">
        <v>-1</v>
      </c>
      <c r="X201" s="65">
        <v>-2</v>
      </c>
      <c r="Y201" s="65">
        <v>-2</v>
      </c>
      <c r="Z201" s="65">
        <v>-2</v>
      </c>
      <c r="AA201" s="65">
        <v>-1</v>
      </c>
      <c r="AB201" s="65">
        <v>-2</v>
      </c>
      <c r="AC201" s="65">
        <v>-2</v>
      </c>
      <c r="AD201" s="65"/>
    </row>
    <row r="202" spans="1:30" outlineLevel="1" x14ac:dyDescent="0.25">
      <c r="A202" s="66" t="s">
        <v>199</v>
      </c>
      <c r="B202" s="66">
        <v>4</v>
      </c>
      <c r="C202" s="66">
        <v>6</v>
      </c>
      <c r="D202" s="66">
        <v>6</v>
      </c>
      <c r="E202" s="66">
        <v>4</v>
      </c>
      <c r="F202" s="66">
        <v>4</v>
      </c>
      <c r="G202" s="66">
        <v>-3</v>
      </c>
      <c r="H202" s="66">
        <v>5</v>
      </c>
      <c r="I202" s="66">
        <v>3</v>
      </c>
      <c r="J202" s="66">
        <v>4</v>
      </c>
      <c r="K202" s="66">
        <v>7</v>
      </c>
      <c r="L202" s="66">
        <v>6</v>
      </c>
      <c r="M202" s="66">
        <v>4</v>
      </c>
      <c r="N202" s="66">
        <v>5</v>
      </c>
      <c r="O202" s="66">
        <v>6</v>
      </c>
      <c r="P202" s="66">
        <v>3</v>
      </c>
      <c r="Q202" s="66">
        <v>3</v>
      </c>
      <c r="R202" s="66">
        <v>4</v>
      </c>
      <c r="S202" s="66">
        <v>3</v>
      </c>
      <c r="T202" s="66">
        <v>3</v>
      </c>
      <c r="U202" s="66">
        <v>2</v>
      </c>
      <c r="V202" s="65">
        <v>4</v>
      </c>
      <c r="W202" s="65">
        <v>4</v>
      </c>
      <c r="X202" s="65">
        <v>4</v>
      </c>
      <c r="Y202" s="65">
        <v>4</v>
      </c>
      <c r="Z202" s="65">
        <v>4</v>
      </c>
      <c r="AA202" s="65">
        <v>4</v>
      </c>
      <c r="AB202" s="65">
        <v>2</v>
      </c>
      <c r="AC202" s="65">
        <v>2</v>
      </c>
      <c r="AD202" s="65"/>
    </row>
    <row r="203" spans="1:30" outlineLevel="1" x14ac:dyDescent="0.25">
      <c r="A203" s="66" t="s">
        <v>237</v>
      </c>
      <c r="B203" s="66">
        <v>6</v>
      </c>
      <c r="C203" s="66">
        <v>6</v>
      </c>
      <c r="D203" s="66">
        <v>7</v>
      </c>
      <c r="E203" s="66">
        <v>4</v>
      </c>
      <c r="F203" s="66">
        <v>4</v>
      </c>
      <c r="G203" s="66">
        <v>-5</v>
      </c>
      <c r="H203" s="66">
        <v>4</v>
      </c>
      <c r="I203" s="66">
        <v>2</v>
      </c>
      <c r="J203" s="66">
        <v>4</v>
      </c>
      <c r="K203" s="66">
        <v>6</v>
      </c>
      <c r="L203" s="66">
        <v>6</v>
      </c>
      <c r="M203" s="66">
        <v>3</v>
      </c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</row>
    <row r="204" spans="1:30" outlineLevel="1" x14ac:dyDescent="0.2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</row>
    <row r="205" spans="1:30" outlineLevel="1" x14ac:dyDescent="0.25">
      <c r="A205" s="66" t="s">
        <v>185</v>
      </c>
      <c r="B205" s="66"/>
      <c r="C205" s="66"/>
      <c r="D205" s="66"/>
      <c r="E205" s="66"/>
      <c r="F205" s="66"/>
      <c r="G205" s="66"/>
      <c r="H205" s="66"/>
      <c r="I205" s="66"/>
      <c r="J205" s="66">
        <v>5</v>
      </c>
      <c r="K205" s="66">
        <v>12</v>
      </c>
      <c r="L205" s="66">
        <v>29</v>
      </c>
      <c r="M205" s="66">
        <v>40</v>
      </c>
      <c r="N205" s="66">
        <v>82</v>
      </c>
      <c r="O205" s="66">
        <v>88</v>
      </c>
      <c r="P205" s="66">
        <v>108</v>
      </c>
      <c r="Q205" s="66">
        <v>117</v>
      </c>
      <c r="R205" s="66">
        <v>137</v>
      </c>
      <c r="S205" s="66">
        <v>133</v>
      </c>
      <c r="T205" s="66">
        <v>133</v>
      </c>
      <c r="U205" s="66">
        <v>144</v>
      </c>
      <c r="V205" s="66">
        <v>151</v>
      </c>
      <c r="W205" s="66">
        <v>160</v>
      </c>
      <c r="X205" s="66">
        <v>154</v>
      </c>
      <c r="Y205" s="66">
        <v>157</v>
      </c>
      <c r="Z205" s="66">
        <v>109</v>
      </c>
      <c r="AA205" s="66">
        <v>114</v>
      </c>
      <c r="AB205" s="66">
        <v>140</v>
      </c>
      <c r="AC205" s="66">
        <v>110</v>
      </c>
      <c r="AD205" s="66"/>
    </row>
    <row r="206" spans="1:30" outlineLevel="1" x14ac:dyDescent="0.25">
      <c r="A206" s="66" t="s">
        <v>184</v>
      </c>
      <c r="B206" s="66"/>
      <c r="C206" s="66"/>
      <c r="D206" s="66"/>
      <c r="E206" s="66"/>
      <c r="F206" s="66"/>
      <c r="G206" s="66"/>
      <c r="H206" s="66"/>
      <c r="I206" s="66"/>
      <c r="J206" s="66">
        <v>-2</v>
      </c>
      <c r="K206" s="66">
        <v>0</v>
      </c>
      <c r="L206" s="66">
        <v>-1</v>
      </c>
      <c r="M206" s="66">
        <v>-2</v>
      </c>
      <c r="N206" s="90">
        <v>-2</v>
      </c>
      <c r="O206" s="66">
        <v>-1</v>
      </c>
      <c r="P206" s="66">
        <v>-3</v>
      </c>
      <c r="Q206" s="66">
        <v>-3</v>
      </c>
      <c r="R206" s="66">
        <v>-2</v>
      </c>
      <c r="S206" s="66">
        <v>-2</v>
      </c>
      <c r="T206" s="66">
        <v>-3</v>
      </c>
      <c r="U206" s="66">
        <v>-1</v>
      </c>
      <c r="V206" s="66">
        <v>-1</v>
      </c>
      <c r="W206" s="66">
        <v>0</v>
      </c>
      <c r="X206" s="66">
        <v>0</v>
      </c>
      <c r="Y206" s="66">
        <v>0</v>
      </c>
      <c r="Z206" s="66">
        <v>0</v>
      </c>
      <c r="AA206" s="66">
        <v>-2</v>
      </c>
      <c r="AB206" s="66">
        <v>-2</v>
      </c>
      <c r="AC206" s="66">
        <v>-3</v>
      </c>
      <c r="AD206" s="66"/>
    </row>
    <row r="207" spans="1:30" outlineLevel="1" x14ac:dyDescent="0.25">
      <c r="A207" s="66" t="s">
        <v>238</v>
      </c>
      <c r="B207" s="66">
        <v>-4</v>
      </c>
      <c r="C207" s="66">
        <v>-3</v>
      </c>
      <c r="D207" s="66">
        <v>-2</v>
      </c>
      <c r="E207" s="66">
        <v>-3</v>
      </c>
      <c r="F207" s="66">
        <v>-5</v>
      </c>
      <c r="G207" s="66">
        <v>-10</v>
      </c>
      <c r="H207" s="66">
        <v>-3</v>
      </c>
      <c r="I207" s="66">
        <v>-6</v>
      </c>
      <c r="J207" s="66">
        <f>J205+J206</f>
        <v>3</v>
      </c>
      <c r="K207" s="66">
        <f>K205+K206</f>
        <v>12</v>
      </c>
      <c r="L207" s="66">
        <f>L205+L206</f>
        <v>28</v>
      </c>
      <c r="M207" s="66">
        <f>M205+M206</f>
        <v>38</v>
      </c>
      <c r="N207" s="66">
        <f>N205+N206</f>
        <v>80</v>
      </c>
      <c r="O207" s="66">
        <f t="shared" ref="O207:V207" si="10">O205+O206</f>
        <v>87</v>
      </c>
      <c r="P207" s="66">
        <f t="shared" si="10"/>
        <v>105</v>
      </c>
      <c r="Q207" s="66">
        <f t="shared" si="10"/>
        <v>114</v>
      </c>
      <c r="R207" s="66">
        <f t="shared" si="10"/>
        <v>135</v>
      </c>
      <c r="S207" s="66">
        <f t="shared" si="10"/>
        <v>131</v>
      </c>
      <c r="T207" s="66">
        <f t="shared" si="10"/>
        <v>130</v>
      </c>
      <c r="U207" s="66">
        <f t="shared" si="10"/>
        <v>143</v>
      </c>
      <c r="V207" s="66">
        <f t="shared" si="10"/>
        <v>150</v>
      </c>
      <c r="W207" s="66">
        <f>W205+W206</f>
        <v>160</v>
      </c>
      <c r="X207" s="66">
        <f>X205+X206</f>
        <v>154</v>
      </c>
      <c r="Y207" s="66">
        <f>Y205+Y206</f>
        <v>157</v>
      </c>
      <c r="Z207" s="66">
        <v>109</v>
      </c>
      <c r="AA207" s="66">
        <v>112</v>
      </c>
      <c r="AB207" s="66">
        <v>138</v>
      </c>
      <c r="AC207" s="66">
        <v>107</v>
      </c>
      <c r="AD207" s="66"/>
    </row>
    <row r="208" spans="1:30" outlineLevel="1" x14ac:dyDescent="0.25">
      <c r="A208" s="66" t="s">
        <v>204</v>
      </c>
      <c r="B208" s="66">
        <v>-131</v>
      </c>
      <c r="C208" s="66">
        <v>-105</v>
      </c>
      <c r="D208" s="66">
        <v>-105</v>
      </c>
      <c r="E208" s="66">
        <v>-99</v>
      </c>
      <c r="F208" s="66">
        <v>-99</v>
      </c>
      <c r="G208" s="66">
        <v>-102</v>
      </c>
      <c r="H208" s="66">
        <v>-90</v>
      </c>
      <c r="I208" s="79"/>
      <c r="J208" s="79"/>
      <c r="K208" s="79"/>
      <c r="L208" s="79"/>
      <c r="M208" s="79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</row>
    <row r="209" spans="1:30" outlineLevel="1" x14ac:dyDescent="0.25">
      <c r="A209" s="66"/>
      <c r="B209" s="66"/>
      <c r="C209" s="66"/>
      <c r="D209" s="66"/>
      <c r="E209" s="66"/>
      <c r="F209" s="66"/>
      <c r="G209" s="66"/>
      <c r="H209" s="66"/>
    </row>
    <row r="210" spans="1:30" outlineLevel="1" x14ac:dyDescent="0.25">
      <c r="A210" s="54" t="s">
        <v>148</v>
      </c>
      <c r="B210" s="66"/>
      <c r="C210" s="66"/>
      <c r="D210" s="66"/>
      <c r="E210" s="66"/>
      <c r="F210" s="66"/>
      <c r="G210" s="66"/>
      <c r="H210" s="66"/>
    </row>
    <row r="211" spans="1:30" outlineLevel="1" x14ac:dyDescent="0.25">
      <c r="A211" s="71" t="s">
        <v>236</v>
      </c>
      <c r="B211" s="67"/>
      <c r="C211" s="67"/>
      <c r="D211" s="67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</row>
    <row r="212" spans="1:30" outlineLevel="1" x14ac:dyDescent="0.25">
      <c r="A212" s="66" t="s">
        <v>208</v>
      </c>
      <c r="B212" s="66">
        <v>262</v>
      </c>
      <c r="C212" s="66">
        <v>325</v>
      </c>
      <c r="D212" s="66">
        <v>408</v>
      </c>
      <c r="E212" s="66">
        <v>396</v>
      </c>
      <c r="F212" s="66">
        <v>475</v>
      </c>
      <c r="G212" s="66">
        <v>280</v>
      </c>
      <c r="H212" s="66">
        <v>417</v>
      </c>
      <c r="I212" s="66">
        <v>346</v>
      </c>
      <c r="J212" s="66">
        <v>156</v>
      </c>
      <c r="K212" s="66">
        <v>178</v>
      </c>
      <c r="L212" s="66">
        <v>276</v>
      </c>
      <c r="M212" s="66">
        <v>391</v>
      </c>
      <c r="N212" s="66">
        <v>395</v>
      </c>
      <c r="O212" s="66">
        <v>430</v>
      </c>
      <c r="P212" s="66">
        <v>360</v>
      </c>
      <c r="Q212" s="66">
        <v>455</v>
      </c>
      <c r="R212" s="66">
        <v>312</v>
      </c>
      <c r="S212" s="66">
        <v>308</v>
      </c>
      <c r="T212" s="66">
        <v>330</v>
      </c>
      <c r="U212" s="66">
        <v>292</v>
      </c>
      <c r="V212" s="66">
        <v>178</v>
      </c>
      <c r="W212" s="66">
        <v>268</v>
      </c>
      <c r="X212" s="66">
        <v>281</v>
      </c>
      <c r="Y212" s="66">
        <v>283</v>
      </c>
      <c r="Z212" s="66">
        <v>94</v>
      </c>
      <c r="AA212" s="66"/>
      <c r="AB212" s="66"/>
      <c r="AC212" s="66"/>
      <c r="AD212" s="66"/>
    </row>
    <row r="213" spans="1:30" outlineLevel="1" x14ac:dyDescent="0.25">
      <c r="A213" s="66" t="s">
        <v>209</v>
      </c>
      <c r="B213" s="66">
        <v>119</v>
      </c>
      <c r="C213" s="66">
        <v>172</v>
      </c>
      <c r="D213" s="66">
        <v>205</v>
      </c>
      <c r="E213" s="66">
        <v>202</v>
      </c>
      <c r="F213" s="66">
        <v>239</v>
      </c>
      <c r="G213" s="66">
        <v>76</v>
      </c>
      <c r="H213" s="66">
        <v>141</v>
      </c>
      <c r="I213" s="66">
        <v>116</v>
      </c>
      <c r="J213" s="66">
        <v>47</v>
      </c>
      <c r="K213" s="66">
        <v>78</v>
      </c>
      <c r="L213" s="66">
        <v>162</v>
      </c>
      <c r="M213" s="66">
        <v>222</v>
      </c>
      <c r="N213" s="66">
        <v>256</v>
      </c>
      <c r="O213" s="66">
        <v>227</v>
      </c>
      <c r="P213" s="66">
        <v>197</v>
      </c>
      <c r="Q213" s="66">
        <v>176</v>
      </c>
      <c r="R213" s="66">
        <v>136</v>
      </c>
      <c r="S213" s="66">
        <v>144</v>
      </c>
      <c r="T213" s="66">
        <v>151</v>
      </c>
      <c r="U213" s="66">
        <v>131</v>
      </c>
      <c r="V213" s="65">
        <v>90</v>
      </c>
      <c r="W213" s="65">
        <v>156</v>
      </c>
      <c r="X213" s="65">
        <v>158</v>
      </c>
      <c r="Y213" s="65">
        <v>142</v>
      </c>
      <c r="Z213" s="65">
        <v>67</v>
      </c>
      <c r="AA213" s="65"/>
      <c r="AB213" s="65"/>
      <c r="AC213" s="65"/>
      <c r="AD213" s="65"/>
    </row>
    <row r="214" spans="1:30" outlineLevel="1" x14ac:dyDescent="0.25">
      <c r="A214" s="66"/>
      <c r="B214" s="66"/>
      <c r="C214" s="66"/>
      <c r="D214" s="66"/>
      <c r="E214" s="66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</row>
    <row r="215" spans="1:30" outlineLevel="1" x14ac:dyDescent="0.25">
      <c r="A215" s="66" t="s">
        <v>198</v>
      </c>
      <c r="B215" s="65">
        <v>2</v>
      </c>
      <c r="C215" s="65"/>
      <c r="D215" s="65">
        <v>1</v>
      </c>
      <c r="E215" s="65">
        <v>0</v>
      </c>
      <c r="F215" s="65"/>
      <c r="G215" s="65">
        <v>-2</v>
      </c>
      <c r="H215" s="65">
        <v>-1</v>
      </c>
      <c r="I215" s="65">
        <v>-1</v>
      </c>
      <c r="J215" s="65"/>
      <c r="K215" s="65">
        <v>-1</v>
      </c>
      <c r="L215" s="65">
        <v>0</v>
      </c>
      <c r="M215" s="65">
        <v>-1</v>
      </c>
      <c r="N215" s="65">
        <v>0</v>
      </c>
      <c r="O215" s="65">
        <v>-1</v>
      </c>
      <c r="P215" s="65">
        <v>-1</v>
      </c>
      <c r="Q215" s="65">
        <v>-2</v>
      </c>
      <c r="R215" s="65">
        <v>-2</v>
      </c>
      <c r="S215" s="65">
        <v>-1</v>
      </c>
      <c r="T215" s="65">
        <v>-1</v>
      </c>
      <c r="U215" s="65">
        <v>-2</v>
      </c>
      <c r="V215" s="65">
        <v>-2</v>
      </c>
      <c r="W215" s="65">
        <v>-1</v>
      </c>
      <c r="X215" s="65">
        <v>-2</v>
      </c>
      <c r="Y215" s="65">
        <v>-2</v>
      </c>
      <c r="Z215" s="65">
        <v>-2</v>
      </c>
      <c r="AA215" s="65"/>
      <c r="AB215" s="65"/>
      <c r="AC215" s="65"/>
      <c r="AD215" s="65"/>
    </row>
    <row r="216" spans="1:30" outlineLevel="1" x14ac:dyDescent="0.25">
      <c r="A216" s="66" t="s">
        <v>199</v>
      </c>
      <c r="B216" s="66">
        <v>4</v>
      </c>
      <c r="C216" s="66">
        <v>6</v>
      </c>
      <c r="D216" s="66">
        <v>6</v>
      </c>
      <c r="E216" s="66">
        <v>4</v>
      </c>
      <c r="F216" s="66">
        <v>4</v>
      </c>
      <c r="G216" s="66">
        <v>-3</v>
      </c>
      <c r="H216" s="66">
        <v>5</v>
      </c>
      <c r="I216" s="66">
        <v>3</v>
      </c>
      <c r="J216" s="66">
        <v>4</v>
      </c>
      <c r="K216" s="66">
        <v>7</v>
      </c>
      <c r="L216" s="66">
        <v>6</v>
      </c>
      <c r="M216" s="66">
        <v>4</v>
      </c>
      <c r="N216" s="66">
        <v>5</v>
      </c>
      <c r="O216" s="66">
        <v>6</v>
      </c>
      <c r="P216" s="66">
        <v>3</v>
      </c>
      <c r="Q216" s="66">
        <v>3</v>
      </c>
      <c r="R216" s="66">
        <v>4</v>
      </c>
      <c r="S216" s="66">
        <v>3</v>
      </c>
      <c r="T216" s="66">
        <v>3</v>
      </c>
      <c r="U216" s="66">
        <v>2</v>
      </c>
      <c r="V216" s="65">
        <v>4</v>
      </c>
      <c r="W216" s="65">
        <v>4</v>
      </c>
      <c r="X216" s="65">
        <v>4</v>
      </c>
      <c r="Y216" s="65">
        <v>4</v>
      </c>
      <c r="Z216" s="65">
        <v>4</v>
      </c>
      <c r="AA216" s="65"/>
      <c r="AB216" s="65"/>
      <c r="AC216" s="65"/>
      <c r="AD216" s="65"/>
    </row>
    <row r="217" spans="1:30" outlineLevel="1" x14ac:dyDescent="0.25">
      <c r="A217" s="66" t="s">
        <v>237</v>
      </c>
      <c r="B217" s="66">
        <v>6</v>
      </c>
      <c r="C217" s="66">
        <v>6</v>
      </c>
      <c r="D217" s="66">
        <v>7</v>
      </c>
      <c r="E217" s="66">
        <v>4</v>
      </c>
      <c r="F217" s="66">
        <v>4</v>
      </c>
      <c r="G217" s="66">
        <v>-5</v>
      </c>
      <c r="H217" s="66">
        <v>4</v>
      </c>
      <c r="I217" s="66">
        <v>2</v>
      </c>
      <c r="J217" s="66">
        <v>4</v>
      </c>
      <c r="K217" s="66">
        <v>6</v>
      </c>
      <c r="L217" s="66">
        <v>6</v>
      </c>
      <c r="M217" s="66">
        <v>3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</row>
    <row r="218" spans="1:30" outlineLevel="1" x14ac:dyDescent="0.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</row>
    <row r="219" spans="1:30" outlineLevel="1" x14ac:dyDescent="0.25">
      <c r="A219" s="66" t="s">
        <v>185</v>
      </c>
      <c r="B219" s="66"/>
      <c r="C219" s="66"/>
      <c r="D219" s="66"/>
      <c r="E219" s="66"/>
      <c r="F219" s="66"/>
      <c r="G219" s="66"/>
      <c r="H219" s="66"/>
      <c r="I219" s="66"/>
      <c r="J219" s="66">
        <v>5</v>
      </c>
      <c r="K219" s="66">
        <v>12</v>
      </c>
      <c r="L219" s="66">
        <v>29</v>
      </c>
      <c r="M219" s="66">
        <v>40</v>
      </c>
      <c r="N219" s="66">
        <v>82</v>
      </c>
      <c r="O219" s="66">
        <v>88</v>
      </c>
      <c r="P219" s="66">
        <v>108</v>
      </c>
      <c r="Q219" s="66">
        <v>117</v>
      </c>
      <c r="R219" s="66">
        <v>137</v>
      </c>
      <c r="S219" s="66">
        <v>133</v>
      </c>
      <c r="T219" s="66">
        <v>133</v>
      </c>
      <c r="U219" s="66">
        <v>144</v>
      </c>
      <c r="V219" s="66">
        <v>151</v>
      </c>
      <c r="W219" s="66">
        <v>160</v>
      </c>
      <c r="X219" s="66">
        <v>154</v>
      </c>
      <c r="Y219" s="66">
        <v>157</v>
      </c>
      <c r="Z219" s="66">
        <v>109</v>
      </c>
      <c r="AA219" s="66"/>
      <c r="AB219" s="66"/>
      <c r="AC219" s="66"/>
      <c r="AD219" s="66"/>
    </row>
    <row r="220" spans="1:30" outlineLevel="1" x14ac:dyDescent="0.25">
      <c r="A220" s="66" t="s">
        <v>184</v>
      </c>
      <c r="B220" s="66"/>
      <c r="C220" s="66"/>
      <c r="D220" s="66"/>
      <c r="E220" s="66"/>
      <c r="F220" s="66"/>
      <c r="G220" s="66"/>
      <c r="H220" s="66"/>
      <c r="I220" s="66"/>
      <c r="J220" s="66">
        <v>-2</v>
      </c>
      <c r="K220" s="66">
        <v>0</v>
      </c>
      <c r="L220" s="66">
        <v>-1</v>
      </c>
      <c r="M220" s="66">
        <v>-2</v>
      </c>
      <c r="N220" s="90">
        <v>-2</v>
      </c>
      <c r="O220" s="66">
        <v>-1</v>
      </c>
      <c r="P220" s="66">
        <v>-3</v>
      </c>
      <c r="Q220" s="66">
        <v>-3</v>
      </c>
      <c r="R220" s="66">
        <v>-2</v>
      </c>
      <c r="S220" s="66">
        <v>-2</v>
      </c>
      <c r="T220" s="66">
        <v>-3</v>
      </c>
      <c r="U220" s="66">
        <v>-1</v>
      </c>
      <c r="V220" s="66">
        <v>-1</v>
      </c>
      <c r="W220" s="66">
        <v>0</v>
      </c>
      <c r="X220" s="66">
        <v>0</v>
      </c>
      <c r="Y220" s="66">
        <v>0</v>
      </c>
      <c r="Z220" s="66">
        <v>0</v>
      </c>
      <c r="AA220" s="66"/>
      <c r="AB220" s="66"/>
      <c r="AC220" s="66"/>
      <c r="AD220" s="66"/>
    </row>
    <row r="221" spans="1:30" outlineLevel="1" x14ac:dyDescent="0.25">
      <c r="A221" s="66" t="s">
        <v>238</v>
      </c>
      <c r="B221" s="66">
        <v>-4</v>
      </c>
      <c r="C221" s="66">
        <v>-3</v>
      </c>
      <c r="D221" s="66">
        <v>-2</v>
      </c>
      <c r="E221" s="66">
        <v>-3</v>
      </c>
      <c r="F221" s="66">
        <v>-5</v>
      </c>
      <c r="G221" s="66">
        <v>-10</v>
      </c>
      <c r="H221" s="66">
        <v>-3</v>
      </c>
      <c r="I221" s="66">
        <v>-6</v>
      </c>
      <c r="J221" s="66">
        <f>J219+J220</f>
        <v>3</v>
      </c>
      <c r="K221" s="66">
        <f>K219+K220</f>
        <v>12</v>
      </c>
      <c r="L221" s="66">
        <f>L219+L220</f>
        <v>28</v>
      </c>
      <c r="M221" s="66">
        <f>M219+M220</f>
        <v>38</v>
      </c>
      <c r="N221" s="66">
        <f>N219+N220</f>
        <v>80</v>
      </c>
      <c r="O221" s="66">
        <f t="shared" ref="O221:V221" si="11">O219+O220</f>
        <v>87</v>
      </c>
      <c r="P221" s="66">
        <f t="shared" si="11"/>
        <v>105</v>
      </c>
      <c r="Q221" s="66">
        <f t="shared" si="11"/>
        <v>114</v>
      </c>
      <c r="R221" s="66">
        <f t="shared" si="11"/>
        <v>135</v>
      </c>
      <c r="S221" s="66">
        <f t="shared" si="11"/>
        <v>131</v>
      </c>
      <c r="T221" s="66">
        <f t="shared" si="11"/>
        <v>130</v>
      </c>
      <c r="U221" s="66">
        <f t="shared" si="11"/>
        <v>143</v>
      </c>
      <c r="V221" s="66">
        <f t="shared" si="11"/>
        <v>150</v>
      </c>
      <c r="W221" s="66">
        <f>W219+W220</f>
        <v>160</v>
      </c>
      <c r="X221" s="66">
        <f>X219+X220</f>
        <v>154</v>
      </c>
      <c r="Y221" s="66">
        <f>Y219+Y220</f>
        <v>157</v>
      </c>
      <c r="Z221" s="66">
        <v>109</v>
      </c>
      <c r="AA221" s="66"/>
      <c r="AB221" s="66"/>
      <c r="AC221" s="66"/>
      <c r="AD221" s="66"/>
    </row>
    <row r="222" spans="1:30" outlineLevel="1" x14ac:dyDescent="0.25">
      <c r="A222" s="66" t="s">
        <v>204</v>
      </c>
      <c r="B222" s="66">
        <v>-131</v>
      </c>
      <c r="C222" s="66">
        <v>-105</v>
      </c>
      <c r="D222" s="66">
        <v>-105</v>
      </c>
      <c r="E222" s="66">
        <v>-99</v>
      </c>
      <c r="F222" s="66">
        <v>-99</v>
      </c>
      <c r="G222" s="66">
        <v>-102</v>
      </c>
      <c r="H222" s="66">
        <v>-90</v>
      </c>
      <c r="I222" s="79"/>
      <c r="J222" s="79"/>
      <c r="K222" s="79"/>
      <c r="L222" s="79"/>
      <c r="M222" s="79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</row>
    <row r="223" spans="1:30" outlineLevel="1" x14ac:dyDescent="0.25">
      <c r="A223" s="66"/>
      <c r="B223" s="66"/>
      <c r="C223" s="66"/>
      <c r="D223" s="66"/>
      <c r="E223" s="66"/>
      <c r="F223" s="66"/>
      <c r="G223" s="66"/>
      <c r="H223" s="66"/>
    </row>
    <row r="224" spans="1:30" outlineLevel="1" x14ac:dyDescent="0.25">
      <c r="A224" s="71" t="s">
        <v>207</v>
      </c>
      <c r="B224" s="66"/>
      <c r="C224" s="66"/>
      <c r="D224" s="66"/>
      <c r="E224" s="66"/>
      <c r="F224" s="6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66"/>
      <c r="W224" s="66"/>
      <c r="X224" s="66"/>
      <c r="Y224" s="66"/>
      <c r="Z224" s="66"/>
      <c r="AA224" s="66"/>
      <c r="AB224" s="66"/>
      <c r="AC224" s="66"/>
      <c r="AD224" s="66"/>
    </row>
    <row r="225" spans="1:30" outlineLevel="1" x14ac:dyDescent="0.25">
      <c r="A225" s="66" t="s">
        <v>208</v>
      </c>
      <c r="B225" s="81">
        <v>1.24E-2</v>
      </c>
      <c r="C225" s="81">
        <v>1.21E-2</v>
      </c>
      <c r="D225" s="81">
        <v>1.2200000000000001E-2</v>
      </c>
      <c r="E225" s="81">
        <v>1.2800000000000001E-2</v>
      </c>
      <c r="F225" s="81">
        <v>1.2999999999999999E-2</v>
      </c>
      <c r="G225" s="81">
        <v>1.12E-2</v>
      </c>
      <c r="H225" s="81">
        <v>1.1900000000000001E-2</v>
      </c>
      <c r="I225" s="81">
        <v>1.1900000000000001E-2</v>
      </c>
      <c r="J225" s="81">
        <v>1.24E-2</v>
      </c>
      <c r="K225" s="81">
        <v>1.2999999999999999E-2</v>
      </c>
      <c r="L225" s="81">
        <v>1.29E-2</v>
      </c>
      <c r="M225" s="81">
        <v>1.26E-2</v>
      </c>
      <c r="N225" s="81">
        <v>1.34E-2</v>
      </c>
      <c r="O225" s="81">
        <v>1.37E-2</v>
      </c>
      <c r="P225" s="81">
        <v>1.4200000000000001E-2</v>
      </c>
      <c r="Q225" s="81">
        <v>1.38E-2</v>
      </c>
      <c r="R225" s="81">
        <v>1.4999999999999999E-2</v>
      </c>
      <c r="S225" s="81">
        <v>1.4800000000000001E-2</v>
      </c>
      <c r="T225" s="81">
        <v>1.47E-2</v>
      </c>
      <c r="U225" s="81">
        <v>1.4800000000000001E-2</v>
      </c>
      <c r="V225" s="81">
        <v>1.5100000000000001E-2</v>
      </c>
      <c r="W225" s="81">
        <v>1.4500000000000001E-2</v>
      </c>
      <c r="X225" s="81">
        <v>1.4500000000000001E-2</v>
      </c>
      <c r="Y225" s="81">
        <v>1.4500000000000001E-2</v>
      </c>
      <c r="Z225" s="81">
        <v>1.52E-2</v>
      </c>
      <c r="AA225" s="81">
        <v>1.61E-2</v>
      </c>
      <c r="AB225" s="81">
        <v>1.5599999999999999E-2</v>
      </c>
      <c r="AC225" s="81">
        <v>1.6400000000000001E-2</v>
      </c>
      <c r="AD225" s="81"/>
    </row>
    <row r="226" spans="1:30" outlineLevel="1" x14ac:dyDescent="0.25">
      <c r="A226" s="66" t="s">
        <v>209</v>
      </c>
      <c r="B226" s="81">
        <v>1.0200000000000001E-2</v>
      </c>
      <c r="C226" s="81">
        <v>9.7000000000000003E-3</v>
      </c>
      <c r="D226" s="81">
        <v>9.7999999999999997E-3</v>
      </c>
      <c r="E226" s="81">
        <v>0.01</v>
      </c>
      <c r="F226" s="81">
        <v>1.0200000000000001E-2</v>
      </c>
      <c r="G226" s="81">
        <v>8.9999999999999993E-3</v>
      </c>
      <c r="H226" s="81">
        <v>9.5999999999999992E-3</v>
      </c>
      <c r="I226" s="81">
        <v>9.7999999999999997E-3</v>
      </c>
      <c r="J226" s="81">
        <v>1.01E-2</v>
      </c>
      <c r="K226" s="81">
        <v>1.0699999999999999E-2</v>
      </c>
      <c r="L226" s="81">
        <v>1.04E-2</v>
      </c>
      <c r="M226" s="81">
        <v>1.01E-2</v>
      </c>
      <c r="N226" s="81">
        <v>1.06E-2</v>
      </c>
      <c r="O226" s="81">
        <v>1.0699999999999999E-2</v>
      </c>
      <c r="P226" s="81">
        <v>1.0999999999999999E-2</v>
      </c>
      <c r="Q226" s="81">
        <v>1.06E-2</v>
      </c>
      <c r="R226" s="81">
        <v>1.1599999999999999E-2</v>
      </c>
      <c r="S226" s="81">
        <v>1.0999999999999999E-2</v>
      </c>
      <c r="T226" s="81">
        <v>1.14E-2</v>
      </c>
      <c r="U226" s="81">
        <v>1.12E-2</v>
      </c>
      <c r="V226" s="81">
        <v>1.1299999999999999E-2</v>
      </c>
      <c r="W226" s="81">
        <v>1.09E-2</v>
      </c>
      <c r="X226" s="81">
        <v>1.12E-2</v>
      </c>
      <c r="Y226" s="81">
        <v>1.0800000000000001E-2</v>
      </c>
      <c r="Z226" s="81">
        <v>1.15E-2</v>
      </c>
      <c r="AA226" s="81">
        <v>1.26E-2</v>
      </c>
      <c r="AB226" s="81">
        <v>1.2500000000000001E-2</v>
      </c>
      <c r="AC226" s="81">
        <v>1.2699999999999999E-2</v>
      </c>
      <c r="AD226" s="81"/>
    </row>
    <row r="227" spans="1:30" outlineLevel="1" x14ac:dyDescent="0.2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 spans="1:30" outlineLevel="1" x14ac:dyDescent="0.25">
      <c r="A228" s="54" t="s">
        <v>148</v>
      </c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 spans="1:30" outlineLevel="1" x14ac:dyDescent="0.25">
      <c r="A229" s="71" t="s">
        <v>207</v>
      </c>
      <c r="B229" s="66"/>
      <c r="C229" s="66"/>
      <c r="D229" s="66"/>
      <c r="E229" s="66"/>
      <c r="F229" s="6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66"/>
      <c r="W229" s="66"/>
      <c r="X229" s="66"/>
      <c r="Y229" s="66"/>
      <c r="Z229" s="66"/>
      <c r="AA229" s="66"/>
      <c r="AB229" s="66"/>
      <c r="AC229" s="66"/>
      <c r="AD229" s="66"/>
    </row>
    <row r="230" spans="1:30" outlineLevel="1" x14ac:dyDescent="0.25">
      <c r="A230" s="66" t="s">
        <v>208</v>
      </c>
      <c r="B230" s="81">
        <v>1.24E-2</v>
      </c>
      <c r="C230" s="81">
        <v>1.21E-2</v>
      </c>
      <c r="D230" s="81">
        <v>1.2200000000000001E-2</v>
      </c>
      <c r="E230" s="81">
        <v>1.2800000000000001E-2</v>
      </c>
      <c r="F230" s="81">
        <v>1.2999999999999999E-2</v>
      </c>
      <c r="G230" s="81">
        <v>1.12E-2</v>
      </c>
      <c r="H230" s="81">
        <v>1.1900000000000001E-2</v>
      </c>
      <c r="I230" s="81">
        <v>1.1900000000000001E-2</v>
      </c>
      <c r="J230" s="81">
        <v>1.24E-2</v>
      </c>
      <c r="K230" s="81">
        <v>1.2999999999999999E-2</v>
      </c>
      <c r="L230" s="81">
        <v>1.29E-2</v>
      </c>
      <c r="M230" s="81">
        <v>1.26E-2</v>
      </c>
      <c r="N230" s="81">
        <v>1.34E-2</v>
      </c>
      <c r="O230" s="81">
        <v>1.37E-2</v>
      </c>
      <c r="P230" s="81">
        <v>1.4200000000000001E-2</v>
      </c>
      <c r="Q230" s="81">
        <v>1.38E-2</v>
      </c>
      <c r="R230" s="81">
        <v>1.4999999999999999E-2</v>
      </c>
      <c r="S230" s="81">
        <v>1.4800000000000001E-2</v>
      </c>
      <c r="T230" s="81">
        <v>1.47E-2</v>
      </c>
      <c r="U230" s="81">
        <v>1.4800000000000001E-2</v>
      </c>
      <c r="V230" s="81">
        <v>1.5100000000000001E-2</v>
      </c>
      <c r="W230" s="81">
        <v>1.4500000000000001E-2</v>
      </c>
      <c r="X230" s="81">
        <v>1.4500000000000001E-2</v>
      </c>
      <c r="Y230" s="81">
        <v>1.4500000000000001E-2</v>
      </c>
      <c r="Z230" s="81">
        <v>1.52E-2</v>
      </c>
      <c r="AA230" s="81"/>
      <c r="AB230" s="81"/>
      <c r="AC230" s="81"/>
      <c r="AD230" s="81"/>
    </row>
    <row r="231" spans="1:30" outlineLevel="1" x14ac:dyDescent="0.25">
      <c r="A231" s="66" t="s">
        <v>209</v>
      </c>
      <c r="B231" s="81">
        <v>1.0200000000000001E-2</v>
      </c>
      <c r="C231" s="81">
        <v>9.7000000000000003E-3</v>
      </c>
      <c r="D231" s="81">
        <v>9.7999999999999997E-3</v>
      </c>
      <c r="E231" s="81">
        <v>0.01</v>
      </c>
      <c r="F231" s="81">
        <v>1.0200000000000001E-2</v>
      </c>
      <c r="G231" s="81">
        <v>8.9999999999999993E-3</v>
      </c>
      <c r="H231" s="81">
        <v>9.5999999999999992E-3</v>
      </c>
      <c r="I231" s="81">
        <v>9.7999999999999997E-3</v>
      </c>
      <c r="J231" s="81">
        <v>1.01E-2</v>
      </c>
      <c r="K231" s="81">
        <v>1.0699999999999999E-2</v>
      </c>
      <c r="L231" s="81">
        <v>1.04E-2</v>
      </c>
      <c r="M231" s="81">
        <v>1.01E-2</v>
      </c>
      <c r="N231" s="81">
        <v>1.06E-2</v>
      </c>
      <c r="O231" s="81">
        <v>1.0699999999999999E-2</v>
      </c>
      <c r="P231" s="81">
        <v>1.0999999999999999E-2</v>
      </c>
      <c r="Q231" s="81">
        <v>1.06E-2</v>
      </c>
      <c r="R231" s="81">
        <v>1.1599999999999999E-2</v>
      </c>
      <c r="S231" s="81">
        <v>1.0999999999999999E-2</v>
      </c>
      <c r="T231" s="81">
        <v>1.14E-2</v>
      </c>
      <c r="U231" s="81">
        <v>1.12E-2</v>
      </c>
      <c r="V231" s="81">
        <v>1.1299999999999999E-2</v>
      </c>
      <c r="W231" s="81">
        <v>1.0999999999999999E-2</v>
      </c>
      <c r="X231" s="81">
        <v>1.12E-2</v>
      </c>
      <c r="Y231" s="81">
        <v>1.09E-2</v>
      </c>
      <c r="Z231" s="81">
        <v>1.15E-2</v>
      </c>
      <c r="AA231" s="81"/>
      <c r="AB231" s="81"/>
      <c r="AC231" s="81"/>
      <c r="AD231" s="81"/>
    </row>
    <row r="232" spans="1:30" outlineLevel="1" x14ac:dyDescent="0.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 spans="1:30" outlineLevel="1" x14ac:dyDescent="0.25">
      <c r="A233" s="71" t="s">
        <v>239</v>
      </c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 spans="1:30" outlineLevel="1" x14ac:dyDescent="0.25">
      <c r="A234" s="66" t="s">
        <v>212</v>
      </c>
      <c r="B234" s="66">
        <v>2694</v>
      </c>
      <c r="C234" s="66">
        <v>2775</v>
      </c>
      <c r="D234" s="66">
        <v>2850</v>
      </c>
      <c r="E234" s="78">
        <v>2869</v>
      </c>
      <c r="F234" s="78">
        <v>2881</v>
      </c>
      <c r="G234" s="78">
        <v>2861</v>
      </c>
      <c r="H234" s="78">
        <v>2990</v>
      </c>
      <c r="I234" s="78">
        <v>3073</v>
      </c>
      <c r="J234" s="78">
        <v>3060</v>
      </c>
      <c r="K234" s="78">
        <v>3090</v>
      </c>
      <c r="L234" s="78">
        <v>3097</v>
      </c>
      <c r="M234" s="78">
        <v>3119</v>
      </c>
      <c r="N234" s="78">
        <v>3125</v>
      </c>
      <c r="O234" s="78">
        <v>3182</v>
      </c>
      <c r="P234" s="78">
        <v>3273</v>
      </c>
      <c r="Q234" s="78">
        <v>3265</v>
      </c>
      <c r="R234" s="78">
        <v>3290</v>
      </c>
      <c r="S234" s="78">
        <v>3351</v>
      </c>
      <c r="T234" s="78">
        <v>3367</v>
      </c>
      <c r="U234" s="78">
        <v>3364</v>
      </c>
      <c r="V234" s="78">
        <v>3467</v>
      </c>
      <c r="W234" s="78">
        <v>3521</v>
      </c>
      <c r="X234" s="78">
        <v>3562</v>
      </c>
      <c r="Y234" s="78">
        <v>3572</v>
      </c>
      <c r="Z234" s="78">
        <v>3565</v>
      </c>
      <c r="AA234" s="78">
        <v>3579</v>
      </c>
      <c r="AB234" s="78">
        <v>3588</v>
      </c>
      <c r="AC234" s="78">
        <v>3589</v>
      </c>
      <c r="AD234" s="78"/>
    </row>
    <row r="235" spans="1:30" outlineLevel="1" x14ac:dyDescent="0.25">
      <c r="A235" s="66" t="s">
        <v>240</v>
      </c>
      <c r="B235" s="66">
        <v>243</v>
      </c>
      <c r="C235" s="66">
        <v>239</v>
      </c>
      <c r="D235" s="66">
        <v>243</v>
      </c>
      <c r="E235" s="78">
        <v>242</v>
      </c>
      <c r="F235" s="78">
        <v>262</v>
      </c>
      <c r="G235" s="78">
        <v>260</v>
      </c>
      <c r="H235" s="78">
        <v>263</v>
      </c>
      <c r="I235" s="78">
        <v>272</v>
      </c>
      <c r="J235" s="78">
        <v>276</v>
      </c>
      <c r="K235" s="78">
        <v>281</v>
      </c>
      <c r="L235" s="78">
        <v>287</v>
      </c>
      <c r="M235" s="78">
        <v>292</v>
      </c>
      <c r="N235" s="78">
        <v>295</v>
      </c>
      <c r="O235" s="78">
        <v>298</v>
      </c>
      <c r="P235" s="78">
        <v>304</v>
      </c>
      <c r="Q235" s="78">
        <v>304</v>
      </c>
      <c r="R235" s="78">
        <v>307</v>
      </c>
      <c r="S235" s="78">
        <v>308</v>
      </c>
      <c r="T235" s="78">
        <v>308</v>
      </c>
      <c r="U235" s="78">
        <v>312</v>
      </c>
      <c r="V235" s="78">
        <v>311</v>
      </c>
      <c r="W235" s="78">
        <v>313</v>
      </c>
      <c r="X235" s="78">
        <v>314</v>
      </c>
      <c r="Y235" s="78">
        <v>314</v>
      </c>
      <c r="Z235" s="78">
        <v>310</v>
      </c>
      <c r="AA235" s="78">
        <v>310</v>
      </c>
      <c r="AB235" s="78">
        <v>310</v>
      </c>
      <c r="AC235" s="78">
        <v>314</v>
      </c>
      <c r="AD235" s="78"/>
    </row>
    <row r="236" spans="1:30" outlineLevel="1" x14ac:dyDescent="0.25">
      <c r="A236" s="66" t="s">
        <v>241</v>
      </c>
      <c r="B236" s="66">
        <v>765</v>
      </c>
      <c r="C236" s="66">
        <v>817</v>
      </c>
      <c r="D236" s="66">
        <v>884</v>
      </c>
      <c r="E236" s="78">
        <v>1049</v>
      </c>
      <c r="F236" s="78">
        <v>752</v>
      </c>
      <c r="G236" s="78">
        <v>546</v>
      </c>
      <c r="H236" s="78">
        <v>709</v>
      </c>
      <c r="I236" s="78">
        <v>921</v>
      </c>
      <c r="J236" s="78">
        <v>752</v>
      </c>
      <c r="K236" s="78">
        <v>804</v>
      </c>
      <c r="L236" s="78">
        <v>820</v>
      </c>
      <c r="M236" s="78">
        <v>1007</v>
      </c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</row>
    <row r="237" spans="1:30" outlineLevel="1" x14ac:dyDescent="0.25">
      <c r="A237" s="66" t="s">
        <v>242</v>
      </c>
      <c r="B237" s="65">
        <v>4260</v>
      </c>
      <c r="C237" s="65">
        <v>4176</v>
      </c>
      <c r="D237" s="65">
        <v>4151</v>
      </c>
      <c r="E237" s="65">
        <v>4153</v>
      </c>
      <c r="F237" s="65">
        <v>4048</v>
      </c>
      <c r="G237" s="65">
        <v>4075</v>
      </c>
      <c r="H237" s="65">
        <v>4050</v>
      </c>
      <c r="I237" s="65">
        <v>4056</v>
      </c>
      <c r="J237" s="65">
        <v>3969</v>
      </c>
      <c r="K237" s="65">
        <v>3868</v>
      </c>
      <c r="L237" s="65">
        <v>3772</v>
      </c>
      <c r="M237" s="65">
        <v>3684</v>
      </c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</row>
    <row r="238" spans="1:30" outlineLevel="1" x14ac:dyDescent="0.25">
      <c r="A238" s="66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</row>
    <row r="239" spans="1:30" outlineLevel="1" x14ac:dyDescent="0.25">
      <c r="A239" s="54" t="s">
        <v>148</v>
      </c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</row>
    <row r="240" spans="1:30" outlineLevel="1" x14ac:dyDescent="0.25">
      <c r="A240" s="71" t="s">
        <v>239</v>
      </c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 spans="1:32" outlineLevel="1" x14ac:dyDescent="0.25">
      <c r="A241" s="66" t="s">
        <v>212</v>
      </c>
      <c r="B241" s="66">
        <v>2694</v>
      </c>
      <c r="C241" s="66">
        <v>2775</v>
      </c>
      <c r="D241" s="66">
        <v>2850</v>
      </c>
      <c r="E241" s="78">
        <v>2869</v>
      </c>
      <c r="F241" s="78">
        <v>2881</v>
      </c>
      <c r="G241" s="78">
        <v>2861</v>
      </c>
      <c r="H241" s="78">
        <v>2990</v>
      </c>
      <c r="I241" s="78">
        <v>3073</v>
      </c>
      <c r="J241" s="78">
        <v>3060</v>
      </c>
      <c r="K241" s="78">
        <v>3090</v>
      </c>
      <c r="L241" s="78">
        <v>3097</v>
      </c>
      <c r="M241" s="78">
        <v>3119</v>
      </c>
      <c r="N241" s="78">
        <v>3125</v>
      </c>
      <c r="O241" s="78">
        <v>3182</v>
      </c>
      <c r="P241" s="78">
        <v>3273</v>
      </c>
      <c r="Q241" s="78">
        <v>3265</v>
      </c>
      <c r="R241" s="78">
        <v>3290</v>
      </c>
      <c r="S241" s="78">
        <v>3351</v>
      </c>
      <c r="T241" s="78">
        <v>3367</v>
      </c>
      <c r="U241" s="78">
        <v>3364</v>
      </c>
      <c r="V241" s="78">
        <v>3379</v>
      </c>
      <c r="W241" s="78">
        <v>3431</v>
      </c>
      <c r="X241" s="78">
        <v>3466</v>
      </c>
      <c r="Y241" s="78">
        <v>3477</v>
      </c>
      <c r="Z241" s="78">
        <v>3565</v>
      </c>
      <c r="AA241" s="78"/>
      <c r="AB241" s="78"/>
      <c r="AC241" s="78"/>
      <c r="AD241" s="78"/>
    </row>
    <row r="242" spans="1:32" outlineLevel="1" x14ac:dyDescent="0.25">
      <c r="A242" s="66" t="s">
        <v>240</v>
      </c>
      <c r="B242" s="66">
        <v>243</v>
      </c>
      <c r="C242" s="66">
        <v>239</v>
      </c>
      <c r="D242" s="66">
        <v>243</v>
      </c>
      <c r="E242" s="78">
        <v>242</v>
      </c>
      <c r="F242" s="78">
        <v>262</v>
      </c>
      <c r="G242" s="78">
        <v>260</v>
      </c>
      <c r="H242" s="78">
        <v>263</v>
      </c>
      <c r="I242" s="78">
        <v>272</v>
      </c>
      <c r="J242" s="78">
        <v>276</v>
      </c>
      <c r="K242" s="78">
        <v>281</v>
      </c>
      <c r="L242" s="78">
        <v>287</v>
      </c>
      <c r="M242" s="78">
        <v>292</v>
      </c>
      <c r="N242" s="78">
        <v>295</v>
      </c>
      <c r="O242" s="78">
        <v>298</v>
      </c>
      <c r="P242" s="78">
        <v>304</v>
      </c>
      <c r="Q242" s="78">
        <v>304</v>
      </c>
      <c r="R242" s="78">
        <v>307</v>
      </c>
      <c r="S242" s="78">
        <v>308</v>
      </c>
      <c r="T242" s="78">
        <v>308</v>
      </c>
      <c r="U242" s="78">
        <v>312</v>
      </c>
      <c r="V242" s="78">
        <v>311</v>
      </c>
      <c r="W242" s="78">
        <v>313</v>
      </c>
      <c r="X242" s="78">
        <v>314</v>
      </c>
      <c r="Y242" s="78">
        <v>314</v>
      </c>
      <c r="Z242" s="78">
        <v>310</v>
      </c>
      <c r="AA242" s="78"/>
      <c r="AB242" s="78"/>
      <c r="AC242" s="78"/>
      <c r="AD242" s="78"/>
    </row>
    <row r="243" spans="1:32" outlineLevel="1" x14ac:dyDescent="0.25">
      <c r="A243" s="66" t="s">
        <v>241</v>
      </c>
      <c r="B243" s="66">
        <v>765</v>
      </c>
      <c r="C243" s="66">
        <v>817</v>
      </c>
      <c r="D243" s="66">
        <v>884</v>
      </c>
      <c r="E243" s="78">
        <v>1049</v>
      </c>
      <c r="F243" s="78">
        <v>752</v>
      </c>
      <c r="G243" s="78">
        <v>546</v>
      </c>
      <c r="H243" s="78">
        <v>709</v>
      </c>
      <c r="I243" s="78">
        <v>921</v>
      </c>
      <c r="J243" s="78">
        <v>752</v>
      </c>
      <c r="K243" s="78">
        <v>804</v>
      </c>
      <c r="L243" s="78">
        <v>820</v>
      </c>
      <c r="M243" s="78">
        <v>1007</v>
      </c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</row>
    <row r="244" spans="1:32" outlineLevel="1" x14ac:dyDescent="0.25">
      <c r="A244" s="66" t="s">
        <v>242</v>
      </c>
      <c r="B244" s="65">
        <v>4260</v>
      </c>
      <c r="C244" s="65">
        <v>4176</v>
      </c>
      <c r="D244" s="65">
        <v>4151</v>
      </c>
      <c r="E244" s="65">
        <v>4153</v>
      </c>
      <c r="F244" s="65">
        <v>4048</v>
      </c>
      <c r="G244" s="65">
        <v>4075</v>
      </c>
      <c r="H244" s="65">
        <v>4050</v>
      </c>
      <c r="I244" s="65">
        <v>4056</v>
      </c>
      <c r="J244" s="65">
        <v>3969</v>
      </c>
      <c r="K244" s="65">
        <v>3868</v>
      </c>
      <c r="L244" s="65">
        <v>3772</v>
      </c>
      <c r="M244" s="65">
        <v>3684</v>
      </c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</row>
    <row r="245" spans="1:32" outlineLevel="1" x14ac:dyDescent="0.25">
      <c r="A245" s="66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</row>
    <row r="246" spans="1:32" outlineLevel="1" x14ac:dyDescent="0.25">
      <c r="A246" s="71" t="s">
        <v>243</v>
      </c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</row>
    <row r="247" spans="1:32" outlineLevel="1" x14ac:dyDescent="0.25">
      <c r="A247" s="66" t="s">
        <v>244</v>
      </c>
      <c r="B247" s="81">
        <v>4.3999999999999997E-2</v>
      </c>
      <c r="C247" s="81">
        <v>4.2000000000000003E-2</v>
      </c>
      <c r="D247" s="81">
        <v>4.4999999999999998E-2</v>
      </c>
      <c r="E247" s="81">
        <v>0.05</v>
      </c>
      <c r="F247" s="81">
        <v>3.5999999999999997E-2</v>
      </c>
      <c r="G247" s="81">
        <v>2.7E-2</v>
      </c>
      <c r="H247" s="81">
        <v>3.3000000000000002E-2</v>
      </c>
      <c r="I247" s="81">
        <v>0.04</v>
      </c>
      <c r="J247" s="81">
        <v>3.3000000000000002E-2</v>
      </c>
      <c r="K247" s="81">
        <v>3.4000000000000002E-2</v>
      </c>
      <c r="L247" s="81">
        <v>3.2000000000000001E-2</v>
      </c>
      <c r="M247" s="81">
        <v>3.4000000000000002E-2</v>
      </c>
      <c r="N247" s="93">
        <v>3.4000000000000002E-2</v>
      </c>
      <c r="O247" s="81">
        <v>3.1E-2</v>
      </c>
      <c r="P247" s="81">
        <v>3.3000000000000002E-2</v>
      </c>
      <c r="Q247" s="81">
        <v>3.6000000000000004E-2</v>
      </c>
      <c r="R247" s="81">
        <v>2.7999999999999997E-2</v>
      </c>
      <c r="S247" s="81">
        <v>2.7000000000000003E-2</v>
      </c>
      <c r="T247" s="81">
        <v>2.8999999999999998E-2</v>
      </c>
      <c r="U247" s="81">
        <v>3.1E-2</v>
      </c>
      <c r="V247" s="81">
        <v>2.5000000000000001E-2</v>
      </c>
      <c r="W247" s="81">
        <v>2.4E-2</v>
      </c>
      <c r="X247" s="81">
        <v>2.5000000000000001E-2</v>
      </c>
      <c r="Y247" s="81">
        <v>2.8000000000000001E-2</v>
      </c>
      <c r="Z247" s="81">
        <v>2.1999999999999999E-2</v>
      </c>
      <c r="AA247" s="81">
        <v>2.3E-2</v>
      </c>
      <c r="AB247" s="81">
        <v>2.3E-2</v>
      </c>
      <c r="AC247" s="81">
        <v>2.5999999999999999E-2</v>
      </c>
      <c r="AD247" s="81"/>
    </row>
    <row r="248" spans="1:32" outlineLevel="1" x14ac:dyDescent="0.25">
      <c r="A248" s="66" t="s">
        <v>245</v>
      </c>
      <c r="B248" s="81">
        <v>0.33400000000000002</v>
      </c>
      <c r="C248" s="81">
        <v>0.33500000000000002</v>
      </c>
      <c r="D248" s="81">
        <v>0.33500000000000002</v>
      </c>
      <c r="E248" s="81">
        <v>0.33600000000000002</v>
      </c>
      <c r="F248" s="81">
        <v>0.33700000000000002</v>
      </c>
      <c r="G248" s="81">
        <v>0.33900000000000002</v>
      </c>
      <c r="H248" s="81">
        <v>0.34300000000000003</v>
      </c>
      <c r="I248" s="81">
        <v>0.34499999999999997</v>
      </c>
      <c r="J248" s="81">
        <v>0.34599999999999997</v>
      </c>
      <c r="K248" s="81">
        <v>0.34799999999999998</v>
      </c>
      <c r="L248" s="81">
        <v>0.34699999999999998</v>
      </c>
      <c r="M248" s="81">
        <v>0.34599999999999997</v>
      </c>
      <c r="N248" s="93">
        <v>0.34599999999999997</v>
      </c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</row>
    <row r="249" spans="1:32" outlineLevel="1" x14ac:dyDescent="0.25">
      <c r="A249" s="66" t="s">
        <v>246</v>
      </c>
      <c r="B249" s="91">
        <v>37.955155434392104</v>
      </c>
      <c r="C249" s="91">
        <v>38.503163503163506</v>
      </c>
      <c r="D249" s="91">
        <v>38.812738749412702</v>
      </c>
      <c r="E249" s="91">
        <v>38.292391572737522</v>
      </c>
      <c r="F249" s="91">
        <v>37.752661752661758</v>
      </c>
      <c r="G249" s="91">
        <v>36.996088319917241</v>
      </c>
      <c r="H249" s="91">
        <v>38.24507546687132</v>
      </c>
      <c r="I249" s="91">
        <v>38.852013401605667</v>
      </c>
      <c r="J249" s="91">
        <v>38.397831651859661</v>
      </c>
      <c r="K249" s="91">
        <v>38.519072550486165</v>
      </c>
      <c r="L249" s="91">
        <v>38.506250893650879</v>
      </c>
      <c r="M249" s="91">
        <v>38.39879842169735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</row>
    <row r="250" spans="1:32" x14ac:dyDescent="0.25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</row>
    <row r="251" spans="1:32" s="3" customFormat="1" x14ac:dyDescent="0.25">
      <c r="A251" s="6" t="s">
        <v>247</v>
      </c>
      <c r="B251" s="9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</row>
    <row r="252" spans="1:32" outlineLevel="1" x14ac:dyDescent="0.25">
      <c r="A252" s="71" t="s">
        <v>174</v>
      </c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</row>
    <row r="253" spans="1:32" outlineLevel="1" x14ac:dyDescent="0.25">
      <c r="A253" s="97" t="s">
        <v>248</v>
      </c>
      <c r="B253" s="98">
        <v>113317</v>
      </c>
      <c r="C253" s="98">
        <v>113774</v>
      </c>
      <c r="D253" s="98">
        <v>114391</v>
      </c>
      <c r="E253" s="98">
        <v>115629</v>
      </c>
      <c r="F253" s="98">
        <v>115572</v>
      </c>
      <c r="G253" s="98">
        <v>115874</v>
      </c>
      <c r="H253" s="98">
        <v>116249</v>
      </c>
      <c r="I253" s="98">
        <v>116853</v>
      </c>
      <c r="J253" s="98">
        <v>116793</v>
      </c>
      <c r="K253" s="98">
        <v>117254</v>
      </c>
      <c r="L253" s="98">
        <v>117914</v>
      </c>
      <c r="M253" s="98">
        <v>118954</v>
      </c>
      <c r="N253" s="98">
        <v>119223</v>
      </c>
      <c r="O253" s="98">
        <v>119683</v>
      </c>
      <c r="P253" s="98">
        <v>120062</v>
      </c>
      <c r="Q253" s="98">
        <v>120589</v>
      </c>
      <c r="R253" s="98">
        <v>121012</v>
      </c>
      <c r="S253" s="98">
        <v>121579</v>
      </c>
      <c r="T253" s="98">
        <v>122159</v>
      </c>
      <c r="U253" s="98">
        <v>123629</v>
      </c>
      <c r="V253" s="98">
        <v>123852</v>
      </c>
      <c r="W253" s="98">
        <v>124190</v>
      </c>
      <c r="X253" s="98">
        <v>124537</v>
      </c>
      <c r="Y253" s="98">
        <v>125937</v>
      </c>
      <c r="Z253" s="98">
        <v>125744</v>
      </c>
      <c r="AA253" s="98">
        <v>125895</v>
      </c>
      <c r="AB253" s="98">
        <v>125913</v>
      </c>
      <c r="AC253" s="98">
        <v>126705</v>
      </c>
      <c r="AD253" s="98">
        <v>126499</v>
      </c>
      <c r="AE253" s="98">
        <v>126619</v>
      </c>
      <c r="AF253" s="98"/>
    </row>
    <row r="254" spans="1:32" outlineLevel="1" x14ac:dyDescent="0.25">
      <c r="A254" s="99" t="s">
        <v>249</v>
      </c>
      <c r="B254" s="98">
        <v>4479</v>
      </c>
      <c r="C254" s="98">
        <v>4266</v>
      </c>
      <c r="D254" s="98">
        <v>4183</v>
      </c>
      <c r="E254" s="98">
        <v>4063</v>
      </c>
      <c r="F254" s="98">
        <v>3980</v>
      </c>
      <c r="G254" s="98">
        <v>3998</v>
      </c>
      <c r="H254" s="98">
        <v>4075</v>
      </c>
      <c r="I254" s="98">
        <v>4027</v>
      </c>
      <c r="J254" s="98">
        <v>4058</v>
      </c>
      <c r="K254" s="98">
        <v>4075</v>
      </c>
      <c r="L254" s="98">
        <v>4072</v>
      </c>
      <c r="M254" s="98">
        <v>23852</v>
      </c>
      <c r="N254" s="98">
        <v>23772</v>
      </c>
      <c r="O254" s="98">
        <v>23138</v>
      </c>
      <c r="P254" s="98">
        <v>23076</v>
      </c>
      <c r="Q254" s="98">
        <v>23664</v>
      </c>
      <c r="R254" s="98">
        <v>22331</v>
      </c>
      <c r="S254" s="98">
        <v>21646</v>
      </c>
      <c r="T254" s="98">
        <v>21420</v>
      </c>
      <c r="U254" s="98">
        <v>21122</v>
      </c>
      <c r="V254" s="98">
        <v>20904</v>
      </c>
      <c r="W254" s="98">
        <v>20276</v>
      </c>
      <c r="X254" s="98">
        <v>20206</v>
      </c>
      <c r="Y254" s="98">
        <v>20138</v>
      </c>
      <c r="Z254" s="98"/>
      <c r="AA254" s="98"/>
      <c r="AB254" s="98"/>
    </row>
    <row r="255" spans="1:32" outlineLevel="1" x14ac:dyDescent="0.25">
      <c r="A255" s="99" t="s">
        <v>250</v>
      </c>
      <c r="B255" s="98">
        <f>SUM(B253,B254)</f>
        <v>117796</v>
      </c>
      <c r="C255" s="98">
        <f t="shared" ref="C255:V255" si="12">SUM(C253,C254)</f>
        <v>118040</v>
      </c>
      <c r="D255" s="98">
        <f t="shared" si="12"/>
        <v>118574</v>
      </c>
      <c r="E255" s="98">
        <f t="shared" si="12"/>
        <v>119692</v>
      </c>
      <c r="F255" s="98">
        <f t="shared" si="12"/>
        <v>119552</v>
      </c>
      <c r="G255" s="98">
        <f t="shared" si="12"/>
        <v>119872</v>
      </c>
      <c r="H255" s="98">
        <f t="shared" si="12"/>
        <v>120324</v>
      </c>
      <c r="I255" s="98">
        <f t="shared" si="12"/>
        <v>120880</v>
      </c>
      <c r="J255" s="98">
        <f t="shared" si="12"/>
        <v>120851</v>
      </c>
      <c r="K255" s="98">
        <f t="shared" si="12"/>
        <v>121329</v>
      </c>
      <c r="L255" s="98">
        <f t="shared" si="12"/>
        <v>121986</v>
      </c>
      <c r="M255" s="98">
        <f t="shared" si="12"/>
        <v>142806</v>
      </c>
      <c r="N255" s="98">
        <f t="shared" si="12"/>
        <v>142995</v>
      </c>
      <c r="O255" s="98">
        <f t="shared" si="12"/>
        <v>142821</v>
      </c>
      <c r="P255" s="98">
        <f t="shared" si="12"/>
        <v>143138</v>
      </c>
      <c r="Q255" s="98">
        <f t="shared" si="12"/>
        <v>144253</v>
      </c>
      <c r="R255" s="98">
        <f t="shared" si="12"/>
        <v>143343</v>
      </c>
      <c r="S255" s="98">
        <f t="shared" si="12"/>
        <v>143225</v>
      </c>
      <c r="T255" s="98">
        <f t="shared" si="12"/>
        <v>143579</v>
      </c>
      <c r="U255" s="98">
        <f t="shared" si="12"/>
        <v>144751</v>
      </c>
      <c r="V255" s="98">
        <f t="shared" si="12"/>
        <v>144756</v>
      </c>
      <c r="W255" s="98">
        <f>SUM(W253,W254)</f>
        <v>144466</v>
      </c>
      <c r="X255" s="98">
        <f>SUM(X253,X254)</f>
        <v>144743</v>
      </c>
      <c r="Y255" s="98">
        <f>SUM(Y253,Y254)</f>
        <v>146075</v>
      </c>
      <c r="Z255" s="98">
        <v>145974</v>
      </c>
      <c r="AA255" s="98">
        <v>146136</v>
      </c>
      <c r="AB255" s="98">
        <v>146119</v>
      </c>
      <c r="AC255" s="98">
        <v>146930</v>
      </c>
      <c r="AD255" s="98">
        <v>146798</v>
      </c>
      <c r="AE255" s="98">
        <v>146953</v>
      </c>
      <c r="AF255" s="98"/>
    </row>
    <row r="256" spans="1:32" outlineLevel="1" x14ac:dyDescent="0.25">
      <c r="A256" s="99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</row>
    <row r="257" spans="1:32" outlineLevel="1" x14ac:dyDescent="0.25">
      <c r="A257" s="99" t="s">
        <v>251</v>
      </c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>
        <v>18717</v>
      </c>
      <c r="W257" s="98">
        <v>18702</v>
      </c>
      <c r="X257" s="98">
        <v>18780</v>
      </c>
      <c r="Y257" s="98">
        <v>18843</v>
      </c>
      <c r="Z257" s="98">
        <v>18977</v>
      </c>
      <c r="AA257" s="98">
        <v>19017</v>
      </c>
      <c r="AB257" s="98">
        <v>19062</v>
      </c>
      <c r="AC257" s="98">
        <v>19169</v>
      </c>
      <c r="AD257" s="98">
        <v>19279</v>
      </c>
      <c r="AE257" s="98">
        <v>19351</v>
      </c>
      <c r="AF257" s="98"/>
    </row>
    <row r="258" spans="1:32" outlineLevel="1" x14ac:dyDescent="0.25">
      <c r="A258" s="99" t="s">
        <v>252</v>
      </c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>
        <v>92818</v>
      </c>
      <c r="W258" s="98">
        <v>92852</v>
      </c>
      <c r="X258" s="98">
        <v>93015</v>
      </c>
      <c r="Y258" s="98">
        <v>93517</v>
      </c>
      <c r="Z258" s="98">
        <v>93214</v>
      </c>
      <c r="AA258" s="98">
        <v>93207</v>
      </c>
      <c r="AB258" s="98">
        <v>93246</v>
      </c>
      <c r="AC258" s="98">
        <v>93868</v>
      </c>
      <c r="AD258" s="98">
        <v>93920</v>
      </c>
      <c r="AE258" s="98">
        <v>94098</v>
      </c>
      <c r="AF258" s="98"/>
    </row>
    <row r="259" spans="1:32" outlineLevel="1" x14ac:dyDescent="0.25">
      <c r="A259" s="99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  <c r="AF259" s="98"/>
    </row>
    <row r="260" spans="1:32" outlineLevel="1" x14ac:dyDescent="0.25">
      <c r="A260" s="99" t="s">
        <v>253</v>
      </c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>
        <v>7581</v>
      </c>
      <c r="AA260" s="98">
        <v>7613</v>
      </c>
      <c r="AB260" s="98">
        <v>7674</v>
      </c>
      <c r="AC260" s="98">
        <v>7741</v>
      </c>
      <c r="AD260" s="98">
        <v>10757</v>
      </c>
      <c r="AE260" s="98">
        <v>10913</v>
      </c>
      <c r="AF260" s="98"/>
    </row>
    <row r="261" spans="1:32" outlineLevel="1" x14ac:dyDescent="0.25">
      <c r="A261" s="99" t="s">
        <v>254</v>
      </c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>
        <v>4845</v>
      </c>
      <c r="AA261" s="98">
        <v>5112</v>
      </c>
      <c r="AB261" s="98">
        <v>5391</v>
      </c>
      <c r="AC261" s="98">
        <v>5727</v>
      </c>
      <c r="AD261" s="98">
        <v>6006</v>
      </c>
      <c r="AE261" s="98">
        <v>6208</v>
      </c>
      <c r="AF261" s="98"/>
    </row>
    <row r="262" spans="1:32" outlineLevel="1" x14ac:dyDescent="0.25">
      <c r="A262" s="99" t="s">
        <v>238</v>
      </c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>
        <v>12426</v>
      </c>
      <c r="AA262" s="98">
        <v>12725</v>
      </c>
      <c r="AB262" s="98">
        <v>13065</v>
      </c>
      <c r="AC262" s="98">
        <v>13468</v>
      </c>
      <c r="AD262" s="98">
        <v>16763</v>
      </c>
      <c r="AE262" s="98">
        <f>AE260+AE261</f>
        <v>17121</v>
      </c>
      <c r="AF262" s="98"/>
    </row>
    <row r="263" spans="1:32" outlineLevel="1" x14ac:dyDescent="0.25">
      <c r="A263" s="99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  <c r="AF263" s="98"/>
    </row>
    <row r="264" spans="1:32" outlineLevel="1" x14ac:dyDescent="0.25">
      <c r="A264" s="54" t="s">
        <v>148</v>
      </c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</row>
    <row r="265" spans="1:32" outlineLevel="1" x14ac:dyDescent="0.25">
      <c r="A265" s="71" t="s">
        <v>174</v>
      </c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</row>
    <row r="266" spans="1:32" outlineLevel="1" x14ac:dyDescent="0.25">
      <c r="A266" s="97" t="s">
        <v>255</v>
      </c>
      <c r="B266" s="98">
        <v>113317</v>
      </c>
      <c r="C266" s="98">
        <v>113774</v>
      </c>
      <c r="D266" s="98">
        <v>114391</v>
      </c>
      <c r="E266" s="98">
        <v>115629</v>
      </c>
      <c r="F266" s="98">
        <v>115572</v>
      </c>
      <c r="G266" s="98">
        <v>115874</v>
      </c>
      <c r="H266" s="98">
        <v>116249</v>
      </c>
      <c r="I266" s="98">
        <v>116853</v>
      </c>
      <c r="J266" s="98">
        <v>116793</v>
      </c>
      <c r="K266" s="98">
        <v>117254</v>
      </c>
      <c r="L266" s="98">
        <v>117914</v>
      </c>
      <c r="M266" s="98">
        <v>118954</v>
      </c>
      <c r="N266" s="98">
        <v>119223</v>
      </c>
      <c r="O266" s="98">
        <v>119683</v>
      </c>
      <c r="P266" s="98">
        <v>120062</v>
      </c>
      <c r="Q266" s="98">
        <v>120589</v>
      </c>
      <c r="R266" s="98">
        <v>121012</v>
      </c>
      <c r="S266" s="98">
        <v>121579</v>
      </c>
      <c r="T266" s="98">
        <v>122159</v>
      </c>
      <c r="U266" s="98">
        <v>123629</v>
      </c>
      <c r="V266" s="98">
        <v>123852</v>
      </c>
      <c r="W266" s="98">
        <v>124190</v>
      </c>
      <c r="X266" s="98">
        <v>124537</v>
      </c>
      <c r="Y266" s="98">
        <v>125937</v>
      </c>
      <c r="Z266" s="98">
        <v>125744</v>
      </c>
      <c r="AA266" s="98"/>
      <c r="AB266" s="98"/>
    </row>
    <row r="267" spans="1:32" outlineLevel="1" x14ac:dyDescent="0.25">
      <c r="A267" s="99" t="s">
        <v>256</v>
      </c>
      <c r="B267" s="98">
        <v>4479</v>
      </c>
      <c r="C267" s="98">
        <v>4266</v>
      </c>
      <c r="D267" s="98">
        <v>4183</v>
      </c>
      <c r="E267" s="98">
        <v>4063</v>
      </c>
      <c r="F267" s="98">
        <v>3980</v>
      </c>
      <c r="G267" s="98">
        <v>3998</v>
      </c>
      <c r="H267" s="98">
        <v>4075</v>
      </c>
      <c r="I267" s="98">
        <v>4027</v>
      </c>
      <c r="J267" s="98">
        <v>4058</v>
      </c>
      <c r="K267" s="98">
        <v>4075</v>
      </c>
      <c r="L267" s="98">
        <v>4072</v>
      </c>
      <c r="M267" s="98">
        <v>23852</v>
      </c>
      <c r="N267" s="98">
        <v>23772</v>
      </c>
      <c r="O267" s="98">
        <v>23138</v>
      </c>
      <c r="P267" s="98">
        <v>23076</v>
      </c>
      <c r="Q267" s="98">
        <v>23664</v>
      </c>
      <c r="R267" s="98">
        <v>22331</v>
      </c>
      <c r="S267" s="98">
        <v>21646</v>
      </c>
      <c r="T267" s="98">
        <v>21420</v>
      </c>
      <c r="U267" s="98">
        <v>21122</v>
      </c>
      <c r="V267" s="98">
        <v>20904</v>
      </c>
      <c r="W267" s="98">
        <v>20276</v>
      </c>
      <c r="X267" s="98">
        <v>20206</v>
      </c>
      <c r="Y267" s="98">
        <v>20138</v>
      </c>
      <c r="Z267" s="98"/>
      <c r="AA267" s="98"/>
      <c r="AB267" s="98"/>
      <c r="AC267" s="98"/>
      <c r="AD267" s="98"/>
      <c r="AE267" s="98"/>
      <c r="AF267" s="98"/>
    </row>
    <row r="268" spans="1:32" outlineLevel="1" x14ac:dyDescent="0.25">
      <c r="A268" s="99" t="s">
        <v>257</v>
      </c>
      <c r="B268" s="98">
        <f>SUM(B266,B267)</f>
        <v>117796</v>
      </c>
      <c r="C268" s="98">
        <f t="shared" ref="C268:V268" si="13">SUM(C266,C267)</f>
        <v>118040</v>
      </c>
      <c r="D268" s="98">
        <f t="shared" si="13"/>
        <v>118574</v>
      </c>
      <c r="E268" s="98">
        <f t="shared" si="13"/>
        <v>119692</v>
      </c>
      <c r="F268" s="98">
        <f t="shared" si="13"/>
        <v>119552</v>
      </c>
      <c r="G268" s="98">
        <f t="shared" si="13"/>
        <v>119872</v>
      </c>
      <c r="H268" s="98">
        <f t="shared" si="13"/>
        <v>120324</v>
      </c>
      <c r="I268" s="98">
        <f t="shared" si="13"/>
        <v>120880</v>
      </c>
      <c r="J268" s="98">
        <f t="shared" si="13"/>
        <v>120851</v>
      </c>
      <c r="K268" s="98">
        <f t="shared" si="13"/>
        <v>121329</v>
      </c>
      <c r="L268" s="98">
        <f t="shared" si="13"/>
        <v>121986</v>
      </c>
      <c r="M268" s="98">
        <f t="shared" si="13"/>
        <v>142806</v>
      </c>
      <c r="N268" s="98">
        <f t="shared" si="13"/>
        <v>142995</v>
      </c>
      <c r="O268" s="98">
        <f t="shared" si="13"/>
        <v>142821</v>
      </c>
      <c r="P268" s="98">
        <f t="shared" si="13"/>
        <v>143138</v>
      </c>
      <c r="Q268" s="98">
        <f t="shared" si="13"/>
        <v>144253</v>
      </c>
      <c r="R268" s="98">
        <f t="shared" si="13"/>
        <v>143343</v>
      </c>
      <c r="S268" s="98">
        <f t="shared" si="13"/>
        <v>143225</v>
      </c>
      <c r="T268" s="98">
        <f t="shared" si="13"/>
        <v>143579</v>
      </c>
      <c r="U268" s="98">
        <f t="shared" si="13"/>
        <v>144751</v>
      </c>
      <c r="V268" s="98">
        <f t="shared" si="13"/>
        <v>144756</v>
      </c>
      <c r="W268" s="98">
        <f>SUM(W266,W267)</f>
        <v>144466</v>
      </c>
      <c r="X268" s="98">
        <f>SUM(X266,X267)</f>
        <v>144743</v>
      </c>
      <c r="Y268" s="98">
        <f>SUM(Y266,Y267)</f>
        <v>146075</v>
      </c>
      <c r="Z268" s="98">
        <v>145974</v>
      </c>
      <c r="AA268" s="98"/>
      <c r="AB268" s="98"/>
      <c r="AC268" s="98"/>
      <c r="AD268" s="98"/>
      <c r="AE268" s="98"/>
      <c r="AF268" s="98"/>
    </row>
    <row r="269" spans="1:32" outlineLevel="1" x14ac:dyDescent="0.25">
      <c r="A269" s="99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</row>
    <row r="270" spans="1:32" outlineLevel="1" x14ac:dyDescent="0.25">
      <c r="A270" s="99" t="s">
        <v>258</v>
      </c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>
        <v>18780</v>
      </c>
      <c r="Y270" s="98">
        <v>18843</v>
      </c>
      <c r="Z270" s="98">
        <v>18977</v>
      </c>
      <c r="AA270" s="98"/>
      <c r="AB270" s="98"/>
      <c r="AC270" s="98"/>
      <c r="AD270" s="98"/>
      <c r="AE270" s="98"/>
      <c r="AF270" s="98"/>
    </row>
    <row r="271" spans="1:32" outlineLevel="1" x14ac:dyDescent="0.25">
      <c r="A271" s="99" t="s">
        <v>259</v>
      </c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>
        <v>93273</v>
      </c>
      <c r="Y271" s="98">
        <v>93846</v>
      </c>
      <c r="Z271" s="98">
        <v>93214</v>
      </c>
      <c r="AA271" s="98"/>
      <c r="AB271" s="98"/>
      <c r="AC271" s="98"/>
      <c r="AD271" s="98"/>
      <c r="AE271" s="98"/>
      <c r="AF271" s="98"/>
    </row>
    <row r="272" spans="1:32" outlineLevel="1" x14ac:dyDescent="0.25">
      <c r="A272" s="99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  <c r="AF272" s="98"/>
    </row>
    <row r="273" spans="1:32" outlineLevel="1" x14ac:dyDescent="0.25">
      <c r="A273" s="86" t="s">
        <v>260</v>
      </c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</row>
    <row r="274" spans="1:32" outlineLevel="1" x14ac:dyDescent="0.25">
      <c r="A274" s="66" t="s">
        <v>252</v>
      </c>
      <c r="B274" s="100">
        <v>-43</v>
      </c>
      <c r="C274" s="100">
        <v>244</v>
      </c>
      <c r="D274" s="100">
        <v>445</v>
      </c>
      <c r="E274" s="100">
        <v>791</v>
      </c>
      <c r="F274" s="100">
        <v>-68</v>
      </c>
      <c r="G274" s="100">
        <v>173</v>
      </c>
      <c r="H274" s="100">
        <v>283</v>
      </c>
      <c r="I274" s="100">
        <v>279</v>
      </c>
      <c r="J274" s="100">
        <v>-178</v>
      </c>
      <c r="K274" s="100">
        <v>275</v>
      </c>
      <c r="L274" s="100">
        <v>429</v>
      </c>
      <c r="M274" s="100">
        <v>558</v>
      </c>
      <c r="N274" s="100">
        <v>-36</v>
      </c>
      <c r="O274" s="100">
        <v>12</v>
      </c>
      <c r="P274" s="100">
        <v>8</v>
      </c>
      <c r="Q274" s="100">
        <v>217</v>
      </c>
      <c r="R274" s="100">
        <v>-127</v>
      </c>
      <c r="S274" s="100">
        <v>8</v>
      </c>
      <c r="T274" s="100">
        <v>100</v>
      </c>
      <c r="U274" s="100">
        <v>449</v>
      </c>
      <c r="V274" s="100">
        <v>-114</v>
      </c>
      <c r="W274" s="100">
        <v>26</v>
      </c>
      <c r="X274" s="100">
        <v>167</v>
      </c>
      <c r="Y274" s="100">
        <v>504</v>
      </c>
      <c r="Z274" s="100">
        <v>-289</v>
      </c>
      <c r="AA274" s="100">
        <v>-9</v>
      </c>
      <c r="AB274" s="100">
        <v>44</v>
      </c>
      <c r="AC274" s="100">
        <v>616</v>
      </c>
      <c r="AD274" s="100">
        <v>55</v>
      </c>
      <c r="AE274" s="100">
        <v>184</v>
      </c>
      <c r="AF274" s="100"/>
    </row>
    <row r="275" spans="1:32" outlineLevel="1" x14ac:dyDescent="0.25">
      <c r="A275" s="99" t="s">
        <v>248</v>
      </c>
      <c r="B275" s="100">
        <v>63</v>
      </c>
      <c r="C275" s="100">
        <v>452</v>
      </c>
      <c r="D275" s="100">
        <v>605</v>
      </c>
      <c r="E275" s="100">
        <v>1263</v>
      </c>
      <c r="F275" s="100">
        <v>-50</v>
      </c>
      <c r="G275" s="100">
        <v>352</v>
      </c>
      <c r="H275" s="100">
        <v>553</v>
      </c>
      <c r="I275" s="100">
        <v>703</v>
      </c>
      <c r="J275" s="100">
        <v>-170</v>
      </c>
      <c r="K275" s="100">
        <v>528</v>
      </c>
      <c r="L275" s="100">
        <v>699</v>
      </c>
      <c r="M275" s="100">
        <v>1058</v>
      </c>
      <c r="N275" s="100">
        <v>269</v>
      </c>
      <c r="O275" s="100">
        <v>514</v>
      </c>
      <c r="P275" s="100">
        <v>388</v>
      </c>
      <c r="Q275" s="100">
        <v>1434</v>
      </c>
      <c r="R275" s="100">
        <v>633</v>
      </c>
      <c r="S275" s="100">
        <v>612</v>
      </c>
      <c r="T275" s="100">
        <v>581</v>
      </c>
      <c r="U275" s="100">
        <v>1460</v>
      </c>
      <c r="V275" s="100">
        <v>253</v>
      </c>
      <c r="W275" s="100">
        <v>340</v>
      </c>
      <c r="X275" s="100">
        <v>349</v>
      </c>
      <c r="Y275" s="100">
        <v>1413</v>
      </c>
      <c r="Z275" s="100">
        <v>-159</v>
      </c>
      <c r="AA275" s="100">
        <v>155</v>
      </c>
      <c r="AB275" s="100">
        <v>36</v>
      </c>
      <c r="AC275" s="100">
        <v>829</v>
      </c>
      <c r="AD275" s="100">
        <v>-196</v>
      </c>
      <c r="AE275" s="100">
        <v>188</v>
      </c>
      <c r="AF275" s="100"/>
    </row>
    <row r="276" spans="1:32" outlineLevel="1" x14ac:dyDescent="0.25">
      <c r="A276" s="99" t="s">
        <v>249</v>
      </c>
      <c r="B276" s="100">
        <v>-176</v>
      </c>
      <c r="C276" s="100">
        <v>-213</v>
      </c>
      <c r="D276" s="100">
        <v>-81</v>
      </c>
      <c r="E276" s="100">
        <v>-121</v>
      </c>
      <c r="F276" s="100">
        <v>-84</v>
      </c>
      <c r="G276" s="100">
        <v>12</v>
      </c>
      <c r="H276" s="100">
        <v>77</v>
      </c>
      <c r="I276" s="100">
        <v>-50</v>
      </c>
      <c r="J276" s="100">
        <v>19</v>
      </c>
      <c r="K276" s="100">
        <v>18</v>
      </c>
      <c r="L276" s="100">
        <v>-4</v>
      </c>
      <c r="M276" s="100">
        <v>-85</v>
      </c>
      <c r="N276" s="100">
        <v>-80</v>
      </c>
      <c r="O276" s="100">
        <v>-229</v>
      </c>
      <c r="P276" s="100">
        <v>39</v>
      </c>
      <c r="Q276" s="100">
        <v>-175</v>
      </c>
      <c r="R276" s="100">
        <v>-351</v>
      </c>
      <c r="S276" s="100">
        <v>-304</v>
      </c>
      <c r="T276" s="100">
        <v>-207</v>
      </c>
      <c r="U276" s="100">
        <v>-289</v>
      </c>
      <c r="V276" s="100">
        <v>-216</v>
      </c>
      <c r="W276" s="100">
        <v>-624</v>
      </c>
      <c r="X276" s="100">
        <v>-69</v>
      </c>
      <c r="Y276" s="100">
        <v>-66</v>
      </c>
      <c r="Z276" s="100"/>
      <c r="AA276" s="100"/>
      <c r="AB276" s="100"/>
      <c r="AC276" s="100"/>
      <c r="AD276" s="100"/>
      <c r="AE276" s="100"/>
      <c r="AF276" s="100"/>
    </row>
    <row r="277" spans="1:32" outlineLevel="1" x14ac:dyDescent="0.25">
      <c r="A277" s="99" t="s">
        <v>250</v>
      </c>
      <c r="B277" s="100">
        <f>SUM(B275:B276)</f>
        <v>-113</v>
      </c>
      <c r="C277" s="100">
        <f t="shared" ref="C277:V277" si="14">SUM(C275:C276)</f>
        <v>239</v>
      </c>
      <c r="D277" s="100">
        <f t="shared" si="14"/>
        <v>524</v>
      </c>
      <c r="E277" s="100">
        <f t="shared" si="14"/>
        <v>1142</v>
      </c>
      <c r="F277" s="100">
        <f t="shared" si="14"/>
        <v>-134</v>
      </c>
      <c r="G277" s="100">
        <f t="shared" si="14"/>
        <v>364</v>
      </c>
      <c r="H277" s="100">
        <f t="shared" si="14"/>
        <v>630</v>
      </c>
      <c r="I277" s="100">
        <f t="shared" si="14"/>
        <v>653</v>
      </c>
      <c r="J277" s="100">
        <f t="shared" si="14"/>
        <v>-151</v>
      </c>
      <c r="K277" s="100">
        <f t="shared" si="14"/>
        <v>546</v>
      </c>
      <c r="L277" s="100">
        <f t="shared" si="14"/>
        <v>695</v>
      </c>
      <c r="M277" s="100">
        <f t="shared" si="14"/>
        <v>973</v>
      </c>
      <c r="N277" s="100">
        <f t="shared" si="14"/>
        <v>189</v>
      </c>
      <c r="O277" s="100">
        <f t="shared" si="14"/>
        <v>285</v>
      </c>
      <c r="P277" s="100">
        <f t="shared" si="14"/>
        <v>427</v>
      </c>
      <c r="Q277" s="100">
        <f t="shared" si="14"/>
        <v>1259</v>
      </c>
      <c r="R277" s="100">
        <f t="shared" si="14"/>
        <v>282</v>
      </c>
      <c r="S277" s="100">
        <f t="shared" si="14"/>
        <v>308</v>
      </c>
      <c r="T277" s="100">
        <f t="shared" si="14"/>
        <v>374</v>
      </c>
      <c r="U277" s="100">
        <f t="shared" si="14"/>
        <v>1171</v>
      </c>
      <c r="V277" s="100">
        <f t="shared" si="14"/>
        <v>37</v>
      </c>
      <c r="W277" s="100">
        <f>SUM(W275:W276)</f>
        <v>-284</v>
      </c>
      <c r="X277" s="100">
        <f>SUM(X275:X276)</f>
        <v>280</v>
      </c>
      <c r="Y277" s="100">
        <f>SUM(Y275:Y276)</f>
        <v>1347</v>
      </c>
      <c r="Z277" s="100">
        <v>-65</v>
      </c>
      <c r="AA277" s="100">
        <v>177</v>
      </c>
      <c r="AB277" s="100">
        <v>2</v>
      </c>
      <c r="AC277" s="100">
        <v>851</v>
      </c>
      <c r="AD277" s="100">
        <v>-116</v>
      </c>
      <c r="AE277" s="100">
        <v>223</v>
      </c>
      <c r="AF277" s="100"/>
    </row>
    <row r="278" spans="1:32" outlineLevel="1" x14ac:dyDescent="0.25">
      <c r="A278" s="99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</row>
    <row r="279" spans="1:32" outlineLevel="1" x14ac:dyDescent="0.25">
      <c r="A279" s="99" t="s">
        <v>258</v>
      </c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>
        <v>-277</v>
      </c>
      <c r="S279" s="100">
        <v>-317</v>
      </c>
      <c r="T279" s="100">
        <v>-221</v>
      </c>
      <c r="U279" s="100">
        <v>-263</v>
      </c>
      <c r="V279" s="100">
        <v>-131</v>
      </c>
      <c r="W279" s="100">
        <v>-12</v>
      </c>
      <c r="X279" s="100">
        <v>80</v>
      </c>
      <c r="Y279" s="100">
        <v>65</v>
      </c>
      <c r="Z279" s="100">
        <v>137</v>
      </c>
      <c r="AA279" s="100">
        <v>50</v>
      </c>
      <c r="AB279" s="100">
        <v>47</v>
      </c>
      <c r="AC279" s="100">
        <v>109</v>
      </c>
      <c r="AD279" s="100">
        <v>115</v>
      </c>
      <c r="AE279" s="100">
        <v>73</v>
      </c>
      <c r="AF279" s="100"/>
    </row>
    <row r="280" spans="1:32" outlineLevel="1" x14ac:dyDescent="0.25">
      <c r="A280" s="99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</row>
    <row r="281" spans="1:32" outlineLevel="1" x14ac:dyDescent="0.25">
      <c r="A281" s="99" t="s">
        <v>253</v>
      </c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>
        <v>45</v>
      </c>
      <c r="AA281" s="100">
        <v>32</v>
      </c>
      <c r="AB281" s="100">
        <v>61</v>
      </c>
      <c r="AC281" s="100">
        <v>67</v>
      </c>
      <c r="AD281" s="100">
        <v>127</v>
      </c>
      <c r="AE281" s="100">
        <v>155</v>
      </c>
      <c r="AF281" s="100"/>
    </row>
    <row r="282" spans="1:32" outlineLevel="1" x14ac:dyDescent="0.25">
      <c r="A282" s="99" t="s">
        <v>254</v>
      </c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>
        <v>308</v>
      </c>
      <c r="AA282" s="100">
        <v>278</v>
      </c>
      <c r="AB282" s="100">
        <v>261</v>
      </c>
      <c r="AC282" s="100">
        <v>319</v>
      </c>
      <c r="AD282" s="100">
        <v>214</v>
      </c>
      <c r="AE282" s="100">
        <v>193</v>
      </c>
      <c r="AF282" s="100"/>
    </row>
    <row r="283" spans="1:32" outlineLevel="1" x14ac:dyDescent="0.25">
      <c r="A283" s="99" t="s">
        <v>238</v>
      </c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>
        <v>353</v>
      </c>
      <c r="AA283" s="100">
        <v>310</v>
      </c>
      <c r="AB283" s="100">
        <v>322</v>
      </c>
      <c r="AC283" s="100">
        <v>386</v>
      </c>
      <c r="AD283" s="100">
        <v>341</v>
      </c>
      <c r="AE283" s="100">
        <f>AE281+AE282</f>
        <v>348</v>
      </c>
      <c r="AF283" s="100"/>
    </row>
    <row r="284" spans="1:32" outlineLevel="1" x14ac:dyDescent="0.25">
      <c r="A284" s="99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</row>
    <row r="285" spans="1:32" outlineLevel="1" x14ac:dyDescent="0.25">
      <c r="A285" s="99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</row>
    <row r="286" spans="1:32" outlineLevel="1" x14ac:dyDescent="0.25">
      <c r="A286" s="99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</row>
    <row r="287" spans="1:32" outlineLevel="1" x14ac:dyDescent="0.25">
      <c r="A287" s="54" t="s">
        <v>148</v>
      </c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</row>
    <row r="288" spans="1:32" outlineLevel="1" x14ac:dyDescent="0.25">
      <c r="A288" s="86" t="s">
        <v>260</v>
      </c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</row>
    <row r="289" spans="1:32" outlineLevel="1" x14ac:dyDescent="0.25">
      <c r="A289" s="66" t="s">
        <v>259</v>
      </c>
      <c r="B289" s="100">
        <v>-43</v>
      </c>
      <c r="C289" s="100">
        <v>244</v>
      </c>
      <c r="D289" s="100">
        <v>445</v>
      </c>
      <c r="E289" s="100">
        <v>791</v>
      </c>
      <c r="F289" s="100">
        <v>-68</v>
      </c>
      <c r="G289" s="100">
        <v>173</v>
      </c>
      <c r="H289" s="100">
        <v>283</v>
      </c>
      <c r="I289" s="100">
        <v>279</v>
      </c>
      <c r="J289" s="100">
        <v>-178</v>
      </c>
      <c r="K289" s="100">
        <v>275</v>
      </c>
      <c r="L289" s="100">
        <v>429</v>
      </c>
      <c r="M289" s="100">
        <v>558</v>
      </c>
      <c r="N289" s="100">
        <v>-36</v>
      </c>
      <c r="O289" s="100">
        <v>12</v>
      </c>
      <c r="P289" s="100">
        <v>8</v>
      </c>
      <c r="Q289" s="100">
        <v>217</v>
      </c>
      <c r="R289" s="100">
        <v>-127</v>
      </c>
      <c r="S289" s="100">
        <v>8</v>
      </c>
      <c r="T289" s="100">
        <v>100</v>
      </c>
      <c r="U289" s="100">
        <v>449</v>
      </c>
      <c r="V289" s="100">
        <v>-68</v>
      </c>
      <c r="W289" s="100">
        <v>148</v>
      </c>
      <c r="X289" s="100">
        <v>239</v>
      </c>
      <c r="Y289" s="100">
        <v>568</v>
      </c>
      <c r="Z289" s="100">
        <v>-289</v>
      </c>
      <c r="AA289" s="100"/>
      <c r="AB289" s="100"/>
      <c r="AC289" s="100"/>
      <c r="AD289" s="100"/>
      <c r="AE289" s="100"/>
      <c r="AF289" s="100"/>
    </row>
    <row r="290" spans="1:32" outlineLevel="1" x14ac:dyDescent="0.25">
      <c r="A290" s="99" t="s">
        <v>255</v>
      </c>
      <c r="B290" s="100">
        <v>63</v>
      </c>
      <c r="C290" s="100">
        <v>452</v>
      </c>
      <c r="D290" s="100">
        <v>605</v>
      </c>
      <c r="E290" s="100">
        <v>1263</v>
      </c>
      <c r="F290" s="100">
        <v>-50</v>
      </c>
      <c r="G290" s="100">
        <v>352</v>
      </c>
      <c r="H290" s="100">
        <v>553</v>
      </c>
      <c r="I290" s="100">
        <v>703</v>
      </c>
      <c r="J290" s="100">
        <v>-170</v>
      </c>
      <c r="K290" s="100">
        <v>528</v>
      </c>
      <c r="L290" s="100">
        <v>699</v>
      </c>
      <c r="M290" s="100">
        <v>1058</v>
      </c>
      <c r="N290" s="100">
        <v>269</v>
      </c>
      <c r="O290" s="100">
        <v>514</v>
      </c>
      <c r="P290" s="100">
        <v>388</v>
      </c>
      <c r="Q290" s="100">
        <v>1434</v>
      </c>
      <c r="R290" s="100">
        <v>633</v>
      </c>
      <c r="S290" s="100">
        <v>612</v>
      </c>
      <c r="T290" s="100">
        <v>581</v>
      </c>
      <c r="U290" s="100">
        <v>1460</v>
      </c>
      <c r="V290" s="100">
        <v>253</v>
      </c>
      <c r="W290" s="100">
        <v>340</v>
      </c>
      <c r="X290" s="100">
        <v>349</v>
      </c>
      <c r="Y290" s="100">
        <v>1413</v>
      </c>
      <c r="Z290" s="100">
        <v>-159</v>
      </c>
      <c r="AA290" s="100"/>
      <c r="AB290" s="100"/>
      <c r="AC290" s="100"/>
      <c r="AD290" s="100"/>
      <c r="AE290" s="100"/>
      <c r="AF290" s="100"/>
    </row>
    <row r="291" spans="1:32" outlineLevel="1" x14ac:dyDescent="0.25">
      <c r="A291" s="99" t="s">
        <v>256</v>
      </c>
      <c r="B291" s="100">
        <v>-176</v>
      </c>
      <c r="C291" s="100">
        <v>-213</v>
      </c>
      <c r="D291" s="100">
        <v>-81</v>
      </c>
      <c r="E291" s="100">
        <v>-121</v>
      </c>
      <c r="F291" s="100">
        <v>-84</v>
      </c>
      <c r="G291" s="100">
        <v>12</v>
      </c>
      <c r="H291" s="100">
        <v>77</v>
      </c>
      <c r="I291" s="100">
        <v>-50</v>
      </c>
      <c r="J291" s="100">
        <v>19</v>
      </c>
      <c r="K291" s="100">
        <v>18</v>
      </c>
      <c r="L291" s="100">
        <v>-4</v>
      </c>
      <c r="M291" s="100">
        <v>-85</v>
      </c>
      <c r="N291" s="100">
        <v>-80</v>
      </c>
      <c r="O291" s="100">
        <v>-229</v>
      </c>
      <c r="P291" s="100">
        <v>39</v>
      </c>
      <c r="Q291" s="100">
        <v>-175</v>
      </c>
      <c r="R291" s="100">
        <v>-351</v>
      </c>
      <c r="S291" s="100">
        <v>-304</v>
      </c>
      <c r="T291" s="100">
        <v>-207</v>
      </c>
      <c r="U291" s="100">
        <v>-289</v>
      </c>
      <c r="V291" s="100">
        <v>-216</v>
      </c>
      <c r="W291" s="100">
        <v>-624</v>
      </c>
      <c r="X291" s="100">
        <v>-69</v>
      </c>
      <c r="Y291" s="100">
        <v>-66</v>
      </c>
      <c r="Z291" s="100"/>
      <c r="AA291" s="100"/>
      <c r="AB291" s="100"/>
      <c r="AC291" s="100"/>
      <c r="AD291" s="100"/>
      <c r="AE291" s="100"/>
      <c r="AF291" s="100"/>
    </row>
    <row r="292" spans="1:32" outlineLevel="1" x14ac:dyDescent="0.25">
      <c r="A292" s="99" t="s">
        <v>257</v>
      </c>
      <c r="B292" s="100">
        <f>SUM(B290:B291)</f>
        <v>-113</v>
      </c>
      <c r="C292" s="100">
        <f t="shared" ref="C292:V292" si="15">SUM(C290:C291)</f>
        <v>239</v>
      </c>
      <c r="D292" s="100">
        <f t="shared" si="15"/>
        <v>524</v>
      </c>
      <c r="E292" s="100">
        <f t="shared" si="15"/>
        <v>1142</v>
      </c>
      <c r="F292" s="100">
        <f t="shared" si="15"/>
        <v>-134</v>
      </c>
      <c r="G292" s="100">
        <f t="shared" si="15"/>
        <v>364</v>
      </c>
      <c r="H292" s="100">
        <f t="shared" si="15"/>
        <v>630</v>
      </c>
      <c r="I292" s="100">
        <f t="shared" si="15"/>
        <v>653</v>
      </c>
      <c r="J292" s="100">
        <f t="shared" si="15"/>
        <v>-151</v>
      </c>
      <c r="K292" s="100">
        <f t="shared" si="15"/>
        <v>546</v>
      </c>
      <c r="L292" s="100">
        <f t="shared" si="15"/>
        <v>695</v>
      </c>
      <c r="M292" s="100">
        <f t="shared" si="15"/>
        <v>973</v>
      </c>
      <c r="N292" s="100">
        <f t="shared" si="15"/>
        <v>189</v>
      </c>
      <c r="O292" s="100">
        <f t="shared" si="15"/>
        <v>285</v>
      </c>
      <c r="P292" s="100">
        <f t="shared" si="15"/>
        <v>427</v>
      </c>
      <c r="Q292" s="100">
        <f t="shared" si="15"/>
        <v>1259</v>
      </c>
      <c r="R292" s="100">
        <f t="shared" si="15"/>
        <v>282</v>
      </c>
      <c r="S292" s="100">
        <f t="shared" si="15"/>
        <v>308</v>
      </c>
      <c r="T292" s="100">
        <f t="shared" si="15"/>
        <v>374</v>
      </c>
      <c r="U292" s="100">
        <f t="shared" si="15"/>
        <v>1171</v>
      </c>
      <c r="V292" s="100">
        <f t="shared" si="15"/>
        <v>37</v>
      </c>
      <c r="W292" s="100">
        <f>SUM(W290:W291)</f>
        <v>-284</v>
      </c>
      <c r="X292" s="100">
        <f>SUM(X290:X291)</f>
        <v>280</v>
      </c>
      <c r="Y292" s="100">
        <f>SUM(Y290:Y291)</f>
        <v>1347</v>
      </c>
      <c r="Z292" s="100">
        <v>-65</v>
      </c>
      <c r="AA292" s="100"/>
      <c r="AB292" s="100"/>
      <c r="AC292" s="100"/>
      <c r="AD292" s="100"/>
      <c r="AE292" s="100"/>
      <c r="AF292" s="100"/>
    </row>
    <row r="293" spans="1:32" outlineLevel="1" x14ac:dyDescent="0.25">
      <c r="A293" s="99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</row>
    <row r="294" spans="1:32" outlineLevel="1" x14ac:dyDescent="0.25">
      <c r="A294" s="99" t="s">
        <v>258</v>
      </c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>
        <v>-277</v>
      </c>
      <c r="S294" s="100">
        <v>-317</v>
      </c>
      <c r="T294" s="100">
        <v>-221</v>
      </c>
      <c r="U294" s="100">
        <v>-263</v>
      </c>
      <c r="V294" s="100">
        <v>-131</v>
      </c>
      <c r="W294" s="100">
        <v>-12</v>
      </c>
      <c r="X294" s="100">
        <v>80</v>
      </c>
      <c r="Y294" s="100">
        <v>65</v>
      </c>
      <c r="Z294" s="100">
        <v>137</v>
      </c>
      <c r="AA294" s="100"/>
      <c r="AB294" s="100"/>
      <c r="AC294" s="100"/>
      <c r="AD294" s="100"/>
      <c r="AE294" s="100"/>
      <c r="AF294" s="100"/>
    </row>
    <row r="295" spans="1:32" outlineLevel="1" x14ac:dyDescent="0.25">
      <c r="A295" s="99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</row>
    <row r="296" spans="1:32" outlineLevel="1" x14ac:dyDescent="0.25">
      <c r="A296" s="86" t="s">
        <v>261</v>
      </c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96"/>
      <c r="AD296" s="100"/>
      <c r="AE296" s="100"/>
      <c r="AF296" s="100"/>
    </row>
    <row r="297" spans="1:32" outlineLevel="1" x14ac:dyDescent="0.25">
      <c r="A297" s="99" t="s">
        <v>262</v>
      </c>
      <c r="B297" s="100">
        <v>35338</v>
      </c>
      <c r="C297" s="100">
        <v>35345</v>
      </c>
      <c r="D297" s="100">
        <v>35371</v>
      </c>
      <c r="E297" s="100">
        <v>35401</v>
      </c>
      <c r="F297" s="100">
        <v>35209</v>
      </c>
      <c r="G297" s="100">
        <v>35242</v>
      </c>
      <c r="H297" s="100">
        <v>35279</v>
      </c>
      <c r="I297" s="100">
        <v>35244</v>
      </c>
      <c r="J297" s="100">
        <v>35184</v>
      </c>
      <c r="K297" s="100">
        <v>35223</v>
      </c>
      <c r="L297" s="100">
        <v>35285</v>
      </c>
      <c r="M297" s="100">
        <v>35332</v>
      </c>
      <c r="N297" s="100">
        <v>35224</v>
      </c>
      <c r="O297" s="100">
        <v>35132</v>
      </c>
      <c r="P297" s="100">
        <v>35034</v>
      </c>
      <c r="Q297" s="100">
        <v>35002</v>
      </c>
      <c r="R297" s="100">
        <v>34877</v>
      </c>
      <c r="S297" s="100">
        <v>34855</v>
      </c>
      <c r="T297" s="100">
        <v>34855</v>
      </c>
      <c r="U297" s="100">
        <v>34958</v>
      </c>
      <c r="V297" s="100">
        <v>34839</v>
      </c>
      <c r="W297" s="100">
        <v>34766</v>
      </c>
      <c r="X297" s="100">
        <v>34746</v>
      </c>
      <c r="Y297" s="100">
        <v>34849</v>
      </c>
      <c r="Z297" s="100">
        <v>34696</v>
      </c>
      <c r="AA297" s="100">
        <v>34646</v>
      </c>
      <c r="AB297" s="100">
        <v>34470</v>
      </c>
      <c r="AC297" s="100">
        <v>34496</v>
      </c>
      <c r="AD297" s="100">
        <v>34369</v>
      </c>
      <c r="AE297" s="100">
        <v>34237</v>
      </c>
      <c r="AF297" s="100"/>
    </row>
    <row r="298" spans="1:32" outlineLevel="1" x14ac:dyDescent="0.25">
      <c r="A298" s="99" t="s">
        <v>263</v>
      </c>
      <c r="B298" s="96">
        <v>3.21</v>
      </c>
      <c r="C298" s="96">
        <v>3.22</v>
      </c>
      <c r="D298" s="96">
        <v>3.23</v>
      </c>
      <c r="E298" s="96">
        <v>3.27</v>
      </c>
      <c r="F298" s="96">
        <v>3.28</v>
      </c>
      <c r="G298" s="96">
        <v>3.29</v>
      </c>
      <c r="H298" s="96">
        <v>3.3</v>
      </c>
      <c r="I298" s="96">
        <v>3.32</v>
      </c>
      <c r="J298" s="96">
        <v>3.32</v>
      </c>
      <c r="K298" s="96">
        <v>3.33</v>
      </c>
      <c r="L298" s="96">
        <v>3.34</v>
      </c>
      <c r="M298" s="96">
        <v>3.37</v>
      </c>
      <c r="N298" s="96">
        <v>3.38</v>
      </c>
      <c r="O298" s="96">
        <v>3.41</v>
      </c>
      <c r="P298" s="96">
        <v>3.43</v>
      </c>
      <c r="Q298" s="96">
        <v>3.45</v>
      </c>
      <c r="R298" s="96">
        <v>3.47</v>
      </c>
      <c r="S298" s="96">
        <v>3.49</v>
      </c>
      <c r="T298" s="96">
        <v>3.5</v>
      </c>
      <c r="U298" s="96">
        <v>3.54</v>
      </c>
      <c r="V298" s="96">
        <v>3.55</v>
      </c>
      <c r="W298" s="96">
        <v>3.57</v>
      </c>
      <c r="X298" s="96">
        <v>3.58</v>
      </c>
      <c r="Y298" s="96">
        <v>3.61</v>
      </c>
      <c r="Z298" s="96">
        <v>3.62</v>
      </c>
      <c r="AA298" s="96">
        <v>3.63</v>
      </c>
      <c r="AB298" s="96">
        <v>3.65</v>
      </c>
      <c r="AC298" s="96">
        <v>3.67</v>
      </c>
      <c r="AD298" s="96"/>
      <c r="AE298" s="96"/>
      <c r="AF298" s="96"/>
    </row>
    <row r="299" spans="1:32" outlineLevel="1" x14ac:dyDescent="0.25">
      <c r="A299" s="99" t="s">
        <v>264</v>
      </c>
      <c r="B299" s="101">
        <v>136.53</v>
      </c>
      <c r="C299" s="101">
        <v>137.71</v>
      </c>
      <c r="D299" s="101">
        <v>138.93</v>
      </c>
      <c r="E299" s="101">
        <v>137.99</v>
      </c>
      <c r="F299" s="101">
        <v>138.80000000000001</v>
      </c>
      <c r="G299" s="101">
        <v>135.97</v>
      </c>
      <c r="H299" s="101">
        <v>139.24</v>
      </c>
      <c r="I299" s="101">
        <v>141.16999999999999</v>
      </c>
      <c r="J299" s="101">
        <v>141.74</v>
      </c>
      <c r="K299" s="101">
        <v>142.22999999999999</v>
      </c>
      <c r="L299" s="101">
        <v>143.87</v>
      </c>
      <c r="M299" s="101">
        <v>144.88</v>
      </c>
      <c r="N299" s="101">
        <v>144.87</v>
      </c>
      <c r="O299" s="101">
        <v>145.5</v>
      </c>
      <c r="P299" s="101">
        <v>149.82</v>
      </c>
      <c r="Q299" s="101">
        <v>149.94999999999999</v>
      </c>
      <c r="R299" s="101">
        <v>152.27000000000001</v>
      </c>
      <c r="S299" s="101">
        <v>154.51</v>
      </c>
      <c r="T299" s="101">
        <v>156.13</v>
      </c>
      <c r="U299" s="101">
        <v>156.47999999999999</v>
      </c>
      <c r="V299" s="101">
        <v>164.27</v>
      </c>
      <c r="W299" s="101">
        <v>167.38</v>
      </c>
      <c r="X299" s="101">
        <v>168.44</v>
      </c>
      <c r="Y299" s="101">
        <v>168.96</v>
      </c>
      <c r="Z299" s="101">
        <v>169.81</v>
      </c>
      <c r="AA299" s="101">
        <v>170.79</v>
      </c>
      <c r="AB299" s="101">
        <v>171.27</v>
      </c>
      <c r="AC299" s="101">
        <v>170.61</v>
      </c>
      <c r="AD299" s="101">
        <v>166.66</v>
      </c>
      <c r="AE299" s="101">
        <v>168.35</v>
      </c>
      <c r="AF299" s="101"/>
    </row>
    <row r="300" spans="1:32" outlineLevel="1" x14ac:dyDescent="0.25">
      <c r="A300" s="99" t="s">
        <v>265</v>
      </c>
      <c r="B300" s="102"/>
      <c r="C300" s="102"/>
      <c r="D300" s="102"/>
      <c r="E300" s="102"/>
      <c r="F300" s="102"/>
      <c r="G300" s="102"/>
      <c r="H300" s="102"/>
      <c r="I300" s="102"/>
      <c r="J300" s="96">
        <v>35.659999999999997</v>
      </c>
      <c r="K300" s="96">
        <v>35.700000000000003</v>
      </c>
      <c r="L300" s="96">
        <v>35.75</v>
      </c>
      <c r="M300" s="96">
        <v>37.83</v>
      </c>
      <c r="N300" s="96">
        <v>30.89</v>
      </c>
      <c r="O300" s="96">
        <v>31.26</v>
      </c>
      <c r="P300" s="96">
        <v>31.18</v>
      </c>
      <c r="Q300" s="96">
        <v>31.51</v>
      </c>
      <c r="R300" s="96">
        <v>30.71</v>
      </c>
      <c r="S300" s="96">
        <v>31.42</v>
      </c>
      <c r="T300" s="96">
        <v>31.87</v>
      </c>
      <c r="U300" s="96">
        <v>31.87</v>
      </c>
      <c r="V300" s="96">
        <v>31.17</v>
      </c>
      <c r="W300" s="96">
        <v>30.9</v>
      </c>
      <c r="X300" s="96">
        <v>30.7</v>
      </c>
      <c r="Y300" s="96">
        <v>30.89</v>
      </c>
      <c r="Z300" s="96"/>
      <c r="AA300" s="96"/>
      <c r="AB300" s="96"/>
    </row>
    <row r="301" spans="1:32" outlineLevel="1" x14ac:dyDescent="0.25">
      <c r="A301" s="99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</row>
    <row r="302" spans="1:32" outlineLevel="1" x14ac:dyDescent="0.25">
      <c r="A302" s="99" t="s">
        <v>266</v>
      </c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96">
        <v>32.15</v>
      </c>
      <c r="S302" s="96">
        <v>32.9</v>
      </c>
      <c r="T302" s="96">
        <v>33.130000000000003</v>
      </c>
      <c r="U302" s="96">
        <v>33.11</v>
      </c>
      <c r="V302" s="96">
        <v>32.26</v>
      </c>
      <c r="W302" s="96">
        <v>32.479999999999997</v>
      </c>
      <c r="X302" s="96">
        <v>32.409999999999997</v>
      </c>
      <c r="Y302" s="96">
        <v>32.340000000000003</v>
      </c>
      <c r="Z302" s="96">
        <v>31.92</v>
      </c>
      <c r="AA302" s="96">
        <v>32.56</v>
      </c>
      <c r="AB302" s="96">
        <v>32.700000000000003</v>
      </c>
      <c r="AC302" s="96">
        <v>32.9</v>
      </c>
      <c r="AD302" s="96">
        <v>33.31</v>
      </c>
      <c r="AE302" s="96">
        <v>33.369999999999997</v>
      </c>
      <c r="AF302" s="96"/>
    </row>
    <row r="303" spans="1:32" outlineLevel="1" x14ac:dyDescent="0.25">
      <c r="A303" s="99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</row>
    <row r="304" spans="1:32" outlineLevel="1" x14ac:dyDescent="0.25">
      <c r="A304" s="54" t="s">
        <v>148</v>
      </c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</row>
    <row r="305" spans="1:32" outlineLevel="1" x14ac:dyDescent="0.25">
      <c r="A305" s="86" t="s">
        <v>261</v>
      </c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</row>
    <row r="306" spans="1:32" outlineLevel="1" x14ac:dyDescent="0.25">
      <c r="A306" s="99" t="s">
        <v>267</v>
      </c>
      <c r="B306" s="100">
        <v>35338</v>
      </c>
      <c r="C306" s="100">
        <v>35345</v>
      </c>
      <c r="D306" s="100">
        <v>35371</v>
      </c>
      <c r="E306" s="100">
        <v>35401</v>
      </c>
      <c r="F306" s="100">
        <v>35209</v>
      </c>
      <c r="G306" s="100">
        <v>35242</v>
      </c>
      <c r="H306" s="100">
        <v>35279</v>
      </c>
      <c r="I306" s="100">
        <v>35244</v>
      </c>
      <c r="J306" s="100">
        <v>35184</v>
      </c>
      <c r="K306" s="100">
        <v>35223</v>
      </c>
      <c r="L306" s="100">
        <v>35285</v>
      </c>
      <c r="M306" s="100">
        <v>35332</v>
      </c>
      <c r="N306" s="100">
        <v>35224</v>
      </c>
      <c r="O306" s="100">
        <v>35132</v>
      </c>
      <c r="P306" s="100">
        <v>35034</v>
      </c>
      <c r="Q306" s="100">
        <v>35002</v>
      </c>
      <c r="R306" s="100">
        <v>34877</v>
      </c>
      <c r="S306" s="100">
        <v>34855</v>
      </c>
      <c r="T306" s="100">
        <v>34855</v>
      </c>
      <c r="U306" s="100">
        <v>34958</v>
      </c>
      <c r="V306" s="100">
        <v>34839</v>
      </c>
      <c r="W306" s="100">
        <v>34766</v>
      </c>
      <c r="X306" s="100">
        <v>34746</v>
      </c>
      <c r="Y306" s="100">
        <v>34849</v>
      </c>
      <c r="Z306" s="100">
        <v>34696</v>
      </c>
      <c r="AA306" s="100"/>
      <c r="AB306" s="100"/>
      <c r="AC306" s="100"/>
      <c r="AD306" s="100"/>
      <c r="AE306" s="100"/>
      <c r="AF306" s="100"/>
    </row>
    <row r="307" spans="1:32" outlineLevel="1" x14ac:dyDescent="0.25">
      <c r="A307" s="99" t="s">
        <v>268</v>
      </c>
      <c r="B307" s="96">
        <v>3.21</v>
      </c>
      <c r="C307" s="96">
        <v>3.22</v>
      </c>
      <c r="D307" s="96">
        <v>3.23</v>
      </c>
      <c r="E307" s="96">
        <v>3.27</v>
      </c>
      <c r="F307" s="96">
        <v>3.28</v>
      </c>
      <c r="G307" s="96">
        <v>3.29</v>
      </c>
      <c r="H307" s="96">
        <v>3.3</v>
      </c>
      <c r="I307" s="96">
        <v>3.32</v>
      </c>
      <c r="J307" s="96">
        <v>3.32</v>
      </c>
      <c r="K307" s="96">
        <v>3.33</v>
      </c>
      <c r="L307" s="96">
        <v>3.34</v>
      </c>
      <c r="M307" s="96">
        <v>3.37</v>
      </c>
      <c r="N307" s="96">
        <v>3.38</v>
      </c>
      <c r="O307" s="96">
        <v>3.41</v>
      </c>
      <c r="P307" s="96">
        <v>3.43</v>
      </c>
      <c r="Q307" s="96">
        <v>3.45</v>
      </c>
      <c r="R307" s="96">
        <v>3.47</v>
      </c>
      <c r="S307" s="96">
        <v>3.49</v>
      </c>
      <c r="T307" s="96">
        <v>3.5</v>
      </c>
      <c r="U307" s="96">
        <v>3.54</v>
      </c>
      <c r="V307" s="96">
        <v>3.55</v>
      </c>
      <c r="W307" s="96">
        <v>3.57</v>
      </c>
      <c r="X307" s="96">
        <v>3.58</v>
      </c>
      <c r="Y307" s="96">
        <v>3.61</v>
      </c>
      <c r="Z307" s="96">
        <v>3.62</v>
      </c>
      <c r="AA307" s="96"/>
      <c r="AB307" s="96"/>
    </row>
    <row r="308" spans="1:32" outlineLevel="1" x14ac:dyDescent="0.25">
      <c r="A308" s="99" t="s">
        <v>269</v>
      </c>
      <c r="B308" s="101">
        <v>136.53</v>
      </c>
      <c r="C308" s="101">
        <v>137.71</v>
      </c>
      <c r="D308" s="101">
        <v>138.93</v>
      </c>
      <c r="E308" s="101">
        <v>137.99</v>
      </c>
      <c r="F308" s="101">
        <v>138.80000000000001</v>
      </c>
      <c r="G308" s="101">
        <v>135.97</v>
      </c>
      <c r="H308" s="101">
        <v>139.24</v>
      </c>
      <c r="I308" s="101">
        <v>141.16999999999999</v>
      </c>
      <c r="J308" s="101">
        <v>141.74</v>
      </c>
      <c r="K308" s="101">
        <v>142.22999999999999</v>
      </c>
      <c r="L308" s="101">
        <v>143.87</v>
      </c>
      <c r="M308" s="101">
        <v>144.88</v>
      </c>
      <c r="N308" s="101">
        <v>144.87</v>
      </c>
      <c r="O308" s="101">
        <v>145.5</v>
      </c>
      <c r="P308" s="101">
        <v>149.82</v>
      </c>
      <c r="Q308" s="101">
        <v>149.94999999999999</v>
      </c>
      <c r="R308" s="101">
        <v>152.27000000000001</v>
      </c>
      <c r="S308" s="101">
        <v>154.51</v>
      </c>
      <c r="T308" s="101">
        <v>156.13</v>
      </c>
      <c r="U308" s="101">
        <v>156.47999999999999</v>
      </c>
      <c r="V308" s="101">
        <v>158.25</v>
      </c>
      <c r="W308" s="101">
        <v>161.19999999999999</v>
      </c>
      <c r="X308" s="101">
        <v>162.05000000000001</v>
      </c>
      <c r="Y308" s="101">
        <v>162.62</v>
      </c>
      <c r="Z308" s="101">
        <v>169.81</v>
      </c>
      <c r="AA308" s="101"/>
      <c r="AB308" s="101"/>
    </row>
    <row r="309" spans="1:32" outlineLevel="1" x14ac:dyDescent="0.25">
      <c r="A309" s="99" t="s">
        <v>270</v>
      </c>
      <c r="B309" s="102"/>
      <c r="C309" s="102"/>
      <c r="D309" s="102"/>
      <c r="E309" s="102"/>
      <c r="F309" s="102"/>
      <c r="G309" s="102"/>
      <c r="H309" s="102"/>
      <c r="I309" s="102"/>
      <c r="J309" s="96">
        <v>35.659999999999997</v>
      </c>
      <c r="K309" s="96">
        <v>35.700000000000003</v>
      </c>
      <c r="L309" s="96">
        <v>35.75</v>
      </c>
      <c r="M309" s="96">
        <v>37.83</v>
      </c>
      <c r="N309" s="96">
        <v>30.89</v>
      </c>
      <c r="O309" s="96">
        <v>31.26</v>
      </c>
      <c r="P309" s="96">
        <v>31.18</v>
      </c>
      <c r="Q309" s="96">
        <v>31.51</v>
      </c>
      <c r="R309" s="96">
        <v>30.71</v>
      </c>
      <c r="S309" s="96">
        <v>31.42</v>
      </c>
      <c r="T309" s="96">
        <v>31.87</v>
      </c>
      <c r="U309" s="96">
        <v>31.87</v>
      </c>
      <c r="V309" s="96">
        <v>31.17</v>
      </c>
      <c r="W309" s="96">
        <v>30.9</v>
      </c>
      <c r="X309" s="96">
        <v>30.7</v>
      </c>
      <c r="Y309" s="96">
        <v>30.89</v>
      </c>
      <c r="Z309" s="96"/>
      <c r="AA309" s="96"/>
      <c r="AB309" s="96"/>
    </row>
    <row r="310" spans="1:32" outlineLevel="1" x14ac:dyDescent="0.25">
      <c r="A310" s="99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</row>
    <row r="311" spans="1:32" outlineLevel="1" x14ac:dyDescent="0.25">
      <c r="A311" s="86" t="s">
        <v>271</v>
      </c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</row>
    <row r="312" spans="1:32" outlineLevel="1" x14ac:dyDescent="0.25">
      <c r="A312" s="99" t="s">
        <v>259</v>
      </c>
      <c r="B312" s="99">
        <v>8.3999999999999995E-3</v>
      </c>
      <c r="C312" s="99">
        <v>7.6E-3</v>
      </c>
      <c r="D312" s="99">
        <v>8.2000000000000007E-3</v>
      </c>
      <c r="E312" s="99">
        <v>8.6E-3</v>
      </c>
      <c r="F312" s="99">
        <v>8.2000000000000007E-3</v>
      </c>
      <c r="G312" s="99">
        <v>5.7999999999999996E-3</v>
      </c>
      <c r="H312" s="99">
        <v>6.8999999999999999E-3</v>
      </c>
      <c r="I312" s="99">
        <v>8.0000000000000002E-3</v>
      </c>
      <c r="J312" s="99">
        <v>8.0999999999999996E-3</v>
      </c>
      <c r="K312" s="99">
        <v>7.1999999999999998E-3</v>
      </c>
      <c r="L312" s="99">
        <v>7.4000000000000003E-3</v>
      </c>
      <c r="M312" s="99">
        <v>8.0999999999999996E-3</v>
      </c>
      <c r="N312" s="99">
        <v>8.3000000000000001E-3</v>
      </c>
      <c r="O312" s="99">
        <v>8.0999999999999996E-3</v>
      </c>
      <c r="P312" s="99">
        <v>9.1999999999999998E-3</v>
      </c>
      <c r="Q312" s="99">
        <v>8.8999999999999999E-3</v>
      </c>
      <c r="R312" s="99">
        <v>8.9999999999999993E-3</v>
      </c>
      <c r="S312" s="99">
        <v>8.3000000000000001E-3</v>
      </c>
      <c r="T312" s="99">
        <v>8.9999999999999993E-3</v>
      </c>
      <c r="U312" s="99">
        <v>9.2999999999999992E-3</v>
      </c>
      <c r="V312" s="99">
        <v>8.8999999999999999E-3</v>
      </c>
      <c r="W312" s="99">
        <v>8.5000000000000006E-3</v>
      </c>
      <c r="X312" s="99">
        <v>8.8000000000000005E-3</v>
      </c>
      <c r="Y312" s="99">
        <v>9.1999999999999998E-3</v>
      </c>
      <c r="Z312" s="99">
        <v>9.4999999999999998E-3</v>
      </c>
      <c r="AA312" s="99">
        <v>9.7000000000000003E-3</v>
      </c>
      <c r="AB312" s="99">
        <v>9.7999999999999997E-3</v>
      </c>
      <c r="AC312" s="99">
        <v>1.0200000000000001E-2</v>
      </c>
      <c r="AD312" s="99">
        <v>9.7000000000000003E-3</v>
      </c>
      <c r="AE312" s="99">
        <v>9.1999999999999998E-3</v>
      </c>
      <c r="AF312" s="99"/>
    </row>
    <row r="313" spans="1:32" outlineLevel="1" x14ac:dyDescent="0.25">
      <c r="A313" s="99" t="s">
        <v>255</v>
      </c>
      <c r="B313" s="99">
        <v>1.12E-2</v>
      </c>
      <c r="C313" s="99">
        <v>1.0200000000000001E-2</v>
      </c>
      <c r="D313" s="99">
        <v>1.0800000000000001E-2</v>
      </c>
      <c r="E313" s="99">
        <v>1.1299999999999999E-2</v>
      </c>
      <c r="F313" s="99">
        <v>1.0800000000000001E-2</v>
      </c>
      <c r="G313" s="99">
        <v>7.7999999999999996E-3</v>
      </c>
      <c r="H313" s="99">
        <v>8.8999999999999999E-3</v>
      </c>
      <c r="I313" s="99">
        <v>1.01E-2</v>
      </c>
      <c r="J313" s="99">
        <v>1.03E-2</v>
      </c>
      <c r="K313" s="99">
        <v>9.4000000000000004E-3</v>
      </c>
      <c r="L313" s="99">
        <v>9.4000000000000004E-3</v>
      </c>
      <c r="M313" s="99">
        <v>1.01E-2</v>
      </c>
      <c r="N313" s="99">
        <v>1.04E-2</v>
      </c>
      <c r="O313" s="99">
        <v>1.03E-2</v>
      </c>
      <c r="P313" s="99">
        <v>1.17E-2</v>
      </c>
      <c r="Q313" s="99">
        <v>1.14E-2</v>
      </c>
      <c r="R313" s="99">
        <v>1.15E-2</v>
      </c>
      <c r="S313" s="99">
        <v>1.0699999999999999E-2</v>
      </c>
      <c r="T313" s="99">
        <v>1.15E-2</v>
      </c>
      <c r="U313" s="99">
        <v>1.18E-2</v>
      </c>
      <c r="V313" s="99">
        <v>1.15E-2</v>
      </c>
      <c r="W313" s="99">
        <v>1.11E-2</v>
      </c>
      <c r="X313" s="99">
        <v>1.1599999999999999E-2</v>
      </c>
      <c r="Y313" s="99">
        <v>1.2E-2</v>
      </c>
      <c r="Z313" s="99">
        <v>1.23E-2</v>
      </c>
      <c r="AA313" s="99">
        <v>1.24E-2</v>
      </c>
      <c r="AB313" s="99">
        <v>1.23E-2</v>
      </c>
      <c r="AC313" s="99">
        <v>1.32E-2</v>
      </c>
      <c r="AD313" s="99"/>
      <c r="AE313" s="99"/>
      <c r="AF313" s="99"/>
    </row>
    <row r="314" spans="1:32" outlineLevel="1" x14ac:dyDescent="0.25">
      <c r="A314" s="99" t="s">
        <v>256</v>
      </c>
      <c r="B314" s="102"/>
      <c r="C314" s="102"/>
      <c r="D314" s="102"/>
      <c r="E314" s="102"/>
      <c r="F314" s="102"/>
      <c r="G314" s="102"/>
      <c r="H314" s="102"/>
      <c r="I314" s="102"/>
      <c r="J314" s="99">
        <v>4.2200000000000001E-2</v>
      </c>
      <c r="K314" s="99">
        <v>4.1200000000000001E-2</v>
      </c>
      <c r="L314" s="99">
        <v>4.2099999999999999E-2</v>
      </c>
      <c r="M314" s="99">
        <v>4.7300000000000002E-2</v>
      </c>
      <c r="N314" s="99">
        <v>3.6900000000000002E-2</v>
      </c>
      <c r="O314" s="99">
        <v>3.9E-2</v>
      </c>
      <c r="P314" s="99">
        <v>3.9E-2</v>
      </c>
      <c r="Q314" s="99">
        <v>4.9000000000000002E-2</v>
      </c>
      <c r="R314" s="99">
        <v>4.3099999999999999E-2</v>
      </c>
      <c r="S314" s="99">
        <v>4.24E-2</v>
      </c>
      <c r="T314" s="99">
        <v>4.3900000000000002E-2</v>
      </c>
      <c r="U314" s="99">
        <v>4.5499999999999999E-2</v>
      </c>
      <c r="V314" s="99">
        <v>4.2599999999999999E-2</v>
      </c>
      <c r="W314" s="99">
        <v>4.4900000000000002E-2</v>
      </c>
      <c r="X314" s="99">
        <v>4.0800000000000003E-2</v>
      </c>
      <c r="Y314" s="99">
        <v>4.0399999999999998E-2</v>
      </c>
      <c r="Z314" s="99"/>
      <c r="AA314" s="99"/>
      <c r="AB314" s="99"/>
    </row>
    <row r="315" spans="1:32" outlineLevel="1" x14ac:dyDescent="0.25">
      <c r="A315" s="99" t="s">
        <v>258</v>
      </c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99">
        <v>3.7199999999999997E-2</v>
      </c>
      <c r="S315" s="99">
        <v>3.7100000000000001E-2</v>
      </c>
      <c r="T315" s="99">
        <v>3.85E-2</v>
      </c>
      <c r="U315" s="99">
        <v>3.9399999999999998E-2</v>
      </c>
      <c r="V315" s="99">
        <v>3.61E-2</v>
      </c>
      <c r="W315" s="99">
        <v>3.5900000000000001E-2</v>
      </c>
      <c r="X315" s="99">
        <v>3.7199999999999997E-2</v>
      </c>
      <c r="Y315" s="99">
        <v>3.78E-2</v>
      </c>
      <c r="Z315" s="99">
        <v>3.4700000000000002E-2</v>
      </c>
      <c r="AA315" s="99">
        <v>3.5999999999999997E-2</v>
      </c>
      <c r="AB315" s="99">
        <v>3.73E-2</v>
      </c>
      <c r="AC315" s="99">
        <v>3.73E-2</v>
      </c>
      <c r="AD315" s="99">
        <v>3.4500000000000003E-2</v>
      </c>
      <c r="AE315" s="99">
        <v>3.5900000000000001E-2</v>
      </c>
      <c r="AF315" s="99"/>
    </row>
    <row r="316" spans="1:32" outlineLevel="1" x14ac:dyDescent="0.25">
      <c r="A316" s="99" t="s">
        <v>272</v>
      </c>
      <c r="B316" s="99">
        <v>1.3100000000000001E-2</v>
      </c>
      <c r="C316" s="99">
        <v>1.2200000000000001E-2</v>
      </c>
      <c r="D316" s="99">
        <v>1.26E-2</v>
      </c>
      <c r="E316" s="99">
        <v>1.29E-2</v>
      </c>
      <c r="F316" s="99">
        <v>1.2200000000000001E-2</v>
      </c>
      <c r="G316" s="99">
        <v>9.1999999999999998E-3</v>
      </c>
      <c r="H316" s="99">
        <v>1.01E-2</v>
      </c>
      <c r="I316" s="99">
        <v>1.14E-2</v>
      </c>
      <c r="J316" s="99">
        <v>1.14E-2</v>
      </c>
      <c r="K316" s="99">
        <v>1.04E-2</v>
      </c>
      <c r="L316" s="99">
        <v>1.0500000000000001E-2</v>
      </c>
      <c r="M316" s="99">
        <v>1.32E-2</v>
      </c>
      <c r="N316" s="99">
        <v>1.4800000000000001E-2</v>
      </c>
      <c r="O316" s="99">
        <v>1.4999999999999999E-2</v>
      </c>
      <c r="P316" s="99">
        <v>1.6199999999999999E-2</v>
      </c>
      <c r="Q316" s="99">
        <v>1.7399999999999999E-2</v>
      </c>
      <c r="R316" s="99">
        <v>1.6500000000000001E-2</v>
      </c>
      <c r="S316" s="99">
        <v>1.5599999999999999E-2</v>
      </c>
      <c r="T316" s="99">
        <v>1.6299999999999999E-2</v>
      </c>
      <c r="U316" s="99">
        <v>1.67E-2</v>
      </c>
      <c r="V316" s="99">
        <v>1.6E-2</v>
      </c>
      <c r="W316" s="99">
        <v>1.5900000000000001E-2</v>
      </c>
      <c r="X316" s="99">
        <v>1.5699999999999999E-2</v>
      </c>
      <c r="Y316" s="99">
        <v>1.6E-2</v>
      </c>
      <c r="Z316" s="99">
        <v>1.5599999999999999E-2</v>
      </c>
      <c r="AA316" s="99">
        <v>1.5900000000000001E-2</v>
      </c>
      <c r="AB316" s="99">
        <v>1.6E-2</v>
      </c>
      <c r="AC316" s="99">
        <v>1.67E-2</v>
      </c>
      <c r="AD316" s="99"/>
      <c r="AE316" s="99"/>
      <c r="AF316" s="99"/>
    </row>
    <row r="317" spans="1:32" outlineLevel="1" x14ac:dyDescent="0.25">
      <c r="A317" s="99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</row>
    <row r="318" spans="1:32" outlineLevel="1" x14ac:dyDescent="0.25">
      <c r="A318" s="54" t="s">
        <v>148</v>
      </c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</row>
    <row r="319" spans="1:32" outlineLevel="1" x14ac:dyDescent="0.25">
      <c r="A319" s="86" t="s">
        <v>271</v>
      </c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</row>
    <row r="320" spans="1:32" outlineLevel="1" x14ac:dyDescent="0.25">
      <c r="A320" s="99" t="s">
        <v>259</v>
      </c>
      <c r="B320" s="99">
        <v>8.3999999999999995E-3</v>
      </c>
      <c r="C320" s="99">
        <v>7.6E-3</v>
      </c>
      <c r="D320" s="99">
        <v>8.2000000000000007E-3</v>
      </c>
      <c r="E320" s="99">
        <v>8.6E-3</v>
      </c>
      <c r="F320" s="99">
        <v>8.2000000000000007E-3</v>
      </c>
      <c r="G320" s="99">
        <v>5.7999999999999996E-3</v>
      </c>
      <c r="H320" s="99">
        <v>6.8999999999999999E-3</v>
      </c>
      <c r="I320" s="99">
        <v>8.0000000000000002E-3</v>
      </c>
      <c r="J320" s="99">
        <v>8.0999999999999996E-3</v>
      </c>
      <c r="K320" s="99">
        <v>7.1999999999999998E-3</v>
      </c>
      <c r="L320" s="99">
        <v>7.4000000000000003E-3</v>
      </c>
      <c r="M320" s="99">
        <v>8.0999999999999996E-3</v>
      </c>
      <c r="N320" s="99">
        <v>8.3000000000000001E-3</v>
      </c>
      <c r="O320" s="99">
        <v>8.0999999999999996E-3</v>
      </c>
      <c r="P320" s="99">
        <v>9.1999999999999998E-3</v>
      </c>
      <c r="Q320" s="99">
        <v>8.8999999999999999E-3</v>
      </c>
      <c r="R320" s="99">
        <v>8.9999999999999993E-3</v>
      </c>
      <c r="S320" s="99">
        <v>8.3000000000000001E-3</v>
      </c>
      <c r="T320" s="99">
        <v>8.9999999999999993E-3</v>
      </c>
      <c r="U320" s="99">
        <v>9.2999999999999992E-3</v>
      </c>
      <c r="V320" s="99">
        <v>8.8999999999999999E-3</v>
      </c>
      <c r="W320" s="99">
        <v>8.5000000000000006E-3</v>
      </c>
      <c r="X320" s="99">
        <v>8.8999999999999999E-3</v>
      </c>
      <c r="Y320" s="99">
        <v>9.2999999999999992E-3</v>
      </c>
      <c r="Z320" s="99">
        <v>9.4999999999999998E-3</v>
      </c>
      <c r="AA320" s="99"/>
      <c r="AB320" s="99"/>
      <c r="AC320" s="99"/>
      <c r="AD320" s="99"/>
      <c r="AE320" s="99"/>
      <c r="AF320" s="99"/>
    </row>
    <row r="321" spans="1:32" outlineLevel="1" x14ac:dyDescent="0.25">
      <c r="A321" s="99" t="s">
        <v>255</v>
      </c>
      <c r="B321" s="99">
        <v>1.12E-2</v>
      </c>
      <c r="C321" s="99">
        <v>1.0200000000000001E-2</v>
      </c>
      <c r="D321" s="99">
        <v>1.0800000000000001E-2</v>
      </c>
      <c r="E321" s="99">
        <v>1.1299999999999999E-2</v>
      </c>
      <c r="F321" s="99">
        <v>1.0800000000000001E-2</v>
      </c>
      <c r="G321" s="99">
        <v>7.7999999999999996E-3</v>
      </c>
      <c r="H321" s="99">
        <v>8.8999999999999999E-3</v>
      </c>
      <c r="I321" s="99">
        <v>1.01E-2</v>
      </c>
      <c r="J321" s="99">
        <v>1.03E-2</v>
      </c>
      <c r="K321" s="99">
        <v>9.4000000000000004E-3</v>
      </c>
      <c r="L321" s="99">
        <v>9.4000000000000004E-3</v>
      </c>
      <c r="M321" s="99">
        <v>1.01E-2</v>
      </c>
      <c r="N321" s="99">
        <v>1.04E-2</v>
      </c>
      <c r="O321" s="99">
        <v>1.03E-2</v>
      </c>
      <c r="P321" s="99">
        <v>1.17E-2</v>
      </c>
      <c r="Q321" s="99">
        <v>1.14E-2</v>
      </c>
      <c r="R321" s="99">
        <v>1.15E-2</v>
      </c>
      <c r="S321" s="99">
        <v>1.0699999999999999E-2</v>
      </c>
      <c r="T321" s="99">
        <v>1.15E-2</v>
      </c>
      <c r="U321" s="99">
        <v>1.18E-2</v>
      </c>
      <c r="V321" s="99">
        <v>1.15E-2</v>
      </c>
      <c r="W321" s="99">
        <v>1.11E-2</v>
      </c>
      <c r="X321" s="99">
        <v>1.1599999999999999E-2</v>
      </c>
      <c r="Y321" s="99">
        <v>1.2E-2</v>
      </c>
      <c r="Z321" s="99">
        <v>1.23E-2</v>
      </c>
      <c r="AA321" s="99"/>
      <c r="AB321" s="99"/>
      <c r="AC321" s="99"/>
      <c r="AD321" s="99"/>
      <c r="AE321" s="99"/>
      <c r="AF321" s="99"/>
    </row>
    <row r="322" spans="1:32" outlineLevel="1" x14ac:dyDescent="0.25">
      <c r="A322" s="99" t="s">
        <v>256</v>
      </c>
      <c r="B322" s="102"/>
      <c r="C322" s="102"/>
      <c r="D322" s="102"/>
      <c r="E322" s="102"/>
      <c r="F322" s="102"/>
      <c r="G322" s="102"/>
      <c r="H322" s="102"/>
      <c r="I322" s="102"/>
      <c r="J322" s="99">
        <v>4.2200000000000001E-2</v>
      </c>
      <c r="K322" s="99">
        <v>4.1200000000000001E-2</v>
      </c>
      <c r="L322" s="99">
        <v>4.2099999999999999E-2</v>
      </c>
      <c r="M322" s="99">
        <v>4.7300000000000002E-2</v>
      </c>
      <c r="N322" s="99">
        <v>3.6900000000000002E-2</v>
      </c>
      <c r="O322" s="99">
        <v>3.9E-2</v>
      </c>
      <c r="P322" s="99">
        <v>3.9E-2</v>
      </c>
      <c r="Q322" s="99">
        <v>4.9000000000000002E-2</v>
      </c>
      <c r="R322" s="99">
        <v>4.3099999999999999E-2</v>
      </c>
      <c r="S322" s="99">
        <v>4.24E-2</v>
      </c>
      <c r="T322" s="99">
        <v>4.3900000000000002E-2</v>
      </c>
      <c r="U322" s="99">
        <v>4.5499999999999999E-2</v>
      </c>
      <c r="V322" s="99">
        <v>4.2599999999999999E-2</v>
      </c>
      <c r="W322" s="99">
        <v>4.4900000000000002E-2</v>
      </c>
      <c r="X322" s="99">
        <v>4.0800000000000003E-2</v>
      </c>
      <c r="Y322" s="99">
        <v>4.0399999999999998E-2</v>
      </c>
      <c r="Z322" s="99"/>
      <c r="AA322" s="99"/>
      <c r="AB322" s="99"/>
      <c r="AC322" s="99"/>
      <c r="AD322" s="99"/>
      <c r="AE322" s="99"/>
      <c r="AF322" s="99"/>
    </row>
    <row r="323" spans="1:32" outlineLevel="1" x14ac:dyDescent="0.25">
      <c r="A323" s="99" t="s">
        <v>258</v>
      </c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99">
        <v>3.7199999999999997E-2</v>
      </c>
      <c r="S323" s="99">
        <v>3.7100000000000001E-2</v>
      </c>
      <c r="T323" s="99">
        <v>3.85E-2</v>
      </c>
      <c r="U323" s="99">
        <v>3.9399999999999998E-2</v>
      </c>
      <c r="V323" s="99">
        <v>3.61E-2</v>
      </c>
      <c r="W323" s="99">
        <v>3.5900000000000001E-2</v>
      </c>
      <c r="X323" s="99">
        <v>3.7199999999999997E-2</v>
      </c>
      <c r="Y323" s="99">
        <v>3.78E-2</v>
      </c>
      <c r="Z323" s="99">
        <v>3.4700000000000002E-2</v>
      </c>
      <c r="AA323" s="99"/>
      <c r="AB323" s="99"/>
      <c r="AC323" s="99"/>
      <c r="AD323" s="99"/>
      <c r="AE323" s="99"/>
      <c r="AF323" s="99"/>
    </row>
    <row r="324" spans="1:32" outlineLevel="1" x14ac:dyDescent="0.25">
      <c r="A324" s="99" t="s">
        <v>272</v>
      </c>
      <c r="B324" s="99">
        <v>1.3100000000000001E-2</v>
      </c>
      <c r="C324" s="99">
        <v>1.2200000000000001E-2</v>
      </c>
      <c r="D324" s="99">
        <v>1.26E-2</v>
      </c>
      <c r="E324" s="99">
        <v>1.29E-2</v>
      </c>
      <c r="F324" s="99">
        <v>1.2200000000000001E-2</v>
      </c>
      <c r="G324" s="99">
        <v>9.1999999999999998E-3</v>
      </c>
      <c r="H324" s="99">
        <v>1.01E-2</v>
      </c>
      <c r="I324" s="99">
        <v>1.14E-2</v>
      </c>
      <c r="J324" s="99">
        <v>1.14E-2</v>
      </c>
      <c r="K324" s="99">
        <v>1.04E-2</v>
      </c>
      <c r="L324" s="99">
        <v>1.0500000000000001E-2</v>
      </c>
      <c r="M324" s="99">
        <v>1.32E-2</v>
      </c>
      <c r="N324" s="99">
        <v>1.4800000000000001E-2</v>
      </c>
      <c r="O324" s="99">
        <v>1.4999999999999999E-2</v>
      </c>
      <c r="P324" s="99">
        <v>1.6199999999999999E-2</v>
      </c>
      <c r="Q324" s="99">
        <v>1.7399999999999999E-2</v>
      </c>
      <c r="R324" s="99">
        <v>1.6500000000000001E-2</v>
      </c>
      <c r="S324" s="99">
        <v>1.5599999999999999E-2</v>
      </c>
      <c r="T324" s="99">
        <v>1.6299999999999999E-2</v>
      </c>
      <c r="U324" s="99">
        <v>1.67E-2</v>
      </c>
      <c r="V324" s="99">
        <v>1.6E-2</v>
      </c>
      <c r="W324" s="99">
        <v>1.5900000000000001E-2</v>
      </c>
      <c r="X324" s="99">
        <v>1.5699999999999999E-2</v>
      </c>
      <c r="Y324" s="99">
        <v>1.6E-2</v>
      </c>
      <c r="Z324" s="99">
        <v>1.5599999999999999E-2</v>
      </c>
      <c r="AA324" s="99"/>
      <c r="AB324" s="99"/>
      <c r="AC324" s="99"/>
      <c r="AD324" s="99"/>
      <c r="AE324" s="99"/>
      <c r="AF324" s="99"/>
    </row>
    <row r="325" spans="1:32" outlineLevel="1" x14ac:dyDescent="0.25">
      <c r="A325" s="99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</row>
    <row r="326" spans="1:32" outlineLevel="1" x14ac:dyDescent="0.25">
      <c r="A326" s="99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</row>
    <row r="327" spans="1:32" outlineLevel="1" x14ac:dyDescent="0.25">
      <c r="A327" s="86" t="s">
        <v>273</v>
      </c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</row>
    <row r="328" spans="1:32" outlineLevel="1" x14ac:dyDescent="0.25">
      <c r="A328" s="97" t="s">
        <v>274</v>
      </c>
      <c r="B328" s="103">
        <v>0.19700000000000001</v>
      </c>
      <c r="C328" s="103">
        <v>0.19800000000000001</v>
      </c>
      <c r="D328" s="103">
        <v>0.19800000000000001</v>
      </c>
      <c r="E328" s="103">
        <v>0.2</v>
      </c>
      <c r="F328" s="103">
        <v>0.2</v>
      </c>
      <c r="G328" s="103">
        <v>0.2</v>
      </c>
      <c r="H328" s="103">
        <v>0.2</v>
      </c>
      <c r="I328" s="103">
        <v>0.20200000000000001</v>
      </c>
      <c r="J328" s="103">
        <v>0.20200000000000001</v>
      </c>
      <c r="K328" s="103">
        <v>0.20399999999999999</v>
      </c>
      <c r="L328" s="103">
        <v>0.20399999999999999</v>
      </c>
      <c r="M328" s="103">
        <v>0.20599999999999999</v>
      </c>
      <c r="N328" s="104">
        <v>0.20799999999999999</v>
      </c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</row>
    <row r="329" spans="1:32" outlineLevel="1" x14ac:dyDescent="0.25">
      <c r="A329" s="99" t="s">
        <v>275</v>
      </c>
      <c r="B329" s="103">
        <v>4.3999999999999997E-2</v>
      </c>
      <c r="C329" s="103">
        <v>4.2999999999999997E-2</v>
      </c>
      <c r="D329" s="103">
        <v>4.8000000000000001E-2</v>
      </c>
      <c r="E329" s="103">
        <v>0.06</v>
      </c>
      <c r="F329" s="103">
        <v>3.6999999999999998E-2</v>
      </c>
      <c r="G329" s="103">
        <v>3.6999999999999998E-2</v>
      </c>
      <c r="H329" s="103">
        <v>0.04</v>
      </c>
      <c r="I329" s="103">
        <v>5.6000000000000001E-2</v>
      </c>
      <c r="J329" s="103">
        <v>4.2999999999999997E-2</v>
      </c>
      <c r="K329" s="103">
        <v>4.5999999999999999E-2</v>
      </c>
      <c r="L329" s="103">
        <v>4.2999999999999997E-2</v>
      </c>
      <c r="M329" s="103">
        <v>5.7000000000000002E-2</v>
      </c>
      <c r="N329" s="103">
        <v>4.4999999999999998E-2</v>
      </c>
      <c r="O329" s="103">
        <v>0.05</v>
      </c>
      <c r="P329" s="103">
        <v>4.7E-2</v>
      </c>
      <c r="Q329" s="103">
        <v>5.0999999999999997E-2</v>
      </c>
      <c r="R329" s="103">
        <v>3.6999999999999998E-2</v>
      </c>
      <c r="S329" s="103">
        <v>3.3000000000000002E-2</v>
      </c>
      <c r="T329" s="103">
        <v>3.4000000000000002E-2</v>
      </c>
      <c r="U329" s="103">
        <v>4.1000000000000002E-2</v>
      </c>
      <c r="V329" s="103">
        <v>0.03</v>
      </c>
      <c r="W329" s="103">
        <v>2.8000000000000001E-2</v>
      </c>
      <c r="X329" s="103">
        <v>0.03</v>
      </c>
      <c r="Y329" s="103">
        <v>4.1000000000000002E-2</v>
      </c>
      <c r="Z329" s="103">
        <v>2.8000000000000001E-2</v>
      </c>
      <c r="AA329" s="103">
        <v>3.5999999999999997E-2</v>
      </c>
      <c r="AB329" s="103">
        <v>3.3000000000000002E-2</v>
      </c>
      <c r="AC329" s="103">
        <v>4.3999999999999997E-2</v>
      </c>
      <c r="AD329" s="103">
        <v>0.03</v>
      </c>
      <c r="AE329" s="103">
        <v>2.5999999999999999E-2</v>
      </c>
      <c r="AF329" s="103"/>
    </row>
    <row r="330" spans="1:32" outlineLevel="1" x14ac:dyDescent="0.25">
      <c r="A330" s="86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</row>
    <row r="331" spans="1:32" outlineLevel="1" x14ac:dyDescent="0.25">
      <c r="A331" s="106" t="s">
        <v>276</v>
      </c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</row>
    <row r="332" spans="1:32" outlineLevel="1" x14ac:dyDescent="0.25">
      <c r="A332" s="97" t="s">
        <v>277</v>
      </c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0">
        <v>255</v>
      </c>
      <c r="S332" s="100">
        <v>297</v>
      </c>
      <c r="T332" s="100">
        <v>347</v>
      </c>
      <c r="U332" s="100">
        <v>403</v>
      </c>
      <c r="V332" s="100">
        <v>452</v>
      </c>
      <c r="W332" s="100">
        <v>514</v>
      </c>
      <c r="X332" s="100">
        <v>562</v>
      </c>
      <c r="Y332" s="100">
        <v>611</v>
      </c>
      <c r="Z332" s="100">
        <v>668</v>
      </c>
      <c r="AA332" s="100">
        <v>728</v>
      </c>
      <c r="AB332" s="100">
        <v>758</v>
      </c>
      <c r="AC332" s="100">
        <v>786</v>
      </c>
      <c r="AD332" s="100"/>
      <c r="AE332" s="100"/>
      <c r="AF332" s="100"/>
    </row>
    <row r="333" spans="1:32" outlineLevel="1" x14ac:dyDescent="0.25">
      <c r="A333" s="99" t="s">
        <v>278</v>
      </c>
      <c r="B333" s="100">
        <v>16051</v>
      </c>
      <c r="C333" s="100">
        <v>16231</v>
      </c>
      <c r="D333" s="100">
        <v>16383</v>
      </c>
      <c r="E333" s="100">
        <v>16314</v>
      </c>
      <c r="F333" s="100">
        <v>16357</v>
      </c>
      <c r="G333" s="100">
        <v>15948</v>
      </c>
      <c r="H333" s="100">
        <v>16432</v>
      </c>
      <c r="I333" s="100">
        <v>16673</v>
      </c>
      <c r="J333" s="100">
        <v>16744</v>
      </c>
      <c r="K333" s="100">
        <v>16884</v>
      </c>
      <c r="L333" s="100">
        <v>17079</v>
      </c>
      <c r="M333" s="100">
        <v>17762</v>
      </c>
      <c r="N333" s="100">
        <v>18342</v>
      </c>
      <c r="O333" s="100">
        <v>18418</v>
      </c>
      <c r="P333" s="100">
        <v>18790</v>
      </c>
      <c r="Q333" s="100">
        <v>18804</v>
      </c>
      <c r="R333" s="100">
        <v>18889</v>
      </c>
      <c r="S333" s="100">
        <v>19113</v>
      </c>
      <c r="T333" s="100">
        <v>19330</v>
      </c>
      <c r="U333" s="100">
        <v>19398</v>
      </c>
      <c r="V333" s="100">
        <v>20227</v>
      </c>
      <c r="W333" s="100">
        <v>20506</v>
      </c>
      <c r="X333" s="100">
        <v>20598</v>
      </c>
      <c r="Y333" s="100">
        <v>20742</v>
      </c>
      <c r="Z333" s="100">
        <v>20764</v>
      </c>
      <c r="AA333" s="100">
        <v>20948</v>
      </c>
      <c r="AB333" s="100">
        <v>21029</v>
      </c>
      <c r="AC333" s="100">
        <v>20962</v>
      </c>
      <c r="AD333" s="100"/>
      <c r="AE333" s="100"/>
      <c r="AF333" s="100"/>
    </row>
    <row r="334" spans="1:32" outlineLevel="1" x14ac:dyDescent="0.25">
      <c r="A334" s="99" t="s">
        <v>279</v>
      </c>
      <c r="B334" s="100">
        <v>4931</v>
      </c>
      <c r="C334" s="100">
        <v>4720</v>
      </c>
      <c r="D334" s="100">
        <v>5141</v>
      </c>
      <c r="E334" s="100">
        <v>6771</v>
      </c>
      <c r="F334" s="100">
        <v>4129</v>
      </c>
      <c r="G334" s="100">
        <v>3755</v>
      </c>
      <c r="H334" s="100">
        <v>4112</v>
      </c>
      <c r="I334" s="100">
        <v>6424</v>
      </c>
      <c r="J334" s="100">
        <v>4944</v>
      </c>
      <c r="K334" s="100">
        <v>5543</v>
      </c>
      <c r="L334" s="100">
        <v>5350</v>
      </c>
      <c r="M334" s="100">
        <v>7327</v>
      </c>
      <c r="N334" s="100">
        <v>6336</v>
      </c>
      <c r="O334" s="100">
        <v>6674</v>
      </c>
      <c r="P334" s="100">
        <v>6575</v>
      </c>
      <c r="Q334" s="100">
        <v>7625</v>
      </c>
      <c r="R334" s="100">
        <v>5760</v>
      </c>
      <c r="S334" s="100">
        <v>5277</v>
      </c>
      <c r="T334" s="100">
        <v>5813</v>
      </c>
      <c r="U334" s="100">
        <v>7472</v>
      </c>
      <c r="V334" s="100">
        <v>5361</v>
      </c>
      <c r="W334" s="100">
        <v>4998</v>
      </c>
      <c r="X334" s="100">
        <v>5343</v>
      </c>
      <c r="Y334" s="100">
        <v>7515</v>
      </c>
      <c r="Z334" s="100">
        <v>5398</v>
      </c>
      <c r="AA334" s="100">
        <v>6255</v>
      </c>
      <c r="AB334" s="100">
        <v>5619</v>
      </c>
      <c r="AC334" s="100">
        <v>8198</v>
      </c>
      <c r="AD334" s="100"/>
      <c r="AE334" s="100"/>
      <c r="AF334" s="100"/>
    </row>
    <row r="335" spans="1:32" outlineLevel="1" x14ac:dyDescent="0.25">
      <c r="A335" s="99" t="s">
        <v>280</v>
      </c>
      <c r="B335" s="100">
        <v>1686</v>
      </c>
      <c r="C335" s="100">
        <v>1718</v>
      </c>
      <c r="D335" s="100">
        <v>2018</v>
      </c>
      <c r="E335" s="100">
        <v>2150</v>
      </c>
      <c r="F335" s="100">
        <v>2079</v>
      </c>
      <c r="G335" s="100">
        <v>2039</v>
      </c>
      <c r="H335" s="100">
        <v>2096</v>
      </c>
      <c r="I335" s="100">
        <v>2029</v>
      </c>
      <c r="J335" s="100">
        <v>2043</v>
      </c>
      <c r="K335" s="100">
        <v>2043</v>
      </c>
      <c r="L335" s="100">
        <v>1929</v>
      </c>
      <c r="M335" s="100">
        <v>1840</v>
      </c>
      <c r="N335" s="100">
        <v>1818</v>
      </c>
      <c r="O335" s="100">
        <v>1800</v>
      </c>
      <c r="P335" s="100">
        <v>1922</v>
      </c>
      <c r="Q335" s="100">
        <v>1851</v>
      </c>
      <c r="R335" s="100">
        <v>1515</v>
      </c>
      <c r="S335" s="100">
        <v>1486</v>
      </c>
      <c r="T335" s="100">
        <v>1507</v>
      </c>
      <c r="U335" s="100">
        <v>1575</v>
      </c>
      <c r="V335" s="100">
        <v>871</v>
      </c>
      <c r="W335" s="100">
        <v>867</v>
      </c>
      <c r="X335" s="100">
        <v>907</v>
      </c>
      <c r="Y335" s="100">
        <v>953</v>
      </c>
      <c r="Z335" s="100">
        <v>1014</v>
      </c>
      <c r="AA335" s="100">
        <v>1021</v>
      </c>
      <c r="AB335" s="100">
        <v>996</v>
      </c>
      <c r="AC335" s="100">
        <v>1085</v>
      </c>
      <c r="AD335" s="100"/>
      <c r="AE335" s="100"/>
      <c r="AF335" s="100"/>
    </row>
    <row r="336" spans="1:32" outlineLevel="1" x14ac:dyDescent="0.25">
      <c r="A336" s="99" t="s">
        <v>281</v>
      </c>
      <c r="B336" s="100">
        <f>SUM(B333:B335)</f>
        <v>22668</v>
      </c>
      <c r="C336" s="100">
        <f t="shared" ref="C336:V336" si="16">SUM(C333:C335)</f>
        <v>22669</v>
      </c>
      <c r="D336" s="100">
        <f t="shared" si="16"/>
        <v>23542</v>
      </c>
      <c r="E336" s="100">
        <f t="shared" si="16"/>
        <v>25235</v>
      </c>
      <c r="F336" s="100">
        <f t="shared" si="16"/>
        <v>22565</v>
      </c>
      <c r="G336" s="100">
        <f t="shared" si="16"/>
        <v>21742</v>
      </c>
      <c r="H336" s="100">
        <f t="shared" si="16"/>
        <v>22640</v>
      </c>
      <c r="I336" s="100">
        <f t="shared" si="16"/>
        <v>25126</v>
      </c>
      <c r="J336" s="100">
        <f t="shared" si="16"/>
        <v>23731</v>
      </c>
      <c r="K336" s="100">
        <f t="shared" si="16"/>
        <v>24470</v>
      </c>
      <c r="L336" s="100">
        <f t="shared" si="16"/>
        <v>24358</v>
      </c>
      <c r="M336" s="100">
        <f t="shared" si="16"/>
        <v>26929</v>
      </c>
      <c r="N336" s="100">
        <f t="shared" si="16"/>
        <v>26496</v>
      </c>
      <c r="O336" s="100">
        <f t="shared" si="16"/>
        <v>26892</v>
      </c>
      <c r="P336" s="100">
        <f t="shared" si="16"/>
        <v>27287</v>
      </c>
      <c r="Q336" s="100">
        <f t="shared" si="16"/>
        <v>28280</v>
      </c>
      <c r="R336" s="100">
        <f t="shared" si="16"/>
        <v>26164</v>
      </c>
      <c r="S336" s="100">
        <f t="shared" si="16"/>
        <v>25876</v>
      </c>
      <c r="T336" s="100">
        <f t="shared" si="16"/>
        <v>26650</v>
      </c>
      <c r="U336" s="100">
        <f t="shared" si="16"/>
        <v>28445</v>
      </c>
      <c r="V336" s="100">
        <f t="shared" si="16"/>
        <v>26459</v>
      </c>
      <c r="W336" s="100">
        <f>SUM(W333:W335)</f>
        <v>26371</v>
      </c>
      <c r="X336" s="100">
        <f>SUM(X333:X335)</f>
        <v>26848</v>
      </c>
      <c r="Y336" s="100">
        <f>SUM(Y333:Y335)</f>
        <v>29210</v>
      </c>
      <c r="Z336" s="100">
        <v>27176</v>
      </c>
      <c r="AA336" s="100">
        <v>28224</v>
      </c>
      <c r="AB336" s="100">
        <v>27644</v>
      </c>
      <c r="AC336" s="100">
        <v>30245</v>
      </c>
      <c r="AD336" s="100"/>
      <c r="AE336" s="100"/>
      <c r="AF336" s="100"/>
    </row>
    <row r="337" spans="1:32" outlineLevel="1" x14ac:dyDescent="0.25">
      <c r="A337" s="99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</row>
    <row r="338" spans="1:32" outlineLevel="1" x14ac:dyDescent="0.25">
      <c r="A338" s="54" t="s">
        <v>148</v>
      </c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</row>
    <row r="339" spans="1:32" outlineLevel="1" x14ac:dyDescent="0.25">
      <c r="A339" s="106" t="s">
        <v>276</v>
      </c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</row>
    <row r="340" spans="1:32" outlineLevel="1" x14ac:dyDescent="0.25">
      <c r="A340" s="97" t="s">
        <v>277</v>
      </c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0">
        <v>255</v>
      </c>
      <c r="S340" s="100">
        <v>297</v>
      </c>
      <c r="T340" s="100">
        <v>347</v>
      </c>
      <c r="U340" s="100">
        <v>403</v>
      </c>
      <c r="V340" s="100">
        <v>452</v>
      </c>
      <c r="W340" s="100">
        <v>514</v>
      </c>
      <c r="X340" s="100">
        <v>562</v>
      </c>
      <c r="Y340" s="100">
        <v>611</v>
      </c>
      <c r="Z340" s="100">
        <v>668</v>
      </c>
      <c r="AA340" s="100"/>
      <c r="AB340" s="100"/>
      <c r="AC340" s="100"/>
      <c r="AD340" s="100"/>
      <c r="AE340" s="100"/>
      <c r="AF340" s="100"/>
    </row>
    <row r="341" spans="1:32" outlineLevel="1" x14ac:dyDescent="0.25">
      <c r="A341" s="99" t="s">
        <v>278</v>
      </c>
      <c r="B341" s="100">
        <v>16051</v>
      </c>
      <c r="C341" s="100">
        <v>16231</v>
      </c>
      <c r="D341" s="100">
        <v>16383</v>
      </c>
      <c r="E341" s="100">
        <v>16314</v>
      </c>
      <c r="F341" s="100">
        <v>16357</v>
      </c>
      <c r="G341" s="100">
        <v>15948</v>
      </c>
      <c r="H341" s="100">
        <v>16432</v>
      </c>
      <c r="I341" s="100">
        <v>16673</v>
      </c>
      <c r="J341" s="100">
        <v>16744</v>
      </c>
      <c r="K341" s="100">
        <v>16884</v>
      </c>
      <c r="L341" s="100">
        <v>17079</v>
      </c>
      <c r="M341" s="100">
        <v>17762</v>
      </c>
      <c r="N341" s="100">
        <v>18342</v>
      </c>
      <c r="O341" s="100">
        <v>18418</v>
      </c>
      <c r="P341" s="100">
        <v>18790</v>
      </c>
      <c r="Q341" s="100">
        <v>18804</v>
      </c>
      <c r="R341" s="100">
        <v>18889</v>
      </c>
      <c r="S341" s="100">
        <v>19113</v>
      </c>
      <c r="T341" s="100">
        <v>19330</v>
      </c>
      <c r="U341" s="100">
        <v>19398</v>
      </c>
      <c r="V341" s="100">
        <v>19513</v>
      </c>
      <c r="W341" s="100">
        <v>19773</v>
      </c>
      <c r="X341" s="100">
        <v>19843</v>
      </c>
      <c r="Y341" s="100">
        <v>19998</v>
      </c>
      <c r="Z341" s="100">
        <v>20764</v>
      </c>
      <c r="AA341" s="100"/>
      <c r="AB341" s="100"/>
      <c r="AC341" s="100"/>
      <c r="AD341" s="100"/>
      <c r="AE341" s="100"/>
      <c r="AF341" s="100"/>
    </row>
    <row r="342" spans="1:32" outlineLevel="1" x14ac:dyDescent="0.25">
      <c r="A342" s="99" t="s">
        <v>279</v>
      </c>
      <c r="B342" s="100">
        <v>4931</v>
      </c>
      <c r="C342" s="100">
        <v>4720</v>
      </c>
      <c r="D342" s="100">
        <v>5141</v>
      </c>
      <c r="E342" s="100">
        <v>6771</v>
      </c>
      <c r="F342" s="100">
        <v>4129</v>
      </c>
      <c r="G342" s="100">
        <v>3755</v>
      </c>
      <c r="H342" s="100">
        <v>4112</v>
      </c>
      <c r="I342" s="100">
        <v>6424</v>
      </c>
      <c r="J342" s="100">
        <v>4944</v>
      </c>
      <c r="K342" s="100">
        <v>5543</v>
      </c>
      <c r="L342" s="100">
        <v>5350</v>
      </c>
      <c r="M342" s="100">
        <v>7327</v>
      </c>
      <c r="N342" s="100">
        <v>6336</v>
      </c>
      <c r="O342" s="100">
        <v>6674</v>
      </c>
      <c r="P342" s="100">
        <v>6575</v>
      </c>
      <c r="Q342" s="100">
        <v>7625</v>
      </c>
      <c r="R342" s="100">
        <v>5760</v>
      </c>
      <c r="S342" s="100">
        <v>5277</v>
      </c>
      <c r="T342" s="100">
        <v>5813</v>
      </c>
      <c r="U342" s="100">
        <v>7472</v>
      </c>
      <c r="V342" s="100">
        <v>5361</v>
      </c>
      <c r="W342" s="100">
        <v>4998</v>
      </c>
      <c r="X342" s="100">
        <v>5343</v>
      </c>
      <c r="Y342" s="100">
        <v>7515</v>
      </c>
      <c r="Z342" s="100">
        <v>5398</v>
      </c>
      <c r="AA342" s="100"/>
      <c r="AB342" s="100"/>
      <c r="AC342" s="100"/>
      <c r="AD342" s="100"/>
      <c r="AE342" s="100"/>
      <c r="AF342" s="100"/>
    </row>
    <row r="343" spans="1:32" outlineLevel="1" x14ac:dyDescent="0.25">
      <c r="A343" s="99" t="s">
        <v>280</v>
      </c>
      <c r="B343" s="100">
        <v>1686</v>
      </c>
      <c r="C343" s="100">
        <v>1718</v>
      </c>
      <c r="D343" s="100">
        <v>2018</v>
      </c>
      <c r="E343" s="100">
        <v>2150</v>
      </c>
      <c r="F343" s="100">
        <v>2079</v>
      </c>
      <c r="G343" s="100">
        <v>2039</v>
      </c>
      <c r="H343" s="100">
        <v>2096</v>
      </c>
      <c r="I343" s="100">
        <v>2029</v>
      </c>
      <c r="J343" s="100">
        <v>2043</v>
      </c>
      <c r="K343" s="100">
        <v>2043</v>
      </c>
      <c r="L343" s="100">
        <v>1929</v>
      </c>
      <c r="M343" s="100">
        <v>1840</v>
      </c>
      <c r="N343" s="100">
        <v>1818</v>
      </c>
      <c r="O343" s="100">
        <v>1800</v>
      </c>
      <c r="P343" s="100">
        <v>1922</v>
      </c>
      <c r="Q343" s="100">
        <v>1851</v>
      </c>
      <c r="R343" s="100">
        <v>1515</v>
      </c>
      <c r="S343" s="100">
        <v>1486</v>
      </c>
      <c r="T343" s="100">
        <v>1507</v>
      </c>
      <c r="U343" s="100">
        <v>1575</v>
      </c>
      <c r="V343" s="100">
        <v>1585</v>
      </c>
      <c r="W343" s="100">
        <v>1600</v>
      </c>
      <c r="X343" s="100">
        <v>1662</v>
      </c>
      <c r="Y343" s="100">
        <v>1697</v>
      </c>
      <c r="Z343" s="100">
        <v>1014</v>
      </c>
      <c r="AA343" s="100"/>
      <c r="AB343" s="100"/>
      <c r="AC343" s="100"/>
      <c r="AD343" s="100"/>
      <c r="AE343" s="100"/>
      <c r="AF343" s="100"/>
    </row>
    <row r="344" spans="1:32" outlineLevel="1" x14ac:dyDescent="0.25">
      <c r="A344" s="99" t="s">
        <v>281</v>
      </c>
      <c r="B344" s="100">
        <f>SUM(B341:B343)</f>
        <v>22668</v>
      </c>
      <c r="C344" s="100">
        <f t="shared" ref="C344:V344" si="17">SUM(C341:C343)</f>
        <v>22669</v>
      </c>
      <c r="D344" s="100">
        <f t="shared" si="17"/>
        <v>23542</v>
      </c>
      <c r="E344" s="100">
        <f t="shared" si="17"/>
        <v>25235</v>
      </c>
      <c r="F344" s="100">
        <f t="shared" si="17"/>
        <v>22565</v>
      </c>
      <c r="G344" s="100">
        <f t="shared" si="17"/>
        <v>21742</v>
      </c>
      <c r="H344" s="100">
        <f t="shared" si="17"/>
        <v>22640</v>
      </c>
      <c r="I344" s="100">
        <f t="shared" si="17"/>
        <v>25126</v>
      </c>
      <c r="J344" s="100">
        <f t="shared" si="17"/>
        <v>23731</v>
      </c>
      <c r="K344" s="100">
        <f t="shared" si="17"/>
        <v>24470</v>
      </c>
      <c r="L344" s="100">
        <f t="shared" si="17"/>
        <v>24358</v>
      </c>
      <c r="M344" s="100">
        <f t="shared" si="17"/>
        <v>26929</v>
      </c>
      <c r="N344" s="100">
        <f t="shared" si="17"/>
        <v>26496</v>
      </c>
      <c r="O344" s="100">
        <f t="shared" si="17"/>
        <v>26892</v>
      </c>
      <c r="P344" s="100">
        <f t="shared" si="17"/>
        <v>27287</v>
      </c>
      <c r="Q344" s="100">
        <f t="shared" si="17"/>
        <v>28280</v>
      </c>
      <c r="R344" s="100">
        <f t="shared" si="17"/>
        <v>26164</v>
      </c>
      <c r="S344" s="100">
        <f t="shared" si="17"/>
        <v>25876</v>
      </c>
      <c r="T344" s="100">
        <f t="shared" si="17"/>
        <v>26650</v>
      </c>
      <c r="U344" s="100">
        <f t="shared" si="17"/>
        <v>28445</v>
      </c>
      <c r="V344" s="100">
        <f t="shared" si="17"/>
        <v>26459</v>
      </c>
      <c r="W344" s="100">
        <f>SUM(W341:W343)</f>
        <v>26371</v>
      </c>
      <c r="X344" s="100">
        <f>SUM(X341:X343)</f>
        <v>26848</v>
      </c>
      <c r="Y344" s="100">
        <f>SUM(Y341:Y343)</f>
        <v>29210</v>
      </c>
      <c r="Z344" s="100">
        <v>27176</v>
      </c>
      <c r="AA344" s="100"/>
      <c r="AB344" s="100"/>
      <c r="AC344" s="100"/>
      <c r="AD344" s="100"/>
      <c r="AE344" s="100"/>
      <c r="AF344" s="100"/>
    </row>
    <row r="345" spans="1:32" outlineLevel="1" x14ac:dyDescent="0.25">
      <c r="A345" s="99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3FS</vt:lpstr>
      <vt:lpstr>Segments</vt:lpstr>
      <vt:lpstr>Operation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 Andrew MarkBsgResAso</dc:creator>
  <cp:lastModifiedBy>Andrew Chung</cp:lastModifiedBy>
  <dcterms:created xsi:type="dcterms:W3CDTF">2026-07-24T11:46:16Z</dcterms:created>
  <dcterms:modified xsi:type="dcterms:W3CDTF">2026-07-24T13:21:46Z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MSIP_Label_1aaa69c8-0478-4e13-9e4c-38511e3b6774_Enabled">
    <vt:lpwstr>true</vt:lpwstr>
  </property>
  <property fmtid="{D5CDD505-2E9C-101B-9397-08002B2CF9AE}" pid="4" name="MSIP_Label_1aaa69c8-0478-4e13-9e4c-38511e3b6774_SetDate">
    <vt:lpwstr>2026-07-24T11:47:11Z</vt:lpwstr>
  </property>
  <property fmtid="{D5CDD505-2E9C-101B-9397-08002B2CF9AE}" pid="5" name="MSIP_Label_1aaa69c8-0478-4e13-9e4c-38511e3b6774_Method">
    <vt:lpwstr>Privileged</vt:lpwstr>
  </property>
  <property fmtid="{D5CDD505-2E9C-101B-9397-08002B2CF9AE}" pid="6" name="MSIP_Label_1aaa69c8-0478-4e13-9e4c-38511e3b6774_Name">
    <vt:lpwstr>1aaa69c8-0478-4e13-9e4c-38511e3b6774</vt:lpwstr>
  </property>
  <property fmtid="{D5CDD505-2E9C-101B-9397-08002B2CF9AE}" pid="7" name="MSIP_Label_1aaa69c8-0478-4e13-9e4c-38511e3b6774_SiteId">
    <vt:lpwstr>c9a7d621-4bc4-4407-b730-f428e656aa9e</vt:lpwstr>
  </property>
  <property fmtid="{D5CDD505-2E9C-101B-9397-08002B2CF9AE}" pid="8" name="MSIP_Label_1aaa69c8-0478-4e13-9e4c-38511e3b6774_ActionId">
    <vt:lpwstr>ac0e9d71-4f74-48a0-96cc-1f027654b29d</vt:lpwstr>
  </property>
  <property fmtid="{D5CDD505-2E9C-101B-9397-08002B2CF9AE}" pid="9" name="MSIP_Label_1aaa69c8-0478-4e13-9e4c-38511e3b6774_ContentBits">
    <vt:lpwstr>0</vt:lpwstr>
  </property>
</Properties>
</file>
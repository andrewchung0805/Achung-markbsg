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Lookups" sheetId="2" state="visible" r:id="rId4"/>
    <sheet name="2_Aggregation" sheetId="3" state="visible" r:id="rId5"/>
    <sheet name="Key_Work" sheetId="4" state="hidden" r:id="rId6"/>
    <sheet name="3_Returns" sheetId="5" state="visible" r:id="rId7"/>
    <sheet name="4_Screening" sheetId="6" state="visible" r:id="rId8"/>
    <sheet name="5_Regression" sheetId="7" state="visible" r:id="rId9"/>
    <sheet name="6_Valuation" sheetId="8" state="visible" r:id="rId10"/>
    <sheet name="Cheat_Sheet" sheetId="9" state="visible" r:id="rId11"/>
    <sheet name="Answer Key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0" authorId="0">
      <text>
        <r>
          <rPr>
            <sz val="10"/>
            <rFont val="Arial"/>
            <family val="2"/>
          </rPr>
          <t xml:space="preserve">Assumption for practice: 4.0% annual risk-free rate.</t>
        </r>
      </text>
    </comment>
  </commentList>
</comments>
</file>

<file path=xl/sharedStrings.xml><?xml version="1.0" encoding="utf-8"?>
<sst xmlns="http://schemas.openxmlformats.org/spreadsheetml/2006/main" count="1583" uniqueCount="821">
  <si>
    <t xml:space="preserve">Hotchkis &amp; Wiley — Quant RA Excel Practice</t>
  </si>
  <si>
    <t xml:space="preserve">Built for Andrew · Live screen-share prep · Data is synthetic</t>
  </si>
  <si>
    <t xml:space="preserve">HOW TO USE</t>
  </si>
  <si>
    <t xml:space="preserve">1.</t>
  </si>
  <si>
    <t xml:space="preserve">Work tab by tab. Each tab has numbered tasks at the top and the data below.</t>
  </si>
  <si>
    <t xml:space="preserve">2.</t>
  </si>
  <si>
    <t xml:space="preserve">Type a formula (not a hardcoded number!) in the yellow 'Your Answer' cell. The 'Check' column grades it instantly (±0.1%).</t>
  </si>
  <si>
    <t xml:space="preserve">3.</t>
  </si>
  <si>
    <t xml:space="preserve">Build helper columns in the green 'workspace' area next to the data — that's how you'd do it live.</t>
  </si>
  <si>
    <t xml:space="preserve">4.</t>
  </si>
  <si>
    <t xml:space="preserve">Stuck? Use the Hint column first. Model solutions are on the hidden 'Answer Key' tab (right-click any tab → Unhide).</t>
  </si>
  <si>
    <t xml:space="preserve">5.</t>
  </si>
  <si>
    <t xml:space="preserve">Practice NARRATING out loud as if Janvi and Sky are watching: what you're doing, why, and how you'll sanity-check it.</t>
  </si>
  <si>
    <t xml:space="preserve">LEGEND</t>
  </si>
  <si>
    <t xml:space="preserve">Yellow fill</t>
  </si>
  <si>
    <t xml:space="preserve">Your answer cells / inputs</t>
  </si>
  <si>
    <t xml:space="preserve">Blue text</t>
  </si>
  <si>
    <t xml:space="preserve">Hardcoded data</t>
  </si>
  <si>
    <t xml:space="preserve">Green fill</t>
  </si>
  <si>
    <t xml:space="preserve">Workspace for your helper columns</t>
  </si>
  <si>
    <t xml:space="preserve">SUGGESTED TIME BUDGET</t>
  </si>
  <si>
    <t xml:space="preserve">If you have ~60 min</t>
  </si>
  <si>
    <t xml:space="preserve">3_Returns (R1–R11) → 4_Screening (S1–S9) → 2_Aggregation (A1–A8)</t>
  </si>
  <si>
    <t xml:space="preserve">If you have ~2 hrs</t>
  </si>
  <si>
    <t xml:space="preserve">All of the above, then 1_Lookups, 5_Regression (G1–G7), 6_Valuation (V1–V9)</t>
  </si>
  <si>
    <t xml:space="preserve">Timed run</t>
  </si>
  <si>
    <t xml:space="preserve">Aim for ~2–3 min per task. Most live tasks are shorter than these.</t>
  </si>
  <si>
    <t xml:space="preserve">TABS &amp; SCORE</t>
  </si>
  <si>
    <t xml:space="preserve">Score</t>
  </si>
  <si>
    <t xml:space="preserve">1_Lookups</t>
  </si>
  <si>
    <t xml:space="preserve">Cleaning, INDEX/MATCH, two-way &amp; approximate lookups</t>
  </si>
  <si>
    <t xml:space="preserve">2_Aggregation</t>
  </si>
  <si>
    <t xml:space="preserve">SUMIFS/COUNTIFS/AVERAGEIFS/MAXIFS, weighted avgs, aggregate P/E, pivot</t>
  </si>
  <si>
    <t xml:space="preserve">3_Returns</t>
  </si>
  <si>
    <t xml:space="preserve">Cumulative/CAGR, vol, Sharpe, Sortino, drawdown, beta, TE/IR, calendar returns</t>
  </si>
  <si>
    <t xml:space="preserve">4_Screening</t>
  </si>
  <si>
    <t xml:space="preserve">Multiples, RANK/PERCENTRANK, z-scores, composite value score, quintiles, winsorizing</t>
  </si>
  <si>
    <t xml:space="preserve">5_Regression</t>
  </si>
  <si>
    <t xml:space="preserve">CORREL, SLOPE, INTERCEPT, RSQ, covariance, 3-factor LINEST, t-stats</t>
  </si>
  <si>
    <t xml:space="preserve">6_Valuation</t>
  </si>
  <si>
    <t xml:space="preserve">Mkt cap, EV bridge, margins, CAGR, FCF yield, leverage, implied price, mini-DCF</t>
  </si>
  <si>
    <t xml:space="preserve">TOTAL</t>
  </si>
  <si>
    <t xml:space="preserve">1 · Lookups &amp; Data Cleaning</t>
  </si>
  <si>
    <t xml:space="preserve">Messy trade blotter + clean reference table + month-end price grid. Clean, match, and look up.</t>
  </si>
  <si>
    <t xml:space="preserve">#</t>
  </si>
  <si>
    <t xml:space="preserve">Task</t>
  </si>
  <si>
    <t xml:space="preserve">Your Answer</t>
  </si>
  <si>
    <t xml:space="preserve">Check</t>
  </si>
  <si>
    <t xml:space="preserve">Hint (functions to use)</t>
  </si>
  <si>
    <t xml:space="preserve">L1</t>
  </si>
  <si>
    <t xml:space="preserve">What sector is FENX in? (Use the reference table.)</t>
  </si>
  <si>
    <t xml:space="preserve">INDEX/MATCH or XLOOKUP</t>
  </si>
  <si>
    <t xml:space="preserve">L2</t>
  </si>
  <si>
    <t xml:space="preserve">Reverse lookup: what is the ticker for 'Harbor Logistics'? (Ticker column is to the LEFT of company name.)</t>
  </si>
  <si>
    <t xml:space="preserve">INDEX/MATCH (VLOOKUP can't look left)</t>
  </si>
  <si>
    <t xml:space="preserve">L3</t>
  </si>
  <si>
    <t xml:space="preserve">How many rows in the raw blotter have a 'dirty' ticker (leading/trailing spaces or lowercase)?</t>
  </si>
  <si>
    <t xml:space="preserve">EXACT, TRIM, UPPER, SUMPRODUCT</t>
  </si>
  <si>
    <t xml:space="preserve">L4</t>
  </si>
  <si>
    <t xml:space="preserve">How many prices in the raw blotter are stored as TEXT rather than numbers?</t>
  </si>
  <si>
    <t xml:space="preserve">ISTEXT, SUMPRODUCT</t>
  </si>
  <si>
    <t xml:space="preserve">L5</t>
  </si>
  <si>
    <t xml:space="preserve">Total market value (price × shares) across ALL blotter rows, after converting text prices to numbers. Include duplicates and unknown tickers.</t>
  </si>
  <si>
    <t xml:space="preserve">VALUE / TRIM helper column, then SUM</t>
  </si>
  <si>
    <t xml:space="preserve">L6</t>
  </si>
  <si>
    <t xml:space="preserve">After cleaning tickers (TRIM + UPPER), how many blotter rows have a ticker NOT in the reference table?</t>
  </si>
  <si>
    <t xml:space="preserve">ISNA/ISNUMBER + MATCH, or COUNTIF=0</t>
  </si>
  <si>
    <t xml:space="preserve">L7</t>
  </si>
  <si>
    <t xml:space="preserve">Total market value of blotter rows in the Energy sector (look up each row's sector first; all rows incl. duplicates).</t>
  </si>
  <si>
    <t xml:space="preserve">Helper sector column + SUMIFS</t>
  </si>
  <si>
    <t xml:space="preserve">L8</t>
  </si>
  <si>
    <t xml:space="preserve">How many rows are duplicate copies (same Trade ID appearing again after its first occurrence)?</t>
  </si>
  <si>
    <t xml:space="preserve">COUNTIF with an expanding range $F$x:F2</t>
  </si>
  <si>
    <t xml:space="preserve">L9</t>
  </si>
  <si>
    <t xml:space="preserve">Two-way lookup: MRDN's closing price on 2026-06-30 from the month-end grid.</t>
  </si>
  <si>
    <t xml:space="preserve">INDEX(grid, MATCH(row), MATCH(col))</t>
  </si>
  <si>
    <t xml:space="preserve">L10</t>
  </si>
  <si>
    <t xml:space="preserve">Extract the plain ticker from the BBG ID of trade T1017 (e.g. 'ABC US Equity' → 'ABC').</t>
  </si>
  <si>
    <t xml:space="preserve">LEFT + FIND (or TEXTBEFORE)</t>
  </si>
  <si>
    <t xml:space="preserve">L11</t>
  </si>
  <si>
    <t xml:space="preserve">What is the company name for trade T1033? (Its raw ticker is dirty — clean it inside the lookup.)</t>
  </si>
  <si>
    <t xml:space="preserve">INDEX/MATCH on UPPER(TRIM(x))</t>
  </si>
  <si>
    <t xml:space="preserve">L12</t>
  </si>
  <si>
    <t xml:space="preserve">Approximate match: for trade T1025, return its ticker's most recent month-end close ON OR BEFORE the trade date.</t>
  </si>
  <si>
    <t xml:space="preserve">MATCH(date, header, 1) — header sorted ascending</t>
  </si>
  <si>
    <t xml:space="preserve">L13</t>
  </si>
  <si>
    <t xml:space="preserve">Total market value EXCLUDING duplicate rows AND rows with tickers not in the reference table.</t>
  </si>
  <si>
    <t xml:space="preserve">Combine your helper flags with SUMPRODUCT or SUMIFS</t>
  </si>
  <si>
    <t xml:space="preserve">Score:</t>
  </si>
  <si>
    <t xml:space="preserve">DATA</t>
  </si>
  <si>
    <t xml:space="preserve">Reference (A:D) · Raw trade blotter (F:K) · Month-end close grid (M:Y). Green columns AA:AH = your workspace for helper columns.</t>
  </si>
  <si>
    <t xml:space="preserve">Ticker</t>
  </si>
  <si>
    <t xml:space="preserve">Company</t>
  </si>
  <si>
    <t xml:space="preserve">Sector</t>
  </si>
  <si>
    <t xml:space="preserve">Country</t>
  </si>
  <si>
    <t xml:space="preserve">Trade ID</t>
  </si>
  <si>
    <t xml:space="preserve">Ticker (raw)</t>
  </si>
  <si>
    <t xml:space="preserve">Trade Date</t>
  </si>
  <si>
    <t xml:space="preserve">Price (raw)</t>
  </si>
  <si>
    <t xml:space="preserve">Shares</t>
  </si>
  <si>
    <t xml:space="preserve">BBG ID</t>
  </si>
  <si>
    <t xml:space="preserve">workspace</t>
  </si>
  <si>
    <t xml:space="preserve">ALDR</t>
  </si>
  <si>
    <t xml:space="preserve">Alder Resources</t>
  </si>
  <si>
    <t xml:space="preserve">Energy</t>
  </si>
  <si>
    <t xml:space="preserve">Germany</t>
  </si>
  <si>
    <t xml:space="preserve">T1001</t>
  </si>
  <si>
    <t xml:space="preserve">LMRA</t>
  </si>
  <si>
    <t xml:space="preserve">LMRA US Equity</t>
  </si>
  <si>
    <t xml:space="preserve">BRKN</t>
  </si>
  <si>
    <t xml:space="preserve">Brookline Bancorp</t>
  </si>
  <si>
    <t xml:space="preserve">Financials</t>
  </si>
  <si>
    <t xml:space="preserve">Japan</t>
  </si>
  <si>
    <t xml:space="preserve">T1002</t>
  </si>
  <si>
    <t xml:space="preserve">HRBR</t>
  </si>
  <si>
    <t xml:space="preserve">264.22</t>
  </si>
  <si>
    <t xml:space="preserve">HRBR US Equity</t>
  </si>
  <si>
    <t xml:space="preserve">CVLT</t>
  </si>
  <si>
    <t xml:space="preserve">Cobalt Systems</t>
  </si>
  <si>
    <t xml:space="preserve">Technology</t>
  </si>
  <si>
    <t xml:space="preserve">T1003</t>
  </si>
  <si>
    <t xml:space="preserve">DMNX  </t>
  </si>
  <si>
    <t xml:space="preserve">DMNX US Equity</t>
  </si>
  <si>
    <t xml:space="preserve">DMNX</t>
  </si>
  <si>
    <t xml:space="preserve">Domino Semiconductor</t>
  </si>
  <si>
    <t xml:space="preserve">Health Care</t>
  </si>
  <si>
    <t xml:space="preserve">T1004</t>
  </si>
  <si>
    <t xml:space="preserve">ZNTH</t>
  </si>
  <si>
    <t xml:space="preserve">ZNTH US Equity</t>
  </si>
  <si>
    <t xml:space="preserve">ELMR</t>
  </si>
  <si>
    <t xml:space="preserve">Elmore Therapeutics</t>
  </si>
  <si>
    <t xml:space="preserve">Industrials</t>
  </si>
  <si>
    <t xml:space="preserve">T1005</t>
  </si>
  <si>
    <t xml:space="preserve">xera</t>
  </si>
  <si>
    <t xml:space="preserve">XERA US Equity</t>
  </si>
  <si>
    <t xml:space="preserve">FENX</t>
  </si>
  <si>
    <t xml:space="preserve">Fenwick Oil &amp; Gas</t>
  </si>
  <si>
    <t xml:space="preserve">T1006</t>
  </si>
  <si>
    <t xml:space="preserve">KSTL</t>
  </si>
  <si>
    <t xml:space="preserve">154.72</t>
  </si>
  <si>
    <t xml:space="preserve">KSTL US Equity</t>
  </si>
  <si>
    <t xml:space="preserve">GRVL</t>
  </si>
  <si>
    <t xml:space="preserve">Gravel Industrial</t>
  </si>
  <si>
    <t xml:space="preserve">T1007</t>
  </si>
  <si>
    <t xml:space="preserve">ABRV</t>
  </si>
  <si>
    <t xml:space="preserve">ABRV US Equity</t>
  </si>
  <si>
    <t xml:space="preserve">Harbor Logistics</t>
  </si>
  <si>
    <t xml:space="preserve">US</t>
  </si>
  <si>
    <t xml:space="preserve">T1008</t>
  </si>
  <si>
    <t xml:space="preserve"> ULMN</t>
  </si>
  <si>
    <t xml:space="preserve">ULMN US Equity</t>
  </si>
  <si>
    <t xml:space="preserve">IRNW</t>
  </si>
  <si>
    <t xml:space="preserve">Ironwood Insurance</t>
  </si>
  <si>
    <t xml:space="preserve">T1009</t>
  </si>
  <si>
    <t xml:space="preserve">TRVO</t>
  </si>
  <si>
    <t xml:space="preserve">TRVO US Equity</t>
  </si>
  <si>
    <t xml:space="preserve">Kestrel Software</t>
  </si>
  <si>
    <t xml:space="preserve">UK</t>
  </si>
  <si>
    <t xml:space="preserve">T1010</t>
  </si>
  <si>
    <t xml:space="preserve"> 81.69</t>
  </si>
  <si>
    <t xml:space="preserve">CVLT US Equity</t>
  </si>
  <si>
    <t xml:space="preserve">Lamarra Foods</t>
  </si>
  <si>
    <t xml:space="preserve">T1011</t>
  </si>
  <si>
    <t xml:space="preserve">ZZZZ</t>
  </si>
  <si>
    <t xml:space="preserve">ZZZZ US Equity</t>
  </si>
  <si>
    <t xml:space="preserve">MRDN</t>
  </si>
  <si>
    <t xml:space="preserve">Meridian Health</t>
  </si>
  <si>
    <t xml:space="preserve">Consumer</t>
  </si>
  <si>
    <t xml:space="preserve">T1012</t>
  </si>
  <si>
    <t xml:space="preserve"> ABRV</t>
  </si>
  <si>
    <t xml:space="preserve">NOVX</t>
  </si>
  <si>
    <t xml:space="preserve">Novex Pharma</t>
  </si>
  <si>
    <t xml:space="preserve">T1013</t>
  </si>
  <si>
    <t xml:space="preserve">BLCK</t>
  </si>
  <si>
    <t xml:space="preserve">BLCK US Equity</t>
  </si>
  <si>
    <t xml:space="preserve">OKRA</t>
  </si>
  <si>
    <t xml:space="preserve">Okra Brands</t>
  </si>
  <si>
    <t xml:space="preserve">T1014</t>
  </si>
  <si>
    <t xml:space="preserve">okra</t>
  </si>
  <si>
    <t xml:space="preserve">OKRA US Equity</t>
  </si>
  <si>
    <t xml:space="preserve">PLMT</t>
  </si>
  <si>
    <t xml:space="preserve">Palmetto Energy</t>
  </si>
  <si>
    <t xml:space="preserve">T1015</t>
  </si>
  <si>
    <t xml:space="preserve">YRLW</t>
  </si>
  <si>
    <t xml:space="preserve">308.54</t>
  </si>
  <si>
    <t xml:space="preserve">YRLW US Equity</t>
  </si>
  <si>
    <t xml:space="preserve">QRSN</t>
  </si>
  <si>
    <t xml:space="preserve">Quorsan Capital</t>
  </si>
  <si>
    <t xml:space="preserve">T1016</t>
  </si>
  <si>
    <t xml:space="preserve">GRVL US Equity</t>
  </si>
  <si>
    <t xml:space="preserve">RDGE</t>
  </si>
  <si>
    <t xml:space="preserve">Ridgeline Machinery</t>
  </si>
  <si>
    <t xml:space="preserve">T1017</t>
  </si>
  <si>
    <t xml:space="preserve">BRKN US Equity</t>
  </si>
  <si>
    <t xml:space="preserve">SLTN</t>
  </si>
  <si>
    <t xml:space="preserve">Saltonstall Bank</t>
  </si>
  <si>
    <t xml:space="preserve">T1018</t>
  </si>
  <si>
    <t xml:space="preserve">VSTR</t>
  </si>
  <si>
    <t xml:space="preserve">VSTR US Equity</t>
  </si>
  <si>
    <t xml:space="preserve">Trevo Devices</t>
  </si>
  <si>
    <t xml:space="preserve">T1019</t>
  </si>
  <si>
    <t xml:space="preserve"> 33.97</t>
  </si>
  <si>
    <t xml:space="preserve">ULMN</t>
  </si>
  <si>
    <t xml:space="preserve">Ulman Retail</t>
  </si>
  <si>
    <t xml:space="preserve">T1020</t>
  </si>
  <si>
    <t xml:space="preserve"> EVRG</t>
  </si>
  <si>
    <t xml:space="preserve">EVRG US Equity</t>
  </si>
  <si>
    <t xml:space="preserve">Vestra Networks</t>
  </si>
  <si>
    <t xml:space="preserve">T1021</t>
  </si>
  <si>
    <t xml:space="preserve">WNDL</t>
  </si>
  <si>
    <t xml:space="preserve">Windle Aerospace</t>
  </si>
  <si>
    <t xml:space="preserve">T1022</t>
  </si>
  <si>
    <t xml:space="preserve"> 88.11</t>
  </si>
  <si>
    <t xml:space="preserve">XERA</t>
  </si>
  <si>
    <t xml:space="preserve">Xera Biotech</t>
  </si>
  <si>
    <t xml:space="preserve">T1023</t>
  </si>
  <si>
    <t xml:space="preserve">Yarrow Lane Apparel</t>
  </si>
  <si>
    <t xml:space="preserve">T1024</t>
  </si>
  <si>
    <t xml:space="preserve">Zenith Pipelines</t>
  </si>
  <si>
    <t xml:space="preserve">T1025</t>
  </si>
  <si>
    <t xml:space="preserve">IRNW US Equity</t>
  </si>
  <si>
    <t xml:space="preserve">Abrevia Health</t>
  </si>
  <si>
    <t xml:space="preserve">T1026</t>
  </si>
  <si>
    <t xml:space="preserve">PLMT US Equity</t>
  </si>
  <si>
    <t xml:space="preserve">Blackrock Mining Co</t>
  </si>
  <si>
    <t xml:space="preserve">T1027</t>
  </si>
  <si>
    <t xml:space="preserve">dmnx</t>
  </si>
  <si>
    <t xml:space="preserve">CRST</t>
  </si>
  <si>
    <t xml:space="preserve">Crestview Financial</t>
  </si>
  <si>
    <t xml:space="preserve">T1028</t>
  </si>
  <si>
    <t xml:space="preserve"> 33.06</t>
  </si>
  <si>
    <t xml:space="preserve">DRFT</t>
  </si>
  <si>
    <t xml:space="preserve">Driftwood Hotels</t>
  </si>
  <si>
    <t xml:space="preserve">T1029</t>
  </si>
  <si>
    <t xml:space="preserve">MRDN  </t>
  </si>
  <si>
    <t xml:space="preserve">MRDN US Equity</t>
  </si>
  <si>
    <t xml:space="preserve">EVRG</t>
  </si>
  <si>
    <t xml:space="preserve">Evergreen Utilities Tech</t>
  </si>
  <si>
    <t xml:space="preserve">T1030</t>
  </si>
  <si>
    <t xml:space="preserve">NOVX US Equity</t>
  </si>
  <si>
    <t xml:space="preserve">T1031</t>
  </si>
  <si>
    <t xml:space="preserve"> 256.36</t>
  </si>
  <si>
    <t xml:space="preserve">FENX US Equity</t>
  </si>
  <si>
    <t xml:space="preserve">T1032</t>
  </si>
  <si>
    <t xml:space="preserve">T1033</t>
  </si>
  <si>
    <t xml:space="preserve"> lmra</t>
  </si>
  <si>
    <t xml:space="preserve">T1034</t>
  </si>
  <si>
    <t xml:space="preserve"> 207.60</t>
  </si>
  <si>
    <t xml:space="preserve">T1035</t>
  </si>
  <si>
    <t xml:space="preserve">T1036</t>
  </si>
  <si>
    <t xml:space="preserve"> CRST</t>
  </si>
  <si>
    <t xml:space="preserve">CRST US Equity</t>
  </si>
  <si>
    <t xml:space="preserve">T1037</t>
  </si>
  <si>
    <t xml:space="preserve">QQQQ</t>
  </si>
  <si>
    <t xml:space="preserve">QQQQ US Equity</t>
  </si>
  <si>
    <t xml:space="preserve">T1038</t>
  </si>
  <si>
    <t xml:space="preserve">irnw</t>
  </si>
  <si>
    <t xml:space="preserve">T1039</t>
  </si>
  <si>
    <t xml:space="preserve">FENX  </t>
  </si>
  <si>
    <t xml:space="preserve">T1040</t>
  </si>
  <si>
    <t xml:space="preserve"> 265.37</t>
  </si>
  <si>
    <t xml:space="preserve">2 · Conditional Aggregation &amp; Pivots</t>
  </si>
  <si>
    <t xml:space="preserve">60-stock global universe. SUMIFS / COUNTIFS / AVERAGEIFS / MAXIFS / SUMPRODUCT, plus a pivot-table check.</t>
  </si>
  <si>
    <t xml:space="preserve">A1</t>
  </si>
  <si>
    <t xml:space="preserve">Total market cap of the Financials sector ($bn).</t>
  </si>
  <si>
    <t xml:space="preserve">SUMIFS</t>
  </si>
  <si>
    <t xml:space="preserve">A2</t>
  </si>
  <si>
    <t xml:space="preserve">How many Technology stocks returned more than 10% over the past year?</t>
  </si>
  <si>
    <t xml:space="preserve">COUNTIFS with "&gt;0.1"</t>
  </si>
  <si>
    <t xml:space="preserve">A3</t>
  </si>
  <si>
    <t xml:space="preserve">Average P/E of US Industrials (ignore NM).</t>
  </si>
  <si>
    <t xml:space="preserve">AVERAGEIFS (text 'NM' is skipped automatically)</t>
  </si>
  <si>
    <t xml:space="preserve">A4</t>
  </si>
  <si>
    <t xml:space="preserve">Market-cap-weighted average 1Y return of Health Care.</t>
  </si>
  <si>
    <t xml:space="preserve">SUMPRODUCT((cond)*cap*ret)/SUMIFS(cap)</t>
  </si>
  <si>
    <t xml:space="preserve">A5</t>
  </si>
  <si>
    <t xml:space="preserve">Highest dividend yield in Energy.</t>
  </si>
  <si>
    <t xml:space="preserve">MAXIFS</t>
  </si>
  <si>
    <t xml:space="preserve">A6</t>
  </si>
  <si>
    <t xml:space="preserve">Lowest P/E among UK stocks (ignore NM).</t>
  </si>
  <si>
    <t xml:space="preserve">MINIFS</t>
  </si>
  <si>
    <t xml:space="preserve">A7</t>
  </si>
  <si>
    <t xml:space="preserve">How many stocks have a market cap between $10bn and $50bn inclusive?</t>
  </si>
  <si>
    <t xml:space="preserve">COUNTIFS on the same column twice</t>
  </si>
  <si>
    <t xml:space="preserve">A8</t>
  </si>
  <si>
    <t xml:space="preserve">Combined market cap of Technology OR Health Care.</t>
  </si>
  <si>
    <t xml:space="preserve">Two SUMIFS added, or SUM(SUMIFS(...,{"A","B"}))</t>
  </si>
  <si>
    <t xml:space="preserve">A9</t>
  </si>
  <si>
    <t xml:space="preserve">Which sector has the largest total market cap? (text)</t>
  </si>
  <si>
    <t xml:space="preserve">Build a small sector table with SUMIFS, then INDEX/MATCH on MAX</t>
  </si>
  <si>
    <t xml:space="preserve">A10</t>
  </si>
  <si>
    <t xml:space="preserve">AGGREGATE P/E of Energy = total cap ÷ total net income (include loss-makers). Why is this better than averaging P/Es?</t>
  </si>
  <si>
    <t xml:space="preserve">SUMIFS / SUMIFS</t>
  </si>
  <si>
    <t xml:space="preserve">A11</t>
  </si>
  <si>
    <t xml:space="preserve">PIVOT: Build a PivotTable of average 1Y Return by Sector (rows) × Country (cols). What is Japan / Technology?</t>
  </si>
  <si>
    <t xml:space="preserve">Insert → PivotTable; Values = Average. Verify with AVERAGEIFS</t>
  </si>
  <si>
    <t xml:space="preserve">A12</t>
  </si>
  <si>
    <t xml:space="preserve">What % of total universe market cap is rated 'Buy'?</t>
  </si>
  <si>
    <t xml:space="preserve">SUMIFS / SUM</t>
  </si>
  <si>
    <t xml:space="preserve">A13</t>
  </si>
  <si>
    <t xml:space="preserve">How many stocks have a P/E of 'NM'?</t>
  </si>
  <si>
    <t xml:space="preserve">COUNTIF</t>
  </si>
  <si>
    <t xml:space="preserve">A14</t>
  </si>
  <si>
    <t xml:space="preserve">Average 1Y return of the 10 largest stocks by market cap.</t>
  </si>
  <si>
    <t xml:space="preserve">AVERAGEIFS with "&gt;="&amp;LARGE(cap,10)</t>
  </si>
  <si>
    <t xml:space="preserve">Mkt Cap &amp; Net Income in $bn. P/E shows 'NM' (not meaningful) when earnings ≤ 0. Then build a PivotTable (Insert → PivotTable) for A11.</t>
  </si>
  <si>
    <t xml:space="preserve">Mkt Cap ($bn)</t>
  </si>
  <si>
    <t xml:space="preserve">Net Income ($bn)</t>
  </si>
  <si>
    <t xml:space="preserve">P/E</t>
  </si>
  <si>
    <t xml:space="preserve">Div Yield</t>
  </si>
  <si>
    <t xml:space="preserve">1Y Return</t>
  </si>
  <si>
    <t xml:space="preserve">Rating</t>
  </si>
  <si>
    <t xml:space="preserve">NM</t>
  </si>
  <si>
    <t xml:space="preserve">Buy</t>
  </si>
  <si>
    <t xml:space="preserve">Hold</t>
  </si>
  <si>
    <t xml:space="preserve">Sell</t>
  </si>
  <si>
    <t xml:space="preserve">FLNT</t>
  </si>
  <si>
    <t xml:space="preserve">GLDN</t>
  </si>
  <si>
    <t xml:space="preserve">HZLN</t>
  </si>
  <si>
    <t xml:space="preserve">INDG</t>
  </si>
  <si>
    <t xml:space="preserve">JSPR</t>
  </si>
  <si>
    <t xml:space="preserve">KLMN</t>
  </si>
  <si>
    <t xml:space="preserve">LTUS</t>
  </si>
  <si>
    <t xml:space="preserve">MSTC</t>
  </si>
  <si>
    <t xml:space="preserve">NRTH</t>
  </si>
  <si>
    <t xml:space="preserve">OPAL</t>
  </si>
  <si>
    <t xml:space="preserve">PRSM</t>
  </si>
  <si>
    <t xml:space="preserve">QUIL</t>
  </si>
  <si>
    <t xml:space="preserve">RVNE</t>
  </si>
  <si>
    <t xml:space="preserve">SPRC</t>
  </si>
  <si>
    <t xml:space="preserve">TMBR</t>
  </si>
  <si>
    <t xml:space="preserve">UMBR</t>
  </si>
  <si>
    <t xml:space="preserve">VLLY</t>
  </si>
  <si>
    <t xml:space="preserve">WLOW</t>
  </si>
  <si>
    <t xml:space="preserve">XNTH</t>
  </si>
  <si>
    <t xml:space="preserve">YUKN</t>
  </si>
  <si>
    <t xml:space="preserve">ZPHR</t>
  </si>
  <si>
    <t xml:space="preserve">ARCD</t>
  </si>
  <si>
    <t xml:space="preserve">BYRN</t>
  </si>
  <si>
    <t xml:space="preserve">CDAR</t>
  </si>
  <si>
    <t xml:space="preserve">DLTA</t>
  </si>
  <si>
    <t xml:space="preserve">EMBR</t>
  </si>
  <si>
    <t xml:space="preserve">FRST</t>
  </si>
  <si>
    <t xml:space="preserve">GRNT</t>
  </si>
  <si>
    <t xml:space="preserve">HLCN</t>
  </si>
  <si>
    <t xml:space="preserve">IVRY</t>
  </si>
  <si>
    <t xml:space="preserve">Key_Work — helper columns used by the Answer Key (rows mirror each practice tab's data rows)</t>
  </si>
  <si>
    <t xml:space="preserve">S2 Sector</t>
  </si>
  <si>
    <t xml:space="preserve">Total Cap</t>
  </si>
  <si>
    <t xml:space="preserve">S6 DCF</t>
  </si>
  <si>
    <t xml:space="preserve">FCF0</t>
  </si>
  <si>
    <t xml:space="preserve">FCF yr1</t>
  </si>
  <si>
    <t xml:space="preserve">FCF yr2</t>
  </si>
  <si>
    <t xml:space="preserve">FCF yr3</t>
  </si>
  <si>
    <t xml:space="preserve">FCF yr4</t>
  </si>
  <si>
    <t xml:space="preserve">FCF yr5</t>
  </si>
  <si>
    <t xml:space="preserve">EV (DCF)</t>
  </si>
  <si>
    <t xml:space="preserve">Implied px</t>
  </si>
  <si>
    <t xml:space="preserve">S1 Clean Tkr</t>
  </si>
  <si>
    <t xml:space="preserve">Price#</t>
  </si>
  <si>
    <t xml:space="preserve">Mkt Val</t>
  </si>
  <si>
    <t xml:space="preserve">In Ref</t>
  </si>
  <si>
    <t xml:space="preserve">Dup</t>
  </si>
  <si>
    <t xml:space="preserve">Dirty Tkr</t>
  </si>
  <si>
    <t xml:space="preserve">Text Px</t>
  </si>
  <si>
    <t xml:space="preserve">S4 P/B</t>
  </si>
  <si>
    <t xml:space="preserve">E/P</t>
  </si>
  <si>
    <t xml:space="preserve">EV/EBITDA</t>
  </si>
  <si>
    <t xml:space="preserve">Rk PB</t>
  </si>
  <si>
    <t xml:space="preserve">Rk EP</t>
  </si>
  <si>
    <t xml:space="preserve">Rk EV</t>
  </si>
  <si>
    <t xml:space="preserve">Composite</t>
  </si>
  <si>
    <t xml:space="preserve">Comp Rk</t>
  </si>
  <si>
    <t xml:space="preserve">Quintile</t>
  </si>
  <si>
    <t xml:space="preserve">P/E pos</t>
  </si>
  <si>
    <t xml:space="preserve">ROE wins</t>
  </si>
  <si>
    <t xml:space="preserve">S3 rA</t>
  </si>
  <si>
    <t xml:space="preserve">rB</t>
  </si>
  <si>
    <t xml:space="preserve">rM</t>
  </si>
  <si>
    <t xml:space="preserve">RunMax A</t>
  </si>
  <si>
    <t xml:space="preserve">DD A</t>
  </si>
  <si>
    <t xml:space="preserve">ln rA</t>
  </si>
  <si>
    <t xml:space="preserve">rA-rM</t>
  </si>
  <si>
    <t xml:space="preserve">A&gt;M</t>
  </si>
  <si>
    <t xml:space="preserve">3 · Returns, Risk &amp; Performance Math</t>
  </si>
  <si>
    <t xml:space="preserve">~2 years of daily closes for two stocks and a benchmark. Build return columns to the right (E onward), then answer.</t>
  </si>
  <si>
    <t xml:space="preserve">R1</t>
  </si>
  <si>
    <t xml:space="preserve">Total (cumulative) return of Stock A over the full period.</t>
  </si>
  <si>
    <t xml:space="preserve">last / first − 1</t>
  </si>
  <si>
    <t xml:space="preserve">R2</t>
  </si>
  <si>
    <t xml:space="preserve">Total return of Stock B — compute it by compounding daily returns: PRODUCT(1+r)−1. Confirm it equals last/first−1.</t>
  </si>
  <si>
    <t xml:space="preserve">Daily return column, then PRODUCT(1+range)-1 (Ctrl+Shift+Enter in old Excel)</t>
  </si>
  <si>
    <t xml:space="preserve">R3</t>
  </si>
  <si>
    <t xml:space="preserve">Annualized return (CAGR) of Stock A. Use 252 trading days/yr and N = number of daily return observations.</t>
  </si>
  <si>
    <t xml:space="preserve">(1+cum)^(252/N) − 1; N = COUNT(returns)</t>
  </si>
  <si>
    <t xml:space="preserve">R4</t>
  </si>
  <si>
    <t xml:space="preserve">Annualized volatility of Stock A (sample std dev of daily returns).</t>
  </si>
  <si>
    <t xml:space="preserve">STDEV.S × SQRT(252)</t>
  </si>
  <si>
    <t xml:space="preserve">R5</t>
  </si>
  <si>
    <t xml:space="preserve">Sharpe ratio of Stock A = (AVERAGE(daily r)×252 − rf) ÷ annualized vol.</t>
  </si>
  <si>
    <t xml:space="preserve">Arithmetic annualized mean; rf in G</t>
  </si>
  <si>
    <t xml:space="preserve">R6</t>
  </si>
  <si>
    <t xml:space="preserve">Maximum drawdown of Stock A (peak-to-trough, as a negative %).</t>
  </si>
  <si>
    <t xml:space="preserve">Running max: MAX($B$first:B2); DD = B/runmax − 1; MIN(DD)</t>
  </si>
  <si>
    <t xml:space="preserve">R7</t>
  </si>
  <si>
    <t xml:space="preserve">On what date did Stock A hit its max-drawdown trough?</t>
  </si>
  <si>
    <t xml:space="preserve">INDEX/MATCH on MIN of drawdown column</t>
  </si>
  <si>
    <t xml:space="preserve">R8</t>
  </si>
  <si>
    <t xml:space="preserve">Beta of Stock A vs the Benchmark (daily returns).</t>
  </si>
  <si>
    <t xml:space="preserve">SLOPE(stock, market) — y first!</t>
  </si>
  <si>
    <t xml:space="preserve">R9</t>
  </si>
  <si>
    <t xml:space="preserve">Correlation of daily returns: Stock A vs Stock B.</t>
  </si>
  <si>
    <t xml:space="preserve">CORREL</t>
  </si>
  <si>
    <t xml:space="preserve">R10</t>
  </si>
  <si>
    <t xml:space="preserve">Annualized tracking error of Stock A vs Benchmark (std dev of daily active return × √252).</t>
  </si>
  <si>
    <t xml:space="preserve">Helper: rA − rM</t>
  </si>
  <si>
    <t xml:space="preserve">R11</t>
  </si>
  <si>
    <t xml:space="preserve">Information ratio of Stock A = (AVERAGE(active r)×252) ÷ tracking error.</t>
  </si>
  <si>
    <t xml:space="preserve">Active return / TE</t>
  </si>
  <si>
    <t xml:space="preserve">R12</t>
  </si>
  <si>
    <t xml:space="preserve">Sum of Stock A's daily LOG returns. (Should equal LN(last/first) — why?)</t>
  </si>
  <si>
    <t xml:space="preserve">LN(Pt/Pt−1)</t>
  </si>
  <si>
    <t xml:space="preserve">R13</t>
  </si>
  <si>
    <t xml:space="preserve">Best single-day return for Stock B.</t>
  </si>
  <si>
    <t xml:space="preserve">MAX of return column</t>
  </si>
  <si>
    <t xml:space="preserve">R14</t>
  </si>
  <si>
    <t xml:space="preserve">Date of Stock B's best day.</t>
  </si>
  <si>
    <t xml:space="preserve">INDEX/MATCH — align date and return rows carefully!</t>
  </si>
  <si>
    <t xml:space="preserve">R15</t>
  </si>
  <si>
    <t xml:space="preserve">On how many days did Stock A's return beat the Benchmark's?</t>
  </si>
  <si>
    <t xml:space="preserve">SUMPRODUCT(--(rA&gt;rM))</t>
  </si>
  <si>
    <t xml:space="preserve">R16</t>
  </si>
  <si>
    <t xml:space="preserve">Calendar-year 2025 return of Stock A (last close on/before 2025-12-31 ÷ last close on/before 2024-12-31 − 1).</t>
  </si>
  <si>
    <t xml:space="preserve">MATCH(date, dates, 1) approximate match</t>
  </si>
  <si>
    <t xml:space="preserve">R17</t>
  </si>
  <si>
    <t xml:space="preserve">March 2026 monthly return of Stock A (last close on/before 3/31/2026 ÷ last close on/before 2/28/2026 − 1).</t>
  </si>
  <si>
    <t xml:space="preserve">Same approximate-match pattern; EOMONTH helps</t>
  </si>
  <si>
    <t xml:space="preserve">R18</t>
  </si>
  <si>
    <t xml:space="preserve">Most recent 21-day annualized volatility of Stock A (last 21 daily returns).</t>
  </si>
  <si>
    <t xml:space="preserve">STDEV of last 21 returns × √252; OFFSET optional</t>
  </si>
  <si>
    <t xml:space="preserve">R19</t>
  </si>
  <si>
    <t xml:space="preserve">Sortino ratio of Stock A = (AVERAGE(r)×252 − rf) ÷ downside dev, where downside dev = SQRT(SUMPRODUCT((r&lt;0)×r²)/COUNT(r)) × √252.</t>
  </si>
  <si>
    <t xml:space="preserve">SUMPRODUCT((r&lt;0)*r^2)</t>
  </si>
  <si>
    <t xml:space="preserve">Risk-free rate is in G (annual). Use 252 trading days per year. Build helper columns in E onward (green = workspace).</t>
  </si>
  <si>
    <t xml:space="preserve">Date</t>
  </si>
  <si>
    <t xml:space="preserve">Stock A</t>
  </si>
  <si>
    <t xml:space="preserve">Stock B</t>
  </si>
  <si>
    <t xml:space="preserve">Benchmark</t>
  </si>
  <si>
    <t xml:space="preserve">Risk-free (annual)</t>
  </si>
  <si>
    <t xml:space="preserve">4 · Ranking, Percentiles &amp; Value Screens</t>
  </si>
  <si>
    <t xml:space="preserve">50-stock universe. Build valuation multiples, rank, z-score, composite value score, quintiles, winsorize.</t>
  </si>
  <si>
    <t xml:space="preserve">S1</t>
  </si>
  <si>
    <t xml:space="preserve">P/B of SLTN.</t>
  </si>
  <si>
    <t xml:space="preserve">Price / BVPS</t>
  </si>
  <si>
    <t xml:space="preserve">S2</t>
  </si>
  <si>
    <t xml:space="preserve">Rank of SLTN on P/B where 1 = cheapest (lowest P/B).</t>
  </si>
  <si>
    <t xml:space="preserve">RANK.EQ(x, range, 1) — 1 = ascending</t>
  </si>
  <si>
    <t xml:space="preserve">S3</t>
  </si>
  <si>
    <t xml:space="preserve">Percentile rank of SLTN's P/B within the universe (0–1).</t>
  </si>
  <si>
    <t xml:space="preserve">PERCENTRANK.INC</t>
  </si>
  <si>
    <t xml:space="preserve">S4</t>
  </si>
  <si>
    <t xml:space="preserve">How many stocks have negative EPS?</t>
  </si>
  <si>
    <t xml:space="preserve">COUNTIF "&lt;0"</t>
  </si>
  <si>
    <t xml:space="preserve">S5</t>
  </si>
  <si>
    <t xml:space="preserve">80th percentile P/E among POSITIVE-EPS stocks only.</t>
  </si>
  <si>
    <t xml:space="preserve">Helper =IF(EPS&gt;0,Price/EPS,"") then PERCENTILE.INC</t>
  </si>
  <si>
    <t xml:space="preserve">S6</t>
  </si>
  <si>
    <t xml:space="preserve">Median EV/EBITDA of the universe.</t>
  </si>
  <si>
    <t xml:space="preserve">MEDIAN</t>
  </si>
  <si>
    <t xml:space="preserve">S7</t>
  </si>
  <si>
    <t xml:space="preserve">First quartile (25th percentile) EV/EBITDA.</t>
  </si>
  <si>
    <t xml:space="preserve">QUARTILE.INC(range,1)</t>
  </si>
  <si>
    <t xml:space="preserve">S8</t>
  </si>
  <si>
    <t xml:space="preserve">Z-score of SLTN's ROE vs the universe.</t>
  </si>
  <si>
    <t xml:space="preserve">STANDARDIZE(x, AVERAGE, STDEV.S)</t>
  </si>
  <si>
    <t xml:space="preserve">S9</t>
  </si>
  <si>
    <t xml:space="preserve">Composite value score = average of three ranks: P/B (ascending), EARNINGS YIELD E/P (DESCENDING, so loss-makers rank worst), EV/EBITDA (ascending). Use RANK.EQ. Which ticker has the BEST (lowest) composite? Why rank E/P instead of P/E?</t>
  </si>
  <si>
    <t xml:space="preserve">Three RANK.EQ helper columns, AVERAGE, then INDEX/MATCH on MIN</t>
  </si>
  <si>
    <t xml:space="preserve">S10</t>
  </si>
  <si>
    <t xml:space="preserve">Quintile of HZLN on composite: Quintile = ROUNDUP(5 × RANK.EQ(composite, all composites, 1) / COUNT, 0). 1 = cheapest.</t>
  </si>
  <si>
    <t xml:space="preserve">RANK.EQ then ROUNDUP</t>
  </si>
  <si>
    <t xml:space="preserve">S11</t>
  </si>
  <si>
    <t xml:space="preserve">Average ROE of Quintile 1 (cheapest) stocks.</t>
  </si>
  <si>
    <t xml:space="preserve">AVERAGEIFS on your quintile column</t>
  </si>
  <si>
    <t xml:space="preserve">S12</t>
  </si>
  <si>
    <t xml:space="preserve">Winsorized mean ROE: cap each ROE at the 5th and 95th percentiles (PERCENTILE.INC), then average.</t>
  </si>
  <si>
    <t xml:space="preserve">=MIN(MAX(x,P5),P95) helper column</t>
  </si>
  <si>
    <t xml:space="preserve">S13</t>
  </si>
  <si>
    <t xml:space="preserve">Sector-relative P/B of SLTN: its P/B ÷ the AVERAGE P/B of its own sector.</t>
  </si>
  <si>
    <t xml:space="preserve">AVERAGEIFS on helper P/B column</t>
  </si>
  <si>
    <t xml:space="preserve">Per-share data in $; EV and EBITDA in $bn. Note: some EPS are negative. Build helper columns in J onward (green = workspace).</t>
  </si>
  <si>
    <t xml:space="preserve">Price</t>
  </si>
  <si>
    <t xml:space="preserve">BVPS</t>
  </si>
  <si>
    <t xml:space="preserve">EPS</t>
  </si>
  <si>
    <t xml:space="preserve">EV ($bn)</t>
  </si>
  <si>
    <t xml:space="preserve">EBITDA ($bn)</t>
  </si>
  <si>
    <t xml:space="preserve">ROE</t>
  </si>
  <si>
    <t xml:space="preserve">5 · Statistics &amp; Regression</t>
  </si>
  <si>
    <t xml:space="preserve">60 months of excess returns for one stock and three factors (Mkt-RF, SMB, HML). Single- and multi-factor regressions.</t>
  </si>
  <si>
    <t xml:space="preserve">G1</t>
  </si>
  <si>
    <t xml:space="preserve">Correlation between the stock's excess return and Mkt-RF.</t>
  </si>
  <si>
    <t xml:space="preserve">G2</t>
  </si>
  <si>
    <t xml:space="preserve">Single-factor (CAPM) beta.</t>
  </si>
  <si>
    <t xml:space="preserve">SLOPE(known_y, known_x)</t>
  </si>
  <si>
    <t xml:space="preserve">G3</t>
  </si>
  <si>
    <t xml:space="preserve">Single-factor monthly alpha (intercept).</t>
  </si>
  <si>
    <t xml:space="preserve">INTERCEPT</t>
  </si>
  <si>
    <t xml:space="preserve">G4</t>
  </si>
  <si>
    <t xml:space="preserve">Annualized alpha (simple: monthly × 12).</t>
  </si>
  <si>
    <t xml:space="preserve">×12</t>
  </si>
  <si>
    <t xml:space="preserve">G5</t>
  </si>
  <si>
    <t xml:space="preserve">R² of the single-factor regression.</t>
  </si>
  <si>
    <t xml:space="preserve">RSQ (= CORREL²)</t>
  </si>
  <si>
    <t xml:space="preserve">G6</t>
  </si>
  <si>
    <t xml:space="preserve">SAMPLE covariance between stock and Mkt-RF. Then confirm beta = COVARIANCE.S / VAR.S.</t>
  </si>
  <si>
    <t xml:space="preserve">COVARIANCE.S (COVAR is population!)</t>
  </si>
  <si>
    <t xml:space="preserve">G7</t>
  </si>
  <si>
    <t xml:space="preserve">3-factor regression (Mkt-RF, SMB, HML): market beta.</t>
  </si>
  <si>
    <t xml:space="preserve">=INDEX(LINEST(y, C:E), 1, 3)</t>
  </si>
  <si>
    <t xml:space="preserve">G8</t>
  </si>
  <si>
    <t xml:space="preserve">3-factor: SMB loading.</t>
  </si>
  <si>
    <t xml:space="preserve">INDEX(LINEST(...),1,2)</t>
  </si>
  <si>
    <t xml:space="preserve">G9</t>
  </si>
  <si>
    <t xml:space="preserve">3-factor: HML loading. Is this stock value- or growth-tilted?</t>
  </si>
  <si>
    <t xml:space="preserve">INDEX(LINEST(...),1,1)</t>
  </si>
  <si>
    <t xml:space="preserve">G10</t>
  </si>
  <si>
    <t xml:space="preserve">3-factor: monthly intercept (alpha).</t>
  </si>
  <si>
    <t xml:space="preserve">INDEX(LINEST(...),1,4)</t>
  </si>
  <si>
    <t xml:space="preserve">G11</t>
  </si>
  <si>
    <t xml:space="preserve">3-factor R².</t>
  </si>
  <si>
    <t xml:space="preserve">LINEST with stats=TRUE; R² is row 3, col 1</t>
  </si>
  <si>
    <t xml:space="preserve">G12</t>
  </si>
  <si>
    <t xml:space="preserve">t-stat of the single-factor beta = beta ÷ its standard error.</t>
  </si>
  <si>
    <t xml:space="preserve">SE of slope is row 2, col 1 of LINEST(...,TRUE,TRUE)</t>
  </si>
  <si>
    <t xml:space="preserve">G13</t>
  </si>
  <si>
    <t xml:space="preserve">Annualized Sharpe of the stock's excess returns (monthly mean ÷ monthly std × √12).</t>
  </si>
  <si>
    <t xml:space="preserve">AVERAGE / STDEV.S × SQRT(12)</t>
  </si>
  <si>
    <t xml:space="preserve">Monthly returns (decimals). LINEST returns coefficients in REVERSE order of the X columns, intercept last.</t>
  </si>
  <si>
    <t xml:space="preserve">Month</t>
  </si>
  <si>
    <t xml:space="preserve">Stock Excess Ret</t>
  </si>
  <si>
    <t xml:space="preserve">Mkt-RF</t>
  </si>
  <si>
    <t xml:space="preserve">SMB</t>
  </si>
  <si>
    <t xml:space="preserve">HML</t>
  </si>
  <si>
    <t xml:space="preserve">6 · Valuation &amp; Accounting Mechanics</t>
  </si>
  <si>
    <t xml:space="preserve">Meridian Consumer Brands (fictional). $mm except per-share. Compute multiples, margins, CAGR, implied value, and a mini-DCF.</t>
  </si>
  <si>
    <t xml:space="preserve">V1</t>
  </si>
  <si>
    <t xml:space="preserve">Market capitalization ($mm), using 2025 diluted shares.</t>
  </si>
  <si>
    <t xml:space="preserve">Price × shares</t>
  </si>
  <si>
    <t xml:space="preserve">V2</t>
  </si>
  <si>
    <t xml:space="preserve">Enterprise value ($mm) = Mkt cap + Debt − Cash + Minority Interest + Preferred.</t>
  </si>
  <si>
    <t xml:space="preserve">Add all non-common claims, subtract cash</t>
  </si>
  <si>
    <t xml:space="preserve">V3</t>
  </si>
  <si>
    <t xml:space="preserve">2025 EBITDA ($mm).</t>
  </si>
  <si>
    <t xml:space="preserve">Rev − COGS − SG&amp;A</t>
  </si>
  <si>
    <t xml:space="preserve">V4</t>
  </si>
  <si>
    <t xml:space="preserve">EV / 2025 EBITDA.</t>
  </si>
  <si>
    <t xml:space="preserve">V5</t>
  </si>
  <si>
    <t xml:space="preserve">2025 Net Income ($mm).</t>
  </si>
  <si>
    <t xml:space="preserve">EBITDA − D&amp;A − Interest − Tax</t>
  </si>
  <si>
    <t xml:space="preserve">V6</t>
  </si>
  <si>
    <t xml:space="preserve">P/E on 2025 earnings (Mkt cap ÷ Net income).</t>
  </si>
  <si>
    <t xml:space="preserve">Or Price ÷ EPS</t>
  </si>
  <si>
    <t xml:space="preserve">V7</t>
  </si>
  <si>
    <t xml:space="preserve">2025 gross margin.</t>
  </si>
  <si>
    <t xml:space="preserve">(Rev − COGS)/Rev</t>
  </si>
  <si>
    <t xml:space="preserve">V8</t>
  </si>
  <si>
    <t xml:space="preserve">2025 EBITDA margin.</t>
  </si>
  <si>
    <t xml:space="preserve">EBITDA/Rev</t>
  </si>
  <si>
    <t xml:space="preserve">V9</t>
  </si>
  <si>
    <t xml:space="preserve">Revenue CAGR 2021→2025 (4 periods, not 5!).</t>
  </si>
  <si>
    <t xml:space="preserve">(end/start)^(1/n) − 1 or RRI</t>
  </si>
  <si>
    <t xml:space="preserve">V10</t>
  </si>
  <si>
    <t xml:space="preserve">2025 free-cash-flow yield = (CFO − Capex) ÷ Mkt cap.</t>
  </si>
  <si>
    <t xml:space="preserve">V11</t>
  </si>
  <si>
    <t xml:space="preserve">Net debt / 2025 EBITDA (net debt = Debt − Cash).</t>
  </si>
  <si>
    <t xml:space="preserve">V12</t>
  </si>
  <si>
    <t xml:space="preserve">2025 dividend payout ratio.</t>
  </si>
  <si>
    <t xml:space="preserve">Dividends ÷ Net income</t>
  </si>
  <si>
    <t xml:space="preserve">V13</t>
  </si>
  <si>
    <t xml:space="preserve">2025 interest coverage (EBIT ÷ Interest).</t>
  </si>
  <si>
    <t xml:space="preserve">V14</t>
  </si>
  <si>
    <t xml:space="preserve">Implied share price if re-rated to the peer EV/EBITDA multiple. (Bridge EV → equity, ÷ shares.)</t>
  </si>
  <si>
    <t xml:space="preserve">(Multiple × EBITDA − Debt + Cash − MI − Pref) / Shares</t>
  </si>
  <si>
    <t xml:space="preserve">V15</t>
  </si>
  <si>
    <t xml:space="preserve">Upside/(downside) to that implied price vs current price.</t>
  </si>
  <si>
    <t xml:space="preserve">Implied / Current − 1</t>
  </si>
  <si>
    <t xml:space="preserve">V16</t>
  </si>
  <si>
    <t xml:space="preserve">Mini-DCF implied share price: FCF₀ = 2025 CFO − Capex. Grow FCF at the 5-yr growth rate for years 1–5, discount at WACC (end-of-year). Terminal value at year 5 = FCF₅×(1+g)/(WACC−g), discounted 5 years. EV → equity (same bridge) → ÷ 2025 shares.</t>
  </si>
  <si>
    <t xml:space="preserve">Lay out years 1–5 in a row; NPV(WACC, FCF1:FCF5) + TV/(1+WACC)^5</t>
  </si>
  <si>
    <t xml:space="preserve">SG&amp;A excludes D&amp;A. EBITDA = Revenue − COGS − SG&amp;A. EBIT = EBITDA − D&amp;A. Net Income = EBIT − Interest − Tax. Capex shown as positive.</t>
  </si>
  <si>
    <t xml:space="preserve">($mm)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</si>
  <si>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</si>
  <si>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</si>
  <si>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</si>
  <si>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</si>
  <si>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</si>
  <si>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Revenue</t>
  </si>
  <si>
    <t xml:space="preserve">COGS</t>
  </si>
  <si>
    <t xml:space="preserve">SG&amp;A (ex-D&amp;A)</t>
  </si>
  <si>
    <t xml:space="preserve">D&amp;A</t>
  </si>
  <si>
    <t xml:space="preserve">Interest Expense</t>
  </si>
  <si>
    <t xml:space="preserve">Income Tax</t>
  </si>
  <si>
    <t xml:space="preserve">Cash from Operations</t>
  </si>
  <si>
    <t xml:space="preserve">Capex</t>
  </si>
  <si>
    <t xml:space="preserve">Dividends Paid</t>
  </si>
  <si>
    <t xml:space="preserve">Diluted Shares (mm)</t>
  </si>
  <si>
    <t xml:space="preserve">Market Data &amp; Assumptions</t>
  </si>
  <si>
    <t xml:space="preserve">Share Price ($)</t>
  </si>
  <si>
    <t xml:space="preserve">Total Debt</t>
  </si>
  <si>
    <t xml:space="preserve">Cash</t>
  </si>
  <si>
    <t xml:space="preserve">Minority Interest</t>
  </si>
  <si>
    <t xml:space="preserve">Preferred Stock</t>
  </si>
  <si>
    <t xml:space="preserve">Peer EV/EBITDA</t>
  </si>
  <si>
    <t xml:space="preserve">Practice assumptions (blue/yellow = inputs)</t>
  </si>
  <si>
    <t xml:space="preserve">WACC</t>
  </si>
  <si>
    <t xml:space="preserve">FCF growth, yrs 1–5</t>
  </si>
  <si>
    <t xml:space="preserve">Terminal growth</t>
  </si>
  <si>
    <t xml:space="preserve">Cheat Sheet — Formulas &amp; Shortcuts</t>
  </si>
  <si>
    <t xml:space="preserve">Skim this 10 minutes before the call.</t>
  </si>
  <si>
    <t xml:space="preserve">LOOKUPS</t>
  </si>
  <si>
    <t xml:space="preserve">XLOOKUP</t>
  </si>
  <si>
    <t xml:space="preserve">=XLOOKUP(val, lookup_rng, return_rng, [if_not_found], [match_mode])</t>
  </si>
  <si>
    <t xml:space="preserve">match_mode −1 = exact or next smaller (dates!). Looks left fine.</t>
  </si>
  <si>
    <t xml:space="preserve">INDEX / MATCH</t>
  </si>
  <si>
    <t xml:space="preserve">=INDEX(return_rng, MATCH(val, lookup_rng, 0))</t>
  </si>
  <si>
    <t xml:space="preserve">0 = exact. 1 = largest ≤ val (sorted asc). Works in every Excel version.</t>
  </si>
  <si>
    <t xml:space="preserve">Two-way lookup</t>
  </si>
  <si>
    <t xml:space="preserve">=INDEX(grid, MATCH(row_val,row_hdr,0), MATCH(col_val,col_hdr,0))</t>
  </si>
  <si>
    <t xml:space="preserve">Row first, column second.</t>
  </si>
  <si>
    <t xml:space="preserve">IFERROR / IFNA</t>
  </si>
  <si>
    <t xml:space="preserve">=IFERROR(formula, "Not Found")</t>
  </si>
  <si>
    <t xml:space="preserve">IFNA is safer — only traps not-found errors, so it will not hide real bugs.</t>
  </si>
  <si>
    <t xml:space="preserve">Cleaning</t>
  </si>
  <si>
    <t xml:space="preserve">TRIM, UPPER, CLEAN, VALUE, TEXT, EXACT</t>
  </si>
  <si>
    <t xml:space="preserve">Text-numbers: VALUE(TRIM(x)) or multiply by 1. "a"="A" is TRUE — use EXACT for case.</t>
  </si>
  <si>
    <t xml:space="preserve">Text split</t>
  </si>
  <si>
    <t xml:space="preserve">=LEFT(x,FIND(" ",x)-1)   =TEXTBEFORE(x," ")</t>
  </si>
  <si>
    <t xml:space="preserve">MID(x,start,len), RIGHT, LEN, SUBSTITUTE.</t>
  </si>
  <si>
    <t xml:space="preserve">CONDITIONAL MATH</t>
  </si>
  <si>
    <t xml:space="preserve">SUMIFS / COUNTIFS / AVERAGEIFS</t>
  </si>
  <si>
    <t xml:space="preserve">=SUMIFS(sum_rng, crit_rng1, crit1, crit_rng2, "&gt;"&amp;cell)</t>
  </si>
  <si>
    <t xml:space="preserve">Sum range FIRST in SUMIFS (last in SUMIF). Criteria are AND.</t>
  </si>
  <si>
    <t xml:space="preserve">OR logic</t>
  </si>
  <si>
    <t xml:space="preserve">=SUM(SUMIFS(sum,crit,{"A","B"}))</t>
  </si>
  <si>
    <t xml:space="preserve">Or just add two SUMIFS.</t>
  </si>
  <si>
    <t xml:space="preserve">MAXIFS / MINIFS</t>
  </si>
  <si>
    <t xml:space="preserve">=MAXIFS(max_rng, crit_rng, crit)</t>
  </si>
  <si>
    <t xml:space="preserve">Excel 2019+.</t>
  </si>
  <si>
    <t xml:space="preserve">SUMPRODUCT</t>
  </si>
  <si>
    <t xml:space="preserve">=SUMPRODUCT((rng="X")*weights*values)/SUMIFS(weights,rng,"X")</t>
  </si>
  <si>
    <t xml:space="preserve">Weighted averages, multi-condition counts with --(cond).</t>
  </si>
  <si>
    <t xml:space="preserve">RETURNS &amp; RISK</t>
  </si>
  <si>
    <t xml:space="preserve">Simple return</t>
  </si>
  <si>
    <t xml:space="preserve">=P1/P0-1</t>
  </si>
  <si>
    <t xml:space="preserve">Cumulative: =PRODUCT(1+r)-1 or last/first−1.</t>
  </si>
  <si>
    <t xml:space="preserve">Log return</t>
  </si>
  <si>
    <t xml:space="preserve">=LN(P1/P0)</t>
  </si>
  <si>
    <t xml:space="preserve">Additive over time; sum = LN(last/first).</t>
  </si>
  <si>
    <t xml:space="preserve">CAGR</t>
  </si>
  <si>
    <t xml:space="preserve">=(end/start)^(1/years)-1   or  =RRI(n,start,end)</t>
  </si>
  <si>
    <t xml:space="preserve">Daily: ^(252/N). Count periods, not data points.</t>
  </si>
  <si>
    <t xml:space="preserve">Ann. vol</t>
  </si>
  <si>
    <t xml:space="preserve">=STDEV.S(daily r)*SQRT(252)</t>
  </si>
  <si>
    <t xml:space="preserve">Monthly: ×SQRT(12).</t>
  </si>
  <si>
    <t xml:space="preserve">Sharpe</t>
  </si>
  <si>
    <t xml:space="preserve">=(AVERAGE(r)*252-rf)/ann_vol</t>
  </si>
  <si>
    <t xml:space="preserve">Sortino: downside dev in denominator.</t>
  </si>
  <si>
    <t xml:space="preserve">Max drawdown</t>
  </si>
  <si>
    <t xml:space="preserve">Runmax: =MAX($B$2:B2); DD: =B2/runmax-1; =MIN(DD)</t>
  </si>
  <si>
    <t xml:space="preserve">Anchor the TOP of the range only.</t>
  </si>
  <si>
    <t xml:space="preserve">Beta</t>
  </si>
  <si>
    <t xml:space="preserve">=SLOPE(stock_r, market_r)</t>
  </si>
  <si>
    <t xml:space="preserve">= COVARIANCE.S/VAR.S. y comes FIRST.</t>
  </si>
  <si>
    <t xml:space="preserve">Tracking error / IR</t>
  </si>
  <si>
    <t xml:space="preserve">TE=STDEV.S(rA−rB)*SQRT(252); IR=AVG(active)*252/TE</t>
  </si>
  <si>
    <t xml:space="preserve">RANKING &amp; STATS</t>
  </si>
  <si>
    <t xml:space="preserve">RANK.EQ</t>
  </si>
  <si>
    <t xml:space="preserve">=RANK.EQ(x, rng, 1)</t>
  </si>
  <si>
    <t xml:space="preserve">1 = ascending (smallest = 1). 0/omitted = descending.</t>
  </si>
  <si>
    <t xml:space="preserve">=PERCENTRANK.INC(rng, x)</t>
  </si>
  <si>
    <t xml:space="preserve">Returns 0–1.</t>
  </si>
  <si>
    <t xml:space="preserve">PERCENTILE / QUARTILE</t>
  </si>
  <si>
    <t xml:space="preserve">=PERCENTILE.INC(rng,0.8)   =QUARTILE.INC(rng,1)</t>
  </si>
  <si>
    <t xml:space="preserve">Text/blank cells are ignored.</t>
  </si>
  <si>
    <t xml:space="preserve">Z-score</t>
  </si>
  <si>
    <t xml:space="preserve">=STANDARDIZE(x, AVERAGE(rng), STDEV.S(rng))</t>
  </si>
  <si>
    <t xml:space="preserve">Winsorize</t>
  </si>
  <si>
    <t xml:space="preserve">=MIN(MAX(x,P5),P95)</t>
  </si>
  <si>
    <t xml:space="preserve">Kill outlier influence before averaging.</t>
  </si>
  <si>
    <t xml:space="preserve">CORREL / RSQ</t>
  </si>
  <si>
    <t xml:space="preserve">=CORREL(a,b)   =RSQ(y,x)</t>
  </si>
  <si>
    <t xml:space="preserve">RSQ = CORREL² for one factor.</t>
  </si>
  <si>
    <t xml:space="preserve">LINEST</t>
  </si>
  <si>
    <t xml:space="preserve">=INDEX(LINEST(y, X_multi, TRUE, TRUE), row, col)</t>
  </si>
  <si>
    <t xml:space="preserve">Coefs REVERSED vs X columns; intercept last. Row 2 = SEs, row 3 col 1 = R².</t>
  </si>
  <si>
    <t xml:space="preserve">VALUATION</t>
  </si>
  <si>
    <t xml:space="preserve">EV</t>
  </si>
  <si>
    <t xml:space="preserve">=MktCap + Debt − Cash + Minority Interest + Preferred</t>
  </si>
  <si>
    <t xml:space="preserve">Equity value = EV − those claims.</t>
  </si>
  <si>
    <t xml:space="preserve">NPV</t>
  </si>
  <si>
    <t xml:space="preserve">=NPV(rate, CF1:CFn)</t>
  </si>
  <si>
    <t xml:space="preserve">Assumes first cash flow is at END of period 1. Don't include t=0.</t>
  </si>
  <si>
    <t xml:space="preserve">Terminal value</t>
  </si>
  <si>
    <t xml:space="preserve">=FCF_n*(1+g)/(WACC−g)</t>
  </si>
  <si>
    <t xml:space="preserve">Then discount /(1+WACC)^n.</t>
  </si>
  <si>
    <t xml:space="preserve">SHORTCUTS (Win / Mac)</t>
  </si>
  <si>
    <t xml:space="preserve">Anchor ($)</t>
  </si>
  <si>
    <t xml:space="preserve">F4  /  Cmd+T</t>
  </si>
  <si>
    <t xml:space="preserve">Cycles $A$1 → A$1 → $A1 → A1.</t>
  </si>
  <si>
    <t xml:space="preserve">Jump / select to edge</t>
  </si>
  <si>
    <t xml:space="preserve">Ctrl+Arrow, Ctrl+Shift+Arrow  /  Cmd+Arrow</t>
  </si>
  <si>
    <t xml:space="preserve">Fill down / right</t>
  </si>
  <si>
    <t xml:space="preserve">Ctrl+D / Ctrl+R</t>
  </si>
  <si>
    <t xml:space="preserve">Or double-click the fill handle.</t>
  </si>
  <si>
    <t xml:space="preserve">AutoSum</t>
  </si>
  <si>
    <t xml:space="preserve">Alt+=  /  Cmd+Shift+T</t>
  </si>
  <si>
    <t xml:space="preserve">Table / Filter</t>
  </si>
  <si>
    <t xml:space="preserve">Ctrl+T, Ctrl+Shift+L</t>
  </si>
  <si>
    <t xml:space="preserve">Paste special values</t>
  </si>
  <si>
    <t xml:space="preserve">Ctrl+Alt+V, V  /  Ctrl+Cmd+V</t>
  </si>
  <si>
    <t xml:space="preserve">Trace precedents</t>
  </si>
  <si>
    <t xml:space="preserve">Ctrl+[</t>
  </si>
  <si>
    <t xml:space="preserve">Great for narrating your logic on a screen share.</t>
  </si>
  <si>
    <t xml:space="preserve">Show formulas</t>
  </si>
  <si>
    <t xml:space="preserve">Ctrl+`</t>
  </si>
  <si>
    <t xml:space="preserve">Format cells</t>
  </si>
  <si>
    <t xml:space="preserve">Ctrl+1  /  Cmd+1</t>
  </si>
  <si>
    <t xml:space="preserve">Ctrl+Shift+% = percent.</t>
  </si>
  <si>
    <t xml:space="preserve">Answer Key — no peeking until you've tried</t>
  </si>
  <si>
    <t xml:space="preserve">Live formulas. 'Model solution' shows the Excel a candidate would type (may use XLOOKUP etc.).</t>
  </si>
  <si>
    <t xml:space="preserve">Tab</t>
  </si>
  <si>
    <t xml:space="preserve">Answer</t>
  </si>
  <si>
    <t xml:space="preserve">Model solution / talking point</t>
  </si>
  <si>
    <t xml:space="preserve">=XLOOKUP("FENX",A:A,C:C)  or  =INDEX(C:C,MATCH("FENX",A:A,0))</t>
  </si>
  <si>
    <t xml:space="preserve">=INDEX(A:A,MATCH("Harbor Logistics",B:B,0)) — VLOOKUP fails here because the return column is left of the lookup column.</t>
  </si>
  <si>
    <t xml:space="preserve">=SUMPRODUCT(--NOT(EXACT(G_rng,UPPER(TRIM(G_rng)))))  — note "abc"="ABC" is TRUE in Excel, so you need EXACT for case.</t>
  </si>
  <si>
    <t xml:space="preserve">=SUMPRODUCT(--ISTEXT(I_rng))  — text numbers left-align and silently break SUM/AVERAGE.</t>
  </si>
  <si>
    <t xml:space="preserve">Helper: =VALUE(TRIM(I2))*J2, then SUM. Plain =SUMPRODUCT(I:I,J:J) treats text as 0 and understates.</t>
  </si>
  <si>
    <t xml:space="preserve">Helper: =ISNA(MATCH(UPPER(TRIM(G2)),RefTickers,0)), then count TRUEs.</t>
  </si>
  <si>
    <t xml:space="preserve">Helper sector: =IFERROR(XLOOKUP(UPPER(TRIM(G2)),A:A,C:C),"Not Found"); then =SUMIFS(MV,Sector,"Energy").</t>
  </si>
  <si>
    <t xml:space="preserve">Helper: =COUNTIF($F$first:F2,F2)&gt;1, count TRUEs. (Or Data → Remove Duplicates and compare row counts.)</t>
  </si>
  <si>
    <t xml:space="preserve">=INDEX(N:Y, MATCH("MRDN",M:M,0), MATCH(DATE(2026,6,30),N$hdr:Y$hdr,0))  or nested XLOOKUP.</t>
  </si>
  <si>
    <t xml:space="preserve">=LEFT(K2,FIND(" ",K2)-1)  or  =TEXTBEFORE(K2," ")</t>
  </si>
  <si>
    <t xml:space="preserve">=XLOOKUP(UPPER(TRIM(G_T1033)),A:A,B:B)</t>
  </si>
  <si>
    <t xml:space="preserve">=INDEX(grid, MATCH(ticker,M:M,0), MATCH(trade_date, hdr, 1))  — match_type 1 = largest value ≤ lookup (XLOOKUP: match_mode -1).</t>
  </si>
  <si>
    <t xml:space="preserve">=SUMIFS(MV, DupFlag, FALSE, InRef, TRUE) — this is the 'clean' number you'd actually report.</t>
  </si>
  <si>
    <t xml:space="preserve">=SUMIFS(D:D,B:B,"Financials")</t>
  </si>
  <si>
    <t xml:space="preserve">=COUNTIFS(B:B,"Technology",H:H,"&gt;"&amp;0.1)</t>
  </si>
  <si>
    <t xml:space="preserve">=AVERAGEIFS(F:F,B:B,"Industrials",C:C,"US")</t>
  </si>
  <si>
    <t xml:space="preserve">=SUMPRODUCT((B:B="Health Care")*D:D*H:H)/SUMIFS(D:D,B:B,"Health Care")  — weighted ≠ simple AVERAGEIFS.</t>
  </si>
  <si>
    <t xml:space="preserve">=MAXIFS(G:G,B:B,"Energy")</t>
  </si>
  <si>
    <t xml:space="preserve">=MINIFS(F:F,C:C,"UK")</t>
  </si>
  <si>
    <t xml:space="preserve">=COUNTIFS(D:D,"&gt;=10",D:D,"&lt;=50")</t>
  </si>
  <si>
    <t xml:space="preserve">=SUM(SUMIFS(D:D,B:B,{"Technology","Health Care"}))  — SUMIFS criteria are AND; OR needs addition.</t>
  </si>
  <si>
    <t xml:space="preserve">Sector list + SUMIFS column, then =INDEX(sectors,MATCH(MAX(totals),totals,0)). (Or a pivot sorted descending.)</t>
  </si>
  <si>
    <t xml:space="preserve">=SUMIFS(cap,sector,"Energy")/SUMIFS(NI,sector,"Energy"). Average P/E is distorted by tiny-earnings outliers and drops losses; aggregate P/E is the harmonic, cap-weighted view.</t>
  </si>
  <si>
    <t xml:space="preserve">Pivot: Rows=Sector, Columns=Country, Values=1Y Return (Summarize by Average). Cross-check: =AVERAGEIFS(H:H,C:C,"Japan",B:B,"Technology")</t>
  </si>
  <si>
    <t xml:space="preserve">=SUMIFS(D:D,I:I,"Buy")/SUM(D:D)</t>
  </si>
  <si>
    <t xml:space="preserve">=COUNTIF(F:F,"NM")</t>
  </si>
  <si>
    <t xml:space="preserve">=AVERAGEIFS(H:H,D:D,"&gt;="&amp;LARGE(D:D,10))</t>
  </si>
  <si>
    <t xml:space="preserve">=B_last/B_first-1</t>
  </si>
  <si>
    <t xml:space="preserve">=PRODUCT(1+F3:F505)-1  — identical to price ratio; good sanity check.</t>
  </si>
  <si>
    <t xml:space="preserve">=(1+R1)^(252/COUNT(rA))-1   (N = 503)</t>
  </si>
  <si>
    <t xml:space="preserve">=STDEV.S(rA)*SQRT(252)</t>
  </si>
  <si>
    <t xml:space="preserve">=(AVERAGE(rA)*252-$G$rf)/R4</t>
  </si>
  <si>
    <t xml:space="preserve">Helper E: =MAX($B$first:B2); F: =B2/E2-1; answer =MIN(F:F)</t>
  </si>
  <si>
    <t xml:space="preserve">=INDEX(A:A,MATCH(MIN(DD),DD,0))</t>
  </si>
  <si>
    <t xml:space="preserve">=SLOPE(rA,rM)  — equivalently COVARIANCE.S(rA,rM)/VAR.S(rM)</t>
  </si>
  <si>
    <t xml:space="preserve">=CORREL(rA,rB)</t>
  </si>
  <si>
    <t xml:space="preserve">=STDEV.S(rA-rM)*SQRT(252)</t>
  </si>
  <si>
    <t xml:space="preserve">=AVERAGE(rA-rM)*252/R10</t>
  </si>
  <si>
    <t xml:space="preserve">=SUM(LN(B3/B2)...) = LN(B_last/B_first). Log returns are additive across time; simple returns are additive across assets.</t>
  </si>
  <si>
    <t xml:space="preserve">=MAX(rB)</t>
  </si>
  <si>
    <t xml:space="preserve">=INDEX(A3:A505,MATCH(MAX(rB),rB,0)) — off-by-one is the classic error.</t>
  </si>
  <si>
    <t xml:space="preserve">=SUMPRODUCT(--(rA&gt;rM))</t>
  </si>
  <si>
    <t xml:space="preserve">=INDEX(B:B,MATCH(DATE(2025,12,31),A:A,1))/INDEX(B:B,MATCH(DATE(2024,12,31),A:A,1))-1  (or XLOOKUP match_mode -1)</t>
  </si>
  <si>
    <t xml:space="preserve">=XLOOKUP(EOMONTH(...),A:A,B:B,,-1)/XLOOKUP(EOMONTH(...,-1),A:A,B:B,,-1)-1</t>
  </si>
  <si>
    <t xml:space="preserve">=STDEV.S(last 21 returns)*SQRT(252)</t>
  </si>
  <si>
    <t xml:space="preserve">=(AVERAGE(rA)*252-rf)/(SQRT(SUMPRODUCT((rA&lt;0)*rA^2)/COUNT(rA))*SQRT(252))</t>
  </si>
  <si>
    <t xml:space="preserve">Helper P/B = C2/D2, then look up.</t>
  </si>
  <si>
    <t xml:space="preserve">=RANK.EQ(PB_x, PB_range, 1)</t>
  </si>
  <si>
    <t xml:space="preserve">=PERCENTRANK.INC(PB_range, PB_x)</t>
  </si>
  <si>
    <t xml:space="preserve">=COUNTIF(E:E,"&lt;0")</t>
  </si>
  <si>
    <t xml:space="preserve">Helper: =IF(E2&gt;0,C2/E2,""); =PERCENTILE.INC(helper,0.8). Blank text is ignored.</t>
  </si>
  <si>
    <t xml:space="preserve">=MEDIAN(EV/EBITDA helper)</t>
  </si>
  <si>
    <t xml:space="preserve">=QUARTILE.INC(range,1)</t>
  </si>
  <si>
    <t xml:space="preserve">=STANDARDIZE(H_x,AVERAGE(H:H),STDEV.S(H:H))</t>
  </si>
  <si>
    <t xml:space="preserve">Ranking P/E ascending would put negative-P/E (loss-making) stocks at the top as 'cheapest'. E/P ranked descending is monotonic in value and handles losses correctly.</t>
  </si>
  <si>
    <t xml:space="preserve">=ROUNDUP(5*RANK.EQ(comp,comp_rng,1)/COUNT(comp_rng),0)</t>
  </si>
  <si>
    <t xml:space="preserve">=AVERAGEIFS(H:H,Quintile,1)</t>
  </si>
  <si>
    <t xml:space="preserve">P5=PERCENTILE.INC(H,0.05), P95=PERCENTILE.INC(H,0.95); helper =MIN(MAX(H2,P5),P95); AVERAGE. Compare to raw mean — outliers matter.</t>
  </si>
  <si>
    <t xml:space="preserve">=PB_x/AVERAGEIFS(PB_range,B:B,B_x)</t>
  </si>
  <si>
    <t xml:space="preserve">=CORREL(B:B,C:C)</t>
  </si>
  <si>
    <t xml:space="preserve">=SLOPE(B,C)</t>
  </si>
  <si>
    <t xml:space="preserve">=INTERCEPT(B,C)</t>
  </si>
  <si>
    <t xml:space="preserve">=G3*12</t>
  </si>
  <si>
    <t xml:space="preserve">=RSQ(B,C) or =CORREL(B,C)^2</t>
  </si>
  <si>
    <t xml:space="preserve">=COVARIANCE.S(B,C); beta check: =COVARIANCE.S(B,C)/VAR.S(C)</t>
  </si>
  <si>
    <t xml:space="preserve">=INDEX(LINEST(B,C:E),1,3)  — output order is HML, SMB, Mkt, Intercept.</t>
  </si>
  <si>
    <t xml:space="preserve">=INDEX(LINEST(B,C:E),1,2)</t>
  </si>
  <si>
    <t xml:space="preserve">=INDEX(LINEST(B,C:E),1,1). Positive HML = value tilt.</t>
  </si>
  <si>
    <t xml:space="preserve">=INDEX(LINEST(B,C:E),1,4)</t>
  </si>
  <si>
    <t xml:space="preserve">=INDEX(LINEST(B,C:E,TRUE,TRUE),3,1)</t>
  </si>
  <si>
    <t xml:space="preserve">=INDEX(LINEST(B,C,TRUE,TRUE),1,1)/INDEX(LINEST(B,C,TRUE,TRUE),2,1)</t>
  </si>
  <si>
    <t xml:space="preserve">=AVERAGE(B)/STDEV.S(B)*SQRT(12)</t>
  </si>
  <si>
    <t xml:space="preserve">=Price*Shares_2025</t>
  </si>
  <si>
    <t xml:space="preserve">=MktCap+Debt-Cash+MI+Pref</t>
  </si>
  <si>
    <t xml:space="preserve">=Rev-COGS-SGA</t>
  </si>
  <si>
    <t xml:space="preserve">=V2/V3</t>
  </si>
  <si>
    <t xml:space="preserve">=EBITDA-D&amp;A-Interest-Tax</t>
  </si>
  <si>
    <t xml:space="preserve">=MktCap/NI  (= Price/(NI/Shares))</t>
  </si>
  <si>
    <t xml:space="preserve">=(Rev-COGS)/Rev</t>
  </si>
  <si>
    <t xml:space="preserve">=EBITDA/Rev</t>
  </si>
  <si>
    <t xml:space="preserve">=(F/B)^(1/4)-1  or =RRI(4,B,F)</t>
  </si>
  <si>
    <t xml:space="preserve">=(CFO-Capex)/MktCap</t>
  </si>
  <si>
    <t xml:space="preserve">=(Debt-Cash)/EBITDA</t>
  </si>
  <si>
    <t xml:space="preserve">=Divs/NI</t>
  </si>
  <si>
    <t xml:space="preserve">=EBIT/Interest</t>
  </si>
  <si>
    <t xml:space="preserve">=(8.0*EBITDA-Debt+Cash-MI-Pref)/Shares</t>
  </si>
  <si>
    <t xml:space="preserve">=V14/Price-1</t>
  </si>
  <si>
    <t xml:space="preserve">=(NPV(WACC,FCF1:FCF5)+FCF5*(1+g)/(WACC-g)/(1+WACC)^5 - Debt+Cash-MI-Pref)/Shares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</si>
</sst>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$#,##0.00"/>
    <numFmt numFmtId="166" formatCode="#,##0.00"/>
    <numFmt numFmtId="167" formatCode="yyyy\-mm\-dd"/>
    <numFmt numFmtId="168" formatCode="#,##0"/>
    <numFmt numFmtId="169" formatCode="0.00"/>
    <numFmt numFmtId="170" formatCode="0.00%"/>
    <numFmt numFmtId="171" formatCode="0.0"/>
    <numFmt numFmtId="172" formatCode="[$$-409]#,##0.00;[RED]\-[$$-409]#,##0.00"/>
    <numFmt numFmtId="173" formatCode="General"/>
    <numFmt numFmtId="174" formatCode="0.000"/>
    <numFmt numFmtId="175" formatCode="0.0000"/>
    <numFmt numFmtId="176" formatCode="0.00\x"/>
    <numFmt numFmtId="177" formatCode="0.0%"/>
    <numFmt numFmtId="178" formatCode="0.0000%"/>
    <numFmt numFmtId="179" formatCode="0.000000"/>
    <numFmt numFmtId="180" formatCode="#,##0;\(#,##0\);\-"/>
    <numFmt numFmtId="181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9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23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3" t="s">
        <v>13</v>
      </c>
      <c r="B10" s="3"/>
      <c r="C10" s="3"/>
    </row>
    <row r="11" customFormat="false" ht="15" hidden="false" customHeight="false" outlineLevel="0" collapsed="false">
      <c r="A11" s="6" t="s">
        <v>14</v>
      </c>
      <c r="B11" s="5" t="s">
        <v>15</v>
      </c>
    </row>
    <row r="12" customFormat="false" ht="15" hidden="false" customHeight="false" outlineLevel="0" collapsed="false">
      <c r="A12" s="7" t="s">
        <v>16</v>
      </c>
      <c r="B12" s="5" t="s">
        <v>17</v>
      </c>
    </row>
    <row r="13" customFormat="false" ht="15" hidden="false" customHeight="false" outlineLevel="0" collapsed="false">
      <c r="A13" s="8" t="s">
        <v>18</v>
      </c>
      <c r="B13" s="5" t="s">
        <v>19</v>
      </c>
    </row>
    <row r="14" customFormat="false" ht="15" hidden="false" customHeight="false" outlineLevel="0" collapsed="false">
      <c r="A14" s="3" t="s">
        <v>20</v>
      </c>
      <c r="B14" s="3"/>
      <c r="C14" s="3"/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9" customFormat="false" ht="15" hidden="false" customHeight="false" outlineLevel="0" collapsed="false">
      <c r="A19" s="3" t="s">
        <v>27</v>
      </c>
      <c r="B19" s="3"/>
      <c r="C19" s="3" t="s">
        <v>28</v>
      </c>
    </row>
    <row r="20" customFormat="false" ht="15" hidden="false" customHeight="false" outlineLevel="0" collapsed="false">
      <c r="A20" s="9" t="s">
        <v>29</v>
      </c>
      <c r="B20" s="10" t="s">
        <v>30</v>
      </c>
      <c r="C20" s="9" t="str">
        <f aca="false">COUNTIF(1_Lookups!I:I,"✓ Correct")&amp;" / 13"</f>
        <v>0 / 13</v>
      </c>
    </row>
    <row r="21" customFormat="false" ht="15" hidden="false" customHeight="false" outlineLevel="0" collapsed="false">
      <c r="A21" s="9" t="s">
        <v>31</v>
      </c>
      <c r="B21" s="10" t="s">
        <v>32</v>
      </c>
      <c r="C21" s="9" t="str">
        <f aca="false">COUNTIF(2_Aggregation!I:I,"✓ Correct")&amp;" / 14"</f>
        <v>0 / 14</v>
      </c>
    </row>
    <row r="22" customFormat="false" ht="15" hidden="false" customHeight="false" outlineLevel="0" collapsed="false">
      <c r="A22" s="9" t="s">
        <v>33</v>
      </c>
      <c r="B22" s="10" t="s">
        <v>34</v>
      </c>
      <c r="C22" s="9" t="str">
        <f aca="false">COUNTIF(3_Returns!I:I,"✓ Correct")&amp;" / 19"</f>
        <v>0 / 19</v>
      </c>
    </row>
    <row r="23" customFormat="false" ht="15" hidden="false" customHeight="false" outlineLevel="0" collapsed="false">
      <c r="A23" s="9" t="s">
        <v>35</v>
      </c>
      <c r="B23" s="10" t="s">
        <v>36</v>
      </c>
      <c r="C23" s="9" t="str">
        <f aca="false">COUNTIF(4_Screening!I:I,"✓ Correct")&amp;" / 13"</f>
        <v>0 / 13</v>
      </c>
    </row>
    <row r="24" customFormat="false" ht="15" hidden="false" customHeight="false" outlineLevel="0" collapsed="false">
      <c r="A24" s="9" t="s">
        <v>37</v>
      </c>
      <c r="B24" s="10" t="s">
        <v>38</v>
      </c>
      <c r="C24" s="9" t="str">
        <f aca="false">COUNTIF(5_Regression!I:I,"✓ Correct")&amp;" / 13"</f>
        <v>0 / 13</v>
      </c>
    </row>
    <row r="25" customFormat="false" ht="15" hidden="false" customHeight="false" outlineLevel="0" collapsed="false">
      <c r="A25" s="9" t="s">
        <v>39</v>
      </c>
      <c r="B25" s="10" t="s">
        <v>40</v>
      </c>
      <c r="C25" s="9" t="str">
        <f aca="false">COUNTIF(6_Valuation!I:I,"✓ Correct")&amp;" / 16"</f>
        <v>0 / 16</v>
      </c>
    </row>
    <row r="26" customFormat="false" ht="15" hidden="false" customHeight="false" outlineLevel="0" collapsed="false">
      <c r="A26" s="4" t="s">
        <v>41</v>
      </c>
      <c r="C26" s="4" t="str">
        <f aca="false">COUNTIF(1_Lookups!I:I,"✓ Correct")+COUNTIF(2_Aggregation!I:I,"✓ Correct")+COUNTIF(3_Returns!I:I,"✓ Correct")+COUNTIF(4_Screening!I:I,"✓ Correct")+COUNTIF(5_Regression!I:I,"✓ Correct")+COUNTIF(6_Valuation!I:I,"✓ Correct")&amp;" / 88"</f>
        <v>0 / 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  <col collapsed="false" customWidth="true" hidden="false" outlineLevel="0" max="11" min="11" style="0" width="16"/>
    <col collapsed="false" customWidth="true" hidden="false" outlineLevel="0" max="26" min="12" style="0" width="13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49</v>
      </c>
      <c r="B5" s="13" t="s">
        <v>50</v>
      </c>
      <c r="C5" s="13"/>
      <c r="D5" s="13"/>
      <c r="E5" s="13"/>
      <c r="F5" s="13"/>
      <c r="G5" s="13"/>
      <c r="H5" s="14"/>
      <c r="I5" s="12" t="str">
        <f aca="false">IF(H5="","",IFERROR(IF(ISNUMBER('Answer Key'!$D$5),IF(ABS(H5-'Answer Key'!$D$5)&lt;=MAX(0.0001,ABS('Answer Key'!$D$5)*0.001),"✓ Correct","✗ Try again"),IF(TRIM(H5)=TRIM('Answer Key'!$D$5),"✓ Correct","✗ Try again")),"✗ Try again"))</f>
        <v/>
      </c>
      <c r="J5" s="15" t="s">
        <v>51</v>
      </c>
      <c r="K5" s="15"/>
      <c r="L5" s="15"/>
      <c r="M5" s="15"/>
    </row>
    <row r="6" customFormat="false" ht="31.5" hidden="false" customHeight="true" outlineLevel="0" collapsed="false">
      <c r="A6" s="12" t="s">
        <v>52</v>
      </c>
      <c r="B6" s="13" t="s">
        <v>53</v>
      </c>
      <c r="C6" s="13"/>
      <c r="D6" s="13"/>
      <c r="E6" s="13"/>
      <c r="F6" s="13"/>
      <c r="G6" s="13"/>
      <c r="H6" s="14"/>
      <c r="I6" s="12" t="str">
        <f aca="false">IF(H6="","",IFERROR(IF(ISNUMBER('Answer Key'!$D$6),IF(ABS(H6-'Answer Key'!$D$6)&lt;=MAX(0.0001,ABS('Answer Key'!$D$6)*0.001),"✓ Correct","✗ Try again"),IF(TRIM(H6)=TRIM('Answer Key'!$D$6),"✓ Correct","✗ Try again")),"✗ Try again"))</f>
        <v/>
      </c>
      <c r="J6" s="15" t="s">
        <v>54</v>
      </c>
      <c r="K6" s="15"/>
      <c r="L6" s="15"/>
      <c r="M6" s="15"/>
    </row>
    <row r="7" customFormat="false" ht="31.5" hidden="false" customHeight="true" outlineLevel="0" collapsed="false">
      <c r="A7" s="12" t="s">
        <v>55</v>
      </c>
      <c r="B7" s="13" t="s">
        <v>56</v>
      </c>
      <c r="C7" s="13"/>
      <c r="D7" s="13"/>
      <c r="E7" s="13"/>
      <c r="F7" s="13"/>
      <c r="G7" s="13"/>
      <c r="H7" s="14"/>
      <c r="I7" s="12" t="str">
        <f aca="false">IF(H7="","",IFERROR(IF(ISNUMBER('Answer Key'!$D$7),IF(ABS(H7-'Answer Key'!$D$7)&lt;=MAX(0.0001,ABS('Answer Key'!$D$7)*0.001),"✓ Correct","✗ Try again"),IF(TRIM(H7)=TRIM('Answer Key'!$D$7),"✓ Correct","✗ Try again")),"✗ Try again"))</f>
        <v/>
      </c>
      <c r="J7" s="15" t="s">
        <v>57</v>
      </c>
      <c r="K7" s="15"/>
      <c r="L7" s="15"/>
      <c r="M7" s="15"/>
    </row>
    <row r="8" customFormat="false" ht="18" hidden="false" customHeight="true" outlineLevel="0" collapsed="false">
      <c r="A8" s="12" t="s">
        <v>58</v>
      </c>
      <c r="B8" s="13" t="s">
        <v>59</v>
      </c>
      <c r="C8" s="13"/>
      <c r="D8" s="13"/>
      <c r="E8" s="13"/>
      <c r="F8" s="13"/>
      <c r="G8" s="13"/>
      <c r="H8" s="14"/>
      <c r="I8" s="12" t="str">
        <f aca="false">IF(H8="","",IFERROR(IF(ISNUMBER('Answer Key'!$D$8),IF(ABS(H8-'Answer Key'!$D$8)&lt;=MAX(0.0001,ABS('Answer Key'!$D$8)*0.001),"✓ Correct","✗ Try again"),IF(TRIM(H8)=TRIM('Answer Key'!$D$8),"✓ Correct","✗ Try again")),"✗ Try again"))</f>
        <v/>
      </c>
      <c r="J8" s="15" t="s">
        <v>60</v>
      </c>
      <c r="K8" s="15"/>
      <c r="L8" s="15"/>
      <c r="M8" s="15"/>
    </row>
    <row r="9" customFormat="false" ht="31.5" hidden="false" customHeight="true" outlineLevel="0" collapsed="false">
      <c r="A9" s="12" t="s">
        <v>61</v>
      </c>
      <c r="B9" s="13" t="s">
        <v>62</v>
      </c>
      <c r="C9" s="13"/>
      <c r="D9" s="13"/>
      <c r="E9" s="13"/>
      <c r="F9" s="13"/>
      <c r="G9" s="13"/>
      <c r="H9" s="16"/>
      <c r="I9" s="12" t="str">
        <f aca="false">IF(H9="","",IFERROR(IF(ISNUMBER('Answer Key'!$D$9),IF(ABS(H9-'Answer Key'!$D$9)&lt;=MAX(0.0001,ABS('Answer Key'!$D$9)*0.001),"✓ Correct","✗ Try again"),IF(TRIM(H9)=TRIM('Answer Key'!$D$9),"✓ Correct","✗ Try again")),"✗ Try again"))</f>
        <v/>
      </c>
      <c r="J9" s="15" t="s">
        <v>63</v>
      </c>
      <c r="K9" s="15"/>
      <c r="L9" s="15"/>
      <c r="M9" s="15"/>
    </row>
    <row r="10" customFormat="false" ht="31.5" hidden="false" customHeight="true" outlineLevel="0" collapsed="false">
      <c r="A10" s="12" t="s">
        <v>64</v>
      </c>
      <c r="B10" s="13" t="s">
        <v>65</v>
      </c>
      <c r="C10" s="13"/>
      <c r="D10" s="13"/>
      <c r="E10" s="13"/>
      <c r="F10" s="13"/>
      <c r="G10" s="13"/>
      <c r="H10" s="14"/>
      <c r="I10" s="12" t="str">
        <f aca="false">IF(H10="","",IFERROR(IF(ISNUMBER('Answer Key'!$D$10),IF(ABS(H10-'Answer Key'!$D$10)&lt;=MAX(0.0001,ABS('Answer Key'!$D$10)*0.001),"✓ Correct","✗ Try again"),IF(TRIM(H10)=TRIM('Answer Key'!$D$10),"✓ Correct","✗ Try again")),"✗ Try again"))</f>
        <v/>
      </c>
      <c r="J10" s="15" t="s">
        <v>66</v>
      </c>
      <c r="K10" s="15"/>
      <c r="L10" s="15"/>
      <c r="M10" s="15"/>
    </row>
    <row r="11" customFormat="false" ht="31.5" hidden="false" customHeight="true" outlineLevel="0" collapsed="false">
      <c r="A11" s="12" t="s">
        <v>67</v>
      </c>
      <c r="B11" s="13" t="s">
        <v>68</v>
      </c>
      <c r="C11" s="13"/>
      <c r="D11" s="13"/>
      <c r="E11" s="13"/>
      <c r="F11" s="13"/>
      <c r="G11" s="13"/>
      <c r="H11" s="16"/>
      <c r="I11" s="12" t="str">
        <f aca="false">IF(H11="","",IFERROR(IF(ISNUMBER('Answer Key'!$D$11),IF(ABS(H11-'Answer Key'!$D$11)&lt;=MAX(0.0001,ABS('Answer Key'!$D$11)*0.001),"✓ Correct","✗ Try again"),IF(TRIM(H11)=TRIM('Answer Key'!$D$11),"✓ Correct","✗ Try again")),"✗ Try again"))</f>
        <v/>
      </c>
      <c r="J11" s="15" t="s">
        <v>69</v>
      </c>
      <c r="K11" s="15"/>
      <c r="L11" s="15"/>
      <c r="M11" s="15"/>
    </row>
    <row r="12" customFormat="false" ht="31.5" hidden="false" customHeight="true" outlineLevel="0" collapsed="false">
      <c r="A12" s="12" t="s">
        <v>70</v>
      </c>
      <c r="B12" s="13" t="s">
        <v>71</v>
      </c>
      <c r="C12" s="13"/>
      <c r="D12" s="13"/>
      <c r="E12" s="13"/>
      <c r="F12" s="13"/>
      <c r="G12" s="13"/>
      <c r="H12" s="14"/>
      <c r="I12" s="12" t="str">
        <f aca="false">IF(H12="","",IFERROR(IF(ISNUMBER('Answer Key'!$D$12),IF(ABS(H12-'Answer Key'!$D$12)&lt;=MAX(0.0001,ABS('Answer Key'!$D$12)*0.001),"✓ Correct","✗ Try again"),IF(TRIM(H12)=TRIM('Answer Key'!$D$12),"✓ Correct","✗ Try again")),"✗ Try again"))</f>
        <v/>
      </c>
      <c r="J12" s="15" t="s">
        <v>72</v>
      </c>
      <c r="K12" s="15"/>
      <c r="L12" s="15"/>
      <c r="M12" s="15"/>
    </row>
    <row r="13" customFormat="false" ht="18" hidden="false" customHeight="true" outlineLevel="0" collapsed="false">
      <c r="A13" s="12" t="s">
        <v>73</v>
      </c>
      <c r="B13" s="13" t="s">
        <v>74</v>
      </c>
      <c r="C13" s="13"/>
      <c r="D13" s="13"/>
      <c r="E13" s="13"/>
      <c r="F13" s="13"/>
      <c r="G13" s="13"/>
      <c r="H13" s="17"/>
      <c r="I13" s="12" t="str">
        <f aca="false">IF(H13="","",IFERROR(IF(ISNUMBER('Answer Key'!$D$13),IF(ABS(H13-'Answer Key'!$D$13)&lt;=MAX(0.0001,ABS('Answer Key'!$D$13)*0.001),"✓ Correct","✗ Try again"),IF(TRIM(H13)=TRIM('Answer Key'!$D$13),"✓ Correct","✗ Try again")),"✗ Try again"))</f>
        <v/>
      </c>
      <c r="J13" s="15" t="s">
        <v>75</v>
      </c>
      <c r="K13" s="15"/>
      <c r="L13" s="15"/>
      <c r="M13" s="15"/>
    </row>
    <row r="14" customFormat="false" ht="31.5" hidden="false" customHeight="true" outlineLevel="0" collapsed="false">
      <c r="A14" s="12" t="s">
        <v>76</v>
      </c>
      <c r="B14" s="13" t="s">
        <v>77</v>
      </c>
      <c r="C14" s="13"/>
      <c r="D14" s="13"/>
      <c r="E14" s="13"/>
      <c r="F14" s="13"/>
      <c r="G14" s="13"/>
      <c r="H14" s="14"/>
      <c r="I14" s="12" t="str">
        <f aca="false">IF(H14="","",IFERROR(IF(ISNUMBER('Answer Key'!$D$14),IF(ABS(H14-'Answer Key'!$D$14)&lt;=MAX(0.0001,ABS('Answer Key'!$D$14)*0.001),"✓ Correct","✗ Try again"),IF(TRIM(H14)=TRIM('Answer Key'!$D$14),"✓ Correct","✗ Try again")),"✗ Try again"))</f>
        <v/>
      </c>
      <c r="J14" s="15" t="s">
        <v>78</v>
      </c>
      <c r="K14" s="15"/>
      <c r="L14" s="15"/>
      <c r="M14" s="15"/>
    </row>
    <row r="15" customFormat="false" ht="31.5" hidden="false" customHeight="true" outlineLevel="0" collapsed="false">
      <c r="A15" s="12" t="s">
        <v>79</v>
      </c>
      <c r="B15" s="13" t="s">
        <v>80</v>
      </c>
      <c r="C15" s="13"/>
      <c r="D15" s="13"/>
      <c r="E15" s="13"/>
      <c r="F15" s="13"/>
      <c r="G15" s="13"/>
      <c r="H15" s="14"/>
      <c r="I15" s="12" t="str">
        <f aca="false">IF(H15="","",IFERROR(IF(ISNUMBER('Answer Key'!$D$15),IF(ABS(H15-'Answer Key'!$D$15)&lt;=MAX(0.0001,ABS('Answer Key'!$D$15)*0.001),"✓ Correct","✗ Try again"),IF(TRIM(H15)=TRIM('Answer Key'!$D$15),"✓ Correct","✗ Try again")),"✗ Try again"))</f>
        <v/>
      </c>
      <c r="J15" s="15" t="s">
        <v>81</v>
      </c>
      <c r="K15" s="15"/>
      <c r="L15" s="15"/>
      <c r="M15" s="15"/>
    </row>
    <row r="16" customFormat="false" ht="31.5" hidden="false" customHeight="true" outlineLevel="0" collapsed="false">
      <c r="A16" s="12" t="s">
        <v>82</v>
      </c>
      <c r="B16" s="13" t="s">
        <v>83</v>
      </c>
      <c r="C16" s="13"/>
      <c r="D16" s="13"/>
      <c r="E16" s="13"/>
      <c r="F16" s="13"/>
      <c r="G16" s="13"/>
      <c r="H16" s="17"/>
      <c r="I16" s="12" t="str">
        <f aca="false">IF(H16="","",IFERROR(IF(ISNUMBER('Answer Key'!$D$16),IF(ABS(H16-'Answer Key'!$D$16)&lt;=MAX(0.0001,ABS('Answer Key'!$D$16)*0.001),"✓ Correct","✗ Try again"),IF(TRIM(H16)=TRIM('Answer Key'!$D$16),"✓ Correct","✗ Try again")),"✗ Try again"))</f>
        <v/>
      </c>
      <c r="J16" s="15" t="s">
        <v>84</v>
      </c>
      <c r="K16" s="15"/>
      <c r="L16" s="15"/>
      <c r="M16" s="15"/>
    </row>
    <row r="17" customFormat="false" ht="31.5" hidden="false" customHeight="true" outlineLevel="0" collapsed="false">
      <c r="A17" s="12" t="s">
        <v>85</v>
      </c>
      <c r="B17" s="13" t="s">
        <v>86</v>
      </c>
      <c r="C17" s="13"/>
      <c r="D17" s="13"/>
      <c r="E17" s="13"/>
      <c r="F17" s="13"/>
      <c r="G17" s="13"/>
      <c r="H17" s="16"/>
      <c r="I17" s="12" t="str">
        <f aca="false">IF(H17="","",IFERROR(IF(ISNUMBER('Answer Key'!$D$17),IF(ABS(H17-'Answer Key'!$D$17)&lt;=MAX(0.0001,ABS('Answer Key'!$D$17)*0.001),"✓ Correct","✗ Try again"),IF(TRIM(H17)=TRIM('Answer Key'!$D$17),"✓ Correct","✗ Try again")),"✗ Try again"))</f>
        <v/>
      </c>
      <c r="J17" s="15" t="s">
        <v>87</v>
      </c>
      <c r="K17" s="15"/>
      <c r="L17" s="15"/>
      <c r="M17" s="15"/>
    </row>
    <row r="18" customFormat="false" ht="15" hidden="false" customHeight="false" outlineLevel="0" collapsed="false">
      <c r="G18" s="18" t="s">
        <v>88</v>
      </c>
      <c r="H18" s="4" t="str">
        <f aca="false">COUNTIF(I5:I17,"✓ Correct")&amp;" / 13"</f>
        <v>0 / 13</v>
      </c>
    </row>
    <row r="21" customFormat="false" ht="15" hidden="false" customHeight="false" outlineLevel="0" collapsed="false">
      <c r="A21" s="19" t="s">
        <v>89</v>
      </c>
    </row>
    <row r="22" customFormat="false" ht="15" hidden="false" customHeight="false" outlineLevel="0" collapsed="false">
      <c r="A22" s="2" t="s">
        <v>90</v>
      </c>
    </row>
    <row r="24" customFormat="false" ht="15" hidden="false" customHeight="false" outlineLevel="0" collapsed="false">
      <c r="A24" s="11" t="s">
        <v>91</v>
      </c>
      <c r="B24" s="11" t="s">
        <v>92</v>
      </c>
      <c r="C24" s="11" t="s">
        <v>93</v>
      </c>
      <c r="D24" s="11" t="s">
        <v>94</v>
      </c>
      <c r="F24" s="11" t="s">
        <v>95</v>
      </c>
      <c r="G24" s="11" t="s">
        <v>96</v>
      </c>
      <c r="H24" s="11" t="s">
        <v>97</v>
      </c>
      <c r="I24" s="11" t="s">
        <v>98</v>
      </c>
      <c r="J24" s="11" t="s">
        <v>99</v>
      </c>
      <c r="K24" s="11" t="s">
        <v>100</v>
      </c>
      <c r="M24" s="11" t="s">
        <v>91</v>
      </c>
      <c r="N24" s="20" t="n">
        <v>45961</v>
      </c>
      <c r="O24" s="20" t="n">
        <v>45991</v>
      </c>
      <c r="P24" s="20" t="n">
        <v>46022</v>
      </c>
      <c r="Q24" s="20" t="n">
        <v>46053</v>
      </c>
      <c r="R24" s="20" t="n">
        <v>46081</v>
      </c>
      <c r="S24" s="20" t="n">
        <v>46112</v>
      </c>
      <c r="T24" s="20" t="n">
        <v>46142</v>
      </c>
      <c r="U24" s="20" t="n">
        <v>46173</v>
      </c>
      <c r="V24" s="20" t="n">
        <v>46203</v>
      </c>
      <c r="W24" s="20" t="n">
        <v>46234</v>
      </c>
      <c r="X24" s="20" t="n">
        <v>46265</v>
      </c>
      <c r="Y24" s="20" t="n">
        <v>46295</v>
      </c>
      <c r="AA24" s="21" t="s">
        <v>101</v>
      </c>
      <c r="AB24" s="21"/>
      <c r="AC24" s="21"/>
      <c r="AD24" s="21"/>
      <c r="AE24" s="21"/>
      <c r="AF24" s="21"/>
      <c r="AG24" s="21"/>
      <c r="AH24" s="21"/>
    </row>
    <row r="25" customFormat="false" ht="15" hidden="false" customHeight="false" outlineLevel="0" collapsed="false">
      <c r="A25" s="22" t="s">
        <v>102</v>
      </c>
      <c r="B25" s="22" t="s">
        <v>103</v>
      </c>
      <c r="C25" s="22" t="s">
        <v>104</v>
      </c>
      <c r="D25" s="22" t="s">
        <v>105</v>
      </c>
      <c r="F25" s="22" t="s">
        <v>106</v>
      </c>
      <c r="G25" s="22" t="s">
        <v>107</v>
      </c>
      <c r="H25" s="23" t="n">
        <v>46160</v>
      </c>
      <c r="I25" s="22" t="n">
        <v>244.07</v>
      </c>
      <c r="J25" s="24" t="n">
        <v>2600</v>
      </c>
      <c r="K25" s="22" t="s">
        <v>108</v>
      </c>
      <c r="M25" s="22" t="s">
        <v>102</v>
      </c>
      <c r="N25" s="25" t="n">
        <v>147.3</v>
      </c>
      <c r="O25" s="25" t="n">
        <v>134.92</v>
      </c>
      <c r="P25" s="25" t="n">
        <v>131.94</v>
      </c>
      <c r="Q25" s="25" t="n">
        <v>115.7</v>
      </c>
      <c r="R25" s="25" t="n">
        <v>106.42</v>
      </c>
      <c r="S25" s="25" t="n">
        <v>93.76</v>
      </c>
      <c r="T25" s="25" t="n">
        <v>93.16</v>
      </c>
      <c r="U25" s="25" t="n">
        <v>85.82</v>
      </c>
      <c r="V25" s="25" t="n">
        <v>88.31</v>
      </c>
      <c r="W25" s="25" t="n">
        <v>90.16</v>
      </c>
      <c r="X25" s="25" t="n">
        <v>89.88</v>
      </c>
      <c r="Y25" s="25" t="n">
        <v>74.95</v>
      </c>
    </row>
    <row r="26" customFormat="false" ht="15" hidden="false" customHeight="false" outlineLevel="0" collapsed="false">
      <c r="A26" s="22" t="s">
        <v>109</v>
      </c>
      <c r="B26" s="22" t="s">
        <v>110</v>
      </c>
      <c r="C26" s="22" t="s">
        <v>111</v>
      </c>
      <c r="D26" s="22" t="s">
        <v>112</v>
      </c>
      <c r="F26" s="22" t="s">
        <v>113</v>
      </c>
      <c r="G26" s="22" t="s">
        <v>114</v>
      </c>
      <c r="H26" s="23" t="n">
        <v>46265</v>
      </c>
      <c r="I26" s="22" t="s">
        <v>115</v>
      </c>
      <c r="J26" s="24" t="n">
        <v>2300</v>
      </c>
      <c r="K26" s="22" t="s">
        <v>116</v>
      </c>
      <c r="M26" s="22" t="s">
        <v>109</v>
      </c>
      <c r="N26" s="25" t="n">
        <v>230.95</v>
      </c>
      <c r="O26" s="25" t="n">
        <v>232.47</v>
      </c>
      <c r="P26" s="25" t="n">
        <v>236.64</v>
      </c>
      <c r="Q26" s="25" t="n">
        <v>213.66</v>
      </c>
      <c r="R26" s="25" t="n">
        <v>208.65</v>
      </c>
      <c r="S26" s="25" t="n">
        <v>196.45</v>
      </c>
      <c r="T26" s="25" t="n">
        <v>187.29</v>
      </c>
      <c r="U26" s="25" t="n">
        <v>203.07</v>
      </c>
      <c r="V26" s="25" t="n">
        <v>193.62</v>
      </c>
      <c r="W26" s="25" t="n">
        <v>195.12</v>
      </c>
      <c r="X26" s="25" t="n">
        <v>209.15</v>
      </c>
      <c r="Y26" s="25" t="n">
        <v>202.7</v>
      </c>
    </row>
    <row r="27" customFormat="false" ht="15" hidden="false" customHeight="false" outlineLevel="0" collapsed="false">
      <c r="A27" s="22" t="s">
        <v>117</v>
      </c>
      <c r="B27" s="22" t="s">
        <v>118</v>
      </c>
      <c r="C27" s="22" t="s">
        <v>119</v>
      </c>
      <c r="D27" s="22" t="s">
        <v>112</v>
      </c>
      <c r="F27" s="22" t="s">
        <v>120</v>
      </c>
      <c r="G27" s="22" t="s">
        <v>121</v>
      </c>
      <c r="H27" s="23" t="n">
        <v>46213</v>
      </c>
      <c r="I27" s="22" t="n">
        <v>41.96</v>
      </c>
      <c r="J27" s="24" t="n">
        <v>4900</v>
      </c>
      <c r="K27" s="22" t="s">
        <v>122</v>
      </c>
      <c r="M27" s="22" t="s">
        <v>117</v>
      </c>
      <c r="N27" s="25" t="n">
        <v>81.55</v>
      </c>
      <c r="O27" s="25" t="n">
        <v>82.99</v>
      </c>
      <c r="P27" s="25" t="n">
        <v>84.19</v>
      </c>
      <c r="Q27" s="25" t="n">
        <v>77.82</v>
      </c>
      <c r="R27" s="25" t="n">
        <v>79.01</v>
      </c>
      <c r="S27" s="25" t="n">
        <v>87.31</v>
      </c>
      <c r="T27" s="25" t="n">
        <v>78.73</v>
      </c>
      <c r="U27" s="25" t="n">
        <v>84.26</v>
      </c>
      <c r="V27" s="25" t="n">
        <v>85.8</v>
      </c>
      <c r="W27" s="25" t="n">
        <v>82.81</v>
      </c>
      <c r="X27" s="25" t="n">
        <v>95.23</v>
      </c>
      <c r="Y27" s="25" t="n">
        <v>101.26</v>
      </c>
    </row>
    <row r="28" customFormat="false" ht="15" hidden="false" customHeight="false" outlineLevel="0" collapsed="false">
      <c r="A28" s="22" t="s">
        <v>123</v>
      </c>
      <c r="B28" s="22" t="s">
        <v>124</v>
      </c>
      <c r="C28" s="22" t="s">
        <v>125</v>
      </c>
      <c r="D28" s="22" t="s">
        <v>105</v>
      </c>
      <c r="F28" s="22" t="s">
        <v>126</v>
      </c>
      <c r="G28" s="22" t="s">
        <v>127</v>
      </c>
      <c r="H28" s="23" t="n">
        <v>46237</v>
      </c>
      <c r="I28" s="22" t="n">
        <v>133.18</v>
      </c>
      <c r="J28" s="24" t="n">
        <v>3500</v>
      </c>
      <c r="K28" s="22" t="s">
        <v>128</v>
      </c>
      <c r="M28" s="22" t="s">
        <v>123</v>
      </c>
      <c r="N28" s="25" t="n">
        <v>33.63</v>
      </c>
      <c r="O28" s="25" t="n">
        <v>34.14</v>
      </c>
      <c r="P28" s="25" t="n">
        <v>35.86</v>
      </c>
      <c r="Q28" s="25" t="n">
        <v>35.74</v>
      </c>
      <c r="R28" s="25" t="n">
        <v>37.81</v>
      </c>
      <c r="S28" s="25" t="n">
        <v>38.01</v>
      </c>
      <c r="T28" s="25" t="n">
        <v>40.17</v>
      </c>
      <c r="U28" s="25" t="n">
        <v>44.61</v>
      </c>
      <c r="V28" s="25" t="n">
        <v>42.95</v>
      </c>
      <c r="W28" s="25" t="n">
        <v>43.99</v>
      </c>
      <c r="X28" s="25" t="n">
        <v>43</v>
      </c>
      <c r="Y28" s="25" t="n">
        <v>43.82</v>
      </c>
    </row>
    <row r="29" customFormat="false" ht="15" hidden="false" customHeight="false" outlineLevel="0" collapsed="false">
      <c r="A29" s="22" t="s">
        <v>129</v>
      </c>
      <c r="B29" s="22" t="s">
        <v>130</v>
      </c>
      <c r="C29" s="22" t="s">
        <v>131</v>
      </c>
      <c r="D29" s="22" t="s">
        <v>112</v>
      </c>
      <c r="F29" s="22" t="s">
        <v>132</v>
      </c>
      <c r="G29" s="22" t="s">
        <v>133</v>
      </c>
      <c r="H29" s="23" t="n">
        <v>46188</v>
      </c>
      <c r="I29" s="22" t="n">
        <v>152.39</v>
      </c>
      <c r="J29" s="24" t="n">
        <v>1700</v>
      </c>
      <c r="K29" s="22" t="s">
        <v>134</v>
      </c>
      <c r="M29" s="22" t="s">
        <v>129</v>
      </c>
      <c r="N29" s="25" t="n">
        <v>121.27</v>
      </c>
      <c r="O29" s="25" t="n">
        <v>117.57</v>
      </c>
      <c r="P29" s="25" t="n">
        <v>117.13</v>
      </c>
      <c r="Q29" s="25" t="n">
        <v>125.67</v>
      </c>
      <c r="R29" s="25" t="n">
        <v>137</v>
      </c>
      <c r="S29" s="25" t="n">
        <v>125.68</v>
      </c>
      <c r="T29" s="25" t="n">
        <v>119.94</v>
      </c>
      <c r="U29" s="25" t="n">
        <v>126.57</v>
      </c>
      <c r="V29" s="25" t="n">
        <v>110.19</v>
      </c>
      <c r="W29" s="25" t="n">
        <v>107.72</v>
      </c>
      <c r="X29" s="25" t="n">
        <v>108.06</v>
      </c>
      <c r="Y29" s="25" t="n">
        <v>118.65</v>
      </c>
    </row>
    <row r="30" customFormat="false" ht="15" hidden="false" customHeight="false" outlineLevel="0" collapsed="false">
      <c r="A30" s="22" t="s">
        <v>135</v>
      </c>
      <c r="B30" s="22" t="s">
        <v>136</v>
      </c>
      <c r="C30" s="22" t="s">
        <v>104</v>
      </c>
      <c r="D30" s="22" t="s">
        <v>105</v>
      </c>
      <c r="F30" s="22" t="s">
        <v>137</v>
      </c>
      <c r="G30" s="22" t="s">
        <v>138</v>
      </c>
      <c r="H30" s="23" t="n">
        <v>46070</v>
      </c>
      <c r="I30" s="22" t="s">
        <v>139</v>
      </c>
      <c r="J30" s="24" t="n">
        <v>900</v>
      </c>
      <c r="K30" s="22" t="s">
        <v>140</v>
      </c>
      <c r="M30" s="22" t="s">
        <v>135</v>
      </c>
      <c r="N30" s="25" t="n">
        <v>237.34</v>
      </c>
      <c r="O30" s="25" t="n">
        <v>234.28</v>
      </c>
      <c r="P30" s="25" t="n">
        <v>230.57</v>
      </c>
      <c r="Q30" s="25" t="n">
        <v>228.84</v>
      </c>
      <c r="R30" s="25" t="n">
        <v>255.53</v>
      </c>
      <c r="S30" s="25" t="n">
        <v>250.43</v>
      </c>
      <c r="T30" s="25" t="n">
        <v>247.61</v>
      </c>
      <c r="U30" s="25" t="n">
        <v>256.2</v>
      </c>
      <c r="V30" s="25" t="n">
        <v>256.6</v>
      </c>
      <c r="W30" s="25" t="n">
        <v>255.62</v>
      </c>
      <c r="X30" s="25" t="n">
        <v>238.24</v>
      </c>
      <c r="Y30" s="25" t="n">
        <v>240.43</v>
      </c>
    </row>
    <row r="31" customFormat="false" ht="15" hidden="false" customHeight="false" outlineLevel="0" collapsed="false">
      <c r="A31" s="22" t="s">
        <v>141</v>
      </c>
      <c r="B31" s="22" t="s">
        <v>142</v>
      </c>
      <c r="C31" s="22" t="s">
        <v>104</v>
      </c>
      <c r="D31" s="22" t="s">
        <v>105</v>
      </c>
      <c r="F31" s="22" t="s">
        <v>143</v>
      </c>
      <c r="G31" s="22" t="s">
        <v>144</v>
      </c>
      <c r="H31" s="23" t="n">
        <v>46016</v>
      </c>
      <c r="I31" s="22" t="n">
        <v>173.91</v>
      </c>
      <c r="J31" s="24" t="n">
        <v>4200</v>
      </c>
      <c r="K31" s="22" t="s">
        <v>145</v>
      </c>
      <c r="M31" s="22" t="s">
        <v>141</v>
      </c>
      <c r="N31" s="25" t="n">
        <v>114.52</v>
      </c>
      <c r="O31" s="25" t="n">
        <v>125.01</v>
      </c>
      <c r="P31" s="25" t="n">
        <v>131.98</v>
      </c>
      <c r="Q31" s="25" t="n">
        <v>133.08</v>
      </c>
      <c r="R31" s="25" t="n">
        <v>140.63</v>
      </c>
      <c r="S31" s="25" t="n">
        <v>138.69</v>
      </c>
      <c r="T31" s="25" t="n">
        <v>150.29</v>
      </c>
      <c r="U31" s="25" t="n">
        <v>151.74</v>
      </c>
      <c r="V31" s="25" t="n">
        <v>159.45</v>
      </c>
      <c r="W31" s="25" t="n">
        <v>146.64</v>
      </c>
      <c r="X31" s="25" t="n">
        <v>151.66</v>
      </c>
      <c r="Y31" s="25" t="n">
        <v>135.26</v>
      </c>
    </row>
    <row r="32" customFormat="false" ht="15" hidden="false" customHeight="false" outlineLevel="0" collapsed="false">
      <c r="A32" s="22" t="s">
        <v>114</v>
      </c>
      <c r="B32" s="22" t="s">
        <v>146</v>
      </c>
      <c r="C32" s="22" t="s">
        <v>111</v>
      </c>
      <c r="D32" s="22" t="s">
        <v>147</v>
      </c>
      <c r="F32" s="22" t="s">
        <v>148</v>
      </c>
      <c r="G32" s="22" t="s">
        <v>149</v>
      </c>
      <c r="H32" s="23" t="n">
        <v>46282</v>
      </c>
      <c r="I32" s="22" t="n">
        <v>34.3</v>
      </c>
      <c r="J32" s="24" t="n">
        <v>1700</v>
      </c>
      <c r="K32" s="22" t="s">
        <v>150</v>
      </c>
      <c r="M32" s="22" t="s">
        <v>114</v>
      </c>
      <c r="N32" s="25" t="n">
        <v>242.44</v>
      </c>
      <c r="O32" s="25" t="n">
        <v>239.7</v>
      </c>
      <c r="P32" s="25" t="n">
        <v>227</v>
      </c>
      <c r="Q32" s="25" t="n">
        <v>231.88</v>
      </c>
      <c r="R32" s="25" t="n">
        <v>270.63</v>
      </c>
      <c r="S32" s="25" t="n">
        <v>257.58</v>
      </c>
      <c r="T32" s="25" t="n">
        <v>248.9</v>
      </c>
      <c r="U32" s="25" t="n">
        <v>254.97</v>
      </c>
      <c r="V32" s="25" t="n">
        <v>266.32</v>
      </c>
      <c r="W32" s="25" t="n">
        <v>265.7</v>
      </c>
      <c r="X32" s="25" t="n">
        <v>264.52</v>
      </c>
      <c r="Y32" s="25" t="n">
        <v>280.18</v>
      </c>
    </row>
    <row r="33" customFormat="false" ht="15" hidden="false" customHeight="false" outlineLevel="0" collapsed="false">
      <c r="A33" s="22" t="s">
        <v>151</v>
      </c>
      <c r="B33" s="22" t="s">
        <v>152</v>
      </c>
      <c r="C33" s="22" t="s">
        <v>119</v>
      </c>
      <c r="D33" s="22" t="s">
        <v>147</v>
      </c>
      <c r="F33" s="22" t="s">
        <v>153</v>
      </c>
      <c r="G33" s="22" t="s">
        <v>154</v>
      </c>
      <c r="H33" s="23" t="n">
        <v>46013</v>
      </c>
      <c r="I33" s="22" t="n">
        <v>59.4</v>
      </c>
      <c r="J33" s="24" t="n">
        <v>1400</v>
      </c>
      <c r="K33" s="22" t="s">
        <v>155</v>
      </c>
      <c r="M33" s="22" t="s">
        <v>151</v>
      </c>
      <c r="N33" s="25" t="n">
        <v>54.74</v>
      </c>
      <c r="O33" s="25" t="n">
        <v>51.33</v>
      </c>
      <c r="P33" s="25" t="n">
        <v>51.56</v>
      </c>
      <c r="Q33" s="25" t="n">
        <v>52.2</v>
      </c>
      <c r="R33" s="25" t="n">
        <v>48.87</v>
      </c>
      <c r="S33" s="25" t="n">
        <v>50.25</v>
      </c>
      <c r="T33" s="25" t="n">
        <v>47.73</v>
      </c>
      <c r="U33" s="25" t="n">
        <v>51.46</v>
      </c>
      <c r="V33" s="25" t="n">
        <v>52.67</v>
      </c>
      <c r="W33" s="25" t="n">
        <v>53.52</v>
      </c>
      <c r="X33" s="25" t="n">
        <v>51.84</v>
      </c>
      <c r="Y33" s="25" t="n">
        <v>51.93</v>
      </c>
    </row>
    <row r="34" customFormat="false" ht="15" hidden="false" customHeight="false" outlineLevel="0" collapsed="false">
      <c r="A34" s="22" t="s">
        <v>138</v>
      </c>
      <c r="B34" s="22" t="s">
        <v>156</v>
      </c>
      <c r="C34" s="22" t="s">
        <v>125</v>
      </c>
      <c r="D34" s="22" t="s">
        <v>157</v>
      </c>
      <c r="F34" s="22" t="s">
        <v>158</v>
      </c>
      <c r="G34" s="22" t="s">
        <v>117</v>
      </c>
      <c r="H34" s="23" t="n">
        <v>46020</v>
      </c>
      <c r="I34" s="22" t="s">
        <v>159</v>
      </c>
      <c r="J34" s="24" t="n">
        <v>4800</v>
      </c>
      <c r="K34" s="22" t="s">
        <v>160</v>
      </c>
      <c r="M34" s="22" t="s">
        <v>138</v>
      </c>
      <c r="N34" s="25" t="n">
        <v>186.95</v>
      </c>
      <c r="O34" s="25" t="n">
        <v>174.01</v>
      </c>
      <c r="P34" s="25" t="n">
        <v>180.17</v>
      </c>
      <c r="Q34" s="25" t="n">
        <v>155.13</v>
      </c>
      <c r="R34" s="25" t="n">
        <v>165.87</v>
      </c>
      <c r="S34" s="25" t="n">
        <v>147.25</v>
      </c>
      <c r="T34" s="25" t="n">
        <v>156.53</v>
      </c>
      <c r="U34" s="25" t="n">
        <v>148.83</v>
      </c>
      <c r="V34" s="25" t="n">
        <v>158.43</v>
      </c>
      <c r="W34" s="25" t="n">
        <v>161.47</v>
      </c>
      <c r="X34" s="25" t="n">
        <v>145.71</v>
      </c>
      <c r="Y34" s="25" t="n">
        <v>159.91</v>
      </c>
    </row>
    <row r="35" customFormat="false" ht="15" hidden="false" customHeight="false" outlineLevel="0" collapsed="false">
      <c r="A35" s="22" t="s">
        <v>107</v>
      </c>
      <c r="B35" s="22" t="s">
        <v>161</v>
      </c>
      <c r="C35" s="22" t="s">
        <v>131</v>
      </c>
      <c r="D35" s="22" t="s">
        <v>157</v>
      </c>
      <c r="F35" s="22" t="s">
        <v>162</v>
      </c>
      <c r="G35" s="22" t="s">
        <v>163</v>
      </c>
      <c r="H35" s="23" t="n">
        <v>46227</v>
      </c>
      <c r="I35" s="22" t="n">
        <v>31.4</v>
      </c>
      <c r="J35" s="24" t="n">
        <v>2900</v>
      </c>
      <c r="K35" s="22" t="s">
        <v>164</v>
      </c>
      <c r="M35" s="22" t="s">
        <v>107</v>
      </c>
      <c r="N35" s="25" t="n">
        <v>245.49</v>
      </c>
      <c r="O35" s="25" t="n">
        <v>246.81</v>
      </c>
      <c r="P35" s="25" t="n">
        <v>244.55</v>
      </c>
      <c r="Q35" s="25" t="n">
        <v>244.26</v>
      </c>
      <c r="R35" s="25" t="n">
        <v>230.03</v>
      </c>
      <c r="S35" s="25" t="n">
        <v>250.02</v>
      </c>
      <c r="T35" s="25" t="n">
        <v>243.02</v>
      </c>
      <c r="U35" s="25" t="n">
        <v>244.58</v>
      </c>
      <c r="V35" s="25" t="n">
        <v>233.44</v>
      </c>
      <c r="W35" s="25" t="n">
        <v>225.54</v>
      </c>
      <c r="X35" s="25" t="n">
        <v>207.63</v>
      </c>
      <c r="Y35" s="25" t="n">
        <v>227.97</v>
      </c>
    </row>
    <row r="36" customFormat="false" ht="15" hidden="false" customHeight="false" outlineLevel="0" collapsed="false">
      <c r="A36" s="22" t="s">
        <v>165</v>
      </c>
      <c r="B36" s="22" t="s">
        <v>166</v>
      </c>
      <c r="C36" s="22" t="s">
        <v>167</v>
      </c>
      <c r="D36" s="22" t="s">
        <v>105</v>
      </c>
      <c r="F36" s="22" t="s">
        <v>168</v>
      </c>
      <c r="G36" s="22" t="s">
        <v>169</v>
      </c>
      <c r="H36" s="23" t="n">
        <v>46114</v>
      </c>
      <c r="I36" s="22" t="n">
        <v>170.12</v>
      </c>
      <c r="J36" s="24" t="n">
        <v>3500</v>
      </c>
      <c r="K36" s="22" t="s">
        <v>145</v>
      </c>
      <c r="M36" s="22" t="s">
        <v>165</v>
      </c>
      <c r="N36" s="25" t="n">
        <v>139.49</v>
      </c>
      <c r="O36" s="25" t="n">
        <v>150.31</v>
      </c>
      <c r="P36" s="25" t="n">
        <v>151.96</v>
      </c>
      <c r="Q36" s="25" t="n">
        <v>146.09</v>
      </c>
      <c r="R36" s="25" t="n">
        <v>144.21</v>
      </c>
      <c r="S36" s="25" t="n">
        <v>140</v>
      </c>
      <c r="T36" s="25" t="n">
        <v>141.48</v>
      </c>
      <c r="U36" s="25" t="n">
        <v>139.17</v>
      </c>
      <c r="V36" s="25" t="n">
        <v>137.64</v>
      </c>
      <c r="W36" s="25" t="n">
        <v>125.74</v>
      </c>
      <c r="X36" s="25" t="n">
        <v>119.89</v>
      </c>
      <c r="Y36" s="25" t="n">
        <v>134.97</v>
      </c>
    </row>
    <row r="37" customFormat="false" ht="15" hidden="false" customHeight="false" outlineLevel="0" collapsed="false">
      <c r="A37" s="22" t="s">
        <v>170</v>
      </c>
      <c r="B37" s="22" t="s">
        <v>171</v>
      </c>
      <c r="C37" s="22" t="s">
        <v>104</v>
      </c>
      <c r="D37" s="22" t="s">
        <v>105</v>
      </c>
      <c r="F37" s="22" t="s">
        <v>172</v>
      </c>
      <c r="G37" s="22" t="s">
        <v>173</v>
      </c>
      <c r="H37" s="23" t="n">
        <v>46275</v>
      </c>
      <c r="I37" s="22" t="n">
        <v>64.3</v>
      </c>
      <c r="J37" s="24" t="n">
        <v>1200</v>
      </c>
      <c r="K37" s="22" t="s">
        <v>174</v>
      </c>
      <c r="M37" s="22" t="s">
        <v>170</v>
      </c>
      <c r="N37" s="25" t="n">
        <v>230.56</v>
      </c>
      <c r="O37" s="25" t="n">
        <v>215.85</v>
      </c>
      <c r="P37" s="25" t="n">
        <v>223.11</v>
      </c>
      <c r="Q37" s="25" t="n">
        <v>247.31</v>
      </c>
      <c r="R37" s="25" t="n">
        <v>224.62</v>
      </c>
      <c r="S37" s="25" t="n">
        <v>223.58</v>
      </c>
      <c r="T37" s="25" t="n">
        <v>215.93</v>
      </c>
      <c r="U37" s="25" t="n">
        <v>191.47</v>
      </c>
      <c r="V37" s="25" t="n">
        <v>203.23</v>
      </c>
      <c r="W37" s="25" t="n">
        <v>204.93</v>
      </c>
      <c r="X37" s="25" t="n">
        <v>208.01</v>
      </c>
      <c r="Y37" s="25" t="n">
        <v>199.13</v>
      </c>
    </row>
    <row r="38" customFormat="false" ht="15" hidden="false" customHeight="false" outlineLevel="0" collapsed="false">
      <c r="A38" s="22" t="s">
        <v>175</v>
      </c>
      <c r="B38" s="22" t="s">
        <v>176</v>
      </c>
      <c r="C38" s="22" t="s">
        <v>111</v>
      </c>
      <c r="D38" s="22" t="s">
        <v>147</v>
      </c>
      <c r="F38" s="22" t="s">
        <v>177</v>
      </c>
      <c r="G38" s="22" t="s">
        <v>178</v>
      </c>
      <c r="H38" s="23" t="n">
        <v>45964</v>
      </c>
      <c r="I38" s="22" t="n">
        <v>32.93</v>
      </c>
      <c r="J38" s="24" t="n">
        <v>3400</v>
      </c>
      <c r="K38" s="22" t="s">
        <v>179</v>
      </c>
      <c r="M38" s="22" t="s">
        <v>175</v>
      </c>
      <c r="N38" s="25" t="n">
        <v>34.23</v>
      </c>
      <c r="O38" s="25" t="n">
        <v>33.28</v>
      </c>
      <c r="P38" s="25" t="n">
        <v>33.28</v>
      </c>
      <c r="Q38" s="25" t="n">
        <v>31.03</v>
      </c>
      <c r="R38" s="25" t="n">
        <v>28.7</v>
      </c>
      <c r="S38" s="25" t="n">
        <v>31.67</v>
      </c>
      <c r="T38" s="25" t="n">
        <v>30.86</v>
      </c>
      <c r="U38" s="25" t="n">
        <v>31.8</v>
      </c>
      <c r="V38" s="25" t="n">
        <v>32.04</v>
      </c>
      <c r="W38" s="25" t="n">
        <v>31.37</v>
      </c>
      <c r="X38" s="25" t="n">
        <v>30.57</v>
      </c>
      <c r="Y38" s="25" t="n">
        <v>32.23</v>
      </c>
    </row>
    <row r="39" customFormat="false" ht="15" hidden="false" customHeight="false" outlineLevel="0" collapsed="false">
      <c r="A39" s="22" t="s">
        <v>180</v>
      </c>
      <c r="B39" s="22" t="s">
        <v>181</v>
      </c>
      <c r="C39" s="22" t="s">
        <v>119</v>
      </c>
      <c r="D39" s="22" t="s">
        <v>157</v>
      </c>
      <c r="F39" s="22" t="s">
        <v>182</v>
      </c>
      <c r="G39" s="22" t="s">
        <v>183</v>
      </c>
      <c r="H39" s="23" t="n">
        <v>46072</v>
      </c>
      <c r="I39" s="22" t="s">
        <v>184</v>
      </c>
      <c r="J39" s="24" t="n">
        <v>2100</v>
      </c>
      <c r="K39" s="22" t="s">
        <v>185</v>
      </c>
      <c r="M39" s="22" t="s">
        <v>180</v>
      </c>
      <c r="N39" s="25" t="n">
        <v>26.97</v>
      </c>
      <c r="O39" s="25" t="n">
        <v>26.95</v>
      </c>
      <c r="P39" s="25" t="n">
        <v>27.26</v>
      </c>
      <c r="Q39" s="25" t="n">
        <v>29.78</v>
      </c>
      <c r="R39" s="25" t="n">
        <v>31.5</v>
      </c>
      <c r="S39" s="25" t="n">
        <v>32.65</v>
      </c>
      <c r="T39" s="25" t="n">
        <v>31.69</v>
      </c>
      <c r="U39" s="25" t="n">
        <v>28.94</v>
      </c>
      <c r="V39" s="25" t="n">
        <v>31.16</v>
      </c>
      <c r="W39" s="25" t="n">
        <v>33.58</v>
      </c>
      <c r="X39" s="25" t="n">
        <v>33.58</v>
      </c>
      <c r="Y39" s="25" t="n">
        <v>35.19</v>
      </c>
    </row>
    <row r="40" customFormat="false" ht="15" hidden="false" customHeight="false" outlineLevel="0" collapsed="false">
      <c r="A40" s="22" t="s">
        <v>186</v>
      </c>
      <c r="B40" s="22" t="s">
        <v>187</v>
      </c>
      <c r="C40" s="22" t="s">
        <v>125</v>
      </c>
      <c r="D40" s="22" t="s">
        <v>105</v>
      </c>
      <c r="F40" s="22" t="s">
        <v>188</v>
      </c>
      <c r="G40" s="22" t="s">
        <v>141</v>
      </c>
      <c r="H40" s="23" t="n">
        <v>45978</v>
      </c>
      <c r="I40" s="22" t="n">
        <v>113.84</v>
      </c>
      <c r="J40" s="24" t="n">
        <v>2800</v>
      </c>
      <c r="K40" s="22" t="s">
        <v>189</v>
      </c>
      <c r="M40" s="22" t="s">
        <v>186</v>
      </c>
      <c r="N40" s="25" t="n">
        <v>235.82</v>
      </c>
      <c r="O40" s="25" t="n">
        <v>251.9</v>
      </c>
      <c r="P40" s="25" t="n">
        <v>270.66</v>
      </c>
      <c r="Q40" s="25" t="n">
        <v>264.74</v>
      </c>
      <c r="R40" s="25" t="n">
        <v>295.46</v>
      </c>
      <c r="S40" s="25" t="n">
        <v>272.63</v>
      </c>
      <c r="T40" s="25" t="n">
        <v>291.8</v>
      </c>
      <c r="U40" s="25" t="n">
        <v>304.81</v>
      </c>
      <c r="V40" s="25" t="n">
        <v>326.5</v>
      </c>
      <c r="W40" s="25" t="n">
        <v>372.71</v>
      </c>
      <c r="X40" s="25" t="n">
        <v>415.16</v>
      </c>
      <c r="Y40" s="25" t="n">
        <v>386.04</v>
      </c>
    </row>
    <row r="41" customFormat="false" ht="15" hidden="false" customHeight="false" outlineLevel="0" collapsed="false">
      <c r="A41" s="22" t="s">
        <v>190</v>
      </c>
      <c r="B41" s="22" t="s">
        <v>191</v>
      </c>
      <c r="C41" s="22" t="s">
        <v>131</v>
      </c>
      <c r="D41" s="22" t="s">
        <v>147</v>
      </c>
      <c r="F41" s="22" t="s">
        <v>192</v>
      </c>
      <c r="G41" s="22" t="s">
        <v>109</v>
      </c>
      <c r="H41" s="23" t="n">
        <v>46204</v>
      </c>
      <c r="I41" s="22" t="n">
        <v>192.94</v>
      </c>
      <c r="J41" s="24" t="n">
        <v>3600</v>
      </c>
      <c r="K41" s="22" t="s">
        <v>193</v>
      </c>
      <c r="M41" s="22" t="s">
        <v>190</v>
      </c>
      <c r="N41" s="25" t="n">
        <v>97.89</v>
      </c>
      <c r="O41" s="25" t="n">
        <v>104.47</v>
      </c>
      <c r="P41" s="25" t="n">
        <v>98.09</v>
      </c>
      <c r="Q41" s="25" t="n">
        <v>98.99</v>
      </c>
      <c r="R41" s="25" t="n">
        <v>105.79</v>
      </c>
      <c r="S41" s="25" t="n">
        <v>94.68</v>
      </c>
      <c r="T41" s="25" t="n">
        <v>81.64</v>
      </c>
      <c r="U41" s="25" t="n">
        <v>83.94</v>
      </c>
      <c r="V41" s="25" t="n">
        <v>85.04</v>
      </c>
      <c r="W41" s="25" t="n">
        <v>84.43</v>
      </c>
      <c r="X41" s="25" t="n">
        <v>85.5</v>
      </c>
      <c r="Y41" s="25" t="n">
        <v>81.2</v>
      </c>
    </row>
    <row r="42" customFormat="false" ht="15" hidden="false" customHeight="false" outlineLevel="0" collapsed="false">
      <c r="A42" s="22" t="s">
        <v>194</v>
      </c>
      <c r="B42" s="22" t="s">
        <v>195</v>
      </c>
      <c r="C42" s="22" t="s">
        <v>167</v>
      </c>
      <c r="D42" s="22" t="s">
        <v>105</v>
      </c>
      <c r="F42" s="22" t="s">
        <v>196</v>
      </c>
      <c r="G42" s="22" t="s">
        <v>197</v>
      </c>
      <c r="H42" s="23" t="n">
        <v>46279</v>
      </c>
      <c r="I42" s="22" t="n">
        <v>113.22</v>
      </c>
      <c r="J42" s="24" t="n">
        <v>2400</v>
      </c>
      <c r="K42" s="22" t="s">
        <v>198</v>
      </c>
      <c r="M42" s="22" t="s">
        <v>194</v>
      </c>
      <c r="N42" s="25" t="n">
        <v>151.94</v>
      </c>
      <c r="O42" s="25" t="n">
        <v>151.68</v>
      </c>
      <c r="P42" s="25" t="n">
        <v>142.88</v>
      </c>
      <c r="Q42" s="25" t="n">
        <v>127.87</v>
      </c>
      <c r="R42" s="25" t="n">
        <v>133.68</v>
      </c>
      <c r="S42" s="25" t="n">
        <v>134.44</v>
      </c>
      <c r="T42" s="25" t="n">
        <v>139.61</v>
      </c>
      <c r="U42" s="25" t="n">
        <v>131.34</v>
      </c>
      <c r="V42" s="25" t="n">
        <v>126.6</v>
      </c>
      <c r="W42" s="25" t="n">
        <v>119.02</v>
      </c>
      <c r="X42" s="25" t="n">
        <v>112.82</v>
      </c>
      <c r="Y42" s="25" t="n">
        <v>115.49</v>
      </c>
    </row>
    <row r="43" customFormat="false" ht="15" hidden="false" customHeight="false" outlineLevel="0" collapsed="false">
      <c r="A43" s="22" t="s">
        <v>154</v>
      </c>
      <c r="B43" s="22" t="s">
        <v>199</v>
      </c>
      <c r="C43" s="22" t="s">
        <v>104</v>
      </c>
      <c r="D43" s="22" t="s">
        <v>147</v>
      </c>
      <c r="F43" s="22" t="s">
        <v>200</v>
      </c>
      <c r="G43" s="22" t="s">
        <v>175</v>
      </c>
      <c r="H43" s="23" t="n">
        <v>45980</v>
      </c>
      <c r="I43" s="22" t="s">
        <v>201</v>
      </c>
      <c r="J43" s="24" t="n">
        <v>3600</v>
      </c>
      <c r="K43" s="22" t="s">
        <v>179</v>
      </c>
      <c r="M43" s="22" t="s">
        <v>154</v>
      </c>
      <c r="N43" s="25" t="n">
        <v>57.15</v>
      </c>
      <c r="O43" s="25" t="n">
        <v>59.14</v>
      </c>
      <c r="P43" s="25" t="n">
        <v>61.14</v>
      </c>
      <c r="Q43" s="25" t="n">
        <v>70.42</v>
      </c>
      <c r="R43" s="25" t="n">
        <v>64.26</v>
      </c>
      <c r="S43" s="25" t="n">
        <v>68.9</v>
      </c>
      <c r="T43" s="25" t="n">
        <v>69.15</v>
      </c>
      <c r="U43" s="25" t="n">
        <v>69.78</v>
      </c>
      <c r="V43" s="25" t="n">
        <v>63.39</v>
      </c>
      <c r="W43" s="25" t="n">
        <v>61.98</v>
      </c>
      <c r="X43" s="25" t="n">
        <v>65.83</v>
      </c>
      <c r="Y43" s="25" t="n">
        <v>66.11</v>
      </c>
    </row>
    <row r="44" customFormat="false" ht="15" hidden="false" customHeight="false" outlineLevel="0" collapsed="false">
      <c r="A44" s="22" t="s">
        <v>202</v>
      </c>
      <c r="B44" s="22" t="s">
        <v>203</v>
      </c>
      <c r="C44" s="22" t="s">
        <v>111</v>
      </c>
      <c r="D44" s="22" t="s">
        <v>157</v>
      </c>
      <c r="F44" s="22" t="s">
        <v>204</v>
      </c>
      <c r="G44" s="22" t="s">
        <v>205</v>
      </c>
      <c r="H44" s="23" t="n">
        <v>46203</v>
      </c>
      <c r="I44" s="22" t="n">
        <v>37.19</v>
      </c>
      <c r="J44" s="24" t="n">
        <v>4700</v>
      </c>
      <c r="K44" s="22" t="s">
        <v>206</v>
      </c>
      <c r="M44" s="22" t="s">
        <v>202</v>
      </c>
      <c r="N44" s="25" t="n">
        <v>50.76</v>
      </c>
      <c r="O44" s="25" t="n">
        <v>50.23</v>
      </c>
      <c r="P44" s="25" t="n">
        <v>54.79</v>
      </c>
      <c r="Q44" s="25" t="n">
        <v>55.26</v>
      </c>
      <c r="R44" s="25" t="n">
        <v>47.3</v>
      </c>
      <c r="S44" s="25" t="n">
        <v>45.48</v>
      </c>
      <c r="T44" s="25" t="n">
        <v>39.67</v>
      </c>
      <c r="U44" s="25" t="n">
        <v>31.04</v>
      </c>
      <c r="V44" s="25" t="n">
        <v>30.19</v>
      </c>
      <c r="W44" s="25" t="n">
        <v>33.32</v>
      </c>
      <c r="X44" s="25" t="n">
        <v>33.76</v>
      </c>
      <c r="Y44" s="25" t="n">
        <v>31.33</v>
      </c>
    </row>
    <row r="45" customFormat="false" ht="15" hidden="false" customHeight="false" outlineLevel="0" collapsed="false">
      <c r="A45" s="22" t="s">
        <v>197</v>
      </c>
      <c r="B45" s="22" t="s">
        <v>207</v>
      </c>
      <c r="C45" s="22" t="s">
        <v>119</v>
      </c>
      <c r="D45" s="22" t="s">
        <v>105</v>
      </c>
      <c r="F45" s="22" t="s">
        <v>208</v>
      </c>
      <c r="G45" s="22" t="s">
        <v>163</v>
      </c>
      <c r="H45" s="23" t="n">
        <v>46094</v>
      </c>
      <c r="I45" s="22" t="n">
        <v>62.92</v>
      </c>
      <c r="J45" s="24" t="n">
        <v>2800</v>
      </c>
      <c r="K45" s="22" t="s">
        <v>164</v>
      </c>
      <c r="M45" s="22" t="s">
        <v>197</v>
      </c>
      <c r="N45" s="25" t="n">
        <v>88.93</v>
      </c>
      <c r="O45" s="25" t="n">
        <v>96.86</v>
      </c>
      <c r="P45" s="25" t="n">
        <v>98.89</v>
      </c>
      <c r="Q45" s="25" t="n">
        <v>100.22</v>
      </c>
      <c r="R45" s="25" t="n">
        <v>100.84</v>
      </c>
      <c r="S45" s="25" t="n">
        <v>102.12</v>
      </c>
      <c r="T45" s="25" t="n">
        <v>108.9</v>
      </c>
      <c r="U45" s="25" t="n">
        <v>114.2</v>
      </c>
      <c r="V45" s="25" t="n">
        <v>117.07</v>
      </c>
      <c r="W45" s="25" t="n">
        <v>109.69</v>
      </c>
      <c r="X45" s="25" t="n">
        <v>114.71</v>
      </c>
      <c r="Y45" s="25" t="n">
        <v>110.37</v>
      </c>
    </row>
    <row r="46" customFormat="false" ht="15" hidden="false" customHeight="false" outlineLevel="0" collapsed="false">
      <c r="A46" s="22" t="s">
        <v>209</v>
      </c>
      <c r="B46" s="22" t="s">
        <v>210</v>
      </c>
      <c r="C46" s="22" t="s">
        <v>125</v>
      </c>
      <c r="D46" s="22" t="s">
        <v>157</v>
      </c>
      <c r="F46" s="22" t="s">
        <v>211</v>
      </c>
      <c r="G46" s="22" t="s">
        <v>197</v>
      </c>
      <c r="H46" s="23" t="n">
        <v>45975</v>
      </c>
      <c r="I46" s="22" t="s">
        <v>212</v>
      </c>
      <c r="J46" s="24" t="n">
        <v>600</v>
      </c>
      <c r="K46" s="22" t="s">
        <v>198</v>
      </c>
      <c r="M46" s="22" t="s">
        <v>209</v>
      </c>
      <c r="N46" s="25" t="n">
        <v>63.04</v>
      </c>
      <c r="O46" s="25" t="n">
        <v>58.06</v>
      </c>
      <c r="P46" s="25" t="n">
        <v>58.09</v>
      </c>
      <c r="Q46" s="25" t="n">
        <v>58.64</v>
      </c>
      <c r="R46" s="25" t="n">
        <v>53.79</v>
      </c>
      <c r="S46" s="25" t="n">
        <v>60.81</v>
      </c>
      <c r="T46" s="25" t="n">
        <v>67.63</v>
      </c>
      <c r="U46" s="25" t="n">
        <v>66.11</v>
      </c>
      <c r="V46" s="25" t="n">
        <v>70.35</v>
      </c>
      <c r="W46" s="25" t="n">
        <v>72.91</v>
      </c>
      <c r="X46" s="25" t="n">
        <v>60.3</v>
      </c>
      <c r="Y46" s="25" t="n">
        <v>61.96</v>
      </c>
    </row>
    <row r="47" customFormat="false" ht="15" hidden="false" customHeight="false" outlineLevel="0" collapsed="false">
      <c r="A47" s="22" t="s">
        <v>213</v>
      </c>
      <c r="B47" s="22" t="s">
        <v>214</v>
      </c>
      <c r="C47" s="22" t="s">
        <v>131</v>
      </c>
      <c r="D47" s="22" t="s">
        <v>157</v>
      </c>
      <c r="F47" s="22" t="s">
        <v>215</v>
      </c>
      <c r="G47" s="22" t="s">
        <v>197</v>
      </c>
      <c r="H47" s="23" t="n">
        <v>45985</v>
      </c>
      <c r="I47" s="22" t="n">
        <v>87.46</v>
      </c>
      <c r="J47" s="24" t="n">
        <v>2700</v>
      </c>
      <c r="K47" s="22" t="s">
        <v>198</v>
      </c>
      <c r="M47" s="22" t="s">
        <v>213</v>
      </c>
      <c r="N47" s="25" t="n">
        <v>139.32</v>
      </c>
      <c r="O47" s="25" t="n">
        <v>141.52</v>
      </c>
      <c r="P47" s="25" t="n">
        <v>132.27</v>
      </c>
      <c r="Q47" s="25" t="n">
        <v>131.1</v>
      </c>
      <c r="R47" s="25" t="n">
        <v>130.77</v>
      </c>
      <c r="S47" s="25" t="n">
        <v>142.96</v>
      </c>
      <c r="T47" s="25" t="n">
        <v>147.73</v>
      </c>
      <c r="U47" s="25" t="n">
        <v>149.15</v>
      </c>
      <c r="V47" s="25" t="n">
        <v>166.61</v>
      </c>
      <c r="W47" s="25" t="n">
        <v>161.8</v>
      </c>
      <c r="X47" s="25" t="n">
        <v>159.01</v>
      </c>
      <c r="Y47" s="25" t="n">
        <v>140.38</v>
      </c>
    </row>
    <row r="48" customFormat="false" ht="15" hidden="false" customHeight="false" outlineLevel="0" collapsed="false">
      <c r="A48" s="22" t="s">
        <v>183</v>
      </c>
      <c r="B48" s="22" t="s">
        <v>216</v>
      </c>
      <c r="C48" s="22" t="s">
        <v>167</v>
      </c>
      <c r="D48" s="22" t="s">
        <v>157</v>
      </c>
      <c r="F48" s="22" t="s">
        <v>217</v>
      </c>
      <c r="G48" s="22" t="s">
        <v>169</v>
      </c>
      <c r="H48" s="23" t="n">
        <v>46157</v>
      </c>
      <c r="I48" s="22" t="n">
        <v>174.29</v>
      </c>
      <c r="J48" s="24" t="n">
        <v>100</v>
      </c>
      <c r="K48" s="22" t="s">
        <v>145</v>
      </c>
      <c r="M48" s="22" t="s">
        <v>183</v>
      </c>
      <c r="N48" s="25" t="n">
        <v>249.26</v>
      </c>
      <c r="O48" s="25" t="n">
        <v>268.58</v>
      </c>
      <c r="P48" s="25" t="n">
        <v>288.5</v>
      </c>
      <c r="Q48" s="25" t="n">
        <v>304.89</v>
      </c>
      <c r="R48" s="25" t="n">
        <v>310.29</v>
      </c>
      <c r="S48" s="25" t="n">
        <v>318.07</v>
      </c>
      <c r="T48" s="25" t="n">
        <v>315.64</v>
      </c>
      <c r="U48" s="25" t="n">
        <v>314.3</v>
      </c>
      <c r="V48" s="25" t="n">
        <v>318.64</v>
      </c>
      <c r="W48" s="25" t="n">
        <v>355.55</v>
      </c>
      <c r="X48" s="25" t="n">
        <v>372.93</v>
      </c>
      <c r="Y48" s="25" t="n">
        <v>375.14</v>
      </c>
    </row>
    <row r="49" customFormat="false" ht="15" hidden="false" customHeight="false" outlineLevel="0" collapsed="false">
      <c r="A49" s="22" t="s">
        <v>127</v>
      </c>
      <c r="B49" s="22" t="s">
        <v>218</v>
      </c>
      <c r="C49" s="22" t="s">
        <v>104</v>
      </c>
      <c r="D49" s="22" t="s">
        <v>112</v>
      </c>
      <c r="F49" s="22" t="s">
        <v>219</v>
      </c>
      <c r="G49" s="22" t="s">
        <v>151</v>
      </c>
      <c r="H49" s="23" t="n">
        <v>46251</v>
      </c>
      <c r="I49" s="22" t="n">
        <v>54.47</v>
      </c>
      <c r="J49" s="24" t="n">
        <v>3700</v>
      </c>
      <c r="K49" s="22" t="s">
        <v>220</v>
      </c>
      <c r="M49" s="22" t="s">
        <v>127</v>
      </c>
      <c r="N49" s="25" t="n">
        <v>116.55</v>
      </c>
      <c r="O49" s="25" t="n">
        <v>112.53</v>
      </c>
      <c r="P49" s="25" t="n">
        <v>126.28</v>
      </c>
      <c r="Q49" s="25" t="n">
        <v>132.02</v>
      </c>
      <c r="R49" s="25" t="n">
        <v>133.97</v>
      </c>
      <c r="S49" s="25" t="n">
        <v>132.06</v>
      </c>
      <c r="T49" s="25" t="n">
        <v>123.13</v>
      </c>
      <c r="U49" s="25" t="n">
        <v>123.79</v>
      </c>
      <c r="V49" s="25" t="n">
        <v>132.59</v>
      </c>
      <c r="W49" s="25" t="n">
        <v>130.28</v>
      </c>
      <c r="X49" s="25" t="n">
        <v>129.51</v>
      </c>
      <c r="Y49" s="25" t="n">
        <v>128.8</v>
      </c>
    </row>
    <row r="50" customFormat="false" ht="15" hidden="false" customHeight="false" outlineLevel="0" collapsed="false">
      <c r="A50" s="22" t="s">
        <v>144</v>
      </c>
      <c r="B50" s="22" t="s">
        <v>221</v>
      </c>
      <c r="C50" s="22" t="s">
        <v>111</v>
      </c>
      <c r="D50" s="22" t="s">
        <v>157</v>
      </c>
      <c r="F50" s="22" t="s">
        <v>222</v>
      </c>
      <c r="G50" s="22" t="s">
        <v>180</v>
      </c>
      <c r="H50" s="23" t="n">
        <v>46237</v>
      </c>
      <c r="I50" s="22" t="n">
        <v>33.14</v>
      </c>
      <c r="J50" s="24" t="n">
        <v>3700</v>
      </c>
      <c r="K50" s="22" t="s">
        <v>223</v>
      </c>
      <c r="M50" s="22" t="s">
        <v>144</v>
      </c>
      <c r="N50" s="25" t="n">
        <v>194.89</v>
      </c>
      <c r="O50" s="25" t="n">
        <v>175.1</v>
      </c>
      <c r="P50" s="25" t="n">
        <v>173.97</v>
      </c>
      <c r="Q50" s="25" t="n">
        <v>165.3</v>
      </c>
      <c r="R50" s="25" t="n">
        <v>177.19</v>
      </c>
      <c r="S50" s="25" t="n">
        <v>169.41</v>
      </c>
      <c r="T50" s="25" t="n">
        <v>177.94</v>
      </c>
      <c r="U50" s="25" t="n">
        <v>198.71</v>
      </c>
      <c r="V50" s="25" t="n">
        <v>196.34</v>
      </c>
      <c r="W50" s="25" t="n">
        <v>190.03</v>
      </c>
      <c r="X50" s="25" t="n">
        <v>194.48</v>
      </c>
      <c r="Y50" s="25" t="n">
        <v>196.4</v>
      </c>
    </row>
    <row r="51" customFormat="false" ht="15" hidden="false" customHeight="false" outlineLevel="0" collapsed="false">
      <c r="A51" s="22" t="s">
        <v>173</v>
      </c>
      <c r="B51" s="22" t="s">
        <v>224</v>
      </c>
      <c r="C51" s="22" t="s">
        <v>119</v>
      </c>
      <c r="D51" s="22" t="s">
        <v>105</v>
      </c>
      <c r="F51" s="22" t="s">
        <v>225</v>
      </c>
      <c r="G51" s="22" t="s">
        <v>226</v>
      </c>
      <c r="H51" s="23" t="n">
        <v>46146</v>
      </c>
      <c r="I51" s="22" t="n">
        <v>40.86</v>
      </c>
      <c r="J51" s="24" t="n">
        <v>800</v>
      </c>
      <c r="K51" s="22" t="s">
        <v>122</v>
      </c>
      <c r="M51" s="22" t="s">
        <v>173</v>
      </c>
      <c r="N51" s="25" t="n">
        <v>63.83</v>
      </c>
      <c r="O51" s="25" t="n">
        <v>66.53</v>
      </c>
      <c r="P51" s="25" t="n">
        <v>76.58</v>
      </c>
      <c r="Q51" s="25" t="n">
        <v>75.96</v>
      </c>
      <c r="R51" s="25" t="n">
        <v>75.64</v>
      </c>
      <c r="S51" s="25" t="n">
        <v>70.86</v>
      </c>
      <c r="T51" s="25" t="n">
        <v>73.16</v>
      </c>
      <c r="U51" s="25" t="n">
        <v>67.5</v>
      </c>
      <c r="V51" s="25" t="n">
        <v>62.95</v>
      </c>
      <c r="W51" s="25" t="n">
        <v>69.21</v>
      </c>
      <c r="X51" s="25" t="n">
        <v>65.52</v>
      </c>
      <c r="Y51" s="25" t="n">
        <v>71.13</v>
      </c>
    </row>
    <row r="52" customFormat="false" ht="15" hidden="false" customHeight="false" outlineLevel="0" collapsed="false">
      <c r="A52" s="22" t="s">
        <v>227</v>
      </c>
      <c r="B52" s="22" t="s">
        <v>228</v>
      </c>
      <c r="C52" s="22" t="s">
        <v>125</v>
      </c>
      <c r="D52" s="22" t="s">
        <v>157</v>
      </c>
      <c r="F52" s="22" t="s">
        <v>229</v>
      </c>
      <c r="G52" s="22" t="s">
        <v>180</v>
      </c>
      <c r="H52" s="23" t="n">
        <v>46234</v>
      </c>
      <c r="I52" s="22" t="s">
        <v>230</v>
      </c>
      <c r="J52" s="24" t="n">
        <v>3100</v>
      </c>
      <c r="K52" s="22" t="s">
        <v>223</v>
      </c>
      <c r="M52" s="22" t="s">
        <v>227</v>
      </c>
      <c r="N52" s="25" t="n">
        <v>248.93</v>
      </c>
      <c r="O52" s="25" t="n">
        <v>255.94</v>
      </c>
      <c r="P52" s="25" t="n">
        <v>268.42</v>
      </c>
      <c r="Q52" s="25" t="n">
        <v>307.78</v>
      </c>
      <c r="R52" s="25" t="n">
        <v>306.62</v>
      </c>
      <c r="S52" s="25" t="n">
        <v>296.96</v>
      </c>
      <c r="T52" s="25" t="n">
        <v>271.8</v>
      </c>
      <c r="U52" s="25" t="n">
        <v>275.31</v>
      </c>
      <c r="V52" s="25" t="n">
        <v>306.57</v>
      </c>
      <c r="W52" s="25" t="n">
        <v>330.23</v>
      </c>
      <c r="X52" s="25" t="n">
        <v>311.75</v>
      </c>
      <c r="Y52" s="25" t="n">
        <v>296.2</v>
      </c>
    </row>
    <row r="53" customFormat="false" ht="15" hidden="false" customHeight="false" outlineLevel="0" collapsed="false">
      <c r="A53" s="22" t="s">
        <v>231</v>
      </c>
      <c r="B53" s="22" t="s">
        <v>232</v>
      </c>
      <c r="C53" s="22" t="s">
        <v>131</v>
      </c>
      <c r="D53" s="22" t="s">
        <v>157</v>
      </c>
      <c r="F53" s="22" t="s">
        <v>233</v>
      </c>
      <c r="G53" s="22" t="s">
        <v>234</v>
      </c>
      <c r="H53" s="23" t="n">
        <v>46185</v>
      </c>
      <c r="I53" s="22" t="n">
        <v>138.54</v>
      </c>
      <c r="J53" s="24" t="n">
        <v>2100</v>
      </c>
      <c r="K53" s="22" t="s">
        <v>235</v>
      </c>
      <c r="M53" s="22" t="s">
        <v>231</v>
      </c>
      <c r="N53" s="25" t="n">
        <v>62.25</v>
      </c>
      <c r="O53" s="25" t="n">
        <v>64.15</v>
      </c>
      <c r="P53" s="25" t="n">
        <v>63.87</v>
      </c>
      <c r="Q53" s="25" t="n">
        <v>65.46</v>
      </c>
      <c r="R53" s="25" t="n">
        <v>67.48</v>
      </c>
      <c r="S53" s="25" t="n">
        <v>66.74</v>
      </c>
      <c r="T53" s="25" t="n">
        <v>67.22</v>
      </c>
      <c r="U53" s="25" t="n">
        <v>68.87</v>
      </c>
      <c r="V53" s="25" t="n">
        <v>69.15</v>
      </c>
      <c r="W53" s="25" t="n">
        <v>72.28</v>
      </c>
      <c r="X53" s="25" t="n">
        <v>82.47</v>
      </c>
      <c r="Y53" s="25" t="n">
        <v>86.71</v>
      </c>
    </row>
    <row r="54" customFormat="false" ht="15" hidden="false" customHeight="false" outlineLevel="0" collapsed="false">
      <c r="A54" s="22" t="s">
        <v>236</v>
      </c>
      <c r="B54" s="22" t="s">
        <v>237</v>
      </c>
      <c r="C54" s="22" t="s">
        <v>167</v>
      </c>
      <c r="D54" s="22" t="s">
        <v>112</v>
      </c>
      <c r="F54" s="22" t="s">
        <v>238</v>
      </c>
      <c r="G54" s="22" t="s">
        <v>170</v>
      </c>
      <c r="H54" s="23" t="n">
        <v>45995</v>
      </c>
      <c r="I54" s="22" t="n">
        <v>215.18</v>
      </c>
      <c r="J54" s="24" t="n">
        <v>2800</v>
      </c>
      <c r="K54" s="22" t="s">
        <v>239</v>
      </c>
      <c r="M54" s="22" t="s">
        <v>236</v>
      </c>
      <c r="N54" s="25" t="n">
        <v>51.35</v>
      </c>
      <c r="O54" s="25" t="n">
        <v>45.8</v>
      </c>
      <c r="P54" s="25" t="n">
        <v>47.51</v>
      </c>
      <c r="Q54" s="25" t="n">
        <v>41.51</v>
      </c>
      <c r="R54" s="25" t="n">
        <v>37.83</v>
      </c>
      <c r="S54" s="25" t="n">
        <v>40.47</v>
      </c>
      <c r="T54" s="25" t="n">
        <v>42.88</v>
      </c>
      <c r="U54" s="25" t="n">
        <v>42.85</v>
      </c>
      <c r="V54" s="25" t="n">
        <v>38.15</v>
      </c>
      <c r="W54" s="25" t="n">
        <v>37.54</v>
      </c>
      <c r="X54" s="25" t="n">
        <v>36.13</v>
      </c>
      <c r="Y54" s="25" t="n">
        <v>38.11</v>
      </c>
    </row>
    <row r="55" customFormat="false" ht="15" hidden="false" customHeight="false" outlineLevel="0" collapsed="false">
      <c r="F55" s="22" t="s">
        <v>240</v>
      </c>
      <c r="G55" s="22" t="s">
        <v>135</v>
      </c>
      <c r="H55" s="23" t="n">
        <v>46209</v>
      </c>
      <c r="I55" s="22" t="s">
        <v>241</v>
      </c>
      <c r="J55" s="24" t="n">
        <v>2100</v>
      </c>
      <c r="K55" s="22" t="s">
        <v>242</v>
      </c>
    </row>
    <row r="56" customFormat="false" ht="15" hidden="false" customHeight="false" outlineLevel="0" collapsed="false">
      <c r="F56" s="22" t="s">
        <v>243</v>
      </c>
      <c r="G56" s="22" t="s">
        <v>180</v>
      </c>
      <c r="H56" s="23" t="n">
        <v>45985</v>
      </c>
      <c r="I56" s="22" t="n">
        <v>27</v>
      </c>
      <c r="J56" s="24" t="n">
        <v>3800</v>
      </c>
      <c r="K56" s="22" t="s">
        <v>223</v>
      </c>
    </row>
    <row r="57" customFormat="false" ht="15" hidden="false" customHeight="false" outlineLevel="0" collapsed="false">
      <c r="F57" s="22" t="s">
        <v>244</v>
      </c>
      <c r="G57" s="22" t="s">
        <v>245</v>
      </c>
      <c r="H57" s="23" t="n">
        <v>46014</v>
      </c>
      <c r="I57" s="22" t="n">
        <v>246.62</v>
      </c>
      <c r="J57" s="24" t="n">
        <v>4100</v>
      </c>
      <c r="K57" s="22" t="s">
        <v>108</v>
      </c>
    </row>
    <row r="58" customFormat="false" ht="15" hidden="false" customHeight="false" outlineLevel="0" collapsed="false">
      <c r="F58" s="22" t="s">
        <v>246</v>
      </c>
      <c r="G58" s="22" t="s">
        <v>170</v>
      </c>
      <c r="H58" s="23" t="n">
        <v>46240</v>
      </c>
      <c r="I58" s="22" t="s">
        <v>247</v>
      </c>
      <c r="J58" s="24" t="n">
        <v>4800</v>
      </c>
      <c r="K58" s="22" t="s">
        <v>239</v>
      </c>
    </row>
    <row r="59" customFormat="false" ht="15" hidden="false" customHeight="false" outlineLevel="0" collapsed="false">
      <c r="F59" s="22" t="s">
        <v>248</v>
      </c>
      <c r="G59" s="22" t="s">
        <v>180</v>
      </c>
      <c r="H59" s="23" t="n">
        <v>46210</v>
      </c>
      <c r="I59" s="22" t="n">
        <v>31.12</v>
      </c>
      <c r="J59" s="24" t="n">
        <v>3500</v>
      </c>
      <c r="K59" s="22" t="s">
        <v>223</v>
      </c>
    </row>
    <row r="60" customFormat="false" ht="15" hidden="false" customHeight="false" outlineLevel="0" collapsed="false">
      <c r="F60" s="22" t="s">
        <v>249</v>
      </c>
      <c r="G60" s="22" t="s">
        <v>250</v>
      </c>
      <c r="H60" s="23" t="n">
        <v>46245</v>
      </c>
      <c r="I60" s="22" t="n">
        <v>320.16</v>
      </c>
      <c r="J60" s="24" t="n">
        <v>2500</v>
      </c>
      <c r="K60" s="22" t="s">
        <v>251</v>
      </c>
    </row>
    <row r="61" customFormat="false" ht="15" hidden="false" customHeight="false" outlineLevel="0" collapsed="false">
      <c r="F61" s="22" t="s">
        <v>252</v>
      </c>
      <c r="G61" s="22" t="s">
        <v>253</v>
      </c>
      <c r="H61" s="23" t="n">
        <v>46237</v>
      </c>
      <c r="I61" s="22" t="n">
        <v>116.33</v>
      </c>
      <c r="J61" s="24" t="n">
        <v>3300</v>
      </c>
      <c r="K61" s="22" t="s">
        <v>254</v>
      </c>
    </row>
    <row r="62" customFormat="false" ht="15" hidden="false" customHeight="false" outlineLevel="0" collapsed="false">
      <c r="F62" s="22" t="s">
        <v>255</v>
      </c>
      <c r="G62" s="22" t="s">
        <v>256</v>
      </c>
      <c r="H62" s="23" t="n">
        <v>46154</v>
      </c>
      <c r="I62" s="22" t="n">
        <v>46.96</v>
      </c>
      <c r="J62" s="24" t="n">
        <v>600</v>
      </c>
      <c r="K62" s="22" t="s">
        <v>220</v>
      </c>
    </row>
    <row r="63" customFormat="false" ht="15" hidden="false" customHeight="false" outlineLevel="0" collapsed="false">
      <c r="F63" s="22" t="s">
        <v>257</v>
      </c>
      <c r="G63" s="22" t="s">
        <v>258</v>
      </c>
      <c r="H63" s="23" t="n">
        <v>46076</v>
      </c>
      <c r="I63" s="22" t="n">
        <v>225.38</v>
      </c>
      <c r="J63" s="24" t="n">
        <v>1500</v>
      </c>
      <c r="K63" s="22" t="s">
        <v>242</v>
      </c>
    </row>
    <row r="64" customFormat="false" ht="15" hidden="false" customHeight="false" outlineLevel="0" collapsed="false">
      <c r="F64" s="22" t="s">
        <v>259</v>
      </c>
      <c r="G64" s="22" t="s">
        <v>114</v>
      </c>
      <c r="H64" s="23" t="n">
        <v>46104</v>
      </c>
      <c r="I64" s="22" t="s">
        <v>260</v>
      </c>
      <c r="J64" s="24" t="n">
        <v>1600</v>
      </c>
      <c r="K64" s="22" t="s">
        <v>116</v>
      </c>
    </row>
    <row r="65" customFormat="false" ht="15" hidden="false" customHeight="false" outlineLevel="0" collapsed="false">
      <c r="F65" s="22" t="s">
        <v>143</v>
      </c>
      <c r="G65" s="22" t="s">
        <v>144</v>
      </c>
      <c r="H65" s="23" t="n">
        <v>46016</v>
      </c>
      <c r="I65" s="22" t="n">
        <v>173.91</v>
      </c>
      <c r="J65" s="24" t="n">
        <v>4200</v>
      </c>
      <c r="K65" s="22" t="s">
        <v>145</v>
      </c>
    </row>
    <row r="66" customFormat="false" ht="15" hidden="false" customHeight="false" outlineLevel="0" collapsed="false">
      <c r="F66" s="22" t="s">
        <v>188</v>
      </c>
      <c r="G66" s="22" t="s">
        <v>141</v>
      </c>
      <c r="H66" s="23" t="n">
        <v>45978</v>
      </c>
      <c r="I66" s="22" t="n">
        <v>113.84</v>
      </c>
      <c r="J66" s="24" t="n">
        <v>2800</v>
      </c>
      <c r="K66" s="22" t="s">
        <v>189</v>
      </c>
    </row>
    <row r="67" customFormat="false" ht="15" hidden="false" customHeight="false" outlineLevel="0" collapsed="false">
      <c r="F67" s="22" t="s">
        <v>238</v>
      </c>
      <c r="G67" s="22" t="s">
        <v>170</v>
      </c>
      <c r="H67" s="23" t="n">
        <v>45995</v>
      </c>
      <c r="I67" s="22" t="n">
        <v>215.18</v>
      </c>
      <c r="J67" s="24" t="n">
        <v>2800</v>
      </c>
      <c r="K67" s="22" t="s">
        <v>239</v>
      </c>
    </row>
  </sheetData>
  <mergeCells count="28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3"/>
  </cols>
  <sheetData>
    <row r="1" customFormat="false" ht="19.7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263</v>
      </c>
      <c r="B5" s="13" t="s">
        <v>264</v>
      </c>
      <c r="C5" s="13"/>
      <c r="D5" s="13"/>
      <c r="E5" s="13"/>
      <c r="F5" s="13"/>
      <c r="G5" s="13"/>
      <c r="H5" s="17"/>
      <c r="I5" s="12" t="str">
        <f aca="false">IF(H5="","",IFERROR(IF(ISNUMBER('Answer Key'!$D$18),IF(ABS(H5-'Answer Key'!$D$18)&lt;=MAX(0.0001,ABS('Answer Key'!$D$18)*0.001),"✓ Correct","✗ Try again"),IF(TRIM(H5)=TRIM('Answer Key'!$D$18),"✓ Correct","✗ Try again")),"✗ Try again"))</f>
        <v/>
      </c>
      <c r="J5" s="15" t="s">
        <v>265</v>
      </c>
      <c r="K5" s="15"/>
      <c r="L5" s="15"/>
      <c r="M5" s="15"/>
    </row>
    <row r="6" customFormat="false" ht="18" hidden="false" customHeight="true" outlineLevel="0" collapsed="false">
      <c r="A6" s="12" t="s">
        <v>266</v>
      </c>
      <c r="B6" s="13" t="s">
        <v>267</v>
      </c>
      <c r="C6" s="13"/>
      <c r="D6" s="13"/>
      <c r="E6" s="13"/>
      <c r="F6" s="13"/>
      <c r="G6" s="13"/>
      <c r="H6" s="14"/>
      <c r="I6" s="12" t="str">
        <f aca="false">IF(H6="","",IFERROR(IF(ISNUMBER('Answer Key'!$D$19),IF(ABS(H6-'Answer Key'!$D$19)&lt;=MAX(0.0001,ABS('Answer Key'!$D$19)*0.001),"✓ Correct","✗ Try again"),IF(TRIM(H6)=TRIM('Answer Key'!$D$19),"✓ Correct","✗ Try again")),"✗ Try again"))</f>
        <v/>
      </c>
      <c r="J6" s="15" t="s">
        <v>268</v>
      </c>
      <c r="K6" s="15"/>
      <c r="L6" s="15"/>
      <c r="M6" s="15"/>
    </row>
    <row r="7" customFormat="false" ht="18" hidden="false" customHeight="true" outlineLevel="0" collapsed="false">
      <c r="A7" s="12" t="s">
        <v>269</v>
      </c>
      <c r="B7" s="13" t="s">
        <v>270</v>
      </c>
      <c r="C7" s="13"/>
      <c r="D7" s="13"/>
      <c r="E7" s="13"/>
      <c r="F7" s="13"/>
      <c r="G7" s="13"/>
      <c r="H7" s="26"/>
      <c r="I7" s="12" t="str">
        <f aca="false">IF(H7="","",IFERROR(IF(ISNUMBER('Answer Key'!$D$20),IF(ABS(H7-'Answer Key'!$D$20)&lt;=MAX(0.0001,ABS('Answer Key'!$D$20)*0.001),"✓ Correct","✗ Try again"),IF(TRIM(H7)=TRIM('Answer Key'!$D$20),"✓ Correct","✗ Try again")),"✗ Try again"))</f>
        <v/>
      </c>
      <c r="J7" s="15" t="s">
        <v>271</v>
      </c>
      <c r="K7" s="15"/>
      <c r="L7" s="15"/>
      <c r="M7" s="15"/>
    </row>
    <row r="8" customFormat="false" ht="18" hidden="false" customHeight="true" outlineLevel="0" collapsed="false">
      <c r="A8" s="12" t="s">
        <v>272</v>
      </c>
      <c r="B8" s="13" t="s">
        <v>273</v>
      </c>
      <c r="C8" s="13"/>
      <c r="D8" s="13"/>
      <c r="E8" s="13"/>
      <c r="F8" s="13"/>
      <c r="G8" s="13"/>
      <c r="H8" s="27"/>
      <c r="I8" s="12" t="str">
        <f aca="false">IF(H8="","",IFERROR(IF(ISNUMBER('Answer Key'!$D$21),IF(ABS(H8-'Answer Key'!$D$21)&lt;=MAX(0.0001,ABS('Answer Key'!$D$21)*0.001),"✓ Correct","✗ Try again"),IF(TRIM(H8)=TRIM('Answer Key'!$D$21),"✓ Correct","✗ Try again")),"✗ Try again"))</f>
        <v/>
      </c>
      <c r="J8" s="15" t="s">
        <v>274</v>
      </c>
      <c r="K8" s="15"/>
      <c r="L8" s="15"/>
      <c r="M8" s="15"/>
    </row>
    <row r="9" customFormat="false" ht="18" hidden="false" customHeight="true" outlineLevel="0" collapsed="false">
      <c r="A9" s="12" t="s">
        <v>275</v>
      </c>
      <c r="B9" s="13" t="s">
        <v>276</v>
      </c>
      <c r="C9" s="13"/>
      <c r="D9" s="13"/>
      <c r="E9" s="13"/>
      <c r="F9" s="13"/>
      <c r="G9" s="13"/>
      <c r="H9" s="27"/>
      <c r="I9" s="12" t="str">
        <f aca="false">IF(H9="","",IFERROR(IF(ISNUMBER('Answer Key'!$D$22),IF(ABS(H9-'Answer Key'!$D$22)&lt;=MAX(0.0001,ABS('Answer Key'!$D$22)*0.001),"✓ Correct","✗ Try again"),IF(TRIM(H9)=TRIM('Answer Key'!$D$22),"✓ Correct","✗ Try again")),"✗ Try again"))</f>
        <v/>
      </c>
      <c r="J9" s="15" t="s">
        <v>277</v>
      </c>
      <c r="K9" s="15"/>
      <c r="L9" s="15"/>
      <c r="M9" s="15"/>
    </row>
    <row r="10" customFormat="false" ht="18" hidden="false" customHeight="true" outlineLevel="0" collapsed="false">
      <c r="A10" s="12" t="s">
        <v>278</v>
      </c>
      <c r="B10" s="13" t="s">
        <v>279</v>
      </c>
      <c r="C10" s="13"/>
      <c r="D10" s="13"/>
      <c r="E10" s="13"/>
      <c r="F10" s="13"/>
      <c r="G10" s="13"/>
      <c r="H10" s="28"/>
      <c r="I10" s="12" t="str">
        <f aca="false">IF(H10="","",IFERROR(IF(ISNUMBER('Answer Key'!$D$23),IF(ABS(H10-'Answer Key'!$D$23)&lt;=MAX(0.0001,ABS('Answer Key'!$D$23)*0.001),"✓ Correct","✗ Try again"),IF(TRIM(H10)=TRIM('Answer Key'!$D$23),"✓ Correct","✗ Try again")),"✗ Try again"))</f>
        <v/>
      </c>
      <c r="J10" s="15" t="s">
        <v>280</v>
      </c>
      <c r="K10" s="15"/>
      <c r="L10" s="15"/>
      <c r="M10" s="15"/>
    </row>
    <row r="11" customFormat="false" ht="18" hidden="false" customHeight="true" outlineLevel="0" collapsed="false">
      <c r="A11" s="12" t="s">
        <v>281</v>
      </c>
      <c r="B11" s="13" t="s">
        <v>282</v>
      </c>
      <c r="C11" s="13"/>
      <c r="D11" s="13"/>
      <c r="E11" s="13"/>
      <c r="F11" s="13"/>
      <c r="G11" s="13"/>
      <c r="H11" s="14"/>
      <c r="I11" s="12" t="str">
        <f aca="false">IF(H11="","",IFERROR(IF(ISNUMBER('Answer Key'!$D$24),IF(ABS(H11-'Answer Key'!$D$24)&lt;=MAX(0.0001,ABS('Answer Key'!$D$24)*0.001),"✓ Correct","✗ Try again"),IF(TRIM(H11)=TRIM('Answer Key'!$D$24),"✓ Correct","✗ Try again")),"✗ Try again"))</f>
        <v/>
      </c>
      <c r="J11" s="15" t="s">
        <v>283</v>
      </c>
      <c r="K11" s="15"/>
      <c r="L11" s="15"/>
      <c r="M11" s="15"/>
    </row>
    <row r="12" customFormat="false" ht="18" hidden="false" customHeight="true" outlineLevel="0" collapsed="false">
      <c r="A12" s="12" t="s">
        <v>284</v>
      </c>
      <c r="B12" s="13" t="s">
        <v>285</v>
      </c>
      <c r="C12" s="13"/>
      <c r="D12" s="13"/>
      <c r="E12" s="13"/>
      <c r="F12" s="13"/>
      <c r="G12" s="13"/>
      <c r="H12" s="17"/>
      <c r="I12" s="12" t="str">
        <f aca="false">IF(H12="","",IFERROR(IF(ISNUMBER('Answer Key'!$D$25),IF(ABS(H12-'Answer Key'!$D$25)&lt;=MAX(0.0001,ABS('Answer Key'!$D$25)*0.001),"✓ Correct","✗ Try again"),IF(TRIM(H12)=TRIM('Answer Key'!$D$25),"✓ Correct","✗ Try again")),"✗ Try again"))</f>
        <v/>
      </c>
      <c r="J12" s="15" t="s">
        <v>286</v>
      </c>
      <c r="K12" s="15"/>
      <c r="L12" s="15"/>
      <c r="M12" s="15"/>
    </row>
    <row r="13" customFormat="false" ht="31.5" hidden="false" customHeight="true" outlineLevel="0" collapsed="false">
      <c r="A13" s="12" t="s">
        <v>287</v>
      </c>
      <c r="B13" s="13" t="s">
        <v>288</v>
      </c>
      <c r="C13" s="13"/>
      <c r="D13" s="13"/>
      <c r="E13" s="13"/>
      <c r="F13" s="13"/>
      <c r="G13" s="13"/>
      <c r="H13" s="14"/>
      <c r="I13" s="12" t="str">
        <f aca="false">IF(H13="","",IFERROR(IF(ISNUMBER('Answer Key'!$D$26),IF(ABS(H13-'Answer Key'!$D$26)&lt;=MAX(0.0001,ABS('Answer Key'!$D$26)*0.001),"✓ Correct","✗ Try again"),IF(TRIM(H13)=TRIM('Answer Key'!$D$26),"✓ Correct","✗ Try again")),"✗ Try again"))</f>
        <v/>
      </c>
      <c r="J13" s="15" t="s">
        <v>289</v>
      </c>
      <c r="K13" s="15"/>
      <c r="L13" s="15"/>
      <c r="M13" s="15"/>
    </row>
    <row r="14" customFormat="false" ht="31.5" hidden="false" customHeight="true" outlineLevel="0" collapsed="false">
      <c r="A14" s="12" t="s">
        <v>290</v>
      </c>
      <c r="B14" s="13" t="s">
        <v>291</v>
      </c>
      <c r="C14" s="13"/>
      <c r="D14" s="13"/>
      <c r="E14" s="13"/>
      <c r="F14" s="13"/>
      <c r="G14" s="13"/>
      <c r="H14" s="26"/>
      <c r="I14" s="12" t="str">
        <f aca="false">IF(H14="","",IFERROR(IF(ISNUMBER('Answer Key'!$D$27),IF(ABS(H14-'Answer Key'!$D$27)&lt;=MAX(0.0001,ABS('Answer Key'!$D$27)*0.001),"✓ Correct","✗ Try again"),IF(TRIM(H14)=TRIM('Answer Key'!$D$27),"✓ Correct","✗ Try again")),"✗ Try again"))</f>
        <v/>
      </c>
      <c r="J14" s="15" t="s">
        <v>292</v>
      </c>
      <c r="K14" s="15"/>
      <c r="L14" s="15"/>
      <c r="M14" s="15"/>
    </row>
    <row r="15" customFormat="false" ht="31.5" hidden="false" customHeight="true" outlineLevel="0" collapsed="false">
      <c r="A15" s="12" t="s">
        <v>293</v>
      </c>
      <c r="B15" s="13" t="s">
        <v>294</v>
      </c>
      <c r="C15" s="13"/>
      <c r="D15" s="13"/>
      <c r="E15" s="13"/>
      <c r="F15" s="13"/>
      <c r="G15" s="13"/>
      <c r="H15" s="27"/>
      <c r="I15" s="12" t="str">
        <f aca="false">IF(H15="","",IFERROR(IF(ISNUMBER('Answer Key'!$D$28),IF(ABS(H15-'Answer Key'!$D$28)&lt;=MAX(0.0001,ABS('Answer Key'!$D$28)*0.001),"✓ Correct","✗ Try again"),IF(TRIM(H15)=TRIM('Answer Key'!$D$28),"✓ Correct","✗ Try again")),"✗ Try again"))</f>
        <v/>
      </c>
      <c r="J15" s="15" t="s">
        <v>295</v>
      </c>
      <c r="K15" s="15"/>
      <c r="L15" s="15"/>
      <c r="M15" s="15"/>
    </row>
    <row r="16" customFormat="false" ht="18" hidden="false" customHeight="true" outlineLevel="0" collapsed="false">
      <c r="A16" s="12" t="s">
        <v>296</v>
      </c>
      <c r="B16" s="13" t="s">
        <v>297</v>
      </c>
      <c r="C16" s="13"/>
      <c r="D16" s="13"/>
      <c r="E16" s="13"/>
      <c r="F16" s="13"/>
      <c r="G16" s="13"/>
      <c r="H16" s="27"/>
      <c r="I16" s="12" t="str">
        <f aca="false">IF(H16="","",IFERROR(IF(ISNUMBER('Answer Key'!$D$29),IF(ABS(H16-'Answer Key'!$D$29)&lt;=MAX(0.0001,ABS('Answer Key'!$D$29)*0.001),"✓ Correct","✗ Try again"),IF(TRIM(H16)=TRIM('Answer Key'!$D$29),"✓ Correct","✗ Try again")),"✗ Try again"))</f>
        <v/>
      </c>
      <c r="J16" s="15" t="s">
        <v>298</v>
      </c>
      <c r="K16" s="15"/>
      <c r="L16" s="15"/>
      <c r="M16" s="15"/>
    </row>
    <row r="17" customFormat="false" ht="18" hidden="false" customHeight="true" outlineLevel="0" collapsed="false">
      <c r="A17" s="12" t="s">
        <v>299</v>
      </c>
      <c r="B17" s="13" t="s">
        <v>300</v>
      </c>
      <c r="C17" s="13"/>
      <c r="D17" s="13"/>
      <c r="E17" s="13"/>
      <c r="F17" s="13"/>
      <c r="G17" s="13"/>
      <c r="H17" s="14"/>
      <c r="I17" s="12" t="str">
        <f aca="false">IF(H17="","",IFERROR(IF(ISNUMBER('Answer Key'!$D$30),IF(ABS(H17-'Answer Key'!$D$30)&lt;=MAX(0.0001,ABS('Answer Key'!$D$30)*0.001),"✓ Correct","✗ Try again"),IF(TRIM(H17)=TRIM('Answer Key'!$D$30),"✓ Correct","✗ Try again")),"✗ Try again"))</f>
        <v/>
      </c>
      <c r="J17" s="15" t="s">
        <v>301</v>
      </c>
      <c r="K17" s="15"/>
      <c r="L17" s="15"/>
      <c r="M17" s="15"/>
    </row>
    <row r="18" customFormat="false" ht="18" hidden="false" customHeight="true" outlineLevel="0" collapsed="false">
      <c r="A18" s="12" t="s">
        <v>302</v>
      </c>
      <c r="B18" s="13" t="s">
        <v>303</v>
      </c>
      <c r="C18" s="13"/>
      <c r="D18" s="13"/>
      <c r="E18" s="13"/>
      <c r="F18" s="13"/>
      <c r="G18" s="13"/>
      <c r="H18" s="27"/>
      <c r="I18" s="12" t="str">
        <f aca="false">IF(H18="","",IFERROR(IF(ISNUMBER('Answer Key'!$D$31),IF(ABS(H18-'Answer Key'!$D$31)&lt;=MAX(0.0001,ABS('Answer Key'!$D$31)*0.001),"✓ Correct","✗ Try again"),IF(TRIM(H18)=TRIM('Answer Key'!$D$31),"✓ Correct","✗ Try again")),"✗ Try again"))</f>
        <v/>
      </c>
      <c r="J18" s="15" t="s">
        <v>304</v>
      </c>
      <c r="K18" s="15"/>
      <c r="L18" s="15"/>
      <c r="M18" s="15"/>
    </row>
    <row r="19" customFormat="false" ht="15" hidden="false" customHeight="false" outlineLevel="0" collapsed="false">
      <c r="G19" s="18" t="s">
        <v>88</v>
      </c>
      <c r="H19" s="4" t="str">
        <f aca="false">COUNTIF(I5:I18,"✓ Correct")&amp;" / 14"</f>
        <v>0 / 14</v>
      </c>
    </row>
    <row r="22" customFormat="false" ht="15" hidden="false" customHeight="false" outlineLevel="0" collapsed="false">
      <c r="A22" s="19" t="s">
        <v>89</v>
      </c>
    </row>
    <row r="23" customFormat="false" ht="15" hidden="false" customHeight="false" outlineLevel="0" collapsed="false">
      <c r="A23" s="2" t="s">
        <v>305</v>
      </c>
    </row>
    <row r="25" customFormat="false" ht="23.85" hidden="false" customHeight="false" outlineLevel="0" collapsed="false">
      <c r="A25" s="11" t="s">
        <v>91</v>
      </c>
      <c r="B25" s="11" t="s">
        <v>93</v>
      </c>
      <c r="C25" s="11" t="s">
        <v>94</v>
      </c>
      <c r="D25" s="11" t="s">
        <v>306</v>
      </c>
      <c r="E25" s="11" t="s">
        <v>307</v>
      </c>
      <c r="F25" s="11" t="s">
        <v>308</v>
      </c>
      <c r="G25" s="11" t="s">
        <v>309</v>
      </c>
      <c r="H25" s="11" t="s">
        <v>310</v>
      </c>
      <c r="I25" s="11" t="s">
        <v>311</v>
      </c>
    </row>
    <row r="26" customFormat="false" ht="15" hidden="false" customHeight="false" outlineLevel="0" collapsed="false">
      <c r="A26" s="22" t="s">
        <v>102</v>
      </c>
      <c r="B26" s="22" t="s">
        <v>104</v>
      </c>
      <c r="C26" s="22" t="s">
        <v>157</v>
      </c>
      <c r="D26" s="25" t="n">
        <v>16.42</v>
      </c>
      <c r="E26" s="25" t="n">
        <v>-0.26</v>
      </c>
      <c r="F26" s="29" t="s">
        <v>312</v>
      </c>
      <c r="G26" s="30" t="n">
        <v>0.0096</v>
      </c>
      <c r="H26" s="30" t="n">
        <v>0.0812</v>
      </c>
      <c r="I26" s="22" t="s">
        <v>313</v>
      </c>
    </row>
    <row r="27" customFormat="false" ht="15" hidden="false" customHeight="false" outlineLevel="0" collapsed="false">
      <c r="A27" s="22" t="s">
        <v>109</v>
      </c>
      <c r="B27" s="22" t="s">
        <v>111</v>
      </c>
      <c r="C27" s="22" t="s">
        <v>105</v>
      </c>
      <c r="D27" s="25" t="n">
        <v>10.28</v>
      </c>
      <c r="E27" s="25" t="n">
        <v>0.89</v>
      </c>
      <c r="F27" s="29" t="n">
        <v>11.6</v>
      </c>
      <c r="G27" s="30" t="n">
        <v>0.042</v>
      </c>
      <c r="H27" s="30" t="n">
        <v>0.2894</v>
      </c>
      <c r="I27" s="22" t="s">
        <v>314</v>
      </c>
    </row>
    <row r="28" customFormat="false" ht="15" hidden="false" customHeight="false" outlineLevel="0" collapsed="false">
      <c r="A28" s="22" t="s">
        <v>117</v>
      </c>
      <c r="B28" s="22" t="s">
        <v>119</v>
      </c>
      <c r="C28" s="22" t="s">
        <v>157</v>
      </c>
      <c r="D28" s="25" t="n">
        <v>3.69</v>
      </c>
      <c r="E28" s="25" t="n">
        <v>0.44</v>
      </c>
      <c r="F28" s="29" t="n">
        <v>8.4</v>
      </c>
      <c r="G28" s="30" t="n">
        <v>0.0246</v>
      </c>
      <c r="H28" s="30" t="n">
        <v>0.5206</v>
      </c>
      <c r="I28" s="22" t="s">
        <v>313</v>
      </c>
    </row>
    <row r="29" customFormat="false" ht="15" hidden="false" customHeight="false" outlineLevel="0" collapsed="false">
      <c r="A29" s="22" t="s">
        <v>123</v>
      </c>
      <c r="B29" s="22" t="s">
        <v>125</v>
      </c>
      <c r="C29" s="22" t="s">
        <v>147</v>
      </c>
      <c r="D29" s="25" t="n">
        <v>16.55</v>
      </c>
      <c r="E29" s="25" t="n">
        <v>1.83</v>
      </c>
      <c r="F29" s="29" t="n">
        <v>9</v>
      </c>
      <c r="G29" s="30" t="n">
        <v>0.0139</v>
      </c>
      <c r="H29" s="30" t="n">
        <v>0.055</v>
      </c>
      <c r="I29" s="22" t="s">
        <v>313</v>
      </c>
    </row>
    <row r="30" customFormat="false" ht="15" hidden="false" customHeight="false" outlineLevel="0" collapsed="false">
      <c r="A30" s="22" t="s">
        <v>129</v>
      </c>
      <c r="B30" s="22" t="s">
        <v>131</v>
      </c>
      <c r="C30" s="22" t="s">
        <v>112</v>
      </c>
      <c r="D30" s="25" t="n">
        <v>23.79</v>
      </c>
      <c r="E30" s="25" t="n">
        <v>1.71</v>
      </c>
      <c r="F30" s="29" t="n">
        <v>13.9</v>
      </c>
      <c r="G30" s="30" t="n">
        <v>0.0197</v>
      </c>
      <c r="H30" s="30" t="n">
        <v>0.0794</v>
      </c>
      <c r="I30" s="22" t="s">
        <v>313</v>
      </c>
    </row>
    <row r="31" customFormat="false" ht="15" hidden="false" customHeight="false" outlineLevel="0" collapsed="false">
      <c r="A31" s="22" t="s">
        <v>135</v>
      </c>
      <c r="B31" s="22" t="s">
        <v>167</v>
      </c>
      <c r="C31" s="22" t="s">
        <v>105</v>
      </c>
      <c r="D31" s="25" t="n">
        <v>22.55</v>
      </c>
      <c r="E31" s="25" t="n">
        <v>-0.4</v>
      </c>
      <c r="F31" s="29" t="s">
        <v>312</v>
      </c>
      <c r="G31" s="30" t="n">
        <v>0.0217</v>
      </c>
      <c r="H31" s="30" t="n">
        <v>0.1337</v>
      </c>
      <c r="I31" s="22" t="s">
        <v>314</v>
      </c>
    </row>
    <row r="32" customFormat="false" ht="15" hidden="false" customHeight="false" outlineLevel="0" collapsed="false">
      <c r="A32" s="22" t="s">
        <v>141</v>
      </c>
      <c r="B32" s="22" t="s">
        <v>104</v>
      </c>
      <c r="C32" s="22" t="s">
        <v>105</v>
      </c>
      <c r="D32" s="25" t="n">
        <v>22.34</v>
      </c>
      <c r="E32" s="25" t="n">
        <v>2.39</v>
      </c>
      <c r="F32" s="29" t="n">
        <v>9.3</v>
      </c>
      <c r="G32" s="30" t="n">
        <v>0.0355</v>
      </c>
      <c r="H32" s="30" t="n">
        <v>0.3855</v>
      </c>
      <c r="I32" s="22" t="s">
        <v>313</v>
      </c>
    </row>
    <row r="33" customFormat="false" ht="15" hidden="false" customHeight="false" outlineLevel="0" collapsed="false">
      <c r="A33" s="22" t="s">
        <v>114</v>
      </c>
      <c r="B33" s="22" t="s">
        <v>111</v>
      </c>
      <c r="C33" s="22" t="s">
        <v>157</v>
      </c>
      <c r="D33" s="25" t="n">
        <v>7.99</v>
      </c>
      <c r="E33" s="25" t="n">
        <v>0.42</v>
      </c>
      <c r="F33" s="29" t="n">
        <v>19</v>
      </c>
      <c r="G33" s="30" t="n">
        <v>0.0011</v>
      </c>
      <c r="H33" s="30" t="n">
        <v>0.0833</v>
      </c>
      <c r="I33" s="22" t="s">
        <v>313</v>
      </c>
    </row>
    <row r="34" customFormat="false" ht="15" hidden="false" customHeight="false" outlineLevel="0" collapsed="false">
      <c r="A34" s="22" t="s">
        <v>151</v>
      </c>
      <c r="B34" s="22" t="s">
        <v>119</v>
      </c>
      <c r="C34" s="22" t="s">
        <v>105</v>
      </c>
      <c r="D34" s="25" t="n">
        <v>22.96</v>
      </c>
      <c r="E34" s="25" t="n">
        <v>-1.53</v>
      </c>
      <c r="F34" s="29" t="s">
        <v>312</v>
      </c>
      <c r="G34" s="30" t="n">
        <v>0.0094</v>
      </c>
      <c r="H34" s="30" t="n">
        <v>0.4133</v>
      </c>
      <c r="I34" s="22" t="s">
        <v>314</v>
      </c>
    </row>
    <row r="35" customFormat="false" ht="15" hidden="false" customHeight="false" outlineLevel="0" collapsed="false">
      <c r="A35" s="22" t="s">
        <v>138</v>
      </c>
      <c r="B35" s="22" t="s">
        <v>125</v>
      </c>
      <c r="C35" s="22" t="s">
        <v>105</v>
      </c>
      <c r="D35" s="25" t="n">
        <v>23.6</v>
      </c>
      <c r="E35" s="25" t="n">
        <v>1.86</v>
      </c>
      <c r="F35" s="29" t="n">
        <v>12.7</v>
      </c>
      <c r="G35" s="30" t="n">
        <v>0.0193</v>
      </c>
      <c r="H35" s="30" t="n">
        <v>-0.1227</v>
      </c>
      <c r="I35" s="22" t="s">
        <v>313</v>
      </c>
    </row>
    <row r="36" customFormat="false" ht="15" hidden="false" customHeight="false" outlineLevel="0" collapsed="false">
      <c r="A36" s="22" t="s">
        <v>107</v>
      </c>
      <c r="B36" s="22" t="s">
        <v>131</v>
      </c>
      <c r="C36" s="22" t="s">
        <v>157</v>
      </c>
      <c r="D36" s="25" t="n">
        <v>89.17</v>
      </c>
      <c r="E36" s="25" t="n">
        <v>-1.3</v>
      </c>
      <c r="F36" s="29" t="s">
        <v>312</v>
      </c>
      <c r="G36" s="30" t="n">
        <v>0.063</v>
      </c>
      <c r="H36" s="30" t="n">
        <v>0.0491</v>
      </c>
      <c r="I36" s="22" t="s">
        <v>315</v>
      </c>
    </row>
    <row r="37" customFormat="false" ht="15" hidden="false" customHeight="false" outlineLevel="0" collapsed="false">
      <c r="A37" s="22" t="s">
        <v>165</v>
      </c>
      <c r="B37" s="22" t="s">
        <v>167</v>
      </c>
      <c r="C37" s="22" t="s">
        <v>157</v>
      </c>
      <c r="D37" s="25" t="n">
        <v>158.66</v>
      </c>
      <c r="E37" s="25" t="n">
        <v>-0.77</v>
      </c>
      <c r="F37" s="29" t="s">
        <v>312</v>
      </c>
      <c r="G37" s="30" t="n">
        <v>0.0393</v>
      </c>
      <c r="H37" s="30" t="n">
        <v>0.0464</v>
      </c>
      <c r="I37" s="22" t="s">
        <v>315</v>
      </c>
    </row>
    <row r="38" customFormat="false" ht="15" hidden="false" customHeight="false" outlineLevel="0" collapsed="false">
      <c r="A38" s="22" t="s">
        <v>170</v>
      </c>
      <c r="B38" s="22" t="s">
        <v>104</v>
      </c>
      <c r="C38" s="22" t="s">
        <v>157</v>
      </c>
      <c r="D38" s="25" t="n">
        <v>21.39</v>
      </c>
      <c r="E38" s="25" t="n">
        <v>0.6</v>
      </c>
      <c r="F38" s="29" t="n">
        <v>35.7</v>
      </c>
      <c r="G38" s="30" t="n">
        <v>0.0233</v>
      </c>
      <c r="H38" s="30" t="n">
        <v>0.263</v>
      </c>
      <c r="I38" s="22" t="s">
        <v>313</v>
      </c>
    </row>
    <row r="39" customFormat="false" ht="15" hidden="false" customHeight="false" outlineLevel="0" collapsed="false">
      <c r="A39" s="22" t="s">
        <v>175</v>
      </c>
      <c r="B39" s="22" t="s">
        <v>111</v>
      </c>
      <c r="C39" s="22" t="s">
        <v>157</v>
      </c>
      <c r="D39" s="25" t="n">
        <v>11.4</v>
      </c>
      <c r="E39" s="25" t="n">
        <v>1.41</v>
      </c>
      <c r="F39" s="29" t="n">
        <v>8.1</v>
      </c>
      <c r="G39" s="30" t="n">
        <v>0.0357</v>
      </c>
      <c r="H39" s="30" t="n">
        <v>0.32</v>
      </c>
      <c r="I39" s="22" t="s">
        <v>314</v>
      </c>
    </row>
    <row r="40" customFormat="false" ht="15" hidden="false" customHeight="false" outlineLevel="0" collapsed="false">
      <c r="A40" s="22" t="s">
        <v>180</v>
      </c>
      <c r="B40" s="22" t="s">
        <v>119</v>
      </c>
      <c r="C40" s="22" t="s">
        <v>105</v>
      </c>
      <c r="D40" s="25" t="n">
        <v>22.99</v>
      </c>
      <c r="E40" s="25" t="n">
        <v>0.95</v>
      </c>
      <c r="F40" s="29" t="n">
        <v>24.2</v>
      </c>
      <c r="G40" s="30" t="n">
        <v>0.0559</v>
      </c>
      <c r="H40" s="30" t="n">
        <v>-0.2421</v>
      </c>
      <c r="I40" s="22" t="s">
        <v>313</v>
      </c>
    </row>
    <row r="41" customFormat="false" ht="15" hidden="false" customHeight="false" outlineLevel="0" collapsed="false">
      <c r="A41" s="22" t="s">
        <v>186</v>
      </c>
      <c r="B41" s="22" t="s">
        <v>125</v>
      </c>
      <c r="C41" s="22" t="s">
        <v>157</v>
      </c>
      <c r="D41" s="25" t="n">
        <v>13.36</v>
      </c>
      <c r="E41" s="25" t="n">
        <v>0.98</v>
      </c>
      <c r="F41" s="29" t="n">
        <v>13.6</v>
      </c>
      <c r="G41" s="30" t="n">
        <v>0.0215</v>
      </c>
      <c r="H41" s="30" t="n">
        <v>-0.1113</v>
      </c>
      <c r="I41" s="22" t="s">
        <v>313</v>
      </c>
    </row>
    <row r="42" customFormat="false" ht="15" hidden="false" customHeight="false" outlineLevel="0" collapsed="false">
      <c r="A42" s="22" t="s">
        <v>190</v>
      </c>
      <c r="B42" s="22" t="s">
        <v>131</v>
      </c>
      <c r="C42" s="22" t="s">
        <v>157</v>
      </c>
      <c r="D42" s="25" t="n">
        <v>11.68</v>
      </c>
      <c r="E42" s="25" t="n">
        <v>1.72</v>
      </c>
      <c r="F42" s="29" t="n">
        <v>6.8</v>
      </c>
      <c r="G42" s="30" t="n">
        <v>0.0195</v>
      </c>
      <c r="H42" s="30" t="n">
        <v>0.1641</v>
      </c>
      <c r="I42" s="22" t="s">
        <v>313</v>
      </c>
    </row>
    <row r="43" customFormat="false" ht="15" hidden="false" customHeight="false" outlineLevel="0" collapsed="false">
      <c r="A43" s="22" t="s">
        <v>194</v>
      </c>
      <c r="B43" s="22" t="s">
        <v>167</v>
      </c>
      <c r="C43" s="22" t="s">
        <v>105</v>
      </c>
      <c r="D43" s="25" t="n">
        <v>23.14</v>
      </c>
      <c r="E43" s="25" t="n">
        <v>3.23</v>
      </c>
      <c r="F43" s="29" t="n">
        <v>7.2</v>
      </c>
      <c r="G43" s="30" t="n">
        <v>0.0432</v>
      </c>
      <c r="H43" s="30" t="n">
        <v>-0.0549</v>
      </c>
      <c r="I43" s="22" t="s">
        <v>314</v>
      </c>
    </row>
    <row r="44" customFormat="false" ht="15" hidden="false" customHeight="false" outlineLevel="0" collapsed="false">
      <c r="A44" s="22" t="s">
        <v>154</v>
      </c>
      <c r="B44" s="22" t="s">
        <v>104</v>
      </c>
      <c r="C44" s="22" t="s">
        <v>112</v>
      </c>
      <c r="D44" s="25" t="n">
        <v>8.64</v>
      </c>
      <c r="E44" s="25" t="n">
        <v>0.47</v>
      </c>
      <c r="F44" s="29" t="n">
        <v>18.4</v>
      </c>
      <c r="G44" s="30" t="n">
        <v>0.0324</v>
      </c>
      <c r="H44" s="30" t="n">
        <v>-0.2449</v>
      </c>
      <c r="I44" s="22" t="s">
        <v>315</v>
      </c>
    </row>
    <row r="45" customFormat="false" ht="15" hidden="false" customHeight="false" outlineLevel="0" collapsed="false">
      <c r="A45" s="22" t="s">
        <v>202</v>
      </c>
      <c r="B45" s="22" t="s">
        <v>111</v>
      </c>
      <c r="C45" s="22" t="s">
        <v>147</v>
      </c>
      <c r="D45" s="25" t="n">
        <v>44.97</v>
      </c>
      <c r="E45" s="25" t="n">
        <v>2.16</v>
      </c>
      <c r="F45" s="29" t="n">
        <v>20.8</v>
      </c>
      <c r="G45" s="30" t="n">
        <v>0.0351</v>
      </c>
      <c r="H45" s="30" t="n">
        <v>0.3185</v>
      </c>
      <c r="I45" s="22" t="s">
        <v>313</v>
      </c>
    </row>
    <row r="46" customFormat="false" ht="15" hidden="false" customHeight="false" outlineLevel="0" collapsed="false">
      <c r="A46" s="22" t="s">
        <v>197</v>
      </c>
      <c r="B46" s="22" t="s">
        <v>119</v>
      </c>
      <c r="C46" s="22" t="s">
        <v>147</v>
      </c>
      <c r="D46" s="25" t="n">
        <v>22.11</v>
      </c>
      <c r="E46" s="25" t="n">
        <v>-0.07</v>
      </c>
      <c r="F46" s="29" t="s">
        <v>312</v>
      </c>
      <c r="G46" s="30" t="n">
        <v>0.0174</v>
      </c>
      <c r="H46" s="30" t="n">
        <v>0.1987</v>
      </c>
      <c r="I46" s="22" t="s">
        <v>314</v>
      </c>
    </row>
    <row r="47" customFormat="false" ht="15" hidden="false" customHeight="false" outlineLevel="0" collapsed="false">
      <c r="A47" s="22" t="s">
        <v>209</v>
      </c>
      <c r="B47" s="22" t="s">
        <v>125</v>
      </c>
      <c r="C47" s="22" t="s">
        <v>147</v>
      </c>
      <c r="D47" s="25" t="n">
        <v>31.5</v>
      </c>
      <c r="E47" s="25" t="n">
        <v>0.8</v>
      </c>
      <c r="F47" s="29" t="n">
        <v>39.4</v>
      </c>
      <c r="G47" s="30" t="n">
        <v>0.0539</v>
      </c>
      <c r="H47" s="30" t="n">
        <v>0.1985</v>
      </c>
      <c r="I47" s="22" t="s">
        <v>314</v>
      </c>
    </row>
    <row r="48" customFormat="false" ht="15" hidden="false" customHeight="false" outlineLevel="0" collapsed="false">
      <c r="A48" s="22" t="s">
        <v>213</v>
      </c>
      <c r="B48" s="22" t="s">
        <v>131</v>
      </c>
      <c r="C48" s="22" t="s">
        <v>105</v>
      </c>
      <c r="D48" s="25" t="n">
        <v>20.43</v>
      </c>
      <c r="E48" s="25" t="n">
        <v>1.66</v>
      </c>
      <c r="F48" s="29" t="n">
        <v>12.3</v>
      </c>
      <c r="G48" s="30" t="n">
        <v>0.0506</v>
      </c>
      <c r="H48" s="30" t="n">
        <v>-0.0146</v>
      </c>
      <c r="I48" s="22" t="s">
        <v>313</v>
      </c>
    </row>
    <row r="49" customFormat="false" ht="15" hidden="false" customHeight="false" outlineLevel="0" collapsed="false">
      <c r="A49" s="22" t="s">
        <v>183</v>
      </c>
      <c r="B49" s="22" t="s">
        <v>167</v>
      </c>
      <c r="C49" s="22" t="s">
        <v>147</v>
      </c>
      <c r="D49" s="25" t="n">
        <v>11.85</v>
      </c>
      <c r="E49" s="25" t="n">
        <v>0.95</v>
      </c>
      <c r="F49" s="29" t="n">
        <v>12.5</v>
      </c>
      <c r="G49" s="30" t="n">
        <v>0.0335</v>
      </c>
      <c r="H49" s="30" t="n">
        <v>0.3164</v>
      </c>
      <c r="I49" s="22" t="s">
        <v>315</v>
      </c>
    </row>
    <row r="50" customFormat="false" ht="15" hidden="false" customHeight="false" outlineLevel="0" collapsed="false">
      <c r="A50" s="22" t="s">
        <v>127</v>
      </c>
      <c r="B50" s="22" t="s">
        <v>104</v>
      </c>
      <c r="C50" s="22" t="s">
        <v>157</v>
      </c>
      <c r="D50" s="25" t="n">
        <v>9.51</v>
      </c>
      <c r="E50" s="25" t="n">
        <v>0.62</v>
      </c>
      <c r="F50" s="29" t="n">
        <v>15.3</v>
      </c>
      <c r="G50" s="30" t="n">
        <v>0.0353</v>
      </c>
      <c r="H50" s="30" t="n">
        <v>0.0372</v>
      </c>
      <c r="I50" s="22" t="s">
        <v>314</v>
      </c>
    </row>
    <row r="51" customFormat="false" ht="15" hidden="false" customHeight="false" outlineLevel="0" collapsed="false">
      <c r="A51" s="22" t="s">
        <v>144</v>
      </c>
      <c r="B51" s="22" t="s">
        <v>111</v>
      </c>
      <c r="C51" s="22" t="s">
        <v>112</v>
      </c>
      <c r="D51" s="25" t="n">
        <v>19.35</v>
      </c>
      <c r="E51" s="25" t="n">
        <v>2.12</v>
      </c>
      <c r="F51" s="29" t="n">
        <v>9.1</v>
      </c>
      <c r="G51" s="30" t="n">
        <v>0</v>
      </c>
      <c r="H51" s="30" t="n">
        <v>0.3312</v>
      </c>
      <c r="I51" s="22" t="s">
        <v>313</v>
      </c>
    </row>
    <row r="52" customFormat="false" ht="15" hidden="false" customHeight="false" outlineLevel="0" collapsed="false">
      <c r="A52" s="22" t="s">
        <v>173</v>
      </c>
      <c r="B52" s="22" t="s">
        <v>119</v>
      </c>
      <c r="C52" s="22" t="s">
        <v>157</v>
      </c>
      <c r="D52" s="25" t="n">
        <v>14.17</v>
      </c>
      <c r="E52" s="25" t="n">
        <v>0.3</v>
      </c>
      <c r="F52" s="29" t="n">
        <v>47.2</v>
      </c>
      <c r="G52" s="30" t="n">
        <v>0.0346</v>
      </c>
      <c r="H52" s="30" t="n">
        <v>-0.1106</v>
      </c>
      <c r="I52" s="22" t="s">
        <v>315</v>
      </c>
    </row>
    <row r="53" customFormat="false" ht="15" hidden="false" customHeight="false" outlineLevel="0" collapsed="false">
      <c r="A53" s="22" t="s">
        <v>227</v>
      </c>
      <c r="B53" s="22" t="s">
        <v>125</v>
      </c>
      <c r="C53" s="22" t="s">
        <v>147</v>
      </c>
      <c r="D53" s="25" t="n">
        <v>31</v>
      </c>
      <c r="E53" s="25" t="n">
        <v>1.77</v>
      </c>
      <c r="F53" s="29" t="n">
        <v>17.5</v>
      </c>
      <c r="G53" s="30" t="n">
        <v>0.0221</v>
      </c>
      <c r="H53" s="30" t="n">
        <v>-0.0979</v>
      </c>
      <c r="I53" s="22" t="s">
        <v>313</v>
      </c>
    </row>
    <row r="54" customFormat="false" ht="15" hidden="false" customHeight="false" outlineLevel="0" collapsed="false">
      <c r="A54" s="22" t="s">
        <v>231</v>
      </c>
      <c r="B54" s="22" t="s">
        <v>131</v>
      </c>
      <c r="C54" s="22" t="s">
        <v>147</v>
      </c>
      <c r="D54" s="25" t="n">
        <v>24.42</v>
      </c>
      <c r="E54" s="25" t="n">
        <v>2.36</v>
      </c>
      <c r="F54" s="29" t="n">
        <v>10.3</v>
      </c>
      <c r="G54" s="30" t="n">
        <v>0.0315</v>
      </c>
      <c r="H54" s="30" t="n">
        <v>0.135</v>
      </c>
      <c r="I54" s="22" t="s">
        <v>313</v>
      </c>
    </row>
    <row r="55" customFormat="false" ht="15" hidden="false" customHeight="false" outlineLevel="0" collapsed="false">
      <c r="A55" s="22" t="s">
        <v>236</v>
      </c>
      <c r="B55" s="22" t="s">
        <v>167</v>
      </c>
      <c r="C55" s="22" t="s">
        <v>105</v>
      </c>
      <c r="D55" s="25" t="n">
        <v>6.28</v>
      </c>
      <c r="E55" s="25" t="n">
        <v>0.56</v>
      </c>
      <c r="F55" s="29" t="n">
        <v>11.2</v>
      </c>
      <c r="G55" s="30" t="n">
        <v>0.0352</v>
      </c>
      <c r="H55" s="30" t="n">
        <v>-0.0645</v>
      </c>
      <c r="I55" s="22" t="s">
        <v>313</v>
      </c>
    </row>
    <row r="56" customFormat="false" ht="15" hidden="false" customHeight="false" outlineLevel="0" collapsed="false">
      <c r="A56" s="22" t="s">
        <v>316</v>
      </c>
      <c r="B56" s="22" t="s">
        <v>104</v>
      </c>
      <c r="C56" s="22" t="s">
        <v>157</v>
      </c>
      <c r="D56" s="25" t="n">
        <v>26.24</v>
      </c>
      <c r="E56" s="25" t="n">
        <v>2.98</v>
      </c>
      <c r="F56" s="29" t="n">
        <v>8.8</v>
      </c>
      <c r="G56" s="30" t="n">
        <v>0.0199</v>
      </c>
      <c r="H56" s="30" t="n">
        <v>0.2386</v>
      </c>
      <c r="I56" s="22" t="s">
        <v>315</v>
      </c>
    </row>
    <row r="57" customFormat="false" ht="15" hidden="false" customHeight="false" outlineLevel="0" collapsed="false">
      <c r="A57" s="22" t="s">
        <v>317</v>
      </c>
      <c r="B57" s="22" t="s">
        <v>111</v>
      </c>
      <c r="C57" s="22" t="s">
        <v>157</v>
      </c>
      <c r="D57" s="25" t="n">
        <v>6.41</v>
      </c>
      <c r="E57" s="25" t="n">
        <v>0.51</v>
      </c>
      <c r="F57" s="29" t="n">
        <v>12.6</v>
      </c>
      <c r="G57" s="30" t="n">
        <v>0</v>
      </c>
      <c r="H57" s="30" t="n">
        <v>0.1472</v>
      </c>
      <c r="I57" s="22" t="s">
        <v>313</v>
      </c>
    </row>
    <row r="58" customFormat="false" ht="15" hidden="false" customHeight="false" outlineLevel="0" collapsed="false">
      <c r="A58" s="22" t="s">
        <v>318</v>
      </c>
      <c r="B58" s="22" t="s">
        <v>119</v>
      </c>
      <c r="C58" s="22" t="s">
        <v>105</v>
      </c>
      <c r="D58" s="25" t="n">
        <v>13.24</v>
      </c>
      <c r="E58" s="25" t="n">
        <v>0.59</v>
      </c>
      <c r="F58" s="29" t="n">
        <v>22.4</v>
      </c>
      <c r="G58" s="30" t="n">
        <v>0.0305</v>
      </c>
      <c r="H58" s="30" t="n">
        <v>-0.1131</v>
      </c>
      <c r="I58" s="22" t="s">
        <v>315</v>
      </c>
    </row>
    <row r="59" customFormat="false" ht="15" hidden="false" customHeight="false" outlineLevel="0" collapsed="false">
      <c r="A59" s="22" t="s">
        <v>319</v>
      </c>
      <c r="B59" s="22" t="s">
        <v>125</v>
      </c>
      <c r="C59" s="22" t="s">
        <v>157</v>
      </c>
      <c r="D59" s="25" t="n">
        <v>18.28</v>
      </c>
      <c r="E59" s="25" t="n">
        <v>1.43</v>
      </c>
      <c r="F59" s="29" t="n">
        <v>12.8</v>
      </c>
      <c r="G59" s="30" t="n">
        <v>0.0139</v>
      </c>
      <c r="H59" s="30" t="n">
        <v>0.106</v>
      </c>
      <c r="I59" s="22" t="s">
        <v>314</v>
      </c>
    </row>
    <row r="60" customFormat="false" ht="15" hidden="false" customHeight="false" outlineLevel="0" collapsed="false">
      <c r="A60" s="22" t="s">
        <v>320</v>
      </c>
      <c r="B60" s="22" t="s">
        <v>131</v>
      </c>
      <c r="C60" s="22" t="s">
        <v>105</v>
      </c>
      <c r="D60" s="25" t="n">
        <v>3.08</v>
      </c>
      <c r="E60" s="25" t="n">
        <v>0.03</v>
      </c>
      <c r="F60" s="29" t="n">
        <v>102.7</v>
      </c>
      <c r="G60" s="30" t="n">
        <v>0.02</v>
      </c>
      <c r="H60" s="30" t="n">
        <v>0.0127</v>
      </c>
      <c r="I60" s="22" t="s">
        <v>313</v>
      </c>
    </row>
    <row r="61" customFormat="false" ht="15" hidden="false" customHeight="false" outlineLevel="0" collapsed="false">
      <c r="A61" s="22" t="s">
        <v>321</v>
      </c>
      <c r="B61" s="22" t="s">
        <v>167</v>
      </c>
      <c r="C61" s="22" t="s">
        <v>147</v>
      </c>
      <c r="D61" s="25" t="n">
        <v>26.88</v>
      </c>
      <c r="E61" s="25" t="n">
        <v>-0.59</v>
      </c>
      <c r="F61" s="29" t="s">
        <v>312</v>
      </c>
      <c r="G61" s="30" t="n">
        <v>0.0159</v>
      </c>
      <c r="H61" s="30" t="n">
        <v>0.2915</v>
      </c>
      <c r="I61" s="22" t="s">
        <v>314</v>
      </c>
    </row>
    <row r="62" customFormat="false" ht="15" hidden="false" customHeight="false" outlineLevel="0" collapsed="false">
      <c r="A62" s="22" t="s">
        <v>322</v>
      </c>
      <c r="B62" s="22" t="s">
        <v>104</v>
      </c>
      <c r="C62" s="22" t="s">
        <v>157</v>
      </c>
      <c r="D62" s="25" t="n">
        <v>28.53</v>
      </c>
      <c r="E62" s="25" t="n">
        <v>2.54</v>
      </c>
      <c r="F62" s="29" t="n">
        <v>11.2</v>
      </c>
      <c r="G62" s="30" t="n">
        <v>0.0199</v>
      </c>
      <c r="H62" s="30" t="n">
        <v>-0.0492</v>
      </c>
      <c r="I62" s="22" t="s">
        <v>314</v>
      </c>
    </row>
    <row r="63" customFormat="false" ht="15" hidden="false" customHeight="false" outlineLevel="0" collapsed="false">
      <c r="A63" s="22" t="s">
        <v>323</v>
      </c>
      <c r="B63" s="22" t="s">
        <v>111</v>
      </c>
      <c r="C63" s="22" t="s">
        <v>105</v>
      </c>
      <c r="D63" s="25" t="n">
        <v>20.95</v>
      </c>
      <c r="E63" s="25" t="n">
        <v>1.2</v>
      </c>
      <c r="F63" s="29" t="n">
        <v>17.5</v>
      </c>
      <c r="G63" s="30" t="n">
        <v>0</v>
      </c>
      <c r="H63" s="30" t="n">
        <v>-0.0066</v>
      </c>
      <c r="I63" s="22" t="s">
        <v>314</v>
      </c>
    </row>
    <row r="64" customFormat="false" ht="15" hidden="false" customHeight="false" outlineLevel="0" collapsed="false">
      <c r="A64" s="22" t="s">
        <v>324</v>
      </c>
      <c r="B64" s="22" t="s">
        <v>119</v>
      </c>
      <c r="C64" s="22" t="s">
        <v>105</v>
      </c>
      <c r="D64" s="25" t="n">
        <v>16.05</v>
      </c>
      <c r="E64" s="25" t="n">
        <v>1.21</v>
      </c>
      <c r="F64" s="29" t="n">
        <v>13.3</v>
      </c>
      <c r="G64" s="30" t="n">
        <v>0.0433</v>
      </c>
      <c r="H64" s="30" t="n">
        <v>0.3565</v>
      </c>
      <c r="I64" s="22" t="s">
        <v>314</v>
      </c>
    </row>
    <row r="65" customFormat="false" ht="15" hidden="false" customHeight="false" outlineLevel="0" collapsed="false">
      <c r="A65" s="22" t="s">
        <v>325</v>
      </c>
      <c r="B65" s="22" t="s">
        <v>125</v>
      </c>
      <c r="C65" s="22" t="s">
        <v>112</v>
      </c>
      <c r="D65" s="25" t="n">
        <v>16.88</v>
      </c>
      <c r="E65" s="25" t="n">
        <v>-0.42</v>
      </c>
      <c r="F65" s="29" t="s">
        <v>312</v>
      </c>
      <c r="G65" s="30" t="n">
        <v>0.0288</v>
      </c>
      <c r="H65" s="30" t="n">
        <v>0.5825</v>
      </c>
      <c r="I65" s="22" t="s">
        <v>314</v>
      </c>
    </row>
    <row r="66" customFormat="false" ht="15" hidden="false" customHeight="false" outlineLevel="0" collapsed="false">
      <c r="A66" s="22" t="s">
        <v>326</v>
      </c>
      <c r="B66" s="22" t="s">
        <v>131</v>
      </c>
      <c r="C66" s="22" t="s">
        <v>157</v>
      </c>
      <c r="D66" s="25" t="n">
        <v>9.24</v>
      </c>
      <c r="E66" s="25" t="n">
        <v>0.39</v>
      </c>
      <c r="F66" s="29" t="n">
        <v>23.7</v>
      </c>
      <c r="G66" s="30" t="n">
        <v>0.0417</v>
      </c>
      <c r="H66" s="30" t="n">
        <v>0.5298</v>
      </c>
      <c r="I66" s="22" t="s">
        <v>315</v>
      </c>
    </row>
    <row r="67" customFormat="false" ht="15" hidden="false" customHeight="false" outlineLevel="0" collapsed="false">
      <c r="A67" s="22" t="s">
        <v>327</v>
      </c>
      <c r="B67" s="22" t="s">
        <v>167</v>
      </c>
      <c r="C67" s="22" t="s">
        <v>105</v>
      </c>
      <c r="D67" s="25" t="n">
        <v>18.73</v>
      </c>
      <c r="E67" s="25" t="n">
        <v>0.56</v>
      </c>
      <c r="F67" s="29" t="n">
        <v>33.4</v>
      </c>
      <c r="G67" s="30" t="n">
        <v>0.0547</v>
      </c>
      <c r="H67" s="30" t="n">
        <v>0.1039</v>
      </c>
      <c r="I67" s="22" t="s">
        <v>313</v>
      </c>
    </row>
    <row r="68" customFormat="false" ht="15" hidden="false" customHeight="false" outlineLevel="0" collapsed="false">
      <c r="A68" s="22" t="s">
        <v>328</v>
      </c>
      <c r="B68" s="22" t="s">
        <v>104</v>
      </c>
      <c r="C68" s="22" t="s">
        <v>157</v>
      </c>
      <c r="D68" s="25" t="n">
        <v>14.12</v>
      </c>
      <c r="E68" s="25" t="n">
        <v>0.24</v>
      </c>
      <c r="F68" s="29" t="n">
        <v>58.8</v>
      </c>
      <c r="G68" s="30" t="n">
        <v>0.0253</v>
      </c>
      <c r="H68" s="30" t="n">
        <v>0.1381</v>
      </c>
      <c r="I68" s="22" t="s">
        <v>314</v>
      </c>
    </row>
    <row r="69" customFormat="false" ht="15" hidden="false" customHeight="false" outlineLevel="0" collapsed="false">
      <c r="A69" s="22" t="s">
        <v>329</v>
      </c>
      <c r="B69" s="22" t="s">
        <v>111</v>
      </c>
      <c r="C69" s="22" t="s">
        <v>112</v>
      </c>
      <c r="D69" s="25" t="n">
        <v>26.89</v>
      </c>
      <c r="E69" s="25" t="n">
        <v>-1.42</v>
      </c>
      <c r="F69" s="29" t="s">
        <v>312</v>
      </c>
      <c r="G69" s="30" t="n">
        <v>0</v>
      </c>
      <c r="H69" s="30" t="n">
        <v>0.4274</v>
      </c>
      <c r="I69" s="22" t="s">
        <v>313</v>
      </c>
    </row>
    <row r="70" customFormat="false" ht="15" hidden="false" customHeight="false" outlineLevel="0" collapsed="false">
      <c r="A70" s="22" t="s">
        <v>330</v>
      </c>
      <c r="B70" s="22" t="s">
        <v>119</v>
      </c>
      <c r="C70" s="22" t="s">
        <v>112</v>
      </c>
      <c r="D70" s="25" t="n">
        <v>7.36</v>
      </c>
      <c r="E70" s="25" t="n">
        <v>0.32</v>
      </c>
      <c r="F70" s="29" t="n">
        <v>23</v>
      </c>
      <c r="G70" s="30" t="n">
        <v>0.0116</v>
      </c>
      <c r="H70" s="30" t="n">
        <v>0.0626</v>
      </c>
      <c r="I70" s="22" t="s">
        <v>314</v>
      </c>
    </row>
    <row r="71" customFormat="false" ht="15" hidden="false" customHeight="false" outlineLevel="0" collapsed="false">
      <c r="A71" s="22" t="s">
        <v>331</v>
      </c>
      <c r="B71" s="22" t="s">
        <v>125</v>
      </c>
      <c r="C71" s="22" t="s">
        <v>157</v>
      </c>
      <c r="D71" s="25" t="n">
        <v>31.05</v>
      </c>
      <c r="E71" s="25" t="n">
        <v>3.26</v>
      </c>
      <c r="F71" s="29" t="n">
        <v>9.5</v>
      </c>
      <c r="G71" s="30" t="n">
        <v>0.0069</v>
      </c>
      <c r="H71" s="30" t="n">
        <v>-0.1248</v>
      </c>
      <c r="I71" s="22" t="s">
        <v>315</v>
      </c>
    </row>
    <row r="72" customFormat="false" ht="15" hidden="false" customHeight="false" outlineLevel="0" collapsed="false">
      <c r="A72" s="22" t="s">
        <v>332</v>
      </c>
      <c r="B72" s="22" t="s">
        <v>131</v>
      </c>
      <c r="C72" s="22" t="s">
        <v>147</v>
      </c>
      <c r="D72" s="25" t="n">
        <v>28.31</v>
      </c>
      <c r="E72" s="25" t="n">
        <v>2.24</v>
      </c>
      <c r="F72" s="29" t="n">
        <v>12.6</v>
      </c>
      <c r="G72" s="30" t="n">
        <v>0.0175</v>
      </c>
      <c r="H72" s="30" t="n">
        <v>0.1157</v>
      </c>
      <c r="I72" s="22" t="s">
        <v>315</v>
      </c>
    </row>
    <row r="73" customFormat="false" ht="15" hidden="false" customHeight="false" outlineLevel="0" collapsed="false">
      <c r="A73" s="22" t="s">
        <v>333</v>
      </c>
      <c r="B73" s="22" t="s">
        <v>167</v>
      </c>
      <c r="C73" s="22" t="s">
        <v>112</v>
      </c>
      <c r="D73" s="25" t="n">
        <v>21.29</v>
      </c>
      <c r="E73" s="25" t="n">
        <v>0.64</v>
      </c>
      <c r="F73" s="29" t="n">
        <v>33.3</v>
      </c>
      <c r="G73" s="30" t="n">
        <v>0.0262</v>
      </c>
      <c r="H73" s="30" t="n">
        <v>0.1893</v>
      </c>
      <c r="I73" s="22" t="s">
        <v>313</v>
      </c>
    </row>
    <row r="74" customFormat="false" ht="15" hidden="false" customHeight="false" outlineLevel="0" collapsed="false">
      <c r="A74" s="22" t="s">
        <v>334</v>
      </c>
      <c r="B74" s="22" t="s">
        <v>104</v>
      </c>
      <c r="C74" s="22" t="s">
        <v>157</v>
      </c>
      <c r="D74" s="25" t="n">
        <v>15.81</v>
      </c>
      <c r="E74" s="25" t="n">
        <v>0.94</v>
      </c>
      <c r="F74" s="29" t="n">
        <v>16.8</v>
      </c>
      <c r="G74" s="30" t="n">
        <v>0</v>
      </c>
      <c r="H74" s="30" t="n">
        <v>-0.0924</v>
      </c>
      <c r="I74" s="22" t="s">
        <v>314</v>
      </c>
    </row>
    <row r="75" customFormat="false" ht="15" hidden="false" customHeight="false" outlineLevel="0" collapsed="false">
      <c r="A75" s="22" t="s">
        <v>335</v>
      </c>
      <c r="B75" s="22" t="s">
        <v>111</v>
      </c>
      <c r="C75" s="22" t="s">
        <v>112</v>
      </c>
      <c r="D75" s="25" t="n">
        <v>42.62</v>
      </c>
      <c r="E75" s="25" t="n">
        <v>4.17</v>
      </c>
      <c r="F75" s="29" t="n">
        <v>10.2</v>
      </c>
      <c r="G75" s="30" t="n">
        <v>0.0301</v>
      </c>
      <c r="H75" s="30" t="n">
        <v>-0.2722</v>
      </c>
      <c r="I75" s="22" t="s">
        <v>315</v>
      </c>
    </row>
    <row r="76" customFormat="false" ht="15" hidden="false" customHeight="false" outlineLevel="0" collapsed="false">
      <c r="A76" s="22" t="s">
        <v>336</v>
      </c>
      <c r="B76" s="22" t="s">
        <v>119</v>
      </c>
      <c r="C76" s="22" t="s">
        <v>112</v>
      </c>
      <c r="D76" s="25" t="n">
        <v>4.64</v>
      </c>
      <c r="E76" s="25" t="n">
        <v>-0.36</v>
      </c>
      <c r="F76" s="29" t="s">
        <v>312</v>
      </c>
      <c r="G76" s="30" t="n">
        <v>0.0023</v>
      </c>
      <c r="H76" s="30" t="n">
        <v>-0.2261</v>
      </c>
      <c r="I76" s="22" t="s">
        <v>315</v>
      </c>
    </row>
    <row r="77" customFormat="false" ht="15" hidden="false" customHeight="false" outlineLevel="0" collapsed="false">
      <c r="A77" s="22" t="s">
        <v>337</v>
      </c>
      <c r="B77" s="22" t="s">
        <v>125</v>
      </c>
      <c r="C77" s="22" t="s">
        <v>105</v>
      </c>
      <c r="D77" s="25" t="n">
        <v>38.88</v>
      </c>
      <c r="E77" s="25" t="n">
        <v>2.09</v>
      </c>
      <c r="F77" s="29" t="n">
        <v>18.6</v>
      </c>
      <c r="G77" s="30" t="n">
        <v>0.0295</v>
      </c>
      <c r="H77" s="30" t="n">
        <v>0.2364</v>
      </c>
      <c r="I77" s="22" t="s">
        <v>313</v>
      </c>
    </row>
    <row r="78" customFormat="false" ht="15" hidden="false" customHeight="false" outlineLevel="0" collapsed="false">
      <c r="A78" s="22" t="s">
        <v>338</v>
      </c>
      <c r="B78" s="22" t="s">
        <v>131</v>
      </c>
      <c r="C78" s="22" t="s">
        <v>105</v>
      </c>
      <c r="D78" s="25" t="n">
        <v>31.28</v>
      </c>
      <c r="E78" s="25" t="n">
        <v>2.73</v>
      </c>
      <c r="F78" s="29" t="n">
        <v>11.5</v>
      </c>
      <c r="G78" s="30" t="n">
        <v>0.0234</v>
      </c>
      <c r="H78" s="30" t="n">
        <v>-0.0768</v>
      </c>
      <c r="I78" s="22" t="s">
        <v>315</v>
      </c>
    </row>
    <row r="79" customFormat="false" ht="15" hidden="false" customHeight="false" outlineLevel="0" collapsed="false">
      <c r="A79" s="22" t="s">
        <v>339</v>
      </c>
      <c r="B79" s="22" t="s">
        <v>167</v>
      </c>
      <c r="C79" s="22" t="s">
        <v>112</v>
      </c>
      <c r="D79" s="25" t="n">
        <v>32.57</v>
      </c>
      <c r="E79" s="25" t="n">
        <v>3.07</v>
      </c>
      <c r="F79" s="29" t="n">
        <v>10.6</v>
      </c>
      <c r="G79" s="30" t="n">
        <v>0.0203</v>
      </c>
      <c r="H79" s="30" t="n">
        <v>0.0589</v>
      </c>
      <c r="I79" s="22" t="s">
        <v>313</v>
      </c>
    </row>
    <row r="80" customFormat="false" ht="15" hidden="false" customHeight="false" outlineLevel="0" collapsed="false">
      <c r="A80" s="22" t="s">
        <v>340</v>
      </c>
      <c r="B80" s="22" t="s">
        <v>104</v>
      </c>
      <c r="C80" s="22" t="s">
        <v>147</v>
      </c>
      <c r="D80" s="25" t="n">
        <v>35.99</v>
      </c>
      <c r="E80" s="25" t="n">
        <v>5.22</v>
      </c>
      <c r="F80" s="29" t="n">
        <v>6.9</v>
      </c>
      <c r="G80" s="30" t="n">
        <v>0.0239</v>
      </c>
      <c r="H80" s="30" t="n">
        <v>0.1368</v>
      </c>
      <c r="I80" s="22" t="s">
        <v>313</v>
      </c>
    </row>
    <row r="81" customFormat="false" ht="15" hidden="false" customHeight="false" outlineLevel="0" collapsed="false">
      <c r="A81" s="22" t="s">
        <v>341</v>
      </c>
      <c r="B81" s="22" t="s">
        <v>111</v>
      </c>
      <c r="C81" s="22" t="s">
        <v>147</v>
      </c>
      <c r="D81" s="25" t="n">
        <v>12.76</v>
      </c>
      <c r="E81" s="25" t="n">
        <v>1.49</v>
      </c>
      <c r="F81" s="29" t="n">
        <v>8.6</v>
      </c>
      <c r="G81" s="30" t="n">
        <v>0.0169</v>
      </c>
      <c r="H81" s="30" t="n">
        <v>0.2262</v>
      </c>
      <c r="I81" s="22" t="s">
        <v>314</v>
      </c>
    </row>
    <row r="82" customFormat="false" ht="15" hidden="false" customHeight="false" outlineLevel="0" collapsed="false">
      <c r="A82" s="22" t="s">
        <v>342</v>
      </c>
      <c r="B82" s="22" t="s">
        <v>119</v>
      </c>
      <c r="C82" s="22" t="s">
        <v>112</v>
      </c>
      <c r="D82" s="25" t="n">
        <v>18.93</v>
      </c>
      <c r="E82" s="25" t="n">
        <v>1.43</v>
      </c>
      <c r="F82" s="29" t="n">
        <v>13.2</v>
      </c>
      <c r="G82" s="30" t="n">
        <v>0.0158</v>
      </c>
      <c r="H82" s="30" t="n">
        <v>0.0163</v>
      </c>
      <c r="I82" s="22" t="s">
        <v>314</v>
      </c>
    </row>
    <row r="83" customFormat="false" ht="15" hidden="false" customHeight="false" outlineLevel="0" collapsed="false">
      <c r="A83" s="22" t="s">
        <v>343</v>
      </c>
      <c r="B83" s="22" t="s">
        <v>125</v>
      </c>
      <c r="C83" s="22" t="s">
        <v>112</v>
      </c>
      <c r="D83" s="25" t="n">
        <v>46.39</v>
      </c>
      <c r="E83" s="25" t="n">
        <v>3.48</v>
      </c>
      <c r="F83" s="29" t="n">
        <v>13.3</v>
      </c>
      <c r="G83" s="30" t="n">
        <v>0</v>
      </c>
      <c r="H83" s="30" t="n">
        <v>0.1997</v>
      </c>
      <c r="I83" s="22" t="s">
        <v>313</v>
      </c>
    </row>
    <row r="84" customFormat="false" ht="15" hidden="false" customHeight="false" outlineLevel="0" collapsed="false">
      <c r="A84" s="22" t="s">
        <v>344</v>
      </c>
      <c r="B84" s="22" t="s">
        <v>131</v>
      </c>
      <c r="C84" s="22" t="s">
        <v>105</v>
      </c>
      <c r="D84" s="25" t="n">
        <v>37.74</v>
      </c>
      <c r="E84" s="25" t="n">
        <v>3.75</v>
      </c>
      <c r="F84" s="29" t="n">
        <v>10.1</v>
      </c>
      <c r="G84" s="30" t="n">
        <v>0.0246</v>
      </c>
      <c r="H84" s="30" t="n">
        <v>-0.1058</v>
      </c>
      <c r="I84" s="22" t="s">
        <v>313</v>
      </c>
    </row>
    <row r="85" customFormat="false" ht="15" hidden="false" customHeight="false" outlineLevel="0" collapsed="false">
      <c r="A85" s="22" t="s">
        <v>345</v>
      </c>
      <c r="B85" s="22" t="s">
        <v>167</v>
      </c>
      <c r="C85" s="22" t="s">
        <v>157</v>
      </c>
      <c r="D85" s="25" t="n">
        <v>30.17</v>
      </c>
      <c r="E85" s="25" t="n">
        <v>1</v>
      </c>
      <c r="F85" s="29" t="n">
        <v>30.2</v>
      </c>
      <c r="G85" s="30" t="n">
        <v>0.0527</v>
      </c>
      <c r="H85" s="30" t="n">
        <v>0.0104</v>
      </c>
      <c r="I85" s="22" t="s">
        <v>313</v>
      </c>
    </row>
  </sheetData>
  <mergeCells count="30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  <mergeCell ref="B18:G18"/>
    <mergeCell ref="J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346</v>
      </c>
    </row>
    <row r="4" customFormat="false" ht="15" hidden="false" customHeight="false" outlineLevel="0" collapsed="false">
      <c r="J4" s="4" t="s">
        <v>347</v>
      </c>
      <c r="K4" s="4" t="s">
        <v>348</v>
      </c>
      <c r="AH4" s="4" t="s">
        <v>349</v>
      </c>
    </row>
    <row r="5" customFormat="false" ht="15" hidden="false" customHeight="false" outlineLevel="0" collapsed="false">
      <c r="J5" s="0" t="s">
        <v>104</v>
      </c>
      <c r="K5" s="0" t="n">
        <f aca="false">SUMIFS(2_Aggregation!$D$26:$D$85,2_Aggregation!$B$26:$B$85,J5)</f>
        <v>198.99</v>
      </c>
      <c r="AH5" s="0" t="s">
        <v>350</v>
      </c>
      <c r="AJ5" s="0" t="n">
        <f aca="false">6_Valuation!$F$34-6_Valuation!$F$35</f>
        <v>590</v>
      </c>
    </row>
    <row r="6" customFormat="false" ht="15" hidden="false" customHeight="false" outlineLevel="0" collapsed="false">
      <c r="J6" s="0" t="s">
        <v>111</v>
      </c>
      <c r="K6" s="0" t="n">
        <f aca="false">SUMIFS(2_Aggregation!$D$26:$D$85,2_Aggregation!$B$26:$B$85,J6)</f>
        <v>203.62</v>
      </c>
      <c r="AH6" s="0" t="s">
        <v>351</v>
      </c>
      <c r="AI6" s="0" t="n">
        <v>1</v>
      </c>
      <c r="AJ6" s="0" t="n">
        <f aca="false">$AJ$5*(1+6_Valuation!$B$47)^1</f>
        <v>619.5</v>
      </c>
    </row>
    <row r="7" customFormat="false" ht="15" hidden="false" customHeight="false" outlineLevel="0" collapsed="false">
      <c r="J7" s="0" t="s">
        <v>119</v>
      </c>
      <c r="K7" s="0" t="n">
        <f aca="false">SUMIFS(2_Aggregation!$D$26:$D$85,2_Aggregation!$B$26:$B$85,J7)</f>
        <v>146.14</v>
      </c>
      <c r="AH7" s="0" t="s">
        <v>352</v>
      </c>
      <c r="AI7" s="0" t="n">
        <v>2</v>
      </c>
      <c r="AJ7" s="0" t="n">
        <f aca="false">$AJ$5*(1+6_Valuation!$B$47)^2</f>
        <v>650.475</v>
      </c>
    </row>
    <row r="8" customFormat="false" ht="15" hidden="false" customHeight="false" outlineLevel="0" collapsed="false">
      <c r="J8" s="0" t="s">
        <v>125</v>
      </c>
      <c r="K8" s="0" t="n">
        <f aca="false">SUMIFS(2_Aggregation!$D$26:$D$85,2_Aggregation!$B$26:$B$85,J8)</f>
        <v>267.49</v>
      </c>
      <c r="AH8" s="0" t="s">
        <v>353</v>
      </c>
      <c r="AI8" s="0" t="n">
        <v>3</v>
      </c>
      <c r="AJ8" s="0" t="n">
        <f aca="false">$AJ$5*(1+6_Valuation!$B$47)^3</f>
        <v>682.99875</v>
      </c>
    </row>
    <row r="9" customFormat="false" ht="15" hidden="false" customHeight="false" outlineLevel="0" collapsed="false">
      <c r="J9" s="0" t="s">
        <v>131</v>
      </c>
      <c r="K9" s="0" t="n">
        <f aca="false">SUMIFS(2_Aggregation!$D$26:$D$85,2_Aggregation!$B$26:$B$85,J9)</f>
        <v>279.14</v>
      </c>
      <c r="AH9" s="0" t="s">
        <v>354</v>
      </c>
      <c r="AI9" s="0" t="n">
        <v>4</v>
      </c>
      <c r="AJ9" s="0" t="n">
        <f aca="false">$AJ$5*(1+6_Valuation!$B$47)^4</f>
        <v>717.1486875</v>
      </c>
    </row>
    <row r="10" customFormat="false" ht="15" hidden="false" customHeight="false" outlineLevel="0" collapsed="false">
      <c r="J10" s="0" t="s">
        <v>167</v>
      </c>
      <c r="K10" s="0" t="n">
        <f aca="false">SUMIFS(2_Aggregation!$D$26:$D$85,2_Aggregation!$B$26:$B$85,J10)</f>
        <v>352.12</v>
      </c>
      <c r="AH10" s="0" t="s">
        <v>355</v>
      </c>
      <c r="AI10" s="0" t="n">
        <v>5</v>
      </c>
      <c r="AJ10" s="0" t="n">
        <f aca="false">$AJ$5*(1+6_Valuation!$B$47)^5</f>
        <v>753.006121875</v>
      </c>
    </row>
    <row r="11" customFormat="false" ht="15" hidden="false" customHeight="false" outlineLevel="0" collapsed="false">
      <c r="AH11" s="0" t="s">
        <v>356</v>
      </c>
      <c r="AJ11" s="31" t="n">
        <f aca="false">NPV(6_Valuation!$B$46,AJ6:AJ10)+AJ10*(1+6_Valuation!$B$48)/(6_Valuation!$B$46-6_Valuation!$B$48)/(1+6_Valuation!$B$46)^5</f>
        <v>10358.1872997819</v>
      </c>
    </row>
    <row r="12" customFormat="false" ht="15" hidden="false" customHeight="false" outlineLevel="0" collapsed="false">
      <c r="AH12" s="0" t="s">
        <v>357</v>
      </c>
      <c r="AJ12" s="31" t="n">
        <f aca="false">(AJ11-(6_Valuation!$B$41-6_Valuation!$B$42+6_Valuation!$B$43+6_Valuation!$B$44))/6_Valuation!$F$37</f>
        <v>36.3716518776255</v>
      </c>
    </row>
    <row r="24" customFormat="false" ht="15" hidden="false" customHeight="false" outlineLevel="0" collapsed="false">
      <c r="A24" s="4" t="s">
        <v>358</v>
      </c>
      <c r="B24" s="4" t="s">
        <v>359</v>
      </c>
      <c r="C24" s="4" t="s">
        <v>360</v>
      </c>
      <c r="D24" s="4" t="s">
        <v>361</v>
      </c>
      <c r="E24" s="4" t="s">
        <v>93</v>
      </c>
      <c r="F24" s="4" t="s">
        <v>362</v>
      </c>
      <c r="G24" s="4" t="s">
        <v>363</v>
      </c>
      <c r="H24" s="4" t="s">
        <v>364</v>
      </c>
      <c r="V24" s="4" t="s">
        <v>365</v>
      </c>
      <c r="W24" s="4" t="s">
        <v>366</v>
      </c>
      <c r="X24" s="4" t="s">
        <v>367</v>
      </c>
      <c r="Y24" s="4" t="s">
        <v>368</v>
      </c>
      <c r="Z24" s="4" t="s">
        <v>369</v>
      </c>
      <c r="AA24" s="4" t="s">
        <v>370</v>
      </c>
      <c r="AB24" s="4" t="s">
        <v>371</v>
      </c>
      <c r="AC24" s="4" t="s">
        <v>372</v>
      </c>
      <c r="AD24" s="4" t="s">
        <v>373</v>
      </c>
      <c r="AE24" s="4" t="s">
        <v>374</v>
      </c>
      <c r="AF24" s="4" t="s">
        <v>375</v>
      </c>
    </row>
    <row r="25" customFormat="false" ht="15" hidden="false" customHeight="false" outlineLevel="0" collapsed="false">
      <c r="A25" s="0" t="str">
        <f aca="false">UPPER(TRIM(1_Lookups!G25))</f>
        <v>LMRA</v>
      </c>
      <c r="B25" s="0" t="n">
        <f aca="false">VALUE(TRIM(1_Lookups!I25))</f>
        <v>244.07</v>
      </c>
      <c r="C25" s="0" t="n">
        <f aca="false">B25*1_Lookups!J25</f>
        <v>634582</v>
      </c>
      <c r="D25" s="0" t="n">
        <f aca="false">IF(ISNUMBER(MATCH(A25,1_Lookups!$A$25:$A$54,0)),1,0)</f>
        <v>1</v>
      </c>
      <c r="E25" s="0" t="str">
        <f aca="false">IFERROR(INDEX(1_Lookups!$C$25:$C$54,MATCH(A25,1_Lookups!$A$25:$A$54,0)),"Not Found")</f>
        <v>Industrials</v>
      </c>
      <c r="F25" s="0" t="n">
        <f aca="false">IF(COUNTIF(1_Lookups!$F$25:F25,1_Lookups!F25)&gt;1,1,0)</f>
        <v>0</v>
      </c>
      <c r="G25" s="0" t="n">
        <f aca="false">IF(EXACT(1_Lookups!G25,A25),0,1)</f>
        <v>0</v>
      </c>
      <c r="H25" s="0" t="n">
        <f aca="false">IF(ISTEXT(1_Lookups!I25),1,0)</f>
        <v>0</v>
      </c>
      <c r="V25" s="0" t="n">
        <f aca="false">4_Screening!C25/4_Screening!D25</f>
        <v>1.54820316602896</v>
      </c>
      <c r="W25" s="0" t="n">
        <f aca="false">4_Screening!E25/4_Screening!C25</f>
        <v>0.100746268656716</v>
      </c>
      <c r="X25" s="0" t="n">
        <f aca="false">4_Screening!F25/4_Screening!G25</f>
        <v>6.90769230769231</v>
      </c>
      <c r="Y25" s="0" t="n">
        <f aca="false">RANK(V25,$V$25:$V$74,1)</f>
        <v>20</v>
      </c>
      <c r="Z25" s="0" t="n">
        <f aca="false">RANK(W25,$W$25:$W$74,0)</f>
        <v>6</v>
      </c>
      <c r="AA25" s="0" t="n">
        <f aca="false">RANK(X25,$X$25:$X$74,1)</f>
        <v>9</v>
      </c>
      <c r="AB25" s="0" t="n">
        <f aca="false">AVERAGE(Y25:AA25)</f>
        <v>11.6666666666667</v>
      </c>
      <c r="AC25" s="0" t="n">
        <f aca="false">RANK(AB25,$AB$25:$AB$74,1)</f>
        <v>1</v>
      </c>
      <c r="AD25" s="0" t="n">
        <f aca="false">ROUNDUP(5*AC25/COUNT($AB$25:$AB$74),0)</f>
        <v>1</v>
      </c>
      <c r="AE25" s="0" t="n">
        <f aca="false">IF(4_Screening!E25&gt;0,4_Screening!C25/4_Screening!E25,"")</f>
        <v>9.92592592592593</v>
      </c>
      <c r="AF25" s="0" t="n">
        <f aca="false">MIN(MAX(4_Screening!H25,PERCENTILE(4_Screening!$H$25:$H$74,0.05)),PERCENTILE(4_Screening!$H$25:$H$74,0.95))</f>
        <v>0.1456</v>
      </c>
    </row>
    <row r="26" customFormat="false" ht="15" hidden="false" customHeight="false" outlineLevel="0" collapsed="false">
      <c r="A26" s="0" t="str">
        <f aca="false">UPPER(TRIM(1_Lookups!G26))</f>
        <v>HRBR</v>
      </c>
      <c r="B26" s="0" t="n">
        <f aca="false">VALUE(TRIM(1_Lookups!I26))</f>
        <v>264.22</v>
      </c>
      <c r="C26" s="0" t="n">
        <f aca="false">B26*1_Lookups!J26</f>
        <v>607706</v>
      </c>
      <c r="D26" s="0" t="n">
        <f aca="false">IF(ISNUMBER(MATCH(A26,1_Lookups!$A$25:$A$54,0)),1,0)</f>
        <v>1</v>
      </c>
      <c r="E26" s="0" t="str">
        <f aca="false">IFERROR(INDEX(1_Lookups!$C$25:$C$54,MATCH(A26,1_Lookups!$A$25:$A$54,0)),"Not Found")</f>
        <v>Financials</v>
      </c>
      <c r="F26" s="0" t="n">
        <f aca="false">IF(COUNTIF(1_Lookups!$F$25:F26,1_Lookups!F26)&gt;1,1,0)</f>
        <v>0</v>
      </c>
      <c r="G26" s="0" t="n">
        <f aca="false">IF(EXACT(1_Lookups!G26,A26),0,1)</f>
        <v>0</v>
      </c>
      <c r="H26" s="0" t="n">
        <f aca="false">IF(ISTEXT(1_Lookups!I26),1,0)</f>
        <v>1</v>
      </c>
      <c r="V26" s="0" t="n">
        <f aca="false">4_Screening!C26/4_Screening!D26</f>
        <v>2.17476209357653</v>
      </c>
      <c r="W26" s="0" t="n">
        <f aca="false">4_Screening!E26/4_Screening!C26</f>
        <v>0.126532658735585</v>
      </c>
      <c r="X26" s="0" t="n">
        <f aca="false">4_Screening!F26/4_Screening!G26</f>
        <v>11.5531914893617</v>
      </c>
      <c r="Y26" s="0" t="n">
        <f aca="false">RANK(V26,$V$25:$V$74,1)</f>
        <v>33</v>
      </c>
      <c r="Z26" s="0" t="n">
        <f aca="false">RANK(W26,$W$25:$W$74,0)</f>
        <v>3</v>
      </c>
      <c r="AA26" s="0" t="n">
        <f aca="false">RANK(X26,$X$25:$X$74,1)</f>
        <v>33</v>
      </c>
      <c r="AB26" s="0" t="n">
        <f aca="false">AVERAGE(Y26:AA26)</f>
        <v>23</v>
      </c>
      <c r="AC26" s="0" t="n">
        <f aca="false">RANK(AB26,$AB$25:$AB$74,1)</f>
        <v>21</v>
      </c>
      <c r="AD26" s="0" t="n">
        <f aca="false">ROUNDUP(5*AC26/COUNT($AB$25:$AB$74),0)</f>
        <v>3</v>
      </c>
      <c r="AE26" s="0" t="n">
        <f aca="false">IF(4_Screening!E26&gt;0,4_Screening!C26/4_Screening!E26,"")</f>
        <v>7.90309798270893</v>
      </c>
      <c r="AF26" s="0" t="n">
        <f aca="false">MIN(MAX(4_Screening!H26,PERCENTILE(4_Screening!$H$25:$H$74,0.05)),PERCENTILE(4_Screening!$H$25:$H$74,0.95))</f>
        <v>0.1727</v>
      </c>
    </row>
    <row r="27" customFormat="false" ht="15" hidden="false" customHeight="false" outlineLevel="0" collapsed="false">
      <c r="A27" s="0" t="str">
        <f aca="false">UPPER(TRIM(1_Lookups!G27))</f>
        <v>DMNX</v>
      </c>
      <c r="B27" s="0" t="n">
        <f aca="false">VALUE(TRIM(1_Lookups!I27))</f>
        <v>41.96</v>
      </c>
      <c r="C27" s="0" t="n">
        <f aca="false">B27*1_Lookups!J27</f>
        <v>205604</v>
      </c>
      <c r="D27" s="0" t="n">
        <f aca="false">IF(ISNUMBER(MATCH(A27,1_Lookups!$A$25:$A$54,0)),1,0)</f>
        <v>1</v>
      </c>
      <c r="E27" s="0" t="str">
        <f aca="false">IFERROR(INDEX(1_Lookups!$C$25:$C$54,MATCH(A27,1_Lookups!$A$25:$A$54,0)),"Not Found")</f>
        <v>Health Care</v>
      </c>
      <c r="F27" s="0" t="n">
        <f aca="false">IF(COUNTIF(1_Lookups!$F$25:F27,1_Lookups!F27)&gt;1,1,0)</f>
        <v>0</v>
      </c>
      <c r="G27" s="0" t="n">
        <f aca="false">IF(EXACT(1_Lookups!G27,A27),0,1)</f>
        <v>1</v>
      </c>
      <c r="H27" s="0" t="n">
        <f aca="false">IF(ISTEXT(1_Lookups!I27),1,0)</f>
        <v>0</v>
      </c>
      <c r="V27" s="0" t="n">
        <f aca="false">4_Screening!C27/4_Screening!D27</f>
        <v>1.43974871501999</v>
      </c>
      <c r="W27" s="0" t="n">
        <f aca="false">4_Screening!E27/4_Screening!C27</f>
        <v>0.103265899775221</v>
      </c>
      <c r="X27" s="0" t="n">
        <f aca="false">4_Screening!F27/4_Screening!G27</f>
        <v>8.65432098765432</v>
      </c>
      <c r="Y27" s="0" t="n">
        <f aca="false">RANK(V27,$V$25:$V$74,1)</f>
        <v>18</v>
      </c>
      <c r="Z27" s="0" t="n">
        <f aca="false">RANK(W27,$W$25:$W$74,0)</f>
        <v>4</v>
      </c>
      <c r="AA27" s="0" t="n">
        <f aca="false">RANK(X27,$X$25:$X$74,1)</f>
        <v>23</v>
      </c>
      <c r="AB27" s="0" t="n">
        <f aca="false">AVERAGE(Y27:AA27)</f>
        <v>15</v>
      </c>
      <c r="AC27" s="0" t="n">
        <f aca="false">RANK(AB27,$AB$25:$AB$74,1)</f>
        <v>7</v>
      </c>
      <c r="AD27" s="0" t="n">
        <f aca="false">ROUNDUP(5*AC27/COUNT($AB$25:$AB$74),0)</f>
        <v>1</v>
      </c>
      <c r="AE27" s="0" t="n">
        <f aca="false">IF(4_Screening!E27&gt;0,4_Screening!C27/4_Screening!E27,"")</f>
        <v>9.68373879641485</v>
      </c>
      <c r="AF27" s="0" t="n">
        <f aca="false">MIN(MAX(4_Screening!H27,PERCENTILE(4_Screening!$H$25:$H$74,0.05)),PERCENTILE(4_Screening!$H$25:$H$74,0.95))</f>
        <v>0.1747</v>
      </c>
    </row>
    <row r="28" customFormat="false" ht="15" hidden="false" customHeight="false" outlineLevel="0" collapsed="false">
      <c r="A28" s="0" t="str">
        <f aca="false">UPPER(TRIM(1_Lookups!G28))</f>
        <v>ZNTH</v>
      </c>
      <c r="B28" s="0" t="n">
        <f aca="false">VALUE(TRIM(1_Lookups!I28))</f>
        <v>133.18</v>
      </c>
      <c r="C28" s="0" t="n">
        <f aca="false">B28*1_Lookups!J28</f>
        <v>466130</v>
      </c>
      <c r="D28" s="0" t="n">
        <f aca="false">IF(ISNUMBER(MATCH(A28,1_Lookups!$A$25:$A$54,0)),1,0)</f>
        <v>1</v>
      </c>
      <c r="E28" s="0" t="str">
        <f aca="false">IFERROR(INDEX(1_Lookups!$C$25:$C$54,MATCH(A28,1_Lookups!$A$25:$A$54,0)),"Not Found")</f>
        <v>Energy</v>
      </c>
      <c r="F28" s="0" t="n">
        <f aca="false">IF(COUNTIF(1_Lookups!$F$25:F28,1_Lookups!F28)&gt;1,1,0)</f>
        <v>0</v>
      </c>
      <c r="G28" s="0" t="n">
        <f aca="false">IF(EXACT(1_Lookups!G28,A28),0,1)</f>
        <v>0</v>
      </c>
      <c r="H28" s="0" t="n">
        <f aca="false">IF(ISTEXT(1_Lookups!I28),1,0)</f>
        <v>0</v>
      </c>
      <c r="V28" s="0" t="n">
        <f aca="false">4_Screening!C28/4_Screening!D28</f>
        <v>0.747455502632239</v>
      </c>
      <c r="W28" s="0" t="n">
        <f aca="false">4_Screening!E28/4_Screening!C28</f>
        <v>0.0552723370002683</v>
      </c>
      <c r="X28" s="0" t="n">
        <f aca="false">4_Screening!F28/4_Screening!G28</f>
        <v>6.79209039548023</v>
      </c>
      <c r="Y28" s="0" t="n">
        <f aca="false">RANK(V28,$V$25:$V$74,1)</f>
        <v>3</v>
      </c>
      <c r="Z28" s="0" t="n">
        <f aca="false">RANK(W28,$W$25:$W$74,0)</f>
        <v>28</v>
      </c>
      <c r="AA28" s="0" t="n">
        <f aca="false">RANK(X28,$X$25:$X$74,1)</f>
        <v>8</v>
      </c>
      <c r="AB28" s="0" t="n">
        <f aca="false">AVERAGE(Y28:AA28)</f>
        <v>13</v>
      </c>
      <c r="AC28" s="0" t="n">
        <f aca="false">RANK(AB28,$AB$25:$AB$74,1)</f>
        <v>2</v>
      </c>
      <c r="AD28" s="0" t="n">
        <f aca="false">ROUNDUP(5*AC28/COUNT($AB$25:$AB$74),0)</f>
        <v>1</v>
      </c>
      <c r="AE28" s="0" t="n">
        <f aca="false">IF(4_Screening!E28&gt;0,4_Screening!C28/4_Screening!E28,"")</f>
        <v>18.0922330097087</v>
      </c>
      <c r="AF28" s="0" t="n">
        <f aca="false">MIN(MAX(4_Screening!H28,PERCENTILE(4_Screening!$H$25:$H$74,0.05)),PERCENTILE(4_Screening!$H$25:$H$74,0.95))</f>
        <v>0.29721</v>
      </c>
    </row>
    <row r="29" customFormat="false" ht="15" hidden="false" customHeight="false" outlineLevel="0" collapsed="false">
      <c r="A29" s="0" t="str">
        <f aca="false">UPPER(TRIM(1_Lookups!G29))</f>
        <v>XERA</v>
      </c>
      <c r="B29" s="0" t="n">
        <f aca="false">VALUE(TRIM(1_Lookups!I29))</f>
        <v>152.39</v>
      </c>
      <c r="C29" s="0" t="n">
        <f aca="false">B29*1_Lookups!J29</f>
        <v>259063</v>
      </c>
      <c r="D29" s="0" t="n">
        <f aca="false">IF(ISNUMBER(MATCH(A29,1_Lookups!$A$25:$A$54,0)),1,0)</f>
        <v>1</v>
      </c>
      <c r="E29" s="0" t="str">
        <f aca="false">IFERROR(INDEX(1_Lookups!$C$25:$C$54,MATCH(A29,1_Lookups!$A$25:$A$54,0)),"Not Found")</f>
        <v>Industrials</v>
      </c>
      <c r="F29" s="0" t="n">
        <f aca="false">IF(COUNTIF(1_Lookups!$F$25:F29,1_Lookups!F29)&gt;1,1,0)</f>
        <v>0</v>
      </c>
      <c r="G29" s="0" t="n">
        <f aca="false">IF(EXACT(1_Lookups!G29,A29),0,1)</f>
        <v>1</v>
      </c>
      <c r="H29" s="0" t="n">
        <f aca="false">IF(ISTEXT(1_Lookups!I29),1,0)</f>
        <v>0</v>
      </c>
      <c r="V29" s="0" t="n">
        <f aca="false">4_Screening!C29/4_Screening!D29</f>
        <v>3.13780568407138</v>
      </c>
      <c r="W29" s="0" t="n">
        <f aca="false">4_Screening!E29/4_Screening!C29</f>
        <v>0.0703528172722485</v>
      </c>
      <c r="X29" s="0" t="n">
        <f aca="false">4_Screening!F29/4_Screening!G29</f>
        <v>12.4756097560976</v>
      </c>
      <c r="Y29" s="0" t="n">
        <f aca="false">RANK(V29,$V$25:$V$74,1)</f>
        <v>46</v>
      </c>
      <c r="Z29" s="0" t="n">
        <f aca="false">RANK(W29,$W$25:$W$74,0)</f>
        <v>16</v>
      </c>
      <c r="AA29" s="0" t="n">
        <f aca="false">RANK(X29,$X$25:$X$74,1)</f>
        <v>38</v>
      </c>
      <c r="AB29" s="0" t="n">
        <f aca="false">AVERAGE(Y29:AA29)</f>
        <v>33.3333333333333</v>
      </c>
      <c r="AC29" s="0" t="n">
        <f aca="false">RANK(AB29,$AB$25:$AB$74,1)</f>
        <v>41</v>
      </c>
      <c r="AD29" s="0" t="n">
        <f aca="false">ROUNDUP(5*AC29/COUNT($AB$25:$AB$74),0)</f>
        <v>5</v>
      </c>
      <c r="AE29" s="0" t="n">
        <f aca="false">IF(4_Screening!E29&gt;0,4_Screening!C29/4_Screening!E29,"")</f>
        <v>14.2140718562874</v>
      </c>
      <c r="AF29" s="0" t="n">
        <f aca="false">MIN(MAX(4_Screening!H29,PERCENTILE(4_Screening!$H$25:$H$74,0.05)),PERCENTILE(4_Screening!$H$25:$H$74,0.95))</f>
        <v>0.1075</v>
      </c>
    </row>
    <row r="30" customFormat="false" ht="15" hidden="false" customHeight="false" outlineLevel="0" collapsed="false">
      <c r="A30" s="0" t="str">
        <f aca="false">UPPER(TRIM(1_Lookups!G30))</f>
        <v>KSTL</v>
      </c>
      <c r="B30" s="0" t="n">
        <f aca="false">VALUE(TRIM(1_Lookups!I30))</f>
        <v>154.72</v>
      </c>
      <c r="C30" s="0" t="n">
        <f aca="false">B30*1_Lookups!J30</f>
        <v>139248</v>
      </c>
      <c r="D30" s="0" t="n">
        <f aca="false">IF(ISNUMBER(MATCH(A30,1_Lookups!$A$25:$A$54,0)),1,0)</f>
        <v>1</v>
      </c>
      <c r="E30" s="0" t="str">
        <f aca="false">IFERROR(INDEX(1_Lookups!$C$25:$C$54,MATCH(A30,1_Lookups!$A$25:$A$54,0)),"Not Found")</f>
        <v>Health Care</v>
      </c>
      <c r="F30" s="0" t="n">
        <f aca="false">IF(COUNTIF(1_Lookups!$F$25:F30,1_Lookups!F30)&gt;1,1,0)</f>
        <v>0</v>
      </c>
      <c r="G30" s="0" t="n">
        <f aca="false">IF(EXACT(1_Lookups!G30,A30),0,1)</f>
        <v>0</v>
      </c>
      <c r="H30" s="0" t="n">
        <f aca="false">IF(ISTEXT(1_Lookups!I30),1,0)</f>
        <v>1</v>
      </c>
      <c r="M30" s="4" t="s">
        <v>376</v>
      </c>
      <c r="N30" s="4" t="s">
        <v>377</v>
      </c>
      <c r="O30" s="4" t="s">
        <v>378</v>
      </c>
      <c r="P30" s="4" t="s">
        <v>379</v>
      </c>
      <c r="Q30" s="4" t="s">
        <v>380</v>
      </c>
      <c r="R30" s="4" t="s">
        <v>381</v>
      </c>
      <c r="S30" s="4" t="s">
        <v>382</v>
      </c>
      <c r="T30" s="4" t="s">
        <v>383</v>
      </c>
      <c r="V30" s="32" t="n">
        <f aca="false">4_Screening!C30/4_Screening!D30</f>
        <v>0.965692280763172</v>
      </c>
      <c r="W30" s="32" t="n">
        <f aca="false">4_Screening!E30/4_Screening!C30</f>
        <v>0.0671560630777597</v>
      </c>
      <c r="X30" s="32" t="n">
        <f aca="false">4_Screening!F30/4_Screening!G30</f>
        <v>11.6170212765957</v>
      </c>
      <c r="Y30" s="32" t="n">
        <f aca="false">RANK(V30,$V$25:$V$74,1)</f>
        <v>7</v>
      </c>
      <c r="Z30" s="32" t="n">
        <f aca="false">RANK(W30,$W$25:$W$74,0)</f>
        <v>18</v>
      </c>
      <c r="AA30" s="32" t="n">
        <f aca="false">RANK(X30,$X$25:$X$74,1)</f>
        <v>34</v>
      </c>
      <c r="AB30" s="32" t="n">
        <f aca="false">AVERAGE(Y30:AA30)</f>
        <v>19.6666666666667</v>
      </c>
      <c r="AC30" s="32" t="n">
        <f aca="false">RANK(AB30,$AB$25:$AB$74,1)</f>
        <v>13</v>
      </c>
      <c r="AD30" s="32" t="n">
        <f aca="false">ROUNDUP(5*AC30/COUNT($AB$25:$AB$74),0)</f>
        <v>2</v>
      </c>
      <c r="AE30" s="32" t="n">
        <f aca="false">IF(4_Screening!E30&gt;0,4_Screening!C30/4_Screening!E30,"")</f>
        <v>14.8906882591093</v>
      </c>
      <c r="AF30" s="32" t="n">
        <f aca="false">MIN(MAX(4_Screening!H30,PERCENTILE(4_Screening!$H$25:$H$74,0.05)),PERCENTILE(4_Screening!$H$25:$H$74,0.95))</f>
        <v>0.1399</v>
      </c>
    </row>
    <row r="31" customFormat="false" ht="15" hidden="false" customHeight="false" outlineLevel="0" collapsed="false">
      <c r="A31" s="0" t="str">
        <f aca="false">UPPER(TRIM(1_Lookups!G31))</f>
        <v>ABRV</v>
      </c>
      <c r="B31" s="0" t="n">
        <f aca="false">VALUE(TRIM(1_Lookups!I31))</f>
        <v>173.91</v>
      </c>
      <c r="C31" s="0" t="n">
        <f aca="false">B31*1_Lookups!J31</f>
        <v>730422</v>
      </c>
      <c r="D31" s="0" t="n">
        <f aca="false">IF(ISNUMBER(MATCH(A31,1_Lookups!$A$25:$A$54,0)),1,0)</f>
        <v>1</v>
      </c>
      <c r="E31" s="0" t="str">
        <f aca="false">IFERROR(INDEX(1_Lookups!$C$25:$C$54,MATCH(A31,1_Lookups!$A$25:$A$54,0)),"Not Found")</f>
        <v>Financials</v>
      </c>
      <c r="F31" s="0" t="n">
        <f aca="false">IF(COUNTIF(1_Lookups!$F$25:F31,1_Lookups!F31)&gt;1,1,0)</f>
        <v>0</v>
      </c>
      <c r="G31" s="0" t="n">
        <f aca="false">IF(EXACT(1_Lookups!G31,A31),0,1)</f>
        <v>0</v>
      </c>
      <c r="H31" s="0" t="n">
        <f aca="false">IF(ISTEXT(1_Lookups!I31),1,0)</f>
        <v>0</v>
      </c>
      <c r="P31" s="0" t="n">
        <f aca="false">MAX(3_Returns!$B$31:B31)</f>
        <v>48.2</v>
      </c>
      <c r="Q31" s="0" t="n">
        <f aca="false">3_Returns!B31/P31-1</f>
        <v>0</v>
      </c>
      <c r="V31" s="0" t="n">
        <f aca="false">4_Screening!C31/4_Screening!D31</f>
        <v>2.73882646691636</v>
      </c>
      <c r="W31" s="0" t="n">
        <f aca="false">4_Screening!E31/4_Screening!C31</f>
        <v>-0.0683745099826785</v>
      </c>
      <c r="X31" s="0" t="n">
        <f aca="false">4_Screening!F31/4_Screening!G31</f>
        <v>7.33333333333333</v>
      </c>
      <c r="Y31" s="0" t="n">
        <f aca="false">RANK(V31,$V$25:$V$74,1)</f>
        <v>42</v>
      </c>
      <c r="Z31" s="0" t="n">
        <f aca="false">RANK(W31,$W$25:$W$74,0)</f>
        <v>49</v>
      </c>
      <c r="AA31" s="0" t="n">
        <f aca="false">RANK(X31,$X$25:$X$74,1)</f>
        <v>12</v>
      </c>
      <c r="AB31" s="0" t="n">
        <f aca="false">AVERAGE(Y31:AA31)</f>
        <v>34.3333333333333</v>
      </c>
      <c r="AC31" s="0" t="n">
        <f aca="false">RANK(AB31,$AB$25:$AB$74,1)</f>
        <v>45</v>
      </c>
      <c r="AD31" s="0" t="n">
        <f aca="false">ROUNDUP(5*AC31/COUNT($AB$25:$AB$74),0)</f>
        <v>5</v>
      </c>
      <c r="AE31" s="0" t="str">
        <f aca="false">IF(4_Screening!E31&gt;0,4_Screening!C31/4_Screening!E31,"")</f>
        <v/>
      </c>
      <c r="AF31" s="0" t="n">
        <f aca="false">MIN(MAX(4_Screening!H31,PERCENTILE(4_Screening!$H$25:$H$74,0.05)),PERCENTILE(4_Screening!$H$25:$H$74,0.95))</f>
        <v>0.186</v>
      </c>
    </row>
    <row r="32" customFormat="false" ht="15" hidden="false" customHeight="false" outlineLevel="0" collapsed="false">
      <c r="A32" s="0" t="str">
        <f aca="false">UPPER(TRIM(1_Lookups!G32))</f>
        <v>ULMN</v>
      </c>
      <c r="B32" s="0" t="n">
        <f aca="false">VALUE(TRIM(1_Lookups!I32))</f>
        <v>34.3</v>
      </c>
      <c r="C32" s="0" t="n">
        <f aca="false">B32*1_Lookups!J32</f>
        <v>58310</v>
      </c>
      <c r="D32" s="0" t="n">
        <f aca="false">IF(ISNUMBER(MATCH(A32,1_Lookups!$A$25:$A$54,0)),1,0)</f>
        <v>1</v>
      </c>
      <c r="E32" s="0" t="str">
        <f aca="false">IFERROR(INDEX(1_Lookups!$C$25:$C$54,MATCH(A32,1_Lookups!$A$25:$A$54,0)),"Not Found")</f>
        <v>Financials</v>
      </c>
      <c r="F32" s="0" t="n">
        <f aca="false">IF(COUNTIF(1_Lookups!$F$25:F32,1_Lookups!F32)&gt;1,1,0)</f>
        <v>0</v>
      </c>
      <c r="G32" s="0" t="n">
        <f aca="false">IF(EXACT(1_Lookups!G32,A32),0,1)</f>
        <v>1</v>
      </c>
      <c r="H32" s="0" t="n">
        <f aca="false">IF(ISTEXT(1_Lookups!I32),1,0)</f>
        <v>0</v>
      </c>
      <c r="M32" s="0" t="n">
        <f aca="false">3_Returns!B32/3_Returns!B31-1</f>
        <v>0.0105809128630705</v>
      </c>
      <c r="N32" s="0" t="n">
        <f aca="false">3_Returns!C32/3_Returns!C31-1</f>
        <v>-0.00246812011517894</v>
      </c>
      <c r="O32" s="0" t="n">
        <f aca="false">3_Returns!D32/3_Returns!D31-1</f>
        <v>0.0066837056228557</v>
      </c>
      <c r="P32" s="0" t="n">
        <f aca="false">MAX(3_Returns!$B$31:B32)</f>
        <v>48.71</v>
      </c>
      <c r="Q32" s="0" t="n">
        <f aca="false">3_Returns!B32/P32-1</f>
        <v>0</v>
      </c>
      <c r="R32" s="0" t="n">
        <f aca="false">LN(3_Returns!B32/3_Returns!B31)</f>
        <v>0.0105253267618966</v>
      </c>
      <c r="S32" s="0" t="n">
        <f aca="false">M32-O32</f>
        <v>0.00389720724021481</v>
      </c>
      <c r="T32" s="0" t="n">
        <f aca="false">IF(M32&gt;O32,1,0)</f>
        <v>1</v>
      </c>
      <c r="V32" s="0" t="n">
        <f aca="false">4_Screening!C32/4_Screening!D32</f>
        <v>2.34471544715447</v>
      </c>
      <c r="W32" s="0" t="n">
        <f aca="false">4_Screening!E32/4_Screening!C32</f>
        <v>0.0679611650485437</v>
      </c>
      <c r="X32" s="0" t="n">
        <f aca="false">4_Screening!F32/4_Screening!G32</f>
        <v>13.5583333333333</v>
      </c>
      <c r="Y32" s="0" t="n">
        <f aca="false">RANK(V32,$V$25:$V$74,1)</f>
        <v>39</v>
      </c>
      <c r="Z32" s="0" t="n">
        <f aca="false">RANK(W32,$W$25:$W$74,0)</f>
        <v>17</v>
      </c>
      <c r="AA32" s="0" t="n">
        <f aca="false">RANK(X32,$X$25:$X$74,1)</f>
        <v>43</v>
      </c>
      <c r="AB32" s="0" t="n">
        <f aca="false">AVERAGE(Y32:AA32)</f>
        <v>33</v>
      </c>
      <c r="AC32" s="0" t="n">
        <f aca="false">RANK(AB32,$AB$25:$AB$74,1)</f>
        <v>40</v>
      </c>
      <c r="AD32" s="0" t="n">
        <f aca="false">ROUNDUP(5*AC32/COUNT($AB$25:$AB$74),0)</f>
        <v>4</v>
      </c>
      <c r="AE32" s="0" t="n">
        <f aca="false">IF(4_Screening!E32&gt;0,4_Screening!C32/4_Screening!E32,"")</f>
        <v>14.7142857142857</v>
      </c>
      <c r="AF32" s="0" t="n">
        <f aca="false">MIN(MAX(4_Screening!H32,PERCENTILE(4_Screening!$H$25:$H$74,0.05)),PERCENTILE(4_Screening!$H$25:$H$74,0.95))</f>
        <v>0.0849</v>
      </c>
    </row>
    <row r="33" customFormat="false" ht="15" hidden="false" customHeight="false" outlineLevel="0" collapsed="false">
      <c r="A33" s="0" t="str">
        <f aca="false">UPPER(TRIM(1_Lookups!G33))</f>
        <v>TRVO</v>
      </c>
      <c r="B33" s="0" t="n">
        <f aca="false">VALUE(TRIM(1_Lookups!I33))</f>
        <v>59.4</v>
      </c>
      <c r="C33" s="0" t="n">
        <f aca="false">B33*1_Lookups!J33</f>
        <v>83160</v>
      </c>
      <c r="D33" s="0" t="n">
        <f aca="false">IF(ISNUMBER(MATCH(A33,1_Lookups!$A$25:$A$54,0)),1,0)</f>
        <v>1</v>
      </c>
      <c r="E33" s="0" t="str">
        <f aca="false">IFERROR(INDEX(1_Lookups!$C$25:$C$54,MATCH(A33,1_Lookups!$A$25:$A$54,0)),"Not Found")</f>
        <v>Energy</v>
      </c>
      <c r="F33" s="0" t="n">
        <f aca="false">IF(COUNTIF(1_Lookups!$F$25:F33,1_Lookups!F33)&gt;1,1,0)</f>
        <v>0</v>
      </c>
      <c r="G33" s="0" t="n">
        <f aca="false">IF(EXACT(1_Lookups!G33,A33),0,1)</f>
        <v>0</v>
      </c>
      <c r="H33" s="0" t="n">
        <f aca="false">IF(ISTEXT(1_Lookups!I33),1,0)</f>
        <v>0</v>
      </c>
      <c r="M33" s="0" t="n">
        <f aca="false">3_Returns!B33/3_Returns!B32-1</f>
        <v>0.011701909258879</v>
      </c>
      <c r="N33" s="0" t="n">
        <f aca="false">3_Returns!C33/3_Returns!C32-1</f>
        <v>-0.0028041237113402</v>
      </c>
      <c r="O33" s="0" t="n">
        <f aca="false">3_Returns!D33/3_Returns!D32-1</f>
        <v>0.000700798875939324</v>
      </c>
      <c r="P33" s="0" t="n">
        <f aca="false">MAX(3_Returns!$B$31:B33)</f>
        <v>49.28</v>
      </c>
      <c r="Q33" s="0" t="n">
        <f aca="false">3_Returns!B33/P33-1</f>
        <v>0</v>
      </c>
      <c r="R33" s="0" t="n">
        <f aca="false">LN(3_Returns!B33/3_Returns!B32)</f>
        <v>0.011633971406813</v>
      </c>
      <c r="S33" s="0" t="n">
        <f aca="false">M33-O33</f>
        <v>0.0110011103829397</v>
      </c>
      <c r="T33" s="0" t="n">
        <f aca="false">IF(M33&gt;O33,1,0)</f>
        <v>1</v>
      </c>
      <c r="V33" s="0" t="n">
        <f aca="false">4_Screening!C33/4_Screening!D33</f>
        <v>0.674634320371031</v>
      </c>
      <c r="W33" s="0" t="n">
        <f aca="false">4_Screening!E33/4_Screening!C33</f>
        <v>0.0285563194077208</v>
      </c>
      <c r="X33" s="0" t="n">
        <f aca="false">4_Screening!F33/4_Screening!G33</f>
        <v>8.12958115183246</v>
      </c>
      <c r="Y33" s="0" t="n">
        <f aca="false">RANK(V33,$V$25:$V$74,1)</f>
        <v>2</v>
      </c>
      <c r="Z33" s="0" t="n">
        <f aca="false">RANK(W33,$W$25:$W$74,0)</f>
        <v>37</v>
      </c>
      <c r="AA33" s="0" t="n">
        <f aca="false">RANK(X33,$X$25:$X$74,1)</f>
        <v>19</v>
      </c>
      <c r="AB33" s="0" t="n">
        <f aca="false">AVERAGE(Y33:AA33)</f>
        <v>19.3333333333333</v>
      </c>
      <c r="AC33" s="0" t="n">
        <f aca="false">RANK(AB33,$AB$25:$AB$74,1)</f>
        <v>11</v>
      </c>
      <c r="AD33" s="0" t="n">
        <f aca="false">ROUNDUP(5*AC33/COUNT($AB$25:$AB$74),0)</f>
        <v>2</v>
      </c>
      <c r="AE33" s="0" t="n">
        <f aca="false">IF(4_Screening!E33&gt;0,4_Screening!C33/4_Screening!E33,"")</f>
        <v>35.0185185185185</v>
      </c>
      <c r="AF33" s="0" t="n">
        <f aca="false">MIN(MAX(4_Screening!H33,PERCENTILE(4_Screening!$H$25:$H$74,0.05)),PERCENTILE(4_Screening!$H$25:$H$74,0.95))</f>
        <v>0.0486</v>
      </c>
    </row>
    <row r="34" customFormat="false" ht="15" hidden="false" customHeight="false" outlineLevel="0" collapsed="false">
      <c r="A34" s="0" t="str">
        <f aca="false">UPPER(TRIM(1_Lookups!G34))</f>
        <v>CVLT</v>
      </c>
      <c r="B34" s="0" t="n">
        <f aca="false">VALUE(TRIM(1_Lookups!I34))</f>
        <v>81.69</v>
      </c>
      <c r="C34" s="0" t="n">
        <f aca="false">B34*1_Lookups!J34</f>
        <v>392112</v>
      </c>
      <c r="D34" s="0" t="n">
        <f aca="false">IF(ISNUMBER(MATCH(A34,1_Lookups!$A$25:$A$54,0)),1,0)</f>
        <v>1</v>
      </c>
      <c r="E34" s="0" t="str">
        <f aca="false">IFERROR(INDEX(1_Lookups!$C$25:$C$54,MATCH(A34,1_Lookups!$A$25:$A$54,0)),"Not Found")</f>
        <v>Technology</v>
      </c>
      <c r="F34" s="0" t="n">
        <f aca="false">IF(COUNTIF(1_Lookups!$F$25:F34,1_Lookups!F34)&gt;1,1,0)</f>
        <v>0</v>
      </c>
      <c r="G34" s="0" t="n">
        <f aca="false">IF(EXACT(1_Lookups!G34,A34),0,1)</f>
        <v>0</v>
      </c>
      <c r="H34" s="0" t="n">
        <f aca="false">IF(ISTEXT(1_Lookups!I34),1,0)</f>
        <v>1</v>
      </c>
      <c r="M34" s="0" t="n">
        <f aca="false">3_Returns!B34/3_Returns!B33-1</f>
        <v>0.0148133116883116</v>
      </c>
      <c r="N34" s="0" t="n">
        <f aca="false">3_Returns!C34/3_Returns!C33-1</f>
        <v>0.0269622032917045</v>
      </c>
      <c r="O34" s="0" t="n">
        <f aca="false">3_Returns!D34/3_Returns!D33-1</f>
        <v>0.0127775817996356</v>
      </c>
      <c r="P34" s="0" t="n">
        <f aca="false">MAX(3_Returns!$B$31:B34)</f>
        <v>50.01</v>
      </c>
      <c r="Q34" s="0" t="n">
        <f aca="false">3_Returns!B34/P34-1</f>
        <v>0</v>
      </c>
      <c r="R34" s="0" t="n">
        <f aca="false">LN(3_Returns!B34/3_Returns!B33)</f>
        <v>0.0147046662055479</v>
      </c>
      <c r="S34" s="0" t="n">
        <f aca="false">M34-O34</f>
        <v>0.00203572988867595</v>
      </c>
      <c r="T34" s="0" t="n">
        <f aca="false">IF(M34&gt;O34,1,0)</f>
        <v>1</v>
      </c>
      <c r="V34" s="0" t="n">
        <f aca="false">4_Screening!C34/4_Screening!D34</f>
        <v>1.03374969973577</v>
      </c>
      <c r="W34" s="0" t="n">
        <f aca="false">4_Screening!E34/4_Screening!C34</f>
        <v>-0.0241663762054142</v>
      </c>
      <c r="X34" s="0" t="n">
        <f aca="false">4_Screening!F34/4_Screening!G34</f>
        <v>8.09859154929578</v>
      </c>
      <c r="Y34" s="0" t="n">
        <f aca="false">RANK(V34,$V$25:$V$74,1)</f>
        <v>8</v>
      </c>
      <c r="Z34" s="0" t="n">
        <f aca="false">RANK(W34,$W$25:$W$74,0)</f>
        <v>44</v>
      </c>
      <c r="AA34" s="0" t="n">
        <f aca="false">RANK(X34,$X$25:$X$74,1)</f>
        <v>17</v>
      </c>
      <c r="AB34" s="0" t="n">
        <f aca="false">AVERAGE(Y34:AA34)</f>
        <v>23</v>
      </c>
      <c r="AC34" s="0" t="n">
        <f aca="false">RANK(AB34,$AB$25:$AB$74,1)</f>
        <v>21</v>
      </c>
      <c r="AD34" s="0" t="n">
        <f aca="false">ROUNDUP(5*AC34/COUNT($AB$25:$AB$74),0)</f>
        <v>3</v>
      </c>
      <c r="AE34" s="0" t="str">
        <f aca="false">IF(4_Screening!E34&gt;0,4_Screening!C34/4_Screening!E34,"")</f>
        <v/>
      </c>
      <c r="AF34" s="0" t="n">
        <f aca="false">MIN(MAX(4_Screening!H34,PERCENTILE(4_Screening!$H$25:$H$74,0.05)),PERCENTILE(4_Screening!$H$25:$H$74,0.95))</f>
        <v>0.2002</v>
      </c>
    </row>
    <row r="35" customFormat="false" ht="15" hidden="false" customHeight="false" outlineLevel="0" collapsed="false">
      <c r="A35" s="0" t="str">
        <f aca="false">UPPER(TRIM(1_Lookups!G35))</f>
        <v>ZZZZ</v>
      </c>
      <c r="B35" s="0" t="n">
        <f aca="false">VALUE(TRIM(1_Lookups!I35))</f>
        <v>31.4</v>
      </c>
      <c r="C35" s="0" t="n">
        <f aca="false">B35*1_Lookups!J35</f>
        <v>91060</v>
      </c>
      <c r="D35" s="0" t="n">
        <f aca="false">IF(ISNUMBER(MATCH(A35,1_Lookups!$A$25:$A$54,0)),1,0)</f>
        <v>0</v>
      </c>
      <c r="E35" s="0" t="str">
        <f aca="false">IFERROR(INDEX(1_Lookups!$C$25:$C$54,MATCH(A35,1_Lookups!$A$25:$A$54,0)),"Not Found")</f>
        <v>Not Found</v>
      </c>
      <c r="F35" s="0" t="n">
        <f aca="false">IF(COUNTIF(1_Lookups!$F$25:F35,1_Lookups!F35)&gt;1,1,0)</f>
        <v>0</v>
      </c>
      <c r="G35" s="0" t="n">
        <f aca="false">IF(EXACT(1_Lookups!G35,A35),0,1)</f>
        <v>0</v>
      </c>
      <c r="H35" s="0" t="n">
        <f aca="false">IF(ISTEXT(1_Lookups!I35),1,0)</f>
        <v>0</v>
      </c>
      <c r="M35" s="0" t="n">
        <f aca="false">3_Returns!B35/3_Returns!B34-1</f>
        <v>0.0153969206158768</v>
      </c>
      <c r="N35" s="0" t="n">
        <f aca="false">3_Returns!C35/3_Returns!C34-1</f>
        <v>0.00636224530885077</v>
      </c>
      <c r="O35" s="0" t="n">
        <f aca="false">3_Returns!D35/3_Returns!D34-1</f>
        <v>0.00460009539921824</v>
      </c>
      <c r="P35" s="0" t="n">
        <f aca="false">MAX(3_Returns!$B$31:B35)</f>
        <v>50.78</v>
      </c>
      <c r="Q35" s="0" t="n">
        <f aca="false">3_Returns!B35/P35-1</f>
        <v>0</v>
      </c>
      <c r="R35" s="0" t="n">
        <f aca="false">LN(3_Returns!B35/3_Returns!B34)</f>
        <v>0.0152795908457201</v>
      </c>
      <c r="S35" s="0" t="n">
        <f aca="false">M35-O35</f>
        <v>0.0107968252166586</v>
      </c>
      <c r="T35" s="0" t="n">
        <f aca="false">IF(M35&gt;O35,1,0)</f>
        <v>1</v>
      </c>
      <c r="V35" s="0" t="n">
        <f aca="false">4_Screening!C35/4_Screening!D35</f>
        <v>1.33845500848896</v>
      </c>
      <c r="W35" s="0" t="n">
        <f aca="false">4_Screening!E35/4_Screening!C35</f>
        <v>0.0331071224709837</v>
      </c>
      <c r="X35" s="0" t="n">
        <f aca="false">4_Screening!F35/4_Screening!G35</f>
        <v>9.40740740740741</v>
      </c>
      <c r="Y35" s="0" t="n">
        <f aca="false">RANK(V35,$V$25:$V$74,1)</f>
        <v>15</v>
      </c>
      <c r="Z35" s="0" t="n">
        <f aca="false">RANK(W35,$W$25:$W$74,0)</f>
        <v>33</v>
      </c>
      <c r="AA35" s="0" t="n">
        <f aca="false">RANK(X35,$X$25:$X$74,1)</f>
        <v>26</v>
      </c>
      <c r="AB35" s="0" t="n">
        <f aca="false">AVERAGE(Y35:AA35)</f>
        <v>24.6666666666667</v>
      </c>
      <c r="AC35" s="0" t="n">
        <f aca="false">RANK(AB35,$AB$25:$AB$74,1)</f>
        <v>24</v>
      </c>
      <c r="AD35" s="0" t="n">
        <f aca="false">ROUNDUP(5*AC35/COUNT($AB$25:$AB$74),0)</f>
        <v>3</v>
      </c>
      <c r="AE35" s="0" t="n">
        <f aca="false">IF(4_Screening!E35&gt;0,4_Screening!C35/4_Screening!E35,"")</f>
        <v>30.2049808429119</v>
      </c>
      <c r="AF35" s="0" t="n">
        <f aca="false">MIN(MAX(4_Screening!H35,PERCENTILE(4_Screening!$H$25:$H$74,0.05)),PERCENTILE(4_Screening!$H$25:$H$74,0.95))</f>
        <v>0.2074</v>
      </c>
    </row>
    <row r="36" customFormat="false" ht="15" hidden="false" customHeight="false" outlineLevel="0" collapsed="false">
      <c r="A36" s="0" t="str">
        <f aca="false">UPPER(TRIM(1_Lookups!G36))</f>
        <v>ABRV</v>
      </c>
      <c r="B36" s="0" t="n">
        <f aca="false">VALUE(TRIM(1_Lookups!I36))</f>
        <v>170.12</v>
      </c>
      <c r="C36" s="0" t="n">
        <f aca="false">B36*1_Lookups!J36</f>
        <v>595420</v>
      </c>
      <c r="D36" s="0" t="n">
        <f aca="false">IF(ISNUMBER(MATCH(A36,1_Lookups!$A$25:$A$54,0)),1,0)</f>
        <v>1</v>
      </c>
      <c r="E36" s="0" t="str">
        <f aca="false">IFERROR(INDEX(1_Lookups!$C$25:$C$54,MATCH(A36,1_Lookups!$A$25:$A$54,0)),"Not Found")</f>
        <v>Financials</v>
      </c>
      <c r="F36" s="0" t="n">
        <f aca="false">IF(COUNTIF(1_Lookups!$F$25:F36,1_Lookups!F36)&gt;1,1,0)</f>
        <v>0</v>
      </c>
      <c r="G36" s="0" t="n">
        <f aca="false">IF(EXACT(1_Lookups!G36,A36),0,1)</f>
        <v>1</v>
      </c>
      <c r="H36" s="0" t="n">
        <f aca="false">IF(ISTEXT(1_Lookups!I36),1,0)</f>
        <v>0</v>
      </c>
      <c r="M36" s="0" t="n">
        <f aca="false">3_Returns!B36/3_Returns!B35-1</f>
        <v>-0.0147695943284758</v>
      </c>
      <c r="N36" s="0" t="n">
        <f aca="false">3_Returns!C36/3_Returns!C35-1</f>
        <v>0.00408130601792567</v>
      </c>
      <c r="O36" s="0" t="n">
        <f aca="false">3_Returns!D36/3_Returns!D35-1</f>
        <v>0.0042698912885677</v>
      </c>
      <c r="P36" s="0" t="n">
        <f aca="false">MAX(3_Returns!$B$31:B36)</f>
        <v>50.78</v>
      </c>
      <c r="Q36" s="0" t="n">
        <f aca="false">3_Returns!B36/P36-1</f>
        <v>-0.0147695943284758</v>
      </c>
      <c r="R36" s="0" t="n">
        <f aca="false">LN(3_Returns!B36/3_Returns!B35)</f>
        <v>-0.0148797507764187</v>
      </c>
      <c r="S36" s="0" t="n">
        <f aca="false">M36-O36</f>
        <v>-0.0190394856170435</v>
      </c>
      <c r="T36" s="0" t="n">
        <f aca="false">IF(M36&gt;O36,1,0)</f>
        <v>0</v>
      </c>
      <c r="V36" s="0" t="n">
        <f aca="false">4_Screening!C36/4_Screening!D36</f>
        <v>1.11354179051242</v>
      </c>
      <c r="W36" s="0" t="n">
        <f aca="false">4_Screening!E36/4_Screening!C36</f>
        <v>-0.0210335255178305</v>
      </c>
      <c r="X36" s="0" t="n">
        <f aca="false">4_Screening!F36/4_Screening!G36</f>
        <v>6.9367816091954</v>
      </c>
      <c r="Y36" s="0" t="n">
        <f aca="false">RANK(V36,$V$25:$V$74,1)</f>
        <v>9</v>
      </c>
      <c r="Z36" s="0" t="n">
        <f aca="false">RANK(W36,$W$25:$W$74,0)</f>
        <v>43</v>
      </c>
      <c r="AA36" s="0" t="n">
        <f aca="false">RANK(X36,$X$25:$X$74,1)</f>
        <v>10</v>
      </c>
      <c r="AB36" s="0" t="n">
        <f aca="false">AVERAGE(Y36:AA36)</f>
        <v>20.6666666666667</v>
      </c>
      <c r="AC36" s="0" t="n">
        <f aca="false">RANK(AB36,$AB$25:$AB$74,1)</f>
        <v>15</v>
      </c>
      <c r="AD36" s="0" t="n">
        <f aca="false">ROUNDUP(5*AC36/COUNT($AB$25:$AB$74),0)</f>
        <v>2</v>
      </c>
      <c r="AE36" s="0" t="str">
        <f aca="false">IF(4_Screening!E36&gt;0,4_Screening!C36/4_Screening!E36,"")</f>
        <v/>
      </c>
      <c r="AF36" s="0" t="n">
        <f aca="false">MIN(MAX(4_Screening!H36,PERCENTILE(4_Screening!$H$25:$H$74,0.05)),PERCENTILE(4_Screening!$H$25:$H$74,0.95))</f>
        <v>0.1559</v>
      </c>
    </row>
    <row r="37" customFormat="false" ht="15" hidden="false" customHeight="false" outlineLevel="0" collapsed="false">
      <c r="A37" s="0" t="str">
        <f aca="false">UPPER(TRIM(1_Lookups!G37))</f>
        <v>BLCK</v>
      </c>
      <c r="B37" s="0" t="n">
        <f aca="false">VALUE(TRIM(1_Lookups!I37))</f>
        <v>64.3</v>
      </c>
      <c r="C37" s="0" t="n">
        <f aca="false">B37*1_Lookups!J37</f>
        <v>77160</v>
      </c>
      <c r="D37" s="0" t="n">
        <f aca="false">IF(ISNUMBER(MATCH(A37,1_Lookups!$A$25:$A$54,0)),1,0)</f>
        <v>1</v>
      </c>
      <c r="E37" s="0" t="str">
        <f aca="false">IFERROR(INDEX(1_Lookups!$C$25:$C$54,MATCH(A37,1_Lookups!$A$25:$A$54,0)),"Not Found")</f>
        <v>Technology</v>
      </c>
      <c r="F37" s="0" t="n">
        <f aca="false">IF(COUNTIF(1_Lookups!$F$25:F37,1_Lookups!F37)&gt;1,1,0)</f>
        <v>0</v>
      </c>
      <c r="G37" s="0" t="n">
        <f aca="false">IF(EXACT(1_Lookups!G37,A37),0,1)</f>
        <v>0</v>
      </c>
      <c r="H37" s="0" t="n">
        <f aca="false">IF(ISTEXT(1_Lookups!I37),1,0)</f>
        <v>0</v>
      </c>
      <c r="M37" s="0" t="n">
        <f aca="false">3_Returns!B37/3_Returns!B36-1</f>
        <v>0.019588247051769</v>
      </c>
      <c r="N37" s="0" t="n">
        <f aca="false">3_Returns!C37/3_Returns!C36-1</f>
        <v>0.02438829999203</v>
      </c>
      <c r="O37" s="0" t="n">
        <f aca="false">3_Returns!D37/3_Returns!D36-1</f>
        <v>0.00444901742361759</v>
      </c>
      <c r="P37" s="0" t="n">
        <f aca="false">MAX(3_Returns!$B$31:B37)</f>
        <v>51.01</v>
      </c>
      <c r="Q37" s="0" t="n">
        <f aca="false">3_Returns!B37/P37-1</f>
        <v>0</v>
      </c>
      <c r="R37" s="0" t="n">
        <f aca="false">LN(3_Returns!B37/3_Returns!B36)</f>
        <v>0.0193988664347216</v>
      </c>
      <c r="S37" s="0" t="n">
        <f aca="false">M37-O37</f>
        <v>0.0151392296281514</v>
      </c>
      <c r="T37" s="0" t="n">
        <f aca="false">IF(M37&gt;O37,1,0)</f>
        <v>1</v>
      </c>
      <c r="V37" s="0" t="n">
        <f aca="false">4_Screening!C37/4_Screening!D37</f>
        <v>0.896505116817919</v>
      </c>
      <c r="W37" s="0" t="n">
        <f aca="false">4_Screening!E37/4_Screening!C37</f>
        <v>0.0626749946155503</v>
      </c>
      <c r="X37" s="0" t="n">
        <f aca="false">4_Screening!F37/4_Screening!G37</f>
        <v>7.736</v>
      </c>
      <c r="Y37" s="0" t="n">
        <f aca="false">RANK(V37,$V$25:$V$74,1)</f>
        <v>5</v>
      </c>
      <c r="Z37" s="0" t="n">
        <f aca="false">RANK(W37,$W$25:$W$74,0)</f>
        <v>21</v>
      </c>
      <c r="AA37" s="0" t="n">
        <f aca="false">RANK(X37,$X$25:$X$74,1)</f>
        <v>13</v>
      </c>
      <c r="AB37" s="0" t="n">
        <f aca="false">AVERAGE(Y37:AA37)</f>
        <v>13</v>
      </c>
      <c r="AC37" s="0" t="n">
        <f aca="false">RANK(AB37,$AB$25:$AB$74,1)</f>
        <v>2</v>
      </c>
      <c r="AD37" s="0" t="n">
        <f aca="false">ROUNDUP(5*AC37/COUNT($AB$25:$AB$74),0)</f>
        <v>1</v>
      </c>
      <c r="AE37" s="0" t="n">
        <f aca="false">IF(4_Screening!E37&gt;0,4_Screening!C37/4_Screening!E37,"")</f>
        <v>15.9553264604811</v>
      </c>
      <c r="AF37" s="0" t="n">
        <f aca="false">MIN(MAX(4_Screening!H37,PERCENTILE(4_Screening!$H$25:$H$74,0.05)),PERCENTILE(4_Screening!$H$25:$H$74,0.95))</f>
        <v>0.0874</v>
      </c>
    </row>
    <row r="38" customFormat="false" ht="15" hidden="false" customHeight="false" outlineLevel="0" collapsed="false">
      <c r="A38" s="0" t="str">
        <f aca="false">UPPER(TRIM(1_Lookups!G38))</f>
        <v>OKRA</v>
      </c>
      <c r="B38" s="0" t="n">
        <f aca="false">VALUE(TRIM(1_Lookups!I38))</f>
        <v>32.93</v>
      </c>
      <c r="C38" s="0" t="n">
        <f aca="false">B38*1_Lookups!J38</f>
        <v>111962</v>
      </c>
      <c r="D38" s="0" t="n">
        <f aca="false">IF(ISNUMBER(MATCH(A38,1_Lookups!$A$25:$A$54,0)),1,0)</f>
        <v>1</v>
      </c>
      <c r="E38" s="0" t="str">
        <f aca="false">IFERROR(INDEX(1_Lookups!$C$25:$C$54,MATCH(A38,1_Lookups!$A$25:$A$54,0)),"Not Found")</f>
        <v>Financials</v>
      </c>
      <c r="F38" s="0" t="n">
        <f aca="false">IF(COUNTIF(1_Lookups!$F$25:F38,1_Lookups!F38)&gt;1,1,0)</f>
        <v>0</v>
      </c>
      <c r="G38" s="0" t="n">
        <f aca="false">IF(EXACT(1_Lookups!G38,A38),0,1)</f>
        <v>1</v>
      </c>
      <c r="H38" s="0" t="n">
        <f aca="false">IF(ISTEXT(1_Lookups!I38),1,0)</f>
        <v>0</v>
      </c>
      <c r="M38" s="0" t="n">
        <f aca="false">3_Returns!B38/3_Returns!B37-1</f>
        <v>-0.0247010390119584</v>
      </c>
      <c r="N38" s="0" t="n">
        <f aca="false">3_Returns!C38/3_Returns!C37-1</f>
        <v>-0.00653543919707467</v>
      </c>
      <c r="O38" s="0" t="n">
        <f aca="false">3_Returns!D38/3_Returns!D37-1</f>
        <v>-0.0143647849430504</v>
      </c>
      <c r="P38" s="0" t="n">
        <f aca="false">MAX(3_Returns!$B$31:B38)</f>
        <v>51.01</v>
      </c>
      <c r="Q38" s="0" t="n">
        <f aca="false">3_Returns!B38/P38-1</f>
        <v>-0.0247010390119584</v>
      </c>
      <c r="R38" s="0" t="n">
        <f aca="false">LN(3_Returns!B38/3_Returns!B37)</f>
        <v>-0.0250112283302334</v>
      </c>
      <c r="S38" s="0" t="n">
        <f aca="false">M38-O38</f>
        <v>-0.010336254068908</v>
      </c>
      <c r="T38" s="0" t="n">
        <f aca="false">IF(M38&gt;O38,1,0)</f>
        <v>0</v>
      </c>
      <c r="V38" s="0" t="n">
        <f aca="false">4_Screening!C38/4_Screening!D38</f>
        <v>2.84010719071014</v>
      </c>
      <c r="W38" s="0" t="n">
        <f aca="false">4_Screening!E38/4_Screening!C38</f>
        <v>0.0602295958484038</v>
      </c>
      <c r="X38" s="0" t="n">
        <f aca="false">4_Screening!F38/4_Screening!G38</f>
        <v>8.53389830508475</v>
      </c>
      <c r="Y38" s="0" t="n">
        <f aca="false">RANK(V38,$V$25:$V$74,1)</f>
        <v>44</v>
      </c>
      <c r="Z38" s="0" t="n">
        <f aca="false">RANK(W38,$W$25:$W$74,0)</f>
        <v>24</v>
      </c>
      <c r="AA38" s="0" t="n">
        <f aca="false">RANK(X38,$X$25:$X$74,1)</f>
        <v>22</v>
      </c>
      <c r="AB38" s="0" t="n">
        <f aca="false">AVERAGE(Y38:AA38)</f>
        <v>30</v>
      </c>
      <c r="AC38" s="0" t="n">
        <f aca="false">RANK(AB38,$AB$25:$AB$74,1)</f>
        <v>33</v>
      </c>
      <c r="AD38" s="0" t="n">
        <f aca="false">ROUNDUP(5*AC38/COUNT($AB$25:$AB$74),0)</f>
        <v>4</v>
      </c>
      <c r="AE38" s="0" t="n">
        <f aca="false">IF(4_Screening!E38&gt;0,4_Screening!C38/4_Screening!E38,"")</f>
        <v>16.6031331592689</v>
      </c>
      <c r="AF38" s="0" t="n">
        <f aca="false">MIN(MAX(4_Screening!H38,PERCENTILE(4_Screening!$H$25:$H$74,0.05)),PERCENTILE(4_Screening!$H$25:$H$74,0.95))</f>
        <v>0.1585</v>
      </c>
    </row>
    <row r="39" customFormat="false" ht="15" hidden="false" customHeight="false" outlineLevel="0" collapsed="false">
      <c r="A39" s="0" t="str">
        <f aca="false">UPPER(TRIM(1_Lookups!G39))</f>
        <v>YRLW</v>
      </c>
      <c r="B39" s="0" t="n">
        <f aca="false">VALUE(TRIM(1_Lookups!I39))</f>
        <v>308.54</v>
      </c>
      <c r="C39" s="0" t="n">
        <f aca="false">B39*1_Lookups!J39</f>
        <v>647934</v>
      </c>
      <c r="D39" s="0" t="n">
        <f aca="false">IF(ISNUMBER(MATCH(A39,1_Lookups!$A$25:$A$54,0)),1,0)</f>
        <v>1</v>
      </c>
      <c r="E39" s="0" t="str">
        <f aca="false">IFERROR(INDEX(1_Lookups!$C$25:$C$54,MATCH(A39,1_Lookups!$A$25:$A$54,0)),"Not Found")</f>
        <v>Consumer</v>
      </c>
      <c r="F39" s="0" t="n">
        <f aca="false">IF(COUNTIF(1_Lookups!$F$25:F39,1_Lookups!F39)&gt;1,1,0)</f>
        <v>0</v>
      </c>
      <c r="G39" s="0" t="n">
        <f aca="false">IF(EXACT(1_Lookups!G39,A39),0,1)</f>
        <v>0</v>
      </c>
      <c r="H39" s="0" t="n">
        <f aca="false">IF(ISTEXT(1_Lookups!I39),1,0)</f>
        <v>1</v>
      </c>
      <c r="M39" s="0" t="n">
        <f aca="false">3_Returns!B39/3_Returns!B38-1</f>
        <v>0.00643216080402009</v>
      </c>
      <c r="N39" s="0" t="n">
        <f aca="false">3_Returns!C39/3_Returns!C38-1</f>
        <v>-0.00853629884877438</v>
      </c>
      <c r="O39" s="0" t="n">
        <f aca="false">3_Returns!D39/3_Returns!D38-1</f>
        <v>-0.00134163163708267</v>
      </c>
      <c r="P39" s="0" t="n">
        <f aca="false">MAX(3_Returns!$B$31:B39)</f>
        <v>51.01</v>
      </c>
      <c r="Q39" s="0" t="n">
        <f aca="false">3_Returns!B39/P39-1</f>
        <v>-0.0184277592628895</v>
      </c>
      <c r="R39" s="0" t="n">
        <f aca="false">LN(3_Returns!B39/3_Returns!B38)</f>
        <v>0.00641156273725162</v>
      </c>
      <c r="S39" s="0" t="n">
        <f aca="false">M39-O39</f>
        <v>0.00777379244110277</v>
      </c>
      <c r="T39" s="0" t="n">
        <f aca="false">IF(M39&gt;O39,1,0)</f>
        <v>1</v>
      </c>
      <c r="V39" s="0" t="n">
        <f aca="false">4_Screening!C39/4_Screening!D39</f>
        <v>1.57821486082356</v>
      </c>
      <c r="W39" s="0" t="n">
        <f aca="false">4_Screening!E39/4_Screening!C39</f>
        <v>-0.00699657459368851</v>
      </c>
      <c r="X39" s="0" t="n">
        <f aca="false">4_Screening!F39/4_Screening!G39</f>
        <v>15.4333333333333</v>
      </c>
      <c r="Y39" s="0" t="n">
        <f aca="false">RANK(V39,$V$25:$V$74,1)</f>
        <v>23</v>
      </c>
      <c r="Z39" s="0" t="n">
        <f aca="false">RANK(W39,$W$25:$W$74,0)</f>
        <v>41</v>
      </c>
      <c r="AA39" s="0" t="n">
        <f aca="false">RANK(X39,$X$25:$X$74,1)</f>
        <v>46</v>
      </c>
      <c r="AB39" s="0" t="n">
        <f aca="false">AVERAGE(Y39:AA39)</f>
        <v>36.6666666666667</v>
      </c>
      <c r="AC39" s="0" t="n">
        <f aca="false">RANK(AB39,$AB$25:$AB$74,1)</f>
        <v>47</v>
      </c>
      <c r="AD39" s="0" t="n">
        <f aca="false">ROUNDUP(5*AC39/COUNT($AB$25:$AB$74),0)</f>
        <v>5</v>
      </c>
      <c r="AE39" s="0" t="str">
        <f aca="false">IF(4_Screening!E39&gt;0,4_Screening!C39/4_Screening!E39,"")</f>
        <v/>
      </c>
      <c r="AF39" s="0" t="n">
        <f aca="false">MIN(MAX(4_Screening!H39,PERCENTILE(4_Screening!$H$25:$H$74,0.05)),PERCENTILE(4_Screening!$H$25:$H$74,0.95))</f>
        <v>0.1377</v>
      </c>
    </row>
    <row r="40" customFormat="false" ht="15" hidden="false" customHeight="false" outlineLevel="0" collapsed="false">
      <c r="A40" s="0" t="str">
        <f aca="false">UPPER(TRIM(1_Lookups!G40))</f>
        <v>GRVL</v>
      </c>
      <c r="B40" s="0" t="n">
        <f aca="false">VALUE(TRIM(1_Lookups!I40))</f>
        <v>113.84</v>
      </c>
      <c r="C40" s="0" t="n">
        <f aca="false">B40*1_Lookups!J40</f>
        <v>318752</v>
      </c>
      <c r="D40" s="0" t="n">
        <f aca="false">IF(ISNUMBER(MATCH(A40,1_Lookups!$A$25:$A$54,0)),1,0)</f>
        <v>1</v>
      </c>
      <c r="E40" s="0" t="str">
        <f aca="false">IFERROR(INDEX(1_Lookups!$C$25:$C$54,MATCH(A40,1_Lookups!$A$25:$A$54,0)),"Not Found")</f>
        <v>Energy</v>
      </c>
      <c r="F40" s="0" t="n">
        <f aca="false">IF(COUNTIF(1_Lookups!$F$25:F40,1_Lookups!F40)&gt;1,1,0)</f>
        <v>0</v>
      </c>
      <c r="G40" s="0" t="n">
        <f aca="false">IF(EXACT(1_Lookups!G40,A40),0,1)</f>
        <v>0</v>
      </c>
      <c r="H40" s="0" t="n">
        <f aca="false">IF(ISTEXT(1_Lookups!I40),1,0)</f>
        <v>0</v>
      </c>
      <c r="M40" s="0" t="n">
        <f aca="false">3_Returns!B40/3_Returns!B39-1</f>
        <v>-0.000199720391451885</v>
      </c>
      <c r="N40" s="0" t="n">
        <f aca="false">3_Returns!C40/3_Returns!C39-1</f>
        <v>0.00545023696682478</v>
      </c>
      <c r="O40" s="0" t="n">
        <f aca="false">3_Returns!D40/3_Returns!D39-1</f>
        <v>-0.00229639491800071</v>
      </c>
      <c r="P40" s="0" t="n">
        <f aca="false">MAX(3_Returns!$B$31:B40)</f>
        <v>51.01</v>
      </c>
      <c r="Q40" s="0" t="n">
        <f aca="false">3_Returns!B40/P40-1</f>
        <v>-0.018623799255048</v>
      </c>
      <c r="R40" s="0" t="n">
        <f aca="false">LN(3_Returns!B40/3_Returns!B39)</f>
        <v>-0.000199740338225162</v>
      </c>
      <c r="S40" s="0" t="n">
        <f aca="false">M40-O40</f>
        <v>0.00209667452654883</v>
      </c>
      <c r="T40" s="0" t="n">
        <f aca="false">IF(M40&gt;O40,1,0)</f>
        <v>1</v>
      </c>
      <c r="V40" s="0" t="n">
        <f aca="false">4_Screening!C40/4_Screening!D40</f>
        <v>2.29653871755048</v>
      </c>
      <c r="W40" s="0" t="n">
        <f aca="false">4_Screening!E40/4_Screening!C40</f>
        <v>0.0875320032848655</v>
      </c>
      <c r="X40" s="0" t="n">
        <f aca="false">4_Screening!F40/4_Screening!G40</f>
        <v>15.2543103448276</v>
      </c>
      <c r="Y40" s="0" t="n">
        <f aca="false">RANK(V40,$V$25:$V$74,1)</f>
        <v>38</v>
      </c>
      <c r="Z40" s="0" t="n">
        <f aca="false">RANK(W40,$W$25:$W$74,0)</f>
        <v>11</v>
      </c>
      <c r="AA40" s="0" t="n">
        <f aca="false">RANK(X40,$X$25:$X$74,1)</f>
        <v>45</v>
      </c>
      <c r="AB40" s="0" t="n">
        <f aca="false">AVERAGE(Y40:AA40)</f>
        <v>31.3333333333333</v>
      </c>
      <c r="AC40" s="0" t="n">
        <f aca="false">RANK(AB40,$AB$25:$AB$74,1)</f>
        <v>34</v>
      </c>
      <c r="AD40" s="0" t="n">
        <f aca="false">ROUNDUP(5*AC40/COUNT($AB$25:$AB$74),0)</f>
        <v>4</v>
      </c>
      <c r="AE40" s="0" t="n">
        <f aca="false">IF(4_Screening!E40&gt;0,4_Screening!C40/4_Screening!E40,"")</f>
        <v>11.4243929359823</v>
      </c>
      <c r="AF40" s="0" t="n">
        <f aca="false">MIN(MAX(4_Screening!H40,PERCENTILE(4_Screening!$H$25:$H$74,0.05)),PERCENTILE(4_Screening!$H$25:$H$74,0.95))</f>
        <v>0.1886</v>
      </c>
    </row>
    <row r="41" customFormat="false" ht="15" hidden="false" customHeight="false" outlineLevel="0" collapsed="false">
      <c r="A41" s="0" t="str">
        <f aca="false">UPPER(TRIM(1_Lookups!G41))</f>
        <v>BRKN</v>
      </c>
      <c r="B41" s="0" t="n">
        <f aca="false">VALUE(TRIM(1_Lookups!I41))</f>
        <v>192.94</v>
      </c>
      <c r="C41" s="0" t="n">
        <f aca="false">B41*1_Lookups!J41</f>
        <v>694584</v>
      </c>
      <c r="D41" s="0" t="n">
        <f aca="false">IF(ISNUMBER(MATCH(A41,1_Lookups!$A$25:$A$54,0)),1,0)</f>
        <v>1</v>
      </c>
      <c r="E41" s="0" t="str">
        <f aca="false">IFERROR(INDEX(1_Lookups!$C$25:$C$54,MATCH(A41,1_Lookups!$A$25:$A$54,0)),"Not Found")</f>
        <v>Financials</v>
      </c>
      <c r="F41" s="0" t="n">
        <f aca="false">IF(COUNTIF(1_Lookups!$F$25:F41,1_Lookups!F41)&gt;1,1,0)</f>
        <v>0</v>
      </c>
      <c r="G41" s="0" t="n">
        <f aca="false">IF(EXACT(1_Lookups!G41,A41),0,1)</f>
        <v>0</v>
      </c>
      <c r="H41" s="0" t="n">
        <f aca="false">IF(ISTEXT(1_Lookups!I41),1,0)</f>
        <v>0</v>
      </c>
      <c r="M41" s="0" t="n">
        <f aca="false">3_Returns!B41/3_Returns!B40-1</f>
        <v>-0.0295645225729125</v>
      </c>
      <c r="N41" s="0" t="n">
        <f aca="false">3_Returns!C41/3_Returns!C40-1</f>
        <v>-0.00942729201037007</v>
      </c>
      <c r="O41" s="0" t="n">
        <f aca="false">3_Returns!D41/3_Returns!D40-1</f>
        <v>0.00240857500978442</v>
      </c>
      <c r="P41" s="0" t="n">
        <f aca="false">MAX(3_Returns!$B$31:B41)</f>
        <v>51.01</v>
      </c>
      <c r="Q41" s="0" t="n">
        <f aca="false">3_Returns!B41/P41-1</f>
        <v>-0.0476377180944912</v>
      </c>
      <c r="R41" s="0" t="n">
        <f aca="false">LN(3_Returns!B41/3_Returns!B40)</f>
        <v>-0.0300103624296017</v>
      </c>
      <c r="S41" s="0" t="n">
        <f aca="false">M41-O41</f>
        <v>-0.031973097582697</v>
      </c>
      <c r="T41" s="0" t="n">
        <f aca="false">IF(M41&gt;O41,1,0)</f>
        <v>0</v>
      </c>
      <c r="V41" s="0" t="n">
        <f aca="false">4_Screening!C41/4_Screening!D41</f>
        <v>1.40728143109096</v>
      </c>
      <c r="W41" s="0" t="n">
        <f aca="false">4_Screening!E41/4_Screening!C41</f>
        <v>0.0947095157103214</v>
      </c>
      <c r="X41" s="0" t="n">
        <f aca="false">4_Screening!F41/4_Screening!G41</f>
        <v>8.24324324324324</v>
      </c>
      <c r="Y41" s="0" t="n">
        <f aca="false">RANK(V41,$V$25:$V$74,1)</f>
        <v>17</v>
      </c>
      <c r="Z41" s="0" t="n">
        <f aca="false">RANK(W41,$W$25:$W$74,0)</f>
        <v>9</v>
      </c>
      <c r="AA41" s="0" t="n">
        <f aca="false">RANK(X41,$X$25:$X$74,1)</f>
        <v>20</v>
      </c>
      <c r="AB41" s="0" t="n">
        <f aca="false">AVERAGE(Y41:AA41)</f>
        <v>15.3333333333333</v>
      </c>
      <c r="AC41" s="0" t="n">
        <f aca="false">RANK(AB41,$AB$25:$AB$74,1)</f>
        <v>8</v>
      </c>
      <c r="AD41" s="0" t="n">
        <f aca="false">ROUNDUP(5*AC41/COUNT($AB$25:$AB$74),0)</f>
        <v>1</v>
      </c>
      <c r="AE41" s="0" t="n">
        <f aca="false">IF(4_Screening!E41&gt;0,4_Screening!C41/4_Screening!E41,"")</f>
        <v>10.5586011342155</v>
      </c>
      <c r="AF41" s="0" t="n">
        <f aca="false">MIN(MAX(4_Screening!H41,PERCENTILE(4_Screening!$H$25:$H$74,0.05)),PERCENTILE(4_Screening!$H$25:$H$74,0.95))</f>
        <v>0.0426</v>
      </c>
    </row>
    <row r="42" customFormat="false" ht="15" hidden="false" customHeight="false" outlineLevel="0" collapsed="false">
      <c r="A42" s="0" t="str">
        <f aca="false">UPPER(TRIM(1_Lookups!G42))</f>
        <v>VSTR</v>
      </c>
      <c r="B42" s="0" t="n">
        <f aca="false">VALUE(TRIM(1_Lookups!I42))</f>
        <v>113.22</v>
      </c>
      <c r="C42" s="0" t="n">
        <f aca="false">B42*1_Lookups!J42</f>
        <v>271728</v>
      </c>
      <c r="D42" s="0" t="n">
        <f aca="false">IF(ISNUMBER(MATCH(A42,1_Lookups!$A$25:$A$54,0)),1,0)</f>
        <v>1</v>
      </c>
      <c r="E42" s="0" t="str">
        <f aca="false">IFERROR(INDEX(1_Lookups!$C$25:$C$54,MATCH(A42,1_Lookups!$A$25:$A$54,0)),"Not Found")</f>
        <v>Technology</v>
      </c>
      <c r="F42" s="0" t="n">
        <f aca="false">IF(COUNTIF(1_Lookups!$F$25:F42,1_Lookups!F42)&gt;1,1,0)</f>
        <v>0</v>
      </c>
      <c r="G42" s="0" t="n">
        <f aca="false">IF(EXACT(1_Lookups!G42,A42),0,1)</f>
        <v>0</v>
      </c>
      <c r="H42" s="0" t="n">
        <f aca="false">IF(ISTEXT(1_Lookups!I42),1,0)</f>
        <v>0</v>
      </c>
      <c r="M42" s="0" t="n">
        <f aca="false">3_Returns!B42/3_Returns!B41-1</f>
        <v>-0.025319061342116</v>
      </c>
      <c r="N42" s="0" t="n">
        <f aca="false">3_Returns!C42/3_Returns!C41-1</f>
        <v>0.00142755174875076</v>
      </c>
      <c r="O42" s="0" t="n">
        <f aca="false">3_Returns!D42/3_Returns!D41-1</f>
        <v>-0.0133761489349991</v>
      </c>
      <c r="P42" s="0" t="n">
        <f aca="false">MAX(3_Returns!$B$31:B42)</f>
        <v>51.01</v>
      </c>
      <c r="Q42" s="0" t="n">
        <f aca="false">3_Returns!B42/P42-1</f>
        <v>-0.0717506371299744</v>
      </c>
      <c r="R42" s="0" t="n">
        <f aca="false">LN(3_Returns!B42/3_Returns!B41)</f>
        <v>-0.0256451039419391</v>
      </c>
      <c r="S42" s="0" t="n">
        <f aca="false">M42-O42</f>
        <v>-0.011942912407117</v>
      </c>
      <c r="T42" s="0" t="n">
        <f aca="false">IF(M42&gt;O42,1,0)</f>
        <v>0</v>
      </c>
      <c r="V42" s="0" t="n">
        <f aca="false">4_Screening!C42/4_Screening!D42</f>
        <v>2.18815738215816</v>
      </c>
      <c r="W42" s="0" t="n">
        <f aca="false">4_Screening!E42/4_Screening!C42</f>
        <v>0.0639131208830337</v>
      </c>
      <c r="X42" s="0" t="n">
        <f aca="false">4_Screening!F42/4_Screening!G42</f>
        <v>15.8611111111111</v>
      </c>
      <c r="Y42" s="0" t="n">
        <f aca="false">RANK(V42,$V$25:$V$74,1)</f>
        <v>34</v>
      </c>
      <c r="Z42" s="0" t="n">
        <f aca="false">RANK(W42,$W$25:$W$74,0)</f>
        <v>20</v>
      </c>
      <c r="AA42" s="0" t="n">
        <f aca="false">RANK(X42,$X$25:$X$74,1)</f>
        <v>47</v>
      </c>
      <c r="AB42" s="0" t="n">
        <f aca="false">AVERAGE(Y42:AA42)</f>
        <v>33.6666666666667</v>
      </c>
      <c r="AC42" s="0" t="n">
        <f aca="false">RANK(AB42,$AB$25:$AB$74,1)</f>
        <v>44</v>
      </c>
      <c r="AD42" s="0" t="n">
        <f aca="false">ROUNDUP(5*AC42/COUNT($AB$25:$AB$74),0)</f>
        <v>5</v>
      </c>
      <c r="AE42" s="0" t="n">
        <f aca="false">IF(4_Screening!E42&gt;0,4_Screening!C42/4_Screening!E42,"")</f>
        <v>15.6462395543176</v>
      </c>
      <c r="AF42" s="0" t="n">
        <f aca="false">MIN(MAX(4_Screening!H42,PERCENTILE(4_Screening!$H$25:$H$74,0.05)),PERCENTILE(4_Screening!$H$25:$H$74,0.95))</f>
        <v>0.03151</v>
      </c>
    </row>
    <row r="43" customFormat="false" ht="15" hidden="false" customHeight="false" outlineLevel="0" collapsed="false">
      <c r="A43" s="0" t="str">
        <f aca="false">UPPER(TRIM(1_Lookups!G43))</f>
        <v>OKRA</v>
      </c>
      <c r="B43" s="0" t="n">
        <f aca="false">VALUE(TRIM(1_Lookups!I43))</f>
        <v>33.97</v>
      </c>
      <c r="C43" s="0" t="n">
        <f aca="false">B43*1_Lookups!J43</f>
        <v>122292</v>
      </c>
      <c r="D43" s="0" t="n">
        <f aca="false">IF(ISNUMBER(MATCH(A43,1_Lookups!$A$25:$A$54,0)),1,0)</f>
        <v>1</v>
      </c>
      <c r="E43" s="0" t="str">
        <f aca="false">IFERROR(INDEX(1_Lookups!$C$25:$C$54,MATCH(A43,1_Lookups!$A$25:$A$54,0)),"Not Found")</f>
        <v>Financials</v>
      </c>
      <c r="F43" s="0" t="n">
        <f aca="false">IF(COUNTIF(1_Lookups!$F$25:F43,1_Lookups!F43)&gt;1,1,0)</f>
        <v>0</v>
      </c>
      <c r="G43" s="0" t="n">
        <f aca="false">IF(EXACT(1_Lookups!G43,A43),0,1)</f>
        <v>0</v>
      </c>
      <c r="H43" s="0" t="n">
        <f aca="false">IF(ISTEXT(1_Lookups!I43),1,0)</f>
        <v>1</v>
      </c>
      <c r="M43" s="0" t="n">
        <f aca="false">3_Returns!B43/3_Returns!B42-1</f>
        <v>0.0230200633579725</v>
      </c>
      <c r="N43" s="0" t="n">
        <f aca="false">3_Returns!C43/3_Returns!C42-1</f>
        <v>0.0232834402470896</v>
      </c>
      <c r="O43" s="0" t="n">
        <f aca="false">3_Returns!D43/3_Returns!D42-1</f>
        <v>0.0167877956386595</v>
      </c>
      <c r="P43" s="0" t="n">
        <f aca="false">MAX(3_Returns!$B$31:B43)</f>
        <v>51.01</v>
      </c>
      <c r="Q43" s="0" t="n">
        <f aca="false">3_Returns!B43/P43-1</f>
        <v>-0.0503822779847088</v>
      </c>
      <c r="R43" s="0" t="n">
        <f aca="false">LN(3_Returns!B43/3_Returns!B42)</f>
        <v>0.0227590990528042</v>
      </c>
      <c r="S43" s="0" t="n">
        <f aca="false">M43-O43</f>
        <v>0.00623226771931296</v>
      </c>
      <c r="T43" s="0" t="n">
        <f aca="false">IF(M43&gt;O43,1,0)</f>
        <v>1</v>
      </c>
      <c r="V43" s="0" t="n">
        <f aca="false">4_Screening!C43/4_Screening!D43</f>
        <v>1.16104138398915</v>
      </c>
      <c r="W43" s="0" t="n">
        <f aca="false">4_Screening!E43/4_Screening!C43</f>
        <v>0.126725586151486</v>
      </c>
      <c r="X43" s="0" t="n">
        <f aca="false">4_Screening!F43/4_Screening!G43</f>
        <v>8.88836104513064</v>
      </c>
      <c r="Y43" s="0" t="n">
        <f aca="false">RANK(V43,$V$25:$V$74,1)</f>
        <v>12</v>
      </c>
      <c r="Z43" s="0" t="n">
        <f aca="false">RANK(W43,$W$25:$W$74,0)</f>
        <v>2</v>
      </c>
      <c r="AA43" s="0" t="n">
        <f aca="false">RANK(X43,$X$25:$X$74,1)</f>
        <v>25</v>
      </c>
      <c r="AB43" s="0" t="n">
        <f aca="false">AVERAGE(Y43:AA43)</f>
        <v>13</v>
      </c>
      <c r="AC43" s="0" t="n">
        <f aca="false">RANK(AB43,$AB$25:$AB$74,1)</f>
        <v>2</v>
      </c>
      <c r="AD43" s="0" t="n">
        <f aca="false">ROUNDUP(5*AC43/COUNT($AB$25:$AB$74),0)</f>
        <v>1</v>
      </c>
      <c r="AE43" s="0" t="n">
        <f aca="false">IF(4_Screening!E43&gt;0,4_Screening!C43/4_Screening!E43,"")</f>
        <v>7.89106628242075</v>
      </c>
      <c r="AF43" s="0" t="n">
        <f aca="false">MIN(MAX(4_Screening!H43,PERCENTILE(4_Screening!$H$25:$H$74,0.05)),PERCENTILE(4_Screening!$H$25:$H$74,0.95))</f>
        <v>0.1189</v>
      </c>
    </row>
    <row r="44" customFormat="false" ht="15" hidden="false" customHeight="false" outlineLevel="0" collapsed="false">
      <c r="A44" s="0" t="str">
        <f aca="false">UPPER(TRIM(1_Lookups!G44))</f>
        <v>EVRG</v>
      </c>
      <c r="B44" s="0" t="n">
        <f aca="false">VALUE(TRIM(1_Lookups!I44))</f>
        <v>37.19</v>
      </c>
      <c r="C44" s="0" t="n">
        <f aca="false">B44*1_Lookups!J44</f>
        <v>174793</v>
      </c>
      <c r="D44" s="0" t="n">
        <f aca="false">IF(ISNUMBER(MATCH(A44,1_Lookups!$A$25:$A$54,0)),1,0)</f>
        <v>1</v>
      </c>
      <c r="E44" s="0" t="str">
        <f aca="false">IFERROR(INDEX(1_Lookups!$C$25:$C$54,MATCH(A44,1_Lookups!$A$25:$A$54,0)),"Not Found")</f>
        <v>Consumer</v>
      </c>
      <c r="F44" s="0" t="n">
        <f aca="false">IF(COUNTIF(1_Lookups!$F$25:F44,1_Lookups!F44)&gt;1,1,0)</f>
        <v>0</v>
      </c>
      <c r="G44" s="0" t="n">
        <f aca="false">IF(EXACT(1_Lookups!G44,A44),0,1)</f>
        <v>1</v>
      </c>
      <c r="H44" s="0" t="n">
        <f aca="false">IF(ISTEXT(1_Lookups!I44),1,0)</f>
        <v>0</v>
      </c>
      <c r="M44" s="0" t="n">
        <f aca="false">3_Returns!B44/3_Returns!B43-1</f>
        <v>0.0214698596201486</v>
      </c>
      <c r="N44" s="0" t="n">
        <f aca="false">3_Returns!C44/3_Returns!C43-1</f>
        <v>-0.00441142326445343</v>
      </c>
      <c r="O44" s="0" t="n">
        <f aca="false">3_Returns!D44/3_Returns!D43-1</f>
        <v>0.0013698841513492</v>
      </c>
      <c r="P44" s="0" t="n">
        <f aca="false">MAX(3_Returns!$B$31:B44)</f>
        <v>51.01</v>
      </c>
      <c r="Q44" s="0" t="n">
        <f aca="false">3_Returns!B44/P44-1</f>
        <v>-0.0299941188002353</v>
      </c>
      <c r="R44" s="0" t="n">
        <f aca="false">LN(3_Returns!B44/3_Returns!B43)</f>
        <v>0.0212426288393956</v>
      </c>
      <c r="S44" s="0" t="n">
        <f aca="false">M44-O44</f>
        <v>0.0200999754687994</v>
      </c>
      <c r="T44" s="0" t="n">
        <f aca="false">IF(M44&gt;O44,1,0)</f>
        <v>1</v>
      </c>
      <c r="V44" s="0" t="n">
        <f aca="false">4_Screening!C44/4_Screening!D44</f>
        <v>1.79332880665422</v>
      </c>
      <c r="W44" s="0" t="n">
        <f aca="false">4_Screening!E44/4_Screening!C44</f>
        <v>0.134885702115576</v>
      </c>
      <c r="X44" s="0" t="n">
        <f aca="false">4_Screening!F44/4_Screening!G44</f>
        <v>10.3142857142857</v>
      </c>
      <c r="Y44" s="0" t="n">
        <f aca="false">RANK(V44,$V$25:$V$74,1)</f>
        <v>27</v>
      </c>
      <c r="Z44" s="0" t="n">
        <f aca="false">RANK(W44,$W$25:$W$74,0)</f>
        <v>1</v>
      </c>
      <c r="AA44" s="0" t="n">
        <f aca="false">RANK(X44,$X$25:$X$74,1)</f>
        <v>30</v>
      </c>
      <c r="AB44" s="0" t="n">
        <f aca="false">AVERAGE(Y44:AA44)</f>
        <v>19.3333333333333</v>
      </c>
      <c r="AC44" s="0" t="n">
        <f aca="false">RANK(AB44,$AB$25:$AB$74,1)</f>
        <v>11</v>
      </c>
      <c r="AD44" s="0" t="n">
        <f aca="false">ROUNDUP(5*AC44/COUNT($AB$25:$AB$74),0)</f>
        <v>2</v>
      </c>
      <c r="AE44" s="0" t="n">
        <f aca="false">IF(4_Screening!E44&gt;0,4_Screening!C44/4_Screening!E44,"")</f>
        <v>7.41368421052632</v>
      </c>
      <c r="AF44" s="0" t="n">
        <f aca="false">MIN(MAX(4_Screening!H44,PERCENTILE(4_Screening!$H$25:$H$74,0.05)),PERCENTILE(4_Screening!$H$25:$H$74,0.95))</f>
        <v>0.0523</v>
      </c>
    </row>
    <row r="45" customFormat="false" ht="15" hidden="false" customHeight="false" outlineLevel="0" collapsed="false">
      <c r="A45" s="0" t="str">
        <f aca="false">UPPER(TRIM(1_Lookups!G45))</f>
        <v>ZZZZ</v>
      </c>
      <c r="B45" s="0" t="n">
        <f aca="false">VALUE(TRIM(1_Lookups!I45))</f>
        <v>62.92</v>
      </c>
      <c r="C45" s="0" t="n">
        <f aca="false">B45*1_Lookups!J45</f>
        <v>176176</v>
      </c>
      <c r="D45" s="0" t="n">
        <f aca="false">IF(ISNUMBER(MATCH(A45,1_Lookups!$A$25:$A$54,0)),1,0)</f>
        <v>0</v>
      </c>
      <c r="E45" s="0" t="str">
        <f aca="false">IFERROR(INDEX(1_Lookups!$C$25:$C$54,MATCH(A45,1_Lookups!$A$25:$A$54,0)),"Not Found")</f>
        <v>Not Found</v>
      </c>
      <c r="F45" s="0" t="n">
        <f aca="false">IF(COUNTIF(1_Lookups!$F$25:F45,1_Lookups!F45)&gt;1,1,0)</f>
        <v>0</v>
      </c>
      <c r="G45" s="0" t="n">
        <f aca="false">IF(EXACT(1_Lookups!G45,A45),0,1)</f>
        <v>0</v>
      </c>
      <c r="H45" s="0" t="n">
        <f aca="false">IF(ISTEXT(1_Lookups!I45),1,0)</f>
        <v>0</v>
      </c>
      <c r="M45" s="0" t="n">
        <f aca="false">3_Returns!B45/3_Returns!B44-1</f>
        <v>-0.0105092966855295</v>
      </c>
      <c r="N45" s="0" t="n">
        <f aca="false">3_Returns!C45/3_Returns!C44-1</f>
        <v>-0.0141480099502487</v>
      </c>
      <c r="O45" s="0" t="n">
        <f aca="false">3_Returns!D45/3_Returns!D44-1</f>
        <v>-0.0118926137725576</v>
      </c>
      <c r="P45" s="0" t="n">
        <f aca="false">MAX(3_Returns!$B$31:B45)</f>
        <v>51.01</v>
      </c>
      <c r="Q45" s="0" t="n">
        <f aca="false">3_Returns!B45/P45-1</f>
        <v>-0.040188198392472</v>
      </c>
      <c r="R45" s="0" t="n">
        <f aca="false">LN(3_Returns!B45/3_Returns!B44)</f>
        <v>-0.0105649093202165</v>
      </c>
      <c r="S45" s="0" t="n">
        <f aca="false">M45-O45</f>
        <v>0.0013833170870281</v>
      </c>
      <c r="T45" s="0" t="n">
        <f aca="false">IF(M45&gt;O45,1,0)</f>
        <v>1</v>
      </c>
      <c r="V45" s="0" t="n">
        <f aca="false">4_Screening!C45/4_Screening!D45</f>
        <v>2.58347837729281</v>
      </c>
      <c r="W45" s="0" t="n">
        <f aca="false">4_Screening!E45/4_Screening!C45</f>
        <v>0.011764096185738</v>
      </c>
      <c r="X45" s="0" t="n">
        <f aca="false">4_Screening!F45/4_Screening!G45</f>
        <v>12.2953703703704</v>
      </c>
      <c r="Y45" s="0" t="n">
        <f aca="false">RANK(V45,$V$25:$V$74,1)</f>
        <v>41</v>
      </c>
      <c r="Z45" s="0" t="n">
        <f aca="false">RANK(W45,$W$25:$W$74,0)</f>
        <v>39</v>
      </c>
      <c r="AA45" s="0" t="n">
        <f aca="false">RANK(X45,$X$25:$X$74,1)</f>
        <v>37</v>
      </c>
      <c r="AB45" s="0" t="n">
        <f aca="false">AVERAGE(Y45:AA45)</f>
        <v>39</v>
      </c>
      <c r="AC45" s="0" t="n">
        <f aca="false">RANK(AB45,$AB$25:$AB$74,1)</f>
        <v>49</v>
      </c>
      <c r="AD45" s="0" t="n">
        <f aca="false">ROUNDUP(5*AC45/COUNT($AB$25:$AB$74),0)</f>
        <v>5</v>
      </c>
      <c r="AE45" s="0" t="n">
        <f aca="false">IF(4_Screening!E45&gt;0,4_Screening!C45/4_Screening!E45,"")</f>
        <v>85.0044052863436</v>
      </c>
      <c r="AF45" s="0" t="n">
        <f aca="false">MIN(MAX(4_Screening!H45,PERCENTILE(4_Screening!$H$25:$H$74,0.05)),PERCENTILE(4_Screening!$H$25:$H$74,0.95))</f>
        <v>0.1451</v>
      </c>
    </row>
    <row r="46" customFormat="false" ht="15" hidden="false" customHeight="false" outlineLevel="0" collapsed="false">
      <c r="A46" s="0" t="str">
        <f aca="false">UPPER(TRIM(1_Lookups!G46))</f>
        <v>VSTR</v>
      </c>
      <c r="B46" s="0" t="n">
        <f aca="false">VALUE(TRIM(1_Lookups!I46))</f>
        <v>88.11</v>
      </c>
      <c r="C46" s="0" t="n">
        <f aca="false">B46*1_Lookups!J46</f>
        <v>52866</v>
      </c>
      <c r="D46" s="0" t="n">
        <f aca="false">IF(ISNUMBER(MATCH(A46,1_Lookups!$A$25:$A$54,0)),1,0)</f>
        <v>1</v>
      </c>
      <c r="E46" s="0" t="str">
        <f aca="false">IFERROR(INDEX(1_Lookups!$C$25:$C$54,MATCH(A46,1_Lookups!$A$25:$A$54,0)),"Not Found")</f>
        <v>Technology</v>
      </c>
      <c r="F46" s="0" t="n">
        <f aca="false">IF(COUNTIF(1_Lookups!$F$25:F46,1_Lookups!F46)&gt;1,1,0)</f>
        <v>0</v>
      </c>
      <c r="G46" s="0" t="n">
        <f aca="false">IF(EXACT(1_Lookups!G46,A46),0,1)</f>
        <v>0</v>
      </c>
      <c r="H46" s="0" t="n">
        <f aca="false">IF(ISTEXT(1_Lookups!I46),1,0)</f>
        <v>1</v>
      </c>
      <c r="M46" s="0" t="n">
        <f aca="false">3_Returns!B46/3_Returns!B45-1</f>
        <v>-0.0167483660130719</v>
      </c>
      <c r="N46" s="0" t="n">
        <f aca="false">3_Returns!C46/3_Returns!C45-1</f>
        <v>-0.0100930452609997</v>
      </c>
      <c r="O46" s="0" t="n">
        <f aca="false">3_Returns!D46/3_Returns!D45-1</f>
        <v>-0.0169065383962268</v>
      </c>
      <c r="P46" s="0" t="n">
        <f aca="false">MAX(3_Returns!$B$31:B46)</f>
        <v>51.01</v>
      </c>
      <c r="Q46" s="0" t="n">
        <f aca="false">3_Returns!B46/P46-1</f>
        <v>-0.0562634777494608</v>
      </c>
      <c r="R46" s="0" t="n">
        <f aca="false">LN(3_Returns!B46/3_Returns!B45)</f>
        <v>-0.0168902058491448</v>
      </c>
      <c r="S46" s="0" t="n">
        <f aca="false">M46-O46</f>
        <v>0.000158172383154853</v>
      </c>
      <c r="T46" s="0" t="n">
        <f aca="false">IF(M46&gt;O46,1,0)</f>
        <v>1</v>
      </c>
      <c r="V46" s="0" t="n">
        <f aca="false">4_Screening!C46/4_Screening!D46</f>
        <v>1.87214654767496</v>
      </c>
      <c r="W46" s="0" t="n">
        <f aca="false">4_Screening!E46/4_Screening!C46</f>
        <v>0.101460183651964</v>
      </c>
      <c r="X46" s="0" t="n">
        <f aca="false">4_Screening!F46/4_Screening!G46</f>
        <v>9.9957264957265</v>
      </c>
      <c r="Y46" s="0" t="n">
        <f aca="false">RANK(V46,$V$25:$V$74,1)</f>
        <v>28</v>
      </c>
      <c r="Z46" s="0" t="n">
        <f aca="false">RANK(W46,$W$25:$W$74,0)</f>
        <v>5</v>
      </c>
      <c r="AA46" s="0" t="n">
        <f aca="false">RANK(X46,$X$25:$X$74,1)</f>
        <v>28</v>
      </c>
      <c r="AB46" s="0" t="n">
        <f aca="false">AVERAGE(Y46:AA46)</f>
        <v>20.3333333333333</v>
      </c>
      <c r="AC46" s="0" t="n">
        <f aca="false">RANK(AB46,$AB$25:$AB$74,1)</f>
        <v>14</v>
      </c>
      <c r="AD46" s="0" t="n">
        <f aca="false">ROUNDUP(5*AC46/COUNT($AB$25:$AB$74),0)</f>
        <v>2</v>
      </c>
      <c r="AE46" s="0" t="n">
        <f aca="false">IF(4_Screening!E46&gt;0,4_Screening!C46/4_Screening!E46,"")</f>
        <v>9.85608308605341</v>
      </c>
      <c r="AF46" s="0" t="n">
        <f aca="false">MIN(MAX(4_Screening!H46,PERCENTILE(4_Screening!$H$25:$H$74,0.05)),PERCENTILE(4_Screening!$H$25:$H$74,0.95))</f>
        <v>0.1324</v>
      </c>
    </row>
    <row r="47" customFormat="false" ht="15" hidden="false" customHeight="false" outlineLevel="0" collapsed="false">
      <c r="A47" s="0" t="str">
        <f aca="false">UPPER(TRIM(1_Lookups!G47))</f>
        <v>VSTR</v>
      </c>
      <c r="B47" s="0" t="n">
        <f aca="false">VALUE(TRIM(1_Lookups!I47))</f>
        <v>87.46</v>
      </c>
      <c r="C47" s="0" t="n">
        <f aca="false">B47*1_Lookups!J47</f>
        <v>236142</v>
      </c>
      <c r="D47" s="0" t="n">
        <f aca="false">IF(ISNUMBER(MATCH(A47,1_Lookups!$A$25:$A$54,0)),1,0)</f>
        <v>1</v>
      </c>
      <c r="E47" s="0" t="str">
        <f aca="false">IFERROR(INDEX(1_Lookups!$C$25:$C$54,MATCH(A47,1_Lookups!$A$25:$A$54,0)),"Not Found")</f>
        <v>Technology</v>
      </c>
      <c r="F47" s="0" t="n">
        <f aca="false">IF(COUNTIF(1_Lookups!$F$25:F47,1_Lookups!F47)&gt;1,1,0)</f>
        <v>0</v>
      </c>
      <c r="G47" s="0" t="n">
        <f aca="false">IF(EXACT(1_Lookups!G47,A47),0,1)</f>
        <v>0</v>
      </c>
      <c r="H47" s="0" t="n">
        <f aca="false">IF(ISTEXT(1_Lookups!I47),1,0)</f>
        <v>0</v>
      </c>
      <c r="M47" s="0" t="n">
        <f aca="false">3_Returns!B47/3_Returns!B46-1</f>
        <v>-0.0205650186954716</v>
      </c>
      <c r="N47" s="0" t="n">
        <f aca="false">3_Returns!C47/3_Returns!C46-1</f>
        <v>-0.00151346184483048</v>
      </c>
      <c r="O47" s="0" t="n">
        <f aca="false">3_Returns!D47/3_Returns!D46-1</f>
        <v>-0.00251693378243323</v>
      </c>
      <c r="P47" s="0" t="n">
        <f aca="false">MAX(3_Returns!$B$31:B47)</f>
        <v>51.01</v>
      </c>
      <c r="Q47" s="0" t="n">
        <f aca="false">3_Returns!B47/P47-1</f>
        <v>-0.0756714369731425</v>
      </c>
      <c r="R47" s="0" t="n">
        <f aca="false">LN(3_Returns!B47/3_Returns!B46)</f>
        <v>-0.0207794232754594</v>
      </c>
      <c r="S47" s="0" t="n">
        <f aca="false">M47-O47</f>
        <v>-0.0180480849130383</v>
      </c>
      <c r="T47" s="0" t="n">
        <f aca="false">IF(M47&gt;O47,1,0)</f>
        <v>0</v>
      </c>
      <c r="V47" s="0" t="n">
        <f aca="false">4_Screening!C47/4_Screening!D47</f>
        <v>1.38510965218606</v>
      </c>
      <c r="W47" s="0" t="n">
        <f aca="false">4_Screening!E47/4_Screening!C47</f>
        <v>0.0776522791448165</v>
      </c>
      <c r="X47" s="0" t="n">
        <f aca="false">4_Screening!F47/4_Screening!G47</f>
        <v>21.0140845070423</v>
      </c>
      <c r="Y47" s="0" t="n">
        <f aca="false">RANK(V47,$V$25:$V$74,1)</f>
        <v>16</v>
      </c>
      <c r="Z47" s="0" t="n">
        <f aca="false">RANK(W47,$W$25:$W$74,0)</f>
        <v>14</v>
      </c>
      <c r="AA47" s="0" t="n">
        <f aca="false">RANK(X47,$X$25:$X$74,1)</f>
        <v>50</v>
      </c>
      <c r="AB47" s="0" t="n">
        <f aca="false">AVERAGE(Y47:AA47)</f>
        <v>26.6666666666667</v>
      </c>
      <c r="AC47" s="0" t="n">
        <f aca="false">RANK(AB47,$AB$25:$AB$74,1)</f>
        <v>29</v>
      </c>
      <c r="AD47" s="0" t="n">
        <f aca="false">ROUNDUP(5*AC47/COUNT($AB$25:$AB$74),0)</f>
        <v>3</v>
      </c>
      <c r="AE47" s="0" t="n">
        <f aca="false">IF(4_Screening!E47&gt;0,4_Screening!C47/4_Screening!E47,"")</f>
        <v>12.8779220779221</v>
      </c>
      <c r="AF47" s="0" t="n">
        <f aca="false">MIN(MAX(4_Screening!H47,PERCENTILE(4_Screening!$H$25:$H$74,0.05)),PERCENTILE(4_Screening!$H$25:$H$74,0.95))</f>
        <v>0.1013</v>
      </c>
    </row>
    <row r="48" customFormat="false" ht="15" hidden="false" customHeight="false" outlineLevel="0" collapsed="false">
      <c r="A48" s="0" t="str">
        <f aca="false">UPPER(TRIM(1_Lookups!G48))</f>
        <v>ABRV</v>
      </c>
      <c r="B48" s="0" t="n">
        <f aca="false">VALUE(TRIM(1_Lookups!I48))</f>
        <v>174.29</v>
      </c>
      <c r="C48" s="0" t="n">
        <f aca="false">B48*1_Lookups!J48</f>
        <v>17429</v>
      </c>
      <c r="D48" s="0" t="n">
        <f aca="false">IF(ISNUMBER(MATCH(A48,1_Lookups!$A$25:$A$54,0)),1,0)</f>
        <v>1</v>
      </c>
      <c r="E48" s="0" t="str">
        <f aca="false">IFERROR(INDEX(1_Lookups!$C$25:$C$54,MATCH(A48,1_Lookups!$A$25:$A$54,0)),"Not Found")</f>
        <v>Financials</v>
      </c>
      <c r="F48" s="0" t="n">
        <f aca="false">IF(COUNTIF(1_Lookups!$F$25:F48,1_Lookups!F48)&gt;1,1,0)</f>
        <v>0</v>
      </c>
      <c r="G48" s="0" t="n">
        <f aca="false">IF(EXACT(1_Lookups!G48,A48),0,1)</f>
        <v>1</v>
      </c>
      <c r="H48" s="0" t="n">
        <f aca="false">IF(ISTEXT(1_Lookups!I48),1,0)</f>
        <v>0</v>
      </c>
      <c r="M48" s="0" t="n">
        <f aca="false">3_Returns!B48/3_Returns!B47-1</f>
        <v>0.017391304347826</v>
      </c>
      <c r="N48" s="0" t="n">
        <f aca="false">3_Returns!C48/3_Returns!C47-1</f>
        <v>-0.00949341842840046</v>
      </c>
      <c r="O48" s="0" t="n">
        <f aca="false">3_Returns!D48/3_Returns!D47-1</f>
        <v>-0.000586646028035265</v>
      </c>
      <c r="P48" s="0" t="n">
        <f aca="false">MAX(3_Returns!$B$31:B48)</f>
        <v>51.01</v>
      </c>
      <c r="Q48" s="0" t="n">
        <f aca="false">3_Returns!B48/P48-1</f>
        <v>-0.0595961576161537</v>
      </c>
      <c r="R48" s="0" t="n">
        <f aca="false">LN(3_Returns!B48/3_Returns!B47)</f>
        <v>0.017241806434506</v>
      </c>
      <c r="S48" s="0" t="n">
        <f aca="false">M48-O48</f>
        <v>0.0179779503758613</v>
      </c>
      <c r="T48" s="0" t="n">
        <f aca="false">IF(M48&gt;O48,1,0)</f>
        <v>1</v>
      </c>
      <c r="V48" s="0" t="n">
        <f aca="false">4_Screening!C48/4_Screening!D48</f>
        <v>0.949337382661513</v>
      </c>
      <c r="W48" s="0" t="n">
        <f aca="false">4_Screening!E48/4_Screening!C48</f>
        <v>0.076777664679366</v>
      </c>
      <c r="X48" s="0" t="n">
        <f aca="false">4_Screening!F48/4_Screening!G48</f>
        <v>9.82706766917293</v>
      </c>
      <c r="Y48" s="0" t="n">
        <f aca="false">RANK(V48,$V$25:$V$74,1)</f>
        <v>6</v>
      </c>
      <c r="Z48" s="0" t="n">
        <f aca="false">RANK(W48,$W$25:$W$74,0)</f>
        <v>15</v>
      </c>
      <c r="AA48" s="0" t="n">
        <f aca="false">RANK(X48,$X$25:$X$74,1)</f>
        <v>27</v>
      </c>
      <c r="AB48" s="0" t="n">
        <f aca="false">AVERAGE(Y48:AA48)</f>
        <v>16</v>
      </c>
      <c r="AC48" s="0" t="n">
        <f aca="false">RANK(AB48,$AB$25:$AB$74,1)</f>
        <v>9</v>
      </c>
      <c r="AD48" s="0" t="n">
        <f aca="false">ROUNDUP(5*AC48/COUNT($AB$25:$AB$74),0)</f>
        <v>1</v>
      </c>
      <c r="AE48" s="0" t="n">
        <f aca="false">IF(4_Screening!E48&gt;0,4_Screening!C48/4_Screening!E48,"")</f>
        <v>13.0246212121212</v>
      </c>
      <c r="AF48" s="0" t="n">
        <f aca="false">MIN(MAX(4_Screening!H48,PERCENTILE(4_Screening!$H$25:$H$74,0.05)),PERCENTILE(4_Screening!$H$25:$H$74,0.95))</f>
        <v>0.1577</v>
      </c>
    </row>
    <row r="49" customFormat="false" ht="15" hidden="false" customHeight="false" outlineLevel="0" collapsed="false">
      <c r="A49" s="0" t="str">
        <f aca="false">UPPER(TRIM(1_Lookups!G49))</f>
        <v>IRNW</v>
      </c>
      <c r="B49" s="0" t="n">
        <f aca="false">VALUE(TRIM(1_Lookups!I49))</f>
        <v>54.47</v>
      </c>
      <c r="C49" s="0" t="n">
        <f aca="false">B49*1_Lookups!J49</f>
        <v>201539</v>
      </c>
      <c r="D49" s="0" t="n">
        <f aca="false">IF(ISNUMBER(MATCH(A49,1_Lookups!$A$25:$A$54,0)),1,0)</f>
        <v>1</v>
      </c>
      <c r="E49" s="0" t="str">
        <f aca="false">IFERROR(INDEX(1_Lookups!$C$25:$C$54,MATCH(A49,1_Lookups!$A$25:$A$54,0)),"Not Found")</f>
        <v>Technology</v>
      </c>
      <c r="F49" s="0" t="n">
        <f aca="false">IF(COUNTIF(1_Lookups!$F$25:F49,1_Lookups!F49)&gt;1,1,0)</f>
        <v>0</v>
      </c>
      <c r="G49" s="0" t="n">
        <f aca="false">IF(EXACT(1_Lookups!G49,A49),0,1)</f>
        <v>0</v>
      </c>
      <c r="H49" s="0" t="n">
        <f aca="false">IF(ISTEXT(1_Lookups!I49),1,0)</f>
        <v>0</v>
      </c>
      <c r="M49" s="0" t="n">
        <f aca="false">3_Returns!B49/3_Returns!B48-1</f>
        <v>0.0148009172399417</v>
      </c>
      <c r="N49" s="0" t="n">
        <f aca="false">3_Returns!C49/3_Returns!C48-1</f>
        <v>0.000563788659793785</v>
      </c>
      <c r="O49" s="0" t="n">
        <f aca="false">3_Returns!D49/3_Returns!D48-1</f>
        <v>-0.00692188961398321</v>
      </c>
      <c r="P49" s="0" t="n">
        <f aca="false">MAX(3_Returns!$B$31:B49)</f>
        <v>51.01</v>
      </c>
      <c r="Q49" s="0" t="n">
        <f aca="false">3_Returns!B49/P49-1</f>
        <v>-0.0456773181729072</v>
      </c>
      <c r="R49" s="0" t="n">
        <f aca="false">LN(3_Returns!B49/3_Returns!B48)</f>
        <v>0.0146924526053539</v>
      </c>
      <c r="S49" s="0" t="n">
        <f aca="false">M49-O49</f>
        <v>0.0217228068539249</v>
      </c>
      <c r="T49" s="0" t="n">
        <f aca="false">IF(M49&gt;O49,1,0)</f>
        <v>1</v>
      </c>
      <c r="V49" s="0" t="n">
        <f aca="false">4_Screening!C49/4_Screening!D49</f>
        <v>2.01489273068111</v>
      </c>
      <c r="W49" s="0" t="n">
        <f aca="false">4_Screening!E49/4_Screening!C49</f>
        <v>0.0973794386726624</v>
      </c>
      <c r="X49" s="0" t="n">
        <f aca="false">4_Screening!F49/4_Screening!G49</f>
        <v>5.93625498007968</v>
      </c>
      <c r="Y49" s="0" t="n">
        <f aca="false">RANK(V49,$V$25:$V$74,1)</f>
        <v>31</v>
      </c>
      <c r="Z49" s="0" t="n">
        <f aca="false">RANK(W49,$W$25:$W$74,0)</f>
        <v>7</v>
      </c>
      <c r="AA49" s="0" t="n">
        <f aca="false">RANK(X49,$X$25:$X$74,1)</f>
        <v>5</v>
      </c>
      <c r="AB49" s="0" t="n">
        <f aca="false">AVERAGE(Y49:AA49)</f>
        <v>14.3333333333333</v>
      </c>
      <c r="AC49" s="0" t="n">
        <f aca="false">RANK(AB49,$AB$25:$AB$74,1)</f>
        <v>6</v>
      </c>
      <c r="AD49" s="0" t="n">
        <f aca="false">ROUNDUP(5*AC49/COUNT($AB$25:$AB$74),0)</f>
        <v>1</v>
      </c>
      <c r="AE49" s="0" t="n">
        <f aca="false">IF(4_Screening!E49&gt;0,4_Screening!C49/4_Screening!E49,"")</f>
        <v>10.2691082802548</v>
      </c>
      <c r="AF49" s="0" t="n">
        <f aca="false">MIN(MAX(4_Screening!H49,PERCENTILE(4_Screening!$H$25:$H$74,0.05)),PERCENTILE(4_Screening!$H$25:$H$74,0.95))</f>
        <v>0.03151</v>
      </c>
    </row>
    <row r="50" customFormat="false" ht="15" hidden="false" customHeight="false" outlineLevel="0" collapsed="false">
      <c r="A50" s="0" t="str">
        <f aca="false">UPPER(TRIM(1_Lookups!G50))</f>
        <v>PLMT</v>
      </c>
      <c r="B50" s="0" t="n">
        <f aca="false">VALUE(TRIM(1_Lookups!I50))</f>
        <v>33.14</v>
      </c>
      <c r="C50" s="0" t="n">
        <f aca="false">B50*1_Lookups!J50</f>
        <v>122618</v>
      </c>
      <c r="D50" s="0" t="n">
        <f aca="false">IF(ISNUMBER(MATCH(A50,1_Lookups!$A$25:$A$54,0)),1,0)</f>
        <v>1</v>
      </c>
      <c r="E50" s="0" t="str">
        <f aca="false">IFERROR(INDEX(1_Lookups!$C$25:$C$54,MATCH(A50,1_Lookups!$A$25:$A$54,0)),"Not Found")</f>
        <v>Technology</v>
      </c>
      <c r="F50" s="0" t="n">
        <f aca="false">IF(COUNTIF(1_Lookups!$F$25:F50,1_Lookups!F50)&gt;1,1,0)</f>
        <v>0</v>
      </c>
      <c r="G50" s="0" t="n">
        <f aca="false">IF(EXACT(1_Lookups!G50,A50),0,1)</f>
        <v>0</v>
      </c>
      <c r="H50" s="0" t="n">
        <f aca="false">IF(ISTEXT(1_Lookups!I50),1,0)</f>
        <v>0</v>
      </c>
      <c r="M50" s="0" t="n">
        <f aca="false">3_Returns!B50/3_Returns!B49-1</f>
        <v>0.00205423171733776</v>
      </c>
      <c r="N50" s="0" t="n">
        <f aca="false">3_Returns!C50/3_Returns!C49-1</f>
        <v>-0.0182725589632134</v>
      </c>
      <c r="O50" s="0" t="n">
        <f aca="false">3_Returns!D50/3_Returns!D49-1</f>
        <v>0.00124625677874679</v>
      </c>
      <c r="P50" s="0" t="n">
        <f aca="false">MAX(3_Returns!$B$31:B50)</f>
        <v>51.01</v>
      </c>
      <c r="Q50" s="0" t="n">
        <f aca="false">3_Returns!B50/P50-1</f>
        <v>-0.0437169182513232</v>
      </c>
      <c r="R50" s="0" t="n">
        <f aca="false">LN(3_Returns!B50/3_Returns!B49)</f>
        <v>0.00205212466844785</v>
      </c>
      <c r="S50" s="0" t="n">
        <f aca="false">M50-O50</f>
        <v>0.000807974938590972</v>
      </c>
      <c r="T50" s="0" t="n">
        <f aca="false">IF(M50&gt;O50,1,0)</f>
        <v>1</v>
      </c>
      <c r="V50" s="0" t="n">
        <f aca="false">4_Screening!C50/4_Screening!D50</f>
        <v>2.24117796395024</v>
      </c>
      <c r="W50" s="0" t="n">
        <f aca="false">4_Screening!E50/4_Screening!C50</f>
        <v>0.0312075215224286</v>
      </c>
      <c r="X50" s="0" t="n">
        <f aca="false">4_Screening!F50/4_Screening!G50</f>
        <v>14.252427184466</v>
      </c>
      <c r="Y50" s="0" t="n">
        <f aca="false">RANK(V50,$V$25:$V$74,1)</f>
        <v>36</v>
      </c>
      <c r="Z50" s="0" t="n">
        <f aca="false">RANK(W50,$W$25:$W$74,0)</f>
        <v>34</v>
      </c>
      <c r="AA50" s="0" t="n">
        <f aca="false">RANK(X50,$X$25:$X$74,1)</f>
        <v>44</v>
      </c>
      <c r="AB50" s="0" t="n">
        <f aca="false">AVERAGE(Y50:AA50)</f>
        <v>38</v>
      </c>
      <c r="AC50" s="0" t="n">
        <f aca="false">RANK(AB50,$AB$25:$AB$74,1)</f>
        <v>48</v>
      </c>
      <c r="AD50" s="0" t="n">
        <f aca="false">ROUNDUP(5*AC50/COUNT($AB$25:$AB$74),0)</f>
        <v>5</v>
      </c>
      <c r="AE50" s="0" t="n">
        <f aca="false">IF(4_Screening!E50&gt;0,4_Screening!C50/4_Screening!E50,"")</f>
        <v>32.043557168784</v>
      </c>
      <c r="AF50" s="0" t="n">
        <f aca="false">MIN(MAX(4_Screening!H50,PERCENTILE(4_Screening!$H$25:$H$74,0.05)),PERCENTILE(4_Screening!$H$25:$H$74,0.95))</f>
        <v>0.1262</v>
      </c>
    </row>
    <row r="51" customFormat="false" ht="15" hidden="false" customHeight="false" outlineLevel="0" collapsed="false">
      <c r="A51" s="0" t="str">
        <f aca="false">UPPER(TRIM(1_Lookups!G51))</f>
        <v>DMNX</v>
      </c>
      <c r="B51" s="0" t="n">
        <f aca="false">VALUE(TRIM(1_Lookups!I51))</f>
        <v>40.86</v>
      </c>
      <c r="C51" s="0" t="n">
        <f aca="false">B51*1_Lookups!J51</f>
        <v>32688</v>
      </c>
      <c r="D51" s="0" t="n">
        <f aca="false">IF(ISNUMBER(MATCH(A51,1_Lookups!$A$25:$A$54,0)),1,0)</f>
        <v>1</v>
      </c>
      <c r="E51" s="0" t="str">
        <f aca="false">IFERROR(INDEX(1_Lookups!$C$25:$C$54,MATCH(A51,1_Lookups!$A$25:$A$54,0)),"Not Found")</f>
        <v>Health Care</v>
      </c>
      <c r="F51" s="0" t="n">
        <f aca="false">IF(COUNTIF(1_Lookups!$F$25:F51,1_Lookups!F51)&gt;1,1,0)</f>
        <v>0</v>
      </c>
      <c r="G51" s="0" t="n">
        <f aca="false">IF(EXACT(1_Lookups!G51,A51),0,1)</f>
        <v>1</v>
      </c>
      <c r="H51" s="0" t="n">
        <f aca="false">IF(ISTEXT(1_Lookups!I51),1,0)</f>
        <v>0</v>
      </c>
      <c r="M51" s="0" t="n">
        <f aca="false">3_Returns!B51/3_Returns!B50-1</f>
        <v>-0.0100451004510046</v>
      </c>
      <c r="N51" s="0" t="n">
        <f aca="false">3_Returns!C51/3_Returns!C50-1</f>
        <v>-0.00828140373893072</v>
      </c>
      <c r="O51" s="0" t="n">
        <f aca="false">3_Returns!D51/3_Returns!D50-1</f>
        <v>-0.0061452891451006</v>
      </c>
      <c r="P51" s="0" t="n">
        <f aca="false">MAX(3_Returns!$B$31:B51)</f>
        <v>51.01</v>
      </c>
      <c r="Q51" s="0" t="n">
        <f aca="false">3_Returns!B51/P51-1</f>
        <v>-0.0533228778670849</v>
      </c>
      <c r="R51" s="0" t="n">
        <f aca="false">LN(3_Returns!B51/3_Returns!B50)</f>
        <v>-0.0100958929023238</v>
      </c>
      <c r="S51" s="0" t="n">
        <f aca="false">M51-O51</f>
        <v>-0.003899811305904</v>
      </c>
      <c r="T51" s="0" t="n">
        <f aca="false">IF(M51&gt;O51,1,0)</f>
        <v>0</v>
      </c>
      <c r="V51" s="0" t="n">
        <f aca="false">4_Screening!C51/4_Screening!D51</f>
        <v>1.5604314177507</v>
      </c>
      <c r="W51" s="0" t="n">
        <f aca="false">4_Screening!E51/4_Screening!C51</f>
        <v>0.0363003218487838</v>
      </c>
      <c r="X51" s="0" t="n">
        <f aca="false">4_Screening!F51/4_Screening!G51</f>
        <v>7.81443298969072</v>
      </c>
      <c r="Y51" s="0" t="n">
        <f aca="false">RANK(V51,$V$25:$V$74,1)</f>
        <v>21</v>
      </c>
      <c r="Z51" s="0" t="n">
        <f aca="false">RANK(W51,$W$25:$W$74,0)</f>
        <v>32</v>
      </c>
      <c r="AA51" s="0" t="n">
        <f aca="false">RANK(X51,$X$25:$X$74,1)</f>
        <v>14</v>
      </c>
      <c r="AB51" s="0" t="n">
        <f aca="false">AVERAGE(Y51:AA51)</f>
        <v>22.3333333333333</v>
      </c>
      <c r="AC51" s="0" t="n">
        <f aca="false">RANK(AB51,$AB$25:$AB$74,1)</f>
        <v>18</v>
      </c>
      <c r="AD51" s="0" t="n">
        <f aca="false">ROUNDUP(5*AC51/COUNT($AB$25:$AB$74),0)</f>
        <v>2</v>
      </c>
      <c r="AE51" s="0" t="n">
        <f aca="false">IF(4_Screening!E51&gt;0,4_Screening!C51/4_Screening!E51,"")</f>
        <v>27.5479651162791</v>
      </c>
      <c r="AF51" s="0" t="n">
        <f aca="false">MIN(MAX(4_Screening!H51,PERCENTILE(4_Screening!$H$25:$H$74,0.05)),PERCENTILE(4_Screening!$H$25:$H$74,0.95))</f>
        <v>0.1602</v>
      </c>
    </row>
    <row r="52" customFormat="false" ht="15" hidden="false" customHeight="false" outlineLevel="0" collapsed="false">
      <c r="A52" s="0" t="str">
        <f aca="false">UPPER(TRIM(1_Lookups!G52))</f>
        <v>PLMT</v>
      </c>
      <c r="B52" s="0" t="n">
        <f aca="false">VALUE(TRIM(1_Lookups!I52))</f>
        <v>33.06</v>
      </c>
      <c r="C52" s="0" t="n">
        <f aca="false">B52*1_Lookups!J52</f>
        <v>102486</v>
      </c>
      <c r="D52" s="0" t="n">
        <f aca="false">IF(ISNUMBER(MATCH(A52,1_Lookups!$A$25:$A$54,0)),1,0)</f>
        <v>1</v>
      </c>
      <c r="E52" s="0" t="str">
        <f aca="false">IFERROR(INDEX(1_Lookups!$C$25:$C$54,MATCH(A52,1_Lookups!$A$25:$A$54,0)),"Not Found")</f>
        <v>Technology</v>
      </c>
      <c r="F52" s="0" t="n">
        <f aca="false">IF(COUNTIF(1_Lookups!$F$25:F52,1_Lookups!F52)&gt;1,1,0)</f>
        <v>0</v>
      </c>
      <c r="G52" s="0" t="n">
        <f aca="false">IF(EXACT(1_Lookups!G52,A52),0,1)</f>
        <v>0</v>
      </c>
      <c r="H52" s="0" t="n">
        <f aca="false">IF(ISTEXT(1_Lookups!I52),1,0)</f>
        <v>1</v>
      </c>
      <c r="M52" s="0" t="n">
        <f aca="false">3_Returns!B52/3_Returns!B51-1</f>
        <v>-0.0130461793331953</v>
      </c>
      <c r="N52" s="0" t="n">
        <f aca="false">3_Returns!C52/3_Returns!C51-1</f>
        <v>0.00033071517155836</v>
      </c>
      <c r="O52" s="0" t="n">
        <f aca="false">3_Returns!D52/3_Returns!D51-1</f>
        <v>0.00587734333346446</v>
      </c>
      <c r="P52" s="0" t="n">
        <f aca="false">MAX(3_Returns!$B$31:B52)</f>
        <v>51.01</v>
      </c>
      <c r="Q52" s="0" t="n">
        <f aca="false">3_Returns!B52/P52-1</f>
        <v>-0.0656733973730641</v>
      </c>
      <c r="R52" s="0" t="n">
        <f aca="false">LN(3_Returns!B52/3_Returns!B51)</f>
        <v>-0.0131320282148545</v>
      </c>
      <c r="S52" s="0" t="n">
        <f aca="false">M52-O52</f>
        <v>-0.0189235226666598</v>
      </c>
      <c r="T52" s="0" t="n">
        <f aca="false">IF(M52&gt;O52,1,0)</f>
        <v>0</v>
      </c>
      <c r="V52" s="0" t="n">
        <f aca="false">4_Screening!C52/4_Screening!D52</f>
        <v>1.14851007359151</v>
      </c>
      <c r="W52" s="0" t="n">
        <f aca="false">4_Screening!E52/4_Screening!C52</f>
        <v>-0.0704831932773109</v>
      </c>
      <c r="X52" s="0" t="n">
        <f aca="false">4_Screening!F52/4_Screening!G52</f>
        <v>8.10909090909091</v>
      </c>
      <c r="Y52" s="0" t="n">
        <f aca="false">RANK(V52,$V$25:$V$74,1)</f>
        <v>11</v>
      </c>
      <c r="Z52" s="0" t="n">
        <f aca="false">RANK(W52,$W$25:$W$74,0)</f>
        <v>50</v>
      </c>
      <c r="AA52" s="0" t="n">
        <f aca="false">RANK(X52,$X$25:$X$74,1)</f>
        <v>18</v>
      </c>
      <c r="AB52" s="0" t="n">
        <f aca="false">AVERAGE(Y52:AA52)</f>
        <v>26.3333333333333</v>
      </c>
      <c r="AC52" s="0" t="n">
        <f aca="false">RANK(AB52,$AB$25:$AB$74,1)</f>
        <v>28</v>
      </c>
      <c r="AD52" s="0" t="n">
        <f aca="false">ROUNDUP(5*AC52/COUNT($AB$25:$AB$74),0)</f>
        <v>3</v>
      </c>
      <c r="AE52" s="0" t="str">
        <f aca="false">IF(4_Screening!E52&gt;0,4_Screening!C52/4_Screening!E52,"")</f>
        <v/>
      </c>
      <c r="AF52" s="0" t="n">
        <f aca="false">MIN(MAX(4_Screening!H52,PERCENTILE(4_Screening!$H$25:$H$74,0.05)),PERCENTILE(4_Screening!$H$25:$H$74,0.95))</f>
        <v>0.1499</v>
      </c>
    </row>
    <row r="53" customFormat="false" ht="15" hidden="false" customHeight="false" outlineLevel="0" collapsed="false">
      <c r="A53" s="0" t="str">
        <f aca="false">UPPER(TRIM(1_Lookups!G53))</f>
        <v>MRDN</v>
      </c>
      <c r="B53" s="0" t="n">
        <f aca="false">VALUE(TRIM(1_Lookups!I53))</f>
        <v>138.54</v>
      </c>
      <c r="C53" s="0" t="n">
        <f aca="false">B53*1_Lookups!J53</f>
        <v>290934</v>
      </c>
      <c r="D53" s="0" t="n">
        <f aca="false">IF(ISNUMBER(MATCH(A53,1_Lookups!$A$25:$A$54,0)),1,0)</f>
        <v>1</v>
      </c>
      <c r="E53" s="0" t="str">
        <f aca="false">IFERROR(INDEX(1_Lookups!$C$25:$C$54,MATCH(A53,1_Lookups!$A$25:$A$54,0)),"Not Found")</f>
        <v>Consumer</v>
      </c>
      <c r="F53" s="0" t="n">
        <f aca="false">IF(COUNTIF(1_Lookups!$F$25:F53,1_Lookups!F53)&gt;1,1,0)</f>
        <v>0</v>
      </c>
      <c r="G53" s="0" t="n">
        <f aca="false">IF(EXACT(1_Lookups!G53,A53),0,1)</f>
        <v>1</v>
      </c>
      <c r="H53" s="0" t="n">
        <f aca="false">IF(ISTEXT(1_Lookups!I53),1,0)</f>
        <v>0</v>
      </c>
      <c r="M53" s="0" t="n">
        <f aca="false">3_Returns!B53/3_Returns!B52-1</f>
        <v>0.0029374737725556</v>
      </c>
      <c r="N53" s="0" t="n">
        <f aca="false">3_Returns!C53/3_Returns!C52-1</f>
        <v>-0.00735597983304404</v>
      </c>
      <c r="O53" s="0" t="n">
        <f aca="false">3_Returns!D53/3_Returns!D52-1</f>
        <v>-0.00698492203105228</v>
      </c>
      <c r="P53" s="0" t="n">
        <f aca="false">MAX(3_Returns!$B$31:B53)</f>
        <v>51.01</v>
      </c>
      <c r="Q53" s="0" t="n">
        <f aca="false">3_Returns!B53/P53-1</f>
        <v>-0.0629288374828465</v>
      </c>
      <c r="R53" s="0" t="n">
        <f aca="false">LN(3_Returns!B53/3_Returns!B52)</f>
        <v>0.00293316782681422</v>
      </c>
      <c r="S53" s="0" t="n">
        <f aca="false">M53-O53</f>
        <v>0.00992239580360788</v>
      </c>
      <c r="T53" s="0" t="n">
        <f aca="false">IF(M53&gt;O53,1,0)</f>
        <v>1</v>
      </c>
      <c r="V53" s="0" t="n">
        <f aca="false">4_Screening!C53/4_Screening!D53</f>
        <v>2.52346694073313</v>
      </c>
      <c r="W53" s="0" t="n">
        <f aca="false">4_Screening!E53/4_Screening!C53</f>
        <v>0.0298669562856367</v>
      </c>
      <c r="X53" s="0" t="n">
        <f aca="false">4_Screening!F53/4_Screening!G53</f>
        <v>3.17948717948718</v>
      </c>
      <c r="Y53" s="0" t="n">
        <f aca="false">RANK(V53,$V$25:$V$74,1)</f>
        <v>40</v>
      </c>
      <c r="Z53" s="0" t="n">
        <f aca="false">RANK(W53,$W$25:$W$74,0)</f>
        <v>35</v>
      </c>
      <c r="AA53" s="0" t="n">
        <f aca="false">RANK(X53,$X$25:$X$74,1)</f>
        <v>1</v>
      </c>
      <c r="AB53" s="0" t="n">
        <f aca="false">AVERAGE(Y53:AA53)</f>
        <v>25.3333333333333</v>
      </c>
      <c r="AC53" s="0" t="n">
        <f aca="false">RANK(AB53,$AB$25:$AB$74,1)</f>
        <v>27</v>
      </c>
      <c r="AD53" s="0" t="n">
        <f aca="false">ROUNDUP(5*AC53/COUNT($AB$25:$AB$74),0)</f>
        <v>3</v>
      </c>
      <c r="AE53" s="0" t="n">
        <f aca="false">IF(4_Screening!E53&gt;0,4_Screening!C53/4_Screening!E53,"")</f>
        <v>33.4818181818182</v>
      </c>
      <c r="AF53" s="0" t="n">
        <f aca="false">MIN(MAX(4_Screening!H53,PERCENTILE(4_Screening!$H$25:$H$74,0.05)),PERCENTILE(4_Screening!$H$25:$H$74,0.95))</f>
        <v>0.2053</v>
      </c>
    </row>
    <row r="54" customFormat="false" ht="15" hidden="false" customHeight="false" outlineLevel="0" collapsed="false">
      <c r="A54" s="0" t="str">
        <f aca="false">UPPER(TRIM(1_Lookups!G54))</f>
        <v>NOVX</v>
      </c>
      <c r="B54" s="0" t="n">
        <f aca="false">VALUE(TRIM(1_Lookups!I54))</f>
        <v>215.18</v>
      </c>
      <c r="C54" s="0" t="n">
        <f aca="false">B54*1_Lookups!J54</f>
        <v>602504</v>
      </c>
      <c r="D54" s="0" t="n">
        <f aca="false">IF(ISNUMBER(MATCH(A54,1_Lookups!$A$25:$A$54,0)),1,0)</f>
        <v>1</v>
      </c>
      <c r="E54" s="0" t="str">
        <f aca="false">IFERROR(INDEX(1_Lookups!$C$25:$C$54,MATCH(A54,1_Lookups!$A$25:$A$54,0)),"Not Found")</f>
        <v>Energy</v>
      </c>
      <c r="F54" s="0" t="n">
        <f aca="false">IF(COUNTIF(1_Lookups!$F$25:F54,1_Lookups!F54)&gt;1,1,0)</f>
        <v>0</v>
      </c>
      <c r="G54" s="0" t="n">
        <f aca="false">IF(EXACT(1_Lookups!G54,A54),0,1)</f>
        <v>0</v>
      </c>
      <c r="H54" s="0" t="n">
        <f aca="false">IF(ISTEXT(1_Lookups!I54),1,0)</f>
        <v>0</v>
      </c>
      <c r="M54" s="0" t="n">
        <f aca="false">3_Returns!B54/3_Returns!B53-1</f>
        <v>0.034100418410042</v>
      </c>
      <c r="N54" s="0" t="n">
        <f aca="false">3_Returns!C54/3_Returns!C53-1</f>
        <v>0.00299750208159866</v>
      </c>
      <c r="O54" s="0" t="n">
        <f aca="false">3_Returns!D54/3_Returns!D53-1</f>
        <v>-6.98569187009834E-005</v>
      </c>
      <c r="P54" s="0" t="n">
        <f aca="false">MAX(3_Returns!$B$31:B54)</f>
        <v>51.01</v>
      </c>
      <c r="Q54" s="0" t="n">
        <f aca="false">3_Returns!B54/P54-1</f>
        <v>-0.0309743187610272</v>
      </c>
      <c r="R54" s="0" t="n">
        <f aca="false">LN(3_Returns!B54/3_Returns!B53)</f>
        <v>0.0335318878214578</v>
      </c>
      <c r="S54" s="0" t="n">
        <f aca="false">M54-O54</f>
        <v>0.034170275328743</v>
      </c>
      <c r="T54" s="0" t="n">
        <f aca="false">IF(M54&gt;O54,1,0)</f>
        <v>1</v>
      </c>
      <c r="V54" s="0" t="n">
        <f aca="false">4_Screening!C54/4_Screening!D54</f>
        <v>8.07286432160804</v>
      </c>
      <c r="W54" s="0" t="n">
        <f aca="false">4_Screening!E54/4_Screening!C54</f>
        <v>0.0560224089635854</v>
      </c>
      <c r="X54" s="0" t="n">
        <f aca="false">4_Screening!F54/4_Screening!G54</f>
        <v>12.8114558472554</v>
      </c>
      <c r="Y54" s="0" t="n">
        <f aca="false">RANK(V54,$V$25:$V$74,1)</f>
        <v>50</v>
      </c>
      <c r="Z54" s="0" t="n">
        <f aca="false">RANK(W54,$W$25:$W$74,0)</f>
        <v>27</v>
      </c>
      <c r="AA54" s="0" t="n">
        <f aca="false">RANK(X54,$X$25:$X$74,1)</f>
        <v>41</v>
      </c>
      <c r="AB54" s="0" t="n">
        <f aca="false">AVERAGE(Y54:AA54)</f>
        <v>39.3333333333333</v>
      </c>
      <c r="AC54" s="0" t="n">
        <f aca="false">RANK(AB54,$AB$25:$AB$74,1)</f>
        <v>50</v>
      </c>
      <c r="AD54" s="0" t="n">
        <f aca="false">ROUNDUP(5*AC54/COUNT($AB$25:$AB$74),0)</f>
        <v>5</v>
      </c>
      <c r="AE54" s="0" t="n">
        <f aca="false">IF(4_Screening!E54&gt;0,4_Screening!C54/4_Screening!E54,"")</f>
        <v>17.85</v>
      </c>
      <c r="AF54" s="0" t="n">
        <f aca="false">MIN(MAX(4_Screening!H54,PERCENTILE(4_Screening!$H$25:$H$74,0.05)),PERCENTILE(4_Screening!$H$25:$H$74,0.95))</f>
        <v>0.0459</v>
      </c>
    </row>
    <row r="55" customFormat="false" ht="15" hidden="false" customHeight="false" outlineLevel="0" collapsed="false">
      <c r="A55" s="0" t="str">
        <f aca="false">UPPER(TRIM(1_Lookups!G55))</f>
        <v>FENX</v>
      </c>
      <c r="B55" s="0" t="n">
        <f aca="false">VALUE(TRIM(1_Lookups!I55))</f>
        <v>256.36</v>
      </c>
      <c r="C55" s="0" t="n">
        <f aca="false">B55*1_Lookups!J55</f>
        <v>538356</v>
      </c>
      <c r="D55" s="0" t="n">
        <f aca="false">IF(ISNUMBER(MATCH(A55,1_Lookups!$A$25:$A$54,0)),1,0)</f>
        <v>1</v>
      </c>
      <c r="E55" s="0" t="str">
        <f aca="false">IFERROR(INDEX(1_Lookups!$C$25:$C$54,MATCH(A55,1_Lookups!$A$25:$A$54,0)),"Not Found")</f>
        <v>Energy</v>
      </c>
      <c r="F55" s="0" t="n">
        <f aca="false">IF(COUNTIF(1_Lookups!$F$25:F55,1_Lookups!F55)&gt;1,1,0)</f>
        <v>0</v>
      </c>
      <c r="G55" s="0" t="n">
        <f aca="false">IF(EXACT(1_Lookups!G55,A55),0,1)</f>
        <v>0</v>
      </c>
      <c r="H55" s="0" t="n">
        <f aca="false">IF(ISTEXT(1_Lookups!I55),1,0)</f>
        <v>1</v>
      </c>
      <c r="M55" s="0" t="n">
        <f aca="false">3_Returns!B55/3_Returns!B54-1</f>
        <v>0.0214444669229215</v>
      </c>
      <c r="N55" s="0" t="n">
        <f aca="false">3_Returns!C55/3_Returns!C54-1</f>
        <v>-0.00439980076373892</v>
      </c>
      <c r="O55" s="0" t="n">
        <f aca="false">3_Returns!D55/3_Returns!D54-1</f>
        <v>0.0101819093767075</v>
      </c>
      <c r="P55" s="0" t="n">
        <f aca="false">MAX(3_Returns!$B$31:B55)</f>
        <v>51.01</v>
      </c>
      <c r="Q55" s="0" t="n">
        <f aca="false">3_Returns!B55/P55-1</f>
        <v>-0.0101940795922367</v>
      </c>
      <c r="R55" s="0" t="n">
        <f aca="false">LN(3_Returns!B55/3_Returns!B54)</f>
        <v>0.0212177695519566</v>
      </c>
      <c r="S55" s="0" t="n">
        <f aca="false">M55-O55</f>
        <v>0.011262557546214</v>
      </c>
      <c r="T55" s="0" t="n">
        <f aca="false">IF(M55&gt;O55,1,0)</f>
        <v>1</v>
      </c>
      <c r="V55" s="0" t="n">
        <f aca="false">4_Screening!C55/4_Screening!D55</f>
        <v>1.51975492891368</v>
      </c>
      <c r="W55" s="0" t="n">
        <f aca="false">4_Screening!E55/4_Screening!C55</f>
        <v>0.00191234236096754</v>
      </c>
      <c r="X55" s="0" t="n">
        <f aca="false">4_Screening!F55/4_Screening!G55</f>
        <v>12.016</v>
      </c>
      <c r="Y55" s="0" t="n">
        <f aca="false">RANK(V55,$V$25:$V$74,1)</f>
        <v>19</v>
      </c>
      <c r="Z55" s="0" t="n">
        <f aca="false">RANK(W55,$W$25:$W$74,0)</f>
        <v>40</v>
      </c>
      <c r="AA55" s="0" t="n">
        <f aca="false">RANK(X55,$X$25:$X$74,1)</f>
        <v>36</v>
      </c>
      <c r="AB55" s="0" t="n">
        <f aca="false">AVERAGE(Y55:AA55)</f>
        <v>31.6666666666667</v>
      </c>
      <c r="AC55" s="0" t="n">
        <f aca="false">RANK(AB55,$AB$25:$AB$74,1)</f>
        <v>36</v>
      </c>
      <c r="AD55" s="0" t="n">
        <f aca="false">ROUNDUP(5*AC55/COUNT($AB$25:$AB$74),0)</f>
        <v>4</v>
      </c>
      <c r="AE55" s="0" t="n">
        <f aca="false">IF(4_Screening!E55&gt;0,4_Screening!C55/4_Screening!E55,"")</f>
        <v>522.918918918919</v>
      </c>
      <c r="AF55" s="0" t="n">
        <f aca="false">MIN(MAX(4_Screening!H55,PERCENTILE(4_Screening!$H$25:$H$74,0.05)),PERCENTILE(4_Screening!$H$25:$H$74,0.95))</f>
        <v>0.29721</v>
      </c>
    </row>
    <row r="56" customFormat="false" ht="15" hidden="false" customHeight="false" outlineLevel="0" collapsed="false">
      <c r="A56" s="0" t="str">
        <f aca="false">UPPER(TRIM(1_Lookups!G56))</f>
        <v>PLMT</v>
      </c>
      <c r="B56" s="0" t="n">
        <f aca="false">VALUE(TRIM(1_Lookups!I56))</f>
        <v>27</v>
      </c>
      <c r="C56" s="0" t="n">
        <f aca="false">B56*1_Lookups!J56</f>
        <v>102600</v>
      </c>
      <c r="D56" s="0" t="n">
        <f aca="false">IF(ISNUMBER(MATCH(A56,1_Lookups!$A$25:$A$54,0)),1,0)</f>
        <v>1</v>
      </c>
      <c r="E56" s="0" t="str">
        <f aca="false">IFERROR(INDEX(1_Lookups!$C$25:$C$54,MATCH(A56,1_Lookups!$A$25:$A$54,0)),"Not Found")</f>
        <v>Technology</v>
      </c>
      <c r="F56" s="0" t="n">
        <f aca="false">IF(COUNTIF(1_Lookups!$F$25:F56,1_Lookups!F56)&gt;1,1,0)</f>
        <v>0</v>
      </c>
      <c r="G56" s="0" t="n">
        <f aca="false">IF(EXACT(1_Lookups!G56,A56),0,1)</f>
        <v>0</v>
      </c>
      <c r="H56" s="0" t="n">
        <f aca="false">IF(ISTEXT(1_Lookups!I56),1,0)</f>
        <v>0</v>
      </c>
      <c r="M56" s="0" t="n">
        <f aca="false">3_Returns!B56/3_Returns!B55-1</f>
        <v>0.047534165181224</v>
      </c>
      <c r="N56" s="0" t="n">
        <f aca="false">3_Returns!C56/3_Returns!C55-1</f>
        <v>0.0240140081714333</v>
      </c>
      <c r="O56" s="0" t="n">
        <f aca="false">3_Returns!D56/3_Returns!D55-1</f>
        <v>0.0262373454814346</v>
      </c>
      <c r="P56" s="0" t="n">
        <f aca="false">MAX(3_Returns!$B$31:B56)</f>
        <v>52.89</v>
      </c>
      <c r="Q56" s="0" t="n">
        <f aca="false">3_Returns!B56/P56-1</f>
        <v>0</v>
      </c>
      <c r="R56" s="0" t="n">
        <f aca="false">LN(3_Returns!B56/3_Returns!B55)</f>
        <v>0.0464389882070642</v>
      </c>
      <c r="S56" s="0" t="n">
        <f aca="false">M56-O56</f>
        <v>0.0212968196997894</v>
      </c>
      <c r="T56" s="0" t="n">
        <f aca="false">IF(M56&gt;O56,1,0)</f>
        <v>1</v>
      </c>
      <c r="V56" s="0" t="n">
        <f aca="false">4_Screening!C56/4_Screening!D56</f>
        <v>2.23016220955721</v>
      </c>
      <c r="W56" s="0" t="n">
        <f aca="false">4_Screening!E56/4_Screening!C56</f>
        <v>0.018183605268331</v>
      </c>
      <c r="X56" s="0" t="n">
        <f aca="false">4_Screening!F56/4_Screening!G56</f>
        <v>11.9405940594059</v>
      </c>
      <c r="Y56" s="0" t="n">
        <f aca="false">RANK(V56,$V$25:$V$74,1)</f>
        <v>35</v>
      </c>
      <c r="Z56" s="0" t="n">
        <f aca="false">RANK(W56,$W$25:$W$74,0)</f>
        <v>38</v>
      </c>
      <c r="AA56" s="0" t="n">
        <f aca="false">RANK(X56,$X$25:$X$74,1)</f>
        <v>35</v>
      </c>
      <c r="AB56" s="0" t="n">
        <f aca="false">AVERAGE(Y56:AA56)</f>
        <v>36</v>
      </c>
      <c r="AC56" s="0" t="n">
        <f aca="false">RANK(AB56,$AB$25:$AB$74,1)</f>
        <v>46</v>
      </c>
      <c r="AD56" s="0" t="n">
        <f aca="false">ROUNDUP(5*AC56/COUNT($AB$25:$AB$74),0)</f>
        <v>5</v>
      </c>
      <c r="AE56" s="0" t="n">
        <f aca="false">IF(4_Screening!E56&gt;0,4_Screening!C56/4_Screening!E56,"")</f>
        <v>54.9945945945946</v>
      </c>
      <c r="AF56" s="0" t="n">
        <f aca="false">MIN(MAX(4_Screening!H56,PERCENTILE(4_Screening!$H$25:$H$74,0.05)),PERCENTILE(4_Screening!$H$25:$H$74,0.95))</f>
        <v>0.1467</v>
      </c>
    </row>
    <row r="57" customFormat="false" ht="15" hidden="false" customHeight="false" outlineLevel="0" collapsed="false">
      <c r="A57" s="0" t="str">
        <f aca="false">UPPER(TRIM(1_Lookups!G57))</f>
        <v>LMRA</v>
      </c>
      <c r="B57" s="0" t="n">
        <f aca="false">VALUE(TRIM(1_Lookups!I57))</f>
        <v>246.62</v>
      </c>
      <c r="C57" s="0" t="n">
        <f aca="false">B57*1_Lookups!J57</f>
        <v>1011142</v>
      </c>
      <c r="D57" s="0" t="n">
        <f aca="false">IF(ISNUMBER(MATCH(A57,1_Lookups!$A$25:$A$54,0)),1,0)</f>
        <v>1</v>
      </c>
      <c r="E57" s="0" t="str">
        <f aca="false">IFERROR(INDEX(1_Lookups!$C$25:$C$54,MATCH(A57,1_Lookups!$A$25:$A$54,0)),"Not Found")</f>
        <v>Industrials</v>
      </c>
      <c r="F57" s="0" t="n">
        <f aca="false">IF(COUNTIF(1_Lookups!$F$25:F57,1_Lookups!F57)&gt;1,1,0)</f>
        <v>0</v>
      </c>
      <c r="G57" s="0" t="n">
        <f aca="false">IF(EXACT(1_Lookups!G57,A57),0,1)</f>
        <v>1</v>
      </c>
      <c r="H57" s="0" t="n">
        <f aca="false">IF(ISTEXT(1_Lookups!I57),1,0)</f>
        <v>0</v>
      </c>
      <c r="M57" s="0" t="n">
        <f aca="false">3_Returns!B57/3_Returns!B56-1</f>
        <v>-0.00472679145396104</v>
      </c>
      <c r="N57" s="0" t="n">
        <f aca="false">3_Returns!C57/3_Returns!C56-1</f>
        <v>-0.00846836576825993</v>
      </c>
      <c r="O57" s="0" t="n">
        <f aca="false">3_Returns!D57/3_Returns!D56-1</f>
        <v>-0.00983886992958649</v>
      </c>
      <c r="P57" s="0" t="n">
        <f aca="false">MAX(3_Returns!$B$31:B57)</f>
        <v>52.89</v>
      </c>
      <c r="Q57" s="0" t="n">
        <f aca="false">3_Returns!B57/P57-1</f>
        <v>-0.00472679145396104</v>
      </c>
      <c r="R57" s="0" t="n">
        <f aca="false">LN(3_Returns!B57/3_Returns!B56)</f>
        <v>-0.00473799806082678</v>
      </c>
      <c r="S57" s="0" t="n">
        <f aca="false">M57-O57</f>
        <v>0.00511207847562545</v>
      </c>
      <c r="T57" s="0" t="n">
        <f aca="false">IF(M57&gt;O57,1,0)</f>
        <v>1</v>
      </c>
      <c r="V57" s="0" t="n">
        <f aca="false">4_Screening!C57/4_Screening!D57</f>
        <v>2.2853164556962</v>
      </c>
      <c r="W57" s="0" t="n">
        <f aca="false">4_Screening!E57/4_Screening!C57</f>
        <v>0.0830840810900631</v>
      </c>
      <c r="X57" s="0" t="n">
        <f aca="false">4_Screening!F57/4_Screening!G57</f>
        <v>12.712962962963</v>
      </c>
      <c r="Y57" s="0" t="n">
        <f aca="false">RANK(V57,$V$25:$V$74,1)</f>
        <v>37</v>
      </c>
      <c r="Z57" s="0" t="n">
        <f aca="false">RANK(W57,$W$25:$W$74,0)</f>
        <v>12</v>
      </c>
      <c r="AA57" s="0" t="n">
        <f aca="false">RANK(X57,$X$25:$X$74,1)</f>
        <v>40</v>
      </c>
      <c r="AB57" s="0" t="n">
        <f aca="false">AVERAGE(Y57:AA57)</f>
        <v>29.6666666666667</v>
      </c>
      <c r="AC57" s="0" t="n">
        <f aca="false">RANK(AB57,$AB$25:$AB$74,1)</f>
        <v>31</v>
      </c>
      <c r="AD57" s="0" t="n">
        <f aca="false">ROUNDUP(5*AC57/COUNT($AB$25:$AB$74),0)</f>
        <v>4</v>
      </c>
      <c r="AE57" s="0" t="n">
        <f aca="false">IF(4_Screening!E57&gt;0,4_Screening!C57/4_Screening!E57,"")</f>
        <v>12.036</v>
      </c>
      <c r="AF57" s="0" t="n">
        <f aca="false">MIN(MAX(4_Screening!H57,PERCENTILE(4_Screening!$H$25:$H$74,0.05)),PERCENTILE(4_Screening!$H$25:$H$74,0.95))</f>
        <v>0.1619</v>
      </c>
    </row>
    <row r="58" customFormat="false" ht="15" hidden="false" customHeight="false" outlineLevel="0" collapsed="false">
      <c r="A58" s="0" t="str">
        <f aca="false">UPPER(TRIM(1_Lookups!G58))</f>
        <v>NOVX</v>
      </c>
      <c r="B58" s="0" t="n">
        <f aca="false">VALUE(TRIM(1_Lookups!I58))</f>
        <v>207.6</v>
      </c>
      <c r="C58" s="0" t="n">
        <f aca="false">B58*1_Lookups!J58</f>
        <v>996480</v>
      </c>
      <c r="D58" s="0" t="n">
        <f aca="false">IF(ISNUMBER(MATCH(A58,1_Lookups!$A$25:$A$54,0)),1,0)</f>
        <v>1</v>
      </c>
      <c r="E58" s="0" t="str">
        <f aca="false">IFERROR(INDEX(1_Lookups!$C$25:$C$54,MATCH(A58,1_Lookups!$A$25:$A$54,0)),"Not Found")</f>
        <v>Energy</v>
      </c>
      <c r="F58" s="0" t="n">
        <f aca="false">IF(COUNTIF(1_Lookups!$F$25:F58,1_Lookups!F58)&gt;1,1,0)</f>
        <v>0</v>
      </c>
      <c r="G58" s="0" t="n">
        <f aca="false">IF(EXACT(1_Lookups!G58,A58),0,1)</f>
        <v>0</v>
      </c>
      <c r="H58" s="0" t="n">
        <f aca="false">IF(ISTEXT(1_Lookups!I58),1,0)</f>
        <v>1</v>
      </c>
      <c r="M58" s="0" t="n">
        <f aca="false">3_Returns!B58/3_Returns!B57-1</f>
        <v>-0.0174772036474165</v>
      </c>
      <c r="N58" s="0" t="n">
        <f aca="false">3_Returns!C58/3_Returns!C57-1</f>
        <v>-0.00911554570091155</v>
      </c>
      <c r="O58" s="0" t="n">
        <f aca="false">3_Returns!D58/3_Returns!D57-1</f>
        <v>-0.00436276571424588</v>
      </c>
      <c r="P58" s="0" t="n">
        <f aca="false">MAX(3_Returns!$B$31:B58)</f>
        <v>52.89</v>
      </c>
      <c r="Q58" s="0" t="n">
        <f aca="false">3_Returns!B58/P58-1</f>
        <v>-0.0221213840045378</v>
      </c>
      <c r="R58" s="0" t="n">
        <f aca="false">LN(3_Returns!B58/3_Returns!B57)</f>
        <v>-0.0176317331134051</v>
      </c>
      <c r="S58" s="0" t="n">
        <f aca="false">M58-O58</f>
        <v>-0.0131144379331706</v>
      </c>
      <c r="T58" s="0" t="n">
        <f aca="false">IF(M58&gt;O58,1,0)</f>
        <v>0</v>
      </c>
      <c r="V58" s="0" t="n">
        <f aca="false">4_Screening!C58/4_Screening!D58</f>
        <v>0.390677471897685</v>
      </c>
      <c r="W58" s="0" t="n">
        <f aca="false">4_Screening!E58/4_Screening!C58</f>
        <v>0.0571855054560428</v>
      </c>
      <c r="X58" s="0" t="n">
        <f aca="false">4_Screening!F58/4_Screening!G58</f>
        <v>16.3191489361702</v>
      </c>
      <c r="Y58" s="0" t="n">
        <f aca="false">RANK(V58,$V$25:$V$74,1)</f>
        <v>1</v>
      </c>
      <c r="Z58" s="0" t="n">
        <f aca="false">RANK(W58,$W$25:$W$74,0)</f>
        <v>26</v>
      </c>
      <c r="AA58" s="0" t="n">
        <f aca="false">RANK(X58,$X$25:$X$74,1)</f>
        <v>48</v>
      </c>
      <c r="AB58" s="0" t="n">
        <f aca="false">AVERAGE(Y58:AA58)</f>
        <v>25</v>
      </c>
      <c r="AC58" s="0" t="n">
        <f aca="false">RANK(AB58,$AB$25:$AB$74,1)</f>
        <v>25</v>
      </c>
      <c r="AD58" s="0" t="n">
        <f aca="false">ROUNDUP(5*AC58/COUNT($AB$25:$AB$74),0)</f>
        <v>3</v>
      </c>
      <c r="AE58" s="0" t="n">
        <f aca="false">IF(4_Screening!E58&gt;0,4_Screening!C58/4_Screening!E58,"")</f>
        <v>17.4869486948695</v>
      </c>
      <c r="AF58" s="0" t="n">
        <f aca="false">MIN(MAX(4_Screening!H58,PERCENTILE(4_Screening!$H$25:$H$74,0.05)),PERCENTILE(4_Screening!$H$25:$H$74,0.95))</f>
        <v>0.2784</v>
      </c>
    </row>
    <row r="59" customFormat="false" ht="15" hidden="false" customHeight="false" outlineLevel="0" collapsed="false">
      <c r="A59" s="0" t="str">
        <f aca="false">UPPER(TRIM(1_Lookups!G59))</f>
        <v>PLMT</v>
      </c>
      <c r="B59" s="0" t="n">
        <f aca="false">VALUE(TRIM(1_Lookups!I59))</f>
        <v>31.12</v>
      </c>
      <c r="C59" s="0" t="n">
        <f aca="false">B59*1_Lookups!J59</f>
        <v>108920</v>
      </c>
      <c r="D59" s="0" t="n">
        <f aca="false">IF(ISNUMBER(MATCH(A59,1_Lookups!$A$25:$A$54,0)),1,0)</f>
        <v>1</v>
      </c>
      <c r="E59" s="0" t="str">
        <f aca="false">IFERROR(INDEX(1_Lookups!$C$25:$C$54,MATCH(A59,1_Lookups!$A$25:$A$54,0)),"Not Found")</f>
        <v>Technology</v>
      </c>
      <c r="F59" s="0" t="n">
        <f aca="false">IF(COUNTIF(1_Lookups!$F$25:F59,1_Lookups!F59)&gt;1,1,0)</f>
        <v>0</v>
      </c>
      <c r="G59" s="0" t="n">
        <f aca="false">IF(EXACT(1_Lookups!G59,A59),0,1)</f>
        <v>0</v>
      </c>
      <c r="H59" s="0" t="n">
        <f aca="false">IF(ISTEXT(1_Lookups!I59),1,0)</f>
        <v>0</v>
      </c>
      <c r="M59" s="0" t="n">
        <f aca="false">3_Returns!B59/3_Returns!B58-1</f>
        <v>0.00734725444702256</v>
      </c>
      <c r="N59" s="0" t="n">
        <f aca="false">3_Returns!C59/3_Returns!C58-1</f>
        <v>-0.0184816840709431</v>
      </c>
      <c r="O59" s="0" t="n">
        <f aca="false">3_Returns!D59/3_Returns!D58-1</f>
        <v>-0.00814854933386633</v>
      </c>
      <c r="P59" s="0" t="n">
        <f aca="false">MAX(3_Returns!$B$31:B59)</f>
        <v>52.89</v>
      </c>
      <c r="Q59" s="0" t="n">
        <f aca="false">3_Returns!B59/P59-1</f>
        <v>-0.014936660994517</v>
      </c>
      <c r="R59" s="0" t="n">
        <f aca="false">LN(3_Returns!B59/3_Returns!B58)</f>
        <v>0.00732039485566463</v>
      </c>
      <c r="S59" s="0" t="n">
        <f aca="false">M59-O59</f>
        <v>0.0154958037808889</v>
      </c>
      <c r="T59" s="0" t="n">
        <f aca="false">IF(M59&gt;O59,1,0)</f>
        <v>1</v>
      </c>
      <c r="V59" s="0" t="n">
        <f aca="false">4_Screening!C59/4_Screening!D59</f>
        <v>1.96272114574558</v>
      </c>
      <c r="W59" s="0" t="n">
        <f aca="false">4_Screening!E59/4_Screening!C59</f>
        <v>-0.0555853632363988</v>
      </c>
      <c r="X59" s="0" t="n">
        <f aca="false">4_Screening!F59/4_Screening!G59</f>
        <v>8.875</v>
      </c>
      <c r="Y59" s="0" t="n">
        <f aca="false">RANK(V59,$V$25:$V$74,1)</f>
        <v>29</v>
      </c>
      <c r="Z59" s="0" t="n">
        <f aca="false">RANK(W59,$W$25:$W$74,0)</f>
        <v>47</v>
      </c>
      <c r="AA59" s="0" t="n">
        <f aca="false">RANK(X59,$X$25:$X$74,1)</f>
        <v>24</v>
      </c>
      <c r="AB59" s="0" t="n">
        <f aca="false">AVERAGE(Y59:AA59)</f>
        <v>33.3333333333333</v>
      </c>
      <c r="AC59" s="0" t="n">
        <f aca="false">RANK(AB59,$AB$25:$AB$74,1)</f>
        <v>41</v>
      </c>
      <c r="AD59" s="0" t="n">
        <f aca="false">ROUNDUP(5*AC59/COUNT($AB$25:$AB$74),0)</f>
        <v>5</v>
      </c>
      <c r="AE59" s="0" t="str">
        <f aca="false">IF(4_Screening!E59&gt;0,4_Screening!C59/4_Screening!E59,"")</f>
        <v/>
      </c>
      <c r="AF59" s="0" t="n">
        <f aca="false">MIN(MAX(4_Screening!H59,PERCENTILE(4_Screening!$H$25:$H$74,0.05)),PERCENTILE(4_Screening!$H$25:$H$74,0.95))</f>
        <v>0.1732</v>
      </c>
    </row>
    <row r="60" customFormat="false" ht="15" hidden="false" customHeight="false" outlineLevel="0" collapsed="false">
      <c r="A60" s="0" t="str">
        <f aca="false">UPPER(TRIM(1_Lookups!G60))</f>
        <v>CRST</v>
      </c>
      <c r="B60" s="0" t="n">
        <f aca="false">VALUE(TRIM(1_Lookups!I60))</f>
        <v>320.16</v>
      </c>
      <c r="C60" s="0" t="n">
        <f aca="false">B60*1_Lookups!J60</f>
        <v>800400</v>
      </c>
      <c r="D60" s="0" t="n">
        <f aca="false">IF(ISNUMBER(MATCH(A60,1_Lookups!$A$25:$A$54,0)),1,0)</f>
        <v>1</v>
      </c>
      <c r="E60" s="0" t="str">
        <f aca="false">IFERROR(INDEX(1_Lookups!$C$25:$C$54,MATCH(A60,1_Lookups!$A$25:$A$54,0)),"Not Found")</f>
        <v>Health Care</v>
      </c>
      <c r="F60" s="0" t="n">
        <f aca="false">IF(COUNTIF(1_Lookups!$F$25:F60,1_Lookups!F60)&gt;1,1,0)</f>
        <v>0</v>
      </c>
      <c r="G60" s="0" t="n">
        <f aca="false">IF(EXACT(1_Lookups!G60,A60),0,1)</f>
        <v>1</v>
      </c>
      <c r="H60" s="0" t="n">
        <f aca="false">IF(ISTEXT(1_Lookups!I60),1,0)</f>
        <v>0</v>
      </c>
      <c r="M60" s="0" t="n">
        <f aca="false">3_Returns!B60/3_Returns!B59-1</f>
        <v>-0.00556621880998076</v>
      </c>
      <c r="N60" s="0" t="n">
        <f aca="false">3_Returns!C60/3_Returns!C59-1</f>
        <v>-0.00531959807481219</v>
      </c>
      <c r="O60" s="0" t="n">
        <f aca="false">3_Returns!D60/3_Returns!D59-1</f>
        <v>0.00822256230097462</v>
      </c>
      <c r="P60" s="0" t="n">
        <f aca="false">MAX(3_Returns!$B$31:B60)</f>
        <v>52.89</v>
      </c>
      <c r="Q60" s="0" t="n">
        <f aca="false">3_Returns!B60/P60-1</f>
        <v>-0.0204197390811117</v>
      </c>
      <c r="R60" s="0" t="n">
        <f aca="false">LN(3_Returns!B60/3_Returns!B59)</f>
        <v>-0.00558176793262426</v>
      </c>
      <c r="S60" s="0" t="n">
        <f aca="false">M60-O60</f>
        <v>-0.0137887811109554</v>
      </c>
      <c r="T60" s="0" t="n">
        <f aca="false">IF(M60&gt;O60,1,0)</f>
        <v>0</v>
      </c>
      <c r="V60" s="0" t="n">
        <f aca="false">4_Screening!C60/4_Screening!D60</f>
        <v>1.19258680361728</v>
      </c>
      <c r="W60" s="0" t="n">
        <f aca="false">4_Screening!E60/4_Screening!C60</f>
        <v>-0.0155401610185359</v>
      </c>
      <c r="X60" s="0" t="n">
        <f aca="false">4_Screening!F60/4_Screening!G60</f>
        <v>12.5315315315315</v>
      </c>
      <c r="Y60" s="0" t="n">
        <f aca="false">RANK(V60,$V$25:$V$74,1)</f>
        <v>13</v>
      </c>
      <c r="Z60" s="0" t="n">
        <f aca="false">RANK(W60,$W$25:$W$74,0)</f>
        <v>42</v>
      </c>
      <c r="AA60" s="0" t="n">
        <f aca="false">RANK(X60,$X$25:$X$74,1)</f>
        <v>39</v>
      </c>
      <c r="AB60" s="0" t="n">
        <f aca="false">AVERAGE(Y60:AA60)</f>
        <v>31.3333333333333</v>
      </c>
      <c r="AC60" s="0" t="n">
        <f aca="false">RANK(AB60,$AB$25:$AB$74,1)</f>
        <v>34</v>
      </c>
      <c r="AD60" s="0" t="n">
        <f aca="false">ROUNDUP(5*AC60/COUNT($AB$25:$AB$74),0)</f>
        <v>4</v>
      </c>
      <c r="AE60" s="0" t="str">
        <f aca="false">IF(4_Screening!E60&gt;0,4_Screening!C60/4_Screening!E60,"")</f>
        <v/>
      </c>
      <c r="AF60" s="0" t="n">
        <f aca="false">MIN(MAX(4_Screening!H60,PERCENTILE(4_Screening!$H$25:$H$74,0.05)),PERCENTILE(4_Screening!$H$25:$H$74,0.95))</f>
        <v>0.0688</v>
      </c>
    </row>
    <row r="61" customFormat="false" ht="15" hidden="false" customHeight="false" outlineLevel="0" collapsed="false">
      <c r="A61" s="0" t="str">
        <f aca="false">UPPER(TRIM(1_Lookups!G61))</f>
        <v>QQQQ</v>
      </c>
      <c r="B61" s="0" t="n">
        <f aca="false">VALUE(TRIM(1_Lookups!I61))</f>
        <v>116.33</v>
      </c>
      <c r="C61" s="0" t="n">
        <f aca="false">B61*1_Lookups!J61</f>
        <v>383889</v>
      </c>
      <c r="D61" s="0" t="n">
        <f aca="false">IF(ISNUMBER(MATCH(A61,1_Lookups!$A$25:$A$54,0)),1,0)</f>
        <v>0</v>
      </c>
      <c r="E61" s="0" t="str">
        <f aca="false">IFERROR(INDEX(1_Lookups!$C$25:$C$54,MATCH(A61,1_Lookups!$A$25:$A$54,0)),"Not Found")</f>
        <v>Not Found</v>
      </c>
      <c r="F61" s="0" t="n">
        <f aca="false">IF(COUNTIF(1_Lookups!$F$25:F61,1_Lookups!F61)&gt;1,1,0)</f>
        <v>0</v>
      </c>
      <c r="G61" s="0" t="n">
        <f aca="false">IF(EXACT(1_Lookups!G61,A61),0,1)</f>
        <v>0</v>
      </c>
      <c r="H61" s="0" t="n">
        <f aca="false">IF(ISTEXT(1_Lookups!I61),1,0)</f>
        <v>0</v>
      </c>
      <c r="M61" s="0" t="n">
        <f aca="false">3_Returns!B61/3_Returns!B60-1</f>
        <v>-0.0158270604130477</v>
      </c>
      <c r="N61" s="0" t="n">
        <f aca="false">3_Returns!C61/3_Returns!C60-1</f>
        <v>-0.00441426146010182</v>
      </c>
      <c r="O61" s="0" t="n">
        <f aca="false">3_Returns!D61/3_Returns!D60-1</f>
        <v>-0.0112543489882303</v>
      </c>
      <c r="P61" s="0" t="n">
        <f aca="false">MAX(3_Returns!$B$31:B61)</f>
        <v>52.89</v>
      </c>
      <c r="Q61" s="0" t="n">
        <f aca="false">3_Returns!B61/P61-1</f>
        <v>-0.035923615050104</v>
      </c>
      <c r="R61" s="0" t="n">
        <f aca="false">LN(3_Returns!B61/3_Returns!B60)</f>
        <v>-0.0159536457596326</v>
      </c>
      <c r="S61" s="0" t="n">
        <f aca="false">M61-O61</f>
        <v>-0.00457271142481741</v>
      </c>
      <c r="T61" s="0" t="n">
        <f aca="false">IF(M61&gt;O61,1,0)</f>
        <v>0</v>
      </c>
      <c r="V61" s="0" t="n">
        <f aca="false">4_Screening!C61/4_Screening!D61</f>
        <v>4.18144132653061</v>
      </c>
      <c r="W61" s="0" t="n">
        <f aca="false">4_Screening!E61/4_Screening!C61</f>
        <v>0.028673835125448</v>
      </c>
      <c r="X61" s="0" t="n">
        <f aca="false">4_Screening!F61/4_Screening!G61</f>
        <v>6.95412844036697</v>
      </c>
      <c r="Y61" s="0" t="n">
        <f aca="false">RANK(V61,$V$25:$V$74,1)</f>
        <v>48</v>
      </c>
      <c r="Z61" s="0" t="n">
        <f aca="false">RANK(W61,$W$25:$W$74,0)</f>
        <v>36</v>
      </c>
      <c r="AA61" s="0" t="n">
        <f aca="false">RANK(X61,$X$25:$X$74,1)</f>
        <v>11</v>
      </c>
      <c r="AB61" s="0" t="n">
        <f aca="false">AVERAGE(Y61:AA61)</f>
        <v>31.6666666666667</v>
      </c>
      <c r="AC61" s="0" t="n">
        <f aca="false">RANK(AB61,$AB$25:$AB$74,1)</f>
        <v>36</v>
      </c>
      <c r="AD61" s="0" t="n">
        <f aca="false">ROUNDUP(5*AC61/COUNT($AB$25:$AB$74),0)</f>
        <v>4</v>
      </c>
      <c r="AE61" s="0" t="n">
        <f aca="false">IF(4_Screening!E61&gt;0,4_Screening!C61/4_Screening!E61,"")</f>
        <v>34.875</v>
      </c>
      <c r="AF61" s="0" t="n">
        <f aca="false">MIN(MAX(4_Screening!H61,PERCENTILE(4_Screening!$H$25:$H$74,0.05)),PERCENTILE(4_Screening!$H$25:$H$74,0.95))</f>
        <v>0.1864</v>
      </c>
    </row>
    <row r="62" customFormat="false" ht="15" hidden="false" customHeight="false" outlineLevel="0" collapsed="false">
      <c r="A62" s="0" t="str">
        <f aca="false">UPPER(TRIM(1_Lookups!G62))</f>
        <v>IRNW</v>
      </c>
      <c r="B62" s="0" t="n">
        <f aca="false">VALUE(TRIM(1_Lookups!I62))</f>
        <v>46.96</v>
      </c>
      <c r="C62" s="0" t="n">
        <f aca="false">B62*1_Lookups!J62</f>
        <v>28176</v>
      </c>
      <c r="D62" s="0" t="n">
        <f aca="false">IF(ISNUMBER(MATCH(A62,1_Lookups!$A$25:$A$54,0)),1,0)</f>
        <v>1</v>
      </c>
      <c r="E62" s="0" t="str">
        <f aca="false">IFERROR(INDEX(1_Lookups!$C$25:$C$54,MATCH(A62,1_Lookups!$A$25:$A$54,0)),"Not Found")</f>
        <v>Technology</v>
      </c>
      <c r="F62" s="0" t="n">
        <f aca="false">IF(COUNTIF(1_Lookups!$F$25:F62,1_Lookups!F62)&gt;1,1,0)</f>
        <v>0</v>
      </c>
      <c r="G62" s="0" t="n">
        <f aca="false">IF(EXACT(1_Lookups!G62,A62),0,1)</f>
        <v>1</v>
      </c>
      <c r="H62" s="0" t="n">
        <f aca="false">IF(ISTEXT(1_Lookups!I62),1,0)</f>
        <v>0</v>
      </c>
      <c r="M62" s="0" t="n">
        <f aca="false">3_Returns!B62/3_Returns!B61-1</f>
        <v>-0.00176505197097476</v>
      </c>
      <c r="N62" s="0" t="n">
        <f aca="false">3_Returns!C62/3_Returns!C61-1</f>
        <v>-0.012193042291951</v>
      </c>
      <c r="O62" s="0" t="n">
        <f aca="false">3_Returns!D62/3_Returns!D61-1</f>
        <v>-0.00456290749742083</v>
      </c>
      <c r="P62" s="0" t="n">
        <f aca="false">MAX(3_Returns!$B$31:B62)</f>
        <v>52.89</v>
      </c>
      <c r="Q62" s="0" t="n">
        <f aca="false">3_Returns!B62/P62-1</f>
        <v>-0.0376252599735301</v>
      </c>
      <c r="R62" s="0" t="n">
        <f aca="false">LN(3_Returns!B62/3_Returns!B61)</f>
        <v>-0.00176661151058737</v>
      </c>
      <c r="S62" s="0" t="n">
        <f aca="false">M62-O62</f>
        <v>0.00279785552644607</v>
      </c>
      <c r="T62" s="0" t="n">
        <f aca="false">IF(M62&gt;O62,1,0)</f>
        <v>1</v>
      </c>
      <c r="V62" s="0" t="n">
        <f aca="false">4_Screening!C62/4_Screening!D62</f>
        <v>1.56439492096398</v>
      </c>
      <c r="W62" s="0" t="n">
        <f aca="false">4_Screening!E62/4_Screening!C62</f>
        <v>0.0377671028656618</v>
      </c>
      <c r="X62" s="0" t="n">
        <f aca="false">4_Screening!F62/4_Screening!G62</f>
        <v>7.97142857142857</v>
      </c>
      <c r="Y62" s="0" t="n">
        <f aca="false">RANK(V62,$V$25:$V$74,1)</f>
        <v>22</v>
      </c>
      <c r="Z62" s="0" t="n">
        <f aca="false">RANK(W62,$W$25:$W$74,0)</f>
        <v>30</v>
      </c>
      <c r="AA62" s="0" t="n">
        <f aca="false">RANK(X62,$X$25:$X$74,1)</f>
        <v>16</v>
      </c>
      <c r="AB62" s="0" t="n">
        <f aca="false">AVERAGE(Y62:AA62)</f>
        <v>22.6666666666667</v>
      </c>
      <c r="AC62" s="0" t="n">
        <f aca="false">RANK(AB62,$AB$25:$AB$74,1)</f>
        <v>19</v>
      </c>
      <c r="AD62" s="0" t="n">
        <f aca="false">ROUNDUP(5*AC62/COUNT($AB$25:$AB$74),0)</f>
        <v>2</v>
      </c>
      <c r="AE62" s="0" t="n">
        <f aca="false">IF(4_Screening!E62&gt;0,4_Screening!C62/4_Screening!E62,"")</f>
        <v>26.4780701754386</v>
      </c>
      <c r="AF62" s="0" t="n">
        <f aca="false">MIN(MAX(4_Screening!H62,PERCENTILE(4_Screening!$H$25:$H$74,0.05)),PERCENTILE(4_Screening!$H$25:$H$74,0.95))</f>
        <v>0.0708</v>
      </c>
    </row>
    <row r="63" customFormat="false" ht="15" hidden="false" customHeight="false" outlineLevel="0" collapsed="false">
      <c r="A63" s="0" t="str">
        <f aca="false">UPPER(TRIM(1_Lookups!G63))</f>
        <v>FENX</v>
      </c>
      <c r="B63" s="0" t="n">
        <f aca="false">VALUE(TRIM(1_Lookups!I63))</f>
        <v>225.38</v>
      </c>
      <c r="C63" s="0" t="n">
        <f aca="false">B63*1_Lookups!J63</f>
        <v>338070</v>
      </c>
      <c r="D63" s="0" t="n">
        <f aca="false">IF(ISNUMBER(MATCH(A63,1_Lookups!$A$25:$A$54,0)),1,0)</f>
        <v>1</v>
      </c>
      <c r="E63" s="0" t="str">
        <f aca="false">IFERROR(INDEX(1_Lookups!$C$25:$C$54,MATCH(A63,1_Lookups!$A$25:$A$54,0)),"Not Found")</f>
        <v>Energy</v>
      </c>
      <c r="F63" s="0" t="n">
        <f aca="false">IF(COUNTIF(1_Lookups!$F$25:F63,1_Lookups!F63)&gt;1,1,0)</f>
        <v>0</v>
      </c>
      <c r="G63" s="0" t="n">
        <f aca="false">IF(EXACT(1_Lookups!G63,A63),0,1)</f>
        <v>1</v>
      </c>
      <c r="H63" s="0" t="n">
        <f aca="false">IF(ISTEXT(1_Lookups!I63),1,0)</f>
        <v>0</v>
      </c>
      <c r="M63" s="0" t="n">
        <f aca="false">3_Returns!B63/3_Returns!B62-1</f>
        <v>0.0111984282907662</v>
      </c>
      <c r="N63" s="0" t="n">
        <f aca="false">3_Returns!C63/3_Returns!C62-1</f>
        <v>0.000690548122572299</v>
      </c>
      <c r="O63" s="0" t="n">
        <f aca="false">3_Returns!D63/3_Returns!D62-1</f>
        <v>1.78081703885447E-005</v>
      </c>
      <c r="P63" s="0" t="n">
        <f aca="false">MAX(3_Returns!$B$31:B63)</f>
        <v>52.89</v>
      </c>
      <c r="Q63" s="0" t="n">
        <f aca="false">3_Returns!B63/P63-1</f>
        <v>-0.0268481754584988</v>
      </c>
      <c r="R63" s="0" t="n">
        <f aca="false">LN(3_Returns!B63/3_Returns!B62)</f>
        <v>0.0111361901081861</v>
      </c>
      <c r="S63" s="0" t="n">
        <f aca="false">M63-O63</f>
        <v>0.0111806201203777</v>
      </c>
      <c r="T63" s="0" t="n">
        <f aca="false">IF(M63&gt;O63,1,0)</f>
        <v>1</v>
      </c>
      <c r="V63" s="0" t="n">
        <f aca="false">4_Screening!C63/4_Screening!D63</f>
        <v>1.14288052373159</v>
      </c>
      <c r="W63" s="0" t="n">
        <f aca="false">4_Screening!E63/4_Screening!C63</f>
        <v>0.0612917084347702</v>
      </c>
      <c r="X63" s="0" t="n">
        <f aca="false">4_Screening!F63/4_Screening!G63</f>
        <v>13.0641975308642</v>
      </c>
      <c r="Y63" s="0" t="n">
        <f aca="false">RANK(V63,$V$25:$V$74,1)</f>
        <v>10</v>
      </c>
      <c r="Z63" s="0" t="n">
        <f aca="false">RANK(W63,$W$25:$W$74,0)</f>
        <v>23</v>
      </c>
      <c r="AA63" s="0" t="n">
        <f aca="false">RANK(X63,$X$25:$X$74,1)</f>
        <v>42</v>
      </c>
      <c r="AB63" s="0" t="n">
        <f aca="false">AVERAGE(Y63:AA63)</f>
        <v>25</v>
      </c>
      <c r="AC63" s="0" t="n">
        <f aca="false">RANK(AB63,$AB$25:$AB$74,1)</f>
        <v>25</v>
      </c>
      <c r="AD63" s="0" t="n">
        <f aca="false">ROUNDUP(5*AC63/COUNT($AB$25:$AB$74),0)</f>
        <v>3</v>
      </c>
      <c r="AE63" s="0" t="n">
        <f aca="false">IF(4_Screening!E63&gt;0,4_Screening!C63/4_Screening!E63,"")</f>
        <v>16.3154205607477</v>
      </c>
      <c r="AF63" s="0" t="n">
        <f aca="false">MIN(MAX(4_Screening!H63,PERCENTILE(4_Screening!$H$25:$H$74,0.05)),PERCENTILE(4_Screening!$H$25:$H$74,0.95))</f>
        <v>0.03151</v>
      </c>
    </row>
    <row r="64" customFormat="false" ht="15" hidden="false" customHeight="false" outlineLevel="0" collapsed="false">
      <c r="A64" s="0" t="str">
        <f aca="false">UPPER(TRIM(1_Lookups!G64))</f>
        <v>HRBR</v>
      </c>
      <c r="B64" s="0" t="n">
        <f aca="false">VALUE(TRIM(1_Lookups!I64))</f>
        <v>265.37</v>
      </c>
      <c r="C64" s="0" t="n">
        <f aca="false">B64*1_Lookups!J64</f>
        <v>424592</v>
      </c>
      <c r="D64" s="0" t="n">
        <f aca="false">IF(ISNUMBER(MATCH(A64,1_Lookups!$A$25:$A$54,0)),1,0)</f>
        <v>1</v>
      </c>
      <c r="E64" s="0" t="str">
        <f aca="false">IFERROR(INDEX(1_Lookups!$C$25:$C$54,MATCH(A64,1_Lookups!$A$25:$A$54,0)),"Not Found")</f>
        <v>Financials</v>
      </c>
      <c r="F64" s="0" t="n">
        <f aca="false">IF(COUNTIF(1_Lookups!$F$25:F64,1_Lookups!F64)&gt;1,1,0)</f>
        <v>0</v>
      </c>
      <c r="G64" s="0" t="n">
        <f aca="false">IF(EXACT(1_Lookups!G64,A64),0,1)</f>
        <v>0</v>
      </c>
      <c r="H64" s="0" t="n">
        <f aca="false">IF(ISTEXT(1_Lookups!I64),1,0)</f>
        <v>1</v>
      </c>
      <c r="M64" s="0" t="n">
        <f aca="false">3_Returns!B64/3_Returns!B63-1</f>
        <v>-0.00602292597629694</v>
      </c>
      <c r="N64" s="0" t="n">
        <f aca="false">3_Returns!C64/3_Returns!C63-1</f>
        <v>0.00345035797463988</v>
      </c>
      <c r="O64" s="0" t="n">
        <f aca="false">3_Returns!D64/3_Returns!D63-1</f>
        <v>-0.00954679013444926</v>
      </c>
      <c r="P64" s="0" t="n">
        <f aca="false">MAX(3_Returns!$B$31:B64)</f>
        <v>52.89</v>
      </c>
      <c r="Q64" s="0" t="n">
        <f aca="false">3_Returns!B64/P64-1</f>
        <v>-0.0327093968614105</v>
      </c>
      <c r="R64" s="0" t="n">
        <f aca="false">LN(3_Returns!B64/3_Returns!B63)</f>
        <v>-0.00604113695402129</v>
      </c>
      <c r="S64" s="0" t="n">
        <f aca="false">M64-O64</f>
        <v>0.00352386415815231</v>
      </c>
      <c r="T64" s="0" t="n">
        <f aca="false">IF(M64&gt;O64,1,0)</f>
        <v>1</v>
      </c>
      <c r="V64" s="0" t="n">
        <f aca="false">4_Screening!C64/4_Screening!D64</f>
        <v>1.59807295251204</v>
      </c>
      <c r="W64" s="0" t="n">
        <f aca="false">4_Screening!E64/4_Screening!C64</f>
        <v>0.0366063738156761</v>
      </c>
      <c r="X64" s="0" t="n">
        <f aca="false">4_Screening!F64/4_Screening!G64</f>
        <v>10.3451327433628</v>
      </c>
      <c r="Y64" s="0" t="n">
        <f aca="false">RANK(V64,$V$25:$V$74,1)</f>
        <v>25</v>
      </c>
      <c r="Z64" s="0" t="n">
        <f aca="false">RANK(W64,$W$25:$W$74,0)</f>
        <v>31</v>
      </c>
      <c r="AA64" s="0" t="n">
        <f aca="false">RANK(X64,$X$25:$X$74,1)</f>
        <v>31</v>
      </c>
      <c r="AB64" s="0" t="n">
        <f aca="false">AVERAGE(Y64:AA64)</f>
        <v>29</v>
      </c>
      <c r="AC64" s="0" t="n">
        <f aca="false">RANK(AB64,$AB$25:$AB$74,1)</f>
        <v>30</v>
      </c>
      <c r="AD64" s="0" t="n">
        <f aca="false">ROUNDUP(5*AC64/COUNT($AB$25:$AB$74),0)</f>
        <v>3</v>
      </c>
      <c r="AE64" s="0" t="n">
        <f aca="false">IF(4_Screening!E64&gt;0,4_Screening!C64/4_Screening!E64,"")</f>
        <v>27.3176470588235</v>
      </c>
      <c r="AF64" s="0" t="n">
        <f aca="false">MIN(MAX(4_Screening!H64,PERCENTILE(4_Screening!$H$25:$H$74,0.05)),PERCENTILE(4_Screening!$H$25:$H$74,0.95))</f>
        <v>0.29721</v>
      </c>
    </row>
    <row r="65" customFormat="false" ht="15" hidden="false" customHeight="false" outlineLevel="0" collapsed="false">
      <c r="A65" s="0" t="str">
        <f aca="false">UPPER(TRIM(1_Lookups!G65))</f>
        <v>ABRV</v>
      </c>
      <c r="B65" s="0" t="n">
        <f aca="false">VALUE(TRIM(1_Lookups!I65))</f>
        <v>173.91</v>
      </c>
      <c r="C65" s="0" t="n">
        <f aca="false">B65*1_Lookups!J65</f>
        <v>730422</v>
      </c>
      <c r="D65" s="0" t="n">
        <f aca="false">IF(ISNUMBER(MATCH(A65,1_Lookups!$A$25:$A$54,0)),1,0)</f>
        <v>1</v>
      </c>
      <c r="E65" s="0" t="str">
        <f aca="false">IFERROR(INDEX(1_Lookups!$C$25:$C$54,MATCH(A65,1_Lookups!$A$25:$A$54,0)),"Not Found")</f>
        <v>Financials</v>
      </c>
      <c r="F65" s="0" t="n">
        <f aca="false">IF(COUNTIF(1_Lookups!$F$25:F65,1_Lookups!F65)&gt;1,1,0)</f>
        <v>1</v>
      </c>
      <c r="G65" s="0" t="n">
        <f aca="false">IF(EXACT(1_Lookups!G65,A65),0,1)</f>
        <v>0</v>
      </c>
      <c r="H65" s="0" t="n">
        <f aca="false">IF(ISTEXT(1_Lookups!I65),1,0)</f>
        <v>0</v>
      </c>
      <c r="M65" s="0" t="n">
        <f aca="false">3_Returns!B65/3_Returns!B64-1</f>
        <v>-0.00605942142298666</v>
      </c>
      <c r="N65" s="0" t="n">
        <f aca="false">3_Returns!C65/3_Returns!C64-1</f>
        <v>0.00335253159116311</v>
      </c>
      <c r="O65" s="0" t="n">
        <f aca="false">3_Returns!D65/3_Returns!D64-1</f>
        <v>-0.00933136038289151</v>
      </c>
      <c r="P65" s="0" t="n">
        <f aca="false">MAX(3_Returns!$B$31:B65)</f>
        <v>52.89</v>
      </c>
      <c r="Q65" s="0" t="n">
        <f aca="false">3_Returns!B65/P65-1</f>
        <v>-0.0385706182643222</v>
      </c>
      <c r="R65" s="0" t="n">
        <f aca="false">LN(3_Returns!B65/3_Returns!B64)</f>
        <v>-0.00607785421607293</v>
      </c>
      <c r="S65" s="0" t="n">
        <f aca="false">M65-O65</f>
        <v>0.00327193895990485</v>
      </c>
      <c r="T65" s="0" t="n">
        <f aca="false">IF(M65&gt;O65,1,0)</f>
        <v>1</v>
      </c>
      <c r="V65" s="0" t="n">
        <f aca="false">4_Screening!C65/4_Screening!D65</f>
        <v>2.01385613207547</v>
      </c>
      <c r="W65" s="0" t="n">
        <f aca="false">4_Screening!E65/4_Screening!C65</f>
        <v>0.0973503147416191</v>
      </c>
      <c r="X65" s="0" t="n">
        <f aca="false">4_Screening!F65/4_Screening!G65</f>
        <v>5.66122448979592</v>
      </c>
      <c r="Y65" s="0" t="n">
        <f aca="false">RANK(V65,$V$25:$V$74,1)</f>
        <v>30</v>
      </c>
      <c r="Z65" s="0" t="n">
        <f aca="false">RANK(W65,$W$25:$W$74,0)</f>
        <v>8</v>
      </c>
      <c r="AA65" s="0" t="n">
        <f aca="false">RANK(X65,$X$25:$X$74,1)</f>
        <v>4</v>
      </c>
      <c r="AB65" s="0" t="n">
        <f aca="false">AVERAGE(Y65:AA65)</f>
        <v>14</v>
      </c>
      <c r="AC65" s="0" t="n">
        <f aca="false">RANK(AB65,$AB$25:$AB$74,1)</f>
        <v>5</v>
      </c>
      <c r="AD65" s="0" t="n">
        <f aca="false">ROUNDUP(5*AC65/COUNT($AB$25:$AB$74),0)</f>
        <v>1</v>
      </c>
      <c r="AE65" s="0" t="n">
        <f aca="false">IF(4_Screening!E65&gt;0,4_Screening!C65/4_Screening!E65,"")</f>
        <v>10.2721804511278</v>
      </c>
      <c r="AF65" s="0" t="n">
        <f aca="false">MIN(MAX(4_Screening!H65,PERCENTILE(4_Screening!$H$25:$H$74,0.05)),PERCENTILE(4_Screening!$H$25:$H$74,0.95))</f>
        <v>0.1528</v>
      </c>
    </row>
    <row r="66" customFormat="false" ht="15" hidden="false" customHeight="false" outlineLevel="0" collapsed="false">
      <c r="A66" s="0" t="str">
        <f aca="false">UPPER(TRIM(1_Lookups!G66))</f>
        <v>GRVL</v>
      </c>
      <c r="B66" s="0" t="n">
        <f aca="false">VALUE(TRIM(1_Lookups!I66))</f>
        <v>113.84</v>
      </c>
      <c r="C66" s="0" t="n">
        <f aca="false">B66*1_Lookups!J66</f>
        <v>318752</v>
      </c>
      <c r="D66" s="0" t="n">
        <f aca="false">IF(ISNUMBER(MATCH(A66,1_Lookups!$A$25:$A$54,0)),1,0)</f>
        <v>1</v>
      </c>
      <c r="E66" s="0" t="str">
        <f aca="false">IFERROR(INDEX(1_Lookups!$C$25:$C$54,MATCH(A66,1_Lookups!$A$25:$A$54,0)),"Not Found")</f>
        <v>Energy</v>
      </c>
      <c r="F66" s="0" t="n">
        <f aca="false">IF(COUNTIF(1_Lookups!$F$25:F66,1_Lookups!F66)&gt;1,1,0)</f>
        <v>1</v>
      </c>
      <c r="G66" s="0" t="n">
        <f aca="false">IF(EXACT(1_Lookups!G66,A66),0,1)</f>
        <v>0</v>
      </c>
      <c r="H66" s="0" t="n">
        <f aca="false">IF(ISTEXT(1_Lookups!I66),1,0)</f>
        <v>0</v>
      </c>
      <c r="M66" s="0" t="n">
        <f aca="false">3_Returns!B66/3_Returns!B65-1</f>
        <v>-0.0147492625368731</v>
      </c>
      <c r="N66" s="0" t="n">
        <f aca="false">3_Returns!C66/3_Returns!C65-1</f>
        <v>0.0117374914324881</v>
      </c>
      <c r="O66" s="0" t="n">
        <f aca="false">3_Returns!D66/3_Returns!D65-1</f>
        <v>-0.00447550721507661</v>
      </c>
      <c r="P66" s="0" t="n">
        <f aca="false">MAX(3_Returns!$B$31:B66)</f>
        <v>52.89</v>
      </c>
      <c r="Q66" s="0" t="n">
        <f aca="false">3_Returns!B66/P66-1</f>
        <v>-0.0527509926262053</v>
      </c>
      <c r="R66" s="0" t="n">
        <f aca="false">LN(3_Returns!B66/3_Returns!B65)</f>
        <v>-0.0148591144037498</v>
      </c>
      <c r="S66" s="0" t="n">
        <f aca="false">M66-O66</f>
        <v>-0.0102737553217965</v>
      </c>
      <c r="T66" s="0" t="n">
        <f aca="false">IF(M66&gt;O66,1,0)</f>
        <v>0</v>
      </c>
      <c r="V66" s="0" t="n">
        <f aca="false">4_Screening!C66/4_Screening!D66</f>
        <v>1.30225531455703</v>
      </c>
      <c r="W66" s="0" t="n">
        <f aca="false">4_Screening!E66/4_Screening!C66</f>
        <v>0.0576731852833941</v>
      </c>
      <c r="X66" s="0" t="n">
        <f aca="false">4_Screening!F66/4_Screening!G66</f>
        <v>10.2434456928839</v>
      </c>
      <c r="Y66" s="0" t="n">
        <f aca="false">RANK(V66,$V$25:$V$74,1)</f>
        <v>14</v>
      </c>
      <c r="Z66" s="0" t="n">
        <f aca="false">RANK(W66,$W$25:$W$74,0)</f>
        <v>25</v>
      </c>
      <c r="AA66" s="0" t="n">
        <f aca="false">RANK(X66,$X$25:$X$74,1)</f>
        <v>29</v>
      </c>
      <c r="AB66" s="0" t="n">
        <f aca="false">AVERAGE(Y66:AA66)</f>
        <v>22.6666666666667</v>
      </c>
      <c r="AC66" s="0" t="n">
        <f aca="false">RANK(AB66,$AB$25:$AB$74,1)</f>
        <v>19</v>
      </c>
      <c r="AD66" s="0" t="n">
        <f aca="false">ROUNDUP(5*AC66/COUNT($AB$25:$AB$74),0)</f>
        <v>2</v>
      </c>
      <c r="AE66" s="0" t="n">
        <f aca="false">IF(4_Screening!E66&gt;0,4_Screening!C66/4_Screening!E66,"")</f>
        <v>17.3390804597701</v>
      </c>
      <c r="AF66" s="0" t="n">
        <f aca="false">MIN(MAX(4_Screening!H66,PERCENTILE(4_Screening!$H$25:$H$74,0.05)),PERCENTILE(4_Screening!$H$25:$H$74,0.95))</f>
        <v>0.18</v>
      </c>
    </row>
    <row r="67" customFormat="false" ht="15" hidden="false" customHeight="false" outlineLevel="0" collapsed="false">
      <c r="A67" s="0" t="str">
        <f aca="false">UPPER(TRIM(1_Lookups!G67))</f>
        <v>NOVX</v>
      </c>
      <c r="B67" s="0" t="n">
        <f aca="false">VALUE(TRIM(1_Lookups!I67))</f>
        <v>215.18</v>
      </c>
      <c r="C67" s="0" t="n">
        <f aca="false">B67*1_Lookups!J67</f>
        <v>602504</v>
      </c>
      <c r="D67" s="0" t="n">
        <f aca="false">IF(ISNUMBER(MATCH(A67,1_Lookups!$A$25:$A$54,0)),1,0)</f>
        <v>1</v>
      </c>
      <c r="E67" s="0" t="str">
        <f aca="false">IFERROR(INDEX(1_Lookups!$C$25:$C$54,MATCH(A67,1_Lookups!$A$25:$A$54,0)),"Not Found")</f>
        <v>Energy</v>
      </c>
      <c r="F67" s="0" t="n">
        <f aca="false">IF(COUNTIF(1_Lookups!$F$25:F67,1_Lookups!F67)&gt;1,1,0)</f>
        <v>1</v>
      </c>
      <c r="G67" s="0" t="n">
        <f aca="false">IF(EXACT(1_Lookups!G67,A67),0,1)</f>
        <v>0</v>
      </c>
      <c r="H67" s="0" t="n">
        <f aca="false">IF(ISTEXT(1_Lookups!I67),1,0)</f>
        <v>0</v>
      </c>
      <c r="M67" s="0" t="n">
        <f aca="false">3_Returns!B67/3_Returns!B66-1</f>
        <v>-0.041117764471058</v>
      </c>
      <c r="N67" s="0" t="n">
        <f aca="false">3_Returns!C67/3_Returns!C66-1</f>
        <v>-0.0173596409518164</v>
      </c>
      <c r="O67" s="0" t="n">
        <f aca="false">3_Returns!D67/3_Returns!D66-1</f>
        <v>-0.0208538046024579</v>
      </c>
      <c r="P67" s="0" t="n">
        <f aca="false">MAX(3_Returns!$B$31:B67)</f>
        <v>52.89</v>
      </c>
      <c r="Q67" s="0" t="n">
        <f aca="false">3_Returns!B67/P67-1</f>
        <v>-0.0916997542068444</v>
      </c>
      <c r="R67" s="0" t="n">
        <f aca="false">LN(3_Returns!B67/3_Returns!B66)</f>
        <v>-0.0419870108790364</v>
      </c>
      <c r="S67" s="0" t="n">
        <f aca="false">M67-O67</f>
        <v>-0.0202639598686001</v>
      </c>
      <c r="T67" s="0" t="n">
        <f aca="false">IF(M67&gt;O67,1,0)</f>
        <v>0</v>
      </c>
      <c r="V67" s="0" t="n">
        <f aca="false">4_Screening!C67/4_Screening!D67</f>
        <v>1.76587301587302</v>
      </c>
      <c r="W67" s="0" t="n">
        <f aca="false">4_Screening!E67/4_Screening!C67</f>
        <v>-0.0662921348314607</v>
      </c>
      <c r="X67" s="0" t="n">
        <f aca="false">4_Screening!F67/4_Screening!G67</f>
        <v>8.46376811594203</v>
      </c>
      <c r="Y67" s="0" t="n">
        <f aca="false">RANK(V67,$V$25:$V$74,1)</f>
        <v>26</v>
      </c>
      <c r="Z67" s="0" t="n">
        <f aca="false">RANK(W67,$W$25:$W$74,0)</f>
        <v>48</v>
      </c>
      <c r="AA67" s="0" t="n">
        <f aca="false">RANK(X67,$X$25:$X$74,1)</f>
        <v>21</v>
      </c>
      <c r="AB67" s="0" t="n">
        <f aca="false">AVERAGE(Y67:AA67)</f>
        <v>31.6666666666667</v>
      </c>
      <c r="AC67" s="0" t="n">
        <f aca="false">RANK(AB67,$AB$25:$AB$74,1)</f>
        <v>36</v>
      </c>
      <c r="AD67" s="0" t="n">
        <f aca="false">ROUNDUP(5*AC67/COUNT($AB$25:$AB$74),0)</f>
        <v>4</v>
      </c>
      <c r="AE67" s="0" t="str">
        <f aca="false">IF(4_Screening!E67&gt;0,4_Screening!C67/4_Screening!E67,"")</f>
        <v/>
      </c>
      <c r="AF67" s="0" t="n">
        <f aca="false">MIN(MAX(4_Screening!H67,PERCENTILE(4_Screening!$H$25:$H$74,0.05)),PERCENTILE(4_Screening!$H$25:$H$74,0.95))</f>
        <v>0.1694</v>
      </c>
    </row>
    <row r="68" customFormat="false" ht="15" hidden="false" customHeight="false" outlineLevel="0" collapsed="false">
      <c r="M68" s="0" t="n">
        <f aca="false">3_Returns!B68/3_Returns!B67-1</f>
        <v>-0.0160283097418816</v>
      </c>
      <c r="N68" s="0" t="n">
        <f aca="false">3_Returns!C68/3_Returns!C67-1</f>
        <v>-0.0200792830058602</v>
      </c>
      <c r="O68" s="0" t="n">
        <f aca="false">3_Returns!D68/3_Returns!D67-1</f>
        <v>-0.014250764298242</v>
      </c>
      <c r="P68" s="0" t="n">
        <f aca="false">MAX(3_Returns!$B$31:B68)</f>
        <v>52.89</v>
      </c>
      <c r="Q68" s="0" t="n">
        <f aca="false">3_Returns!B68/P68-1</f>
        <v>-0.106258271885044</v>
      </c>
      <c r="R68" s="0" t="n">
        <f aca="false">LN(3_Returns!B68/3_Returns!B67)</f>
        <v>-0.0161581524066377</v>
      </c>
      <c r="S68" s="0" t="n">
        <f aca="false">M68-O68</f>
        <v>-0.00177754544363962</v>
      </c>
      <c r="T68" s="0" t="n">
        <f aca="false">IF(M68&gt;O68,1,0)</f>
        <v>0</v>
      </c>
      <c r="V68" s="0" t="n">
        <f aca="false">4_Screening!C68/4_Screening!D68</f>
        <v>0.808557830044822</v>
      </c>
      <c r="W68" s="0" t="n">
        <f aca="false">4_Screening!E68/4_Screening!C68</f>
        <v>-0.0512630014858841</v>
      </c>
      <c r="X68" s="0" t="n">
        <f aca="false">4_Screening!F68/4_Screening!G68</f>
        <v>6.77777777777778</v>
      </c>
      <c r="Y68" s="0" t="n">
        <f aca="false">RANK(V68,$V$25:$V$74,1)</f>
        <v>4</v>
      </c>
      <c r="Z68" s="0" t="n">
        <f aca="false">RANK(W68,$W$25:$W$74,0)</f>
        <v>46</v>
      </c>
      <c r="AA68" s="0" t="n">
        <f aca="false">RANK(X68,$X$25:$X$74,1)</f>
        <v>7</v>
      </c>
      <c r="AB68" s="0" t="n">
        <f aca="false">AVERAGE(Y68:AA68)</f>
        <v>19</v>
      </c>
      <c r="AC68" s="0" t="n">
        <f aca="false">RANK(AB68,$AB$25:$AB$74,1)</f>
        <v>10</v>
      </c>
      <c r="AD68" s="0" t="n">
        <f aca="false">ROUNDUP(5*AC68/COUNT($AB$25:$AB$74),0)</f>
        <v>1</v>
      </c>
      <c r="AE68" s="0" t="str">
        <f aca="false">IF(4_Screening!E68&gt;0,4_Screening!C68/4_Screening!E68,"")</f>
        <v/>
      </c>
      <c r="AF68" s="0" t="n">
        <f aca="false">MIN(MAX(4_Screening!H68,PERCENTILE(4_Screening!$H$25:$H$74,0.05)),PERCENTILE(4_Screening!$H$25:$H$74,0.95))</f>
        <v>0.2568</v>
      </c>
    </row>
    <row r="69" customFormat="false" ht="15" hidden="false" customHeight="false" outlineLevel="0" collapsed="false">
      <c r="M69" s="0" t="n">
        <f aca="false">3_Returns!B69/3_Returns!B68-1</f>
        <v>-0.0133276919822298</v>
      </c>
      <c r="N69" s="0" t="n">
        <f aca="false">3_Returns!C69/3_Returns!C68-1</f>
        <v>0.00703544103420994</v>
      </c>
      <c r="O69" s="0" t="n">
        <f aca="false">3_Returns!D69/3_Returns!D68-1</f>
        <v>-0.00384557268056807</v>
      </c>
      <c r="P69" s="0" t="n">
        <f aca="false">MAX(3_Returns!$B$31:B69)</f>
        <v>52.89</v>
      </c>
      <c r="Q69" s="0" t="n">
        <f aca="false">3_Returns!B69/P69-1</f>
        <v>-0.118169786349026</v>
      </c>
      <c r="R69" s="0" t="n">
        <f aca="false">LN(3_Returns!B69/3_Returns!B68)</f>
        <v>-0.0134173027629081</v>
      </c>
      <c r="S69" s="0" t="n">
        <f aca="false">M69-O69</f>
        <v>-0.00948211930166176</v>
      </c>
      <c r="T69" s="0" t="n">
        <f aca="false">IF(M69&gt;O69,1,0)</f>
        <v>0</v>
      </c>
      <c r="V69" s="0" t="n">
        <f aca="false">4_Screening!C69/4_Screening!D69</f>
        <v>1.59191982461635</v>
      </c>
      <c r="W69" s="0" t="n">
        <f aca="false">4_Screening!E69/4_Screening!C69</f>
        <v>0.0883336612236868</v>
      </c>
      <c r="X69" s="0" t="n">
        <f aca="false">4_Screening!F69/4_Screening!G69</f>
        <v>10.5128205128205</v>
      </c>
      <c r="Y69" s="0" t="n">
        <f aca="false">RANK(V69,$V$25:$V$74,1)</f>
        <v>24</v>
      </c>
      <c r="Z69" s="0" t="n">
        <f aca="false">RANK(W69,$W$25:$W$74,0)</f>
        <v>10</v>
      </c>
      <c r="AA69" s="0" t="n">
        <f aca="false">RANK(X69,$X$25:$X$74,1)</f>
        <v>32</v>
      </c>
      <c r="AB69" s="0" t="n">
        <f aca="false">AVERAGE(Y69:AA69)</f>
        <v>22</v>
      </c>
      <c r="AC69" s="0" t="n">
        <f aca="false">RANK(AB69,$AB$25:$AB$74,1)</f>
        <v>17</v>
      </c>
      <c r="AD69" s="0" t="n">
        <f aca="false">ROUNDUP(5*AC69/COUNT($AB$25:$AB$74),0)</f>
        <v>2</v>
      </c>
      <c r="AE69" s="0" t="n">
        <f aca="false">IF(4_Screening!E69&gt;0,4_Screening!C69/4_Screening!E69,"")</f>
        <v>11.3207126948775</v>
      </c>
      <c r="AF69" s="0" t="n">
        <f aca="false">MIN(MAX(4_Screening!H69,PERCENTILE(4_Screening!$H$25:$H$74,0.05)),PERCENTILE(4_Screening!$H$25:$H$74,0.95))</f>
        <v>0.1499</v>
      </c>
    </row>
    <row r="70" customFormat="false" ht="15" hidden="false" customHeight="false" outlineLevel="0" collapsed="false">
      <c r="M70" s="0" t="n">
        <f aca="false">3_Returns!B70/3_Returns!B69-1</f>
        <v>-0.0141509433962265</v>
      </c>
      <c r="N70" s="0" t="n">
        <f aca="false">3_Returns!C70/3_Returns!C69-1</f>
        <v>0.00427910226181116</v>
      </c>
      <c r="O70" s="0" t="n">
        <f aca="false">3_Returns!D70/3_Returns!D69-1</f>
        <v>0.00181075608072745</v>
      </c>
      <c r="P70" s="0" t="n">
        <f aca="false">MAX(3_Returns!$B$31:B70)</f>
        <v>52.89</v>
      </c>
      <c r="Q70" s="0" t="n">
        <f aca="false">3_Returns!B70/P70-1</f>
        <v>-0.130648515787484</v>
      </c>
      <c r="R70" s="0" t="n">
        <f aca="false">LN(3_Returns!B70/3_Returns!B69)</f>
        <v>-0.0142520227072015</v>
      </c>
      <c r="S70" s="0" t="n">
        <f aca="false">M70-O70</f>
        <v>-0.0159616994769539</v>
      </c>
      <c r="T70" s="0" t="n">
        <f aca="false">IF(M70&gt;O70,1,0)</f>
        <v>0</v>
      </c>
      <c r="V70" s="0" t="n">
        <f aca="false">4_Screening!C70/4_Screening!D70</f>
        <v>2.90199835751437</v>
      </c>
      <c r="W70" s="0" t="n">
        <f aca="false">4_Screening!E70/4_Screening!C70</f>
        <v>0.0411281954532591</v>
      </c>
      <c r="X70" s="0" t="n">
        <f aca="false">4_Screening!F70/4_Screening!G70</f>
        <v>7.83419689119171</v>
      </c>
      <c r="Y70" s="0" t="n">
        <f aca="false">RANK(V70,$V$25:$V$74,1)</f>
        <v>45</v>
      </c>
      <c r="Z70" s="0" t="n">
        <f aca="false">RANK(W70,$W$25:$W$74,0)</f>
        <v>29</v>
      </c>
      <c r="AA70" s="0" t="n">
        <f aca="false">RANK(X70,$X$25:$X$74,1)</f>
        <v>15</v>
      </c>
      <c r="AB70" s="0" t="n">
        <f aca="false">AVERAGE(Y70:AA70)</f>
        <v>29.6666666666667</v>
      </c>
      <c r="AC70" s="0" t="n">
        <f aca="false">RANK(AB70,$AB$25:$AB$74,1)</f>
        <v>31</v>
      </c>
      <c r="AD70" s="0" t="n">
        <f aca="false">ROUNDUP(5*AC70/COUNT($AB$25:$AB$74),0)</f>
        <v>4</v>
      </c>
      <c r="AE70" s="0" t="n">
        <f aca="false">IF(4_Screening!E70&gt;0,4_Screening!C70/4_Screening!E70,"")</f>
        <v>24.3142201834862</v>
      </c>
      <c r="AF70" s="0" t="n">
        <f aca="false">MIN(MAX(4_Screening!H70,PERCENTILE(4_Screening!$H$25:$H$74,0.05)),PERCENTILE(4_Screening!$H$25:$H$74,0.95))</f>
        <v>0.2152</v>
      </c>
    </row>
    <row r="71" customFormat="false" ht="15" hidden="false" customHeight="false" outlineLevel="0" collapsed="false">
      <c r="M71" s="0" t="n">
        <f aca="false">3_Returns!B71/3_Returns!B70-1</f>
        <v>-0.017616354936929</v>
      </c>
      <c r="N71" s="0" t="n">
        <f aca="false">3_Returns!C71/3_Returns!C70-1</f>
        <v>0.00965217391304352</v>
      </c>
      <c r="O71" s="0" t="n">
        <f aca="false">3_Returns!D71/3_Returns!D70-1</f>
        <v>-0.00155386773008503</v>
      </c>
      <c r="P71" s="0" t="n">
        <f aca="false">MAX(3_Returns!$B$31:B71)</f>
        <v>52.89</v>
      </c>
      <c r="Q71" s="0" t="n">
        <f aca="false">3_Returns!B71/P71-1</f>
        <v>-0.145963320098317</v>
      </c>
      <c r="R71" s="0" t="n">
        <f aca="false">LN(3_Returns!B71/3_Returns!B70)</f>
        <v>-0.0177733696685226</v>
      </c>
      <c r="S71" s="0" t="n">
        <f aca="false">M71-O71</f>
        <v>-0.016062487206844</v>
      </c>
      <c r="T71" s="0" t="n">
        <f aca="false">IF(M71&gt;O71,1,0)</f>
        <v>0</v>
      </c>
      <c r="V71" s="0" t="n">
        <f aca="false">4_Screening!C71/4_Screening!D71</f>
        <v>5.93881685575365</v>
      </c>
      <c r="W71" s="0" t="n">
        <f aca="false">4_Screening!E71/4_Screening!C71</f>
        <v>-0.0435286893634441</v>
      </c>
      <c r="X71" s="0" t="n">
        <f aca="false">4_Screening!F71/4_Screening!G71</f>
        <v>5.20675105485232</v>
      </c>
      <c r="Y71" s="0" t="n">
        <f aca="false">RANK(V71,$V$25:$V$74,1)</f>
        <v>49</v>
      </c>
      <c r="Z71" s="0" t="n">
        <f aca="false">RANK(W71,$W$25:$W$74,0)</f>
        <v>45</v>
      </c>
      <c r="AA71" s="0" t="n">
        <f aca="false">RANK(X71,$X$25:$X$74,1)</f>
        <v>2</v>
      </c>
      <c r="AB71" s="0" t="n">
        <f aca="false">AVERAGE(Y71:AA71)</f>
        <v>32</v>
      </c>
      <c r="AC71" s="0" t="n">
        <f aca="false">RANK(AB71,$AB$25:$AB$74,1)</f>
        <v>39</v>
      </c>
      <c r="AD71" s="0" t="n">
        <f aca="false">ROUNDUP(5*AC71/COUNT($AB$25:$AB$74),0)</f>
        <v>4</v>
      </c>
      <c r="AE71" s="0" t="str">
        <f aca="false">IF(4_Screening!E71&gt;0,4_Screening!C71/4_Screening!E71,"")</f>
        <v/>
      </c>
      <c r="AF71" s="0" t="n">
        <f aca="false">MIN(MAX(4_Screening!H71,PERCENTILE(4_Screening!$H$25:$H$74,0.05)),PERCENTILE(4_Screening!$H$25:$H$74,0.95))</f>
        <v>0.0581</v>
      </c>
    </row>
    <row r="72" customFormat="false" ht="15" hidden="false" customHeight="false" outlineLevel="0" collapsed="false">
      <c r="M72" s="0" t="n">
        <f aca="false">3_Returns!B72/3_Returns!B71-1</f>
        <v>-0.0270090768208988</v>
      </c>
      <c r="N72" s="0" t="n">
        <f aca="false">3_Returns!C72/3_Returns!C71-1</f>
        <v>-0.0120575316510206</v>
      </c>
      <c r="O72" s="0" t="n">
        <f aca="false">3_Returns!D72/3_Returns!D71-1</f>
        <v>-0.0175627158612272</v>
      </c>
      <c r="P72" s="0" t="n">
        <f aca="false">MAX(3_Returns!$B$31:B72)</f>
        <v>52.89</v>
      </c>
      <c r="Q72" s="0" t="n">
        <f aca="false">3_Returns!B72/P72-1</f>
        <v>-0.169030062393647</v>
      </c>
      <c r="R72" s="0" t="n">
        <f aca="false">LN(3_Returns!B72/3_Returns!B71)</f>
        <v>-0.0273805255353268</v>
      </c>
      <c r="S72" s="0" t="n">
        <f aca="false">M72-O72</f>
        <v>-0.00944636095967166</v>
      </c>
      <c r="T72" s="0" t="n">
        <f aca="false">IF(M72&gt;O72,1,0)</f>
        <v>0</v>
      </c>
      <c r="V72" s="0" t="n">
        <f aca="false">4_Screening!C72/4_Screening!D72</f>
        <v>2.78392282958199</v>
      </c>
      <c r="W72" s="0" t="n">
        <f aca="false">4_Screening!E72/4_Screening!C72</f>
        <v>0.0783090783090783</v>
      </c>
      <c r="X72" s="0" t="n">
        <f aca="false">4_Screening!F72/4_Screening!G72</f>
        <v>6.11976047904192</v>
      </c>
      <c r="Y72" s="0" t="n">
        <f aca="false">RANK(V72,$V$25:$V$74,1)</f>
        <v>43</v>
      </c>
      <c r="Z72" s="0" t="n">
        <f aca="false">RANK(W72,$W$25:$W$74,0)</f>
        <v>13</v>
      </c>
      <c r="AA72" s="0" t="n">
        <f aca="false">RANK(X72,$X$25:$X$74,1)</f>
        <v>6</v>
      </c>
      <c r="AB72" s="0" t="n">
        <f aca="false">AVERAGE(Y72:AA72)</f>
        <v>20.6666666666667</v>
      </c>
      <c r="AC72" s="0" t="n">
        <f aca="false">RANK(AB72,$AB$25:$AB$74,1)</f>
        <v>15</v>
      </c>
      <c r="AD72" s="0" t="n">
        <f aca="false">ROUNDUP(5*AC72/COUNT($AB$25:$AB$74),0)</f>
        <v>2</v>
      </c>
      <c r="AE72" s="0" t="n">
        <f aca="false">IF(4_Screening!E72&gt;0,4_Screening!C72/4_Screening!E72,"")</f>
        <v>12.7699115044248</v>
      </c>
      <c r="AF72" s="0" t="n">
        <f aca="false">MIN(MAX(4_Screening!H72,PERCENTILE(4_Screening!$H$25:$H$74,0.05)),PERCENTILE(4_Screening!$H$25:$H$74,0.95))</f>
        <v>0.0325</v>
      </c>
    </row>
    <row r="73" customFormat="false" ht="15" hidden="false" customHeight="false" outlineLevel="0" collapsed="false">
      <c r="M73" s="0" t="n">
        <f aca="false">3_Returns!B73/3_Returns!B72-1</f>
        <v>-0.0284414106939704</v>
      </c>
      <c r="N73" s="0" t="n">
        <f aca="false">3_Returns!C73/3_Returns!C72-1</f>
        <v>0.00828175398831843</v>
      </c>
      <c r="O73" s="0" t="n">
        <f aca="false">3_Returns!D73/3_Returns!D72-1</f>
        <v>-0.00435677721972783</v>
      </c>
      <c r="P73" s="0" t="n">
        <f aca="false">MAX(3_Returns!$B$31:B73)</f>
        <v>52.89</v>
      </c>
      <c r="Q73" s="0" t="n">
        <f aca="false">3_Returns!B73/P73-1</f>
        <v>-0.192664019663452</v>
      </c>
      <c r="R73" s="0" t="n">
        <f aca="false">LN(3_Returns!B73/3_Returns!B72)</f>
        <v>-0.0288537038966072</v>
      </c>
      <c r="S73" s="0" t="n">
        <f aca="false">M73-O73</f>
        <v>-0.0240846334742426</v>
      </c>
      <c r="T73" s="0" t="n">
        <f aca="false">IF(M73&gt;O73,1,0)</f>
        <v>0</v>
      </c>
      <c r="V73" s="0" t="n">
        <f aca="false">4_Screening!C73/4_Screening!D73</f>
        <v>2.14490238611714</v>
      </c>
      <c r="W73" s="0" t="n">
        <f aca="false">4_Screening!E73/4_Screening!C73</f>
        <v>0.0661407766990291</v>
      </c>
      <c r="X73" s="0" t="n">
        <f aca="false">4_Screening!F73/4_Screening!G73</f>
        <v>16.7678571428571</v>
      </c>
      <c r="Y73" s="0" t="n">
        <f aca="false">RANK(V73,$V$25:$V$74,1)</f>
        <v>32</v>
      </c>
      <c r="Z73" s="0" t="n">
        <f aca="false">RANK(W73,$W$25:$W$74,0)</f>
        <v>19</v>
      </c>
      <c r="AA73" s="0" t="n">
        <f aca="false">RANK(X73,$X$25:$X$74,1)</f>
        <v>49</v>
      </c>
      <c r="AB73" s="0" t="n">
        <f aca="false">AVERAGE(Y73:AA73)</f>
        <v>33.3333333333333</v>
      </c>
      <c r="AC73" s="0" t="n">
        <f aca="false">RANK(AB73,$AB$25:$AB$74,1)</f>
        <v>41</v>
      </c>
      <c r="AD73" s="0" t="n">
        <f aca="false">ROUNDUP(5*AC73/COUNT($AB$25:$AB$74),0)</f>
        <v>5</v>
      </c>
      <c r="AE73" s="0" t="n">
        <f aca="false">IF(4_Screening!E73&gt;0,4_Screening!C73/4_Screening!E73,"")</f>
        <v>15.1192660550459</v>
      </c>
      <c r="AF73" s="0" t="n">
        <f aca="false">MIN(MAX(4_Screening!H73,PERCENTILE(4_Screening!$H$25:$H$74,0.05)),PERCENTILE(4_Screening!$H$25:$H$74,0.95))</f>
        <v>0.2299</v>
      </c>
    </row>
    <row r="74" customFormat="false" ht="15" hidden="false" customHeight="false" outlineLevel="0" collapsed="false">
      <c r="M74" s="0" t="n">
        <f aca="false">3_Returns!B74/3_Returns!B73-1</f>
        <v>-0.00679156908665124</v>
      </c>
      <c r="N74" s="0" t="n">
        <f aca="false">3_Returns!C74/3_Returns!C73-1</f>
        <v>0.0140065709839183</v>
      </c>
      <c r="O74" s="0" t="n">
        <f aca="false">3_Returns!D74/3_Returns!D73-1</f>
        <v>0.00836409794288939</v>
      </c>
      <c r="P74" s="0" t="n">
        <f aca="false">MAX(3_Returns!$B$31:B74)</f>
        <v>52.89</v>
      </c>
      <c r="Q74" s="0" t="n">
        <f aca="false">3_Returns!B74/P74-1</f>
        <v>-0.198147097750047</v>
      </c>
      <c r="R74" s="0" t="n">
        <f aca="false">LN(3_Returns!B74/3_Returns!B73)</f>
        <v>-0.00681473674807971</v>
      </c>
      <c r="S74" s="0" t="n">
        <f aca="false">M74-O74</f>
        <v>-0.0151556670295406</v>
      </c>
      <c r="T74" s="0" t="n">
        <f aca="false">IF(M74&gt;O74,1,0)</f>
        <v>0</v>
      </c>
      <c r="V74" s="0" t="n">
        <f aca="false">4_Screening!C74/4_Screening!D74</f>
        <v>3.70701903949986</v>
      </c>
      <c r="W74" s="0" t="n">
        <f aca="false">4_Screening!E74/4_Screening!C74</f>
        <v>0.0616328095055577</v>
      </c>
      <c r="X74" s="0" t="n">
        <f aca="false">4_Screening!F74/4_Screening!G74</f>
        <v>5.30939226519337</v>
      </c>
      <c r="Y74" s="0" t="n">
        <f aca="false">RANK(V74,$V$25:$V$74,1)</f>
        <v>47</v>
      </c>
      <c r="Z74" s="0" t="n">
        <f aca="false">RANK(W74,$W$25:$W$74,0)</f>
        <v>22</v>
      </c>
      <c r="AA74" s="0" t="n">
        <f aca="false">RANK(X74,$X$25:$X$74,1)</f>
        <v>3</v>
      </c>
      <c r="AB74" s="0" t="n">
        <f aca="false">AVERAGE(Y74:AA74)</f>
        <v>24</v>
      </c>
      <c r="AC74" s="0" t="n">
        <f aca="false">RANK(AB74,$AB$25:$AB$74,1)</f>
        <v>23</v>
      </c>
      <c r="AD74" s="0" t="n">
        <f aca="false">ROUNDUP(5*AC74/COUNT($AB$25:$AB$74),0)</f>
        <v>3</v>
      </c>
      <c r="AE74" s="0" t="n">
        <f aca="false">IF(4_Screening!E74&gt;0,4_Screening!C74/4_Screening!E74,"")</f>
        <v>16.2251243781095</v>
      </c>
      <c r="AF74" s="0" t="n">
        <f aca="false">MIN(MAX(4_Screening!H74,PERCENTILE(4_Screening!$H$25:$H$74,0.05)),PERCENTILE(4_Screening!$H$25:$H$74,0.95))</f>
        <v>0.2332</v>
      </c>
    </row>
    <row r="75" customFormat="false" ht="15" hidden="false" customHeight="false" outlineLevel="0" collapsed="false">
      <c r="M75" s="0" t="n">
        <f aca="false">3_Returns!B75/3_Returns!B74-1</f>
        <v>-0.0132044329167648</v>
      </c>
      <c r="N75" s="0" t="n">
        <f aca="false">3_Returns!C75/3_Returns!C74-1</f>
        <v>0.0109993178717598</v>
      </c>
      <c r="O75" s="0" t="n">
        <f aca="false">3_Returns!D75/3_Returns!D74-1</f>
        <v>0.00592123090878682</v>
      </c>
      <c r="P75" s="0" t="n">
        <f aca="false">MAX(3_Returns!$B$31:B75)</f>
        <v>52.89</v>
      </c>
      <c r="Q75" s="0" t="n">
        <f aca="false">3_Returns!B75/P75-1</f>
        <v>-0.20873511060692</v>
      </c>
      <c r="R75" s="0" t="n">
        <f aca="false">LN(3_Returns!B75/3_Returns!B74)</f>
        <v>-0.0132923865510149</v>
      </c>
      <c r="S75" s="0" t="n">
        <f aca="false">M75-O75</f>
        <v>-0.0191256638255516</v>
      </c>
      <c r="T75" s="0" t="n">
        <f aca="false">IF(M75&gt;O75,1,0)</f>
        <v>0</v>
      </c>
    </row>
    <row r="76" customFormat="false" ht="15" hidden="false" customHeight="false" outlineLevel="0" collapsed="false">
      <c r="M76" s="0" t="n">
        <f aca="false">3_Returns!B76/3_Returns!B75-1</f>
        <v>0.00191158900836319</v>
      </c>
      <c r="N76" s="0" t="n">
        <f aca="false">3_Returns!C76/3_Returns!C75-1</f>
        <v>0.00455427173821366</v>
      </c>
      <c r="O76" s="0" t="n">
        <f aca="false">3_Returns!D76/3_Returns!D75-1</f>
        <v>-0.000477635208974925</v>
      </c>
      <c r="P76" s="0" t="n">
        <f aca="false">MAX(3_Returns!$B$31:B76)</f>
        <v>52.89</v>
      </c>
      <c r="Q76" s="0" t="n">
        <f aca="false">3_Returns!B76/P76-1</f>
        <v>-0.207222537341653</v>
      </c>
      <c r="R76" s="0" t="n">
        <f aca="false">LN(3_Returns!B76/3_Returns!B75)</f>
        <v>0.00190976424718695</v>
      </c>
      <c r="S76" s="0" t="n">
        <f aca="false">M76-O76</f>
        <v>0.00238922421733812</v>
      </c>
      <c r="T76" s="0" t="n">
        <f aca="false">IF(M76&gt;O76,1,0)</f>
        <v>1</v>
      </c>
    </row>
    <row r="77" customFormat="false" ht="15" hidden="false" customHeight="false" outlineLevel="0" collapsed="false">
      <c r="M77" s="0" t="n">
        <f aca="false">3_Returns!B77/3_Returns!B76-1</f>
        <v>-0.005008347245409</v>
      </c>
      <c r="N77" s="0" t="n">
        <f aca="false">3_Returns!C77/3_Returns!C76-1</f>
        <v>-0.00218285618336</v>
      </c>
      <c r="O77" s="0" t="n">
        <f aca="false">3_Returns!D77/3_Returns!D76-1</f>
        <v>-0.00862639106051277</v>
      </c>
      <c r="P77" s="0" t="n">
        <f aca="false">MAX(3_Returns!$B$31:B77)</f>
        <v>52.89</v>
      </c>
      <c r="Q77" s="0" t="n">
        <f aca="false">3_Returns!B77/P77-1</f>
        <v>-0.21119304216298</v>
      </c>
      <c r="R77" s="0" t="n">
        <f aca="false">LN(3_Returns!B77/3_Returns!B76)</f>
        <v>-0.00502093105009957</v>
      </c>
      <c r="S77" s="0" t="n">
        <f aca="false">M77-O77</f>
        <v>0.00361804381510378</v>
      </c>
      <c r="T77" s="0" t="n">
        <f aca="false">IF(M77&gt;O77,1,0)</f>
        <v>1</v>
      </c>
    </row>
    <row r="78" customFormat="false" ht="15" hidden="false" customHeight="false" outlineLevel="0" collapsed="false">
      <c r="M78" s="0" t="n">
        <f aca="false">3_Returns!B78/3_Returns!B77-1</f>
        <v>0.0335570469798658</v>
      </c>
      <c r="N78" s="0" t="n">
        <f aca="false">3_Returns!C78/3_Returns!C77-1</f>
        <v>0.00689945309213291</v>
      </c>
      <c r="O78" s="0" t="n">
        <f aca="false">3_Returns!D78/3_Returns!D77-1</f>
        <v>0.00668081881966431</v>
      </c>
      <c r="P78" s="0" t="n">
        <f aca="false">MAX(3_Returns!$B$31:B78)</f>
        <v>52.89</v>
      </c>
      <c r="Q78" s="0" t="n">
        <f aca="false">3_Returns!B78/P78-1</f>
        <v>-0.184723010020798</v>
      </c>
      <c r="R78" s="0" t="n">
        <f aca="false">LN(3_Returns!B78/3_Returns!B77)</f>
        <v>0.0330062964681701</v>
      </c>
      <c r="S78" s="0" t="n">
        <f aca="false">M78-O78</f>
        <v>0.0268762281602015</v>
      </c>
      <c r="T78" s="0" t="n">
        <f aca="false">IF(M78&gt;O78,1,0)</f>
        <v>1</v>
      </c>
    </row>
    <row r="79" customFormat="false" ht="15" hidden="false" customHeight="false" outlineLevel="0" collapsed="false">
      <c r="M79" s="0" t="n">
        <f aca="false">3_Returns!B79/3_Returns!B78-1</f>
        <v>-0.0252782931354359</v>
      </c>
      <c r="N79" s="0" t="n">
        <f aca="false">3_Returns!C79/3_Returns!C78-1</f>
        <v>-0.00158769950697746</v>
      </c>
      <c r="O79" s="0" t="n">
        <f aca="false">3_Returns!D79/3_Returns!D78-1</f>
        <v>-0.00551795201814176</v>
      </c>
      <c r="P79" s="0" t="n">
        <f aca="false">MAX(3_Returns!$B$31:B79)</f>
        <v>52.89</v>
      </c>
      <c r="Q79" s="0" t="n">
        <f aca="false">3_Returns!B79/P79-1</f>
        <v>-0.205331820760068</v>
      </c>
      <c r="R79" s="0" t="n">
        <f aca="false">LN(3_Returns!B79/3_Returns!B78)</f>
        <v>-0.0256032775837163</v>
      </c>
      <c r="S79" s="0" t="n">
        <f aca="false">M79-O79</f>
        <v>-0.0197603411172942</v>
      </c>
      <c r="T79" s="0" t="n">
        <f aca="false">IF(M79&gt;O79,1,0)</f>
        <v>0</v>
      </c>
    </row>
    <row r="80" customFormat="false" ht="15" hidden="false" customHeight="false" outlineLevel="0" collapsed="false">
      <c r="M80" s="0" t="n">
        <f aca="false">3_Returns!B80/3_Returns!B79-1</f>
        <v>-0.0221270521056388</v>
      </c>
      <c r="N80" s="0" t="n">
        <f aca="false">3_Returns!C80/3_Returns!C79-1</f>
        <v>0.00142283227318374</v>
      </c>
      <c r="O80" s="0" t="n">
        <f aca="false">3_Returns!D80/3_Returns!D79-1</f>
        <v>-0.0114669136977041</v>
      </c>
      <c r="P80" s="0" t="n">
        <f aca="false">MAX(3_Returns!$B$31:B80)</f>
        <v>52.89</v>
      </c>
      <c r="Q80" s="0" t="n">
        <f aca="false">3_Returns!B80/P80-1</f>
        <v>-0.222915484968803</v>
      </c>
      <c r="R80" s="0" t="n">
        <f aca="false">LN(3_Returns!B80/3_Returns!B79)</f>
        <v>-0.0223755275148364</v>
      </c>
      <c r="S80" s="0" t="n">
        <f aca="false">M80-O80</f>
        <v>-0.0106601384079347</v>
      </c>
      <c r="T80" s="0" t="n">
        <f aca="false">IF(M80&gt;O80,1,0)</f>
        <v>0</v>
      </c>
    </row>
    <row r="81" customFormat="false" ht="15" hidden="false" customHeight="false" outlineLevel="0" collapsed="false">
      <c r="M81" s="0" t="n">
        <f aca="false">3_Returns!B81/3_Returns!B80-1</f>
        <v>0.00218978102189782</v>
      </c>
      <c r="N81" s="0" t="n">
        <f aca="false">3_Returns!C81/3_Returns!C80-1</f>
        <v>-0.0101964061847054</v>
      </c>
      <c r="O81" s="0" t="n">
        <f aca="false">3_Returns!D81/3_Returns!D80-1</f>
        <v>-0.00776965354125148</v>
      </c>
      <c r="P81" s="0" t="n">
        <f aca="false">MAX(3_Returns!$B$31:B81)</f>
        <v>52.89</v>
      </c>
      <c r="Q81" s="0" t="n">
        <f aca="false">3_Returns!B81/P81-1</f>
        <v>-0.221213840045377</v>
      </c>
      <c r="R81" s="0" t="n">
        <f aca="false">LN(3_Returns!B81/3_Returns!B80)</f>
        <v>0.00218738694580046</v>
      </c>
      <c r="S81" s="0" t="n">
        <f aca="false">M81-O81</f>
        <v>0.00995943456314929</v>
      </c>
      <c r="T81" s="0" t="n">
        <f aca="false">IF(M81&gt;O81,1,0)</f>
        <v>1</v>
      </c>
    </row>
    <row r="82" customFormat="false" ht="15" hidden="false" customHeight="false" outlineLevel="0" collapsed="false">
      <c r="M82" s="0" t="n">
        <f aca="false">3_Returns!B82/3_Returns!B81-1</f>
        <v>0.0155377518815247</v>
      </c>
      <c r="N82" s="0" t="n">
        <f aca="false">3_Returns!C82/3_Returns!C81-1</f>
        <v>0.0269357426327788</v>
      </c>
      <c r="O82" s="0" t="n">
        <f aca="false">3_Returns!D82/3_Returns!D81-1</f>
        <v>0.0149168157301032</v>
      </c>
      <c r="P82" s="0" t="n">
        <f aca="false">MAX(3_Returns!$B$31:B82)</f>
        <v>52.89</v>
      </c>
      <c r="Q82" s="0" t="n">
        <f aca="false">3_Returns!B82/P82-1</f>
        <v>-0.209113253923237</v>
      </c>
      <c r="R82" s="0" t="n">
        <f aca="false">LN(3_Returns!B82/3_Returns!B81)</f>
        <v>0.0154182770061178</v>
      </c>
      <c r="S82" s="0" t="n">
        <f aca="false">M82-O82</f>
        <v>0.000620936151421558</v>
      </c>
      <c r="T82" s="0" t="n">
        <f aca="false">IF(M82&gt;O82,1,0)</f>
        <v>1</v>
      </c>
    </row>
    <row r="83" customFormat="false" ht="15" hidden="false" customHeight="false" outlineLevel="0" collapsed="false">
      <c r="M83" s="0" t="n">
        <f aca="false">3_Returns!B83/3_Returns!B82-1</f>
        <v>-0.000956251494142912</v>
      </c>
      <c r="N83" s="0" t="n">
        <f aca="false">3_Returns!C83/3_Returns!C82-1</f>
        <v>0.000904456503864504</v>
      </c>
      <c r="O83" s="0" t="n">
        <f aca="false">3_Returns!D83/3_Returns!D82-1</f>
        <v>0.00253633282258425</v>
      </c>
      <c r="P83" s="0" t="n">
        <f aca="false">MAX(3_Returns!$B$31:B83)</f>
        <v>52.89</v>
      </c>
      <c r="Q83" s="0" t="n">
        <f aca="false">3_Returns!B83/P83-1</f>
        <v>-0.209869540555871</v>
      </c>
      <c r="R83" s="0" t="n">
        <f aca="false">LN(3_Returns!B83/3_Returns!B82)</f>
        <v>-0.000956708994282986</v>
      </c>
      <c r="S83" s="0" t="n">
        <f aca="false">M83-O83</f>
        <v>-0.00349258431672717</v>
      </c>
      <c r="T83" s="0" t="n">
        <f aca="false">IF(M83&gt;O83,1,0)</f>
        <v>0</v>
      </c>
    </row>
    <row r="84" customFormat="false" ht="15" hidden="false" customHeight="false" outlineLevel="0" collapsed="false">
      <c r="M84" s="0" t="n">
        <f aca="false">3_Returns!B84/3_Returns!B83-1</f>
        <v>0.0361330461832974</v>
      </c>
      <c r="N84" s="0" t="n">
        <f aca="false">3_Returns!C84/3_Returns!C83-1</f>
        <v>0.0178263369752731</v>
      </c>
      <c r="O84" s="0" t="n">
        <f aca="false">3_Returns!D84/3_Returns!D83-1</f>
        <v>0.0120011810134717</v>
      </c>
      <c r="P84" s="0" t="n">
        <f aca="false">MAX(3_Returns!$B$31:B84)</f>
        <v>52.89</v>
      </c>
      <c r="Q84" s="0" t="n">
        <f aca="false">3_Returns!B84/P84-1</f>
        <v>-0.181319720173946</v>
      </c>
      <c r="R84" s="0" t="n">
        <f aca="false">LN(3_Returns!B84/3_Returns!B83)</f>
        <v>0.0354955585486201</v>
      </c>
      <c r="S84" s="0" t="n">
        <f aca="false">M84-O84</f>
        <v>0.0241318651698257</v>
      </c>
      <c r="T84" s="0" t="n">
        <f aca="false">IF(M84&gt;O84,1,0)</f>
        <v>1</v>
      </c>
    </row>
    <row r="85" customFormat="false" ht="15" hidden="false" customHeight="false" outlineLevel="0" collapsed="false">
      <c r="M85" s="0" t="n">
        <f aca="false">3_Returns!B85/3_Returns!B84-1</f>
        <v>-0.00946882217090062</v>
      </c>
      <c r="N85" s="0" t="n">
        <f aca="false">3_Returns!C85/3_Returns!C84-1</f>
        <v>-0.00395480225988709</v>
      </c>
      <c r="O85" s="0" t="n">
        <f aca="false">3_Returns!D85/3_Returns!D84-1</f>
        <v>-0.00451357504891137</v>
      </c>
      <c r="P85" s="0" t="n">
        <f aca="false">MAX(3_Returns!$B$31:B85)</f>
        <v>52.89</v>
      </c>
      <c r="Q85" s="0" t="n">
        <f aca="false">3_Returns!B85/P85-1</f>
        <v>-0.189071658158442</v>
      </c>
      <c r="R85" s="0" t="n">
        <f aca="false">LN(3_Returns!B85/3_Returns!B84)</f>
        <v>-0.00951393647965499</v>
      </c>
      <c r="S85" s="0" t="n">
        <f aca="false">M85-O85</f>
        <v>-0.00495524712198925</v>
      </c>
      <c r="T85" s="0" t="n">
        <f aca="false">IF(M85&gt;O85,1,0)</f>
        <v>0</v>
      </c>
    </row>
    <row r="86" customFormat="false" ht="15" hidden="false" customHeight="false" outlineLevel="0" collapsed="false">
      <c r="M86" s="0" t="n">
        <f aca="false">3_Returns!B86/3_Returns!B85-1</f>
        <v>-0.00256470039636281</v>
      </c>
      <c r="N86" s="0" t="n">
        <f aca="false">3_Returns!C86/3_Returns!C85-1</f>
        <v>0.00461875050644189</v>
      </c>
      <c r="O86" s="0" t="n">
        <f aca="false">3_Returns!D86/3_Returns!D85-1</f>
        <v>0.00977299152764766</v>
      </c>
      <c r="P86" s="0" t="n">
        <f aca="false">MAX(3_Returns!$B$31:B86)</f>
        <v>52.89</v>
      </c>
      <c r="Q86" s="0" t="n">
        <f aca="false">3_Returns!B86/P86-1</f>
        <v>-0.191151446398185</v>
      </c>
      <c r="R86" s="0" t="n">
        <f aca="false">LN(3_Returns!B86/3_Returns!B85)</f>
        <v>-0.00256799487452954</v>
      </c>
      <c r="S86" s="0" t="n">
        <f aca="false">M86-O86</f>
        <v>-0.0123376919240105</v>
      </c>
      <c r="T86" s="0" t="n">
        <f aca="false">IF(M86&gt;O86,1,0)</f>
        <v>0</v>
      </c>
    </row>
    <row r="87" customFormat="false" ht="15" hidden="false" customHeight="false" outlineLevel="0" collapsed="false">
      <c r="M87" s="0" t="n">
        <f aca="false">3_Returns!B87/3_Returns!B86-1</f>
        <v>-0.0233754090696587</v>
      </c>
      <c r="N87" s="0" t="n">
        <f aca="false">3_Returns!C87/3_Returns!C86-1</f>
        <v>0.0153250524278108</v>
      </c>
      <c r="O87" s="0" t="n">
        <f aca="false">3_Returns!D87/3_Returns!D86-1</f>
        <v>-0.00574406291911456</v>
      </c>
      <c r="P87" s="0" t="n">
        <f aca="false">MAX(3_Returns!$B$31:B87)</f>
        <v>52.89</v>
      </c>
      <c r="Q87" s="0" t="n">
        <f aca="false">3_Returns!B87/P87-1</f>
        <v>-0.210058612214029</v>
      </c>
      <c r="R87" s="0" t="n">
        <f aca="false">LN(3_Returns!B87/3_Returns!B86)</f>
        <v>-0.0236529475258399</v>
      </c>
      <c r="S87" s="0" t="n">
        <f aca="false">M87-O87</f>
        <v>-0.0176313461505442</v>
      </c>
      <c r="T87" s="0" t="n">
        <f aca="false">IF(M87&gt;O87,1,0)</f>
        <v>0</v>
      </c>
    </row>
    <row r="88" customFormat="false" ht="15" hidden="false" customHeight="false" outlineLevel="0" collapsed="false">
      <c r="M88" s="0" t="n">
        <f aca="false">3_Returns!B88/3_Returns!B87-1</f>
        <v>0.00287218764959296</v>
      </c>
      <c r="N88" s="0" t="n">
        <f aca="false">3_Returns!C88/3_Returns!C87-1</f>
        <v>-0.00373371464887196</v>
      </c>
      <c r="O88" s="0" t="n">
        <f aca="false">3_Returns!D88/3_Returns!D87-1</f>
        <v>-0.001270689243978</v>
      </c>
      <c r="P88" s="0" t="n">
        <f aca="false">MAX(3_Returns!$B$31:B88)</f>
        <v>52.89</v>
      </c>
      <c r="Q88" s="0" t="n">
        <f aca="false">3_Returns!B88/P88-1</f>
        <v>-0.207789752316128</v>
      </c>
      <c r="R88" s="0" t="n">
        <f aca="false">LN(3_Returns!B88/3_Returns!B87)</f>
        <v>0.00286807079967217</v>
      </c>
      <c r="S88" s="0" t="n">
        <f aca="false">M88-O88</f>
        <v>0.00414287689357096</v>
      </c>
      <c r="T88" s="0" t="n">
        <f aca="false">IF(M88&gt;O88,1,0)</f>
        <v>1</v>
      </c>
    </row>
    <row r="89" customFormat="false" ht="15" hidden="false" customHeight="false" outlineLevel="0" collapsed="false">
      <c r="M89" s="0" t="n">
        <f aca="false">3_Returns!B89/3_Returns!B88-1</f>
        <v>0.0346062052505967</v>
      </c>
      <c r="N89" s="0" t="n">
        <f aca="false">3_Returns!C89/3_Returns!C88-1</f>
        <v>0.00582090742365038</v>
      </c>
      <c r="O89" s="0" t="n">
        <f aca="false">3_Returns!D89/3_Returns!D88-1</f>
        <v>0.0253773456946962</v>
      </c>
      <c r="P89" s="0" t="n">
        <f aca="false">MAX(3_Returns!$B$31:B89)</f>
        <v>52.89</v>
      </c>
      <c r="Q89" s="0" t="n">
        <f aca="false">3_Returns!B89/P89-1</f>
        <v>-0.180374361883154</v>
      </c>
      <c r="R89" s="0" t="n">
        <f aca="false">LN(3_Returns!B89/3_Returns!B88)</f>
        <v>0.0340208762984588</v>
      </c>
      <c r="S89" s="0" t="n">
        <f aca="false">M89-O89</f>
        <v>0.00922885955590047</v>
      </c>
      <c r="T89" s="0" t="n">
        <f aca="false">IF(M89&gt;O89,1,0)</f>
        <v>1</v>
      </c>
    </row>
    <row r="90" customFormat="false" ht="15" hidden="false" customHeight="false" outlineLevel="0" collapsed="false">
      <c r="M90" s="0" t="n">
        <f aca="false">3_Returns!B90/3_Returns!B89-1</f>
        <v>-0.00738177623990777</v>
      </c>
      <c r="N90" s="0" t="n">
        <f aca="false">3_Returns!C90/3_Returns!C89-1</f>
        <v>-0.00103060091961305</v>
      </c>
      <c r="O90" s="0" t="n">
        <f aca="false">3_Returns!D90/3_Returns!D89-1</f>
        <v>0.00805040773703625</v>
      </c>
      <c r="P90" s="0" t="n">
        <f aca="false">MAX(3_Returns!$B$31:B90)</f>
        <v>52.89</v>
      </c>
      <c r="Q90" s="0" t="n">
        <f aca="false">3_Returns!B90/P90-1</f>
        <v>-0.186424654944224</v>
      </c>
      <c r="R90" s="0" t="n">
        <f aca="false">LN(3_Returns!B90/3_Returns!B89)</f>
        <v>-0.00740915637604263</v>
      </c>
      <c r="S90" s="0" t="n">
        <f aca="false">M90-O90</f>
        <v>-0.015432183976944</v>
      </c>
      <c r="T90" s="0" t="n">
        <f aca="false">IF(M90&gt;O90,1,0)</f>
        <v>0</v>
      </c>
    </row>
    <row r="91" customFormat="false" ht="15" hidden="false" customHeight="false" outlineLevel="0" collapsed="false">
      <c r="M91" s="0" t="n">
        <f aca="false">3_Returns!B91/3_Returns!B90-1</f>
        <v>-0.0178944922147339</v>
      </c>
      <c r="N91" s="0" t="n">
        <f aca="false">3_Returns!C91/3_Returns!C90-1</f>
        <v>-0.00618998492183165</v>
      </c>
      <c r="O91" s="0" t="n">
        <f aca="false">3_Returns!D91/3_Returns!D90-1</f>
        <v>-0.00473326630491044</v>
      </c>
      <c r="P91" s="0" t="n">
        <f aca="false">MAX(3_Returns!$B$31:B91)</f>
        <v>52.89</v>
      </c>
      <c r="Q91" s="0" t="n">
        <f aca="false">3_Returns!B91/P91-1</f>
        <v>-0.200983172622424</v>
      </c>
      <c r="R91" s="0" t="n">
        <f aca="false">LN(3_Returns!B91/3_Returns!B90)</f>
        <v>-0.0180565346625977</v>
      </c>
      <c r="S91" s="0" t="n">
        <f aca="false">M91-O91</f>
        <v>-0.0131612259098235</v>
      </c>
      <c r="T91" s="0" t="n">
        <f aca="false">IF(M91&gt;O91,1,0)</f>
        <v>0</v>
      </c>
    </row>
    <row r="92" customFormat="false" ht="15" hidden="false" customHeight="false" outlineLevel="0" collapsed="false">
      <c r="M92" s="0" t="n">
        <f aca="false">3_Returns!B92/3_Returns!B91-1</f>
        <v>0.00615238996687184</v>
      </c>
      <c r="N92" s="0" t="n">
        <f aca="false">3_Returns!C92/3_Returns!C91-1</f>
        <v>0.0200431206579892</v>
      </c>
      <c r="O92" s="0" t="n">
        <f aca="false">3_Returns!D92/3_Returns!D91-1</f>
        <v>-0.000538529961764289</v>
      </c>
      <c r="P92" s="0" t="n">
        <f aca="false">MAX(3_Returns!$B$31:B92)</f>
        <v>52.89</v>
      </c>
      <c r="Q92" s="0" t="n">
        <f aca="false">3_Returns!B92/P92-1</f>
        <v>-0.196067309510304</v>
      </c>
      <c r="R92" s="0" t="n">
        <f aca="false">LN(3_Returns!B92/3_Returns!B91)</f>
        <v>0.00613354128583663</v>
      </c>
      <c r="S92" s="0" t="n">
        <f aca="false">M92-O92</f>
        <v>0.00669091992863613</v>
      </c>
      <c r="T92" s="0" t="n">
        <f aca="false">IF(M92&gt;O92,1,0)</f>
        <v>1</v>
      </c>
    </row>
    <row r="93" customFormat="false" ht="15" hidden="false" customHeight="false" outlineLevel="0" collapsed="false">
      <c r="M93" s="0" t="n">
        <f aca="false">3_Returns!B93/3_Returns!B92-1</f>
        <v>0.0117591721542802</v>
      </c>
      <c r="N93" s="0" t="n">
        <f aca="false">3_Returns!C93/3_Returns!C92-1</f>
        <v>0.00461875684985147</v>
      </c>
      <c r="O93" s="0" t="n">
        <f aca="false">3_Returns!D93/3_Returns!D92-1</f>
        <v>0.00360637888716919</v>
      </c>
      <c r="P93" s="0" t="n">
        <f aca="false">MAX(3_Returns!$B$31:B93)</f>
        <v>52.89</v>
      </c>
      <c r="Q93" s="0" t="n">
        <f aca="false">3_Returns!B93/P93-1</f>
        <v>-0.186613726602382</v>
      </c>
      <c r="R93" s="0" t="n">
        <f aca="false">LN(3_Returns!B93/3_Returns!B92)</f>
        <v>0.0116905703658367</v>
      </c>
      <c r="S93" s="0" t="n">
        <f aca="false">M93-O93</f>
        <v>0.00815279326711105</v>
      </c>
      <c r="T93" s="0" t="n">
        <f aca="false">IF(M93&gt;O93,1,0)</f>
        <v>1</v>
      </c>
    </row>
    <row r="94" customFormat="false" ht="15" hidden="false" customHeight="false" outlineLevel="0" collapsed="false">
      <c r="M94" s="0" t="n">
        <f aca="false">3_Returns!B94/3_Returns!B93-1</f>
        <v>0.00720595072059505</v>
      </c>
      <c r="N94" s="0" t="n">
        <f aca="false">3_Returns!C94/3_Returns!C93-1</f>
        <v>0.0176887711369125</v>
      </c>
      <c r="O94" s="0" t="n">
        <f aca="false">3_Returns!D94/3_Returns!D93-1</f>
        <v>0.0125168007642265</v>
      </c>
      <c r="P94" s="0" t="n">
        <f aca="false">MAX(3_Returns!$B$31:B94)</f>
        <v>52.89</v>
      </c>
      <c r="Q94" s="0" t="n">
        <f aca="false">3_Returns!B94/P94-1</f>
        <v>-0.180752505199471</v>
      </c>
      <c r="R94" s="0" t="n">
        <f aca="false">LN(3_Returns!B94/3_Returns!B93)</f>
        <v>0.00718011191223402</v>
      </c>
      <c r="S94" s="0" t="n">
        <f aca="false">M94-O94</f>
        <v>-0.00531085004363141</v>
      </c>
      <c r="T94" s="0" t="n">
        <f aca="false">IF(M94&gt;O94,1,0)</f>
        <v>0</v>
      </c>
    </row>
    <row r="95" customFormat="false" ht="15" hidden="false" customHeight="false" outlineLevel="0" collapsed="false">
      <c r="M95" s="0" t="n">
        <f aca="false">3_Returns!B95/3_Returns!B94-1</f>
        <v>0.0025386568197554</v>
      </c>
      <c r="N95" s="0" t="n">
        <f aca="false">3_Returns!C95/3_Returns!C94-1</f>
        <v>-0.0126339969372129</v>
      </c>
      <c r="O95" s="0" t="n">
        <f aca="false">3_Returns!D95/3_Returns!D94-1</f>
        <v>-0.00461131985774743</v>
      </c>
      <c r="P95" s="0" t="n">
        <f aca="false">MAX(3_Returns!$B$31:B95)</f>
        <v>52.89</v>
      </c>
      <c r="Q95" s="0" t="n">
        <f aca="false">3_Returns!B95/P95-1</f>
        <v>-0.178672716959728</v>
      </c>
      <c r="R95" s="0" t="n">
        <f aca="false">LN(3_Returns!B95/3_Returns!B94)</f>
        <v>0.002535439873862</v>
      </c>
      <c r="S95" s="0" t="n">
        <f aca="false">M95-O95</f>
        <v>0.00714997667750283</v>
      </c>
      <c r="T95" s="0" t="n">
        <f aca="false">IF(M95&gt;O95,1,0)</f>
        <v>1</v>
      </c>
    </row>
    <row r="96" customFormat="false" ht="15" hidden="false" customHeight="false" outlineLevel="0" collapsed="false">
      <c r="M96" s="0" t="n">
        <f aca="false">3_Returns!B96/3_Returns!B95-1</f>
        <v>-0.0133517495395948</v>
      </c>
      <c r="N96" s="0" t="n">
        <f aca="false">3_Returns!C96/3_Returns!C95-1</f>
        <v>-0.00860798759208981</v>
      </c>
      <c r="O96" s="0" t="n">
        <f aca="false">3_Returns!D96/3_Returns!D95-1</f>
        <v>-0.0172338733231325</v>
      </c>
      <c r="P96" s="0" t="n">
        <f aca="false">MAX(3_Returns!$B$31:B96)</f>
        <v>52.89</v>
      </c>
      <c r="Q96" s="0" t="n">
        <f aca="false">3_Returns!B96/P96-1</f>
        <v>-0.189638873132917</v>
      </c>
      <c r="R96" s="0" t="n">
        <f aca="false">LN(3_Returns!B96/3_Returns!B95)</f>
        <v>-0.013441685580249</v>
      </c>
      <c r="S96" s="0" t="n">
        <f aca="false">M96-O96</f>
        <v>0.00388212378353769</v>
      </c>
      <c r="T96" s="0" t="n">
        <f aca="false">IF(M96&gt;O96,1,0)</f>
        <v>1</v>
      </c>
    </row>
    <row r="97" customFormat="false" ht="15" hidden="false" customHeight="false" outlineLevel="0" collapsed="false">
      <c r="M97" s="0" t="n">
        <f aca="false">3_Returns!B97/3_Returns!B96-1</f>
        <v>-0.0251983201119925</v>
      </c>
      <c r="N97" s="0" t="n">
        <f aca="false">3_Returns!C97/3_Returns!C96-1</f>
        <v>0.00469336670838549</v>
      </c>
      <c r="O97" s="0" t="n">
        <f aca="false">3_Returns!D97/3_Returns!D96-1</f>
        <v>-0.00250088315941166</v>
      </c>
      <c r="P97" s="0" t="n">
        <f aca="false">MAX(3_Returns!$B$31:B97)</f>
        <v>52.89</v>
      </c>
      <c r="Q97" s="0" t="n">
        <f aca="false">3_Returns!B97/P97-1</f>
        <v>-0.210058612214029</v>
      </c>
      <c r="R97" s="0" t="n">
        <f aca="false">LN(3_Returns!B97/3_Returns!B96)</f>
        <v>-0.0255212339170112</v>
      </c>
      <c r="S97" s="0" t="n">
        <f aca="false">M97-O97</f>
        <v>-0.0226974369525809</v>
      </c>
      <c r="T97" s="0" t="n">
        <f aca="false">IF(M97&gt;O97,1,0)</f>
        <v>0</v>
      </c>
    </row>
    <row r="98" customFormat="false" ht="15" hidden="false" customHeight="false" outlineLevel="0" collapsed="false">
      <c r="M98" s="0" t="n">
        <f aca="false">3_Returns!B98/3_Returns!B97-1</f>
        <v>-0.00311153662039254</v>
      </c>
      <c r="N98" s="0" t="n">
        <f aca="false">3_Returns!C98/3_Returns!C97-1</f>
        <v>0.0174400498287139</v>
      </c>
      <c r="O98" s="0" t="n">
        <f aca="false">3_Returns!D98/3_Returns!D97-1</f>
        <v>0.000472199268091167</v>
      </c>
      <c r="P98" s="0" t="n">
        <f aca="false">MAX(3_Returns!$B$31:B98)</f>
        <v>52.89</v>
      </c>
      <c r="Q98" s="0" t="n">
        <f aca="false">3_Returns!B98/P98-1</f>
        <v>-0.212516543770089</v>
      </c>
      <c r="R98" s="0" t="n">
        <f aca="false">LN(3_Returns!B98/3_Returns!B97)</f>
        <v>-0.00311638751556804</v>
      </c>
      <c r="S98" s="0" t="n">
        <f aca="false">M98-O98</f>
        <v>-0.00358373588848371</v>
      </c>
      <c r="T98" s="0" t="n">
        <f aca="false">IF(M98&gt;O98,1,0)</f>
        <v>0</v>
      </c>
    </row>
    <row r="99" customFormat="false" ht="15" hidden="false" customHeight="false" outlineLevel="0" collapsed="false">
      <c r="M99" s="0" t="n">
        <f aca="false">3_Returns!B99/3_Returns!B98-1</f>
        <v>0.00696278511404569</v>
      </c>
      <c r="N99" s="0" t="n">
        <f aca="false">3_Returns!C99/3_Returns!C98-1</f>
        <v>-0.00550964187327818</v>
      </c>
      <c r="O99" s="0" t="n">
        <f aca="false">3_Returns!D99/3_Returns!D98-1</f>
        <v>0.00142154797022065</v>
      </c>
      <c r="P99" s="0" t="n">
        <f aca="false">MAX(3_Returns!$B$31:B99)</f>
        <v>52.89</v>
      </c>
      <c r="Q99" s="0" t="n">
        <f aca="false">3_Returns!B99/P99-1</f>
        <v>-0.207033465683494</v>
      </c>
      <c r="R99" s="0" t="n">
        <f aca="false">LN(3_Returns!B99/3_Returns!B98)</f>
        <v>0.00693865686092226</v>
      </c>
      <c r="S99" s="0" t="n">
        <f aca="false">M99-O99</f>
        <v>0.00554123714382504</v>
      </c>
      <c r="T99" s="0" t="n">
        <f aca="false">IF(M99&gt;O99,1,0)</f>
        <v>1</v>
      </c>
    </row>
    <row r="100" customFormat="false" ht="15" hidden="false" customHeight="false" outlineLevel="0" collapsed="false">
      <c r="M100" s="0" t="n">
        <f aca="false">3_Returns!B100/3_Returns!B99-1</f>
        <v>0.00929899856938476</v>
      </c>
      <c r="N100" s="0" t="n">
        <f aca="false">3_Returns!C100/3_Returns!C99-1</f>
        <v>0.015389350569406</v>
      </c>
      <c r="O100" s="0" t="n">
        <f aca="false">3_Returns!D100/3_Returns!D99-1</f>
        <v>0.0135874647455319</v>
      </c>
      <c r="P100" s="0" t="n">
        <f aca="false">MAX(3_Returns!$B$31:B100)</f>
        <v>52.89</v>
      </c>
      <c r="Q100" s="0" t="n">
        <f aca="false">3_Returns!B100/P100-1</f>
        <v>-0.199659671015315</v>
      </c>
      <c r="R100" s="0" t="n">
        <f aca="false">LN(3_Returns!B100/3_Returns!B99)</f>
        <v>0.00925602905905837</v>
      </c>
      <c r="S100" s="0" t="n">
        <f aca="false">M100-O100</f>
        <v>-0.00428846617614709</v>
      </c>
      <c r="T100" s="0" t="n">
        <f aca="false">IF(M100&gt;O100,1,0)</f>
        <v>0</v>
      </c>
    </row>
    <row r="101" customFormat="false" ht="15" hidden="false" customHeight="false" outlineLevel="0" collapsed="false">
      <c r="M101" s="0" t="n">
        <f aca="false">3_Returns!B101/3_Returns!B100-1</f>
        <v>-0.0224427120245687</v>
      </c>
      <c r="N101" s="0" t="n">
        <f aca="false">3_Returns!C101/3_Returns!C100-1</f>
        <v>0.00538041830857816</v>
      </c>
      <c r="O101" s="0" t="n">
        <f aca="false">3_Returns!D101/3_Returns!D100-1</f>
        <v>0.0035095553271618</v>
      </c>
      <c r="P101" s="0" t="n">
        <f aca="false">MAX(3_Returns!$B$31:B101)</f>
        <v>52.89</v>
      </c>
      <c r="Q101" s="0" t="n">
        <f aca="false">3_Returns!B101/P101-1</f>
        <v>-0.217621478540367</v>
      </c>
      <c r="R101" s="0" t="n">
        <f aca="false">LN(3_Returns!B101/3_Returns!B100)</f>
        <v>-0.0226983822154352</v>
      </c>
      <c r="S101" s="0" t="n">
        <f aca="false">M101-O101</f>
        <v>-0.0259522673517305</v>
      </c>
      <c r="T101" s="0" t="n">
        <f aca="false">IF(M101&gt;O101,1,0)</f>
        <v>0</v>
      </c>
    </row>
    <row r="102" customFormat="false" ht="15" hidden="false" customHeight="false" outlineLevel="0" collapsed="false">
      <c r="M102" s="0" t="n">
        <f aca="false">3_Returns!B102/3_Returns!B101-1</f>
        <v>0.00676655389076841</v>
      </c>
      <c r="N102" s="0" t="n">
        <f aca="false">3_Returns!C102/3_Returns!C101-1</f>
        <v>-0.00361799954775</v>
      </c>
      <c r="O102" s="0" t="n">
        <f aca="false">3_Returns!D102/3_Returns!D101-1</f>
        <v>0.00851152245743769</v>
      </c>
      <c r="P102" s="0" t="n">
        <f aca="false">MAX(3_Returns!$B$31:B102)</f>
        <v>52.89</v>
      </c>
      <c r="Q102" s="0" t="n">
        <f aca="false">3_Returns!B102/P102-1</f>
        <v>-0.21232747211193</v>
      </c>
      <c r="R102" s="0" t="n">
        <f aca="false">LN(3_Returns!B102/3_Returns!B101)</f>
        <v>0.00674376351542889</v>
      </c>
      <c r="S102" s="0" t="n">
        <f aca="false">M102-O102</f>
        <v>-0.00174496856666928</v>
      </c>
      <c r="T102" s="0" t="n">
        <f aca="false">IF(M102&gt;O102,1,0)</f>
        <v>0</v>
      </c>
    </row>
    <row r="103" customFormat="false" ht="15" hidden="false" customHeight="false" outlineLevel="0" collapsed="false">
      <c r="M103" s="0" t="n">
        <f aca="false">3_Returns!B103/3_Returns!B102-1</f>
        <v>-0.00312049927988467</v>
      </c>
      <c r="N103" s="0" t="n">
        <f aca="false">3_Returns!C103/3_Returns!C102-1</f>
        <v>-0.00764051743702243</v>
      </c>
      <c r="O103" s="0" t="n">
        <f aca="false">3_Returns!D103/3_Returns!D102-1</f>
        <v>-0.010780703033839</v>
      </c>
      <c r="P103" s="0" t="n">
        <f aca="false">MAX(3_Returns!$B$31:B103)</f>
        <v>52.89</v>
      </c>
      <c r="Q103" s="0" t="n">
        <f aca="false">3_Returns!B103/P103-1</f>
        <v>-0.21478540366799</v>
      </c>
      <c r="R103" s="0" t="n">
        <f aca="false">LN(3_Returns!B103/3_Returns!B102)</f>
        <v>-0.00312537819016365</v>
      </c>
      <c r="S103" s="0" t="n">
        <f aca="false">M103-O103</f>
        <v>0.00766020375395438</v>
      </c>
      <c r="T103" s="0" t="n">
        <f aca="false">IF(M103&gt;O103,1,0)</f>
        <v>1</v>
      </c>
    </row>
    <row r="104" customFormat="false" ht="15" hidden="false" customHeight="false" outlineLevel="0" collapsed="false">
      <c r="M104" s="0" t="n">
        <f aca="false">3_Returns!B104/3_Returns!B103-1</f>
        <v>0.030821093185649</v>
      </c>
      <c r="N104" s="0" t="n">
        <f aca="false">3_Returns!C104/3_Returns!C103-1</f>
        <v>0.00396401890532072</v>
      </c>
      <c r="O104" s="0" t="n">
        <f aca="false">3_Returns!D104/3_Returns!D103-1</f>
        <v>0.00906431832381993</v>
      </c>
      <c r="P104" s="0" t="n">
        <f aca="false">MAX(3_Returns!$B$31:B104)</f>
        <v>52.89</v>
      </c>
      <c r="Q104" s="0" t="n">
        <f aca="false">3_Returns!B104/P104-1</f>
        <v>-0.19058423142371</v>
      </c>
      <c r="R104" s="0" t="n">
        <f aca="false">LN(3_Returns!B104/3_Returns!B103)</f>
        <v>0.0303556625141926</v>
      </c>
      <c r="S104" s="0" t="n">
        <f aca="false">M104-O104</f>
        <v>0.021756774861829</v>
      </c>
      <c r="T104" s="0" t="n">
        <f aca="false">IF(M104&gt;O104,1,0)</f>
        <v>1</v>
      </c>
    </row>
    <row r="105" customFormat="false" ht="15" hidden="false" customHeight="false" outlineLevel="0" collapsed="false">
      <c r="M105" s="0" t="n">
        <f aca="false">3_Returns!B105/3_Returns!B104-1</f>
        <v>-0.00163513197850973</v>
      </c>
      <c r="N105" s="0" t="n">
        <f aca="false">3_Returns!C105/3_Returns!C104-1</f>
        <v>-0.00683371298405455</v>
      </c>
      <c r="O105" s="0" t="n">
        <f aca="false">3_Returns!D105/3_Returns!D104-1</f>
        <v>0.0214453364019105</v>
      </c>
      <c r="P105" s="0" t="n">
        <f aca="false">MAX(3_Returns!$B$31:B105)</f>
        <v>52.89</v>
      </c>
      <c r="Q105" s="0" t="n">
        <f aca="false">3_Returns!B105/P105-1</f>
        <v>-0.191907733030819</v>
      </c>
      <c r="R105" s="0" t="n">
        <f aca="false">LN(3_Returns!B105/3_Returns!B104)</f>
        <v>-0.00163647026585321</v>
      </c>
      <c r="S105" s="0" t="n">
        <f aca="false">M105-O105</f>
        <v>-0.0230804683804202</v>
      </c>
      <c r="T105" s="0" t="n">
        <f aca="false">IF(M105&gt;O105,1,0)</f>
        <v>0</v>
      </c>
    </row>
    <row r="106" customFormat="false" ht="15" hidden="false" customHeight="false" outlineLevel="0" collapsed="false">
      <c r="M106" s="0" t="n">
        <f aca="false">3_Returns!B106/3_Returns!B105-1</f>
        <v>0.042817033224146</v>
      </c>
      <c r="N106" s="0" t="n">
        <f aca="false">3_Returns!C106/3_Returns!C105-1</f>
        <v>0.0113914373088684</v>
      </c>
      <c r="O106" s="0" t="n">
        <f aca="false">3_Returns!D106/3_Returns!D105-1</f>
        <v>0.00810763448051421</v>
      </c>
      <c r="P106" s="0" t="n">
        <f aca="false">MAX(3_Returns!$B$31:B106)</f>
        <v>52.89</v>
      </c>
      <c r="Q106" s="0" t="n">
        <f aca="false">3_Returns!B106/P106-1</f>
        <v>-0.157307619587824</v>
      </c>
      <c r="R106" s="0" t="n">
        <f aca="false">LN(3_Returns!B106/3_Returns!B105)</f>
        <v>0.0419257370674629</v>
      </c>
      <c r="S106" s="0" t="n">
        <f aca="false">M106-O106</f>
        <v>0.0347093987436318</v>
      </c>
      <c r="T106" s="0" t="n">
        <f aca="false">IF(M106&gt;O106,1,0)</f>
        <v>1</v>
      </c>
    </row>
    <row r="107" customFormat="false" ht="15" hidden="false" customHeight="false" outlineLevel="0" collapsed="false">
      <c r="M107" s="0" t="n">
        <f aca="false">3_Returns!B107/3_Returns!B106-1</f>
        <v>-0.0105452097823648</v>
      </c>
      <c r="N107" s="0" t="n">
        <f aca="false">3_Returns!C107/3_Returns!C106-1</f>
        <v>0.00725678433744048</v>
      </c>
      <c r="O107" s="0" t="n">
        <f aca="false">3_Returns!D107/3_Returns!D106-1</f>
        <v>0.00287356321839072</v>
      </c>
      <c r="P107" s="0" t="n">
        <f aca="false">MAX(3_Returns!$B$31:B107)</f>
        <v>52.89</v>
      </c>
      <c r="Q107" s="0" t="n">
        <f aca="false">3_Returns!B107/P107-1</f>
        <v>-0.166193987521271</v>
      </c>
      <c r="R107" s="0" t="n">
        <f aca="false">LN(3_Returns!B107/3_Returns!B106)</f>
        <v>-0.0106012045056642</v>
      </c>
      <c r="S107" s="0" t="n">
        <f aca="false">M107-O107</f>
        <v>-0.0134187730007556</v>
      </c>
      <c r="T107" s="0" t="n">
        <f aca="false">IF(M107&gt;O107,1,0)</f>
        <v>0</v>
      </c>
    </row>
    <row r="108" customFormat="false" ht="15" hidden="false" customHeight="false" outlineLevel="0" collapsed="false">
      <c r="M108" s="0" t="n">
        <f aca="false">3_Returns!B108/3_Returns!B107-1</f>
        <v>0.0145124716553289</v>
      </c>
      <c r="N108" s="0" t="n">
        <f aca="false">3_Returns!C108/3_Returns!C107-1</f>
        <v>-0.00277673545966228</v>
      </c>
      <c r="O108" s="0" t="n">
        <f aca="false">3_Returns!D108/3_Returns!D107-1</f>
        <v>0.00186953907106724</v>
      </c>
      <c r="P108" s="0" t="n">
        <f aca="false">MAX(3_Returns!$B$31:B108)</f>
        <v>52.89</v>
      </c>
      <c r="Q108" s="0" t="n">
        <f aca="false">3_Returns!B108/P108-1</f>
        <v>-0.15409340139913</v>
      </c>
      <c r="R108" s="0" t="n">
        <f aca="false">LN(3_Returns!B108/3_Returns!B107)</f>
        <v>0.0144081736091833</v>
      </c>
      <c r="S108" s="0" t="n">
        <f aca="false">M108-O108</f>
        <v>0.0126429325842616</v>
      </c>
      <c r="T108" s="0" t="n">
        <f aca="false">IF(M108&gt;O108,1,0)</f>
        <v>1</v>
      </c>
    </row>
    <row r="109" customFormat="false" ht="15" hidden="false" customHeight="false" outlineLevel="0" collapsed="false">
      <c r="M109" s="0" t="n">
        <f aca="false">3_Returns!B109/3_Returns!B108-1</f>
        <v>0.0377738042020563</v>
      </c>
      <c r="N109" s="0" t="n">
        <f aca="false">3_Returns!C109/3_Returns!C108-1</f>
        <v>0.000301023479831297</v>
      </c>
      <c r="O109" s="0" t="n">
        <f aca="false">3_Returns!D109/3_Returns!D108-1</f>
        <v>0.0183303703677549</v>
      </c>
      <c r="P109" s="0" t="n">
        <f aca="false">MAX(3_Returns!$B$31:B109)</f>
        <v>52.89</v>
      </c>
      <c r="Q109" s="0" t="n">
        <f aca="false">3_Returns!B109/P109-1</f>
        <v>-0.122140291170354</v>
      </c>
      <c r="R109" s="0" t="n">
        <f aca="false">LN(3_Returns!B109/3_Returns!B108)</f>
        <v>0.0370778459698468</v>
      </c>
      <c r="S109" s="0" t="n">
        <f aca="false">M109-O109</f>
        <v>0.0194434338343015</v>
      </c>
      <c r="T109" s="0" t="n">
        <f aca="false">IF(M109&gt;O109,1,0)</f>
        <v>1</v>
      </c>
    </row>
    <row r="110" customFormat="false" ht="15" hidden="false" customHeight="false" outlineLevel="0" collapsed="false">
      <c r="M110" s="0" t="n">
        <f aca="false">3_Returns!B110/3_Returns!B109-1</f>
        <v>0.00172302390695678</v>
      </c>
      <c r="N110" s="0" t="n">
        <f aca="false">3_Returns!C110/3_Returns!C109-1</f>
        <v>0.00774902196810112</v>
      </c>
      <c r="O110" s="0" t="n">
        <f aca="false">3_Returns!D110/3_Returns!D109-1</f>
        <v>-0.00902707950487147</v>
      </c>
      <c r="P110" s="0" t="n">
        <f aca="false">MAX(3_Returns!$B$31:B110)</f>
        <v>52.89</v>
      </c>
      <c r="Q110" s="0" t="n">
        <f aca="false">3_Returns!B110/P110-1</f>
        <v>-0.120627717905086</v>
      </c>
      <c r="R110" s="0" t="n">
        <f aca="false">LN(3_Returns!B110/3_Returns!B109)</f>
        <v>0.00172154120417537</v>
      </c>
      <c r="S110" s="0" t="n">
        <f aca="false">M110-O110</f>
        <v>0.0107501034118282</v>
      </c>
      <c r="T110" s="0" t="n">
        <f aca="false">IF(M110&gt;O110,1,0)</f>
        <v>1</v>
      </c>
    </row>
    <row r="111" customFormat="false" ht="15" hidden="false" customHeight="false" outlineLevel="0" collapsed="false">
      <c r="M111" s="0" t="n">
        <f aca="false">3_Returns!B111/3_Returns!B110-1</f>
        <v>0.00107503762631711</v>
      </c>
      <c r="N111" s="0" t="n">
        <f aca="false">3_Returns!C111/3_Returns!C110-1</f>
        <v>0.0020903322135124</v>
      </c>
      <c r="O111" s="0" t="n">
        <f aca="false">3_Returns!D111/3_Returns!D110-1</f>
        <v>-0.000802990834708139</v>
      </c>
      <c r="P111" s="0" t="n">
        <f aca="false">MAX(3_Returns!$B$31:B111)</f>
        <v>52.89</v>
      </c>
      <c r="Q111" s="0" t="n">
        <f aca="false">3_Returns!B111/P111-1</f>
        <v>-0.119682359614294</v>
      </c>
      <c r="R111" s="0" t="n">
        <f aca="false">LN(3_Returns!B111/3_Returns!B110)</f>
        <v>0.00107446018717693</v>
      </c>
      <c r="S111" s="0" t="n">
        <f aca="false">M111-O111</f>
        <v>0.00187802846102525</v>
      </c>
      <c r="T111" s="0" t="n">
        <f aca="false">IF(M111&gt;O111,1,0)</f>
        <v>1</v>
      </c>
    </row>
    <row r="112" customFormat="false" ht="15" hidden="false" customHeight="false" outlineLevel="0" collapsed="false">
      <c r="M112" s="0" t="n">
        <f aca="false">3_Returns!B112/3_Returns!B111-1</f>
        <v>-0.00837628865979379</v>
      </c>
      <c r="N112" s="0" t="n">
        <f aca="false">3_Returns!C112/3_Returns!C111-1</f>
        <v>0.0131863219846533</v>
      </c>
      <c r="O112" s="0" t="n">
        <f aca="false">3_Returns!D112/3_Returns!D111-1</f>
        <v>0.0049566316615135</v>
      </c>
      <c r="P112" s="0" t="n">
        <f aca="false">MAX(3_Returns!$B$31:B112)</f>
        <v>52.89</v>
      </c>
      <c r="Q112" s="0" t="n">
        <f aca="false">3_Returns!B112/P112-1</f>
        <v>-0.127056154282473</v>
      </c>
      <c r="R112" s="0" t="n">
        <f aca="false">LN(3_Returns!B112/3_Returns!B111)</f>
        <v>-0.0084115669042848</v>
      </c>
      <c r="S112" s="0" t="n">
        <f aca="false">M112-O112</f>
        <v>-0.0133329203213073</v>
      </c>
      <c r="T112" s="0" t="n">
        <f aca="false">IF(M112&gt;O112,1,0)</f>
        <v>0</v>
      </c>
    </row>
    <row r="113" customFormat="false" ht="15" hidden="false" customHeight="false" outlineLevel="0" collapsed="false">
      <c r="M113" s="0" t="n">
        <f aca="false">3_Returns!B113/3_Returns!B112-1</f>
        <v>0.0175438596491226</v>
      </c>
      <c r="N113" s="0" t="n">
        <f aca="false">3_Returns!C113/3_Returns!C112-1</f>
        <v>0.0188970588235293</v>
      </c>
      <c r="O113" s="0" t="n">
        <f aca="false">3_Returns!D113/3_Returns!D112-1</f>
        <v>0.00781553524917888</v>
      </c>
      <c r="P113" s="0" t="n">
        <f aca="false">MAX(3_Returns!$B$31:B113)</f>
        <v>52.89</v>
      </c>
      <c r="Q113" s="0" t="n">
        <f aca="false">3_Returns!B113/P113-1</f>
        <v>-0.111741349971639</v>
      </c>
      <c r="R113" s="0" t="n">
        <f aca="false">LN(3_Returns!B113/3_Returns!B112)</f>
        <v>0.017391742711869</v>
      </c>
      <c r="S113" s="0" t="n">
        <f aca="false">M113-O113</f>
        <v>0.00972832439994376</v>
      </c>
      <c r="T113" s="0" t="n">
        <f aca="false">IF(M113&gt;O113,1,0)</f>
        <v>1</v>
      </c>
    </row>
    <row r="114" customFormat="false" ht="15" hidden="false" customHeight="false" outlineLevel="0" collapsed="false">
      <c r="M114" s="0" t="n">
        <f aca="false">3_Returns!B114/3_Returns!B113-1</f>
        <v>-0.013835674755215</v>
      </c>
      <c r="N114" s="0" t="n">
        <f aca="false">3_Returns!C114/3_Returns!C113-1</f>
        <v>-0.00772172908999058</v>
      </c>
      <c r="O114" s="0" t="n">
        <f aca="false">3_Returns!D114/3_Returns!D113-1</f>
        <v>-0.00409009267534588</v>
      </c>
      <c r="P114" s="0" t="n">
        <f aca="false">MAX(3_Returns!$B$31:B114)</f>
        <v>52.89</v>
      </c>
      <c r="Q114" s="0" t="n">
        <f aca="false">3_Returns!B114/P114-1</f>
        <v>-0.124031007751938</v>
      </c>
      <c r="R114" s="0" t="n">
        <f aca="false">LN(3_Returns!B114/3_Returns!B113)</f>
        <v>-0.0139322798022097</v>
      </c>
      <c r="S114" s="0" t="n">
        <f aca="false">M114-O114</f>
        <v>-0.00974558207986909</v>
      </c>
      <c r="T114" s="0" t="n">
        <f aca="false">IF(M114&gt;O114,1,0)</f>
        <v>0</v>
      </c>
    </row>
    <row r="115" customFormat="false" ht="15" hidden="false" customHeight="false" outlineLevel="0" collapsed="false">
      <c r="M115" s="0" t="n">
        <f aca="false">3_Returns!B115/3_Returns!B114-1</f>
        <v>-0.0274120440319446</v>
      </c>
      <c r="N115" s="0" t="n">
        <f aca="false">3_Returns!C115/3_Returns!C114-1</f>
        <v>0.0101818181818183</v>
      </c>
      <c r="O115" s="0" t="n">
        <f aca="false">3_Returns!D115/3_Returns!D114-1</f>
        <v>0.00341430815563126</v>
      </c>
      <c r="P115" s="0" t="n">
        <f aca="false">MAX(3_Returns!$B$31:B115)</f>
        <v>52.89</v>
      </c>
      <c r="Q115" s="0" t="n">
        <f aca="false">3_Returns!B115/P115-1</f>
        <v>-0.14804310833806</v>
      </c>
      <c r="R115" s="0" t="n">
        <f aca="false">LN(3_Returns!B115/3_Returns!B114)</f>
        <v>-0.0277947644244585</v>
      </c>
      <c r="S115" s="0" t="n">
        <f aca="false">M115-O115</f>
        <v>-0.0308263521875759</v>
      </c>
      <c r="T115" s="0" t="n">
        <f aca="false">IF(M115&gt;O115,1,0)</f>
        <v>0</v>
      </c>
    </row>
    <row r="116" customFormat="false" ht="15" hidden="false" customHeight="false" outlineLevel="0" collapsed="false">
      <c r="M116" s="0" t="n">
        <f aca="false">3_Returns!B116/3_Returns!B115-1</f>
        <v>0.0328450954283177</v>
      </c>
      <c r="N116" s="0" t="n">
        <f aca="false">3_Returns!C116/3_Returns!C115-1</f>
        <v>-0.00388768898488112</v>
      </c>
      <c r="O116" s="0" t="n">
        <f aca="false">3_Returns!D116/3_Returns!D115-1</f>
        <v>-0.00248411962523709</v>
      </c>
      <c r="P116" s="0" t="n">
        <f aca="false">MAX(3_Returns!$B$31:B116)</f>
        <v>52.89</v>
      </c>
      <c r="Q116" s="0" t="n">
        <f aca="false">3_Returns!B116/P116-1</f>
        <v>-0.120060502930611</v>
      </c>
      <c r="R116" s="0" t="n">
        <f aca="false">LN(3_Returns!B116/3_Returns!B115)</f>
        <v>0.0323172228700472</v>
      </c>
      <c r="S116" s="0" t="n">
        <f aca="false">M116-O116</f>
        <v>0.0353292150535548</v>
      </c>
      <c r="T116" s="0" t="n">
        <f aca="false">IF(M116&gt;O116,1,0)</f>
        <v>1</v>
      </c>
    </row>
    <row r="117" customFormat="false" ht="15" hidden="false" customHeight="false" outlineLevel="0" collapsed="false">
      <c r="M117" s="0" t="n">
        <f aca="false">3_Returns!B117/3_Returns!B116-1</f>
        <v>0.0109583154275892</v>
      </c>
      <c r="N117" s="0" t="n">
        <f aca="false">3_Returns!C117/3_Returns!C116-1</f>
        <v>0.000578201792425404</v>
      </c>
      <c r="O117" s="0" t="n">
        <f aca="false">3_Returns!D117/3_Returns!D116-1</f>
        <v>0.00153302950214695</v>
      </c>
      <c r="P117" s="0" t="n">
        <f aca="false">MAX(3_Returns!$B$31:B117)</f>
        <v>52.89</v>
      </c>
      <c r="Q117" s="0" t="n">
        <f aca="false">3_Returns!B117/P117-1</f>
        <v>-0.11041784836453</v>
      </c>
      <c r="R117" s="0" t="n">
        <f aca="false">LN(3_Returns!B117/3_Returns!B116)</f>
        <v>0.010898708157243</v>
      </c>
      <c r="S117" s="0" t="n">
        <f aca="false">M117-O117</f>
        <v>0.00942528592544223</v>
      </c>
      <c r="T117" s="0" t="n">
        <f aca="false">IF(M117&gt;O117,1,0)</f>
        <v>1</v>
      </c>
    </row>
    <row r="118" customFormat="false" ht="15" hidden="false" customHeight="false" outlineLevel="0" collapsed="false">
      <c r="M118" s="0" t="n">
        <f aca="false">3_Returns!B118/3_Returns!B117-1</f>
        <v>0.0218916046758768</v>
      </c>
      <c r="N118" s="0" t="n">
        <f aca="false">3_Returns!C118/3_Returns!C117-1</f>
        <v>-0.0014446691707598</v>
      </c>
      <c r="O118" s="0" t="n">
        <f aca="false">3_Returns!D118/3_Returns!D117-1</f>
        <v>-0.00101468347416533</v>
      </c>
      <c r="P118" s="0" t="n">
        <f aca="false">MAX(3_Returns!$B$31:B118)</f>
        <v>52.89</v>
      </c>
      <c r="Q118" s="0" t="n">
        <f aca="false">3_Returns!B118/P118-1</f>
        <v>-0.0909434675742107</v>
      </c>
      <c r="R118" s="0" t="n">
        <f aca="false">LN(3_Returns!B118/3_Returns!B117)</f>
        <v>0.0216554241955636</v>
      </c>
      <c r="S118" s="0" t="n">
        <f aca="false">M118-O118</f>
        <v>0.0229062881500421</v>
      </c>
      <c r="T118" s="0" t="n">
        <f aca="false">IF(M118&gt;O118,1,0)</f>
        <v>1</v>
      </c>
    </row>
    <row r="119" customFormat="false" ht="15" hidden="false" customHeight="false" outlineLevel="0" collapsed="false">
      <c r="M119" s="0" t="n">
        <f aca="false">3_Returns!B119/3_Returns!B118-1</f>
        <v>-0.0247504159733777</v>
      </c>
      <c r="N119" s="0" t="n">
        <f aca="false">3_Returns!C119/3_Returns!C118-1</f>
        <v>-0.0077401620370372</v>
      </c>
      <c r="O119" s="0" t="n">
        <f aca="false">3_Returns!D119/3_Returns!D118-1</f>
        <v>-0.0111884548319219</v>
      </c>
      <c r="P119" s="0" t="n">
        <f aca="false">MAX(3_Returns!$B$31:B119)</f>
        <v>52.89</v>
      </c>
      <c r="Q119" s="0" t="n">
        <f aca="false">3_Returns!B119/P119-1</f>
        <v>-0.113442994895065</v>
      </c>
      <c r="R119" s="0" t="n">
        <f aca="false">LN(3_Returns!B119/3_Returns!B118)</f>
        <v>-0.0250618571254572</v>
      </c>
      <c r="S119" s="0" t="n">
        <f aca="false">M119-O119</f>
        <v>-0.0135619611414558</v>
      </c>
      <c r="T119" s="0" t="n">
        <f aca="false">IF(M119&gt;O119,1,0)</f>
        <v>0</v>
      </c>
    </row>
    <row r="120" customFormat="false" ht="15" hidden="false" customHeight="false" outlineLevel="0" collapsed="false">
      <c r="M120" s="0" t="n">
        <f aca="false">3_Returns!B120/3_Returns!B119-1</f>
        <v>0.018767327788441</v>
      </c>
      <c r="N120" s="0" t="n">
        <f aca="false">3_Returns!C120/3_Returns!C119-1</f>
        <v>0.0107166290005103</v>
      </c>
      <c r="O120" s="0" t="n">
        <f aca="false">3_Returns!D120/3_Returns!D119-1</f>
        <v>0.000105174774181149</v>
      </c>
      <c r="P120" s="0" t="n">
        <f aca="false">MAX(3_Returns!$B$31:B120)</f>
        <v>52.89</v>
      </c>
      <c r="Q120" s="0" t="n">
        <f aca="false">3_Returns!B120/P120-1</f>
        <v>-0.0968046889771222</v>
      </c>
      <c r="R120" s="0" t="n">
        <f aca="false">LN(3_Returns!B120/3_Returns!B119)</f>
        <v>0.0185933943003755</v>
      </c>
      <c r="S120" s="0" t="n">
        <f aca="false">M120-O120</f>
        <v>0.0186621530142599</v>
      </c>
      <c r="T120" s="0" t="n">
        <f aca="false">IF(M120&gt;O120,1,0)</f>
        <v>1</v>
      </c>
    </row>
    <row r="121" customFormat="false" ht="15" hidden="false" customHeight="false" outlineLevel="0" collapsed="false">
      <c r="M121" s="0" t="n">
        <f aca="false">3_Returns!B121/3_Returns!B120-1</f>
        <v>0.0311911241364873</v>
      </c>
      <c r="N121" s="0" t="n">
        <f aca="false">3_Returns!C121/3_Returns!C120-1</f>
        <v>0.00764570109636464</v>
      </c>
      <c r="O121" s="0" t="n">
        <f aca="false">3_Returns!D121/3_Returns!D120-1</f>
        <v>0.00915800672697231</v>
      </c>
      <c r="P121" s="0" t="n">
        <f aca="false">MAX(3_Returns!$B$31:B121)</f>
        <v>52.89</v>
      </c>
      <c r="Q121" s="0" t="n">
        <f aca="false">3_Returns!B121/P121-1</f>
        <v>-0.0686330119115145</v>
      </c>
      <c r="R121" s="0" t="n">
        <f aca="false">LN(3_Returns!B121/3_Returns!B120)</f>
        <v>0.0307145652905213</v>
      </c>
      <c r="S121" s="0" t="n">
        <f aca="false">M121-O121</f>
        <v>0.022033117409515</v>
      </c>
      <c r="T121" s="0" t="n">
        <f aca="false">IF(M121&gt;O121,1,0)</f>
        <v>1</v>
      </c>
    </row>
    <row r="122" customFormat="false" ht="15" hidden="false" customHeight="false" outlineLevel="0" collapsed="false">
      <c r="M122" s="0" t="n">
        <f aca="false">3_Returns!B122/3_Returns!B121-1</f>
        <v>0.00852618757612667</v>
      </c>
      <c r="N122" s="0" t="n">
        <f aca="false">3_Returns!C122/3_Returns!C121-1</f>
        <v>-0.00794559770937708</v>
      </c>
      <c r="O122" s="0" t="n">
        <f aca="false">3_Returns!D122/3_Returns!D121-1</f>
        <v>-0.00942921057933455</v>
      </c>
      <c r="P122" s="0" t="n">
        <f aca="false">MAX(3_Returns!$B$31:B122)</f>
        <v>52.89</v>
      </c>
      <c r="Q122" s="0" t="n">
        <f aca="false">3_Returns!B122/P122-1</f>
        <v>-0.06069200226886</v>
      </c>
      <c r="R122" s="0" t="n">
        <f aca="false">LN(3_Returns!B122/3_Returns!B121)</f>
        <v>0.00849004493283146</v>
      </c>
      <c r="S122" s="0" t="n">
        <f aca="false">M122-O122</f>
        <v>0.0179553981554612</v>
      </c>
      <c r="T122" s="0" t="n">
        <f aca="false">IF(M122&gt;O122,1,0)</f>
        <v>1</v>
      </c>
    </row>
    <row r="123" customFormat="false" ht="15" hidden="false" customHeight="false" outlineLevel="0" collapsed="false">
      <c r="M123" s="0" t="n">
        <f aca="false">3_Returns!B123/3_Returns!B122-1</f>
        <v>-0.00261674718196459</v>
      </c>
      <c r="N123" s="0" t="n">
        <f aca="false">3_Returns!C123/3_Returns!C122-1</f>
        <v>-0.00396854029872296</v>
      </c>
      <c r="O123" s="0" t="n">
        <f aca="false">3_Returns!D123/3_Returns!D122-1</f>
        <v>-0.00211279335828951</v>
      </c>
      <c r="P123" s="0" t="n">
        <f aca="false">MAX(3_Returns!$B$31:B123)</f>
        <v>52.89</v>
      </c>
      <c r="Q123" s="0" t="n">
        <f aca="false">3_Returns!B123/P123-1</f>
        <v>-0.0631499338249197</v>
      </c>
      <c r="R123" s="0" t="n">
        <f aca="false">LN(3_Returns!B123/3_Returns!B122)</f>
        <v>-0.00262017684922634</v>
      </c>
      <c r="S123" s="0" t="n">
        <f aca="false">M123-O123</f>
        <v>-0.000503953823675074</v>
      </c>
      <c r="T123" s="0" t="n">
        <f aca="false">IF(M123&gt;O123,1,0)</f>
        <v>0</v>
      </c>
    </row>
    <row r="124" customFormat="false" ht="15" hidden="false" customHeight="false" outlineLevel="0" collapsed="false">
      <c r="M124" s="0" t="n">
        <f aca="false">3_Returns!B124/3_Returns!B123-1</f>
        <v>-0.00645812310797178</v>
      </c>
      <c r="N124" s="0" t="n">
        <f aca="false">3_Returns!C124/3_Returns!C123-1</f>
        <v>0.0081860330339032</v>
      </c>
      <c r="O124" s="0" t="n">
        <f aca="false">3_Returns!D124/3_Returns!D123-1</f>
        <v>0.00701772881415486</v>
      </c>
      <c r="P124" s="0" t="n">
        <f aca="false">MAX(3_Returns!$B$31:B124)</f>
        <v>52.89</v>
      </c>
      <c r="Q124" s="0" t="n">
        <f aca="false">3_Returns!B124/P124-1</f>
        <v>-0.0692002268859898</v>
      </c>
      <c r="R124" s="0" t="n">
        <f aca="false">LN(3_Returns!B124/3_Returns!B123)</f>
        <v>-0.00647906700588781</v>
      </c>
      <c r="S124" s="0" t="n">
        <f aca="false">M124-O124</f>
        <v>-0.0134758519221266</v>
      </c>
      <c r="T124" s="0" t="n">
        <f aca="false">IF(M124&gt;O124,1,0)</f>
        <v>0</v>
      </c>
    </row>
    <row r="125" customFormat="false" ht="15" hidden="false" customHeight="false" outlineLevel="0" collapsed="false">
      <c r="M125" s="0" t="n">
        <f aca="false">3_Returns!B125/3_Returns!B124-1</f>
        <v>-0.0146252285191956</v>
      </c>
      <c r="N125" s="0" t="n">
        <f aca="false">3_Returns!C125/3_Returns!C124-1</f>
        <v>-0.0156642954659767</v>
      </c>
      <c r="O125" s="0" t="n">
        <f aca="false">3_Returns!D125/3_Returns!D124-1</f>
        <v>-0.010465449012779</v>
      </c>
      <c r="P125" s="0" t="n">
        <f aca="false">MAX(3_Returns!$B$31:B125)</f>
        <v>52.89</v>
      </c>
      <c r="Q125" s="0" t="n">
        <f aca="false">3_Returns!B125/P125-1</f>
        <v>-0.0828133862733976</v>
      </c>
      <c r="R125" s="0" t="n">
        <f aca="false">LN(3_Returns!B125/3_Returns!B124)</f>
        <v>-0.014733231512984</v>
      </c>
      <c r="S125" s="0" t="n">
        <f aca="false">M125-O125</f>
        <v>-0.00415977950641655</v>
      </c>
      <c r="T125" s="0" t="n">
        <f aca="false">IF(M125&gt;O125,1,0)</f>
        <v>0</v>
      </c>
    </row>
    <row r="126" customFormat="false" ht="15" hidden="false" customHeight="false" outlineLevel="0" collapsed="false">
      <c r="M126" s="0" t="n">
        <f aca="false">3_Returns!B126/3_Returns!B125-1</f>
        <v>-0.0249433106575964</v>
      </c>
      <c r="N126" s="0" t="n">
        <f aca="false">3_Returns!C126/3_Returns!C125-1</f>
        <v>-0.00313891524928833</v>
      </c>
      <c r="O126" s="0" t="n">
        <f aca="false">3_Returns!D126/3_Returns!D125-1</f>
        <v>0.0021582505474973</v>
      </c>
      <c r="P126" s="0" t="n">
        <f aca="false">MAX(3_Returns!$B$31:B126)</f>
        <v>52.89</v>
      </c>
      <c r="Q126" s="0" t="n">
        <f aca="false">3_Returns!B126/P126-1</f>
        <v>-0.105691056910569</v>
      </c>
      <c r="R126" s="0" t="n">
        <f aca="false">LN(3_Returns!B126/3_Returns!B125)</f>
        <v>-0.0252596667592379</v>
      </c>
      <c r="S126" s="0" t="n">
        <f aca="false">M126-O126</f>
        <v>-0.0271015612050937</v>
      </c>
      <c r="T126" s="0" t="n">
        <f aca="false">IF(M126&gt;O126,1,0)</f>
        <v>0</v>
      </c>
    </row>
    <row r="127" customFormat="false" ht="15" hidden="false" customHeight="false" outlineLevel="0" collapsed="false">
      <c r="M127" s="0" t="n">
        <f aca="false">3_Returns!B127/3_Returns!B126-1</f>
        <v>-0.0336152219873149</v>
      </c>
      <c r="N127" s="0" t="n">
        <f aca="false">3_Returns!C127/3_Returns!C126-1</f>
        <v>-0.00761570005858225</v>
      </c>
      <c r="O127" s="0" t="n">
        <f aca="false">3_Returns!D127/3_Returns!D126-1</f>
        <v>-0.010366851411982</v>
      </c>
      <c r="P127" s="0" t="n">
        <f aca="false">MAX(3_Returns!$B$31:B127)</f>
        <v>52.89</v>
      </c>
      <c r="Q127" s="0" t="n">
        <f aca="false">3_Returns!B127/P127-1</f>
        <v>-0.135753450557761</v>
      </c>
      <c r="R127" s="0" t="n">
        <f aca="false">LN(3_Returns!B127/3_Returns!B126)</f>
        <v>-0.0341932031542342</v>
      </c>
      <c r="S127" s="0" t="n">
        <f aca="false">M127-O127</f>
        <v>-0.0232483705753329</v>
      </c>
      <c r="T127" s="0" t="n">
        <f aca="false">IF(M127&gt;O127,1,0)</f>
        <v>0</v>
      </c>
    </row>
    <row r="128" customFormat="false" ht="15" hidden="false" customHeight="false" outlineLevel="0" collapsed="false">
      <c r="M128" s="0" t="n">
        <f aca="false">3_Returns!B128/3_Returns!B127-1</f>
        <v>0.01531393568147</v>
      </c>
      <c r="N128" s="0" t="n">
        <f aca="false">3_Returns!C128/3_Returns!C127-1</f>
        <v>0.00295159386068455</v>
      </c>
      <c r="O128" s="0" t="n">
        <f aca="false">3_Returns!D128/3_Returns!D127-1</f>
        <v>0.011751988592926</v>
      </c>
      <c r="P128" s="0" t="n">
        <f aca="false">MAX(3_Returns!$B$31:B128)</f>
        <v>52.89</v>
      </c>
      <c r="Q128" s="0" t="n">
        <f aca="false">3_Returns!B128/P128-1</f>
        <v>-0.122518434486671</v>
      </c>
      <c r="R128" s="0" t="n">
        <f aca="false">LN(3_Returns!B128/3_Returns!B127)</f>
        <v>0.0151978609094313</v>
      </c>
      <c r="S128" s="0" t="n">
        <f aca="false">M128-O128</f>
        <v>0.00356194708854396</v>
      </c>
      <c r="T128" s="0" t="n">
        <f aca="false">IF(M128&gt;O128,1,0)</f>
        <v>1</v>
      </c>
    </row>
    <row r="129" customFormat="false" ht="15" hidden="false" customHeight="false" outlineLevel="0" collapsed="false">
      <c r="M129" s="0" t="n">
        <f aca="false">3_Returns!B129/3_Returns!B128-1</f>
        <v>0.0161603102779573</v>
      </c>
      <c r="N129" s="0" t="n">
        <f aca="false">3_Returns!C129/3_Returns!C128-1</f>
        <v>0.015523837551501</v>
      </c>
      <c r="O129" s="0" t="n">
        <f aca="false">3_Returns!D129/3_Returns!D128-1</f>
        <v>0.0236298649722</v>
      </c>
      <c r="P129" s="0" t="n">
        <f aca="false">MAX(3_Returns!$B$31:B129)</f>
        <v>52.89</v>
      </c>
      <c r="Q129" s="0" t="n">
        <f aca="false">3_Returns!B129/P129-1</f>
        <v>-0.108338060124787</v>
      </c>
      <c r="R129" s="0" t="n">
        <f aca="false">LN(3_Returns!B129/3_Returns!B128)</f>
        <v>0.0160311224160857</v>
      </c>
      <c r="S129" s="0" t="n">
        <f aca="false">M129-O129</f>
        <v>-0.00746955469424271</v>
      </c>
      <c r="T129" s="0" t="n">
        <f aca="false">IF(M129&gt;O129,1,0)</f>
        <v>0</v>
      </c>
    </row>
    <row r="130" customFormat="false" ht="15" hidden="false" customHeight="false" outlineLevel="0" collapsed="false">
      <c r="M130" s="0" t="n">
        <f aca="false">3_Returns!B130/3_Returns!B129-1</f>
        <v>0.0229007633587788</v>
      </c>
      <c r="N130" s="0" t="n">
        <f aca="false">3_Returns!C130/3_Returns!C129-1</f>
        <v>0.00883865826269648</v>
      </c>
      <c r="O130" s="0" t="n">
        <f aca="false">3_Returns!D130/3_Returns!D129-1</f>
        <v>0.0206998961400136</v>
      </c>
      <c r="P130" s="0" t="n">
        <f aca="false">MAX(3_Returns!$B$31:B130)</f>
        <v>52.89</v>
      </c>
      <c r="Q130" s="0" t="n">
        <f aca="false">3_Returns!B130/P130-1</f>
        <v>-0.0879183210436755</v>
      </c>
      <c r="R130" s="0" t="n">
        <f aca="false">LN(3_Returns!B130/3_Returns!B129)</f>
        <v>0.02264247674976</v>
      </c>
      <c r="S130" s="0" t="n">
        <f aca="false">M130-O130</f>
        <v>0.00220086721876522</v>
      </c>
      <c r="T130" s="0" t="n">
        <f aca="false">IF(M130&gt;O130,1,0)</f>
        <v>1</v>
      </c>
    </row>
    <row r="131" customFormat="false" ht="15" hidden="false" customHeight="false" outlineLevel="0" collapsed="false">
      <c r="M131" s="0" t="n">
        <f aca="false">3_Returns!B131/3_Returns!B130-1</f>
        <v>-0.0033167495854064</v>
      </c>
      <c r="N131" s="0" t="n">
        <f aca="false">3_Returns!C131/3_Returns!C130-1</f>
        <v>0.0176660682226213</v>
      </c>
      <c r="O131" s="0" t="n">
        <f aca="false">3_Returns!D131/3_Returns!D130-1</f>
        <v>-0.00189211417269197</v>
      </c>
      <c r="P131" s="0" t="n">
        <f aca="false">MAX(3_Returns!$B$31:B131)</f>
        <v>52.89</v>
      </c>
      <c r="Q131" s="0" t="n">
        <f aca="false">3_Returns!B131/P131-1</f>
        <v>-0.0909434675742107</v>
      </c>
      <c r="R131" s="0" t="n">
        <f aca="false">LN(3_Returns!B131/3_Returns!B130)</f>
        <v>-0.00332226219197796</v>
      </c>
      <c r="S131" s="0" t="n">
        <f aca="false">M131-O131</f>
        <v>-0.00142463541271443</v>
      </c>
      <c r="T131" s="0" t="n">
        <f aca="false">IF(M131&gt;O131,1,0)</f>
        <v>0</v>
      </c>
    </row>
    <row r="132" customFormat="false" ht="15" hidden="false" customHeight="false" outlineLevel="0" collapsed="false">
      <c r="M132" s="0" t="n">
        <f aca="false">3_Returns!B132/3_Returns!B131-1</f>
        <v>0.0336938435940102</v>
      </c>
      <c r="N132" s="0" t="n">
        <f aca="false">3_Returns!C132/3_Returns!C131-1</f>
        <v>0.0181356291016865</v>
      </c>
      <c r="O132" s="0" t="n">
        <f aca="false">3_Returns!D132/3_Returns!D131-1</f>
        <v>0.00777827206427539</v>
      </c>
      <c r="P132" s="0" t="n">
        <f aca="false">MAX(3_Returns!$B$31:B132)</f>
        <v>52.89</v>
      </c>
      <c r="Q132" s="0" t="n">
        <f aca="false">3_Returns!B132/P132-1</f>
        <v>-0.0603138589525429</v>
      </c>
      <c r="R132" s="0" t="n">
        <f aca="false">LN(3_Returns!B132/3_Returns!B131)</f>
        <v>0.0331386428756311</v>
      </c>
      <c r="S132" s="0" t="n">
        <f aca="false">M132-O132</f>
        <v>0.0259155715297348</v>
      </c>
      <c r="T132" s="0" t="n">
        <f aca="false">IF(M132&gt;O132,1,0)</f>
        <v>1</v>
      </c>
    </row>
    <row r="133" customFormat="false" ht="15" hidden="false" customHeight="false" outlineLevel="0" collapsed="false">
      <c r="M133" s="0" t="n">
        <f aca="false">3_Returns!B133/3_Returns!B132-1</f>
        <v>0.0185110663983903</v>
      </c>
      <c r="N133" s="0" t="n">
        <f aca="false">3_Returns!C133/3_Returns!C132-1</f>
        <v>0.00540615469919592</v>
      </c>
      <c r="O133" s="0" t="n">
        <f aca="false">3_Returns!D133/3_Returns!D132-1</f>
        <v>0.00153662484282613</v>
      </c>
      <c r="P133" s="0" t="n">
        <f aca="false">MAX(3_Returns!$B$31:B133)</f>
        <v>52.89</v>
      </c>
      <c r="Q133" s="0" t="n">
        <f aca="false">3_Returns!B133/P133-1</f>
        <v>-0.0429192664019664</v>
      </c>
      <c r="R133" s="0" t="n">
        <f aca="false">LN(3_Returns!B133/3_Returns!B132)</f>
        <v>0.0183418220143949</v>
      </c>
      <c r="S133" s="0" t="n">
        <f aca="false">M133-O133</f>
        <v>0.0169744415555642</v>
      </c>
      <c r="T133" s="0" t="n">
        <f aca="false">IF(M133&gt;O133,1,0)</f>
        <v>1</v>
      </c>
    </row>
    <row r="134" customFormat="false" ht="15" hidden="false" customHeight="false" outlineLevel="0" collapsed="false">
      <c r="M134" s="0" t="n">
        <f aca="false">3_Returns!B134/3_Returns!B133-1</f>
        <v>0.00118530225207425</v>
      </c>
      <c r="N134" s="0" t="n">
        <f aca="false">3_Returns!C134/3_Returns!C133-1</f>
        <v>0.000551495932717305</v>
      </c>
      <c r="O134" s="0" t="n">
        <f aca="false">3_Returns!D134/3_Returns!D133-1</f>
        <v>0.00134561414931644</v>
      </c>
      <c r="P134" s="0" t="n">
        <f aca="false">MAX(3_Returns!$B$31:B134)</f>
        <v>52.89</v>
      </c>
      <c r="Q134" s="0" t="n">
        <f aca="false">3_Returns!B134/P134-1</f>
        <v>-0.0417848364530157</v>
      </c>
      <c r="R134" s="0" t="n">
        <f aca="false">LN(3_Returns!B134/3_Returns!B133)</f>
        <v>0.00118460033596028</v>
      </c>
      <c r="S134" s="0" t="n">
        <f aca="false">M134-O134</f>
        <v>-0.000160311897242194</v>
      </c>
      <c r="T134" s="0" t="n">
        <f aca="false">IF(M134&gt;O134,1,0)</f>
        <v>0</v>
      </c>
    </row>
    <row r="135" customFormat="false" ht="15" hidden="false" customHeight="false" outlineLevel="0" collapsed="false">
      <c r="M135" s="0" t="n">
        <f aca="false">3_Returns!B135/3_Returns!B134-1</f>
        <v>0.0345303867403315</v>
      </c>
      <c r="N135" s="0" t="n">
        <f aca="false">3_Returns!C135/3_Returns!C134-1</f>
        <v>0.0319691332506547</v>
      </c>
      <c r="O135" s="0" t="n">
        <f aca="false">3_Returns!D135/3_Returns!D134-1</f>
        <v>0.0159189314909076</v>
      </c>
      <c r="P135" s="0" t="n">
        <f aca="false">MAX(3_Returns!$B$31:B135)</f>
        <v>52.89</v>
      </c>
      <c r="Q135" s="0" t="n">
        <f aca="false">3_Returns!B135/P135-1</f>
        <v>-0.00869729627528837</v>
      </c>
      <c r="R135" s="0" t="n">
        <f aca="false">LN(3_Returns!B135/3_Returns!B134)</f>
        <v>0.0339475911315031</v>
      </c>
      <c r="S135" s="0" t="n">
        <f aca="false">M135-O135</f>
        <v>0.0186114552494239</v>
      </c>
      <c r="T135" s="0" t="n">
        <f aca="false">IF(M135&gt;O135,1,0)</f>
        <v>1</v>
      </c>
    </row>
    <row r="136" customFormat="false" ht="15" hidden="false" customHeight="false" outlineLevel="0" collapsed="false">
      <c r="M136" s="0" t="n">
        <f aca="false">3_Returns!B136/3_Returns!B135-1</f>
        <v>-0.0251764257104711</v>
      </c>
      <c r="N136" s="0" t="n">
        <f aca="false">3_Returns!C136/3_Returns!C135-1</f>
        <v>-0.00594204833756185</v>
      </c>
      <c r="O136" s="0" t="n">
        <f aca="false">3_Returns!D136/3_Returns!D135-1</f>
        <v>-0.0129796811944786</v>
      </c>
      <c r="P136" s="0" t="n">
        <f aca="false">MAX(3_Returns!$B$31:B136)</f>
        <v>52.89</v>
      </c>
      <c r="Q136" s="0" t="n">
        <f aca="false">3_Returns!B136/P136-1</f>
        <v>-0.0336547551522027</v>
      </c>
      <c r="R136" s="0" t="n">
        <f aca="false">LN(3_Returns!B136/3_Returns!B135)</f>
        <v>-0.0254987738042532</v>
      </c>
      <c r="S136" s="0" t="n">
        <f aca="false">M136-O136</f>
        <v>-0.0121967445159925</v>
      </c>
      <c r="T136" s="0" t="n">
        <f aca="false">IF(M136&gt;O136,1,0)</f>
        <v>0</v>
      </c>
    </row>
    <row r="137" customFormat="false" ht="15" hidden="false" customHeight="false" outlineLevel="0" collapsed="false">
      <c r="M137" s="0" t="n">
        <f aca="false">3_Returns!B137/3_Returns!B136-1</f>
        <v>0.00919585208374096</v>
      </c>
      <c r="N137" s="0" t="n">
        <f aca="false">3_Returns!C137/3_Returns!C136-1</f>
        <v>0.00691785882194917</v>
      </c>
      <c r="O137" s="0" t="n">
        <f aca="false">3_Returns!D137/3_Returns!D136-1</f>
        <v>0.010953929647439</v>
      </c>
      <c r="P137" s="0" t="n">
        <f aca="false">MAX(3_Returns!$B$31:B137)</f>
        <v>52.89</v>
      </c>
      <c r="Q137" s="0" t="n">
        <f aca="false">3_Returns!B137/P137-1</f>
        <v>-0.024768387218756</v>
      </c>
      <c r="R137" s="0" t="n">
        <f aca="false">LN(3_Returns!B137/3_Returns!B136)</f>
        <v>0.00915382767301053</v>
      </c>
      <c r="S137" s="0" t="n">
        <f aca="false">M137-O137</f>
        <v>-0.00175807756369806</v>
      </c>
      <c r="T137" s="0" t="n">
        <f aca="false">IF(M137&gt;O137,1,0)</f>
        <v>0</v>
      </c>
    </row>
    <row r="138" customFormat="false" ht="15" hidden="false" customHeight="false" outlineLevel="0" collapsed="false">
      <c r="M138" s="0" t="n">
        <f aca="false">3_Returns!B138/3_Returns!B137-1</f>
        <v>0.01143854207057</v>
      </c>
      <c r="N138" s="0" t="n">
        <f aca="false">3_Returns!C138/3_Returns!C137-1</f>
        <v>0.00286819637139812</v>
      </c>
      <c r="O138" s="0" t="n">
        <f aca="false">3_Returns!D138/3_Returns!D137-1</f>
        <v>-0.000175982210994352</v>
      </c>
      <c r="P138" s="0" t="n">
        <f aca="false">MAX(3_Returns!$B$31:B138)</f>
        <v>52.89</v>
      </c>
      <c r="Q138" s="0" t="n">
        <f aca="false">3_Returns!B138/P138-1</f>
        <v>-0.0136131593874078</v>
      </c>
      <c r="R138" s="0" t="n">
        <f aca="false">LN(3_Returns!B138/3_Returns!B137)</f>
        <v>0.0113736165811027</v>
      </c>
      <c r="S138" s="0" t="n">
        <f aca="false">M138-O138</f>
        <v>0.0116145242815644</v>
      </c>
      <c r="T138" s="0" t="n">
        <f aca="false">IF(M138&gt;O138,1,0)</f>
        <v>1</v>
      </c>
    </row>
    <row r="139" customFormat="false" ht="15" hidden="false" customHeight="false" outlineLevel="0" collapsed="false">
      <c r="M139" s="0" t="n">
        <f aca="false">3_Returns!B139/3_Returns!B138-1</f>
        <v>0.00191681042744873</v>
      </c>
      <c r="N139" s="0" t="n">
        <f aca="false">3_Returns!C139/3_Returns!C138-1</f>
        <v>0.0131692716993683</v>
      </c>
      <c r="O139" s="0" t="n">
        <f aca="false">3_Returns!D139/3_Returns!D138-1</f>
        <v>0.0145136854364716</v>
      </c>
      <c r="P139" s="0" t="n">
        <f aca="false">MAX(3_Returns!$B$31:B139)</f>
        <v>52.89</v>
      </c>
      <c r="Q139" s="0" t="n">
        <f aca="false">3_Returns!B139/P139-1</f>
        <v>-0.0117224428058234</v>
      </c>
      <c r="R139" s="0" t="n">
        <f aca="false">LN(3_Returns!B139/3_Returns!B138)</f>
        <v>0.00191497569052913</v>
      </c>
      <c r="S139" s="0" t="n">
        <f aca="false">M139-O139</f>
        <v>-0.0125968750090228</v>
      </c>
      <c r="T139" s="0" t="n">
        <f aca="false">IF(M139&gt;O139,1,0)</f>
        <v>0</v>
      </c>
    </row>
    <row r="140" customFormat="false" ht="15" hidden="false" customHeight="false" outlineLevel="0" collapsed="false">
      <c r="M140" s="0" t="n">
        <f aca="false">3_Returns!B140/3_Returns!B139-1</f>
        <v>-0.000765257317773216</v>
      </c>
      <c r="N140" s="0" t="n">
        <f aca="false">3_Returns!C140/3_Returns!C139-1</f>
        <v>0.014967504759404</v>
      </c>
      <c r="O140" s="0" t="n">
        <f aca="false">3_Returns!D140/3_Returns!D139-1</f>
        <v>0.00220517177639556</v>
      </c>
      <c r="P140" s="0" t="n">
        <f aca="false">MAX(3_Returns!$B$31:B140)</f>
        <v>52.89</v>
      </c>
      <c r="Q140" s="0" t="n">
        <f aca="false">3_Returns!B140/P140-1</f>
        <v>-0.0124787294384573</v>
      </c>
      <c r="R140" s="0" t="n">
        <f aca="false">LN(3_Returns!B140/3_Returns!B139)</f>
        <v>-0.000765550276623223</v>
      </c>
      <c r="S140" s="0" t="n">
        <f aca="false">M140-O140</f>
        <v>-0.00297042909416878</v>
      </c>
      <c r="T140" s="0" t="n">
        <f aca="false">IF(M140&gt;O140,1,0)</f>
        <v>0</v>
      </c>
    </row>
    <row r="141" customFormat="false" ht="15" hidden="false" customHeight="false" outlineLevel="0" collapsed="false">
      <c r="M141" s="0" t="n">
        <f aca="false">3_Returns!B141/3_Returns!B140-1</f>
        <v>-0.0241240666283744</v>
      </c>
      <c r="N141" s="0" t="n">
        <f aca="false">3_Returns!C141/3_Returns!C140-1</f>
        <v>-0.00465687859776232</v>
      </c>
      <c r="O141" s="0" t="n">
        <f aca="false">3_Returns!D141/3_Returns!D140-1</f>
        <v>-0.00646182121755345</v>
      </c>
      <c r="P141" s="0" t="n">
        <f aca="false">MAX(3_Returns!$B$31:B141)</f>
        <v>52.89</v>
      </c>
      <c r="Q141" s="0" t="n">
        <f aca="false">3_Returns!B141/P141-1</f>
        <v>-0.0363017583664209</v>
      </c>
      <c r="R141" s="0" t="n">
        <f aca="false">LN(3_Returns!B141/3_Returns!B140)</f>
        <v>-0.0244198180962569</v>
      </c>
      <c r="S141" s="0" t="n">
        <f aca="false">M141-O141</f>
        <v>-0.017662245410821</v>
      </c>
      <c r="T141" s="0" t="n">
        <f aca="false">IF(M141&gt;O141,1,0)</f>
        <v>0</v>
      </c>
    </row>
    <row r="142" customFormat="false" ht="15" hidden="false" customHeight="false" outlineLevel="0" collapsed="false">
      <c r="M142" s="0" t="n">
        <f aca="false">3_Returns!B142/3_Returns!B141-1</f>
        <v>0.00549342750637627</v>
      </c>
      <c r="N142" s="0" t="n">
        <f aca="false">3_Returns!C142/3_Returns!C141-1</f>
        <v>0.0221586847748394</v>
      </c>
      <c r="O142" s="0" t="n">
        <f aca="false">3_Returns!D142/3_Returns!D141-1</f>
        <v>0.00311025276096011</v>
      </c>
      <c r="P142" s="0" t="n">
        <f aca="false">MAX(3_Returns!$B$31:B142)</f>
        <v>52.89</v>
      </c>
      <c r="Q142" s="0" t="n">
        <f aca="false">3_Returns!B142/P142-1</f>
        <v>-0.0310077519379846</v>
      </c>
      <c r="R142" s="0" t="n">
        <f aca="false">LN(3_Returns!B142/3_Returns!B141)</f>
        <v>0.00547839366656718</v>
      </c>
      <c r="S142" s="0" t="n">
        <f aca="false">M142-O142</f>
        <v>0.00238317474541616</v>
      </c>
      <c r="T142" s="0" t="n">
        <f aca="false">IF(M142&gt;O142,1,0)</f>
        <v>1</v>
      </c>
    </row>
    <row r="143" customFormat="false" ht="15" hidden="false" customHeight="false" outlineLevel="0" collapsed="false">
      <c r="M143" s="0" t="n">
        <f aca="false">3_Returns!B143/3_Returns!B142-1</f>
        <v>0.0300487804878049</v>
      </c>
      <c r="N143" s="0" t="n">
        <f aca="false">3_Returns!C143/3_Returns!C142-1</f>
        <v>-0.00286077558804843</v>
      </c>
      <c r="O143" s="0" t="n">
        <f aca="false">3_Returns!D143/3_Returns!D142-1</f>
        <v>0.00773528915208876</v>
      </c>
      <c r="P143" s="0" t="n">
        <f aca="false">MAX(3_Returns!$B$31:B143)</f>
        <v>52.89</v>
      </c>
      <c r="Q143" s="0" t="n">
        <f aca="false">3_Returns!B143/P143-1</f>
        <v>-0.00189071658158446</v>
      </c>
      <c r="R143" s="0" t="n">
        <f aca="false">LN(3_Returns!B143/3_Returns!B142)</f>
        <v>0.0296061608170073</v>
      </c>
      <c r="S143" s="0" t="n">
        <f aca="false">M143-O143</f>
        <v>0.0223134913357161</v>
      </c>
      <c r="T143" s="0" t="n">
        <f aca="false">IF(M143&gt;O143,1,0)</f>
        <v>1</v>
      </c>
    </row>
    <row r="144" customFormat="false" ht="15" hidden="false" customHeight="false" outlineLevel="0" collapsed="false">
      <c r="M144" s="0" t="n">
        <f aca="false">3_Returns!B144/3_Returns!B143-1</f>
        <v>-0.00852434173138839</v>
      </c>
      <c r="N144" s="0" t="n">
        <f aca="false">3_Returns!C144/3_Returns!C143-1</f>
        <v>0.00714058017213892</v>
      </c>
      <c r="O144" s="0" t="n">
        <f aca="false">3_Returns!D144/3_Returns!D143-1</f>
        <v>0.000678186712373075</v>
      </c>
      <c r="P144" s="0" t="n">
        <f aca="false">MAX(3_Returns!$B$31:B144)</f>
        <v>52.89</v>
      </c>
      <c r="Q144" s="0" t="n">
        <f aca="false">3_Returns!B144/P144-1</f>
        <v>-0.0103989411987142</v>
      </c>
      <c r="R144" s="0" t="n">
        <f aca="false">LN(3_Returns!B144/3_Returns!B143)</f>
        <v>-0.00856088173352493</v>
      </c>
      <c r="S144" s="0" t="n">
        <f aca="false">M144-O144</f>
        <v>-0.00920252844376146</v>
      </c>
      <c r="T144" s="0" t="n">
        <f aca="false">IF(M144&gt;O144,1,0)</f>
        <v>0</v>
      </c>
    </row>
    <row r="145" customFormat="false" ht="15" hidden="false" customHeight="false" outlineLevel="0" collapsed="false">
      <c r="M145" s="0" t="n">
        <f aca="false">3_Returns!B145/3_Returns!B144-1</f>
        <v>0.00936186473060752</v>
      </c>
      <c r="N145" s="0" t="n">
        <f aca="false">3_Returns!C145/3_Returns!C144-1</f>
        <v>-0.00569728429448635</v>
      </c>
      <c r="O145" s="0" t="n">
        <f aca="false">3_Returns!D145/3_Returns!D144-1</f>
        <v>0.00523668934342592</v>
      </c>
      <c r="P145" s="0" t="n">
        <f aca="false">MAX(3_Returns!$B$31:B145)</f>
        <v>52.89</v>
      </c>
      <c r="Q145" s="0" t="n">
        <f aca="false">3_Returns!B145/P145-1</f>
        <v>-0.00113442994895074</v>
      </c>
      <c r="R145" s="0" t="n">
        <f aca="false">LN(3_Returns!B145/3_Returns!B144)</f>
        <v>0.00931831407422462</v>
      </c>
      <c r="S145" s="0" t="n">
        <f aca="false">M145-O145</f>
        <v>0.0041251753871816</v>
      </c>
      <c r="T145" s="0" t="n">
        <f aca="false">IF(M145&gt;O145,1,0)</f>
        <v>1</v>
      </c>
    </row>
    <row r="146" customFormat="false" ht="15" hidden="false" customHeight="false" outlineLevel="0" collapsed="false">
      <c r="M146" s="0" t="n">
        <f aca="false">3_Returns!B146/3_Returns!B145-1</f>
        <v>-0.0170357751277683</v>
      </c>
      <c r="N146" s="0" t="n">
        <f aca="false">3_Returns!C146/3_Returns!C145-1</f>
        <v>0.0138154962755461</v>
      </c>
      <c r="O146" s="0" t="n">
        <f aca="false">3_Returns!D146/3_Returns!D145-1</f>
        <v>-0.00494197265740737</v>
      </c>
      <c r="P146" s="0" t="n">
        <f aca="false">MAX(3_Returns!$B$31:B146)</f>
        <v>52.89</v>
      </c>
      <c r="Q146" s="0" t="n">
        <f aca="false">3_Returns!B146/P146-1</f>
        <v>-0.0181508791832105</v>
      </c>
      <c r="R146" s="0" t="n">
        <f aca="false">LN(3_Returns!B146/3_Returns!B145)</f>
        <v>-0.0171825533199969</v>
      </c>
      <c r="S146" s="0" t="n">
        <f aca="false">M146-O146</f>
        <v>-0.012093802470361</v>
      </c>
      <c r="T146" s="0" t="n">
        <f aca="false">IF(M146&gt;O146,1,0)</f>
        <v>0</v>
      </c>
    </row>
    <row r="147" customFormat="false" ht="15" hidden="false" customHeight="false" outlineLevel="0" collapsed="false">
      <c r="M147" s="0" t="n">
        <f aca="false">3_Returns!B147/3_Returns!B146-1</f>
        <v>-0.0396687849027537</v>
      </c>
      <c r="N147" s="0" t="n">
        <f aca="false">3_Returns!C147/3_Returns!C146-1</f>
        <v>-0.0178347148957548</v>
      </c>
      <c r="O147" s="0" t="n">
        <f aca="false">3_Returns!D147/3_Returns!D146-1</f>
        <v>-0.021188970662787</v>
      </c>
      <c r="P147" s="0" t="n">
        <f aca="false">MAX(3_Returns!$B$31:B147)</f>
        <v>52.89</v>
      </c>
      <c r="Q147" s="0" t="n">
        <f aca="false">3_Returns!B147/P147-1</f>
        <v>-0.0570996407638495</v>
      </c>
      <c r="R147" s="0" t="n">
        <f aca="false">LN(3_Returns!B147/3_Returns!B146)</f>
        <v>-0.0404770382981964</v>
      </c>
      <c r="S147" s="0" t="n">
        <f aca="false">M147-O147</f>
        <v>-0.0184798142399667</v>
      </c>
      <c r="T147" s="0" t="n">
        <f aca="false">IF(M147&gt;O147,1,0)</f>
        <v>0</v>
      </c>
    </row>
    <row r="148" customFormat="false" ht="15" hidden="false" customHeight="false" outlineLevel="0" collapsed="false">
      <c r="M148" s="0" t="n">
        <f aca="false">3_Returns!B148/3_Returns!B147-1</f>
        <v>-0.00421094846601167</v>
      </c>
      <c r="N148" s="0" t="n">
        <f aca="false">3_Returns!C148/3_Returns!C147-1</f>
        <v>0.00613810741687981</v>
      </c>
      <c r="O148" s="0" t="n">
        <f aca="false">3_Returns!D148/3_Returns!D147-1</f>
        <v>0.00938843627455022</v>
      </c>
      <c r="P148" s="0" t="n">
        <f aca="false">MAX(3_Returns!$B$31:B148)</f>
        <v>52.89</v>
      </c>
      <c r="Q148" s="0" t="n">
        <f aca="false">3_Returns!B148/P148-1</f>
        <v>-0.0610701455851769</v>
      </c>
      <c r="R148" s="0" t="n">
        <f aca="false">LN(3_Returns!B148/3_Returns!B147)</f>
        <v>-0.00421983947801066</v>
      </c>
      <c r="S148" s="0" t="n">
        <f aca="false">M148-O148</f>
        <v>-0.0135993847405619</v>
      </c>
      <c r="T148" s="0" t="n">
        <f aca="false">IF(M148&gt;O148,1,0)</f>
        <v>0</v>
      </c>
    </row>
    <row r="149" customFormat="false" ht="15" hidden="false" customHeight="false" outlineLevel="0" collapsed="false">
      <c r="M149" s="0" t="n">
        <f aca="false">3_Returns!B149/3_Returns!B148-1</f>
        <v>0.027386226339106</v>
      </c>
      <c r="N149" s="0" t="n">
        <f aca="false">3_Returns!C149/3_Returns!C148-1</f>
        <v>0.0139806812404677</v>
      </c>
      <c r="O149" s="0" t="n">
        <f aca="false">3_Returns!D149/3_Returns!D148-1</f>
        <v>0.00736433161482641</v>
      </c>
      <c r="P149" s="0" t="n">
        <f aca="false">MAX(3_Returns!$B$31:B149)</f>
        <v>52.89</v>
      </c>
      <c r="Q149" s="0" t="n">
        <f aca="false">3_Returns!B149/P149-1</f>
        <v>-0.0353564000756286</v>
      </c>
      <c r="R149" s="0" t="n">
        <f aca="false">LN(3_Returns!B149/3_Returns!B148)</f>
        <v>0.0270179326336449</v>
      </c>
      <c r="S149" s="0" t="n">
        <f aca="false">M149-O149</f>
        <v>0.0200218947242796</v>
      </c>
      <c r="T149" s="0" t="n">
        <f aca="false">IF(M149&gt;O149,1,0)</f>
        <v>1</v>
      </c>
    </row>
    <row r="150" customFormat="false" ht="15" hidden="false" customHeight="false" outlineLevel="0" collapsed="false">
      <c r="M150" s="0" t="n">
        <f aca="false">3_Returns!B150/3_Returns!B149-1</f>
        <v>0.0321442571540571</v>
      </c>
      <c r="N150" s="0" t="n">
        <f aca="false">3_Returns!C150/3_Returns!C149-1</f>
        <v>0.0132238656304837</v>
      </c>
      <c r="O150" s="0" t="n">
        <f aca="false">3_Returns!D150/3_Returns!D149-1</f>
        <v>0.00181104934139253</v>
      </c>
      <c r="P150" s="0" t="n">
        <f aca="false">MAX(3_Returns!$B$31:B150)</f>
        <v>52.89</v>
      </c>
      <c r="Q150" s="0" t="n">
        <f aca="false">3_Returns!B150/P150-1</f>
        <v>-0.00434864813764424</v>
      </c>
      <c r="R150" s="0" t="n">
        <f aca="false">LN(3_Returns!B150/3_Returns!B149)</f>
        <v>0.0316384413544979</v>
      </c>
      <c r="S150" s="0" t="n">
        <f aca="false">M150-O150</f>
        <v>0.0303332078126646</v>
      </c>
      <c r="T150" s="0" t="n">
        <f aca="false">IF(M150&gt;O150,1,0)</f>
        <v>1</v>
      </c>
    </row>
    <row r="151" customFormat="false" ht="15" hidden="false" customHeight="false" outlineLevel="0" collapsed="false">
      <c r="M151" s="0" t="n">
        <f aca="false">3_Returns!B151/3_Returns!B150-1</f>
        <v>0.00740600075958975</v>
      </c>
      <c r="N151" s="0" t="n">
        <f aca="false">3_Returns!C151/3_Returns!C150-1</f>
        <v>-0.00971113997649531</v>
      </c>
      <c r="O151" s="0" t="n">
        <f aca="false">3_Returns!D151/3_Returns!D150-1</f>
        <v>0.00100718913527009</v>
      </c>
      <c r="P151" s="0" t="n">
        <f aca="false">MAX(3_Returns!$B$31:B151)</f>
        <v>53.05</v>
      </c>
      <c r="Q151" s="0" t="n">
        <f aca="false">3_Returns!B151/P151-1</f>
        <v>0</v>
      </c>
      <c r="R151" s="0" t="n">
        <f aca="false">LN(3_Returns!B151/3_Returns!B150)</f>
        <v>0.00737871099182873</v>
      </c>
      <c r="S151" s="0" t="n">
        <f aca="false">M151-O151</f>
        <v>0.00639881162431966</v>
      </c>
      <c r="T151" s="0" t="n">
        <f aca="false">IF(M151&gt;O151,1,0)</f>
        <v>1</v>
      </c>
    </row>
    <row r="152" customFormat="false" ht="15" hidden="false" customHeight="false" outlineLevel="0" collapsed="false">
      <c r="M152" s="0" t="n">
        <f aca="false">3_Returns!B152/3_Returns!B151-1</f>
        <v>0.0041470311027334</v>
      </c>
      <c r="N152" s="0" t="n">
        <f aca="false">3_Returns!C152/3_Returns!C151-1</f>
        <v>0.00437226733291696</v>
      </c>
      <c r="O152" s="0" t="n">
        <f aca="false">3_Returns!D152/3_Returns!D151-1</f>
        <v>0.0107615653772353</v>
      </c>
      <c r="P152" s="0" t="n">
        <f aca="false">MAX(3_Returns!$B$31:B152)</f>
        <v>53.27</v>
      </c>
      <c r="Q152" s="0" t="n">
        <f aca="false">3_Returns!B152/P152-1</f>
        <v>0</v>
      </c>
      <c r="R152" s="0" t="n">
        <f aca="false">LN(3_Returns!B152/3_Returns!B151)</f>
        <v>0.00413845586891576</v>
      </c>
      <c r="S152" s="0" t="n">
        <f aca="false">M152-O152</f>
        <v>-0.00661453427450187</v>
      </c>
      <c r="T152" s="0" t="n">
        <f aca="false">IF(M152&gt;O152,1,0)</f>
        <v>0</v>
      </c>
    </row>
    <row r="153" customFormat="false" ht="15" hidden="false" customHeight="false" outlineLevel="0" collapsed="false">
      <c r="M153" s="0" t="n">
        <f aca="false">3_Returns!B153/3_Returns!B152-1</f>
        <v>0.00394218134034152</v>
      </c>
      <c r="N153" s="0" t="n">
        <f aca="false">3_Returns!C153/3_Returns!C152-1</f>
        <v>-0.0161069651741294</v>
      </c>
      <c r="O153" s="0" t="n">
        <f aca="false">3_Returns!D153/3_Returns!D152-1</f>
        <v>-0.00428974354065759</v>
      </c>
      <c r="P153" s="0" t="n">
        <f aca="false">MAX(3_Returns!$B$31:B153)</f>
        <v>53.48</v>
      </c>
      <c r="Q153" s="0" t="n">
        <f aca="false">3_Returns!B153/P153-1</f>
        <v>0</v>
      </c>
      <c r="R153" s="0" t="n">
        <f aca="false">LN(3_Returns!B153/3_Returns!B152)</f>
        <v>0.00393443130483452</v>
      </c>
      <c r="S153" s="0" t="n">
        <f aca="false">M153-O153</f>
        <v>0.00823192488099911</v>
      </c>
      <c r="T153" s="0" t="n">
        <f aca="false">IF(M153&gt;O153,1,0)</f>
        <v>1</v>
      </c>
    </row>
    <row r="154" customFormat="false" ht="15" hidden="false" customHeight="false" outlineLevel="0" collapsed="false">
      <c r="M154" s="0" t="n">
        <f aca="false">3_Returns!B154/3_Returns!B153-1</f>
        <v>-0.0121540762902019</v>
      </c>
      <c r="N154" s="0" t="n">
        <f aca="false">3_Returns!C154/3_Returns!C153-1</f>
        <v>-0.00334997787750457</v>
      </c>
      <c r="O154" s="0" t="n">
        <f aca="false">3_Returns!D154/3_Returns!D153-1</f>
        <v>-0.00680279738206058</v>
      </c>
      <c r="P154" s="0" t="n">
        <f aca="false">MAX(3_Returns!$B$31:B154)</f>
        <v>53.48</v>
      </c>
      <c r="Q154" s="0" t="n">
        <f aca="false">3_Returns!B154/P154-1</f>
        <v>-0.0121540762902019</v>
      </c>
      <c r="R154" s="0" t="n">
        <f aca="false">LN(3_Returns!B154/3_Returns!B153)</f>
        <v>-0.012228541057518</v>
      </c>
      <c r="S154" s="0" t="n">
        <f aca="false">M154-O154</f>
        <v>-0.00535127890814136</v>
      </c>
      <c r="T154" s="0" t="n">
        <f aca="false">IF(M154&gt;O154,1,0)</f>
        <v>0</v>
      </c>
    </row>
    <row r="155" customFormat="false" ht="15" hidden="false" customHeight="false" outlineLevel="0" collapsed="false">
      <c r="M155" s="0" t="n">
        <f aca="false">3_Returns!B155/3_Returns!B154-1</f>
        <v>0.0083286011735757</v>
      </c>
      <c r="N155" s="0" t="n">
        <f aca="false">3_Returns!C155/3_Returns!C154-1</f>
        <v>-0.00196600710299344</v>
      </c>
      <c r="O155" s="0" t="n">
        <f aca="false">3_Returns!D155/3_Returns!D154-1</f>
        <v>-0.00158410347325166</v>
      </c>
      <c r="P155" s="0" t="n">
        <f aca="false">MAX(3_Returns!$B$31:B155)</f>
        <v>53.48</v>
      </c>
      <c r="Q155" s="0" t="n">
        <f aca="false">3_Returns!B155/P155-1</f>
        <v>-0.00392670157068054</v>
      </c>
      <c r="R155" s="0" t="n">
        <f aca="false">LN(3_Returns!B155/3_Returns!B154)</f>
        <v>0.00829410975268339</v>
      </c>
      <c r="S155" s="0" t="n">
        <f aca="false">M155-O155</f>
        <v>0.00991270464682736</v>
      </c>
      <c r="T155" s="0" t="n">
        <f aca="false">IF(M155&gt;O155,1,0)</f>
        <v>1</v>
      </c>
    </row>
    <row r="156" customFormat="false" ht="15" hidden="false" customHeight="false" outlineLevel="0" collapsed="false">
      <c r="M156" s="0" t="n">
        <f aca="false">3_Returns!B156/3_Returns!B155-1</f>
        <v>0.0187722920968649</v>
      </c>
      <c r="N156" s="0" t="n">
        <f aca="false">3_Returns!C156/3_Returns!C155-1</f>
        <v>0.00540128359916126</v>
      </c>
      <c r="O156" s="0" t="n">
        <f aca="false">3_Returns!D156/3_Returns!D155-1</f>
        <v>0.0123035511457732</v>
      </c>
      <c r="P156" s="0" t="n">
        <f aca="false">MAX(3_Returns!$B$31:B156)</f>
        <v>54.27</v>
      </c>
      <c r="Q156" s="0" t="n">
        <f aca="false">3_Returns!B156/P156-1</f>
        <v>0</v>
      </c>
      <c r="R156" s="0" t="n">
        <f aca="false">LN(3_Returns!B156/3_Returns!B155)</f>
        <v>0.0185982671464056</v>
      </c>
      <c r="S156" s="0" t="n">
        <f aca="false">M156-O156</f>
        <v>0.00646874095109173</v>
      </c>
      <c r="T156" s="0" t="n">
        <f aca="false">IF(M156&gt;O156,1,0)</f>
        <v>1</v>
      </c>
    </row>
    <row r="157" customFormat="false" ht="15" hidden="false" customHeight="false" outlineLevel="0" collapsed="false">
      <c r="M157" s="0" t="n">
        <f aca="false">3_Returns!B157/3_Returns!B156-1</f>
        <v>-0.0127142067440575</v>
      </c>
      <c r="N157" s="0" t="n">
        <f aca="false">3_Returns!C157/3_Returns!C156-1</f>
        <v>-0.0159271899886235</v>
      </c>
      <c r="O157" s="0" t="n">
        <f aca="false">3_Returns!D157/3_Returns!D156-1</f>
        <v>-0.0136638884544052</v>
      </c>
      <c r="P157" s="0" t="n">
        <f aca="false">MAX(3_Returns!$B$31:B157)</f>
        <v>54.27</v>
      </c>
      <c r="Q157" s="0" t="n">
        <f aca="false">3_Returns!B157/P157-1</f>
        <v>-0.0127142067440575</v>
      </c>
      <c r="R157" s="0" t="n">
        <f aca="false">LN(3_Returns!B157/3_Returns!B156)</f>
        <v>-0.0127957239588508</v>
      </c>
      <c r="S157" s="0" t="n">
        <f aca="false">M157-O157</f>
        <v>0.000949681710347705</v>
      </c>
      <c r="T157" s="0" t="n">
        <f aca="false">IF(M157&gt;O157,1,0)</f>
        <v>1</v>
      </c>
    </row>
    <row r="158" customFormat="false" ht="15" hidden="false" customHeight="false" outlineLevel="0" collapsed="false">
      <c r="M158" s="0" t="n">
        <f aca="false">3_Returns!B158/3_Returns!B157-1</f>
        <v>0.0225830533781262</v>
      </c>
      <c r="N158" s="0" t="n">
        <f aca="false">3_Returns!C158/3_Returns!C157-1</f>
        <v>0.00507385998715493</v>
      </c>
      <c r="O158" s="0" t="n">
        <f aca="false">3_Returns!D158/3_Returns!D157-1</f>
        <v>0.0123304761796883</v>
      </c>
      <c r="P158" s="0" t="n">
        <f aca="false">MAX(3_Returns!$B$31:B158)</f>
        <v>54.79</v>
      </c>
      <c r="Q158" s="0" t="n">
        <f aca="false">3_Returns!B158/P158-1</f>
        <v>0</v>
      </c>
      <c r="R158" s="0" t="n">
        <f aca="false">LN(3_Returns!B158/3_Returns!B157)</f>
        <v>0.0223318314338617</v>
      </c>
      <c r="S158" s="0" t="n">
        <f aca="false">M158-O158</f>
        <v>0.0102525771984379</v>
      </c>
      <c r="T158" s="0" t="n">
        <f aca="false">IF(M158&gt;O158,1,0)</f>
        <v>1</v>
      </c>
    </row>
    <row r="159" customFormat="false" ht="15" hidden="false" customHeight="false" outlineLevel="0" collapsed="false">
      <c r="M159" s="0" t="n">
        <f aca="false">3_Returns!B159/3_Returns!B158-1</f>
        <v>-0.0144186895418872</v>
      </c>
      <c r="N159" s="0" t="n">
        <f aca="false">3_Returns!C159/3_Returns!C158-1</f>
        <v>-0.0112467250303535</v>
      </c>
      <c r="O159" s="0" t="n">
        <f aca="false">3_Returns!D159/3_Returns!D158-1</f>
        <v>-0.00612530990199833</v>
      </c>
      <c r="P159" s="0" t="n">
        <f aca="false">MAX(3_Returns!$B$31:B159)</f>
        <v>54.79</v>
      </c>
      <c r="Q159" s="0" t="n">
        <f aca="false">3_Returns!B159/P159-1</f>
        <v>-0.0144186895418872</v>
      </c>
      <c r="R159" s="0" t="n">
        <f aca="false">LN(3_Returns!B159/3_Returns!B158)</f>
        <v>-0.01452364898605</v>
      </c>
      <c r="S159" s="0" t="n">
        <f aca="false">M159-O159</f>
        <v>-0.00829337963988885</v>
      </c>
      <c r="T159" s="0" t="n">
        <f aca="false">IF(M159&gt;O159,1,0)</f>
        <v>0</v>
      </c>
    </row>
    <row r="160" customFormat="false" ht="15" hidden="false" customHeight="false" outlineLevel="0" collapsed="false">
      <c r="M160" s="0" t="n">
        <f aca="false">3_Returns!B160/3_Returns!B159-1</f>
        <v>-0.0177777777777778</v>
      </c>
      <c r="N160" s="0" t="n">
        <f aca="false">3_Returns!C160/3_Returns!C159-1</f>
        <v>-0.0024558909067407</v>
      </c>
      <c r="O160" s="0" t="n">
        <f aca="false">3_Returns!D160/3_Returns!D159-1</f>
        <v>-0.0107773144045457</v>
      </c>
      <c r="P160" s="0" t="n">
        <f aca="false">MAX(3_Returns!$B$31:B160)</f>
        <v>54.79</v>
      </c>
      <c r="Q160" s="0" t="n">
        <f aca="false">3_Returns!B160/P160-1</f>
        <v>-0.0319401350611426</v>
      </c>
      <c r="R160" s="0" t="n">
        <f aca="false">LN(3_Returns!B160/3_Returns!B159)</f>
        <v>-0.0179377006866673</v>
      </c>
      <c r="S160" s="0" t="n">
        <f aca="false">M160-O160</f>
        <v>-0.00700046337323212</v>
      </c>
      <c r="T160" s="0" t="n">
        <f aca="false">IF(M160&gt;O160,1,0)</f>
        <v>0</v>
      </c>
    </row>
    <row r="161" customFormat="false" ht="15" hidden="false" customHeight="false" outlineLevel="0" collapsed="false">
      <c r="M161" s="0" t="n">
        <f aca="false">3_Returns!B161/3_Returns!B160-1</f>
        <v>-0.00584464555052799</v>
      </c>
      <c r="N161" s="0" t="n">
        <f aca="false">3_Returns!C161/3_Returns!C160-1</f>
        <v>0.0235827664399093</v>
      </c>
      <c r="O161" s="0" t="n">
        <f aca="false">3_Returns!D161/3_Returns!D160-1</f>
        <v>0.0130180727984548</v>
      </c>
      <c r="P161" s="0" t="n">
        <f aca="false">MAX(3_Returns!$B$31:B161)</f>
        <v>54.79</v>
      </c>
      <c r="Q161" s="0" t="n">
        <f aca="false">3_Returns!B161/P161-1</f>
        <v>-0.0375981018434022</v>
      </c>
      <c r="R161" s="0" t="n">
        <f aca="false">LN(3_Returns!B161/3_Returns!B160)</f>
        <v>-0.00586179233522874</v>
      </c>
      <c r="S161" s="0" t="n">
        <f aca="false">M161-O161</f>
        <v>-0.0188627183489828</v>
      </c>
      <c r="T161" s="0" t="n">
        <f aca="false">IF(M161&gt;O161,1,0)</f>
        <v>0</v>
      </c>
    </row>
    <row r="162" customFormat="false" ht="15" hidden="false" customHeight="false" outlineLevel="0" collapsed="false">
      <c r="M162" s="0" t="n">
        <f aca="false">3_Returns!B162/3_Returns!B161-1</f>
        <v>-0.00625829698463865</v>
      </c>
      <c r="N162" s="0" t="n">
        <f aca="false">3_Returns!C162/3_Returns!C161-1</f>
        <v>-0.0186087727071333</v>
      </c>
      <c r="O162" s="0" t="n">
        <f aca="false">3_Returns!D162/3_Returns!D161-1</f>
        <v>-0.000659631665529736</v>
      </c>
      <c r="P162" s="0" t="n">
        <f aca="false">MAX(3_Returns!$B$31:B162)</f>
        <v>54.79</v>
      </c>
      <c r="Q162" s="0" t="n">
        <f aca="false">3_Returns!B162/P162-1</f>
        <v>-0.0436210987406461</v>
      </c>
      <c r="R162" s="0" t="n">
        <f aca="false">LN(3_Returns!B162/3_Returns!B161)</f>
        <v>-0.00627796221538185</v>
      </c>
      <c r="S162" s="0" t="n">
        <f aca="false">M162-O162</f>
        <v>-0.00559866531910891</v>
      </c>
      <c r="T162" s="0" t="n">
        <f aca="false">IF(M162&gt;O162,1,0)</f>
        <v>0</v>
      </c>
    </row>
    <row r="163" customFormat="false" ht="15" hidden="false" customHeight="false" outlineLevel="0" collapsed="false">
      <c r="M163" s="0" t="n">
        <f aca="false">3_Returns!B163/3_Returns!B162-1</f>
        <v>-0.0330152671755725</v>
      </c>
      <c r="N163" s="0" t="n">
        <f aca="false">3_Returns!C163/3_Returns!C162-1</f>
        <v>-0.00993227990970669</v>
      </c>
      <c r="O163" s="0" t="n">
        <f aca="false">3_Returns!D163/3_Returns!D162-1</f>
        <v>-0.0127869926637801</v>
      </c>
      <c r="P163" s="0" t="n">
        <f aca="false">MAX(3_Returns!$B$31:B163)</f>
        <v>54.79</v>
      </c>
      <c r="Q163" s="0" t="n">
        <f aca="false">3_Returns!B163/P163-1</f>
        <v>-0.0751962036868041</v>
      </c>
      <c r="R163" s="0" t="n">
        <f aca="false">LN(3_Returns!B163/3_Returns!B162)</f>
        <v>-0.033572571839178</v>
      </c>
      <c r="S163" s="0" t="n">
        <f aca="false">M163-O163</f>
        <v>-0.0202282745117923</v>
      </c>
      <c r="T163" s="0" t="n">
        <f aca="false">IF(M163&gt;O163,1,0)</f>
        <v>0</v>
      </c>
    </row>
    <row r="164" customFormat="false" ht="15" hidden="false" customHeight="false" outlineLevel="0" collapsed="false">
      <c r="M164" s="0" t="n">
        <f aca="false">3_Returns!B164/3_Returns!B163-1</f>
        <v>-0.0055259522399842</v>
      </c>
      <c r="N164" s="0" t="n">
        <f aca="false">3_Returns!C164/3_Returns!C163-1</f>
        <v>-0.00618852192039598</v>
      </c>
      <c r="O164" s="0" t="n">
        <f aca="false">3_Returns!D164/3_Returns!D163-1</f>
        <v>-0.00329915959277838</v>
      </c>
      <c r="P164" s="0" t="n">
        <f aca="false">MAX(3_Returns!$B$31:B164)</f>
        <v>54.79</v>
      </c>
      <c r="Q164" s="0" t="n">
        <f aca="false">3_Returns!B164/P164-1</f>
        <v>-0.0803066252965869</v>
      </c>
      <c r="R164" s="0" t="n">
        <f aca="false">LN(3_Returns!B164/3_Returns!B163)</f>
        <v>-0.00554127679531166</v>
      </c>
      <c r="S164" s="0" t="n">
        <f aca="false">M164-O164</f>
        <v>-0.00222679264720582</v>
      </c>
      <c r="T164" s="0" t="n">
        <f aca="false">IF(M164&gt;O164,1,0)</f>
        <v>0</v>
      </c>
    </row>
    <row r="165" customFormat="false" ht="15" hidden="false" customHeight="false" outlineLevel="0" collapsed="false">
      <c r="M165" s="0" t="n">
        <f aca="false">3_Returns!B165/3_Returns!B164-1</f>
        <v>-0.000396904147648369</v>
      </c>
      <c r="N165" s="0" t="n">
        <f aca="false">3_Returns!C165/3_Returns!C164-1</f>
        <v>0.0115364446775039</v>
      </c>
      <c r="O165" s="0" t="n">
        <f aca="false">3_Returns!D165/3_Returns!D164-1</f>
        <v>0.00970173371156613</v>
      </c>
      <c r="P165" s="0" t="n">
        <f aca="false">MAX(3_Returns!$B$31:B165)</f>
        <v>54.79</v>
      </c>
      <c r="Q165" s="0" t="n">
        <f aca="false">3_Returns!B165/P165-1</f>
        <v>-0.0806716554115715</v>
      </c>
      <c r="R165" s="0" t="n">
        <f aca="false">LN(3_Returns!B165/3_Returns!B164)</f>
        <v>-0.000396982934947606</v>
      </c>
      <c r="S165" s="0" t="n">
        <f aca="false">M165-O165</f>
        <v>-0.0100986378592145</v>
      </c>
      <c r="T165" s="0" t="n">
        <f aca="false">IF(M165&gt;O165,1,0)</f>
        <v>0</v>
      </c>
    </row>
    <row r="166" customFormat="false" ht="15" hidden="false" customHeight="false" outlineLevel="0" collapsed="false">
      <c r="M166" s="0" t="n">
        <f aca="false">3_Returns!B166/3_Returns!B165-1</f>
        <v>0.0162795314671431</v>
      </c>
      <c r="N166" s="0" t="n">
        <f aca="false">3_Returns!C166/3_Returns!C165-1</f>
        <v>-0.000259201658890595</v>
      </c>
      <c r="O166" s="0" t="n">
        <f aca="false">3_Returns!D166/3_Returns!D165-1</f>
        <v>0.0123323278663083</v>
      </c>
      <c r="P166" s="0" t="n">
        <f aca="false">MAX(3_Returns!$B$31:B166)</f>
        <v>54.79</v>
      </c>
      <c r="Q166" s="0" t="n">
        <f aca="false">3_Returns!B166/P166-1</f>
        <v>-0.0657054206972075</v>
      </c>
      <c r="R166" s="0" t="n">
        <f aca="false">LN(3_Returns!B166/3_Returns!B165)</f>
        <v>0.0161484407119327</v>
      </c>
      <c r="S166" s="0" t="n">
        <f aca="false">M166-O166</f>
        <v>0.00394720360083478</v>
      </c>
      <c r="T166" s="0" t="n">
        <f aca="false">IF(M166&gt;O166,1,0)</f>
        <v>1</v>
      </c>
    </row>
    <row r="167" customFormat="false" ht="15" hidden="false" customHeight="false" outlineLevel="0" collapsed="false">
      <c r="M167" s="0" t="n">
        <f aca="false">3_Returns!B167/3_Returns!B166-1</f>
        <v>0.00117210392654821</v>
      </c>
      <c r="N167" s="0" t="n">
        <f aca="false">3_Returns!C167/3_Returns!C166-1</f>
        <v>-0.00408348457350272</v>
      </c>
      <c r="O167" s="0" t="n">
        <f aca="false">3_Returns!D167/3_Returns!D166-1</f>
        <v>-0.00398724464947542</v>
      </c>
      <c r="P167" s="0" t="n">
        <f aca="false">MAX(3_Returns!$B$31:B167)</f>
        <v>54.79</v>
      </c>
      <c r="Q167" s="0" t="n">
        <f aca="false">3_Returns!B167/P167-1</f>
        <v>-0.0646103303522541</v>
      </c>
      <c r="R167" s="0" t="n">
        <f aca="false">LN(3_Returns!B167/3_Returns!B166)</f>
        <v>0.00117141754902573</v>
      </c>
      <c r="S167" s="0" t="n">
        <f aca="false">M167-O167</f>
        <v>0.00515934857602363</v>
      </c>
      <c r="T167" s="0" t="n">
        <f aca="false">IF(M167&gt;O167,1,0)</f>
        <v>1</v>
      </c>
    </row>
    <row r="168" customFormat="false" ht="15" hidden="false" customHeight="false" outlineLevel="0" collapsed="false">
      <c r="M168" s="0" t="n">
        <f aca="false">3_Returns!B168/3_Returns!B167-1</f>
        <v>-0.0122926829268293</v>
      </c>
      <c r="N168" s="0" t="n">
        <f aca="false">3_Returns!C168/3_Returns!C167-1</f>
        <v>-0.00663846404165314</v>
      </c>
      <c r="O168" s="0" t="n">
        <f aca="false">3_Returns!D168/3_Returns!D167-1</f>
        <v>0.004413627254509</v>
      </c>
      <c r="P168" s="0" t="n">
        <f aca="false">MAX(3_Returns!$B$31:B168)</f>
        <v>54.79</v>
      </c>
      <c r="Q168" s="0" t="n">
        <f aca="false">3_Returns!B168/P168-1</f>
        <v>-0.0761087789742654</v>
      </c>
      <c r="R168" s="0" t="n">
        <f aca="false">LN(3_Returns!B168/3_Returns!B167)</f>
        <v>-0.0123688629015396</v>
      </c>
      <c r="S168" s="0" t="n">
        <f aca="false">M168-O168</f>
        <v>-0.0167063101813383</v>
      </c>
      <c r="T168" s="0" t="n">
        <f aca="false">IF(M168&gt;O168,1,0)</f>
        <v>0</v>
      </c>
    </row>
    <row r="169" customFormat="false" ht="15" hidden="false" customHeight="false" outlineLevel="0" collapsed="false">
      <c r="M169" s="0" t="n">
        <f aca="false">3_Returns!B169/3_Returns!B168-1</f>
        <v>-0.00118530225207414</v>
      </c>
      <c r="N169" s="0" t="n">
        <f aca="false">3_Returns!C169/3_Returns!C168-1</f>
        <v>0.0119897792046126</v>
      </c>
      <c r="O169" s="0" t="n">
        <f aca="false">3_Returns!D169/3_Returns!D168-1</f>
        <v>0.00751472858070912</v>
      </c>
      <c r="P169" s="0" t="n">
        <f aca="false">MAX(3_Returns!$B$31:B169)</f>
        <v>54.79</v>
      </c>
      <c r="Q169" s="0" t="n">
        <f aca="false">3_Returns!B169/P169-1</f>
        <v>-0.0772038693192187</v>
      </c>
      <c r="R169" s="0" t="n">
        <f aca="false">LN(3_Returns!B169/3_Returns!B168)</f>
        <v>-0.00118600527837587</v>
      </c>
      <c r="S169" s="0" t="n">
        <f aca="false">M169-O169</f>
        <v>-0.00870003083278326</v>
      </c>
      <c r="T169" s="0" t="n">
        <f aca="false">IF(M169&gt;O169,1,0)</f>
        <v>0</v>
      </c>
    </row>
    <row r="170" customFormat="false" ht="15" hidden="false" customHeight="false" outlineLevel="0" collapsed="false">
      <c r="M170" s="0" t="n">
        <f aca="false">3_Returns!B170/3_Returns!B169-1</f>
        <v>-0.0189873417721519</v>
      </c>
      <c r="N170" s="0" t="n">
        <f aca="false">3_Returns!C170/3_Returns!C169-1</f>
        <v>-0.00330182571539572</v>
      </c>
      <c r="O170" s="0" t="n">
        <f aca="false">3_Returns!D170/3_Returns!D169-1</f>
        <v>-0.00618018380541519</v>
      </c>
      <c r="P170" s="0" t="n">
        <f aca="false">MAX(3_Returns!$B$31:B170)</f>
        <v>54.79</v>
      </c>
      <c r="Q170" s="0" t="n">
        <f aca="false">3_Returns!B170/P170-1</f>
        <v>-0.0947253148384741</v>
      </c>
      <c r="R170" s="0" t="n">
        <f aca="false">LN(3_Returns!B170/3_Returns!B169)</f>
        <v>-0.0191699161077202</v>
      </c>
      <c r="S170" s="0" t="n">
        <f aca="false">M170-O170</f>
        <v>-0.0128071579667367</v>
      </c>
      <c r="T170" s="0" t="n">
        <f aca="false">IF(M170&gt;O170,1,0)</f>
        <v>0</v>
      </c>
    </row>
    <row r="171" customFormat="false" ht="15" hidden="false" customHeight="false" outlineLevel="0" collapsed="false">
      <c r="M171" s="0" t="n">
        <f aca="false">3_Returns!B171/3_Returns!B170-1</f>
        <v>0.0143145161290323</v>
      </c>
      <c r="N171" s="0" t="n">
        <f aca="false">3_Returns!C171/3_Returns!C170-1</f>
        <v>0.00129912309191305</v>
      </c>
      <c r="O171" s="0" t="n">
        <f aca="false">3_Returns!D171/3_Returns!D170-1</f>
        <v>0.00389600038258586</v>
      </c>
      <c r="P171" s="0" t="n">
        <f aca="false">MAX(3_Returns!$B$31:B171)</f>
        <v>54.79</v>
      </c>
      <c r="Q171" s="0" t="n">
        <f aca="false">3_Returns!B171/P171-1</f>
        <v>-0.0817667457565249</v>
      </c>
      <c r="R171" s="0" t="n">
        <f aca="false">LN(3_Returns!B171/3_Returns!B170)</f>
        <v>0.0142130307723455</v>
      </c>
      <c r="S171" s="0" t="n">
        <f aca="false">M171-O171</f>
        <v>0.0104185157464465</v>
      </c>
      <c r="T171" s="0" t="n">
        <f aca="false">IF(M171&gt;O171,1,0)</f>
        <v>1</v>
      </c>
    </row>
    <row r="172" customFormat="false" ht="15" hidden="false" customHeight="false" outlineLevel="0" collapsed="false">
      <c r="M172" s="0" t="n">
        <f aca="false">3_Returns!B172/3_Returns!B171-1</f>
        <v>0.0216656728284634</v>
      </c>
      <c r="N172" s="0" t="n">
        <f aca="false">3_Returns!C172/3_Returns!C171-1</f>
        <v>0.00356795329224768</v>
      </c>
      <c r="O172" s="0" t="n">
        <f aca="false">3_Returns!D172/3_Returns!D171-1</f>
        <v>-4.76376489866315E-006</v>
      </c>
      <c r="P172" s="0" t="n">
        <f aca="false">MAX(3_Returns!$B$31:B172)</f>
        <v>54.79</v>
      </c>
      <c r="Q172" s="0" t="n">
        <f aca="false">3_Returns!B172/P172-1</f>
        <v>-0.0618726044898704</v>
      </c>
      <c r="R172" s="0" t="n">
        <f aca="false">LN(3_Returns!B172/3_Returns!B171)</f>
        <v>0.0214343079578922</v>
      </c>
      <c r="S172" s="0" t="n">
        <f aca="false">M172-O172</f>
        <v>0.0216704365933621</v>
      </c>
      <c r="T172" s="0" t="n">
        <f aca="false">IF(M172&gt;O172,1,0)</f>
        <v>1</v>
      </c>
    </row>
    <row r="173" customFormat="false" ht="15" hidden="false" customHeight="false" outlineLevel="0" collapsed="false">
      <c r="M173" s="0" t="n">
        <f aca="false">3_Returns!B173/3_Returns!B172-1</f>
        <v>0.00486381322957197</v>
      </c>
      <c r="N173" s="0" t="n">
        <f aca="false">3_Returns!C173/3_Returns!C172-1</f>
        <v>-0.00575307045895268</v>
      </c>
      <c r="O173" s="0" t="n">
        <f aca="false">3_Returns!D173/3_Returns!D172-1</f>
        <v>-0.00508454929011637</v>
      </c>
      <c r="P173" s="0" t="n">
        <f aca="false">MAX(3_Returns!$B$31:B173)</f>
        <v>54.79</v>
      </c>
      <c r="Q173" s="0" t="n">
        <f aca="false">3_Returns!B173/P173-1</f>
        <v>-0.0573097280525644</v>
      </c>
      <c r="R173" s="0" t="n">
        <f aca="false">LN(3_Returns!B173/3_Returns!B172)</f>
        <v>0.00485202310452811</v>
      </c>
      <c r="S173" s="0" t="n">
        <f aca="false">M173-O173</f>
        <v>0.00994836251968834</v>
      </c>
      <c r="T173" s="0" t="n">
        <f aca="false">IF(M173&gt;O173,1,0)</f>
        <v>1</v>
      </c>
    </row>
    <row r="174" customFormat="false" ht="15" hidden="false" customHeight="false" outlineLevel="0" collapsed="false">
      <c r="M174" s="0" t="n">
        <f aca="false">3_Returns!B174/3_Returns!B173-1</f>
        <v>-0.00987415295256533</v>
      </c>
      <c r="N174" s="0" t="n">
        <f aca="false">3_Returns!C174/3_Returns!C173-1</f>
        <v>-0.0178792016123789</v>
      </c>
      <c r="O174" s="0" t="n">
        <f aca="false">3_Returns!D174/3_Returns!D173-1</f>
        <v>-0.00464289305385535</v>
      </c>
      <c r="P174" s="0" t="n">
        <f aca="false">MAX(3_Returns!$B$31:B174)</f>
        <v>54.79</v>
      </c>
      <c r="Q174" s="0" t="n">
        <f aca="false">3_Returns!B174/P174-1</f>
        <v>-0.0666179959846687</v>
      </c>
      <c r="R174" s="0" t="n">
        <f aca="false">LN(3_Returns!B174/3_Returns!B173)</f>
        <v>-0.00992322570260698</v>
      </c>
      <c r="S174" s="0" t="n">
        <f aca="false">M174-O174</f>
        <v>-0.00523125989870998</v>
      </c>
      <c r="T174" s="0" t="n">
        <f aca="false">IF(M174&gt;O174,1,0)</f>
        <v>0</v>
      </c>
    </row>
    <row r="175" customFormat="false" ht="15" hidden="false" customHeight="false" outlineLevel="0" collapsed="false">
      <c r="M175" s="0" t="n">
        <f aca="false">3_Returns!B175/3_Returns!B174-1</f>
        <v>0.0199452483378959</v>
      </c>
      <c r="N175" s="0" t="n">
        <f aca="false">3_Returns!C175/3_Returns!C174-1</f>
        <v>0.00648748841519908</v>
      </c>
      <c r="O175" s="0" t="n">
        <f aca="false">3_Returns!D175/3_Returns!D174-1</f>
        <v>0.000992559810147009</v>
      </c>
      <c r="P175" s="0" t="n">
        <f aca="false">MAX(3_Returns!$B$31:B175)</f>
        <v>54.79</v>
      </c>
      <c r="Q175" s="0" t="n">
        <f aca="false">3_Returns!B175/P175-1</f>
        <v>-0.04800146012046</v>
      </c>
      <c r="R175" s="0" t="n">
        <f aca="false">LN(3_Returns!B175/3_Returns!B174)</f>
        <v>0.0197489477553569</v>
      </c>
      <c r="S175" s="0" t="n">
        <f aca="false">M175-O175</f>
        <v>0.0189526885277489</v>
      </c>
      <c r="T175" s="0" t="n">
        <f aca="false">IF(M175&gt;O175,1,0)</f>
        <v>1</v>
      </c>
    </row>
    <row r="176" customFormat="false" ht="15" hidden="false" customHeight="false" outlineLevel="0" collapsed="false">
      <c r="M176" s="0" t="n">
        <f aca="false">3_Returns!B176/3_Returns!B175-1</f>
        <v>-0.018213190184049</v>
      </c>
      <c r="N176" s="0" t="n">
        <f aca="false">3_Returns!C176/3_Returns!C175-1</f>
        <v>0.00322283609576424</v>
      </c>
      <c r="O176" s="0" t="n">
        <f aca="false">3_Returns!D176/3_Returns!D175-1</f>
        <v>0.000618333095718127</v>
      </c>
      <c r="P176" s="0" t="n">
        <f aca="false">MAX(3_Returns!$B$31:B176)</f>
        <v>54.79</v>
      </c>
      <c r="Q176" s="0" t="n">
        <f aca="false">3_Returns!B176/P176-1</f>
        <v>-0.065340390582223</v>
      </c>
      <c r="R176" s="0" t="n">
        <f aca="false">LN(3_Returns!B176/3_Returns!B175)</f>
        <v>-0.0183810921439385</v>
      </c>
      <c r="S176" s="0" t="n">
        <f aca="false">M176-O176</f>
        <v>-0.0188315232797671</v>
      </c>
      <c r="T176" s="0" t="n">
        <f aca="false">IF(M176&gt;O176,1,0)</f>
        <v>0</v>
      </c>
    </row>
    <row r="177" customFormat="false" ht="15" hidden="false" customHeight="false" outlineLevel="0" collapsed="false">
      <c r="M177" s="0" t="n">
        <f aca="false">3_Returns!B177/3_Returns!B176-1</f>
        <v>0.0126928334309704</v>
      </c>
      <c r="N177" s="0" t="n">
        <f aca="false">3_Returns!C177/3_Returns!C176-1</f>
        <v>-0.00511374811512488</v>
      </c>
      <c r="O177" s="0" t="n">
        <f aca="false">3_Returns!D177/3_Returns!D176-1</f>
        <v>-0.00538225712204532</v>
      </c>
      <c r="P177" s="0" t="n">
        <f aca="false">MAX(3_Returns!$B$31:B177)</f>
        <v>54.79</v>
      </c>
      <c r="Q177" s="0" t="n">
        <f aca="false">3_Returns!B177/P177-1</f>
        <v>-0.0534769118452272</v>
      </c>
      <c r="R177" s="0" t="n">
        <f aca="false">LN(3_Returns!B177/3_Returns!B176)</f>
        <v>0.0126129546360593</v>
      </c>
      <c r="S177" s="0" t="n">
        <f aca="false">M177-O177</f>
        <v>0.0180750905530157</v>
      </c>
      <c r="T177" s="0" t="n">
        <f aca="false">IF(M177&gt;O177,1,0)</f>
        <v>1</v>
      </c>
    </row>
    <row r="178" customFormat="false" ht="15" hidden="false" customHeight="false" outlineLevel="0" collapsed="false">
      <c r="M178" s="0" t="n">
        <f aca="false">3_Returns!B178/3_Returns!B177-1</f>
        <v>-0.0129193983802546</v>
      </c>
      <c r="N178" s="0" t="n">
        <f aca="false">3_Returns!C178/3_Returns!C177-1</f>
        <v>0.00658978583196057</v>
      </c>
      <c r="O178" s="0" t="n">
        <f aca="false">3_Returns!D178/3_Returns!D177-1</f>
        <v>-0.00397564394969763</v>
      </c>
      <c r="P178" s="0" t="n">
        <f aca="false">MAX(3_Returns!$B$31:B178)</f>
        <v>54.79</v>
      </c>
      <c r="Q178" s="0" t="n">
        <f aca="false">3_Returns!B178/P178-1</f>
        <v>-0.0657054206972075</v>
      </c>
      <c r="R178" s="0" t="n">
        <f aca="false">LN(3_Returns!B178/3_Returns!B177)</f>
        <v>-0.0130035796410265</v>
      </c>
      <c r="S178" s="0" t="n">
        <f aca="false">M178-O178</f>
        <v>-0.00894375443055695</v>
      </c>
      <c r="T178" s="0" t="n">
        <f aca="false">IF(M178&gt;O178,1,0)</f>
        <v>0</v>
      </c>
    </row>
    <row r="179" customFormat="false" ht="15" hidden="false" customHeight="false" outlineLevel="0" collapsed="false">
      <c r="M179" s="0" t="n">
        <f aca="false">3_Returns!B179/3_Returns!B178-1</f>
        <v>-0.0209025200234421</v>
      </c>
      <c r="N179" s="0" t="n">
        <f aca="false">3_Returns!C179/3_Returns!C178-1</f>
        <v>0.0197054009819966</v>
      </c>
      <c r="O179" s="0" t="n">
        <f aca="false">3_Returns!D179/3_Returns!D178-1</f>
        <v>0.0115398351359781</v>
      </c>
      <c r="P179" s="0" t="n">
        <f aca="false">MAX(3_Returns!$B$31:B179)</f>
        <v>54.79</v>
      </c>
      <c r="Q179" s="0" t="n">
        <f aca="false">3_Returns!B179/P179-1</f>
        <v>-0.0852345318488775</v>
      </c>
      <c r="R179" s="0" t="n">
        <f aca="false">LN(3_Returns!B179/3_Returns!B178)</f>
        <v>-0.0211240704416243</v>
      </c>
      <c r="S179" s="0" t="n">
        <f aca="false">M179-O179</f>
        <v>-0.0324423551594202</v>
      </c>
      <c r="T179" s="0" t="n">
        <f aca="false">IF(M179&gt;O179,1,0)</f>
        <v>0</v>
      </c>
    </row>
    <row r="180" customFormat="false" ht="15" hidden="false" customHeight="false" outlineLevel="0" collapsed="false">
      <c r="M180" s="0" t="n">
        <f aca="false">3_Returns!B180/3_Returns!B179-1</f>
        <v>0.0365123703112531</v>
      </c>
      <c r="N180" s="0" t="n">
        <f aca="false">3_Returns!C180/3_Returns!C179-1</f>
        <v>-0.00847457627118642</v>
      </c>
      <c r="O180" s="0" t="n">
        <f aca="false">3_Returns!D180/3_Returns!D179-1</f>
        <v>0.00247142761289165</v>
      </c>
      <c r="P180" s="0" t="n">
        <f aca="false">MAX(3_Returns!$B$31:B180)</f>
        <v>54.79</v>
      </c>
      <c r="Q180" s="0" t="n">
        <f aca="false">3_Returns!B180/P180-1</f>
        <v>-0.051834276327797</v>
      </c>
      <c r="R180" s="0" t="n">
        <f aca="false">LN(3_Returns!B180/3_Returns!B179)</f>
        <v>0.035861587517369</v>
      </c>
      <c r="S180" s="0" t="n">
        <f aca="false">M180-O180</f>
        <v>0.0340409426983614</v>
      </c>
      <c r="T180" s="0" t="n">
        <f aca="false">IF(M180&gt;O180,1,0)</f>
        <v>1</v>
      </c>
    </row>
    <row r="181" customFormat="false" ht="15" hidden="false" customHeight="false" outlineLevel="0" collapsed="false">
      <c r="M181" s="0" t="n">
        <f aca="false">3_Returns!B181/3_Returns!B180-1</f>
        <v>0.0311838306063521</v>
      </c>
      <c r="N181" s="0" t="n">
        <f aca="false">3_Returns!C181/3_Returns!C180-1</f>
        <v>-0.000841750841750866</v>
      </c>
      <c r="O181" s="0" t="n">
        <f aca="false">3_Returns!D181/3_Returns!D180-1</f>
        <v>0.00923982591262806</v>
      </c>
      <c r="P181" s="0" t="n">
        <f aca="false">MAX(3_Returns!$B$31:B181)</f>
        <v>54.79</v>
      </c>
      <c r="Q181" s="0" t="n">
        <f aca="false">3_Returns!B181/P181-1</f>
        <v>-0.0222668370140536</v>
      </c>
      <c r="R181" s="0" t="n">
        <f aca="false">LN(3_Returns!B181/3_Returns!B180)</f>
        <v>0.0307074923476324</v>
      </c>
      <c r="S181" s="0" t="n">
        <f aca="false">M181-O181</f>
        <v>0.021944004693724</v>
      </c>
      <c r="T181" s="0" t="n">
        <f aca="false">IF(M181&gt;O181,1,0)</f>
        <v>1</v>
      </c>
    </row>
    <row r="182" customFormat="false" ht="15" hidden="false" customHeight="false" outlineLevel="0" collapsed="false">
      <c r="M182" s="0" t="n">
        <f aca="false">3_Returns!B182/3_Returns!B181-1</f>
        <v>0.00205338809034905</v>
      </c>
      <c r="N182" s="0" t="n">
        <f aca="false">3_Returns!C182/3_Returns!C181-1</f>
        <v>0.0234592703000454</v>
      </c>
      <c r="O182" s="0" t="n">
        <f aca="false">3_Returns!D182/3_Returns!D181-1</f>
        <v>0.0124301475290503</v>
      </c>
      <c r="P182" s="0" t="n">
        <f aca="false">MAX(3_Returns!$B$31:B182)</f>
        <v>54.79</v>
      </c>
      <c r="Q182" s="0" t="n">
        <f aca="false">3_Returns!B182/P182-1</f>
        <v>-0.020259171381639</v>
      </c>
      <c r="R182" s="0" t="n">
        <f aca="false">LN(3_Returns!B182/3_Returns!B181)</f>
        <v>0.00205128277055736</v>
      </c>
      <c r="S182" s="0" t="n">
        <f aca="false">M182-O182</f>
        <v>-0.0103767594387012</v>
      </c>
      <c r="T182" s="0" t="n">
        <f aca="false">IF(M182&gt;O182,1,0)</f>
        <v>0</v>
      </c>
    </row>
    <row r="183" customFormat="false" ht="15" hidden="false" customHeight="false" outlineLevel="0" collapsed="false">
      <c r="M183" s="0" t="n">
        <f aca="false">3_Returns!B183/3_Returns!B182-1</f>
        <v>0.00987332339791358</v>
      </c>
      <c r="N183" s="0" t="n">
        <f aca="false">3_Returns!C183/3_Returns!C182-1</f>
        <v>0.0178560121572848</v>
      </c>
      <c r="O183" s="0" t="n">
        <f aca="false">3_Returns!D183/3_Returns!D182-1</f>
        <v>0.00625262215540001</v>
      </c>
      <c r="P183" s="0" t="n">
        <f aca="false">MAX(3_Returns!$B$31:B183)</f>
        <v>54.79</v>
      </c>
      <c r="Q183" s="0" t="n">
        <f aca="false">3_Returns!B183/P183-1</f>
        <v>-0.0105858733345501</v>
      </c>
      <c r="R183" s="0" t="n">
        <f aca="false">LN(3_Returns!B183/3_Returns!B182)</f>
        <v>0.00982490060882048</v>
      </c>
      <c r="S183" s="0" t="n">
        <f aca="false">M183-O183</f>
        <v>0.00362070124251357</v>
      </c>
      <c r="T183" s="0" t="n">
        <f aca="false">IF(M183&gt;O183,1,0)</f>
        <v>1</v>
      </c>
    </row>
    <row r="184" customFormat="false" ht="15" hidden="false" customHeight="false" outlineLevel="0" collapsed="false">
      <c r="M184" s="0" t="n">
        <f aca="false">3_Returns!B184/3_Returns!B183-1</f>
        <v>0.0252720900202914</v>
      </c>
      <c r="N184" s="0" t="n">
        <f aca="false">3_Returns!C184/3_Returns!C183-1</f>
        <v>0.00939346811819597</v>
      </c>
      <c r="O184" s="0" t="n">
        <f aca="false">3_Returns!D184/3_Returns!D183-1</f>
        <v>0.0232059270281162</v>
      </c>
      <c r="P184" s="0" t="n">
        <f aca="false">MAX(3_Returns!$B$31:B184)</f>
        <v>55.58</v>
      </c>
      <c r="Q184" s="0" t="n">
        <f aca="false">3_Returns!B184/P184-1</f>
        <v>0</v>
      </c>
      <c r="R184" s="0" t="n">
        <f aca="false">LN(3_Returns!B184/3_Returns!B183)</f>
        <v>0.0249580310421108</v>
      </c>
      <c r="S184" s="0" t="n">
        <f aca="false">M184-O184</f>
        <v>0.00206616299217521</v>
      </c>
      <c r="T184" s="0" t="n">
        <f aca="false">IF(M184&gt;O184,1,0)</f>
        <v>1</v>
      </c>
    </row>
    <row r="185" customFormat="false" ht="15" hidden="false" customHeight="false" outlineLevel="0" collapsed="false">
      <c r="M185" s="0" t="n">
        <f aca="false">3_Returns!B185/3_Returns!B184-1</f>
        <v>-0.00809643756747025</v>
      </c>
      <c r="N185" s="0" t="n">
        <f aca="false">3_Returns!C185/3_Returns!C184-1</f>
        <v>-0.0166399605571305</v>
      </c>
      <c r="O185" s="0" t="n">
        <f aca="false">3_Returns!D185/3_Returns!D184-1</f>
        <v>-0.0080011876052789</v>
      </c>
      <c r="P185" s="0" t="n">
        <f aca="false">MAX(3_Returns!$B$31:B185)</f>
        <v>55.58</v>
      </c>
      <c r="Q185" s="0" t="n">
        <f aca="false">3_Returns!B185/P185-1</f>
        <v>-0.00809643756747025</v>
      </c>
      <c r="R185" s="0" t="n">
        <f aca="false">LN(3_Returns!B185/3_Returns!B184)</f>
        <v>-0.00812939171276538</v>
      </c>
      <c r="S185" s="0" t="n">
        <f aca="false">M185-O185</f>
        <v>-9.52499621913461E-005</v>
      </c>
      <c r="T185" s="0" t="n">
        <f aca="false">IF(M185&gt;O185,1,0)</f>
        <v>0</v>
      </c>
    </row>
    <row r="186" customFormat="false" ht="15" hidden="false" customHeight="false" outlineLevel="0" collapsed="false">
      <c r="M186" s="0" t="n">
        <f aca="false">3_Returns!B186/3_Returns!B185-1</f>
        <v>-0.00834391438418281</v>
      </c>
      <c r="N186" s="0" t="n">
        <f aca="false">3_Returns!C186/3_Returns!C185-1</f>
        <v>0</v>
      </c>
      <c r="O186" s="0" t="n">
        <f aca="false">3_Returns!D186/3_Returns!D185-1</f>
        <v>0.00846580237299022</v>
      </c>
      <c r="P186" s="0" t="n">
        <f aca="false">MAX(3_Returns!$B$31:B186)</f>
        <v>55.58</v>
      </c>
      <c r="Q186" s="0" t="n">
        <f aca="false">3_Returns!B186/P186-1</f>
        <v>-0.0163727959697733</v>
      </c>
      <c r="R186" s="0" t="n">
        <f aca="false">LN(3_Returns!B186/3_Returns!B185)</f>
        <v>-0.00837891969468428</v>
      </c>
      <c r="S186" s="0" t="n">
        <f aca="false">M186-O186</f>
        <v>-0.016809716757173</v>
      </c>
      <c r="T186" s="0" t="n">
        <f aca="false">IF(M186&gt;O186,1,0)</f>
        <v>0</v>
      </c>
    </row>
    <row r="187" customFormat="false" ht="15" hidden="false" customHeight="false" outlineLevel="0" collapsed="false">
      <c r="M187" s="0" t="n">
        <f aca="false">3_Returns!B187/3_Returns!B186-1</f>
        <v>-0.011706603255899</v>
      </c>
      <c r="N187" s="0" t="n">
        <f aca="false">3_Returns!C187/3_Returns!C186-1</f>
        <v>-0.00664326898972178</v>
      </c>
      <c r="O187" s="0" t="n">
        <f aca="false">3_Returns!D187/3_Returns!D186-1</f>
        <v>-0.00288909683925531</v>
      </c>
      <c r="P187" s="0" t="n">
        <f aca="false">MAX(3_Returns!$B$31:B187)</f>
        <v>55.58</v>
      </c>
      <c r="Q187" s="0" t="n">
        <f aca="false">3_Returns!B187/P187-1</f>
        <v>-0.0278877293990644</v>
      </c>
      <c r="R187" s="0" t="n">
        <f aca="false">LN(3_Returns!B187/3_Returns!B186)</f>
        <v>-0.0117756650509335</v>
      </c>
      <c r="S187" s="0" t="n">
        <f aca="false">M187-O187</f>
        <v>-0.0088175064166437</v>
      </c>
      <c r="T187" s="0" t="n">
        <f aca="false">IF(M187&gt;O187,1,0)</f>
        <v>0</v>
      </c>
    </row>
    <row r="188" customFormat="false" ht="15" hidden="false" customHeight="false" outlineLevel="0" collapsed="false">
      <c r="M188" s="0" t="n">
        <f aca="false">3_Returns!B188/3_Returns!B187-1</f>
        <v>0.0288728484175458</v>
      </c>
      <c r="N188" s="0" t="n">
        <f aca="false">3_Returns!C188/3_Returns!C187-1</f>
        <v>-0.00157728706624605</v>
      </c>
      <c r="O188" s="0" t="n">
        <f aca="false">3_Returns!D188/3_Returns!D187-1</f>
        <v>0.0190218464220522</v>
      </c>
      <c r="P188" s="0" t="n">
        <f aca="false">MAX(3_Returns!$B$31:B188)</f>
        <v>55.59</v>
      </c>
      <c r="Q188" s="0" t="n">
        <f aca="false">3_Returns!B188/P188-1</f>
        <v>0</v>
      </c>
      <c r="R188" s="0" t="n">
        <f aca="false">LN(3_Returns!B188/3_Returns!B187)</f>
        <v>0.0284638811094037</v>
      </c>
      <c r="S188" s="0" t="n">
        <f aca="false">M188-O188</f>
        <v>0.0098510019954936</v>
      </c>
      <c r="T188" s="0" t="n">
        <f aca="false">IF(M188&gt;O188,1,0)</f>
        <v>1</v>
      </c>
    </row>
    <row r="189" customFormat="false" ht="15" hidden="false" customHeight="false" outlineLevel="0" collapsed="false">
      <c r="M189" s="0" t="n">
        <f aca="false">3_Returns!B189/3_Returns!B188-1</f>
        <v>0.0239251663968338</v>
      </c>
      <c r="N189" s="0" t="n">
        <f aca="false">3_Returns!C189/3_Returns!C188-1</f>
        <v>0.0126382306477093</v>
      </c>
      <c r="O189" s="0" t="n">
        <f aca="false">3_Returns!D189/3_Returns!D188-1</f>
        <v>0.0174566935705005</v>
      </c>
      <c r="P189" s="0" t="n">
        <f aca="false">MAX(3_Returns!$B$31:B189)</f>
        <v>56.92</v>
      </c>
      <c r="Q189" s="0" t="n">
        <f aca="false">3_Returns!B189/P189-1</f>
        <v>0</v>
      </c>
      <c r="R189" s="0" t="n">
        <f aca="false">LN(3_Returns!B189/3_Returns!B188)</f>
        <v>0.0236434442562734</v>
      </c>
      <c r="S189" s="0" t="n">
        <f aca="false">M189-O189</f>
        <v>0.00646847282633334</v>
      </c>
      <c r="T189" s="0" t="n">
        <f aca="false">IF(M189&gt;O189,1,0)</f>
        <v>1</v>
      </c>
    </row>
    <row r="190" customFormat="false" ht="15" hidden="false" customHeight="false" outlineLevel="0" collapsed="false">
      <c r="M190" s="0" t="n">
        <f aca="false">3_Returns!B190/3_Returns!B189-1</f>
        <v>-0.00790583274771617</v>
      </c>
      <c r="N190" s="0" t="n">
        <f aca="false">3_Returns!C190/3_Returns!C189-1</f>
        <v>-0.025585023400936</v>
      </c>
      <c r="O190" s="0" t="n">
        <f aca="false">3_Returns!D190/3_Returns!D189-1</f>
        <v>-0.0193790955933832</v>
      </c>
      <c r="P190" s="0" t="n">
        <f aca="false">MAX(3_Returns!$B$31:B190)</f>
        <v>56.92</v>
      </c>
      <c r="Q190" s="0" t="n">
        <f aca="false">3_Returns!B190/P190-1</f>
        <v>-0.00790583274771617</v>
      </c>
      <c r="R190" s="0" t="n">
        <f aca="false">LN(3_Returns!B190/3_Returns!B189)</f>
        <v>-0.00793724953690637</v>
      </c>
      <c r="S190" s="0" t="n">
        <f aca="false">M190-O190</f>
        <v>0.0114732628456671</v>
      </c>
      <c r="T190" s="0" t="n">
        <f aca="false">IF(M190&gt;O190,1,0)</f>
        <v>1</v>
      </c>
    </row>
    <row r="191" customFormat="false" ht="15" hidden="false" customHeight="false" outlineLevel="0" collapsed="false">
      <c r="M191" s="0" t="n">
        <f aca="false">3_Returns!B191/3_Returns!B190-1</f>
        <v>-0.0100938551443244</v>
      </c>
      <c r="N191" s="0" t="n">
        <f aca="false">3_Returns!C191/3_Returns!C190-1</f>
        <v>-0.0179314761447327</v>
      </c>
      <c r="O191" s="0" t="n">
        <f aca="false">3_Returns!D191/3_Returns!D190-1</f>
        <v>-0.00944863072522639</v>
      </c>
      <c r="P191" s="0" t="n">
        <f aca="false">MAX(3_Returns!$B$31:B191)</f>
        <v>56.92</v>
      </c>
      <c r="Q191" s="0" t="n">
        <f aca="false">3_Returns!B191/P191-1</f>
        <v>-0.0179198875614899</v>
      </c>
      <c r="R191" s="0" t="n">
        <f aca="false">LN(3_Returns!B191/3_Returns!B190)</f>
        <v>-0.0101451435236918</v>
      </c>
      <c r="S191" s="0" t="n">
        <f aca="false">M191-O191</f>
        <v>-0.000645224419097978</v>
      </c>
      <c r="T191" s="0" t="n">
        <f aca="false">IF(M191&gt;O191,1,0)</f>
        <v>0</v>
      </c>
    </row>
    <row r="192" customFormat="false" ht="15" hidden="false" customHeight="false" outlineLevel="0" collapsed="false">
      <c r="M192" s="0" t="n">
        <f aca="false">3_Returns!B192/3_Returns!B191-1</f>
        <v>0.0381037567084079</v>
      </c>
      <c r="N192" s="0" t="n">
        <f aca="false">3_Returns!C192/3_Returns!C191-1</f>
        <v>0.0136289533746332</v>
      </c>
      <c r="O192" s="0" t="n">
        <f aca="false">3_Returns!D192/3_Returns!D191-1</f>
        <v>0.00701308375138909</v>
      </c>
      <c r="P192" s="0" t="n">
        <f aca="false">MAX(3_Returns!$B$31:B192)</f>
        <v>58.03</v>
      </c>
      <c r="Q192" s="0" t="n">
        <f aca="false">3_Returns!B192/P192-1</f>
        <v>0</v>
      </c>
      <c r="R192" s="0" t="n">
        <f aca="false">LN(3_Returns!B192/3_Returns!B191)</f>
        <v>0.0373957380414635</v>
      </c>
      <c r="S192" s="0" t="n">
        <f aca="false">M192-O192</f>
        <v>0.0310906729570188</v>
      </c>
      <c r="T192" s="0" t="n">
        <f aca="false">IF(M192&gt;O192,1,0)</f>
        <v>1</v>
      </c>
    </row>
    <row r="193" customFormat="false" ht="15" hidden="false" customHeight="false" outlineLevel="0" collapsed="false">
      <c r="M193" s="0" t="n">
        <f aca="false">3_Returns!B193/3_Returns!B192-1</f>
        <v>0.00120627261761164</v>
      </c>
      <c r="N193" s="0" t="n">
        <f aca="false">3_Returns!C193/3_Returns!C192-1</f>
        <v>-0.000514668039114707</v>
      </c>
      <c r="O193" s="0" t="n">
        <f aca="false">3_Returns!D193/3_Returns!D192-1</f>
        <v>0.00827892908481065</v>
      </c>
      <c r="P193" s="0" t="n">
        <f aca="false">MAX(3_Returns!$B$31:B193)</f>
        <v>58.1</v>
      </c>
      <c r="Q193" s="0" t="n">
        <f aca="false">3_Returns!B193/P193-1</f>
        <v>0</v>
      </c>
      <c r="R193" s="0" t="n">
        <f aca="false">LN(3_Returns!B193/3_Returns!B192)</f>
        <v>0.00120554565534869</v>
      </c>
      <c r="S193" s="0" t="n">
        <f aca="false">M193-O193</f>
        <v>-0.00707265646719901</v>
      </c>
      <c r="T193" s="0" t="n">
        <f aca="false">IF(M193&gt;O193,1,0)</f>
        <v>0</v>
      </c>
    </row>
    <row r="194" customFormat="false" ht="15" hidden="false" customHeight="false" outlineLevel="0" collapsed="false">
      <c r="M194" s="0" t="n">
        <f aca="false">3_Returns!B194/3_Returns!B193-1</f>
        <v>0.0127366609294322</v>
      </c>
      <c r="N194" s="0" t="n">
        <f aca="false">3_Returns!C194/3_Returns!C193-1</f>
        <v>0.00482749742533462</v>
      </c>
      <c r="O194" s="0" t="n">
        <f aca="false">3_Returns!D194/3_Returns!D193-1</f>
        <v>0.00774166912940744</v>
      </c>
      <c r="P194" s="0" t="n">
        <f aca="false">MAX(3_Returns!$B$31:B194)</f>
        <v>58.84</v>
      </c>
      <c r="Q194" s="0" t="n">
        <f aca="false">3_Returns!B194/P194-1</f>
        <v>0</v>
      </c>
      <c r="R194" s="0" t="n">
        <f aca="false">LN(3_Returns!B194/3_Returns!B193)</f>
        <v>0.0126562318753714</v>
      </c>
      <c r="S194" s="0" t="n">
        <f aca="false">M194-O194</f>
        <v>0.00499499180002472</v>
      </c>
      <c r="T194" s="0" t="n">
        <f aca="false">IF(M194&gt;O194,1,0)</f>
        <v>1</v>
      </c>
    </row>
    <row r="195" customFormat="false" ht="15" hidden="false" customHeight="false" outlineLevel="0" collapsed="false">
      <c r="M195" s="0" t="n">
        <f aca="false">3_Returns!B195/3_Returns!B194-1</f>
        <v>-0.0244731475186949</v>
      </c>
      <c r="N195" s="0" t="n">
        <f aca="false">3_Returns!C195/3_Returns!C194-1</f>
        <v>0.00576516558836704</v>
      </c>
      <c r="O195" s="0" t="n">
        <f aca="false">3_Returns!D195/3_Returns!D194-1</f>
        <v>-0.000397888538157476</v>
      </c>
      <c r="P195" s="0" t="n">
        <f aca="false">MAX(3_Returns!$B$31:B195)</f>
        <v>58.84</v>
      </c>
      <c r="Q195" s="0" t="n">
        <f aca="false">3_Returns!B195/P195-1</f>
        <v>-0.0244731475186949</v>
      </c>
      <c r="R195" s="0" t="n">
        <f aca="false">LN(3_Returns!B195/3_Returns!B194)</f>
        <v>-0.0247775924077162</v>
      </c>
      <c r="S195" s="0" t="n">
        <f aca="false">M195-O195</f>
        <v>-0.0240752589805374</v>
      </c>
      <c r="T195" s="0" t="n">
        <f aca="false">IF(M195&gt;O195,1,0)</f>
        <v>0</v>
      </c>
    </row>
    <row r="196" customFormat="false" ht="15" hidden="false" customHeight="false" outlineLevel="0" collapsed="false">
      <c r="M196" s="0" t="n">
        <f aca="false">3_Returns!B196/3_Returns!B195-1</f>
        <v>-0.00975609756097551</v>
      </c>
      <c r="N196" s="0" t="n">
        <f aca="false">3_Returns!C196/3_Returns!C195-1</f>
        <v>0.0112094771033693</v>
      </c>
      <c r="O196" s="0" t="n">
        <f aca="false">3_Returns!D196/3_Returns!D195-1</f>
        <v>0.00490482255953029</v>
      </c>
      <c r="P196" s="0" t="n">
        <f aca="false">MAX(3_Returns!$B$31:B196)</f>
        <v>58.84</v>
      </c>
      <c r="Q196" s="0" t="n">
        <f aca="false">3_Returns!B196/P196-1</f>
        <v>-0.0339904826648538</v>
      </c>
      <c r="R196" s="0" t="n">
        <f aca="false">LN(3_Returns!B196/3_Returns!B195)</f>
        <v>-0.00980400009662074</v>
      </c>
      <c r="S196" s="0" t="n">
        <f aca="false">M196-O196</f>
        <v>-0.0146609201205058</v>
      </c>
      <c r="T196" s="0" t="n">
        <f aca="false">IF(M196&gt;O196,1,0)</f>
        <v>0</v>
      </c>
    </row>
    <row r="197" customFormat="false" ht="15" hidden="false" customHeight="false" outlineLevel="0" collapsed="false">
      <c r="M197" s="0" t="n">
        <f aca="false">3_Returns!B197/3_Returns!B196-1</f>
        <v>0.0253342716396903</v>
      </c>
      <c r="N197" s="0" t="n">
        <f aca="false">3_Returns!C197/3_Returns!C196-1</f>
        <v>0.00176355734710598</v>
      </c>
      <c r="O197" s="0" t="n">
        <f aca="false">3_Returns!D197/3_Returns!D196-1</f>
        <v>0.00689954653416258</v>
      </c>
      <c r="P197" s="0" t="n">
        <f aca="false">MAX(3_Returns!$B$31:B197)</f>
        <v>58.84</v>
      </c>
      <c r="Q197" s="0" t="n">
        <f aca="false">3_Returns!B197/P197-1</f>
        <v>-0.00951733514615916</v>
      </c>
      <c r="R197" s="0" t="n">
        <f aca="false">LN(3_Returns!B197/3_Returns!B196)</f>
        <v>0.0250186780981041</v>
      </c>
      <c r="S197" s="0" t="n">
        <f aca="false">M197-O197</f>
        <v>0.0184347251055277</v>
      </c>
      <c r="T197" s="0" t="n">
        <f aca="false">IF(M197&gt;O197,1,0)</f>
        <v>1</v>
      </c>
    </row>
    <row r="198" customFormat="false" ht="15" hidden="false" customHeight="false" outlineLevel="0" collapsed="false">
      <c r="M198" s="0" t="n">
        <f aca="false">3_Returns!B198/3_Returns!B197-1</f>
        <v>-0.0123541523678792</v>
      </c>
      <c r="N198" s="0" t="n">
        <f aca="false">3_Returns!C198/3_Returns!C197-1</f>
        <v>0.000188619930839407</v>
      </c>
      <c r="O198" s="0" t="n">
        <f aca="false">3_Returns!D198/3_Returns!D197-1</f>
        <v>-0.000467696862497147</v>
      </c>
      <c r="P198" s="0" t="n">
        <f aca="false">MAX(3_Returns!$B$31:B198)</f>
        <v>58.84</v>
      </c>
      <c r="Q198" s="0" t="n">
        <f aca="false">3_Returns!B198/P198-1</f>
        <v>-0.0217539089055064</v>
      </c>
      <c r="R198" s="0" t="n">
        <f aca="false">LN(3_Returns!B198/3_Returns!B197)</f>
        <v>-0.012431099307837</v>
      </c>
      <c r="S198" s="0" t="n">
        <f aca="false">M198-O198</f>
        <v>-0.011886455505382</v>
      </c>
      <c r="T198" s="0" t="n">
        <f aca="false">IF(M198&gt;O198,1,0)</f>
        <v>0</v>
      </c>
    </row>
    <row r="199" customFormat="false" ht="15" hidden="false" customHeight="false" outlineLevel="0" collapsed="false">
      <c r="M199" s="0" t="n">
        <f aca="false">3_Returns!B199/3_Returns!B198-1</f>
        <v>0.0198054204308549</v>
      </c>
      <c r="N199" s="0" t="n">
        <f aca="false">3_Returns!C199/3_Returns!C198-1</f>
        <v>-0.000251445813427287</v>
      </c>
      <c r="O199" s="0" t="n">
        <f aca="false">3_Returns!D199/3_Returns!D198-1</f>
        <v>0.0106716849775736</v>
      </c>
      <c r="P199" s="0" t="n">
        <f aca="false">MAX(3_Returns!$B$31:B199)</f>
        <v>58.84</v>
      </c>
      <c r="Q199" s="0" t="n">
        <f aca="false">3_Returns!B199/P199-1</f>
        <v>-0.00237933378653976</v>
      </c>
      <c r="R199" s="0" t="n">
        <f aca="false">LN(3_Returns!B199/3_Returns!B198)</f>
        <v>0.0196118448148838</v>
      </c>
      <c r="S199" s="0" t="n">
        <f aca="false">M199-O199</f>
        <v>0.00913373545328122</v>
      </c>
      <c r="T199" s="0" t="n">
        <f aca="false">IF(M199&gt;O199,1,0)</f>
        <v>1</v>
      </c>
    </row>
    <row r="200" customFormat="false" ht="15" hidden="false" customHeight="false" outlineLevel="0" collapsed="false">
      <c r="M200" s="0" t="n">
        <f aca="false">3_Returns!B200/3_Returns!B199-1</f>
        <v>-0.0275979557069848</v>
      </c>
      <c r="N200" s="0" t="n">
        <f aca="false">3_Returns!C200/3_Returns!C199-1</f>
        <v>0.000880281690140983</v>
      </c>
      <c r="O200" s="0" t="n">
        <f aca="false">3_Returns!D200/3_Returns!D199-1</f>
        <v>-0.0224550077739414</v>
      </c>
      <c r="P200" s="0" t="n">
        <f aca="false">MAX(3_Returns!$B$31:B200)</f>
        <v>58.84</v>
      </c>
      <c r="Q200" s="0" t="n">
        <f aca="false">3_Returns!B200/P200-1</f>
        <v>-0.0299116247450715</v>
      </c>
      <c r="R200" s="0" t="n">
        <f aca="false">LN(3_Returns!B200/3_Returns!B199)</f>
        <v>-0.0279859342254152</v>
      </c>
      <c r="S200" s="0" t="n">
        <f aca="false">M200-O200</f>
        <v>-0.00514294793304337</v>
      </c>
      <c r="T200" s="0" t="n">
        <f aca="false">IF(M200&gt;O200,1,0)</f>
        <v>0</v>
      </c>
    </row>
    <row r="201" customFormat="false" ht="15" hidden="false" customHeight="false" outlineLevel="0" collapsed="false">
      <c r="M201" s="0" t="n">
        <f aca="false">3_Returns!B201/3_Returns!B200-1</f>
        <v>-0.00490539593552908</v>
      </c>
      <c r="N201" s="0" t="n">
        <f aca="false">3_Returns!C201/3_Returns!C200-1</f>
        <v>0.010931021485111</v>
      </c>
      <c r="O201" s="0" t="n">
        <f aca="false">3_Returns!D201/3_Returns!D200-1</f>
        <v>0.00670430955496904</v>
      </c>
      <c r="P201" s="0" t="n">
        <f aca="false">MAX(3_Returns!$B$31:B201)</f>
        <v>58.84</v>
      </c>
      <c r="Q201" s="0" t="n">
        <f aca="false">3_Returns!B201/P201-1</f>
        <v>-0.034670292318151</v>
      </c>
      <c r="R201" s="0" t="n">
        <f aca="false">LN(3_Returns!B201/3_Returns!B200)</f>
        <v>-0.00491746688153</v>
      </c>
      <c r="S201" s="0" t="n">
        <f aca="false">M201-O201</f>
        <v>-0.0116097054904981</v>
      </c>
      <c r="T201" s="0" t="n">
        <f aca="false">IF(M201&gt;O201,1,0)</f>
        <v>0</v>
      </c>
    </row>
    <row r="202" customFormat="false" ht="15" hidden="false" customHeight="false" outlineLevel="0" collapsed="false">
      <c r="M202" s="0" t="n">
        <f aca="false">3_Returns!B202/3_Returns!B201-1</f>
        <v>-0.0161971830985914</v>
      </c>
      <c r="N202" s="0" t="n">
        <f aca="false">3_Returns!C202/3_Returns!C201-1</f>
        <v>-0.0173999502858562</v>
      </c>
      <c r="O202" s="0" t="n">
        <f aca="false">3_Returns!D202/3_Returns!D201-1</f>
        <v>-0.0101038080540278</v>
      </c>
      <c r="P202" s="0" t="n">
        <f aca="false">MAX(3_Returns!$B$31:B202)</f>
        <v>58.84</v>
      </c>
      <c r="Q202" s="0" t="n">
        <f aca="false">3_Returns!B202/P202-1</f>
        <v>-0.0503059143439837</v>
      </c>
      <c r="R202" s="0" t="n">
        <f aca="false">LN(3_Returns!B202/3_Returns!B201)</f>
        <v>-0.0163297913383445</v>
      </c>
      <c r="S202" s="0" t="n">
        <f aca="false">M202-O202</f>
        <v>-0.00609337504456364</v>
      </c>
      <c r="T202" s="0" t="n">
        <f aca="false">IF(M202&gt;O202,1,0)</f>
        <v>0</v>
      </c>
    </row>
    <row r="203" customFormat="false" ht="15" hidden="false" customHeight="false" outlineLevel="0" collapsed="false">
      <c r="M203" s="0" t="n">
        <f aca="false">3_Returns!B203/3_Returns!B202-1</f>
        <v>0.00554760200429483</v>
      </c>
      <c r="N203" s="0" t="n">
        <f aca="false">3_Returns!C203/3_Returns!C202-1</f>
        <v>0.00714647103465715</v>
      </c>
      <c r="O203" s="0" t="n">
        <f aca="false">3_Returns!D203/3_Returns!D202-1</f>
        <v>0.00997893172130659</v>
      </c>
      <c r="P203" s="0" t="n">
        <f aca="false">MAX(3_Returns!$B$31:B203)</f>
        <v>58.84</v>
      </c>
      <c r="Q203" s="0" t="n">
        <f aca="false">3_Returns!B203/P203-1</f>
        <v>-0.0450373895309314</v>
      </c>
      <c r="R203" s="0" t="n">
        <f aca="false">LN(3_Returns!B203/3_Returns!B202)</f>
        <v>0.00553227073534568</v>
      </c>
      <c r="S203" s="0" t="n">
        <f aca="false">M203-O203</f>
        <v>-0.00443132971701177</v>
      </c>
      <c r="T203" s="0" t="n">
        <f aca="false">IF(M203&gt;O203,1,0)</f>
        <v>0</v>
      </c>
    </row>
    <row r="204" customFormat="false" ht="15" hidden="false" customHeight="false" outlineLevel="0" collapsed="false">
      <c r="M204" s="0" t="n">
        <f aca="false">3_Returns!B204/3_Returns!B203-1</f>
        <v>-0.00818651005517002</v>
      </c>
      <c r="N204" s="0" t="n">
        <f aca="false">3_Returns!C204/3_Returns!C203-1</f>
        <v>0.00546310832025121</v>
      </c>
      <c r="O204" s="0" t="n">
        <f aca="false">3_Returns!D204/3_Returns!D203-1</f>
        <v>-0.00198632878065808</v>
      </c>
      <c r="P204" s="0" t="n">
        <f aca="false">MAX(3_Returns!$B$31:B204)</f>
        <v>58.84</v>
      </c>
      <c r="Q204" s="0" t="n">
        <f aca="false">3_Returns!B204/P204-1</f>
        <v>-0.0528552005438479</v>
      </c>
      <c r="R204" s="0" t="n">
        <f aca="false">LN(3_Returns!B204/3_Returns!B203)</f>
        <v>-0.00822020354266191</v>
      </c>
      <c r="S204" s="0" t="n">
        <f aca="false">M204-O204</f>
        <v>-0.00620018127451194</v>
      </c>
      <c r="T204" s="0" t="n">
        <f aca="false">IF(M204&gt;O204,1,0)</f>
        <v>0</v>
      </c>
    </row>
    <row r="205" customFormat="false" ht="15" hidden="false" customHeight="false" outlineLevel="0" collapsed="false">
      <c r="M205" s="0" t="n">
        <f aca="false">3_Returns!B205/3_Returns!B204-1</f>
        <v>-0.000717746276691189</v>
      </c>
      <c r="N205" s="0" t="n">
        <f aca="false">3_Returns!C205/3_Returns!C204-1</f>
        <v>-0.00143642268298783</v>
      </c>
      <c r="O205" s="0" t="n">
        <f aca="false">3_Returns!D205/3_Returns!D204-1</f>
        <v>-0.0086412028060775</v>
      </c>
      <c r="P205" s="0" t="n">
        <f aca="false">MAX(3_Returns!$B$31:B205)</f>
        <v>58.84</v>
      </c>
      <c r="Q205" s="0" t="n">
        <f aca="false">3_Returns!B205/P205-1</f>
        <v>-0.0535350101971449</v>
      </c>
      <c r="R205" s="0" t="n">
        <f aca="false">LN(3_Returns!B205/3_Returns!B204)</f>
        <v>-0.00071800397986775</v>
      </c>
      <c r="S205" s="0" t="n">
        <f aca="false">M205-O205</f>
        <v>0.00792345652938631</v>
      </c>
      <c r="T205" s="0" t="n">
        <f aca="false">IF(M205&gt;O205,1,0)</f>
        <v>1</v>
      </c>
    </row>
    <row r="206" customFormat="false" ht="15" hidden="false" customHeight="false" outlineLevel="0" collapsed="false">
      <c r="M206" s="0" t="n">
        <f aca="false">3_Returns!B206/3_Returns!B205-1</f>
        <v>0.0132878434189263</v>
      </c>
      <c r="N206" s="0" t="n">
        <f aca="false">3_Returns!C206/3_Returns!C205-1</f>
        <v>0.0202639314528739</v>
      </c>
      <c r="O206" s="0" t="n">
        <f aca="false">3_Returns!D206/3_Returns!D205-1</f>
        <v>0.00408637996814454</v>
      </c>
      <c r="P206" s="0" t="n">
        <f aca="false">MAX(3_Returns!$B$31:B206)</f>
        <v>58.84</v>
      </c>
      <c r="Q206" s="0" t="n">
        <f aca="false">3_Returns!B206/P206-1</f>
        <v>-0.0409585316111489</v>
      </c>
      <c r="R206" s="0" t="n">
        <f aca="false">LN(3_Returns!B206/3_Returns!B205)</f>
        <v>0.0132003343794716</v>
      </c>
      <c r="S206" s="0" t="n">
        <f aca="false">M206-O206</f>
        <v>0.00920146345078177</v>
      </c>
      <c r="T206" s="0" t="n">
        <f aca="false">IF(M206&gt;O206,1,0)</f>
        <v>1</v>
      </c>
    </row>
    <row r="207" customFormat="false" ht="15" hidden="false" customHeight="false" outlineLevel="0" collapsed="false">
      <c r="M207" s="0" t="n">
        <f aca="false">3_Returns!B207/3_Returns!B206-1</f>
        <v>-0.0177210703526493</v>
      </c>
      <c r="N207" s="0" t="n">
        <f aca="false">3_Returns!C207/3_Returns!C206-1</f>
        <v>0.00686568994053816</v>
      </c>
      <c r="O207" s="0" t="n">
        <f aca="false">3_Returns!D207/3_Returns!D206-1</f>
        <v>-0.00886845324436358</v>
      </c>
      <c r="P207" s="0" t="n">
        <f aca="false">MAX(3_Returns!$B$31:B207)</f>
        <v>58.84</v>
      </c>
      <c r="Q207" s="0" t="n">
        <f aca="false">3_Returns!B207/P207-1</f>
        <v>-0.0579537729435758</v>
      </c>
      <c r="R207" s="0" t="n">
        <f aca="false">LN(3_Returns!B207/3_Returns!B206)</f>
        <v>-0.0178799685493353</v>
      </c>
      <c r="S207" s="0" t="n">
        <f aca="false">M207-O207</f>
        <v>-0.00885261710828567</v>
      </c>
      <c r="T207" s="0" t="n">
        <f aca="false">IF(M207&gt;O207,1,0)</f>
        <v>0</v>
      </c>
    </row>
    <row r="208" customFormat="false" ht="15" hidden="false" customHeight="false" outlineLevel="0" collapsed="false">
      <c r="M208" s="0" t="n">
        <f aca="false">3_Returns!B208/3_Returns!B207-1</f>
        <v>-0.0218293342955078</v>
      </c>
      <c r="N208" s="0" t="n">
        <f aca="false">3_Returns!C208/3_Returns!C207-1</f>
        <v>-0.0112024353120244</v>
      </c>
      <c r="O208" s="0" t="n">
        <f aca="false">3_Returns!D208/3_Returns!D207-1</f>
        <v>-0.00888229838031307</v>
      </c>
      <c r="P208" s="0" t="n">
        <f aca="false">MAX(3_Returns!$B$31:B208)</f>
        <v>58.84</v>
      </c>
      <c r="Q208" s="0" t="n">
        <f aca="false">3_Returns!B208/P208-1</f>
        <v>-0.0785180149558125</v>
      </c>
      <c r="R208" s="0" t="n">
        <f aca="false">LN(3_Returns!B208/3_Returns!B207)</f>
        <v>-0.0220711193611938</v>
      </c>
      <c r="S208" s="0" t="n">
        <f aca="false">M208-O208</f>
        <v>-0.0129470359151947</v>
      </c>
      <c r="T208" s="0" t="n">
        <f aca="false">IF(M208&gt;O208,1,0)</f>
        <v>0</v>
      </c>
    </row>
    <row r="209" customFormat="false" ht="15" hidden="false" customHeight="false" outlineLevel="0" collapsed="false">
      <c r="M209" s="0" t="n">
        <f aca="false">3_Returns!B209/3_Returns!B208-1</f>
        <v>-0.0149391368498709</v>
      </c>
      <c r="N209" s="0" t="n">
        <f aca="false">3_Returns!C209/3_Returns!C208-1</f>
        <v>-0.011575641893972</v>
      </c>
      <c r="O209" s="0" t="n">
        <f aca="false">3_Returns!D209/3_Returns!D208-1</f>
        <v>-0.0154797831478413</v>
      </c>
      <c r="P209" s="0" t="n">
        <f aca="false">MAX(3_Returns!$B$31:B209)</f>
        <v>58.84</v>
      </c>
      <c r="Q209" s="0" t="n">
        <f aca="false">3_Returns!B209/P209-1</f>
        <v>-0.0922841604350783</v>
      </c>
      <c r="R209" s="0" t="n">
        <f aca="false">LN(3_Returns!B209/3_Returns!B208)</f>
        <v>-0.0150518497188405</v>
      </c>
      <c r="S209" s="0" t="n">
        <f aca="false">M209-O209</f>
        <v>0.000540646297970349</v>
      </c>
      <c r="T209" s="0" t="n">
        <f aca="false">IF(M209&gt;O209,1,0)</f>
        <v>1</v>
      </c>
    </row>
    <row r="210" customFormat="false" ht="15" hidden="false" customHeight="false" outlineLevel="0" collapsed="false">
      <c r="M210" s="0" t="n">
        <f aca="false">3_Returns!B210/3_Returns!B209-1</f>
        <v>-0.000936154278225021</v>
      </c>
      <c r="N210" s="0" t="n">
        <f aca="false">3_Returns!C210/3_Returns!C209-1</f>
        <v>-0.0120226748894288</v>
      </c>
      <c r="O210" s="0" t="n">
        <f aca="false">3_Returns!D210/3_Returns!D209-1</f>
        <v>4.88249959567089E-005</v>
      </c>
      <c r="P210" s="0" t="n">
        <f aca="false">MAX(3_Returns!$B$31:B210)</f>
        <v>58.84</v>
      </c>
      <c r="Q210" s="0" t="n">
        <f aca="false">3_Returns!B210/P210-1</f>
        <v>-0.0931339225016996</v>
      </c>
      <c r="R210" s="0" t="n">
        <f aca="false">LN(3_Returns!B210/3_Returns!B209)</f>
        <v>-0.000936592744310634</v>
      </c>
      <c r="S210" s="0" t="n">
        <f aca="false">M210-O210</f>
        <v>-0.00098497927418173</v>
      </c>
      <c r="T210" s="0" t="n">
        <f aca="false">IF(M210&gt;O210,1,0)</f>
        <v>0</v>
      </c>
    </row>
    <row r="211" customFormat="false" ht="15" hidden="false" customHeight="false" outlineLevel="0" collapsed="false">
      <c r="M211" s="0" t="n">
        <f aca="false">3_Returns!B211/3_Returns!B210-1</f>
        <v>0.0194902548725637</v>
      </c>
      <c r="N211" s="0" t="n">
        <f aca="false">3_Returns!C211/3_Returns!C210-1</f>
        <v>0.00617906683480474</v>
      </c>
      <c r="O211" s="0" t="n">
        <f aca="false">3_Returns!D211/3_Returns!D210-1</f>
        <v>0.00532471614228114</v>
      </c>
      <c r="P211" s="0" t="n">
        <f aca="false">MAX(3_Returns!$B$31:B211)</f>
        <v>58.84</v>
      </c>
      <c r="Q211" s="0" t="n">
        <f aca="false">3_Returns!B211/P211-1</f>
        <v>-0.0754588715159756</v>
      </c>
      <c r="R211" s="0" t="n">
        <f aca="false">LN(3_Returns!B211/3_Returns!B210)</f>
        <v>0.0193027522545287</v>
      </c>
      <c r="S211" s="0" t="n">
        <f aca="false">M211-O211</f>
        <v>0.0141655387302826</v>
      </c>
      <c r="T211" s="0" t="n">
        <f aca="false">IF(M211&gt;O211,1,0)</f>
        <v>1</v>
      </c>
    </row>
    <row r="212" customFormat="false" ht="15" hidden="false" customHeight="false" outlineLevel="0" collapsed="false">
      <c r="M212" s="0" t="n">
        <f aca="false">3_Returns!B212/3_Returns!B211-1</f>
        <v>0.0465073529411766</v>
      </c>
      <c r="N212" s="0" t="n">
        <f aca="false">3_Returns!C212/3_Returns!C211-1</f>
        <v>0.0090236871788445</v>
      </c>
      <c r="O212" s="0" t="n">
        <f aca="false">3_Returns!D212/3_Returns!D211-1</f>
        <v>0.0106294504373796</v>
      </c>
      <c r="P212" s="0" t="n">
        <f aca="false">MAX(3_Returns!$B$31:B212)</f>
        <v>58.84</v>
      </c>
      <c r="Q212" s="0" t="n">
        <f aca="false">3_Returns!B212/P212-1</f>
        <v>-0.0324609109449355</v>
      </c>
      <c r="R212" s="0" t="n">
        <f aca="false">LN(3_Returns!B212/3_Returns!B211)</f>
        <v>0.0454582891010937</v>
      </c>
      <c r="S212" s="0" t="n">
        <f aca="false">M212-O212</f>
        <v>0.035877902503797</v>
      </c>
      <c r="T212" s="0" t="n">
        <f aca="false">IF(M212&gt;O212,1,0)</f>
        <v>1</v>
      </c>
    </row>
    <row r="213" customFormat="false" ht="15" hidden="false" customHeight="false" outlineLevel="0" collapsed="false">
      <c r="M213" s="0" t="n">
        <f aca="false">3_Returns!B213/3_Returns!B212-1</f>
        <v>0.00948533286492181</v>
      </c>
      <c r="N213" s="0" t="n">
        <f aca="false">3_Returns!C213/3_Returns!C212-1</f>
        <v>0.0248416345795552</v>
      </c>
      <c r="O213" s="0" t="n">
        <f aca="false">3_Returns!D213/3_Returns!D212-1</f>
        <v>-0.00111123124421852</v>
      </c>
      <c r="P213" s="0" t="n">
        <f aca="false">MAX(3_Returns!$B$31:B213)</f>
        <v>58.84</v>
      </c>
      <c r="Q213" s="0" t="n">
        <f aca="false">3_Returns!B213/P213-1</f>
        <v>-0.023283480625425</v>
      </c>
      <c r="R213" s="0" t="n">
        <f aca="false">LN(3_Returns!B213/3_Returns!B212)</f>
        <v>0.00944062955665963</v>
      </c>
      <c r="S213" s="0" t="n">
        <f aca="false">M213-O213</f>
        <v>0.0105965641091403</v>
      </c>
      <c r="T213" s="0" t="n">
        <f aca="false">IF(M213&gt;O213,1,0)</f>
        <v>1</v>
      </c>
    </row>
    <row r="214" customFormat="false" ht="15" hidden="false" customHeight="false" outlineLevel="0" collapsed="false">
      <c r="M214" s="0" t="n">
        <f aca="false">3_Returns!B214/3_Returns!B213-1</f>
        <v>0.0127022794501479</v>
      </c>
      <c r="N214" s="0" t="n">
        <f aca="false">3_Returns!C214/3_Returns!C213-1</f>
        <v>0.00860501757362742</v>
      </c>
      <c r="O214" s="0" t="n">
        <f aca="false">3_Returns!D214/3_Returns!D213-1</f>
        <v>0.0108781276872101</v>
      </c>
      <c r="P214" s="0" t="n">
        <f aca="false">MAX(3_Returns!$B$31:B214)</f>
        <v>58.84</v>
      </c>
      <c r="Q214" s="0" t="n">
        <f aca="false">3_Returns!B214/P214-1</f>
        <v>-0.0108769544527533</v>
      </c>
      <c r="R214" s="0" t="n">
        <f aca="false">LN(3_Returns!B214/3_Returns!B213)</f>
        <v>0.012622282217742</v>
      </c>
      <c r="S214" s="0" t="n">
        <f aca="false">M214-O214</f>
        <v>0.00182415176293782</v>
      </c>
      <c r="T214" s="0" t="n">
        <f aca="false">IF(M214&gt;O214,1,0)</f>
        <v>1</v>
      </c>
    </row>
    <row r="215" customFormat="false" ht="15" hidden="false" customHeight="false" outlineLevel="0" collapsed="false">
      <c r="M215" s="0" t="n">
        <f aca="false">3_Returns!B215/3_Returns!B214-1</f>
        <v>-0.00120274914089347</v>
      </c>
      <c r="N215" s="0" t="n">
        <f aca="false">3_Returns!C215/3_Returns!C214-1</f>
        <v>-0.0192862292718097</v>
      </c>
      <c r="O215" s="0" t="n">
        <f aca="false">3_Returns!D215/3_Returns!D214-1</f>
        <v>0.00049819756582159</v>
      </c>
      <c r="P215" s="0" t="n">
        <f aca="false">MAX(3_Returns!$B$31:B215)</f>
        <v>58.84</v>
      </c>
      <c r="Q215" s="0" t="n">
        <f aca="false">3_Returns!B215/P215-1</f>
        <v>-0.0120666213460231</v>
      </c>
      <c r="R215" s="0" t="n">
        <f aca="false">LN(3_Returns!B215/3_Returns!B214)</f>
        <v>-0.00120347302413294</v>
      </c>
      <c r="S215" s="0" t="n">
        <f aca="false">M215-O215</f>
        <v>-0.00170094670671506</v>
      </c>
      <c r="T215" s="0" t="n">
        <f aca="false">IF(M215&gt;O215,1,0)</f>
        <v>0</v>
      </c>
    </row>
    <row r="216" customFormat="false" ht="15" hidden="false" customHeight="false" outlineLevel="0" collapsed="false">
      <c r="M216" s="0" t="n">
        <f aca="false">3_Returns!B216/3_Returns!B215-1</f>
        <v>-0.0113538620333735</v>
      </c>
      <c r="N216" s="0" t="n">
        <f aca="false">3_Returns!C216/3_Returns!C215-1</f>
        <v>-0.00667769405133867</v>
      </c>
      <c r="O216" s="0" t="n">
        <f aca="false">3_Returns!D216/3_Returns!D215-1</f>
        <v>-0.000622808464844082</v>
      </c>
      <c r="P216" s="0" t="n">
        <f aca="false">MAX(3_Returns!$B$31:B216)</f>
        <v>58.84</v>
      </c>
      <c r="Q216" s="0" t="n">
        <f aca="false">3_Returns!B216/P216-1</f>
        <v>-0.023283480625425</v>
      </c>
      <c r="R216" s="0" t="n">
        <f aca="false">LN(3_Returns!B216/3_Returns!B215)</f>
        <v>-0.0114188091936091</v>
      </c>
      <c r="S216" s="0" t="n">
        <f aca="false">M216-O216</f>
        <v>-0.0107310535685294</v>
      </c>
      <c r="T216" s="0" t="n">
        <f aca="false">IF(M216&gt;O216,1,0)</f>
        <v>0</v>
      </c>
    </row>
    <row r="217" customFormat="false" ht="15" hidden="false" customHeight="false" outlineLevel="0" collapsed="false">
      <c r="M217" s="0" t="n">
        <f aca="false">3_Returns!B217/3_Returns!B216-1</f>
        <v>-0.00400208804593694</v>
      </c>
      <c r="N217" s="0" t="n">
        <f aca="false">3_Returns!C217/3_Returns!C216-1</f>
        <v>0.00542740841248324</v>
      </c>
      <c r="O217" s="0" t="n">
        <f aca="false">3_Returns!D217/3_Returns!D216-1</f>
        <v>0.00609959246809644</v>
      </c>
      <c r="P217" s="0" t="n">
        <f aca="false">MAX(3_Returns!$B$31:B217)</f>
        <v>58.84</v>
      </c>
      <c r="Q217" s="0" t="n">
        <f aca="false">3_Returns!B217/P217-1</f>
        <v>-0.0271923861318831</v>
      </c>
      <c r="R217" s="0" t="n">
        <f aca="false">LN(3_Returns!B217/3_Returns!B216)</f>
        <v>-0.00401011783139992</v>
      </c>
      <c r="S217" s="0" t="n">
        <f aca="false">M217-O217</f>
        <v>-0.0101016805140334</v>
      </c>
      <c r="T217" s="0" t="n">
        <f aca="false">IF(M217&gt;O217,1,0)</f>
        <v>0</v>
      </c>
    </row>
    <row r="218" customFormat="false" ht="15" hidden="false" customHeight="false" outlineLevel="0" collapsed="false">
      <c r="M218" s="0" t="n">
        <f aca="false">3_Returns!B218/3_Returns!B217-1</f>
        <v>0.000698812019566786</v>
      </c>
      <c r="N218" s="0" t="n">
        <f aca="false">3_Returns!C218/3_Returns!C217-1</f>
        <v>-0.00410992516255682</v>
      </c>
      <c r="O218" s="0" t="n">
        <f aca="false">3_Returns!D218/3_Returns!D217-1</f>
        <v>0.0109839586896714</v>
      </c>
      <c r="P218" s="0" t="n">
        <f aca="false">MAX(3_Returns!$B$31:B218)</f>
        <v>58.84</v>
      </c>
      <c r="Q218" s="0" t="n">
        <f aca="false">3_Returns!B218/P218-1</f>
        <v>-0.0265125764785861</v>
      </c>
      <c r="R218" s="0" t="n">
        <f aca="false">LN(3_Returns!B218/3_Returns!B217)</f>
        <v>0.000698567964140065</v>
      </c>
      <c r="S218" s="0" t="n">
        <f aca="false">M218-O218</f>
        <v>-0.0102851466701046</v>
      </c>
      <c r="T218" s="0" t="n">
        <f aca="false">IF(M218&gt;O218,1,0)</f>
        <v>0</v>
      </c>
    </row>
    <row r="219" customFormat="false" ht="15" hidden="false" customHeight="false" outlineLevel="0" collapsed="false">
      <c r="M219" s="0" t="n">
        <f aca="false">3_Returns!B219/3_Returns!B218-1</f>
        <v>-0.0083798882681565</v>
      </c>
      <c r="N219" s="0" t="n">
        <f aca="false">3_Returns!C219/3_Returns!C218-1</f>
        <v>-0.0102864182322143</v>
      </c>
      <c r="O219" s="0" t="n">
        <f aca="false">3_Returns!D219/3_Returns!D218-1</f>
        <v>-0.00312339607908507</v>
      </c>
      <c r="P219" s="0" t="n">
        <f aca="false">MAX(3_Returns!$B$31:B219)</f>
        <v>58.84</v>
      </c>
      <c r="Q219" s="0" t="n">
        <f aca="false">3_Returns!B219/P219-1</f>
        <v>-0.034670292318151</v>
      </c>
      <c r="R219" s="0" t="n">
        <f aca="false">LN(3_Returns!B219/3_Returns!B218)</f>
        <v>-0.00841519692528459</v>
      </c>
      <c r="S219" s="0" t="n">
        <f aca="false">M219-O219</f>
        <v>-0.00525649218907143</v>
      </c>
      <c r="T219" s="0" t="n">
        <f aca="false">IF(M219&gt;O219,1,0)</f>
        <v>0</v>
      </c>
    </row>
    <row r="220" customFormat="false" ht="15" hidden="false" customHeight="false" outlineLevel="0" collapsed="false">
      <c r="M220" s="0" t="n">
        <f aca="false">3_Returns!B220/3_Returns!B219-1</f>
        <v>-0.00774647887323943</v>
      </c>
      <c r="N220" s="0" t="n">
        <f aca="false">3_Returns!C220/3_Returns!C219-1</f>
        <v>-0.00485436893203883</v>
      </c>
      <c r="O220" s="0" t="n">
        <f aca="false">3_Returns!D220/3_Returns!D219-1</f>
        <v>-0.0021401277622537</v>
      </c>
      <c r="P220" s="0" t="n">
        <f aca="false">MAX(3_Returns!$B$31:B220)</f>
        <v>58.84</v>
      </c>
      <c r="Q220" s="0" t="n">
        <f aca="false">3_Returns!B220/P220-1</f>
        <v>-0.0421481985044189</v>
      </c>
      <c r="R220" s="0" t="n">
        <f aca="false">LN(3_Returns!B220/3_Returns!B219)</f>
        <v>-0.00777663869662619</v>
      </c>
      <c r="S220" s="0" t="n">
        <f aca="false">M220-O220</f>
        <v>-0.00560635111098573</v>
      </c>
      <c r="T220" s="0" t="n">
        <f aca="false">IF(M220&gt;O220,1,0)</f>
        <v>0</v>
      </c>
    </row>
    <row r="221" customFormat="false" ht="15" hidden="false" customHeight="false" outlineLevel="0" collapsed="false">
      <c r="M221" s="0" t="n">
        <f aca="false">3_Returns!B221/3_Returns!B220-1</f>
        <v>0.00798438608942509</v>
      </c>
      <c r="N221" s="0" t="n">
        <f aca="false">3_Returns!C221/3_Returns!C220-1</f>
        <v>0.0024390243902439</v>
      </c>
      <c r="O221" s="0" t="n">
        <f aca="false">3_Returns!D221/3_Returns!D220-1</f>
        <v>-0.00130241255020025</v>
      </c>
      <c r="P221" s="0" t="n">
        <f aca="false">MAX(3_Returns!$B$31:B221)</f>
        <v>58.84</v>
      </c>
      <c r="Q221" s="0" t="n">
        <f aca="false">3_Returns!B221/P221-1</f>
        <v>-0.0345003399048267</v>
      </c>
      <c r="R221" s="0" t="n">
        <f aca="false">LN(3_Returns!B221/3_Returns!B220)</f>
        <v>0.00795267953855602</v>
      </c>
      <c r="S221" s="0" t="n">
        <f aca="false">M221-O221</f>
        <v>0.00928679863962534</v>
      </c>
      <c r="T221" s="0" t="n">
        <f aca="false">IF(M221&gt;O221,1,0)</f>
        <v>1</v>
      </c>
    </row>
    <row r="222" customFormat="false" ht="15" hidden="false" customHeight="false" outlineLevel="0" collapsed="false">
      <c r="M222" s="0" t="n">
        <f aca="false">3_Returns!B222/3_Returns!B221-1</f>
        <v>-0.00352050695300132</v>
      </c>
      <c r="N222" s="0" t="n">
        <f aca="false">3_Returns!C222/3_Returns!C221-1</f>
        <v>-0.000686256160708609</v>
      </c>
      <c r="O222" s="0" t="n">
        <f aca="false">3_Returns!D222/3_Returns!D221-1</f>
        <v>0.0011510325438997</v>
      </c>
      <c r="P222" s="0" t="n">
        <f aca="false">MAX(3_Returns!$B$31:B222)</f>
        <v>58.84</v>
      </c>
      <c r="Q222" s="0" t="n">
        <f aca="false">3_Returns!B222/P222-1</f>
        <v>-0.0378993881713121</v>
      </c>
      <c r="R222" s="0" t="n">
        <f aca="false">LN(3_Returns!B222/3_Returns!B221)</f>
        <v>-0.00352671852046707</v>
      </c>
      <c r="S222" s="0" t="n">
        <f aca="false">M222-O222</f>
        <v>-0.00467153949690102</v>
      </c>
      <c r="T222" s="0" t="n">
        <f aca="false">IF(M222&gt;O222,1,0)</f>
        <v>0</v>
      </c>
    </row>
    <row r="223" customFormat="false" ht="15" hidden="false" customHeight="false" outlineLevel="0" collapsed="false">
      <c r="M223" s="0" t="n">
        <f aca="false">3_Returns!B223/3_Returns!B222-1</f>
        <v>-0.0127186009538951</v>
      </c>
      <c r="N223" s="0" t="n">
        <f aca="false">3_Returns!C223/3_Returns!C222-1</f>
        <v>-0.0144212760644276</v>
      </c>
      <c r="O223" s="0" t="n">
        <f aca="false">3_Returns!D223/3_Returns!D222-1</f>
        <v>-0.00875807883888202</v>
      </c>
      <c r="P223" s="0" t="n">
        <f aca="false">MAX(3_Returns!$B$31:B223)</f>
        <v>58.84</v>
      </c>
      <c r="Q223" s="0" t="n">
        <f aca="false">3_Returns!B223/P223-1</f>
        <v>-0.0501359619306595</v>
      </c>
      <c r="R223" s="0" t="n">
        <f aca="false">LN(3_Returns!B223/3_Returns!B222)</f>
        <v>-0.0128001747669618</v>
      </c>
      <c r="S223" s="0" t="n">
        <f aca="false">M223-O223</f>
        <v>-0.00396052211501308</v>
      </c>
      <c r="T223" s="0" t="n">
        <f aca="false">IF(M223&gt;O223,1,0)</f>
        <v>0</v>
      </c>
    </row>
    <row r="224" customFormat="false" ht="15" hidden="false" customHeight="false" outlineLevel="0" collapsed="false">
      <c r="M224" s="0" t="n">
        <f aca="false">3_Returns!B224/3_Returns!B223-1</f>
        <v>-0.00232599749507967</v>
      </c>
      <c r="N224" s="0" t="n">
        <f aca="false">3_Returns!C224/3_Returns!C223-1</f>
        <v>0.0150123519351366</v>
      </c>
      <c r="O224" s="0" t="n">
        <f aca="false">3_Returns!D224/3_Returns!D223-1</f>
        <v>0.0106790860482191</v>
      </c>
      <c r="P224" s="0" t="n">
        <f aca="false">MAX(3_Returns!$B$31:B224)</f>
        <v>58.84</v>
      </c>
      <c r="Q224" s="0" t="n">
        <f aca="false">3_Returns!B224/P224-1</f>
        <v>-0.052345343303875</v>
      </c>
      <c r="R224" s="0" t="n">
        <f aca="false">LN(3_Returns!B224/3_Returns!B223)</f>
        <v>-0.00232870682933838</v>
      </c>
      <c r="S224" s="0" t="n">
        <f aca="false">M224-O224</f>
        <v>-0.0130050835432988</v>
      </c>
      <c r="T224" s="0" t="n">
        <f aca="false">IF(M224&gt;O224,1,0)</f>
        <v>0</v>
      </c>
    </row>
    <row r="225" customFormat="false" ht="15" hidden="false" customHeight="false" outlineLevel="0" collapsed="false">
      <c r="M225" s="0" t="n">
        <f aca="false">3_Returns!B225/3_Returns!B224-1</f>
        <v>0.0163199426111909</v>
      </c>
      <c r="N225" s="0" t="n">
        <f aca="false">3_Returns!C225/3_Returns!C224-1</f>
        <v>-0.0076135796305542</v>
      </c>
      <c r="O225" s="0" t="n">
        <f aca="false">3_Returns!D225/3_Returns!D224-1</f>
        <v>-0.00371873234372577</v>
      </c>
      <c r="P225" s="0" t="n">
        <f aca="false">MAX(3_Returns!$B$31:B225)</f>
        <v>58.84</v>
      </c>
      <c r="Q225" s="0" t="n">
        <f aca="false">3_Returns!B225/P225-1</f>
        <v>-0.0368796736913665</v>
      </c>
      <c r="R225" s="0" t="n">
        <f aca="false">LN(3_Returns!B225/3_Returns!B224)</f>
        <v>0.0161882037292595</v>
      </c>
      <c r="S225" s="0" t="n">
        <f aca="false">M225-O225</f>
        <v>0.0200386749549166</v>
      </c>
      <c r="T225" s="0" t="n">
        <f aca="false">IF(M225&gt;O225,1,0)</f>
        <v>1</v>
      </c>
    </row>
    <row r="226" customFormat="false" ht="15" hidden="false" customHeight="false" outlineLevel="0" collapsed="false">
      <c r="M226" s="0" t="n">
        <f aca="false">3_Returns!B226/3_Returns!B225-1</f>
        <v>0.0127051349920593</v>
      </c>
      <c r="N226" s="0" t="n">
        <f aca="false">3_Returns!C226/3_Returns!C225-1</f>
        <v>-0.00113193309017734</v>
      </c>
      <c r="O226" s="0" t="n">
        <f aca="false">3_Returns!D226/3_Returns!D225-1</f>
        <v>0.00497878125916018</v>
      </c>
      <c r="P226" s="0" t="n">
        <f aca="false">MAX(3_Returns!$B$31:B226)</f>
        <v>58.84</v>
      </c>
      <c r="Q226" s="0" t="n">
        <f aca="false">3_Returns!B226/P226-1</f>
        <v>-0.0246430999320191</v>
      </c>
      <c r="R226" s="0" t="n">
        <f aca="false">LN(3_Returns!B226/3_Returns!B225)</f>
        <v>0.0126251019387433</v>
      </c>
      <c r="S226" s="0" t="n">
        <f aca="false">M226-O226</f>
        <v>0.00772635373289909</v>
      </c>
      <c r="T226" s="0" t="n">
        <f aca="false">IF(M226&gt;O226,1,0)</f>
        <v>1</v>
      </c>
    </row>
    <row r="227" customFormat="false" ht="15" hidden="false" customHeight="false" outlineLevel="0" collapsed="false">
      <c r="M227" s="0" t="n">
        <f aca="false">3_Returns!B227/3_Returns!B226-1</f>
        <v>0.0130684788290643</v>
      </c>
      <c r="N227" s="0" t="n">
        <f aca="false">3_Returns!C227/3_Returns!C226-1</f>
        <v>-0.0185091916393856</v>
      </c>
      <c r="O227" s="0" t="n">
        <f aca="false">3_Returns!D227/3_Returns!D226-1</f>
        <v>-0.00800280244657092</v>
      </c>
      <c r="P227" s="0" t="n">
        <f aca="false">MAX(3_Returns!$B$31:B227)</f>
        <v>58.84</v>
      </c>
      <c r="Q227" s="0" t="n">
        <f aca="false">3_Returns!B227/P227-1</f>
        <v>-0.0118966689326989</v>
      </c>
      <c r="R227" s="0" t="n">
        <f aca="false">LN(3_Returns!B227/3_Returns!B226)</f>
        <v>0.0129838230104586</v>
      </c>
      <c r="S227" s="0" t="n">
        <f aca="false">M227-O227</f>
        <v>0.0210712812756352</v>
      </c>
      <c r="T227" s="0" t="n">
        <f aca="false">IF(M227&gt;O227,1,0)</f>
        <v>1</v>
      </c>
    </row>
    <row r="228" customFormat="false" ht="15" hidden="false" customHeight="false" outlineLevel="0" collapsed="false">
      <c r="M228" s="0" t="n">
        <f aca="false">3_Returns!B228/3_Returns!B227-1</f>
        <v>0.0149638802889576</v>
      </c>
      <c r="N228" s="0" t="n">
        <f aca="false">3_Returns!C228/3_Returns!C227-1</f>
        <v>-0.00455420141116103</v>
      </c>
      <c r="O228" s="0" t="n">
        <f aca="false">3_Returns!D228/3_Returns!D227-1</f>
        <v>0.00393468685773213</v>
      </c>
      <c r="P228" s="0" t="n">
        <f aca="false">MAX(3_Returns!$B$31:B228)</f>
        <v>59.01</v>
      </c>
      <c r="Q228" s="0" t="n">
        <f aca="false">3_Returns!B228/P228-1</f>
        <v>0</v>
      </c>
      <c r="R228" s="0" t="n">
        <f aca="false">LN(3_Returns!B228/3_Returns!B227)</f>
        <v>0.0148530259383474</v>
      </c>
      <c r="S228" s="0" t="n">
        <f aca="false">M228-O228</f>
        <v>0.0110291934312254</v>
      </c>
      <c r="T228" s="0" t="n">
        <f aca="false">IF(M228&gt;O228,1,0)</f>
        <v>1</v>
      </c>
    </row>
    <row r="229" customFormat="false" ht="15" hidden="false" customHeight="false" outlineLevel="0" collapsed="false">
      <c r="M229" s="0" t="n">
        <f aca="false">3_Returns!B229/3_Returns!B228-1</f>
        <v>0.0240637180138961</v>
      </c>
      <c r="N229" s="0" t="n">
        <f aca="false">3_Returns!C229/3_Returns!C228-1</f>
        <v>0.00921451124428119</v>
      </c>
      <c r="O229" s="0" t="n">
        <f aca="false">3_Returns!D229/3_Returns!D228-1</f>
        <v>0.00426365488090608</v>
      </c>
      <c r="P229" s="0" t="n">
        <f aca="false">MAX(3_Returns!$B$31:B229)</f>
        <v>60.43</v>
      </c>
      <c r="Q229" s="0" t="n">
        <f aca="false">3_Returns!B229/P229-1</f>
        <v>0</v>
      </c>
      <c r="R229" s="0" t="n">
        <f aca="false">LN(3_Returns!B229/3_Returns!B228)</f>
        <v>0.0237787493043899</v>
      </c>
      <c r="S229" s="0" t="n">
        <f aca="false">M229-O229</f>
        <v>0.01980006313299</v>
      </c>
      <c r="T229" s="0" t="n">
        <f aca="false">IF(M229&gt;O229,1,0)</f>
        <v>1</v>
      </c>
    </row>
    <row r="230" customFormat="false" ht="15" hidden="false" customHeight="false" outlineLevel="0" collapsed="false">
      <c r="M230" s="0" t="n">
        <f aca="false">3_Returns!B230/3_Returns!B229-1</f>
        <v>-0.0076121131888135</v>
      </c>
      <c r="N230" s="0" t="n">
        <f aca="false">3_Returns!C230/3_Returns!C229-1</f>
        <v>-0.017941514493679</v>
      </c>
      <c r="O230" s="0" t="n">
        <f aca="false">3_Returns!D230/3_Returns!D229-1</f>
        <v>-0.00392167782156361</v>
      </c>
      <c r="P230" s="0" t="n">
        <f aca="false">MAX(3_Returns!$B$31:B230)</f>
        <v>60.43</v>
      </c>
      <c r="Q230" s="0" t="n">
        <f aca="false">3_Returns!B230/P230-1</f>
        <v>-0.0076121131888135</v>
      </c>
      <c r="R230" s="0" t="n">
        <f aca="false">LN(3_Returns!B230/3_Returns!B229)</f>
        <v>-0.00764123319304876</v>
      </c>
      <c r="S230" s="0" t="n">
        <f aca="false">M230-O230</f>
        <v>-0.00369043536724989</v>
      </c>
      <c r="T230" s="0" t="n">
        <f aca="false">IF(M230&gt;O230,1,0)</f>
        <v>0</v>
      </c>
    </row>
    <row r="231" customFormat="false" ht="15" hidden="false" customHeight="false" outlineLevel="0" collapsed="false">
      <c r="M231" s="0" t="n">
        <f aca="false">3_Returns!B231/3_Returns!B230-1</f>
        <v>0.0340170085042522</v>
      </c>
      <c r="N231" s="0" t="n">
        <f aca="false">3_Returns!C231/3_Returns!C230-1</f>
        <v>0.0139132696183601</v>
      </c>
      <c r="O231" s="0" t="n">
        <f aca="false">3_Returns!D231/3_Returns!D230-1</f>
        <v>0.0206860530981263</v>
      </c>
      <c r="P231" s="0" t="n">
        <f aca="false">MAX(3_Returns!$B$31:B231)</f>
        <v>62.01</v>
      </c>
      <c r="Q231" s="0" t="n">
        <f aca="false">3_Returns!B231/P231-1</f>
        <v>0</v>
      </c>
      <c r="R231" s="0" t="n">
        <f aca="false">LN(3_Returns!B231/3_Returns!B230)</f>
        <v>0.0334512251813682</v>
      </c>
      <c r="S231" s="0" t="n">
        <f aca="false">M231-O231</f>
        <v>0.0133309554061258</v>
      </c>
      <c r="T231" s="0" t="n">
        <f aca="false">IF(M231&gt;O231,1,0)</f>
        <v>1</v>
      </c>
    </row>
    <row r="232" customFormat="false" ht="15" hidden="false" customHeight="false" outlineLevel="0" collapsed="false">
      <c r="M232" s="0" t="n">
        <f aca="false">3_Returns!B232/3_Returns!B231-1</f>
        <v>0.0391872278664731</v>
      </c>
      <c r="N232" s="0" t="n">
        <f aca="false">3_Returns!C232/3_Returns!C231-1</f>
        <v>0.00974671369028535</v>
      </c>
      <c r="O232" s="0" t="n">
        <f aca="false">3_Returns!D232/3_Returns!D231-1</f>
        <v>0.00405624545041761</v>
      </c>
      <c r="P232" s="0" t="n">
        <f aca="false">MAX(3_Returns!$B$31:B232)</f>
        <v>64.44</v>
      </c>
      <c r="Q232" s="0" t="n">
        <f aca="false">3_Returns!B232/P232-1</f>
        <v>0</v>
      </c>
      <c r="R232" s="0" t="n">
        <f aca="false">LN(3_Returns!B232/3_Returns!B231)</f>
        <v>0.038438895946987</v>
      </c>
      <c r="S232" s="0" t="n">
        <f aca="false">M232-O232</f>
        <v>0.0351309824160555</v>
      </c>
      <c r="T232" s="0" t="n">
        <f aca="false">IF(M232&gt;O232,1,0)</f>
        <v>1</v>
      </c>
    </row>
    <row r="233" customFormat="false" ht="15" hidden="false" customHeight="false" outlineLevel="0" collapsed="false">
      <c r="M233" s="0" t="n">
        <f aca="false">3_Returns!B233/3_Returns!B232-1</f>
        <v>0.00667287399130978</v>
      </c>
      <c r="N233" s="0" t="n">
        <f aca="false">3_Returns!C233/3_Returns!C232-1</f>
        <v>0.00927160729027765</v>
      </c>
      <c r="O233" s="0" t="n">
        <f aca="false">3_Returns!D233/3_Returns!D232-1</f>
        <v>0.0182281759334098</v>
      </c>
      <c r="P233" s="0" t="n">
        <f aca="false">MAX(3_Returns!$B$31:B233)</f>
        <v>64.87</v>
      </c>
      <c r="Q233" s="0" t="n">
        <f aca="false">3_Returns!B233/P233-1</f>
        <v>0</v>
      </c>
      <c r="R233" s="0" t="n">
        <f aca="false">LN(3_Returns!B233/3_Returns!B232)</f>
        <v>0.00665070891619044</v>
      </c>
      <c r="S233" s="0" t="n">
        <f aca="false">M233-O233</f>
        <v>-0.0115553019421</v>
      </c>
      <c r="T233" s="0" t="n">
        <f aca="false">IF(M233&gt;O233,1,0)</f>
        <v>0</v>
      </c>
    </row>
    <row r="234" customFormat="false" ht="15" hidden="false" customHeight="false" outlineLevel="0" collapsed="false">
      <c r="M234" s="0" t="n">
        <f aca="false">3_Returns!B234/3_Returns!B233-1</f>
        <v>0.026977030985047</v>
      </c>
      <c r="N234" s="0" t="n">
        <f aca="false">3_Returns!C234/3_Returns!C233-1</f>
        <v>0.00937519662744601</v>
      </c>
      <c r="O234" s="0" t="n">
        <f aca="false">3_Returns!D234/3_Returns!D233-1</f>
        <v>0.00998370123058523</v>
      </c>
      <c r="P234" s="0" t="n">
        <f aca="false">MAX(3_Returns!$B$31:B234)</f>
        <v>66.62</v>
      </c>
      <c r="Q234" s="0" t="n">
        <f aca="false">3_Returns!B234/P234-1</f>
        <v>0</v>
      </c>
      <c r="R234" s="0" t="n">
        <f aca="false">LN(3_Returns!B234/3_Returns!B233)</f>
        <v>0.0266195655405695</v>
      </c>
      <c r="S234" s="0" t="n">
        <f aca="false">M234-O234</f>
        <v>0.0169933297544618</v>
      </c>
      <c r="T234" s="0" t="n">
        <f aca="false">IF(M234&gt;O234,1,0)</f>
        <v>1</v>
      </c>
    </row>
    <row r="235" customFormat="false" ht="15" hidden="false" customHeight="false" outlineLevel="0" collapsed="false">
      <c r="M235" s="0" t="n">
        <f aca="false">3_Returns!B235/3_Returns!B234-1</f>
        <v>0.0139597718402882</v>
      </c>
      <c r="N235" s="0" t="n">
        <f aca="false">3_Returns!C235/3_Returns!C234-1</f>
        <v>-0.0148983917217304</v>
      </c>
      <c r="O235" s="0" t="n">
        <f aca="false">3_Returns!D235/3_Returns!D234-1</f>
        <v>-0.00635734298242308</v>
      </c>
      <c r="P235" s="0" t="n">
        <f aca="false">MAX(3_Returns!$B$31:B235)</f>
        <v>67.55</v>
      </c>
      <c r="Q235" s="0" t="n">
        <f aca="false">3_Returns!B235/P235-1</f>
        <v>0</v>
      </c>
      <c r="R235" s="0" t="n">
        <f aca="false">LN(3_Returns!B235/3_Returns!B234)</f>
        <v>0.0138632316406743</v>
      </c>
      <c r="S235" s="0" t="n">
        <f aca="false">M235-O235</f>
        <v>0.0203171148227113</v>
      </c>
      <c r="T235" s="0" t="n">
        <f aca="false">IF(M235&gt;O235,1,0)</f>
        <v>1</v>
      </c>
    </row>
    <row r="236" customFormat="false" ht="15" hidden="false" customHeight="false" outlineLevel="0" collapsed="false">
      <c r="M236" s="0" t="n">
        <f aca="false">3_Returns!B236/3_Returns!B235-1</f>
        <v>0.00133234641006674</v>
      </c>
      <c r="N236" s="0" t="n">
        <f aca="false">3_Returns!C236/3_Returns!C235-1</f>
        <v>0.00999810162627357</v>
      </c>
      <c r="O236" s="0" t="n">
        <f aca="false">3_Returns!D236/3_Returns!D235-1</f>
        <v>-0.0035347851803148</v>
      </c>
      <c r="P236" s="0" t="n">
        <f aca="false">MAX(3_Returns!$B$31:B236)</f>
        <v>67.64</v>
      </c>
      <c r="Q236" s="0" t="n">
        <f aca="false">3_Returns!B236/P236-1</f>
        <v>0</v>
      </c>
      <c r="R236" s="0" t="n">
        <f aca="false">LN(3_Returns!B236/3_Returns!B235)</f>
        <v>0.00133145962417181</v>
      </c>
      <c r="S236" s="0" t="n">
        <f aca="false">M236-O236</f>
        <v>0.00486713159038155</v>
      </c>
      <c r="T236" s="0" t="n">
        <f aca="false">IF(M236&gt;O236,1,0)</f>
        <v>1</v>
      </c>
    </row>
    <row r="237" customFormat="false" ht="15" hidden="false" customHeight="false" outlineLevel="0" collapsed="false">
      <c r="M237" s="0" t="n">
        <f aca="false">3_Returns!B237/3_Returns!B236-1</f>
        <v>0.0153755174452987</v>
      </c>
      <c r="N237" s="0" t="n">
        <f aca="false">3_Returns!C237/3_Returns!C236-1</f>
        <v>0.0137835975189524</v>
      </c>
      <c r="O237" s="0" t="n">
        <f aca="false">3_Returns!D237/3_Returns!D236-1</f>
        <v>0.00471331670583863</v>
      </c>
      <c r="P237" s="0" t="n">
        <f aca="false">MAX(3_Returns!$B$31:B237)</f>
        <v>68.68</v>
      </c>
      <c r="Q237" s="0" t="n">
        <f aca="false">3_Returns!B237/P237-1</f>
        <v>0</v>
      </c>
      <c r="R237" s="0" t="n">
        <f aca="false">LN(3_Returns!B237/3_Returns!B236)</f>
        <v>0.0152585119988953</v>
      </c>
      <c r="S237" s="0" t="n">
        <f aca="false">M237-O237</f>
        <v>0.0106622007394601</v>
      </c>
      <c r="T237" s="0" t="n">
        <f aca="false">IF(M237&gt;O237,1,0)</f>
        <v>1</v>
      </c>
    </row>
    <row r="238" customFormat="false" ht="15" hidden="false" customHeight="false" outlineLevel="0" collapsed="false">
      <c r="M238" s="0" t="n">
        <f aca="false">3_Returns!B238/3_Returns!B237-1</f>
        <v>0.0174723354688409</v>
      </c>
      <c r="N238" s="0" t="n">
        <f aca="false">3_Returns!C238/3_Returns!C237-1</f>
        <v>0.00296644212347807</v>
      </c>
      <c r="O238" s="0" t="n">
        <f aca="false">3_Returns!D238/3_Returns!D237-1</f>
        <v>0.000934592554131974</v>
      </c>
      <c r="P238" s="0" t="n">
        <f aca="false">MAX(3_Returns!$B$31:B238)</f>
        <v>69.88</v>
      </c>
      <c r="Q238" s="0" t="n">
        <f aca="false">3_Returns!B238/P238-1</f>
        <v>0</v>
      </c>
      <c r="R238" s="0" t="n">
        <f aca="false">LN(3_Returns!B238/3_Returns!B237)</f>
        <v>0.0173214492365809</v>
      </c>
      <c r="S238" s="0" t="n">
        <f aca="false">M238-O238</f>
        <v>0.0165377429147089</v>
      </c>
      <c r="T238" s="0" t="n">
        <f aca="false">IF(M238&gt;O238,1,0)</f>
        <v>1</v>
      </c>
    </row>
    <row r="239" customFormat="false" ht="15" hidden="false" customHeight="false" outlineLevel="0" collapsed="false">
      <c r="M239" s="0" t="n">
        <f aca="false">3_Returns!B239/3_Returns!B238-1</f>
        <v>-0.00729822552947901</v>
      </c>
      <c r="N239" s="0" t="n">
        <f aca="false">3_Returns!C239/3_Returns!C238-1</f>
        <v>-0.0158974674964568</v>
      </c>
      <c r="O239" s="0" t="n">
        <f aca="false">3_Returns!D239/3_Returns!D238-1</f>
        <v>0.000815953431771099</v>
      </c>
      <c r="P239" s="0" t="n">
        <f aca="false">MAX(3_Returns!$B$31:B239)</f>
        <v>69.88</v>
      </c>
      <c r="Q239" s="0" t="n">
        <f aca="false">3_Returns!B239/P239-1</f>
        <v>-0.00729822552947901</v>
      </c>
      <c r="R239" s="0" t="n">
        <f aca="false">LN(3_Returns!B239/3_Returns!B238)</f>
        <v>-0.00732498786864579</v>
      </c>
      <c r="S239" s="0" t="n">
        <f aca="false">M239-O239</f>
        <v>-0.00811417896125011</v>
      </c>
      <c r="T239" s="0" t="n">
        <f aca="false">IF(M239&gt;O239,1,0)</f>
        <v>0</v>
      </c>
    </row>
    <row r="240" customFormat="false" ht="15" hidden="false" customHeight="false" outlineLevel="0" collapsed="false">
      <c r="M240" s="0" t="n">
        <f aca="false">3_Returns!B240/3_Returns!B239-1</f>
        <v>0.00245062707222155</v>
      </c>
      <c r="N240" s="0" t="n">
        <f aca="false">3_Returns!C240/3_Returns!C239-1</f>
        <v>-0.0115834950848412</v>
      </c>
      <c r="O240" s="0" t="n">
        <f aca="false">3_Returns!D240/3_Returns!D239-1</f>
        <v>-0.00256773756125162</v>
      </c>
      <c r="P240" s="0" t="n">
        <f aca="false">MAX(3_Returns!$B$31:B240)</f>
        <v>69.88</v>
      </c>
      <c r="Q240" s="0" t="n">
        <f aca="false">3_Returns!B240/P240-1</f>
        <v>-0.00486548368631923</v>
      </c>
      <c r="R240" s="0" t="n">
        <f aca="false">LN(3_Returns!B240/3_Returns!B239)</f>
        <v>0.00244762918250554</v>
      </c>
      <c r="S240" s="0" t="n">
        <f aca="false">M240-O240</f>
        <v>0.00501836463347316</v>
      </c>
      <c r="T240" s="0" t="n">
        <f aca="false">IF(M240&gt;O240,1,0)</f>
        <v>1</v>
      </c>
    </row>
    <row r="241" customFormat="false" ht="15" hidden="false" customHeight="false" outlineLevel="0" collapsed="false">
      <c r="M241" s="0" t="n">
        <f aca="false">3_Returns!B241/3_Returns!B240-1</f>
        <v>-0.0324992809893587</v>
      </c>
      <c r="N241" s="0" t="n">
        <f aca="false">3_Returns!C241/3_Returns!C240-1</f>
        <v>-0.00316736348663371</v>
      </c>
      <c r="O241" s="0" t="n">
        <f aca="false">3_Returns!D241/3_Returns!D240-1</f>
        <v>-0.0179108879603946</v>
      </c>
      <c r="P241" s="0" t="n">
        <f aca="false">MAX(3_Returns!$B$31:B241)</f>
        <v>69.88</v>
      </c>
      <c r="Q241" s="0" t="n">
        <f aca="false">3_Returns!B241/P241-1</f>
        <v>-0.0372066399542071</v>
      </c>
      <c r="R241" s="0" t="n">
        <f aca="false">LN(3_Returns!B241/3_Returns!B240)</f>
        <v>-0.0330391109150228</v>
      </c>
      <c r="S241" s="0" t="n">
        <f aca="false">M241-O241</f>
        <v>-0.0145883930289641</v>
      </c>
      <c r="T241" s="0" t="n">
        <f aca="false">IF(M241&gt;O241,1,0)</f>
        <v>0</v>
      </c>
    </row>
    <row r="242" customFormat="false" ht="15" hidden="false" customHeight="false" outlineLevel="0" collapsed="false">
      <c r="M242" s="0" t="n">
        <f aca="false">3_Returns!B242/3_Returns!B241-1</f>
        <v>-0.0108501783590964</v>
      </c>
      <c r="N242" s="0" t="n">
        <f aca="false">3_Returns!C242/3_Returns!C241-1</f>
        <v>0.0148703609557701</v>
      </c>
      <c r="O242" s="0" t="n">
        <f aca="false">3_Returns!D242/3_Returns!D241-1</f>
        <v>-0.00195346017000531</v>
      </c>
      <c r="P242" s="0" t="n">
        <f aca="false">MAX(3_Returns!$B$31:B242)</f>
        <v>69.88</v>
      </c>
      <c r="Q242" s="0" t="n">
        <f aca="false">3_Returns!B242/P242-1</f>
        <v>-0.0476531196336577</v>
      </c>
      <c r="R242" s="0" t="n">
        <f aca="false">LN(3_Returns!B242/3_Returns!B241)</f>
        <v>-0.0109094708235721</v>
      </c>
      <c r="S242" s="0" t="n">
        <f aca="false">M242-O242</f>
        <v>-0.0088967181890911</v>
      </c>
      <c r="T242" s="0" t="n">
        <f aca="false">IF(M242&gt;O242,1,0)</f>
        <v>0</v>
      </c>
    </row>
    <row r="243" customFormat="false" ht="15" hidden="false" customHeight="false" outlineLevel="0" collapsed="false">
      <c r="M243" s="0" t="n">
        <f aca="false">3_Returns!B243/3_Returns!B242-1</f>
        <v>-0.034259954921112</v>
      </c>
      <c r="N243" s="0" t="n">
        <f aca="false">3_Returns!C243/3_Returns!C242-1</f>
        <v>-0.0125234815278648</v>
      </c>
      <c r="O243" s="0" t="n">
        <f aca="false">3_Returns!D243/3_Returns!D242-1</f>
        <v>-0.0220402174504877</v>
      </c>
      <c r="P243" s="0" t="n">
        <f aca="false">MAX(3_Returns!$B$31:B243)</f>
        <v>69.88</v>
      </c>
      <c r="Q243" s="0" t="n">
        <f aca="false">3_Returns!B243/P243-1</f>
        <v>-0.0802804808242702</v>
      </c>
      <c r="R243" s="0" t="n">
        <f aca="false">LN(3_Returns!B243/3_Returns!B242)</f>
        <v>-0.0348605854579259</v>
      </c>
      <c r="S243" s="0" t="n">
        <f aca="false">M243-O243</f>
        <v>-0.0122197374706243</v>
      </c>
      <c r="T243" s="0" t="n">
        <f aca="false">IF(M243&gt;O243,1,0)</f>
        <v>0</v>
      </c>
    </row>
    <row r="244" customFormat="false" ht="15" hidden="false" customHeight="false" outlineLevel="0" collapsed="false">
      <c r="M244" s="0" t="n">
        <f aca="false">3_Returns!B244/3_Returns!B243-1</f>
        <v>0.00326746538042655</v>
      </c>
      <c r="N244" s="0" t="n">
        <f aca="false">3_Returns!C244/3_Returns!C243-1</f>
        <v>0.0147748890298034</v>
      </c>
      <c r="O244" s="0" t="n">
        <f aca="false">3_Returns!D244/3_Returns!D243-1</f>
        <v>0.00406579109306038</v>
      </c>
      <c r="P244" s="0" t="n">
        <f aca="false">MAX(3_Returns!$B$31:B244)</f>
        <v>69.88</v>
      </c>
      <c r="Q244" s="0" t="n">
        <f aca="false">3_Returns!B244/P244-1</f>
        <v>-0.077275329135661</v>
      </c>
      <c r="R244" s="0" t="n">
        <f aca="false">LN(3_Returns!B244/3_Returns!B243)</f>
        <v>0.00326213881517825</v>
      </c>
      <c r="S244" s="0" t="n">
        <f aca="false">M244-O244</f>
        <v>-0.00079832571263383</v>
      </c>
      <c r="T244" s="0" t="n">
        <f aca="false">IF(M244&gt;O244,1,0)</f>
        <v>0</v>
      </c>
    </row>
    <row r="245" customFormat="false" ht="15" hidden="false" customHeight="false" outlineLevel="0" collapsed="false">
      <c r="M245" s="0" t="n">
        <f aca="false">3_Returns!B245/3_Returns!B244-1</f>
        <v>-0.00635856079404484</v>
      </c>
      <c r="N245" s="0" t="n">
        <f aca="false">3_Returns!C245/3_Returns!C244-1</f>
        <v>-0.0105605199025183</v>
      </c>
      <c r="O245" s="0" t="n">
        <f aca="false">3_Returns!D245/3_Returns!D244-1</f>
        <v>-0.00700132350988392</v>
      </c>
      <c r="P245" s="0" t="n">
        <f aca="false">MAX(3_Returns!$B$31:B245)</f>
        <v>69.88</v>
      </c>
      <c r="Q245" s="0" t="n">
        <f aca="false">3_Returns!B245/P245-1</f>
        <v>-0.083142530051517</v>
      </c>
      <c r="R245" s="0" t="n">
        <f aca="false">LN(3_Returns!B245/3_Returns!B244)</f>
        <v>-0.00637886254744283</v>
      </c>
      <c r="S245" s="0" t="n">
        <f aca="false">M245-O245</f>
        <v>0.000642762715839074</v>
      </c>
      <c r="T245" s="0" t="n">
        <f aca="false">IF(M245&gt;O245,1,0)</f>
        <v>1</v>
      </c>
    </row>
    <row r="246" customFormat="false" ht="15" hidden="false" customHeight="false" outlineLevel="0" collapsed="false">
      <c r="M246" s="0" t="n">
        <f aca="false">3_Returns!B246/3_Returns!B245-1</f>
        <v>-0.00218511003589816</v>
      </c>
      <c r="N246" s="0" t="n">
        <f aca="false">3_Returns!C246/3_Returns!C245-1</f>
        <v>-0.00650498926360998</v>
      </c>
      <c r="O246" s="0" t="n">
        <f aca="false">3_Returns!D246/3_Returns!D245-1</f>
        <v>-0.00689198105513444</v>
      </c>
      <c r="P246" s="0" t="n">
        <f aca="false">MAX(3_Returns!$B$31:B246)</f>
        <v>69.88</v>
      </c>
      <c r="Q246" s="0" t="n">
        <f aca="false">3_Returns!B246/P246-1</f>
        <v>-0.0851459645105895</v>
      </c>
      <c r="R246" s="0" t="n">
        <f aca="false">LN(3_Returns!B246/3_Returns!B245)</f>
        <v>-0.00218750087229466</v>
      </c>
      <c r="S246" s="0" t="n">
        <f aca="false">M246-O246</f>
        <v>0.00470687101923628</v>
      </c>
      <c r="T246" s="0" t="n">
        <f aca="false">IF(M246&gt;O246,1,0)</f>
        <v>1</v>
      </c>
    </row>
    <row r="247" customFormat="false" ht="15" hidden="false" customHeight="false" outlineLevel="0" collapsed="false">
      <c r="M247" s="0" t="n">
        <f aca="false">3_Returns!B247/3_Returns!B246-1</f>
        <v>-0.0203347411231033</v>
      </c>
      <c r="N247" s="0" t="n">
        <f aca="false">3_Returns!C247/3_Returns!C246-1</f>
        <v>-0.0012078062424512</v>
      </c>
      <c r="O247" s="0" t="n">
        <f aca="false">3_Returns!D247/3_Returns!D246-1</f>
        <v>-0.00189402066554101</v>
      </c>
      <c r="P247" s="0" t="n">
        <f aca="false">MAX(3_Returns!$B$31:B247)</f>
        <v>69.88</v>
      </c>
      <c r="Q247" s="0" t="n">
        <f aca="false">3_Returns!B247/P247-1</f>
        <v>-0.103749284487693</v>
      </c>
      <c r="R247" s="0" t="n">
        <f aca="false">LN(3_Returns!B247/3_Returns!B246)</f>
        <v>-0.0205443382413139</v>
      </c>
      <c r="S247" s="0" t="n">
        <f aca="false">M247-O247</f>
        <v>-0.0184407204575623</v>
      </c>
      <c r="T247" s="0" t="n">
        <f aca="false">IF(M247&gt;O247,1,0)</f>
        <v>0</v>
      </c>
    </row>
    <row r="248" customFormat="false" ht="15" hidden="false" customHeight="false" outlineLevel="0" collapsed="false">
      <c r="M248" s="0" t="n">
        <f aca="false">3_Returns!B248/3_Returns!B247-1</f>
        <v>0.0293788919048379</v>
      </c>
      <c r="N248" s="0" t="n">
        <f aca="false">3_Returns!C248/3_Returns!C247-1</f>
        <v>0.00623727087576365</v>
      </c>
      <c r="O248" s="0" t="n">
        <f aca="false">3_Returns!D248/3_Returns!D247-1</f>
        <v>0.00306583389051052</v>
      </c>
      <c r="P248" s="0" t="n">
        <f aca="false">MAX(3_Returns!$B$31:B248)</f>
        <v>69.88</v>
      </c>
      <c r="Q248" s="0" t="n">
        <f aca="false">3_Returns!B248/P248-1</f>
        <v>-0.0774184315970234</v>
      </c>
      <c r="R248" s="0" t="n">
        <f aca="false">LN(3_Returns!B248/3_Returns!B247)</f>
        <v>0.0289556027852073</v>
      </c>
      <c r="S248" s="0" t="n">
        <f aca="false">M248-O248</f>
        <v>0.0263130580143274</v>
      </c>
      <c r="T248" s="0" t="n">
        <f aca="false">IF(M248&gt;O248,1,0)</f>
        <v>1</v>
      </c>
    </row>
    <row r="249" customFormat="false" ht="15" hidden="false" customHeight="false" outlineLevel="0" collapsed="false">
      <c r="M249" s="0" t="n">
        <f aca="false">3_Returns!B249/3_Returns!B248-1</f>
        <v>-0.00186133085155893</v>
      </c>
      <c r="N249" s="0" t="n">
        <f aca="false">3_Returns!C249/3_Returns!C248-1</f>
        <v>-0.0242251739405439</v>
      </c>
      <c r="O249" s="0" t="n">
        <f aca="false">3_Returns!D249/3_Returns!D248-1</f>
        <v>-0.0141147119638072</v>
      </c>
      <c r="P249" s="0" t="n">
        <f aca="false">MAX(3_Returns!$B$31:B249)</f>
        <v>69.88</v>
      </c>
      <c r="Q249" s="0" t="n">
        <f aca="false">3_Returns!B249/P249-1</f>
        <v>-0.0791356611333716</v>
      </c>
      <c r="R249" s="0" t="n">
        <f aca="false">LN(3_Returns!B249/3_Returns!B248)</f>
        <v>-0.00186306528039318</v>
      </c>
      <c r="S249" s="0" t="n">
        <f aca="false">M249-O249</f>
        <v>0.0122533811122483</v>
      </c>
      <c r="T249" s="0" t="n">
        <f aca="false">IF(M249&gt;O249,1,0)</f>
        <v>1</v>
      </c>
    </row>
    <row r="250" customFormat="false" ht="15" hidden="false" customHeight="false" outlineLevel="0" collapsed="false">
      <c r="M250" s="0" t="n">
        <f aca="false">3_Returns!B250/3_Returns!B249-1</f>
        <v>-0.0111888111888111</v>
      </c>
      <c r="N250" s="0" t="n">
        <f aca="false">3_Returns!C250/3_Returns!C249-1</f>
        <v>-0.00311142801581654</v>
      </c>
      <c r="O250" s="0" t="n">
        <f aca="false">3_Returns!D250/3_Returns!D249-1</f>
        <v>-0.0173075741062501</v>
      </c>
      <c r="P250" s="0" t="n">
        <f aca="false">MAX(3_Returns!$B$31:B250)</f>
        <v>69.88</v>
      </c>
      <c r="Q250" s="0" t="n">
        <f aca="false">3_Returns!B250/P250-1</f>
        <v>-0.0894390383514595</v>
      </c>
      <c r="R250" s="0" t="n">
        <f aca="false">LN(3_Returns!B250/3_Returns!B249)</f>
        <v>-0.0112518767974348</v>
      </c>
      <c r="S250" s="0" t="n">
        <f aca="false">M250-O250</f>
        <v>0.00611876291743896</v>
      </c>
      <c r="T250" s="0" t="n">
        <f aca="false">IF(M250&gt;O250,1,0)</f>
        <v>1</v>
      </c>
    </row>
    <row r="251" customFormat="false" ht="15" hidden="false" customHeight="false" outlineLevel="0" collapsed="false">
      <c r="M251" s="0" t="n">
        <f aca="false">3_Returns!B251/3_Returns!B250-1</f>
        <v>-0.0168159673110169</v>
      </c>
      <c r="N251" s="0" t="n">
        <f aca="false">3_Returns!C251/3_Returns!C250-1</f>
        <v>0.00526692242668569</v>
      </c>
      <c r="O251" s="0" t="n">
        <f aca="false">3_Returns!D251/3_Returns!D250-1</f>
        <v>-0.0104270912153092</v>
      </c>
      <c r="P251" s="0" t="n">
        <f aca="false">MAX(3_Returns!$B$31:B251)</f>
        <v>69.88</v>
      </c>
      <c r="Q251" s="0" t="n">
        <f aca="false">3_Returns!B251/P251-1</f>
        <v>-0.104751001717229</v>
      </c>
      <c r="R251" s="0" t="n">
        <f aca="false">LN(3_Returns!B251/3_Returns!B250)</f>
        <v>-0.0169589610076452</v>
      </c>
      <c r="S251" s="0" t="n">
        <f aca="false">M251-O251</f>
        <v>-0.00638887609570771</v>
      </c>
      <c r="T251" s="0" t="n">
        <f aca="false">IF(M251&gt;O251,1,0)</f>
        <v>0</v>
      </c>
    </row>
    <row r="252" customFormat="false" ht="15" hidden="false" customHeight="false" outlineLevel="0" collapsed="false">
      <c r="M252" s="0" t="n">
        <f aca="false">3_Returns!B252/3_Returns!B251-1</f>
        <v>-0.0252557544757034</v>
      </c>
      <c r="N252" s="0" t="n">
        <f aca="false">3_Returns!C252/3_Returns!C251-1</f>
        <v>-0.0249676584734798</v>
      </c>
      <c r="O252" s="0" t="n">
        <f aca="false">3_Returns!D252/3_Returns!D251-1</f>
        <v>-0.0202614892957732</v>
      </c>
      <c r="P252" s="0" t="n">
        <f aca="false">MAX(3_Returns!$B$31:B252)</f>
        <v>69.88</v>
      </c>
      <c r="Q252" s="0" t="n">
        <f aca="false">3_Returns!B252/P252-1</f>
        <v>-0.127361190612479</v>
      </c>
      <c r="R252" s="0" t="n">
        <f aca="false">LN(3_Returns!B252/3_Returns!B251)</f>
        <v>-0.025580154676947</v>
      </c>
      <c r="S252" s="0" t="n">
        <f aca="false">M252-O252</f>
        <v>-0.00499426517993018</v>
      </c>
      <c r="T252" s="0" t="n">
        <f aca="false">IF(M252&gt;O252,1,0)</f>
        <v>0</v>
      </c>
    </row>
    <row r="253" customFormat="false" ht="15" hidden="false" customHeight="false" outlineLevel="0" collapsed="false">
      <c r="M253" s="0" t="n">
        <f aca="false">3_Returns!B253/3_Returns!B252-1</f>
        <v>-0.00409970482125288</v>
      </c>
      <c r="N253" s="0" t="n">
        <f aca="false">3_Returns!C253/3_Returns!C252-1</f>
        <v>-0.0193047631683694</v>
      </c>
      <c r="O253" s="0" t="n">
        <f aca="false">3_Returns!D253/3_Returns!D252-1</f>
        <v>-0.0094268369822792</v>
      </c>
      <c r="P253" s="0" t="n">
        <f aca="false">MAX(3_Returns!$B$31:B253)</f>
        <v>69.88</v>
      </c>
      <c r="Q253" s="0" t="n">
        <f aca="false">3_Returns!B253/P253-1</f>
        <v>-0.130938752146537</v>
      </c>
      <c r="R253" s="0" t="n">
        <f aca="false">LN(3_Returns!B253/3_Returns!B252)</f>
        <v>-0.00410813165062476</v>
      </c>
      <c r="S253" s="0" t="n">
        <f aca="false">M253-O253</f>
        <v>0.00532713216102632</v>
      </c>
      <c r="T253" s="0" t="n">
        <f aca="false">IF(M253&gt;O253,1,0)</f>
        <v>1</v>
      </c>
    </row>
    <row r="254" customFormat="false" ht="15" hidden="false" customHeight="false" outlineLevel="0" collapsed="false">
      <c r="M254" s="0" t="n">
        <f aca="false">3_Returns!B254/3_Returns!B253-1</f>
        <v>0.0251934793347604</v>
      </c>
      <c r="N254" s="0" t="n">
        <f aca="false">3_Returns!C254/3_Returns!C253-1</f>
        <v>0.0148819590069673</v>
      </c>
      <c r="O254" s="0" t="n">
        <f aca="false">3_Returns!D254/3_Returns!D253-1</f>
        <v>0.0163517516897391</v>
      </c>
      <c r="P254" s="0" t="n">
        <f aca="false">MAX(3_Returns!$B$31:B254)</f>
        <v>69.88</v>
      </c>
      <c r="Q254" s="0" t="n">
        <f aca="false">3_Returns!B254/P254-1</f>
        <v>-0.1090440755581</v>
      </c>
      <c r="R254" s="0" t="n">
        <f aca="false">LN(3_Returns!B254/3_Returns!B253)</f>
        <v>0.0248813551039781</v>
      </c>
      <c r="S254" s="0" t="n">
        <f aca="false">M254-O254</f>
        <v>0.00884172764502123</v>
      </c>
      <c r="T254" s="0" t="n">
        <f aca="false">IF(M254&gt;O254,1,0)</f>
        <v>1</v>
      </c>
    </row>
    <row r="255" customFormat="false" ht="15" hidden="false" customHeight="false" outlineLevel="0" collapsed="false">
      <c r="M255" s="0" t="n">
        <f aca="false">3_Returns!B255/3_Returns!B254-1</f>
        <v>-0.0338901381304209</v>
      </c>
      <c r="N255" s="0" t="n">
        <f aca="false">3_Returns!C255/3_Returns!C254-1</f>
        <v>-0.0133306671998934</v>
      </c>
      <c r="O255" s="0" t="n">
        <f aca="false">3_Returns!D255/3_Returns!D254-1</f>
        <v>-0.0103324482010037</v>
      </c>
      <c r="P255" s="0" t="n">
        <f aca="false">MAX(3_Returns!$B$31:B255)</f>
        <v>69.88</v>
      </c>
      <c r="Q255" s="0" t="n">
        <f aca="false">3_Returns!B255/P255-1</f>
        <v>-0.139238694905552</v>
      </c>
      <c r="R255" s="0" t="n">
        <f aca="false">LN(3_Returns!B255/3_Returns!B254)</f>
        <v>-0.0344777225927743</v>
      </c>
      <c r="S255" s="0" t="n">
        <f aca="false">M255-O255</f>
        <v>-0.0235576899294172</v>
      </c>
      <c r="T255" s="0" t="n">
        <f aca="false">IF(M255&gt;O255,1,0)</f>
        <v>0</v>
      </c>
    </row>
    <row r="256" customFormat="false" ht="15" hidden="false" customHeight="false" outlineLevel="0" collapsed="false">
      <c r="M256" s="0" t="n">
        <f aca="false">3_Returns!B256/3_Returns!B255-1</f>
        <v>0.0179551122194515</v>
      </c>
      <c r="N256" s="0" t="n">
        <f aca="false">3_Returns!C256/3_Returns!C255-1</f>
        <v>-0.0174288995473891</v>
      </c>
      <c r="O256" s="0" t="n">
        <f aca="false">3_Returns!D256/3_Returns!D255-1</f>
        <v>0.00688388517066785</v>
      </c>
      <c r="P256" s="0" t="n">
        <f aca="false">MAX(3_Returns!$B$31:B256)</f>
        <v>69.88</v>
      </c>
      <c r="Q256" s="0" t="n">
        <f aca="false">3_Returns!B256/P256-1</f>
        <v>-0.12378362907842</v>
      </c>
      <c r="R256" s="0" t="n">
        <f aca="false">LN(3_Returns!B256/3_Returns!B255)</f>
        <v>0.0177958230691753</v>
      </c>
      <c r="S256" s="0" t="n">
        <f aca="false">M256-O256</f>
        <v>0.0110712270487836</v>
      </c>
      <c r="T256" s="0" t="n">
        <f aca="false">IF(M256&gt;O256,1,0)</f>
        <v>1</v>
      </c>
    </row>
    <row r="257" customFormat="false" ht="15" hidden="false" customHeight="false" outlineLevel="0" collapsed="false">
      <c r="M257" s="0" t="n">
        <f aca="false">3_Returns!B257/3_Returns!B256-1</f>
        <v>0.0215580597746203</v>
      </c>
      <c r="N257" s="0" t="n">
        <f aca="false">3_Returns!C257/3_Returns!C256-1</f>
        <v>-0.00171880371261601</v>
      </c>
      <c r="O257" s="0" t="n">
        <f aca="false">3_Returns!D257/3_Returns!D256-1</f>
        <v>-0.0135073881272381</v>
      </c>
      <c r="P257" s="0" t="n">
        <f aca="false">MAX(3_Returns!$B$31:B257)</f>
        <v>69.88</v>
      </c>
      <c r="Q257" s="0" t="n">
        <f aca="false">3_Returns!B257/P257-1</f>
        <v>-0.104894104178592</v>
      </c>
      <c r="R257" s="0" t="n">
        <f aca="false">LN(3_Returns!B257/3_Returns!B256)</f>
        <v>0.0213289714230571</v>
      </c>
      <c r="S257" s="0" t="n">
        <f aca="false">M257-O257</f>
        <v>0.0350654479018584</v>
      </c>
      <c r="T257" s="0" t="n">
        <f aca="false">IF(M257&gt;O257,1,0)</f>
        <v>1</v>
      </c>
    </row>
    <row r="258" customFormat="false" ht="15" hidden="false" customHeight="false" outlineLevel="0" collapsed="false">
      <c r="M258" s="0" t="n">
        <f aca="false">3_Returns!B258/3_Returns!B257-1</f>
        <v>-0.0195043964828138</v>
      </c>
      <c r="N258" s="0" t="n">
        <f aca="false">3_Returns!C258/3_Returns!C257-1</f>
        <v>0.00385674931129487</v>
      </c>
      <c r="O258" s="0" t="n">
        <f aca="false">3_Returns!D258/3_Returns!D257-1</f>
        <v>0.00333086896727175</v>
      </c>
      <c r="P258" s="0" t="n">
        <f aca="false">MAX(3_Returns!$B$31:B258)</f>
        <v>69.88</v>
      </c>
      <c r="Q258" s="0" t="n">
        <f aca="false">3_Returns!B258/P258-1</f>
        <v>-0.122352604464797</v>
      </c>
      <c r="R258" s="0" t="n">
        <f aca="false">LN(3_Returns!B258/3_Returns!B257)</f>
        <v>-0.0196971172750278</v>
      </c>
      <c r="S258" s="0" t="n">
        <f aca="false">M258-O258</f>
        <v>-0.0228352654500855</v>
      </c>
      <c r="T258" s="0" t="n">
        <f aca="false">IF(M258&gt;O258,1,0)</f>
        <v>0</v>
      </c>
    </row>
    <row r="259" customFormat="false" ht="15" hidden="false" customHeight="false" outlineLevel="0" collapsed="false">
      <c r="M259" s="0" t="n">
        <f aca="false">3_Returns!B259/3_Returns!B258-1</f>
        <v>0.00945703570846246</v>
      </c>
      <c r="N259" s="0" t="n">
        <f aca="false">3_Returns!C259/3_Returns!C258-1</f>
        <v>-0.00644895718990124</v>
      </c>
      <c r="O259" s="0" t="n">
        <f aca="false">3_Returns!D259/3_Returns!D258-1</f>
        <v>-0.00290463664310836</v>
      </c>
      <c r="P259" s="0" t="n">
        <f aca="false">MAX(3_Returns!$B$31:B259)</f>
        <v>69.88</v>
      </c>
      <c r="Q259" s="0" t="n">
        <f aca="false">3_Returns!B259/P259-1</f>
        <v>-0.114052661705781</v>
      </c>
      <c r="R259" s="0" t="n">
        <f aca="false">LN(3_Returns!B259/3_Returns!B258)</f>
        <v>0.00941259789324845</v>
      </c>
      <c r="S259" s="0" t="n">
        <f aca="false">M259-O259</f>
        <v>0.0123616723515708</v>
      </c>
      <c r="T259" s="0" t="n">
        <f aca="false">IF(M259&gt;O259,1,0)</f>
        <v>1</v>
      </c>
    </row>
    <row r="260" customFormat="false" ht="15" hidden="false" customHeight="false" outlineLevel="0" collapsed="false">
      <c r="M260" s="0" t="n">
        <f aca="false">3_Returns!B260/3_Returns!B259-1</f>
        <v>0.00468421902762084</v>
      </c>
      <c r="N260" s="0" t="n">
        <f aca="false">3_Returns!C260/3_Returns!C259-1</f>
        <v>0.0198867559729319</v>
      </c>
      <c r="O260" s="0" t="n">
        <f aca="false">3_Returns!D260/3_Returns!D259-1</f>
        <v>-0.000284476031702563</v>
      </c>
      <c r="P260" s="0" t="n">
        <f aca="false">MAX(3_Returns!$B$31:B260)</f>
        <v>69.88</v>
      </c>
      <c r="Q260" s="0" t="n">
        <f aca="false">3_Returns!B260/P260-1</f>
        <v>-0.109902690326274</v>
      </c>
      <c r="R260" s="0" t="n">
        <f aca="false">LN(3_Returns!B260/3_Returns!B259)</f>
        <v>0.00467328221399309</v>
      </c>
      <c r="S260" s="0" t="n">
        <f aca="false">M260-O260</f>
        <v>0.0049686950593234</v>
      </c>
      <c r="T260" s="0" t="n">
        <f aca="false">IF(M260&gt;O260,1,0)</f>
        <v>1</v>
      </c>
    </row>
    <row r="261" customFormat="false" ht="15" hidden="false" customHeight="false" outlineLevel="0" collapsed="false">
      <c r="M261" s="0" t="n">
        <f aca="false">3_Returns!B261/3_Returns!B260-1</f>
        <v>0.00594855305466235</v>
      </c>
      <c r="N261" s="0" t="n">
        <f aca="false">3_Returns!C261/3_Returns!C260-1</f>
        <v>0.00568720379146925</v>
      </c>
      <c r="O261" s="0" t="n">
        <f aca="false">3_Returns!D261/3_Returns!D260-1</f>
        <v>0.00604882298330178</v>
      </c>
      <c r="P261" s="0" t="n">
        <f aca="false">MAX(3_Returns!$B$31:B261)</f>
        <v>69.88</v>
      </c>
      <c r="Q261" s="0" t="n">
        <f aca="false">3_Returns!B261/P261-1</f>
        <v>-0.104607899255867</v>
      </c>
      <c r="R261" s="0" t="n">
        <f aca="false">LN(3_Returns!B261/3_Returns!B260)</f>
        <v>0.00593093026513833</v>
      </c>
      <c r="S261" s="0" t="n">
        <f aca="false">M261-O261</f>
        <v>-0.000100269928639429</v>
      </c>
      <c r="T261" s="0" t="n">
        <f aca="false">IF(M261&gt;O261,1,0)</f>
        <v>0</v>
      </c>
    </row>
    <row r="262" customFormat="false" ht="15" hidden="false" customHeight="false" outlineLevel="0" collapsed="false">
      <c r="M262" s="0" t="n">
        <f aca="false">3_Returns!B262/3_Returns!B261-1</f>
        <v>0.0396356081189069</v>
      </c>
      <c r="N262" s="0" t="n">
        <f aca="false">3_Returns!C262/3_Returns!C261-1</f>
        <v>0.0055877204793322</v>
      </c>
      <c r="O262" s="0" t="n">
        <f aca="false">3_Returns!D262/3_Returns!D261-1</f>
        <v>0.0180199825235876</v>
      </c>
      <c r="P262" s="0" t="n">
        <f aca="false">MAX(3_Returns!$B$31:B262)</f>
        <v>69.88</v>
      </c>
      <c r="Q262" s="0" t="n">
        <f aca="false">3_Returns!B262/P262-1</f>
        <v>-0.069118488838008</v>
      </c>
      <c r="R262" s="0" t="n">
        <f aca="false">LN(3_Returns!B262/3_Returns!B261)</f>
        <v>0.0388702749482422</v>
      </c>
      <c r="S262" s="0" t="n">
        <f aca="false">M262-O262</f>
        <v>0.0216156255953193</v>
      </c>
      <c r="T262" s="0" t="n">
        <f aca="false">IF(M262&gt;O262,1,0)</f>
        <v>1</v>
      </c>
    </row>
    <row r="263" customFormat="false" ht="15" hidden="false" customHeight="false" outlineLevel="0" collapsed="false">
      <c r="M263" s="0" t="n">
        <f aca="false">3_Returns!B263/3_Returns!B262-1</f>
        <v>-0.0124519600307457</v>
      </c>
      <c r="N263" s="0" t="n">
        <f aca="false">3_Returns!C263/3_Returns!C262-1</f>
        <v>0.00261096605744116</v>
      </c>
      <c r="O263" s="0" t="n">
        <f aca="false">3_Returns!D263/3_Returns!D262-1</f>
        <v>0.00227859379098727</v>
      </c>
      <c r="P263" s="0" t="n">
        <f aca="false">MAX(3_Returns!$B$31:B263)</f>
        <v>69.88</v>
      </c>
      <c r="Q263" s="0" t="n">
        <f aca="false">3_Returns!B263/P263-1</f>
        <v>-0.0807097882083572</v>
      </c>
      <c r="R263" s="0" t="n">
        <f aca="false">LN(3_Returns!B263/3_Returns!B262)</f>
        <v>-0.0125301353200081</v>
      </c>
      <c r="S263" s="0" t="n">
        <f aca="false">M263-O263</f>
        <v>-0.0147305538217329</v>
      </c>
      <c r="T263" s="0" t="n">
        <f aca="false">IF(M263&gt;O263,1,0)</f>
        <v>0</v>
      </c>
    </row>
    <row r="264" customFormat="false" ht="15" hidden="false" customHeight="false" outlineLevel="0" collapsed="false">
      <c r="M264" s="0" t="n">
        <f aca="false">3_Returns!B264/3_Returns!B263-1</f>
        <v>0.00420298879203007</v>
      </c>
      <c r="N264" s="0" t="n">
        <f aca="false">3_Returns!C264/3_Returns!C263-1</f>
        <v>-0.00861378205128205</v>
      </c>
      <c r="O264" s="0" t="n">
        <f aca="false">3_Returns!D264/3_Returns!D263-1</f>
        <v>0.00157187657284452</v>
      </c>
      <c r="P264" s="0" t="n">
        <f aca="false">MAX(3_Returns!$B$31:B264)</f>
        <v>69.88</v>
      </c>
      <c r="Q264" s="0" t="n">
        <f aca="false">3_Returns!B264/P264-1</f>
        <v>-0.076846021751574</v>
      </c>
      <c r="R264" s="0" t="n">
        <f aca="false">LN(3_Returns!B264/3_Returns!B263)</f>
        <v>0.00419418090564425</v>
      </c>
      <c r="S264" s="0" t="n">
        <f aca="false">M264-O264</f>
        <v>0.00263111221918555</v>
      </c>
      <c r="T264" s="0" t="n">
        <f aca="false">IF(M264&gt;O264,1,0)</f>
        <v>1</v>
      </c>
    </row>
    <row r="265" customFormat="false" ht="15" hidden="false" customHeight="false" outlineLevel="0" collapsed="false">
      <c r="M265" s="0" t="n">
        <f aca="false">3_Returns!B265/3_Returns!B264-1</f>
        <v>0.00775073631995049</v>
      </c>
      <c r="N265" s="0" t="n">
        <f aca="false">3_Returns!C265/3_Returns!C264-1</f>
        <v>-0.0137401495251566</v>
      </c>
      <c r="O265" s="0" t="n">
        <f aca="false">3_Returns!D265/3_Returns!D264-1</f>
        <v>-0.00949376874787389</v>
      </c>
      <c r="P265" s="0" t="n">
        <f aca="false">MAX(3_Returns!$B$31:B265)</f>
        <v>69.88</v>
      </c>
      <c r="Q265" s="0" t="n">
        <f aca="false">3_Returns!B265/P265-1</f>
        <v>-0.0696908986834572</v>
      </c>
      <c r="R265" s="0" t="n">
        <f aca="false">LN(3_Returns!B265/3_Returns!B264)</f>
        <v>0.00772085367222717</v>
      </c>
      <c r="S265" s="0" t="n">
        <f aca="false">M265-O265</f>
        <v>0.0172445050678244</v>
      </c>
      <c r="T265" s="0" t="n">
        <f aca="false">IF(M265&gt;O265,1,0)</f>
        <v>1</v>
      </c>
    </row>
    <row r="266" customFormat="false" ht="15" hidden="false" customHeight="false" outlineLevel="0" collapsed="false">
      <c r="M266" s="0" t="n">
        <f aca="false">3_Returns!B266/3_Returns!B265-1</f>
        <v>0.0050761421319796</v>
      </c>
      <c r="N266" s="0" t="n">
        <f aca="false">3_Returns!C266/3_Returns!C265-1</f>
        <v>0.00812674998292695</v>
      </c>
      <c r="O266" s="0" t="n">
        <f aca="false">3_Returns!D266/3_Returns!D265-1</f>
        <v>0.00619731501717147</v>
      </c>
      <c r="P266" s="0" t="n">
        <f aca="false">MAX(3_Returns!$B$31:B266)</f>
        <v>69.88</v>
      </c>
      <c r="Q266" s="0" t="n">
        <f aca="false">3_Returns!B266/P266-1</f>
        <v>-0.0649685174585002</v>
      </c>
      <c r="R266" s="0" t="n">
        <f aca="false">LN(3_Returns!B266/3_Returns!B265)</f>
        <v>0.00506330195654663</v>
      </c>
      <c r="S266" s="0" t="n">
        <f aca="false">M266-O266</f>
        <v>-0.00112117288519187</v>
      </c>
      <c r="T266" s="0" t="n">
        <f aca="false">IF(M266&gt;O266,1,0)</f>
        <v>0</v>
      </c>
    </row>
    <row r="267" customFormat="false" ht="15" hidden="false" customHeight="false" outlineLevel="0" collapsed="false">
      <c r="M267" s="0" t="n">
        <f aca="false">3_Returns!B267/3_Returns!B266-1</f>
        <v>-0.00780532598714423</v>
      </c>
      <c r="N267" s="0" t="n">
        <f aca="false">3_Returns!C267/3_Returns!C266-1</f>
        <v>-0.00670640834575265</v>
      </c>
      <c r="O267" s="0" t="n">
        <f aca="false">3_Returns!D267/3_Returns!D266-1</f>
        <v>-0.00216268209814285</v>
      </c>
      <c r="P267" s="0" t="n">
        <f aca="false">MAX(3_Returns!$B$31:B267)</f>
        <v>69.88</v>
      </c>
      <c r="Q267" s="0" t="n">
        <f aca="false">3_Returns!B267/P267-1</f>
        <v>-0.0722667429879793</v>
      </c>
      <c r="R267" s="0" t="n">
        <f aca="false">LN(3_Returns!B267/3_Returns!B266)</f>
        <v>-0.00783594698601987</v>
      </c>
      <c r="S267" s="0" t="n">
        <f aca="false">M267-O267</f>
        <v>-0.00564264388900138</v>
      </c>
      <c r="T267" s="0" t="n">
        <f aca="false">IF(M267&gt;O267,1,0)</f>
        <v>0</v>
      </c>
    </row>
    <row r="268" customFormat="false" ht="15" hidden="false" customHeight="false" outlineLevel="0" collapsed="false">
      <c r="M268" s="0" t="n">
        <f aca="false">3_Returns!B268/3_Returns!B267-1</f>
        <v>0.0121857164892798</v>
      </c>
      <c r="N268" s="0" t="n">
        <f aca="false">3_Returns!C268/3_Returns!C267-1</f>
        <v>0.00197776716906484</v>
      </c>
      <c r="O268" s="0" t="n">
        <f aca="false">3_Returns!D268/3_Returns!D267-1</f>
        <v>0.0087036829732452</v>
      </c>
      <c r="P268" s="0" t="n">
        <f aca="false">MAX(3_Returns!$B$31:B268)</f>
        <v>69.88</v>
      </c>
      <c r="Q268" s="0" t="n">
        <f aca="false">3_Returns!B268/P268-1</f>
        <v>-0.0609616485403548</v>
      </c>
      <c r="R268" s="0" t="n">
        <f aca="false">LN(3_Returns!B268/3_Returns!B267)</f>
        <v>0.0121120683460514</v>
      </c>
      <c r="S268" s="0" t="n">
        <f aca="false">M268-O268</f>
        <v>0.0034820335160346</v>
      </c>
      <c r="T268" s="0" t="n">
        <f aca="false">IF(M268&gt;O268,1,0)</f>
        <v>1</v>
      </c>
    </row>
    <row r="269" customFormat="false" ht="15" hidden="false" customHeight="false" outlineLevel="0" collapsed="false">
      <c r="M269" s="0" t="n">
        <f aca="false">3_Returns!B269/3_Returns!B268-1</f>
        <v>-0.0057909174032309</v>
      </c>
      <c r="N269" s="0" t="n">
        <f aca="false">3_Returns!C269/3_Returns!C268-1</f>
        <v>0.0157909066158455</v>
      </c>
      <c r="O269" s="0" t="n">
        <f aca="false">3_Returns!D269/3_Returns!D268-1</f>
        <v>-0.000123309503771707</v>
      </c>
      <c r="P269" s="0" t="n">
        <f aca="false">MAX(3_Returns!$B$31:B269)</f>
        <v>69.88</v>
      </c>
      <c r="Q269" s="0" t="n">
        <f aca="false">3_Returns!B269/P269-1</f>
        <v>-0.0663995420721236</v>
      </c>
      <c r="R269" s="0" t="n">
        <f aca="false">LN(3_Returns!B269/3_Returns!B268)</f>
        <v>-0.00580774978014263</v>
      </c>
      <c r="S269" s="0" t="n">
        <f aca="false">M269-O269</f>
        <v>-0.00566760789945919</v>
      </c>
      <c r="T269" s="0" t="n">
        <f aca="false">IF(M269&gt;O269,1,0)</f>
        <v>0</v>
      </c>
    </row>
    <row r="270" customFormat="false" ht="15" hidden="false" customHeight="false" outlineLevel="0" collapsed="false">
      <c r="M270" s="0" t="n">
        <f aca="false">3_Returns!B270/3_Returns!B269-1</f>
        <v>0.0416922133660331</v>
      </c>
      <c r="N270" s="0" t="n">
        <f aca="false">3_Returns!C270/3_Returns!C269-1</f>
        <v>0.0207049048512464</v>
      </c>
      <c r="O270" s="0" t="n">
        <f aca="false">3_Returns!D270/3_Returns!D269-1</f>
        <v>0.0178635843710595</v>
      </c>
      <c r="P270" s="0" t="n">
        <f aca="false">MAX(3_Returns!$B$31:B270)</f>
        <v>69.88</v>
      </c>
      <c r="Q270" s="0" t="n">
        <f aca="false">3_Returns!B270/P270-1</f>
        <v>-0.0274756725815685</v>
      </c>
      <c r="R270" s="0" t="n">
        <f aca="false">LN(3_Returns!B270/3_Returns!B269)</f>
        <v>0.0408465190509182</v>
      </c>
      <c r="S270" s="0" t="n">
        <f aca="false">M270-O270</f>
        <v>0.0238286289949736</v>
      </c>
      <c r="T270" s="0" t="n">
        <f aca="false">IF(M270&gt;O270,1,0)</f>
        <v>1</v>
      </c>
    </row>
    <row r="271" customFormat="false" ht="15" hidden="false" customHeight="false" outlineLevel="0" collapsed="false">
      <c r="M271" s="0" t="n">
        <f aca="false">3_Returns!B271/3_Returns!B270-1</f>
        <v>-0.035167745732784</v>
      </c>
      <c r="N271" s="0" t="n">
        <f aca="false">3_Returns!C271/3_Returns!C270-1</f>
        <v>-0.00610516641502001</v>
      </c>
      <c r="O271" s="0" t="n">
        <f aca="false">3_Returns!D271/3_Returns!D270-1</f>
        <v>-0.019668868756077</v>
      </c>
      <c r="P271" s="0" t="n">
        <f aca="false">MAX(3_Returns!$B$31:B271)</f>
        <v>69.88</v>
      </c>
      <c r="Q271" s="0" t="n">
        <f aca="false">3_Returns!B271/P271-1</f>
        <v>-0.0616771608471666</v>
      </c>
      <c r="R271" s="0" t="n">
        <f aca="false">LN(3_Returns!B271/3_Returns!B270)</f>
        <v>-0.0358010225282033</v>
      </c>
      <c r="S271" s="0" t="n">
        <f aca="false">M271-O271</f>
        <v>-0.015498876976707</v>
      </c>
      <c r="T271" s="0" t="n">
        <f aca="false">IF(M271&gt;O271,1,0)</f>
        <v>0</v>
      </c>
    </row>
    <row r="272" customFormat="false" ht="15" hidden="false" customHeight="false" outlineLevel="0" collapsed="false">
      <c r="M272" s="0" t="n">
        <f aca="false">3_Returns!B272/3_Returns!B271-1</f>
        <v>0.00838798230898297</v>
      </c>
      <c r="N272" s="0" t="n">
        <f aca="false">3_Returns!C272/3_Returns!C271-1</f>
        <v>0.00323645970937903</v>
      </c>
      <c r="O272" s="0" t="n">
        <f aca="false">3_Returns!D272/3_Returns!D271-1</f>
        <v>-0.0026711159517685</v>
      </c>
      <c r="P272" s="0" t="n">
        <f aca="false">MAX(3_Returns!$B$31:B272)</f>
        <v>69.88</v>
      </c>
      <c r="Q272" s="0" t="n">
        <f aca="false">3_Returns!B272/P272-1</f>
        <v>-0.053806525472238</v>
      </c>
      <c r="R272" s="0" t="n">
        <f aca="false">LN(3_Returns!B272/3_Returns!B271)</f>
        <v>0.00835299867729558</v>
      </c>
      <c r="S272" s="0" t="n">
        <f aca="false">M272-O272</f>
        <v>0.0110590982607515</v>
      </c>
      <c r="T272" s="0" t="n">
        <f aca="false">IF(M272&gt;O272,1,0)</f>
        <v>1</v>
      </c>
    </row>
    <row r="273" customFormat="false" ht="15" hidden="false" customHeight="false" outlineLevel="0" collapsed="false">
      <c r="M273" s="0" t="n">
        <f aca="false">3_Returns!B273/3_Returns!B272-1</f>
        <v>-0.0049909255898366</v>
      </c>
      <c r="N273" s="0" t="n">
        <f aca="false">3_Returns!C273/3_Returns!C272-1</f>
        <v>0.0111264731055372</v>
      </c>
      <c r="O273" s="0" t="n">
        <f aca="false">3_Returns!D273/3_Returns!D272-1</f>
        <v>0.00920122806963208</v>
      </c>
      <c r="P273" s="0" t="n">
        <f aca="false">MAX(3_Returns!$B$31:B273)</f>
        <v>69.88</v>
      </c>
      <c r="Q273" s="0" t="n">
        <f aca="false">3_Returns!B273/P273-1</f>
        <v>-0.058528906697195</v>
      </c>
      <c r="R273" s="0" t="n">
        <f aca="false">LN(3_Returns!B273/3_Returns!B272)</f>
        <v>-0.00500342185491685</v>
      </c>
      <c r="S273" s="0" t="n">
        <f aca="false">M273-O273</f>
        <v>-0.0141921536594687</v>
      </c>
      <c r="T273" s="0" t="n">
        <f aca="false">IF(M273&gt;O273,1,0)</f>
        <v>0</v>
      </c>
    </row>
    <row r="274" customFormat="false" ht="15" hidden="false" customHeight="false" outlineLevel="0" collapsed="false">
      <c r="M274" s="0" t="n">
        <f aca="false">3_Returns!B274/3_Returns!B273-1</f>
        <v>0.00501595987232095</v>
      </c>
      <c r="N274" s="0" t="n">
        <f aca="false">3_Returns!C274/3_Returns!C273-1</f>
        <v>0.011590050787863</v>
      </c>
      <c r="O274" s="0" t="n">
        <f aca="false">3_Returns!D274/3_Returns!D273-1</f>
        <v>-0.00321716146896578</v>
      </c>
      <c r="P274" s="0" t="n">
        <f aca="false">MAX(3_Returns!$B$31:B274)</f>
        <v>69.88</v>
      </c>
      <c r="Q274" s="0" t="n">
        <f aca="false">3_Returns!B274/P274-1</f>
        <v>-0.053806525472238</v>
      </c>
      <c r="R274" s="0" t="n">
        <f aca="false">LN(3_Returns!B274/3_Returns!B273)</f>
        <v>0.00500342185491684</v>
      </c>
      <c r="S274" s="0" t="n">
        <f aca="false">M274-O274</f>
        <v>0.00823312134128673</v>
      </c>
      <c r="T274" s="0" t="n">
        <f aca="false">IF(M274&gt;O274,1,0)</f>
        <v>1</v>
      </c>
    </row>
    <row r="275" customFormat="false" ht="15" hidden="false" customHeight="false" outlineLevel="0" collapsed="false">
      <c r="M275" s="0" t="n">
        <f aca="false">3_Returns!B275/3_Returns!B274-1</f>
        <v>-0.0104355716878403</v>
      </c>
      <c r="N275" s="0" t="n">
        <f aca="false">3_Returns!C275/3_Returns!C274-1</f>
        <v>-0.00540679711637493</v>
      </c>
      <c r="O275" s="0" t="n">
        <f aca="false">3_Returns!D275/3_Returns!D274-1</f>
        <v>-0.00766695923992544</v>
      </c>
      <c r="P275" s="0" t="n">
        <f aca="false">MAX(3_Returns!$B$31:B275)</f>
        <v>69.88</v>
      </c>
      <c r="Q275" s="0" t="n">
        <f aca="false">3_Returns!B275/P275-1</f>
        <v>-0.0636805953062392</v>
      </c>
      <c r="R275" s="0" t="n">
        <f aca="false">LN(3_Returns!B275/3_Returns!B274)</f>
        <v>-0.010490404071176</v>
      </c>
      <c r="S275" s="0" t="n">
        <f aca="false">M275-O275</f>
        <v>-0.00276861244791482</v>
      </c>
      <c r="T275" s="0" t="n">
        <f aca="false">IF(M275&gt;O275,1,0)</f>
        <v>0</v>
      </c>
    </row>
    <row r="276" customFormat="false" ht="15" hidden="false" customHeight="false" outlineLevel="0" collapsed="false">
      <c r="M276" s="0" t="n">
        <f aca="false">3_Returns!B276/3_Returns!B275-1</f>
        <v>-0.0360690814611036</v>
      </c>
      <c r="N276" s="0" t="n">
        <f aca="false">3_Returns!C276/3_Returns!C275-1</f>
        <v>0.0159202692208127</v>
      </c>
      <c r="O276" s="0" t="n">
        <f aca="false">3_Returns!D276/3_Returns!D275-1</f>
        <v>-0.00236177340941079</v>
      </c>
      <c r="P276" s="0" t="n">
        <f aca="false">MAX(3_Returns!$B$31:B276)</f>
        <v>69.88</v>
      </c>
      <c r="Q276" s="0" t="n">
        <f aca="false">3_Returns!B276/P276-1</f>
        <v>-0.0974527761877504</v>
      </c>
      <c r="R276" s="0" t="n">
        <f aca="false">LN(3_Returns!B276/3_Returns!B275)</f>
        <v>-0.0367356482060876</v>
      </c>
      <c r="S276" s="0" t="n">
        <f aca="false">M276-O276</f>
        <v>-0.0337073080516928</v>
      </c>
      <c r="T276" s="0" t="n">
        <f aca="false">IF(M276&gt;O276,1,0)</f>
        <v>0</v>
      </c>
    </row>
    <row r="277" customFormat="false" ht="15" hidden="false" customHeight="false" outlineLevel="0" collapsed="false">
      <c r="M277" s="0" t="n">
        <f aca="false">3_Returns!B277/3_Returns!B276-1</f>
        <v>-0.0161725067385445</v>
      </c>
      <c r="N277" s="0" t="n">
        <f aca="false">3_Returns!C277/3_Returns!C276-1</f>
        <v>-0.018346286151102</v>
      </c>
      <c r="O277" s="0" t="n">
        <f aca="false">3_Returns!D277/3_Returns!D276-1</f>
        <v>-0.0135913480756997</v>
      </c>
      <c r="P277" s="0" t="n">
        <f aca="false">MAX(3_Returns!$B$31:B277)</f>
        <v>69.88</v>
      </c>
      <c r="Q277" s="0" t="n">
        <f aca="false">3_Returns!B277/P277-1</f>
        <v>-0.112049227246709</v>
      </c>
      <c r="R277" s="0" t="n">
        <f aca="false">LN(3_Returns!B277/3_Returns!B276)</f>
        <v>-0.0163047090249437</v>
      </c>
      <c r="S277" s="0" t="n">
        <f aca="false">M277-O277</f>
        <v>-0.00258115866284481</v>
      </c>
      <c r="T277" s="0" t="n">
        <f aca="false">IF(M277&gt;O277,1,0)</f>
        <v>0</v>
      </c>
    </row>
    <row r="278" customFormat="false" ht="15" hidden="false" customHeight="false" outlineLevel="0" collapsed="false">
      <c r="M278" s="0" t="n">
        <f aca="false">3_Returns!B278/3_Returns!B277-1</f>
        <v>-0.0117647058823529</v>
      </c>
      <c r="N278" s="0" t="n">
        <f aca="false">3_Returns!C278/3_Returns!C277-1</f>
        <v>-0.00129785853341979</v>
      </c>
      <c r="O278" s="0" t="n">
        <f aca="false">3_Returns!D278/3_Returns!D277-1</f>
        <v>0.00151694101433209</v>
      </c>
      <c r="P278" s="0" t="n">
        <f aca="false">MAX(3_Returns!$B$31:B278)</f>
        <v>69.88</v>
      </c>
      <c r="Q278" s="0" t="n">
        <f aca="false">3_Returns!B278/P278-1</f>
        <v>-0.122495706926159</v>
      </c>
      <c r="R278" s="0" t="n">
        <f aca="false">LN(3_Returns!B278/3_Returns!B277)</f>
        <v>-0.0118344576470028</v>
      </c>
      <c r="S278" s="0" t="n">
        <f aca="false">M278-O278</f>
        <v>-0.013281646896685</v>
      </c>
      <c r="T278" s="0" t="n">
        <f aca="false">IF(M278&gt;O278,1,0)</f>
        <v>0</v>
      </c>
    </row>
    <row r="279" customFormat="false" ht="15" hidden="false" customHeight="false" outlineLevel="0" collapsed="false">
      <c r="M279" s="0" t="n">
        <f aca="false">3_Returns!B279/3_Returns!B278-1</f>
        <v>0.0242987606001306</v>
      </c>
      <c r="N279" s="0" t="n">
        <f aca="false">3_Returns!C279/3_Returns!C278-1</f>
        <v>0.00454840805717982</v>
      </c>
      <c r="O279" s="0" t="n">
        <f aca="false">3_Returns!D279/3_Returns!D278-1</f>
        <v>0.0249144667337391</v>
      </c>
      <c r="P279" s="0" t="n">
        <f aca="false">MAX(3_Returns!$B$31:B279)</f>
        <v>69.88</v>
      </c>
      <c r="Q279" s="0" t="n">
        <f aca="false">3_Returns!B279/P279-1</f>
        <v>-0.101173440183171</v>
      </c>
      <c r="R279" s="0" t="n">
        <f aca="false">LN(3_Returns!B279/3_Returns!B278)</f>
        <v>0.0240082424626761</v>
      </c>
      <c r="S279" s="0" t="n">
        <f aca="false">M279-O279</f>
        <v>-0.000615706133608507</v>
      </c>
      <c r="T279" s="0" t="n">
        <f aca="false">IF(M279&gt;O279,1,0)</f>
        <v>0</v>
      </c>
    </row>
    <row r="280" customFormat="false" ht="15" hidden="false" customHeight="false" outlineLevel="0" collapsed="false">
      <c r="M280" s="0" t="n">
        <f aca="false">3_Returns!B280/3_Returns!B279-1</f>
        <v>0.0343894284349626</v>
      </c>
      <c r="N280" s="0" t="n">
        <f aca="false">3_Returns!C280/3_Returns!C279-1</f>
        <v>0.00510996119016816</v>
      </c>
      <c r="O280" s="0" t="n">
        <f aca="false">3_Returns!D280/3_Returns!D279-1</f>
        <v>0.0118579260995735</v>
      </c>
      <c r="P280" s="0" t="n">
        <f aca="false">MAX(3_Returns!$B$31:B280)</f>
        <v>69.88</v>
      </c>
      <c r="Q280" s="0" t="n">
        <f aca="false">3_Returns!B280/P280-1</f>
        <v>-0.0702633085289066</v>
      </c>
      <c r="R280" s="0" t="n">
        <f aca="false">LN(3_Returns!B280/3_Returns!B279)</f>
        <v>0.0338113284261502</v>
      </c>
      <c r="S280" s="0" t="n">
        <f aca="false">M280-O280</f>
        <v>0.0225315023353891</v>
      </c>
      <c r="T280" s="0" t="n">
        <f aca="false">IF(M280&gt;O280,1,0)</f>
        <v>1</v>
      </c>
    </row>
    <row r="281" customFormat="false" ht="15" hidden="false" customHeight="false" outlineLevel="0" collapsed="false">
      <c r="M281" s="0" t="n">
        <f aca="false">3_Returns!B281/3_Returns!B280-1</f>
        <v>-0.0272433430814222</v>
      </c>
      <c r="N281" s="0" t="n">
        <f aca="false">3_Returns!C281/3_Returns!C280-1</f>
        <v>-0.00257416822189316</v>
      </c>
      <c r="O281" s="0" t="n">
        <f aca="false">3_Returns!D281/3_Returns!D280-1</f>
        <v>-0.0108596639318878</v>
      </c>
      <c r="P281" s="0" t="n">
        <f aca="false">MAX(3_Returns!$B$31:B281)</f>
        <v>69.88</v>
      </c>
      <c r="Q281" s="0" t="n">
        <f aca="false">3_Returns!B281/P281-1</f>
        <v>-0.09559244419004</v>
      </c>
      <c r="R281" s="0" t="n">
        <f aca="false">LN(3_Returns!B281/3_Returns!B280)</f>
        <v>-0.0276213237396278</v>
      </c>
      <c r="S281" s="0" t="n">
        <f aca="false">M281-O281</f>
        <v>-0.0163836791495344</v>
      </c>
      <c r="T281" s="0" t="n">
        <f aca="false">IF(M281&gt;O281,1,0)</f>
        <v>0</v>
      </c>
    </row>
    <row r="282" customFormat="false" ht="15" hidden="false" customHeight="false" outlineLevel="0" collapsed="false">
      <c r="M282" s="0" t="n">
        <f aca="false">3_Returns!B282/3_Returns!B281-1</f>
        <v>-0.0237341772151899</v>
      </c>
      <c r="N282" s="0" t="n">
        <f aca="false">3_Returns!C282/3_Returns!C281-1</f>
        <v>0.00787147557906964</v>
      </c>
      <c r="O282" s="0" t="n">
        <f aca="false">3_Returns!D282/3_Returns!D281-1</f>
        <v>-0.00848473499784352</v>
      </c>
      <c r="P282" s="0" t="n">
        <f aca="false">MAX(3_Returns!$B$31:B282)</f>
        <v>69.88</v>
      </c>
      <c r="Q282" s="0" t="n">
        <f aca="false">3_Returns!B282/P282-1</f>
        <v>-0.11705781339439</v>
      </c>
      <c r="R282" s="0" t="n">
        <f aca="false">LN(3_Returns!B282/3_Returns!B281)</f>
        <v>-0.0240203702414696</v>
      </c>
      <c r="S282" s="0" t="n">
        <f aca="false">M282-O282</f>
        <v>-0.0152494422173464</v>
      </c>
      <c r="T282" s="0" t="n">
        <f aca="false">IF(M282&gt;O282,1,0)</f>
        <v>0</v>
      </c>
    </row>
    <row r="283" customFormat="false" ht="15" hidden="false" customHeight="false" outlineLevel="0" collapsed="false">
      <c r="M283" s="0" t="n">
        <f aca="false">3_Returns!B283/3_Returns!B282-1</f>
        <v>0.0142625607779578</v>
      </c>
      <c r="N283" s="0" t="n">
        <f aca="false">3_Returns!C283/3_Returns!C282-1</f>
        <v>-0.00877024518276681</v>
      </c>
      <c r="O283" s="0" t="n">
        <f aca="false">3_Returns!D283/3_Returns!D282-1</f>
        <v>-0.00376163902197391</v>
      </c>
      <c r="P283" s="0" t="n">
        <f aca="false">MAX(3_Returns!$B$31:B283)</f>
        <v>69.88</v>
      </c>
      <c r="Q283" s="0" t="n">
        <f aca="false">3_Returns!B283/P283-1</f>
        <v>-0.104464796794505</v>
      </c>
      <c r="R283" s="0" t="n">
        <f aca="false">LN(3_Returns!B283/3_Returns!B282)</f>
        <v>0.0141618073293939</v>
      </c>
      <c r="S283" s="0" t="n">
        <f aca="false">M283-O283</f>
        <v>0.0180241997999318</v>
      </c>
      <c r="T283" s="0" t="n">
        <f aca="false">IF(M283&gt;O283,1,0)</f>
        <v>1</v>
      </c>
    </row>
    <row r="284" customFormat="false" ht="15" hidden="false" customHeight="false" outlineLevel="0" collapsed="false">
      <c r="M284" s="0" t="n">
        <f aca="false">3_Returns!B284/3_Returns!B283-1</f>
        <v>0.0142217961009907</v>
      </c>
      <c r="N284" s="0" t="n">
        <f aca="false">3_Returns!C284/3_Returns!C283-1</f>
        <v>0.00742702144148799</v>
      </c>
      <c r="O284" s="0" t="n">
        <f aca="false">3_Returns!D284/3_Returns!D283-1</f>
        <v>0.0104402818674105</v>
      </c>
      <c r="P284" s="0" t="n">
        <f aca="false">MAX(3_Returns!$B$31:B284)</f>
        <v>69.88</v>
      </c>
      <c r="Q284" s="0" t="n">
        <f aca="false">3_Returns!B284/P284-1</f>
        <v>-0.091728677733257</v>
      </c>
      <c r="R284" s="0" t="n">
        <f aca="false">LN(3_Returns!B284/3_Returns!B283)</f>
        <v>0.0141216150776427</v>
      </c>
      <c r="S284" s="0" t="n">
        <f aca="false">M284-O284</f>
        <v>0.0037815142335802</v>
      </c>
      <c r="T284" s="0" t="n">
        <f aca="false">IF(M284&gt;O284,1,0)</f>
        <v>1</v>
      </c>
    </row>
    <row r="285" customFormat="false" ht="15" hidden="false" customHeight="false" outlineLevel="0" collapsed="false">
      <c r="M285" s="0" t="n">
        <f aca="false">3_Returns!B285/3_Returns!B284-1</f>
        <v>0.0107137230187491</v>
      </c>
      <c r="N285" s="0" t="n">
        <f aca="false">3_Returns!C285/3_Returns!C284-1</f>
        <v>-0.00884672094365024</v>
      </c>
      <c r="O285" s="0" t="n">
        <f aca="false">3_Returns!D285/3_Returns!D284-1</f>
        <v>-0.00796267476979284</v>
      </c>
      <c r="P285" s="0" t="n">
        <f aca="false">MAX(3_Returns!$B$31:B285)</f>
        <v>69.88</v>
      </c>
      <c r="Q285" s="0" t="n">
        <f aca="false">3_Returns!B285/P285-1</f>
        <v>-0.0819977103606181</v>
      </c>
      <c r="R285" s="0" t="n">
        <f aca="false">LN(3_Returns!B285/3_Returns!B284)</f>
        <v>0.0106567377432667</v>
      </c>
      <c r="S285" s="0" t="n">
        <f aca="false">M285-O285</f>
        <v>0.0186763977885419</v>
      </c>
      <c r="T285" s="0" t="n">
        <f aca="false">IF(M285&gt;O285,1,0)</f>
        <v>1</v>
      </c>
    </row>
    <row r="286" customFormat="false" ht="15" hidden="false" customHeight="false" outlineLevel="0" collapsed="false">
      <c r="M286" s="0" t="n">
        <f aca="false">3_Returns!B286/3_Returns!B285-1</f>
        <v>-0.003585346843336</v>
      </c>
      <c r="N286" s="0" t="n">
        <f aca="false">3_Returns!C286/3_Returns!C285-1</f>
        <v>-0.011577517624992</v>
      </c>
      <c r="O286" s="0" t="n">
        <f aca="false">3_Returns!D286/3_Returns!D285-1</f>
        <v>-0.00663921898106679</v>
      </c>
      <c r="P286" s="0" t="n">
        <f aca="false">MAX(3_Returns!$B$31:B286)</f>
        <v>69.88</v>
      </c>
      <c r="Q286" s="0" t="n">
        <f aca="false">3_Returns!B286/P286-1</f>
        <v>-0.0852890669719518</v>
      </c>
      <c r="R286" s="0" t="n">
        <f aca="false">LN(3_Returns!B286/3_Returns!B285)</f>
        <v>-0.00359178960362628</v>
      </c>
      <c r="S286" s="0" t="n">
        <f aca="false">M286-O286</f>
        <v>0.00305387213773078</v>
      </c>
      <c r="T286" s="0" t="n">
        <f aca="false">IF(M286&gt;O286,1,0)</f>
        <v>1</v>
      </c>
    </row>
    <row r="287" customFormat="false" ht="15" hidden="false" customHeight="false" outlineLevel="0" collapsed="false">
      <c r="M287" s="0" t="n">
        <f aca="false">3_Returns!B287/3_Returns!B286-1</f>
        <v>-0.000156445556946272</v>
      </c>
      <c r="N287" s="0" t="n">
        <f aca="false">3_Returns!C287/3_Returns!C286-1</f>
        <v>-0.0046459887449285</v>
      </c>
      <c r="O287" s="0" t="n">
        <f aca="false">3_Returns!D287/3_Returns!D286-1</f>
        <v>0.00923499936800032</v>
      </c>
      <c r="P287" s="0" t="n">
        <f aca="false">MAX(3_Returns!$B$31:B287)</f>
        <v>69.88</v>
      </c>
      <c r="Q287" s="0" t="n">
        <f aca="false">3_Returns!B287/P287-1</f>
        <v>-0.0854321694333142</v>
      </c>
      <c r="R287" s="0" t="n">
        <f aca="false">LN(3_Returns!B287/3_Returns!B286)</f>
        <v>-0.000156457795828912</v>
      </c>
      <c r="S287" s="0" t="n">
        <f aca="false">M287-O287</f>
        <v>-0.00939144492494659</v>
      </c>
      <c r="T287" s="0" t="n">
        <f aca="false">IF(M287&gt;O287,1,0)</f>
        <v>0</v>
      </c>
    </row>
    <row r="288" customFormat="false" ht="15" hidden="false" customHeight="false" outlineLevel="0" collapsed="false">
      <c r="M288" s="0" t="n">
        <f aca="false">3_Returns!B288/3_Returns!B287-1</f>
        <v>0.010170552339227</v>
      </c>
      <c r="N288" s="0" t="n">
        <f aca="false">3_Returns!C288/3_Returns!C287-1</f>
        <v>0.0069686411149823</v>
      </c>
      <c r="O288" s="0" t="n">
        <f aca="false">3_Returns!D288/3_Returns!D287-1</f>
        <v>0.00903298229121097</v>
      </c>
      <c r="P288" s="0" t="n">
        <f aca="false">MAX(3_Returns!$B$31:B288)</f>
        <v>69.88</v>
      </c>
      <c r="Q288" s="0" t="n">
        <f aca="false">3_Returns!B288/P288-1</f>
        <v>-0.0761305094447624</v>
      </c>
      <c r="R288" s="0" t="n">
        <f aca="false">LN(3_Returns!B288/3_Returns!B287)</f>
        <v>0.010119180299503</v>
      </c>
      <c r="S288" s="0" t="n">
        <f aca="false">M288-O288</f>
        <v>0.00113757004801607</v>
      </c>
      <c r="T288" s="0" t="n">
        <f aca="false">IF(M288&gt;O288,1,0)</f>
        <v>1</v>
      </c>
    </row>
    <row r="289" customFormat="false" ht="15" hidden="false" customHeight="false" outlineLevel="0" collapsed="false">
      <c r="M289" s="0" t="n">
        <f aca="false">3_Returns!B289/3_Returns!B288-1</f>
        <v>0.0119268897149938</v>
      </c>
      <c r="N289" s="0" t="n">
        <f aca="false">3_Returns!C289/3_Returns!C288-1</f>
        <v>-0.0186720637200495</v>
      </c>
      <c r="O289" s="0" t="n">
        <f aca="false">3_Returns!D289/3_Returns!D288-1</f>
        <v>-0.00345090203085274</v>
      </c>
      <c r="P289" s="0" t="n">
        <f aca="false">MAX(3_Returns!$B$31:B289)</f>
        <v>69.88</v>
      </c>
      <c r="Q289" s="0" t="n">
        <f aca="false">3_Returns!B289/P289-1</f>
        <v>-0.0651116199198626</v>
      </c>
      <c r="R289" s="0" t="n">
        <f aca="false">LN(3_Returns!B289/3_Returns!B288)</f>
        <v>0.0118563248909656</v>
      </c>
      <c r="S289" s="0" t="n">
        <f aca="false">M289-O289</f>
        <v>0.0153777917458465</v>
      </c>
      <c r="T289" s="0" t="n">
        <f aca="false">IF(M289&gt;O289,1,0)</f>
        <v>1</v>
      </c>
    </row>
    <row r="290" customFormat="false" ht="15" hidden="false" customHeight="false" outlineLevel="0" collapsed="false">
      <c r="M290" s="0" t="n">
        <f aca="false">3_Returns!B290/3_Returns!B289-1</f>
        <v>-0.000765345170671949</v>
      </c>
      <c r="N290" s="0" t="n">
        <f aca="false">3_Returns!C290/3_Returns!C289-1</f>
        <v>-0.0065198589581531</v>
      </c>
      <c r="O290" s="0" t="n">
        <f aca="false">3_Returns!D290/3_Returns!D289-1</f>
        <v>-0.0109482709574049</v>
      </c>
      <c r="P290" s="0" t="n">
        <f aca="false">MAX(3_Returns!$B$31:B290)</f>
        <v>69.88</v>
      </c>
      <c r="Q290" s="0" t="n">
        <f aca="false">3_Returns!B290/P290-1</f>
        <v>-0.0658271322266743</v>
      </c>
      <c r="R290" s="0" t="n">
        <f aca="false">LN(3_Returns!B290/3_Returns!B289)</f>
        <v>-0.000765638196807383</v>
      </c>
      <c r="S290" s="0" t="n">
        <f aca="false">M290-O290</f>
        <v>0.010182925786733</v>
      </c>
      <c r="T290" s="0" t="n">
        <f aca="false">IF(M290&gt;O290,1,0)</f>
        <v>1</v>
      </c>
    </row>
    <row r="291" customFormat="false" ht="15" hidden="false" customHeight="false" outlineLevel="0" collapsed="false">
      <c r="M291" s="0" t="n">
        <f aca="false">3_Returns!B291/3_Returns!B290-1</f>
        <v>-0.018075980392157</v>
      </c>
      <c r="N291" s="0" t="n">
        <f aca="false">3_Returns!C291/3_Returns!C290-1</f>
        <v>-0.0103796959753567</v>
      </c>
      <c r="O291" s="0" t="n">
        <f aca="false">3_Returns!D291/3_Returns!D290-1</f>
        <v>-0.0153029099315776</v>
      </c>
      <c r="P291" s="0" t="n">
        <f aca="false">MAX(3_Returns!$B$31:B291)</f>
        <v>69.88</v>
      </c>
      <c r="Q291" s="0" t="n">
        <f aca="false">3_Returns!B291/P291-1</f>
        <v>-0.0827132226674299</v>
      </c>
      <c r="R291" s="0" t="n">
        <f aca="false">LN(3_Returns!B291/3_Returns!B290)</f>
        <v>-0.0182413467292273</v>
      </c>
      <c r="S291" s="0" t="n">
        <f aca="false">M291-O291</f>
        <v>-0.0027730704605794</v>
      </c>
      <c r="T291" s="0" t="n">
        <f aca="false">IF(M291&gt;O291,1,0)</f>
        <v>0</v>
      </c>
    </row>
    <row r="292" customFormat="false" ht="15" hidden="false" customHeight="false" outlineLevel="0" collapsed="false">
      <c r="M292" s="0" t="n">
        <f aca="false">3_Returns!B292/3_Returns!B291-1</f>
        <v>-0.00733229329173157</v>
      </c>
      <c r="N292" s="0" t="n">
        <f aca="false">3_Returns!C292/3_Returns!C291-1</f>
        <v>-0.0108269048585735</v>
      </c>
      <c r="O292" s="0" t="n">
        <f aca="false">3_Returns!D292/3_Returns!D291-1</f>
        <v>-0.00672752649328678</v>
      </c>
      <c r="P292" s="0" t="n">
        <f aca="false">MAX(3_Returns!$B$31:B292)</f>
        <v>69.88</v>
      </c>
      <c r="Q292" s="0" t="n">
        <f aca="false">3_Returns!B292/P292-1</f>
        <v>-0.0894390383514595</v>
      </c>
      <c r="R292" s="0" t="n">
        <f aca="false">LN(3_Returns!B292/3_Returns!B291)</f>
        <v>-0.00735930668192349</v>
      </c>
      <c r="S292" s="0" t="n">
        <f aca="false">M292-O292</f>
        <v>-0.000604766798444789</v>
      </c>
      <c r="T292" s="0" t="n">
        <f aca="false">IF(M292&gt;O292,1,0)</f>
        <v>0</v>
      </c>
    </row>
    <row r="293" customFormat="false" ht="15" hidden="false" customHeight="false" outlineLevel="0" collapsed="false">
      <c r="M293" s="0" t="n">
        <f aca="false">3_Returns!B293/3_Returns!B292-1</f>
        <v>-0.0278170674210279</v>
      </c>
      <c r="N293" s="0" t="n">
        <f aca="false">3_Returns!C293/3_Returns!C292-1</f>
        <v>-0.0249692160350253</v>
      </c>
      <c r="O293" s="0" t="n">
        <f aca="false">3_Returns!D293/3_Returns!D292-1</f>
        <v>-0.0221647509883056</v>
      </c>
      <c r="P293" s="0" t="n">
        <f aca="false">MAX(3_Returns!$B$31:B293)</f>
        <v>69.88</v>
      </c>
      <c r="Q293" s="0" t="n">
        <f aca="false">3_Returns!B293/P293-1</f>
        <v>-0.114768174012593</v>
      </c>
      <c r="R293" s="0" t="n">
        <f aca="false">LN(3_Returns!B293/3_Returns!B292)</f>
        <v>-0.0282112899877773</v>
      </c>
      <c r="S293" s="0" t="n">
        <f aca="false">M293-O293</f>
        <v>-0.00565231643272224</v>
      </c>
      <c r="T293" s="0" t="n">
        <f aca="false">IF(M293&gt;O293,1,0)</f>
        <v>0</v>
      </c>
    </row>
    <row r="294" customFormat="false" ht="15" hidden="false" customHeight="false" outlineLevel="0" collapsed="false">
      <c r="M294" s="0" t="n">
        <f aca="false">3_Returns!B294/3_Returns!B293-1</f>
        <v>0.00226317491108952</v>
      </c>
      <c r="N294" s="0" t="n">
        <f aca="false">3_Returns!C294/3_Returns!C293-1</f>
        <v>-0.00750719146846268</v>
      </c>
      <c r="O294" s="0" t="n">
        <f aca="false">3_Returns!D294/3_Returns!D293-1</f>
        <v>0.00787596133057411</v>
      </c>
      <c r="P294" s="0" t="n">
        <f aca="false">MAX(3_Returns!$B$31:B294)</f>
        <v>69.88</v>
      </c>
      <c r="Q294" s="0" t="n">
        <f aca="false">3_Returns!B294/P294-1</f>
        <v>-0.11276473955352</v>
      </c>
      <c r="R294" s="0" t="n">
        <f aca="false">LN(3_Returns!B294/3_Returns!B293)</f>
        <v>0.00226061778816796</v>
      </c>
      <c r="S294" s="0" t="n">
        <f aca="false">M294-O294</f>
        <v>-0.00561278641948459</v>
      </c>
      <c r="T294" s="0" t="n">
        <f aca="false">IF(M294&gt;O294,1,0)</f>
        <v>0</v>
      </c>
    </row>
    <row r="295" customFormat="false" ht="15" hidden="false" customHeight="false" outlineLevel="0" collapsed="false">
      <c r="M295" s="0" t="n">
        <f aca="false">3_Returns!B295/3_Returns!B294-1</f>
        <v>0.0179032258064515</v>
      </c>
      <c r="N295" s="0" t="n">
        <f aca="false">3_Returns!C295/3_Returns!C294-1</f>
        <v>0.0135727414109994</v>
      </c>
      <c r="O295" s="0" t="n">
        <f aca="false">3_Returns!D295/3_Returns!D294-1</f>
        <v>-0.00603218022993246</v>
      </c>
      <c r="P295" s="0" t="n">
        <f aca="false">MAX(3_Returns!$B$31:B295)</f>
        <v>69.88</v>
      </c>
      <c r="Q295" s="0" t="n">
        <f aca="false">3_Returns!B295/P295-1</f>
        <v>-0.096880366342301</v>
      </c>
      <c r="R295" s="0" t="n">
        <f aca="false">LN(3_Returns!B295/3_Returns!B294)</f>
        <v>0.0177448505510565</v>
      </c>
      <c r="S295" s="0" t="n">
        <f aca="false">M295-O295</f>
        <v>0.023935406036384</v>
      </c>
      <c r="T295" s="0" t="n">
        <f aca="false">IF(M295&gt;O295,1,0)</f>
        <v>1</v>
      </c>
    </row>
    <row r="296" customFormat="false" ht="15" hidden="false" customHeight="false" outlineLevel="0" collapsed="false">
      <c r="M296" s="0" t="n">
        <f aca="false">3_Returns!B296/3_Returns!B295-1</f>
        <v>0.00649659324988128</v>
      </c>
      <c r="N296" s="0" t="n">
        <f aca="false">3_Returns!C296/3_Returns!C295-1</f>
        <v>-0.00892732598688795</v>
      </c>
      <c r="O296" s="0" t="n">
        <f aca="false">3_Returns!D296/3_Returns!D295-1</f>
        <v>0.00516820604022916</v>
      </c>
      <c r="P296" s="0" t="n">
        <f aca="false">MAX(3_Returns!$B$31:B296)</f>
        <v>69.88</v>
      </c>
      <c r="Q296" s="0" t="n">
        <f aca="false">3_Returns!B296/P296-1</f>
        <v>-0.0910131654264452</v>
      </c>
      <c r="R296" s="0" t="n">
        <f aca="false">LN(3_Returns!B296/3_Returns!B295)</f>
        <v>0.00647558134273224</v>
      </c>
      <c r="S296" s="0" t="n">
        <f aca="false">M296-O296</f>
        <v>0.00132838720965212</v>
      </c>
      <c r="T296" s="0" t="n">
        <f aca="false">IF(M296&gt;O296,1,0)</f>
        <v>1</v>
      </c>
    </row>
    <row r="297" customFormat="false" ht="15" hidden="false" customHeight="false" outlineLevel="0" collapsed="false">
      <c r="M297" s="0" t="n">
        <f aca="false">3_Returns!B297/3_Returns!B296-1</f>
        <v>0.00850125944584379</v>
      </c>
      <c r="N297" s="0" t="n">
        <f aca="false">3_Returns!C297/3_Returns!C296-1</f>
        <v>0.0282195636875442</v>
      </c>
      <c r="O297" s="0" t="n">
        <f aca="false">3_Returns!D297/3_Returns!D296-1</f>
        <v>0.0191475382313107</v>
      </c>
      <c r="P297" s="0" t="n">
        <f aca="false">MAX(3_Returns!$B$31:B297)</f>
        <v>69.88</v>
      </c>
      <c r="Q297" s="0" t="n">
        <f aca="false">3_Returns!B297/P297-1</f>
        <v>-0.0832856325128791</v>
      </c>
      <c r="R297" s="0" t="n">
        <f aca="false">LN(3_Returns!B297/3_Returns!B296)</f>
        <v>0.00846532724213176</v>
      </c>
      <c r="S297" s="0" t="n">
        <f aca="false">M297-O297</f>
        <v>-0.0106462787854669</v>
      </c>
      <c r="T297" s="0" t="n">
        <f aca="false">IF(M297&gt;O297,1,0)</f>
        <v>0</v>
      </c>
    </row>
    <row r="298" customFormat="false" ht="15" hidden="false" customHeight="false" outlineLevel="0" collapsed="false">
      <c r="M298" s="0" t="n">
        <f aca="false">3_Returns!B298/3_Returns!B297-1</f>
        <v>0.00858570090540112</v>
      </c>
      <c r="N298" s="0" t="n">
        <f aca="false">3_Returns!C298/3_Returns!C297-1</f>
        <v>0.014235849702279</v>
      </c>
      <c r="O298" s="0" t="n">
        <f aca="false">3_Returns!D298/3_Returns!D297-1</f>
        <v>0.0121397592956911</v>
      </c>
      <c r="P298" s="0" t="n">
        <f aca="false">MAX(3_Returns!$B$31:B298)</f>
        <v>69.88</v>
      </c>
      <c r="Q298" s="0" t="n">
        <f aca="false">3_Returns!B298/P298-1</f>
        <v>-0.0754149971379508</v>
      </c>
      <c r="R298" s="0" t="n">
        <f aca="false">LN(3_Returns!B298/3_Returns!B297)</f>
        <v>0.00854905338906194</v>
      </c>
      <c r="S298" s="0" t="n">
        <f aca="false">M298-O298</f>
        <v>-0.00355405839028999</v>
      </c>
      <c r="T298" s="0" t="n">
        <f aca="false">IF(M298&gt;O298,1,0)</f>
        <v>0</v>
      </c>
    </row>
    <row r="299" customFormat="false" ht="15" hidden="false" customHeight="false" outlineLevel="0" collapsed="false">
      <c r="M299" s="0" t="n">
        <f aca="false">3_Returns!B299/3_Returns!B298-1</f>
        <v>-0.00386937006655319</v>
      </c>
      <c r="N299" s="0" t="n">
        <f aca="false">3_Returns!C299/3_Returns!C298-1</f>
        <v>-0.0112018354814765</v>
      </c>
      <c r="O299" s="0" t="n">
        <f aca="false">3_Returns!D299/3_Returns!D298-1</f>
        <v>-0.0112836435683231</v>
      </c>
      <c r="P299" s="0" t="n">
        <f aca="false">MAX(3_Returns!$B$31:B299)</f>
        <v>69.88</v>
      </c>
      <c r="Q299" s="0" t="n">
        <f aca="false">3_Returns!B299/P299-1</f>
        <v>-0.0789925586720092</v>
      </c>
      <c r="R299" s="0" t="n">
        <f aca="false">LN(3_Returns!B299/3_Returns!B298)</f>
        <v>-0.00387687544589166</v>
      </c>
      <c r="S299" s="0" t="n">
        <f aca="false">M299-O299</f>
        <v>0.00741427350176993</v>
      </c>
      <c r="T299" s="0" t="n">
        <f aca="false">IF(M299&gt;O299,1,0)</f>
        <v>1</v>
      </c>
    </row>
    <row r="300" customFormat="false" ht="15" hidden="false" customHeight="false" outlineLevel="0" collapsed="false">
      <c r="M300" s="0" t="n">
        <f aca="false">3_Returns!B300/3_Returns!B299-1</f>
        <v>0.019422001243008</v>
      </c>
      <c r="N300" s="0" t="n">
        <f aca="false">3_Returns!C300/3_Returns!C299-1</f>
        <v>-0.00450419709274552</v>
      </c>
      <c r="O300" s="0" t="n">
        <f aca="false">3_Returns!D300/3_Returns!D299-1</f>
        <v>0.00907769940864367</v>
      </c>
      <c r="P300" s="0" t="n">
        <f aca="false">MAX(3_Returns!$B$31:B300)</f>
        <v>69.88</v>
      </c>
      <c r="Q300" s="0" t="n">
        <f aca="false">3_Returns!B300/P300-1</f>
        <v>-0.0611047510017172</v>
      </c>
      <c r="R300" s="0" t="n">
        <f aca="false">LN(3_Returns!B300/3_Returns!B299)</f>
        <v>0.0192358012326036</v>
      </c>
      <c r="S300" s="0" t="n">
        <f aca="false">M300-O300</f>
        <v>0.0103443018343643</v>
      </c>
      <c r="T300" s="0" t="n">
        <f aca="false">IF(M300&gt;O300,1,0)</f>
        <v>1</v>
      </c>
    </row>
    <row r="301" customFormat="false" ht="15" hidden="false" customHeight="false" outlineLevel="0" collapsed="false">
      <c r="M301" s="0" t="n">
        <f aca="false">3_Returns!B301/3_Returns!B300-1</f>
        <v>0.0128029263831733</v>
      </c>
      <c r="N301" s="0" t="n">
        <f aca="false">3_Returns!C301/3_Returns!C300-1</f>
        <v>0.0183725234798109</v>
      </c>
      <c r="O301" s="0" t="n">
        <f aca="false">3_Returns!D301/3_Returns!D300-1</f>
        <v>0.0119873945691236</v>
      </c>
      <c r="P301" s="0" t="n">
        <f aca="false">MAX(3_Returns!$B$31:B301)</f>
        <v>69.88</v>
      </c>
      <c r="Q301" s="0" t="n">
        <f aca="false">3_Returns!B301/P301-1</f>
        <v>-0.0490841442472809</v>
      </c>
      <c r="R301" s="0" t="n">
        <f aca="false">LN(3_Returns!B301/3_Returns!B300)</f>
        <v>0.0127216618024681</v>
      </c>
      <c r="S301" s="0" t="n">
        <f aca="false">M301-O301</f>
        <v>0.000815531814049697</v>
      </c>
      <c r="T301" s="0" t="n">
        <f aca="false">IF(M301&gt;O301,1,0)</f>
        <v>1</v>
      </c>
    </row>
    <row r="302" customFormat="false" ht="15" hidden="false" customHeight="false" outlineLevel="0" collapsed="false">
      <c r="M302" s="0" t="n">
        <f aca="false">3_Returns!B302/3_Returns!B301-1</f>
        <v>-0.017155756207675</v>
      </c>
      <c r="N302" s="0" t="n">
        <f aca="false">3_Returns!C302/3_Returns!C301-1</f>
        <v>0.0113766408616627</v>
      </c>
      <c r="O302" s="0" t="n">
        <f aca="false">3_Returns!D302/3_Returns!D301-1</f>
        <v>-0.00720458191569329</v>
      </c>
      <c r="P302" s="0" t="n">
        <f aca="false">MAX(3_Returns!$B$31:B302)</f>
        <v>69.88</v>
      </c>
      <c r="Q302" s="0" t="n">
        <f aca="false">3_Returns!B302/P302-1</f>
        <v>-0.0653978248425872</v>
      </c>
      <c r="R302" s="0" t="n">
        <f aca="false">LN(3_Returns!B302/3_Returns!B301)</f>
        <v>-0.0173046212446886</v>
      </c>
      <c r="S302" s="0" t="n">
        <f aca="false">M302-O302</f>
        <v>-0.00995117429198167</v>
      </c>
      <c r="T302" s="0" t="n">
        <f aca="false">IF(M302&gt;O302,1,0)</f>
        <v>0</v>
      </c>
    </row>
    <row r="303" customFormat="false" ht="15" hidden="false" customHeight="false" outlineLevel="0" collapsed="false">
      <c r="M303" s="0" t="n">
        <f aca="false">3_Returns!B303/3_Returns!B302-1</f>
        <v>-0.0105649977032614</v>
      </c>
      <c r="N303" s="0" t="n">
        <f aca="false">3_Returns!C303/3_Returns!C302-1</f>
        <v>-0.0152422790202345</v>
      </c>
      <c r="O303" s="0" t="n">
        <f aca="false">3_Returns!D303/3_Returns!D302-1</f>
        <v>-0.00929122228519419</v>
      </c>
      <c r="P303" s="0" t="n">
        <f aca="false">MAX(3_Returns!$B$31:B303)</f>
        <v>69.88</v>
      </c>
      <c r="Q303" s="0" t="n">
        <f aca="false">3_Returns!B303/P303-1</f>
        <v>-0.0752718946765884</v>
      </c>
      <c r="R303" s="0" t="n">
        <f aca="false">LN(3_Returns!B303/3_Returns!B302)</f>
        <v>-0.0106212035182136</v>
      </c>
      <c r="S303" s="0" t="n">
        <f aca="false">M303-O303</f>
        <v>-0.00127377541806717</v>
      </c>
      <c r="T303" s="0" t="n">
        <f aca="false">IF(M303&gt;O303,1,0)</f>
        <v>0</v>
      </c>
    </row>
    <row r="304" customFormat="false" ht="15" hidden="false" customHeight="false" outlineLevel="0" collapsed="false">
      <c r="M304" s="0" t="n">
        <f aca="false">3_Returns!B304/3_Returns!B303-1</f>
        <v>-0.0224388734138038</v>
      </c>
      <c r="N304" s="0" t="n">
        <f aca="false">3_Returns!C304/3_Returns!C303-1</f>
        <v>-0.00324433930381884</v>
      </c>
      <c r="O304" s="0" t="n">
        <f aca="false">3_Returns!D304/3_Returns!D303-1</f>
        <v>-0.000787964938712138</v>
      </c>
      <c r="P304" s="0" t="n">
        <f aca="false">MAX(3_Returns!$B$31:B304)</f>
        <v>69.88</v>
      </c>
      <c r="Q304" s="0" t="n">
        <f aca="false">3_Returns!B304/P304-1</f>
        <v>-0.096021751574127</v>
      </c>
      <c r="R304" s="0" t="n">
        <f aca="false">LN(3_Returns!B304/3_Returns!B303)</f>
        <v>-0.0226944554857432</v>
      </c>
      <c r="S304" s="0" t="n">
        <f aca="false">M304-O304</f>
        <v>-0.0216509084750917</v>
      </c>
      <c r="T304" s="0" t="n">
        <f aca="false">IF(M304&gt;O304,1,0)</f>
        <v>0</v>
      </c>
    </row>
    <row r="305" customFormat="false" ht="15" hidden="false" customHeight="false" outlineLevel="0" collapsed="false">
      <c r="M305" s="0" t="n">
        <f aca="false">3_Returns!B305/3_Returns!B304-1</f>
        <v>-0.0357764761753998</v>
      </c>
      <c r="N305" s="0" t="n">
        <f aca="false">3_Returns!C305/3_Returns!C304-1</f>
        <v>-0.00108496643385092</v>
      </c>
      <c r="O305" s="0" t="n">
        <f aca="false">3_Returns!D305/3_Returns!D304-1</f>
        <v>-0.0158237730385492</v>
      </c>
      <c r="P305" s="0" t="n">
        <f aca="false">MAX(3_Returns!$B$31:B305)</f>
        <v>69.88</v>
      </c>
      <c r="Q305" s="0" t="n">
        <f aca="false">3_Returns!B305/P305-1</f>
        <v>-0.128362907842015</v>
      </c>
      <c r="R305" s="0" t="n">
        <f aca="false">LN(3_Returns!B305/3_Returns!B304)</f>
        <v>-0.0364321400622159</v>
      </c>
      <c r="S305" s="0" t="n">
        <f aca="false">M305-O305</f>
        <v>-0.0199527031368506</v>
      </c>
      <c r="T305" s="0" t="n">
        <f aca="false">IF(M305&gt;O305,1,0)</f>
        <v>0</v>
      </c>
    </row>
    <row r="306" customFormat="false" ht="15" hidden="false" customHeight="false" outlineLevel="0" collapsed="false">
      <c r="M306" s="0" t="n">
        <f aca="false">3_Returns!B306/3_Returns!B305-1</f>
        <v>0.0287309144639631</v>
      </c>
      <c r="N306" s="0" t="n">
        <f aca="false">3_Returns!C306/3_Returns!C305-1</f>
        <v>0.01391623107732</v>
      </c>
      <c r="O306" s="0" t="n">
        <f aca="false">3_Returns!D306/3_Returns!D305-1</f>
        <v>0.0151423127402794</v>
      </c>
      <c r="P306" s="0" t="n">
        <f aca="false">MAX(3_Returns!$B$31:B306)</f>
        <v>69.88</v>
      </c>
      <c r="Q306" s="0" t="n">
        <f aca="false">3_Returns!B306/P306-1</f>
        <v>-0.103319977103606</v>
      </c>
      <c r="R306" s="0" t="n">
        <f aca="false">LN(3_Returns!B306/3_Returns!B305)</f>
        <v>0.0283259206756523</v>
      </c>
      <c r="S306" s="0" t="n">
        <f aca="false">M306-O306</f>
        <v>0.0135886017236837</v>
      </c>
      <c r="T306" s="0" t="n">
        <f aca="false">IF(M306&gt;O306,1,0)</f>
        <v>1</v>
      </c>
    </row>
    <row r="307" customFormat="false" ht="15" hidden="false" customHeight="false" outlineLevel="0" collapsed="false">
      <c r="M307" s="0" t="n">
        <f aca="false">3_Returns!B307/3_Returns!B306-1</f>
        <v>-0.0346313437599743</v>
      </c>
      <c r="N307" s="0" t="n">
        <f aca="false">3_Returns!C307/3_Returns!C306-1</f>
        <v>0.0022094268880557</v>
      </c>
      <c r="O307" s="0" t="n">
        <f aca="false">3_Returns!D307/3_Returns!D306-1</f>
        <v>-0.0239272442545883</v>
      </c>
      <c r="P307" s="0" t="n">
        <f aca="false">MAX(3_Returns!$B$31:B307)</f>
        <v>69.88</v>
      </c>
      <c r="Q307" s="0" t="n">
        <f aca="false">3_Returns!B307/P307-1</f>
        <v>-0.134373211219233</v>
      </c>
      <c r="R307" s="0" t="n">
        <f aca="false">LN(3_Returns!B307/3_Returns!B306)</f>
        <v>-0.0352452234052227</v>
      </c>
      <c r="S307" s="0" t="n">
        <f aca="false">M307-O307</f>
        <v>-0.0107040995053861</v>
      </c>
      <c r="T307" s="0" t="n">
        <f aca="false">IF(M307&gt;O307,1,0)</f>
        <v>0</v>
      </c>
    </row>
    <row r="308" customFormat="false" ht="15" hidden="false" customHeight="false" outlineLevel="0" collapsed="false">
      <c r="M308" s="0" t="n">
        <f aca="false">3_Returns!B308/3_Returns!B307-1</f>
        <v>-0.00793519590014891</v>
      </c>
      <c r="N308" s="0" t="n">
        <f aca="false">3_Returns!C308/3_Returns!C307-1</f>
        <v>-0.0128265081167745</v>
      </c>
      <c r="O308" s="0" t="n">
        <f aca="false">3_Returns!D308/3_Returns!D307-1</f>
        <v>-0.0108376933713944</v>
      </c>
      <c r="P308" s="0" t="n">
        <f aca="false">MAX(3_Returns!$B$31:B308)</f>
        <v>69.88</v>
      </c>
      <c r="Q308" s="0" t="n">
        <f aca="false">3_Returns!B308/P308-1</f>
        <v>-0.141242129364625</v>
      </c>
      <c r="R308" s="0" t="n">
        <f aca="false">LN(3_Returns!B308/3_Returns!B307)</f>
        <v>-0.00796684711740152</v>
      </c>
      <c r="S308" s="0" t="n">
        <f aca="false">M308-O308</f>
        <v>0.00290249747124549</v>
      </c>
      <c r="T308" s="0" t="n">
        <f aca="false">IF(M308&gt;O308,1,0)</f>
        <v>1</v>
      </c>
    </row>
    <row r="309" customFormat="false" ht="15" hidden="false" customHeight="false" outlineLevel="0" collapsed="false">
      <c r="M309" s="0" t="n">
        <f aca="false">3_Returns!B309/3_Returns!B308-1</f>
        <v>0.0129978336943843</v>
      </c>
      <c r="N309" s="0" t="n">
        <f aca="false">3_Returns!C309/3_Returns!C308-1</f>
        <v>0.0035189822020707</v>
      </c>
      <c r="O309" s="0" t="n">
        <f aca="false">3_Returns!D309/3_Returns!D308-1</f>
        <v>-0.00240024591075272</v>
      </c>
      <c r="P309" s="0" t="n">
        <f aca="false">MAX(3_Returns!$B$31:B309)</f>
        <v>69.88</v>
      </c>
      <c r="Q309" s="0" t="n">
        <f aca="false">3_Returns!B309/P309-1</f>
        <v>-0.130080137378363</v>
      </c>
      <c r="R309" s="0" t="n">
        <f aca="false">LN(3_Returns!B309/3_Returns!B308)</f>
        <v>0.0129140867592097</v>
      </c>
      <c r="S309" s="0" t="n">
        <f aca="false">M309-O309</f>
        <v>0.0153980796051371</v>
      </c>
      <c r="T309" s="0" t="n">
        <f aca="false">IF(M309&gt;O309,1,0)</f>
        <v>1</v>
      </c>
    </row>
    <row r="310" customFormat="false" ht="15" hidden="false" customHeight="false" outlineLevel="0" collapsed="false">
      <c r="M310" s="0" t="n">
        <f aca="false">3_Returns!B310/3_Returns!B309-1</f>
        <v>0.00625102812962663</v>
      </c>
      <c r="N310" s="0" t="n">
        <f aca="false">3_Returns!C310/3_Returns!C309-1</f>
        <v>-0.0130824735315935</v>
      </c>
      <c r="O310" s="0" t="n">
        <f aca="false">3_Returns!D310/3_Returns!D309-1</f>
        <v>-0.00197005257844141</v>
      </c>
      <c r="P310" s="0" t="n">
        <f aca="false">MAX(3_Returns!$B$31:B310)</f>
        <v>69.88</v>
      </c>
      <c r="Q310" s="0" t="n">
        <f aca="false">3_Returns!B310/P310-1</f>
        <v>-0.124642243846594</v>
      </c>
      <c r="R310" s="0" t="n">
        <f aca="false">LN(3_Returns!B310/3_Returns!B309)</f>
        <v>0.00623157149384243</v>
      </c>
      <c r="S310" s="0" t="n">
        <f aca="false">M310-O310</f>
        <v>0.00822108070806804</v>
      </c>
      <c r="T310" s="0" t="n">
        <f aca="false">IF(M310&gt;O310,1,0)</f>
        <v>1</v>
      </c>
    </row>
    <row r="311" customFormat="false" ht="15" hidden="false" customHeight="false" outlineLevel="0" collapsed="false">
      <c r="M311" s="0" t="n">
        <f aca="false">3_Returns!B311/3_Returns!B310-1</f>
        <v>0.00294261893084835</v>
      </c>
      <c r="N311" s="0" t="n">
        <f aca="false">3_Returns!C311/3_Returns!C310-1</f>
        <v>0.0212504270584217</v>
      </c>
      <c r="O311" s="0" t="n">
        <f aca="false">3_Returns!D311/3_Returns!D310-1</f>
        <v>0.00199200570176727</v>
      </c>
      <c r="P311" s="0" t="n">
        <f aca="false">MAX(3_Returns!$B$31:B311)</f>
        <v>69.88</v>
      </c>
      <c r="Q311" s="0" t="n">
        <f aca="false">3_Returns!B311/P311-1</f>
        <v>-0.122066399542072</v>
      </c>
      <c r="R311" s="0" t="n">
        <f aca="false">LN(3_Returns!B311/3_Returns!B310)</f>
        <v>0.00293829790244684</v>
      </c>
      <c r="S311" s="0" t="n">
        <f aca="false">M311-O311</f>
        <v>0.000950613229081077</v>
      </c>
      <c r="T311" s="0" t="n">
        <f aca="false">IF(M311&gt;O311,1,0)</f>
        <v>1</v>
      </c>
    </row>
    <row r="312" customFormat="false" ht="15" hidden="false" customHeight="false" outlineLevel="0" collapsed="false">
      <c r="M312" s="0" t="n">
        <f aca="false">3_Returns!B312/3_Returns!B311-1</f>
        <v>0.0314588427057865</v>
      </c>
      <c r="N312" s="0" t="n">
        <f aca="false">3_Returns!C312/3_Returns!C311-1</f>
        <v>-0.00461661983139305</v>
      </c>
      <c r="O312" s="0" t="n">
        <f aca="false">3_Returns!D312/3_Returns!D311-1</f>
        <v>0.00305336255033617</v>
      </c>
      <c r="P312" s="0" t="n">
        <f aca="false">MAX(3_Returns!$B$31:B312)</f>
        <v>69.88</v>
      </c>
      <c r="Q312" s="0" t="n">
        <f aca="false">3_Returns!B312/P312-1</f>
        <v>-0.0944476244991414</v>
      </c>
      <c r="R312" s="0" t="n">
        <f aca="false">LN(3_Returns!B312/3_Returns!B311)</f>
        <v>0.030974152302478</v>
      </c>
      <c r="S312" s="0" t="n">
        <f aca="false">M312-O312</f>
        <v>0.0284054801554503</v>
      </c>
      <c r="T312" s="0" t="n">
        <f aca="false">IF(M312&gt;O312,1,0)</f>
        <v>1</v>
      </c>
    </row>
    <row r="313" customFormat="false" ht="15" hidden="false" customHeight="false" outlineLevel="0" collapsed="false">
      <c r="M313" s="0" t="n">
        <f aca="false">3_Returns!B313/3_Returns!B312-1</f>
        <v>0.00663716814159288</v>
      </c>
      <c r="N313" s="0" t="n">
        <f aca="false">3_Returns!C313/3_Returns!C312-1</f>
        <v>-0.0220474558042616</v>
      </c>
      <c r="O313" s="0" t="n">
        <f aca="false">3_Returns!D313/3_Returns!D312-1</f>
        <v>-0.00183657129785475</v>
      </c>
      <c r="P313" s="0" t="n">
        <f aca="false">MAX(3_Returns!$B$31:B313)</f>
        <v>69.88</v>
      </c>
      <c r="Q313" s="0" t="n">
        <f aca="false">3_Returns!B313/P313-1</f>
        <v>-0.0884373211219232</v>
      </c>
      <c r="R313" s="0" t="n">
        <f aca="false">LN(3_Returns!B313/3_Returns!B312)</f>
        <v>0.00661523911871918</v>
      </c>
      <c r="S313" s="0" t="n">
        <f aca="false">M313-O313</f>
        <v>0.00847373943944763</v>
      </c>
      <c r="T313" s="0" t="n">
        <f aca="false">IF(M313&gt;O313,1,0)</f>
        <v>1</v>
      </c>
    </row>
    <row r="314" customFormat="false" ht="15" hidden="false" customHeight="false" outlineLevel="0" collapsed="false">
      <c r="M314" s="0" t="n">
        <f aca="false">3_Returns!B314/3_Returns!B313-1</f>
        <v>0.00973312401883808</v>
      </c>
      <c r="N314" s="0" t="n">
        <f aca="false">3_Returns!C314/3_Returns!C313-1</f>
        <v>0.00714825761220705</v>
      </c>
      <c r="O314" s="0" t="n">
        <f aca="false">3_Returns!D314/3_Returns!D313-1</f>
        <v>0.0117763379746796</v>
      </c>
      <c r="P314" s="0" t="n">
        <f aca="false">MAX(3_Returns!$B$31:B314)</f>
        <v>69.88</v>
      </c>
      <c r="Q314" s="0" t="n">
        <f aca="false">3_Returns!B314/P314-1</f>
        <v>-0.0795649685174585</v>
      </c>
      <c r="R314" s="0" t="n">
        <f aca="false">LN(3_Returns!B314/3_Returns!B313)</f>
        <v>0.00968606229259305</v>
      </c>
      <c r="S314" s="0" t="n">
        <f aca="false">M314-O314</f>
        <v>-0.00204321395584151</v>
      </c>
      <c r="T314" s="0" t="n">
        <f aca="false">IF(M314&gt;O314,1,0)</f>
        <v>0</v>
      </c>
    </row>
    <row r="315" customFormat="false" ht="15" hidden="false" customHeight="false" outlineLevel="0" collapsed="false">
      <c r="M315" s="0" t="n">
        <f aca="false">3_Returns!B315/3_Returns!B314-1</f>
        <v>-0.0158582089552238</v>
      </c>
      <c r="N315" s="0" t="n">
        <f aca="false">3_Returns!C315/3_Returns!C314-1</f>
        <v>-0.0161059168770901</v>
      </c>
      <c r="O315" s="0" t="n">
        <f aca="false">3_Returns!D315/3_Returns!D314-1</f>
        <v>-0.0212448226766763</v>
      </c>
      <c r="P315" s="0" t="n">
        <f aca="false">MAX(3_Returns!$B$31:B315)</f>
        <v>69.88</v>
      </c>
      <c r="Q315" s="0" t="n">
        <f aca="false">3_Returns!B315/P315-1</f>
        <v>-0.0941614195764167</v>
      </c>
      <c r="R315" s="0" t="n">
        <f aca="false">LN(3_Returns!B315/3_Returns!B314)</f>
        <v>-0.0159852957205804</v>
      </c>
      <c r="S315" s="0" t="n">
        <f aca="false">M315-O315</f>
        <v>0.00538661372145244</v>
      </c>
      <c r="T315" s="0" t="n">
        <f aca="false">IF(M315&gt;O315,1,0)</f>
        <v>1</v>
      </c>
    </row>
    <row r="316" customFormat="false" ht="15" hidden="false" customHeight="false" outlineLevel="0" collapsed="false">
      <c r="M316" s="0" t="n">
        <f aca="false">3_Returns!B316/3_Returns!B315-1</f>
        <v>0.00584518167456571</v>
      </c>
      <c r="N316" s="0" t="n">
        <f aca="false">3_Returns!C316/3_Returns!C315-1</f>
        <v>0.0184504404522441</v>
      </c>
      <c r="O316" s="0" t="n">
        <f aca="false">3_Returns!D316/3_Returns!D315-1</f>
        <v>0.000315729094518602</v>
      </c>
      <c r="P316" s="0" t="n">
        <f aca="false">MAX(3_Returns!$B$31:B316)</f>
        <v>69.88</v>
      </c>
      <c r="Q316" s="0" t="n">
        <f aca="false">3_Returns!B316/P316-1</f>
        <v>-0.0888666285060102</v>
      </c>
      <c r="R316" s="0" t="n">
        <f aca="false">LN(3_Returns!B316/3_Returns!B315)</f>
        <v>0.00582816487880361</v>
      </c>
      <c r="S316" s="0" t="n">
        <f aca="false">M316-O316</f>
        <v>0.00552945258004711</v>
      </c>
      <c r="T316" s="0" t="n">
        <f aca="false">IF(M316&gt;O316,1,0)</f>
        <v>1</v>
      </c>
    </row>
    <row r="317" customFormat="false" ht="15" hidden="false" customHeight="false" outlineLevel="0" collapsed="false">
      <c r="M317" s="0" t="n">
        <f aca="false">3_Returns!B317/3_Returns!B316-1</f>
        <v>-0.0191613004554735</v>
      </c>
      <c r="N317" s="0" t="n">
        <f aca="false">3_Returns!C317/3_Returns!C316-1</f>
        <v>-0.00796839882857736</v>
      </c>
      <c r="O317" s="0" t="n">
        <f aca="false">3_Returns!D317/3_Returns!D316-1</f>
        <v>-0.0068860098489606</v>
      </c>
      <c r="P317" s="0" t="n">
        <f aca="false">MAX(3_Returns!$B$31:B317)</f>
        <v>69.88</v>
      </c>
      <c r="Q317" s="0" t="n">
        <f aca="false">3_Returns!B317/P317-1</f>
        <v>-0.106325128792215</v>
      </c>
      <c r="R317" s="0" t="n">
        <f aca="false">LN(3_Returns!B317/3_Returns!B316)</f>
        <v>-0.0193472574573472</v>
      </c>
      <c r="S317" s="0" t="n">
        <f aca="false">M317-O317</f>
        <v>-0.0122752906065129</v>
      </c>
      <c r="T317" s="0" t="n">
        <f aca="false">IF(M317&gt;O317,1,0)</f>
        <v>0</v>
      </c>
    </row>
    <row r="318" customFormat="false" ht="15" hidden="false" customHeight="false" outlineLevel="0" collapsed="false">
      <c r="M318" s="0" t="n">
        <f aca="false">3_Returns!B318/3_Returns!B317-1</f>
        <v>0.00320256204963965</v>
      </c>
      <c r="N318" s="0" t="n">
        <f aca="false">3_Returns!C318/3_Returns!C317-1</f>
        <v>0.00116710146917498</v>
      </c>
      <c r="O318" s="0" t="n">
        <f aca="false">3_Returns!D318/3_Returns!D317-1</f>
        <v>0.00165398445520859</v>
      </c>
      <c r="P318" s="0" t="n">
        <f aca="false">MAX(3_Returns!$B$31:B318)</f>
        <v>69.88</v>
      </c>
      <c r="Q318" s="0" t="n">
        <f aca="false">3_Returns!B318/P318-1</f>
        <v>-0.103463079564968</v>
      </c>
      <c r="R318" s="0" t="n">
        <f aca="false">LN(3_Returns!B318/3_Returns!B317)</f>
        <v>0.00319744477049056</v>
      </c>
      <c r="S318" s="0" t="n">
        <f aca="false">M318-O318</f>
        <v>0.00154857759443106</v>
      </c>
      <c r="T318" s="0" t="n">
        <f aca="false">IF(M318&gt;O318,1,0)</f>
        <v>1</v>
      </c>
    </row>
    <row r="319" customFormat="false" ht="15" hidden="false" customHeight="false" outlineLevel="0" collapsed="false">
      <c r="M319" s="0" t="n">
        <f aca="false">3_Returns!B319/3_Returns!B318-1</f>
        <v>0.00111731843575424</v>
      </c>
      <c r="N319" s="0" t="n">
        <f aca="false">3_Returns!C319/3_Returns!C318-1</f>
        <v>0.0074744565590068</v>
      </c>
      <c r="O319" s="0" t="n">
        <f aca="false">3_Returns!D319/3_Returns!D318-1</f>
        <v>0.00254166756649443</v>
      </c>
      <c r="P319" s="0" t="n">
        <f aca="false">MAX(3_Returns!$B$31:B319)</f>
        <v>69.88</v>
      </c>
      <c r="Q319" s="0" t="n">
        <f aca="false">3_Returns!B319/P319-1</f>
        <v>-0.102461362335432</v>
      </c>
      <c r="R319" s="0" t="n">
        <f aca="false">LN(3_Returns!B319/3_Returns!B318)</f>
        <v>0.00111669470007515</v>
      </c>
      <c r="S319" s="0" t="n">
        <f aca="false">M319-O319</f>
        <v>-0.00142434913074019</v>
      </c>
      <c r="T319" s="0" t="n">
        <f aca="false">IF(M319&gt;O319,1,0)</f>
        <v>0</v>
      </c>
    </row>
    <row r="320" customFormat="false" ht="15" hidden="false" customHeight="false" outlineLevel="0" collapsed="false">
      <c r="M320" s="0" t="n">
        <f aca="false">3_Returns!B320/3_Returns!B319-1</f>
        <v>-0.0360331632653061</v>
      </c>
      <c r="N320" s="0" t="n">
        <f aca="false">3_Returns!C320/3_Returns!C319-1</f>
        <v>0.00891641709774027</v>
      </c>
      <c r="O320" s="0" t="n">
        <f aca="false">3_Returns!D320/3_Returns!D319-1</f>
        <v>-0.00887162653666873</v>
      </c>
      <c r="P320" s="0" t="n">
        <f aca="false">MAX(3_Returns!$B$31:B320)</f>
        <v>69.88</v>
      </c>
      <c r="Q320" s="0" t="n">
        <f aca="false">3_Returns!B320/P320-1</f>
        <v>-0.13480251860332</v>
      </c>
      <c r="R320" s="0" t="n">
        <f aca="false">LN(3_Returns!B320/3_Returns!B319)</f>
        <v>-0.0366983866908404</v>
      </c>
      <c r="S320" s="0" t="n">
        <f aca="false">M320-O320</f>
        <v>-0.0271615367286374</v>
      </c>
      <c r="T320" s="0" t="n">
        <f aca="false">IF(M320&gt;O320,1,0)</f>
        <v>0</v>
      </c>
    </row>
    <row r="321" customFormat="false" ht="15" hidden="false" customHeight="false" outlineLevel="0" collapsed="false">
      <c r="M321" s="0" t="n">
        <f aca="false">3_Returns!B321/3_Returns!B320-1</f>
        <v>-0.00926232219649359</v>
      </c>
      <c r="N321" s="0" t="n">
        <f aca="false">3_Returns!C321/3_Returns!C320-1</f>
        <v>-0.00485731633272613</v>
      </c>
      <c r="O321" s="0" t="n">
        <f aca="false">3_Returns!D321/3_Returns!D320-1</f>
        <v>-0.00614401572868029</v>
      </c>
      <c r="P321" s="0" t="n">
        <f aca="false">MAX(3_Returns!$B$31:B321)</f>
        <v>69.88</v>
      </c>
      <c r="Q321" s="0" t="n">
        <f aca="false">3_Returns!B321/P321-1</f>
        <v>-0.142816256439611</v>
      </c>
      <c r="R321" s="0" t="n">
        <f aca="false">LN(3_Returns!B321/3_Returns!B320)</f>
        <v>-0.00930548422990837</v>
      </c>
      <c r="S321" s="0" t="n">
        <f aca="false">M321-O321</f>
        <v>-0.0031183064678133</v>
      </c>
      <c r="T321" s="0" t="n">
        <f aca="false">IF(M321&gt;O321,1,0)</f>
        <v>0</v>
      </c>
    </row>
    <row r="322" customFormat="false" ht="15" hidden="false" customHeight="false" outlineLevel="0" collapsed="false">
      <c r="M322" s="0" t="n">
        <f aca="false">3_Returns!B322/3_Returns!B321-1</f>
        <v>0.00651085141903174</v>
      </c>
      <c r="N322" s="0" t="n">
        <f aca="false">3_Returns!C322/3_Returns!C321-1</f>
        <v>0.0157955392854723</v>
      </c>
      <c r="O322" s="0" t="n">
        <f aca="false">3_Returns!D322/3_Returns!D321-1</f>
        <v>0.00830658672964746</v>
      </c>
      <c r="P322" s="0" t="n">
        <f aca="false">MAX(3_Returns!$B$31:B322)</f>
        <v>69.88</v>
      </c>
      <c r="Q322" s="0" t="n">
        <f aca="false">3_Returns!B322/P322-1</f>
        <v>-0.13723526044648</v>
      </c>
      <c r="R322" s="0" t="n">
        <f aca="false">LN(3_Returns!B322/3_Returns!B321)</f>
        <v>0.00648974737991055</v>
      </c>
      <c r="S322" s="0" t="n">
        <f aca="false">M322-O322</f>
        <v>-0.00179573531061572</v>
      </c>
      <c r="T322" s="0" t="n">
        <f aca="false">IF(M322&gt;O322,1,0)</f>
        <v>0</v>
      </c>
    </row>
    <row r="323" customFormat="false" ht="15" hidden="false" customHeight="false" outlineLevel="0" collapsed="false">
      <c r="M323" s="0" t="n">
        <f aca="false">3_Returns!B323/3_Returns!B322-1</f>
        <v>-0.000995189915408923</v>
      </c>
      <c r="N323" s="0" t="n">
        <f aca="false">3_Returns!C323/3_Returns!C322-1</f>
        <v>0.0076748531767219</v>
      </c>
      <c r="O323" s="0" t="n">
        <f aca="false">3_Returns!D323/3_Returns!D322-1</f>
        <v>0.00383546377580468</v>
      </c>
      <c r="P323" s="0" t="n">
        <f aca="false">MAX(3_Returns!$B$31:B323)</f>
        <v>69.88</v>
      </c>
      <c r="Q323" s="0" t="n">
        <f aca="false">3_Returns!B323/P323-1</f>
        <v>-0.138093875214654</v>
      </c>
      <c r="R323" s="0" t="n">
        <f aca="false">LN(3_Returns!B323/3_Returns!B322)</f>
        <v>-0.000995685445684557</v>
      </c>
      <c r="S323" s="0" t="n">
        <f aca="false">M323-O323</f>
        <v>-0.0048306536912136</v>
      </c>
      <c r="T323" s="0" t="n">
        <f aca="false">IF(M323&gt;O323,1,0)</f>
        <v>0</v>
      </c>
    </row>
    <row r="324" customFormat="false" ht="15" hidden="false" customHeight="false" outlineLevel="0" collapsed="false">
      <c r="M324" s="0" t="n">
        <f aca="false">3_Returns!B324/3_Returns!B323-1</f>
        <v>-0.0288892578449277</v>
      </c>
      <c r="N324" s="0" t="n">
        <f aca="false">3_Returns!C324/3_Returns!C323-1</f>
        <v>-0.00728525067885311</v>
      </c>
      <c r="O324" s="0" t="n">
        <f aca="false">3_Returns!D324/3_Returns!D323-1</f>
        <v>-0.006538087601067</v>
      </c>
      <c r="P324" s="0" t="n">
        <f aca="false">MAX(3_Returns!$B$31:B324)</f>
        <v>69.88</v>
      </c>
      <c r="Q324" s="0" t="n">
        <f aca="false">3_Returns!B324/P324-1</f>
        <v>-0.1629937034917</v>
      </c>
      <c r="R324" s="0" t="n">
        <f aca="false">LN(3_Returns!B324/3_Returns!B323)</f>
        <v>-0.0293147676006952</v>
      </c>
      <c r="S324" s="0" t="n">
        <f aca="false">M324-O324</f>
        <v>-0.0223511702438607</v>
      </c>
      <c r="T324" s="0" t="n">
        <f aca="false">IF(M324&gt;O324,1,0)</f>
        <v>0</v>
      </c>
    </row>
    <row r="325" customFormat="false" ht="15" hidden="false" customHeight="false" outlineLevel="0" collapsed="false">
      <c r="M325" s="0" t="n">
        <f aca="false">3_Returns!B325/3_Returns!B324-1</f>
        <v>0.0206872969738416</v>
      </c>
      <c r="N325" s="0" t="n">
        <f aca="false">3_Returns!C325/3_Returns!C324-1</f>
        <v>0.015411301621189</v>
      </c>
      <c r="O325" s="0" t="n">
        <f aca="false">3_Returns!D325/3_Returns!D324-1</f>
        <v>0.020877560135905</v>
      </c>
      <c r="P325" s="0" t="n">
        <f aca="false">MAX(3_Returns!$B$31:B325)</f>
        <v>69.88</v>
      </c>
      <c r="Q325" s="0" t="n">
        <f aca="false">3_Returns!B325/P325-1</f>
        <v>-0.145678305666857</v>
      </c>
      <c r="R325" s="0" t="n">
        <f aca="false">LN(3_Returns!B325/3_Returns!B324)</f>
        <v>0.0204762209436219</v>
      </c>
      <c r="S325" s="0" t="n">
        <f aca="false">M325-O325</f>
        <v>-0.000190263162063387</v>
      </c>
      <c r="T325" s="0" t="n">
        <f aca="false">IF(M325&gt;O325,1,0)</f>
        <v>0</v>
      </c>
    </row>
    <row r="326" customFormat="false" ht="15" hidden="false" customHeight="false" outlineLevel="0" collapsed="false">
      <c r="M326" s="0" t="n">
        <f aca="false">3_Returns!B326/3_Returns!B325-1</f>
        <v>0.0279731993299832</v>
      </c>
      <c r="N326" s="0" t="n">
        <f aca="false">3_Returns!C326/3_Returns!C325-1</f>
        <v>0.0168856767411303</v>
      </c>
      <c r="O326" s="0" t="n">
        <f aca="false">3_Returns!D326/3_Returns!D325-1</f>
        <v>0.0235919318444378</v>
      </c>
      <c r="P326" s="0" t="n">
        <f aca="false">MAX(3_Returns!$B$31:B326)</f>
        <v>69.88</v>
      </c>
      <c r="Q326" s="0" t="n">
        <f aca="false">3_Returns!B326/P326-1</f>
        <v>-0.121780194619347</v>
      </c>
      <c r="R326" s="0" t="n">
        <f aca="false">LN(3_Returns!B326/3_Returns!B325)</f>
        <v>0.0275890960024492</v>
      </c>
      <c r="S326" s="0" t="n">
        <f aca="false">M326-O326</f>
        <v>0.00438126748554546</v>
      </c>
      <c r="T326" s="0" t="n">
        <f aca="false">IF(M326&gt;O326,1,0)</f>
        <v>1</v>
      </c>
    </row>
    <row r="327" customFormat="false" ht="15" hidden="false" customHeight="false" outlineLevel="0" collapsed="false">
      <c r="M327" s="0" t="n">
        <f aca="false">3_Returns!B327/3_Returns!B326-1</f>
        <v>-0.0158057682906958</v>
      </c>
      <c r="N327" s="0" t="n">
        <f aca="false">3_Returns!C327/3_Returns!C326-1</f>
        <v>-0.0186082574142277</v>
      </c>
      <c r="O327" s="0" t="n">
        <f aca="false">3_Returns!D327/3_Returns!D326-1</f>
        <v>-0.014422522764821</v>
      </c>
      <c r="P327" s="0" t="n">
        <f aca="false">MAX(3_Returns!$B$31:B327)</f>
        <v>69.88</v>
      </c>
      <c r="Q327" s="0" t="n">
        <f aca="false">3_Returns!B327/P327-1</f>
        <v>-0.135661133371494</v>
      </c>
      <c r="R327" s="0" t="n">
        <f aca="false">LN(3_Returns!B327/3_Returns!B326)</f>
        <v>-0.0159320114602364</v>
      </c>
      <c r="S327" s="0" t="n">
        <f aca="false">M327-O327</f>
        <v>-0.00138324552587477</v>
      </c>
      <c r="T327" s="0" t="n">
        <f aca="false">IF(M327&gt;O327,1,0)</f>
        <v>0</v>
      </c>
    </row>
    <row r="328" customFormat="false" ht="15" hidden="false" customHeight="false" outlineLevel="0" collapsed="false">
      <c r="M328" s="0" t="n">
        <f aca="false">3_Returns!B328/3_Returns!B327-1</f>
        <v>-0.0104304635761588</v>
      </c>
      <c r="N328" s="0" t="n">
        <f aca="false">3_Returns!C328/3_Returns!C327-1</f>
        <v>0.0138916321021794</v>
      </c>
      <c r="O328" s="0" t="n">
        <f aca="false">3_Returns!D328/3_Returns!D327-1</f>
        <v>0.00335911142731371</v>
      </c>
      <c r="P328" s="0" t="n">
        <f aca="false">MAX(3_Returns!$B$31:B328)</f>
        <v>69.88</v>
      </c>
      <c r="Q328" s="0" t="n">
        <f aca="false">3_Returns!B328/P328-1</f>
        <v>-0.144676588437321</v>
      </c>
      <c r="R328" s="0" t="n">
        <f aca="false">LN(3_Returns!B328/3_Returns!B327)</f>
        <v>-0.0104852421046064</v>
      </c>
      <c r="S328" s="0" t="n">
        <f aca="false">M328-O328</f>
        <v>-0.0137895750034726</v>
      </c>
      <c r="T328" s="0" t="n">
        <f aca="false">IF(M328&gt;O328,1,0)</f>
        <v>0</v>
      </c>
    </row>
    <row r="329" customFormat="false" ht="15" hidden="false" customHeight="false" outlineLevel="0" collapsed="false">
      <c r="M329" s="0" t="n">
        <f aca="false">3_Returns!B329/3_Returns!B328-1</f>
        <v>0.0391500752886063</v>
      </c>
      <c r="N329" s="0" t="n">
        <f aca="false">3_Returns!C329/3_Returns!C328-1</f>
        <v>0.00493506493506479</v>
      </c>
      <c r="O329" s="0" t="n">
        <f aca="false">3_Returns!D329/3_Returns!D328-1</f>
        <v>0.0256043722994883</v>
      </c>
      <c r="P329" s="0" t="n">
        <f aca="false">MAX(3_Returns!$B$31:B329)</f>
        <v>69.88</v>
      </c>
      <c r="Q329" s="0" t="n">
        <f aca="false">3_Returns!B329/P329-1</f>
        <v>-0.111190612478535</v>
      </c>
      <c r="R329" s="0" t="n">
        <f aca="false">LN(3_Returns!B329/3_Returns!B328)</f>
        <v>0.0384031437350487</v>
      </c>
      <c r="S329" s="0" t="n">
        <f aca="false">M329-O329</f>
        <v>0.0135457029891179</v>
      </c>
      <c r="T329" s="0" t="n">
        <f aca="false">IF(M329&gt;O329,1,0)</f>
        <v>1</v>
      </c>
    </row>
    <row r="330" customFormat="false" ht="15" hidden="false" customHeight="false" outlineLevel="0" collapsed="false">
      <c r="M330" s="0" t="n">
        <f aca="false">3_Returns!B330/3_Returns!B329-1</f>
        <v>-0.00579616808887462</v>
      </c>
      <c r="N330" s="0" t="n">
        <f aca="false">3_Returns!C330/3_Returns!C329-1</f>
        <v>0.0169294391315586</v>
      </c>
      <c r="O330" s="0" t="n">
        <f aca="false">3_Returns!D330/3_Returns!D329-1</f>
        <v>0.00821911753795845</v>
      </c>
      <c r="P330" s="0" t="n">
        <f aca="false">MAX(3_Returns!$B$31:B330)</f>
        <v>69.88</v>
      </c>
      <c r="Q330" s="0" t="n">
        <f aca="false">3_Returns!B330/P330-1</f>
        <v>-0.116342301087579</v>
      </c>
      <c r="R330" s="0" t="n">
        <f aca="false">LN(3_Returns!B330/3_Returns!B329)</f>
        <v>-0.00581303106312508</v>
      </c>
      <c r="S330" s="0" t="n">
        <f aca="false">M330-O330</f>
        <v>-0.0140152856268331</v>
      </c>
      <c r="T330" s="0" t="n">
        <f aca="false">IF(M330&gt;O330,1,0)</f>
        <v>0</v>
      </c>
    </row>
    <row r="331" customFormat="false" ht="15" hidden="false" customHeight="false" outlineLevel="0" collapsed="false">
      <c r="M331" s="0" t="n">
        <f aca="false">3_Returns!B331/3_Returns!B330-1</f>
        <v>0.000323886639676196</v>
      </c>
      <c r="N331" s="0" t="n">
        <f aca="false">3_Returns!C331/3_Returns!C330-1</f>
        <v>0.0108654212733512</v>
      </c>
      <c r="O331" s="0" t="n">
        <f aca="false">3_Returns!D331/3_Returns!D330-1</f>
        <v>0.00254567657695737</v>
      </c>
      <c r="P331" s="0" t="n">
        <f aca="false">MAX(3_Returns!$B$31:B331)</f>
        <v>69.88</v>
      </c>
      <c r="Q331" s="0" t="n">
        <f aca="false">3_Returns!B331/P331-1</f>
        <v>-0.116056096164854</v>
      </c>
      <c r="R331" s="0" t="n">
        <f aca="false">LN(3_Returns!B331/3_Returns!B330)</f>
        <v>0.000323834199721278</v>
      </c>
      <c r="S331" s="0" t="n">
        <f aca="false">M331-O331</f>
        <v>-0.00222178993728117</v>
      </c>
      <c r="T331" s="0" t="n">
        <f aca="false">IF(M331&gt;O331,1,0)</f>
        <v>0</v>
      </c>
    </row>
    <row r="332" customFormat="false" ht="15" hidden="false" customHeight="false" outlineLevel="0" collapsed="false">
      <c r="M332" s="0" t="n">
        <f aca="false">3_Returns!B332/3_Returns!B331-1</f>
        <v>0.0150558523555124</v>
      </c>
      <c r="N332" s="0" t="n">
        <f aca="false">3_Returns!C332/3_Returns!C331-1</f>
        <v>-0.00201144006537179</v>
      </c>
      <c r="O332" s="0" t="n">
        <f aca="false">3_Returns!D332/3_Returns!D331-1</f>
        <v>-0.00178025973052498</v>
      </c>
      <c r="P332" s="0" t="n">
        <f aca="false">MAX(3_Returns!$B$31:B332)</f>
        <v>69.88</v>
      </c>
      <c r="Q332" s="0" t="n">
        <f aca="false">3_Returns!B332/P332-1</f>
        <v>-0.102747567258157</v>
      </c>
      <c r="R332" s="0" t="n">
        <f aca="false">LN(3_Returns!B332/3_Returns!B331)</f>
        <v>0.0149436379310673</v>
      </c>
      <c r="S332" s="0" t="n">
        <f aca="false">M332-O332</f>
        <v>0.0168361120860374</v>
      </c>
      <c r="T332" s="0" t="n">
        <f aca="false">IF(M332&gt;O332,1,0)</f>
        <v>1</v>
      </c>
    </row>
    <row r="333" customFormat="false" ht="15" hidden="false" customHeight="false" outlineLevel="0" collapsed="false">
      <c r="M333" s="0" t="n">
        <f aca="false">3_Returns!B333/3_Returns!B332-1</f>
        <v>-0.0149920255183413</v>
      </c>
      <c r="N333" s="0" t="n">
        <f aca="false">3_Returns!C333/3_Returns!C332-1</f>
        <v>-0.0107073124645715</v>
      </c>
      <c r="O333" s="0" t="n">
        <f aca="false">3_Returns!D333/3_Returns!D332-1</f>
        <v>-0.00513597907436614</v>
      </c>
      <c r="P333" s="0" t="n">
        <f aca="false">MAX(3_Returns!$B$31:B333)</f>
        <v>69.88</v>
      </c>
      <c r="Q333" s="0" t="n">
        <f aca="false">3_Returns!B333/P333-1</f>
        <v>-0.116199198626216</v>
      </c>
      <c r="R333" s="0" t="n">
        <f aca="false">LN(3_Returns!B333/3_Returns!B332)</f>
        <v>-0.0151055419223543</v>
      </c>
      <c r="S333" s="0" t="n">
        <f aca="false">M333-O333</f>
        <v>-0.0098560464439752</v>
      </c>
      <c r="T333" s="0" t="n">
        <f aca="false">IF(M333&gt;O333,1,0)</f>
        <v>0</v>
      </c>
    </row>
    <row r="334" customFormat="false" ht="15" hidden="false" customHeight="false" outlineLevel="0" collapsed="false">
      <c r="M334" s="0" t="n">
        <f aca="false">3_Returns!B334/3_Returns!B333-1</f>
        <v>-0.00858160621761661</v>
      </c>
      <c r="N334" s="0" t="n">
        <f aca="false">3_Returns!C334/3_Returns!C333-1</f>
        <v>-0.00331062583561459</v>
      </c>
      <c r="O334" s="0" t="n">
        <f aca="false">3_Returns!D334/3_Returns!D333-1</f>
        <v>-0.00182566402435469</v>
      </c>
      <c r="P334" s="0" t="n">
        <f aca="false">MAX(3_Returns!$B$31:B334)</f>
        <v>69.88</v>
      </c>
      <c r="Q334" s="0" t="n">
        <f aca="false">3_Returns!B334/P334-1</f>
        <v>-0.12378362907842</v>
      </c>
      <c r="R334" s="0" t="n">
        <f aca="false">LN(3_Returns!B334/3_Returns!B333)</f>
        <v>-0.00861864022665764</v>
      </c>
      <c r="S334" s="0" t="n">
        <f aca="false">M334-O334</f>
        <v>-0.00675594219326192</v>
      </c>
      <c r="T334" s="0" t="n">
        <f aca="false">IF(M334&gt;O334,1,0)</f>
        <v>0</v>
      </c>
    </row>
    <row r="335" customFormat="false" ht="15" hidden="false" customHeight="false" outlineLevel="0" collapsed="false">
      <c r="M335" s="0" t="n">
        <f aca="false">3_Returns!B335/3_Returns!B334-1</f>
        <v>0.0078392944634984</v>
      </c>
      <c r="N335" s="0" t="n">
        <f aca="false">3_Returns!C335/3_Returns!C334-1</f>
        <v>0.000894282976684702</v>
      </c>
      <c r="O335" s="0" t="n">
        <f aca="false">3_Returns!D335/3_Returns!D334-1</f>
        <v>-0.00523337513311872</v>
      </c>
      <c r="P335" s="0" t="n">
        <f aca="false">MAX(3_Returns!$B$31:B335)</f>
        <v>69.88</v>
      </c>
      <c r="Q335" s="0" t="n">
        <f aca="false">3_Returns!B335/P335-1</f>
        <v>-0.116914710933028</v>
      </c>
      <c r="R335" s="0" t="n">
        <f aca="false">LN(3_Returns!B335/3_Returns!B334)</f>
        <v>0.00780872684311249</v>
      </c>
      <c r="S335" s="0" t="n">
        <f aca="false">M335-O335</f>
        <v>0.0130726695966171</v>
      </c>
      <c r="T335" s="0" t="n">
        <f aca="false">IF(M335&gt;O335,1,0)</f>
        <v>1</v>
      </c>
    </row>
    <row r="336" customFormat="false" ht="15" hidden="false" customHeight="false" outlineLevel="0" collapsed="false">
      <c r="M336" s="0" t="n">
        <f aca="false">3_Returns!B336/3_Returns!B335-1</f>
        <v>0.00469940042132544</v>
      </c>
      <c r="N336" s="0" t="n">
        <f aca="false">3_Returns!C336/3_Returns!C335-1</f>
        <v>0.0125725955708724</v>
      </c>
      <c r="O336" s="0" t="n">
        <f aca="false">3_Returns!D336/3_Returns!D335-1</f>
        <v>0.00782643122970939</v>
      </c>
      <c r="P336" s="0" t="n">
        <f aca="false">MAX(3_Returns!$B$31:B336)</f>
        <v>69.88</v>
      </c>
      <c r="Q336" s="0" t="n">
        <f aca="false">3_Returns!B336/P336-1</f>
        <v>-0.11276473955352</v>
      </c>
      <c r="R336" s="0" t="n">
        <f aca="false">LN(3_Returns!B336/3_Returns!B335)</f>
        <v>0.00468839271211595</v>
      </c>
      <c r="S336" s="0" t="n">
        <f aca="false">M336-O336</f>
        <v>-0.00312703080838395</v>
      </c>
      <c r="T336" s="0" t="n">
        <f aca="false">IF(M336&gt;O336,1,0)</f>
        <v>0</v>
      </c>
    </row>
    <row r="337" customFormat="false" ht="15" hidden="false" customHeight="false" outlineLevel="0" collapsed="false">
      <c r="M337" s="0" t="n">
        <f aca="false">3_Returns!B337/3_Returns!B336-1</f>
        <v>-0.00822580645161286</v>
      </c>
      <c r="N337" s="0" t="n">
        <f aca="false">3_Returns!C337/3_Returns!C336-1</f>
        <v>0.000252111433253432</v>
      </c>
      <c r="O337" s="0" t="n">
        <f aca="false">3_Returns!D337/3_Returns!D336-1</f>
        <v>-0.00369583527134221</v>
      </c>
      <c r="P337" s="0" t="n">
        <f aca="false">MAX(3_Returns!$B$31:B337)</f>
        <v>69.88</v>
      </c>
      <c r="Q337" s="0" t="n">
        <f aca="false">3_Returns!B337/P337-1</f>
        <v>-0.120062965082999</v>
      </c>
      <c r="R337" s="0" t="n">
        <f aca="false">LN(3_Returns!B337/3_Returns!B336)</f>
        <v>-0.00825982507971318</v>
      </c>
      <c r="S337" s="0" t="n">
        <f aca="false">M337-O337</f>
        <v>-0.00452997118027065</v>
      </c>
      <c r="T337" s="0" t="n">
        <f aca="false">IF(M337&gt;O337,1,0)</f>
        <v>0</v>
      </c>
    </row>
    <row r="338" customFormat="false" ht="15" hidden="false" customHeight="false" outlineLevel="0" collapsed="false">
      <c r="M338" s="0" t="n">
        <f aca="false">3_Returns!B338/3_Returns!B337-1</f>
        <v>-0.00178890876565296</v>
      </c>
      <c r="N338" s="0" t="n">
        <f aca="false">3_Returns!C338/3_Returns!C337-1</f>
        <v>0.00655324511657218</v>
      </c>
      <c r="O338" s="0" t="n">
        <f aca="false">3_Returns!D338/3_Returns!D337-1</f>
        <v>-0.00412907702984033</v>
      </c>
      <c r="P338" s="0" t="n">
        <f aca="false">MAX(3_Returns!$B$31:B338)</f>
        <v>69.88</v>
      </c>
      <c r="Q338" s="0" t="n">
        <f aca="false">3_Returns!B338/P338-1</f>
        <v>-0.121637092157985</v>
      </c>
      <c r="R338" s="0" t="n">
        <f aca="false">LN(3_Returns!B338/3_Returns!B337)</f>
        <v>-0.00179051077378823</v>
      </c>
      <c r="S338" s="0" t="n">
        <f aca="false">M338-O338</f>
        <v>0.00234016826418737</v>
      </c>
      <c r="T338" s="0" t="n">
        <f aca="false">IF(M338&gt;O338,1,0)</f>
        <v>1</v>
      </c>
    </row>
    <row r="339" customFormat="false" ht="15" hidden="false" customHeight="false" outlineLevel="0" collapsed="false">
      <c r="M339" s="0" t="n">
        <f aca="false">3_Returns!B339/3_Returns!B338-1</f>
        <v>-0.000325839035516529</v>
      </c>
      <c r="N339" s="0" t="n">
        <f aca="false">3_Returns!C339/3_Returns!C338-1</f>
        <v>-0.0133967697508453</v>
      </c>
      <c r="O339" s="0" t="n">
        <f aca="false">3_Returns!D339/3_Returns!D338-1</f>
        <v>-0.011798765326517</v>
      </c>
      <c r="P339" s="0" t="n">
        <f aca="false">MAX(3_Returns!$B$31:B339)</f>
        <v>69.88</v>
      </c>
      <c r="Q339" s="0" t="n">
        <f aca="false">3_Returns!B339/P339-1</f>
        <v>-0.12192329708071</v>
      </c>
      <c r="R339" s="0" t="n">
        <f aca="false">LN(3_Returns!B339/3_Returns!B338)</f>
        <v>-0.000325892132589441</v>
      </c>
      <c r="S339" s="0" t="n">
        <f aca="false">M339-O339</f>
        <v>0.0114729262910005</v>
      </c>
      <c r="T339" s="0" t="n">
        <f aca="false">IF(M339&gt;O339,1,0)</f>
        <v>1</v>
      </c>
    </row>
    <row r="340" customFormat="false" ht="15" hidden="false" customHeight="false" outlineLevel="0" collapsed="false">
      <c r="M340" s="0" t="n">
        <f aca="false">3_Returns!B340/3_Returns!B339-1</f>
        <v>-0.028683181225554</v>
      </c>
      <c r="N340" s="0" t="n">
        <f aca="false">3_Returns!C340/3_Returns!C339-1</f>
        <v>0.00215736040609138</v>
      </c>
      <c r="O340" s="0" t="n">
        <f aca="false">3_Returns!D340/3_Returns!D339-1</f>
        <v>-0.000182700505791944</v>
      </c>
      <c r="P340" s="0" t="n">
        <f aca="false">MAX(3_Returns!$B$31:B340)</f>
        <v>69.88</v>
      </c>
      <c r="Q340" s="0" t="n">
        <f aca="false">3_Returns!B340/P340-1</f>
        <v>-0.147109330280481</v>
      </c>
      <c r="R340" s="0" t="n">
        <f aca="false">LN(3_Returns!B340/3_Returns!B339)</f>
        <v>-0.0291025829876966</v>
      </c>
      <c r="S340" s="0" t="n">
        <f aca="false">M340-O340</f>
        <v>-0.0285004807197621</v>
      </c>
      <c r="T340" s="0" t="n">
        <f aca="false">IF(M340&gt;O340,1,0)</f>
        <v>0</v>
      </c>
    </row>
    <row r="341" customFormat="false" ht="15" hidden="false" customHeight="false" outlineLevel="0" collapsed="false">
      <c r="M341" s="0" t="n">
        <f aca="false">3_Returns!B341/3_Returns!B340-1</f>
        <v>-0.0209731543624161</v>
      </c>
      <c r="N341" s="0" t="n">
        <f aca="false">3_Returns!C341/3_Returns!C340-1</f>
        <v>-0.0207673800177283</v>
      </c>
      <c r="O341" s="0" t="n">
        <f aca="false">3_Returns!D341/3_Returns!D340-1</f>
        <v>-0.00869428619974411</v>
      </c>
      <c r="P341" s="0" t="n">
        <f aca="false">MAX(3_Returns!$B$31:B341)</f>
        <v>69.88</v>
      </c>
      <c r="Q341" s="0" t="n">
        <f aca="false">3_Returns!B341/P341-1</f>
        <v>-0.164997137950773</v>
      </c>
      <c r="R341" s="0" t="n">
        <f aca="false">LN(3_Returns!B341/3_Returns!B340)</f>
        <v>-0.0211962153387391</v>
      </c>
      <c r="S341" s="0" t="n">
        <f aca="false">M341-O341</f>
        <v>-0.012278868162672</v>
      </c>
      <c r="T341" s="0" t="n">
        <f aca="false">IF(M341&gt;O341,1,0)</f>
        <v>0</v>
      </c>
    </row>
    <row r="342" customFormat="false" ht="15" hidden="false" customHeight="false" outlineLevel="0" collapsed="false">
      <c r="M342" s="0" t="n">
        <f aca="false">3_Returns!B342/3_Returns!B341-1</f>
        <v>-0.0145672664952871</v>
      </c>
      <c r="N342" s="0" t="n">
        <f aca="false">3_Returns!C342/3_Returns!C341-1</f>
        <v>0.00627182206129584</v>
      </c>
      <c r="O342" s="0" t="n">
        <f aca="false">3_Returns!D342/3_Returns!D341-1</f>
        <v>-0.00150541529087989</v>
      </c>
      <c r="P342" s="0" t="n">
        <f aca="false">MAX(3_Returns!$B$31:B342)</f>
        <v>69.88</v>
      </c>
      <c r="Q342" s="0" t="n">
        <f aca="false">3_Returns!B342/P342-1</f>
        <v>-0.177160847166571</v>
      </c>
      <c r="R342" s="0" t="n">
        <f aca="false">LN(3_Returns!B342/3_Returns!B341)</f>
        <v>-0.0146744109292602</v>
      </c>
      <c r="S342" s="0" t="n">
        <f aca="false">M342-O342</f>
        <v>-0.0130618512044072</v>
      </c>
      <c r="T342" s="0" t="n">
        <f aca="false">IF(M342&gt;O342,1,0)</f>
        <v>0</v>
      </c>
    </row>
    <row r="343" customFormat="false" ht="15" hidden="false" customHeight="false" outlineLevel="0" collapsed="false">
      <c r="M343" s="0" t="n">
        <f aca="false">3_Returns!B343/3_Returns!B342-1</f>
        <v>-0.000869565217391233</v>
      </c>
      <c r="N343" s="0" t="n">
        <f aca="false">3_Returns!C343/3_Returns!C342-1</f>
        <v>0.00912420484482435</v>
      </c>
      <c r="O343" s="0" t="n">
        <f aca="false">3_Returns!D343/3_Returns!D342-1</f>
        <v>0.010819380634588</v>
      </c>
      <c r="P343" s="0" t="n">
        <f aca="false">MAX(3_Returns!$B$31:B343)</f>
        <v>69.88</v>
      </c>
      <c r="Q343" s="0" t="n">
        <f aca="false">3_Returns!B343/P343-1</f>
        <v>-0.177876359473383</v>
      </c>
      <c r="R343" s="0" t="n">
        <f aca="false">LN(3_Returns!B343/3_Returns!B342)</f>
        <v>-0.000869943508539996</v>
      </c>
      <c r="S343" s="0" t="n">
        <f aca="false">M343-O343</f>
        <v>-0.0116889458519792</v>
      </c>
      <c r="T343" s="0" t="n">
        <f aca="false">IF(M343&gt;O343,1,0)</f>
        <v>0</v>
      </c>
    </row>
    <row r="344" customFormat="false" ht="15" hidden="false" customHeight="false" outlineLevel="0" collapsed="false">
      <c r="M344" s="0" t="n">
        <f aca="false">3_Returns!B344/3_Returns!B343-1</f>
        <v>-0.00609225413402958</v>
      </c>
      <c r="N344" s="0" t="n">
        <f aca="false">3_Returns!C344/3_Returns!C343-1</f>
        <v>-0.00101878382680687</v>
      </c>
      <c r="O344" s="0" t="n">
        <f aca="false">3_Returns!D344/3_Returns!D343-1</f>
        <v>0.00400522922727919</v>
      </c>
      <c r="P344" s="0" t="n">
        <f aca="false">MAX(3_Returns!$B$31:B344)</f>
        <v>69.88</v>
      </c>
      <c r="Q344" s="0" t="n">
        <f aca="false">3_Returns!B344/P344-1</f>
        <v>-0.182884945621065</v>
      </c>
      <c r="R344" s="0" t="n">
        <f aca="false">LN(3_Returns!B344/3_Returns!B343)</f>
        <v>-0.00611088763280015</v>
      </c>
      <c r="S344" s="0" t="n">
        <f aca="false">M344-O344</f>
        <v>-0.0100974833613088</v>
      </c>
      <c r="T344" s="0" t="n">
        <f aca="false">IF(M344&gt;O344,1,0)</f>
        <v>0</v>
      </c>
    </row>
    <row r="345" customFormat="false" ht="15" hidden="false" customHeight="false" outlineLevel="0" collapsed="false">
      <c r="M345" s="0" t="n">
        <f aca="false">3_Returns!B345/3_Returns!B344-1</f>
        <v>-0.00420315236427327</v>
      </c>
      <c r="N345" s="0" t="n">
        <f aca="false">3_Returns!C345/3_Returns!C344-1</f>
        <v>0.0148511696092806</v>
      </c>
      <c r="O345" s="0" t="n">
        <f aca="false">3_Returns!D345/3_Returns!D344-1</f>
        <v>0.00540463774406241</v>
      </c>
      <c r="P345" s="0" t="n">
        <f aca="false">MAX(3_Returns!$B$31:B345)</f>
        <v>69.88</v>
      </c>
      <c r="Q345" s="0" t="n">
        <f aca="false">3_Returns!B345/P345-1</f>
        <v>-0.186319404693761</v>
      </c>
      <c r="R345" s="0" t="n">
        <f aca="false">LN(3_Returns!B345/3_Returns!B344)</f>
        <v>-0.00421201043911087</v>
      </c>
      <c r="S345" s="0" t="n">
        <f aca="false">M345-O345</f>
        <v>-0.00960779010833568</v>
      </c>
      <c r="T345" s="0" t="n">
        <f aca="false">IF(M345&gt;O345,1,0)</f>
        <v>0</v>
      </c>
    </row>
    <row r="346" customFormat="false" ht="15" hidden="false" customHeight="false" outlineLevel="0" collapsed="false">
      <c r="M346" s="0" t="n">
        <f aca="false">3_Returns!B346/3_Returns!B345-1</f>
        <v>0.00879352796341903</v>
      </c>
      <c r="N346" s="0" t="n">
        <f aca="false">3_Returns!C346/3_Returns!C345-1</f>
        <v>0.00935812083909071</v>
      </c>
      <c r="O346" s="0" t="n">
        <f aca="false">3_Returns!D346/3_Returns!D345-1</f>
        <v>0.00390590901660293</v>
      </c>
      <c r="P346" s="0" t="n">
        <f aca="false">MAX(3_Returns!$B$31:B346)</f>
        <v>69.88</v>
      </c>
      <c r="Q346" s="0" t="n">
        <f aca="false">3_Returns!B346/P346-1</f>
        <v>-0.179164281625644</v>
      </c>
      <c r="R346" s="0" t="n">
        <f aca="false">LN(3_Returns!B346/3_Returns!B345)</f>
        <v>0.0087550900685113</v>
      </c>
      <c r="S346" s="0" t="n">
        <f aca="false">M346-O346</f>
        <v>0.00488761894681611</v>
      </c>
      <c r="T346" s="0" t="n">
        <f aca="false">IF(M346&gt;O346,1,0)</f>
        <v>1</v>
      </c>
    </row>
    <row r="347" customFormat="false" ht="15" hidden="false" customHeight="false" outlineLevel="0" collapsed="false">
      <c r="M347" s="0" t="n">
        <f aca="false">3_Returns!B347/3_Returns!B346-1</f>
        <v>-0.0101115760111575</v>
      </c>
      <c r="N347" s="0" t="n">
        <f aca="false">3_Returns!C347/3_Returns!C346-1</f>
        <v>-0.0258851347147034</v>
      </c>
      <c r="O347" s="0" t="n">
        <f aca="false">3_Returns!D347/3_Returns!D346-1</f>
        <v>0.000913787760935536</v>
      </c>
      <c r="P347" s="0" t="n">
        <f aca="false">MAX(3_Returns!$B$31:B347)</f>
        <v>69.88</v>
      </c>
      <c r="Q347" s="0" t="n">
        <f aca="false">3_Returns!B347/P347-1</f>
        <v>-0.187464224384659</v>
      </c>
      <c r="R347" s="0" t="n">
        <f aca="false">LN(3_Returns!B347/3_Returns!B346)</f>
        <v>-0.0101630452465397</v>
      </c>
      <c r="S347" s="0" t="n">
        <f aca="false">M347-O347</f>
        <v>-0.0110253637720931</v>
      </c>
      <c r="T347" s="0" t="n">
        <f aca="false">IF(M347&gt;O347,1,0)</f>
        <v>0</v>
      </c>
    </row>
    <row r="348" customFormat="false" ht="15" hidden="false" customHeight="false" outlineLevel="0" collapsed="false">
      <c r="M348" s="0" t="n">
        <f aca="false">3_Returns!B348/3_Returns!B347-1</f>
        <v>0.000528355054596696</v>
      </c>
      <c r="N348" s="0" t="n">
        <f aca="false">3_Returns!C348/3_Returns!C347-1</f>
        <v>-0.000191632066432468</v>
      </c>
      <c r="O348" s="0" t="n">
        <f aca="false">3_Returns!D348/3_Returns!D347-1</f>
        <v>-0.000965077158787686</v>
      </c>
      <c r="P348" s="0" t="n">
        <f aca="false">MAX(3_Returns!$B$31:B348)</f>
        <v>69.88</v>
      </c>
      <c r="Q348" s="0" t="n">
        <f aca="false">3_Returns!B348/P348-1</f>
        <v>-0.187034917000572</v>
      </c>
      <c r="R348" s="0" t="n">
        <f aca="false">LN(3_Returns!B348/3_Returns!B347)</f>
        <v>0.000528215524210397</v>
      </c>
      <c r="S348" s="0" t="n">
        <f aca="false">M348-O348</f>
        <v>0.00149343221338438</v>
      </c>
      <c r="T348" s="0" t="n">
        <f aca="false">IF(M348&gt;O348,1,0)</f>
        <v>1</v>
      </c>
    </row>
    <row r="349" customFormat="false" ht="15" hidden="false" customHeight="false" outlineLevel="0" collapsed="false">
      <c r="M349" s="0" t="n">
        <f aca="false">3_Returns!B349/3_Returns!B348-1</f>
        <v>0.00211230417180075</v>
      </c>
      <c r="N349" s="0" t="n">
        <f aca="false">3_Returns!C349/3_Returns!C348-1</f>
        <v>-0.01558906210069</v>
      </c>
      <c r="O349" s="0" t="n">
        <f aca="false">3_Returns!D349/3_Returns!D348-1</f>
        <v>-0.0027857751553757</v>
      </c>
      <c r="P349" s="0" t="n">
        <f aca="false">MAX(3_Returns!$B$31:B349)</f>
        <v>69.88</v>
      </c>
      <c r="Q349" s="0" t="n">
        <f aca="false">3_Returns!B349/P349-1</f>
        <v>-0.185317687464224</v>
      </c>
      <c r="R349" s="0" t="n">
        <f aca="false">LN(3_Returns!B349/3_Returns!B348)</f>
        <v>0.00211007639395501</v>
      </c>
      <c r="S349" s="0" t="n">
        <f aca="false">M349-O349</f>
        <v>0.00489807932717645</v>
      </c>
      <c r="T349" s="0" t="n">
        <f aca="false">IF(M349&gt;O349,1,0)</f>
        <v>1</v>
      </c>
    </row>
    <row r="350" customFormat="false" ht="15" hidden="false" customHeight="false" outlineLevel="0" collapsed="false">
      <c r="M350" s="0" t="n">
        <f aca="false">3_Returns!B350/3_Returns!B349-1</f>
        <v>0.000351308624626734</v>
      </c>
      <c r="N350" s="0" t="n">
        <f aca="false">3_Returns!C350/3_Returns!C349-1</f>
        <v>0.0157710280373831</v>
      </c>
      <c r="O350" s="0" t="n">
        <f aca="false">3_Returns!D350/3_Returns!D349-1</f>
        <v>0.00796845594915152</v>
      </c>
      <c r="P350" s="0" t="n">
        <f aca="false">MAX(3_Returns!$B$31:B350)</f>
        <v>69.88</v>
      </c>
      <c r="Q350" s="0" t="n">
        <f aca="false">3_Returns!B350/P350-1</f>
        <v>-0.1850314825415</v>
      </c>
      <c r="R350" s="0" t="n">
        <f aca="false">LN(3_Returns!B350/3_Returns!B349)</f>
        <v>0.000351246930200632</v>
      </c>
      <c r="S350" s="0" t="n">
        <f aca="false">M350-O350</f>
        <v>-0.00761714732452479</v>
      </c>
      <c r="T350" s="0" t="n">
        <f aca="false">IF(M350&gt;O350,1,0)</f>
        <v>0</v>
      </c>
    </row>
    <row r="351" customFormat="false" ht="15" hidden="false" customHeight="false" outlineLevel="0" collapsed="false">
      <c r="M351" s="0" t="n">
        <f aca="false">3_Returns!B351/3_Returns!B350-1</f>
        <v>-0.0108867427568043</v>
      </c>
      <c r="N351" s="0" t="n">
        <f aca="false">3_Returns!C351/3_Returns!C350-1</f>
        <v>0.0161651012714843</v>
      </c>
      <c r="O351" s="0" t="n">
        <f aca="false">3_Returns!D351/3_Returns!D350-1</f>
        <v>-0.0106092993772836</v>
      </c>
      <c r="P351" s="0" t="n">
        <f aca="false">MAX(3_Returns!$B$31:B351)</f>
        <v>69.88</v>
      </c>
      <c r="Q351" s="0" t="n">
        <f aca="false">3_Returns!B351/P351-1</f>
        <v>-0.193903835145964</v>
      </c>
      <c r="R351" s="0" t="n">
        <f aca="false">LN(3_Returns!B351/3_Returns!B350)</f>
        <v>-0.0109464369865687</v>
      </c>
      <c r="S351" s="0" t="n">
        <f aca="false">M351-O351</f>
        <v>-0.000277443379520737</v>
      </c>
      <c r="T351" s="0" t="n">
        <f aca="false">IF(M351&gt;O351,1,0)</f>
        <v>0</v>
      </c>
    </row>
    <row r="352" customFormat="false" ht="15" hidden="false" customHeight="false" outlineLevel="0" collapsed="false">
      <c r="M352" s="0" t="n">
        <f aca="false">3_Returns!B352/3_Returns!B351-1</f>
        <v>0.0379904136339428</v>
      </c>
      <c r="N352" s="0" t="n">
        <f aca="false">3_Returns!C352/3_Returns!C351-1</f>
        <v>0.00490442655935608</v>
      </c>
      <c r="O352" s="0" t="n">
        <f aca="false">3_Returns!D352/3_Returns!D351-1</f>
        <v>0.0138294929556864</v>
      </c>
      <c r="P352" s="0" t="n">
        <f aca="false">MAX(3_Returns!$B$31:B352)</f>
        <v>69.88</v>
      </c>
      <c r="Q352" s="0" t="n">
        <f aca="false">3_Returns!B352/P352-1</f>
        <v>-0.163279908414425</v>
      </c>
      <c r="R352" s="0" t="n">
        <f aca="false">LN(3_Returns!B352/3_Returns!B351)</f>
        <v>0.0372865492809565</v>
      </c>
      <c r="S352" s="0" t="n">
        <f aca="false">M352-O352</f>
        <v>0.0241609206782565</v>
      </c>
      <c r="T352" s="0" t="n">
        <f aca="false">IF(M352&gt;O352,1,0)</f>
        <v>1</v>
      </c>
    </row>
    <row r="353" customFormat="false" ht="15" hidden="false" customHeight="false" outlineLevel="0" collapsed="false">
      <c r="M353" s="0" t="n">
        <f aca="false">3_Returns!B353/3_Returns!B352-1</f>
        <v>0.00513083632632116</v>
      </c>
      <c r="N353" s="0" t="n">
        <f aca="false">3_Returns!C353/3_Returns!C352-1</f>
        <v>0.00125140783381306</v>
      </c>
      <c r="O353" s="0" t="n">
        <f aca="false">3_Returns!D353/3_Returns!D352-1</f>
        <v>0.000661735534727814</v>
      </c>
      <c r="P353" s="0" t="n">
        <f aca="false">MAX(3_Returns!$B$31:B353)</f>
        <v>69.88</v>
      </c>
      <c r="Q353" s="0" t="n">
        <f aca="false">3_Returns!B353/P353-1</f>
        <v>-0.158986834573555</v>
      </c>
      <c r="R353" s="0" t="n">
        <f aca="false">LN(3_Returns!B353/3_Returns!B352)</f>
        <v>0.00511771843697992</v>
      </c>
      <c r="S353" s="0" t="n">
        <f aca="false">M353-O353</f>
        <v>0.00446910079159335</v>
      </c>
      <c r="T353" s="0" t="n">
        <f aca="false">IF(M353&gt;O353,1,0)</f>
        <v>1</v>
      </c>
    </row>
    <row r="354" customFormat="false" ht="15" hidden="false" customHeight="false" outlineLevel="0" collapsed="false">
      <c r="M354" s="0" t="n">
        <f aca="false">3_Returns!B354/3_Returns!B353-1</f>
        <v>-0.016675174408712</v>
      </c>
      <c r="N354" s="0" t="n">
        <f aca="false">3_Returns!C354/3_Returns!C353-1</f>
        <v>-0.00737407824021996</v>
      </c>
      <c r="O354" s="0" t="n">
        <f aca="false">3_Returns!D354/3_Returns!D353-1</f>
        <v>-0.00722883258976492</v>
      </c>
      <c r="P354" s="0" t="n">
        <f aca="false">MAX(3_Returns!$B$31:B354)</f>
        <v>69.88</v>
      </c>
      <c r="Q354" s="0" t="n">
        <f aca="false">3_Returns!B354/P354-1</f>
        <v>-0.173010875787064</v>
      </c>
      <c r="R354" s="0" t="n">
        <f aca="false">LN(3_Returns!B354/3_Returns!B353)</f>
        <v>-0.0168157702948726</v>
      </c>
      <c r="S354" s="0" t="n">
        <f aca="false">M354-O354</f>
        <v>-0.0094463418189471</v>
      </c>
      <c r="T354" s="0" t="n">
        <f aca="false">IF(M354&gt;O354,1,0)</f>
        <v>0</v>
      </c>
    </row>
    <row r="355" customFormat="false" ht="15" hidden="false" customHeight="false" outlineLevel="0" collapsed="false">
      <c r="M355" s="0" t="n">
        <f aca="false">3_Returns!B355/3_Returns!B354-1</f>
        <v>-0.00622945146219067</v>
      </c>
      <c r="N355" s="0" t="n">
        <f aca="false">3_Returns!C355/3_Returns!C354-1</f>
        <v>0.000188869302442773</v>
      </c>
      <c r="O355" s="0" t="n">
        <f aca="false">3_Returns!D355/3_Returns!D354-1</f>
        <v>-0.0046122811060636</v>
      </c>
      <c r="P355" s="0" t="n">
        <f aca="false">MAX(3_Returns!$B$31:B355)</f>
        <v>69.88</v>
      </c>
      <c r="Q355" s="0" t="n">
        <f aca="false">3_Returns!B355/P355-1</f>
        <v>-0.178162564396108</v>
      </c>
      <c r="R355" s="0" t="n">
        <f aca="false">LN(3_Returns!B355/3_Returns!B354)</f>
        <v>-0.00624893545348144</v>
      </c>
      <c r="S355" s="0" t="n">
        <f aca="false">M355-O355</f>
        <v>-0.00161717035612707</v>
      </c>
      <c r="T355" s="0" t="n">
        <f aca="false">IF(M355&gt;O355,1,0)</f>
        <v>0</v>
      </c>
    </row>
    <row r="356" customFormat="false" ht="15" hidden="false" customHeight="false" outlineLevel="0" collapsed="false">
      <c r="M356" s="0" t="n">
        <f aca="false">3_Returns!B356/3_Returns!B355-1</f>
        <v>-0.0193278774159846</v>
      </c>
      <c r="N356" s="0" t="n">
        <f aca="false">3_Returns!C356/3_Returns!C355-1</f>
        <v>0.00163655819223263</v>
      </c>
      <c r="O356" s="0" t="n">
        <f aca="false">3_Returns!D356/3_Returns!D355-1</f>
        <v>-0.00650646047281644</v>
      </c>
      <c r="P356" s="0" t="n">
        <f aca="false">MAX(3_Returns!$B$31:B356)</f>
        <v>69.88</v>
      </c>
      <c r="Q356" s="0" t="n">
        <f aca="false">3_Returns!B356/P356-1</f>
        <v>-0.194046937607327</v>
      </c>
      <c r="R356" s="0" t="n">
        <f aca="false">LN(3_Returns!B356/3_Returns!B355)</f>
        <v>-0.0195171030264181</v>
      </c>
      <c r="S356" s="0" t="n">
        <f aca="false">M356-O356</f>
        <v>-0.0128214169431682</v>
      </c>
      <c r="T356" s="0" t="n">
        <f aca="false">IF(M356&gt;O356,1,0)</f>
        <v>0</v>
      </c>
    </row>
    <row r="357" customFormat="false" ht="15" hidden="false" customHeight="false" outlineLevel="0" collapsed="false">
      <c r="M357" s="0" t="n">
        <f aca="false">3_Returns!B357/3_Returns!B356-1</f>
        <v>0.005859375</v>
      </c>
      <c r="N357" s="0" t="n">
        <f aca="false">3_Returns!C357/3_Returns!C356-1</f>
        <v>0.0136366492804627</v>
      </c>
      <c r="O357" s="0" t="n">
        <f aca="false">3_Returns!D357/3_Returns!D356-1</f>
        <v>0.00193136164188079</v>
      </c>
      <c r="P357" s="0" t="n">
        <f aca="false">MAX(3_Returns!$B$31:B357)</f>
        <v>69.88</v>
      </c>
      <c r="Q357" s="0" t="n">
        <f aca="false">3_Returns!B357/P357-1</f>
        <v>-0.18932455638237</v>
      </c>
      <c r="R357" s="0" t="n">
        <f aca="false">LN(3_Returns!B357/3_Returns!B356)</f>
        <v>0.00584227562422836</v>
      </c>
      <c r="S357" s="0" t="n">
        <f aca="false">M357-O357</f>
        <v>0.00392801335811921</v>
      </c>
      <c r="T357" s="0" t="n">
        <f aca="false">IF(M357&gt;O357,1,0)</f>
        <v>1</v>
      </c>
    </row>
    <row r="358" customFormat="false" ht="15" hidden="false" customHeight="false" outlineLevel="0" collapsed="false">
      <c r="M358" s="0" t="n">
        <f aca="false">3_Returns!B358/3_Returns!B357-1</f>
        <v>0.00317740511915265</v>
      </c>
      <c r="N358" s="0" t="n">
        <f aca="false">3_Returns!C358/3_Returns!C357-1</f>
        <v>-0.0140731556106635</v>
      </c>
      <c r="O358" s="0" t="n">
        <f aca="false">3_Returns!D358/3_Returns!D357-1</f>
        <v>-0.00691719597075724</v>
      </c>
      <c r="P358" s="0" t="n">
        <f aca="false">MAX(3_Returns!$B$31:B358)</f>
        <v>69.88</v>
      </c>
      <c r="Q358" s="0" t="n">
        <f aca="false">3_Returns!B358/P358-1</f>
        <v>-0.186748712077848</v>
      </c>
      <c r="R358" s="0" t="n">
        <f aca="false">LN(3_Returns!B358/3_Returns!B357)</f>
        <v>0.00317236783501477</v>
      </c>
      <c r="S358" s="0" t="n">
        <f aca="false">M358-O358</f>
        <v>0.0100946010899099</v>
      </c>
      <c r="T358" s="0" t="n">
        <f aca="false">IF(M358&gt;O358,1,0)</f>
        <v>1</v>
      </c>
    </row>
    <row r="359" customFormat="false" ht="15" hidden="false" customHeight="false" outlineLevel="0" collapsed="false">
      <c r="M359" s="0" t="n">
        <f aca="false">3_Returns!B359/3_Returns!B358-1</f>
        <v>0.00369523139187056</v>
      </c>
      <c r="N359" s="0" t="n">
        <f aca="false">3_Returns!C359/3_Returns!C358-1</f>
        <v>0.0232660504307363</v>
      </c>
      <c r="O359" s="0" t="n">
        <f aca="false">3_Returns!D359/3_Returns!D358-1</f>
        <v>0.0118292696621103</v>
      </c>
      <c r="P359" s="0" t="n">
        <f aca="false">MAX(3_Returns!$B$31:B359)</f>
        <v>69.88</v>
      </c>
      <c r="Q359" s="0" t="n">
        <f aca="false">3_Returns!B359/P359-1</f>
        <v>-0.183743560389239</v>
      </c>
      <c r="R359" s="0" t="n">
        <f aca="false">LN(3_Returns!B359/3_Returns!B358)</f>
        <v>0.00368842079701044</v>
      </c>
      <c r="S359" s="0" t="n">
        <f aca="false">M359-O359</f>
        <v>-0.00813403827023973</v>
      </c>
      <c r="T359" s="0" t="n">
        <f aca="false">IF(M359&gt;O359,1,0)</f>
        <v>0</v>
      </c>
    </row>
    <row r="360" customFormat="false" ht="15" hidden="false" customHeight="false" outlineLevel="0" collapsed="false">
      <c r="M360" s="0" t="n">
        <f aca="false">3_Returns!B360/3_Returns!B359-1</f>
        <v>-0.011570827489481</v>
      </c>
      <c r="N360" s="0" t="n">
        <f aca="false">3_Returns!C360/3_Returns!C359-1</f>
        <v>-0.0140109383641615</v>
      </c>
      <c r="O360" s="0" t="n">
        <f aca="false">3_Returns!D360/3_Returns!D359-1</f>
        <v>-0.00756092417989585</v>
      </c>
      <c r="P360" s="0" t="n">
        <f aca="false">MAX(3_Returns!$B$31:B360)</f>
        <v>69.88</v>
      </c>
      <c r="Q360" s="0" t="n">
        <f aca="false">3_Returns!B360/P360-1</f>
        <v>-0.193188322839153</v>
      </c>
      <c r="R360" s="0" t="n">
        <f aca="false">LN(3_Returns!B360/3_Returns!B359)</f>
        <v>-0.011638290420074</v>
      </c>
      <c r="S360" s="0" t="n">
        <f aca="false">M360-O360</f>
        <v>-0.00400990330958517</v>
      </c>
      <c r="T360" s="0" t="n">
        <f aca="false">IF(M360&gt;O360,1,0)</f>
        <v>0</v>
      </c>
    </row>
    <row r="361" customFormat="false" ht="15" hidden="false" customHeight="false" outlineLevel="0" collapsed="false">
      <c r="M361" s="0" t="n">
        <f aca="false">3_Returns!B361/3_Returns!B360-1</f>
        <v>-0.0125931181269954</v>
      </c>
      <c r="N361" s="0" t="n">
        <f aca="false">3_Returns!C361/3_Returns!C360-1</f>
        <v>-0.0130881894671236</v>
      </c>
      <c r="O361" s="0" t="n">
        <f aca="false">3_Returns!D361/3_Returns!D360-1</f>
        <v>-0.0225872001073526</v>
      </c>
      <c r="P361" s="0" t="n">
        <f aca="false">MAX(3_Returns!$B$31:B361)</f>
        <v>69.88</v>
      </c>
      <c r="Q361" s="0" t="n">
        <f aca="false">3_Returns!B361/P361-1</f>
        <v>-0.203348597595879</v>
      </c>
      <c r="R361" s="0" t="n">
        <f aca="false">LN(3_Returns!B361/3_Returns!B360)</f>
        <v>-0.0126730834905501</v>
      </c>
      <c r="S361" s="0" t="n">
        <f aca="false">M361-O361</f>
        <v>0.00999408198035723</v>
      </c>
      <c r="T361" s="0" t="n">
        <f aca="false">IF(M361&gt;O361,1,0)</f>
        <v>1</v>
      </c>
    </row>
    <row r="362" customFormat="false" ht="15" hidden="false" customHeight="false" outlineLevel="0" collapsed="false">
      <c r="M362" s="0" t="n">
        <f aca="false">3_Returns!B362/3_Returns!B361-1</f>
        <v>-0.0145500269444944</v>
      </c>
      <c r="N362" s="0" t="n">
        <f aca="false">3_Returns!C362/3_Returns!C361-1</f>
        <v>0.0061256709820019</v>
      </c>
      <c r="O362" s="0" t="n">
        <f aca="false">3_Returns!D362/3_Returns!D361-1</f>
        <v>-0.00705092059133594</v>
      </c>
      <c r="P362" s="0" t="n">
        <f aca="false">MAX(3_Returns!$B$31:B362)</f>
        <v>69.88</v>
      </c>
      <c r="Q362" s="0" t="n">
        <f aca="false">3_Returns!B362/P362-1</f>
        <v>-0.214939896966228</v>
      </c>
      <c r="R362" s="0" t="n">
        <f aca="false">LN(3_Returns!B362/3_Returns!B361)</f>
        <v>-0.0146569166859592</v>
      </c>
      <c r="S362" s="0" t="n">
        <f aca="false">M362-O362</f>
        <v>-0.00749910635315842</v>
      </c>
      <c r="T362" s="0" t="n">
        <f aca="false">IF(M362&gt;O362,1,0)</f>
        <v>0</v>
      </c>
    </row>
    <row r="363" customFormat="false" ht="15" hidden="false" customHeight="false" outlineLevel="0" collapsed="false">
      <c r="M363" s="0" t="n">
        <f aca="false">3_Returns!B363/3_Returns!B362-1</f>
        <v>-0.0213270142180095</v>
      </c>
      <c r="N363" s="0" t="n">
        <f aca="false">3_Returns!C363/3_Returns!C362-1</f>
        <v>-0.007155410494602</v>
      </c>
      <c r="O363" s="0" t="n">
        <f aca="false">3_Returns!D363/3_Returns!D362-1</f>
        <v>-0.019925237152296</v>
      </c>
      <c r="P363" s="0" t="n">
        <f aca="false">MAX(3_Returns!$B$31:B363)</f>
        <v>69.88</v>
      </c>
      <c r="Q363" s="0" t="n">
        <f aca="false">3_Returns!B363/P363-1</f>
        <v>-0.231682884945621</v>
      </c>
      <c r="R363" s="0" t="n">
        <f aca="false">LN(3_Returns!B363/3_Returns!B362)</f>
        <v>-0.0215577210749791</v>
      </c>
      <c r="S363" s="0" t="n">
        <f aca="false">M363-O363</f>
        <v>-0.00140177706571354</v>
      </c>
      <c r="T363" s="0" t="n">
        <f aca="false">IF(M363&gt;O363,1,0)</f>
        <v>0</v>
      </c>
    </row>
    <row r="364" customFormat="false" ht="15" hidden="false" customHeight="false" outlineLevel="0" collapsed="false">
      <c r="M364" s="0" t="n">
        <f aca="false">3_Returns!B364/3_Returns!B363-1</f>
        <v>-0.0130378096479791</v>
      </c>
      <c r="N364" s="0" t="n">
        <f aca="false">3_Returns!C364/3_Returns!C363-1</f>
        <v>-0.00878745732709585</v>
      </c>
      <c r="O364" s="0" t="n">
        <f aca="false">3_Returns!D364/3_Returns!D363-1</f>
        <v>-8.56543996130554E-005</v>
      </c>
      <c r="P364" s="0" t="n">
        <f aca="false">MAX(3_Returns!$B$31:B364)</f>
        <v>69.88</v>
      </c>
      <c r="Q364" s="0" t="n">
        <f aca="false">3_Returns!B364/P364-1</f>
        <v>-0.241700057240984</v>
      </c>
      <c r="R364" s="0" t="n">
        <f aca="false">LN(3_Returns!B364/3_Returns!B363)</f>
        <v>-0.0131235479298073</v>
      </c>
      <c r="S364" s="0" t="n">
        <f aca="false">M364-O364</f>
        <v>-0.012952155248366</v>
      </c>
      <c r="T364" s="0" t="n">
        <f aca="false">IF(M364&gt;O364,1,0)</f>
        <v>0</v>
      </c>
    </row>
    <row r="365" customFormat="false" ht="15" hidden="false" customHeight="false" outlineLevel="0" collapsed="false">
      <c r="M365" s="0" t="n">
        <f aca="false">3_Returns!B365/3_Returns!B364-1</f>
        <v>0.00283072277788254</v>
      </c>
      <c r="N365" s="0" t="n">
        <f aca="false">3_Returns!C365/3_Returns!C364-1</f>
        <v>0.00114803240002548</v>
      </c>
      <c r="O365" s="0" t="n">
        <f aca="false">3_Returns!D365/3_Returns!D364-1</f>
        <v>0.0109932562377701</v>
      </c>
      <c r="P365" s="0" t="n">
        <f aca="false">MAX(3_Returns!$B$31:B365)</f>
        <v>69.88</v>
      </c>
      <c r="Q365" s="0" t="n">
        <f aca="false">3_Returns!B365/P365-1</f>
        <v>-0.239553520320549</v>
      </c>
      <c r="R365" s="0" t="n">
        <f aca="false">LN(3_Returns!B365/3_Returns!B364)</f>
        <v>0.00282672382699666</v>
      </c>
      <c r="S365" s="0" t="n">
        <f aca="false">M365-O365</f>
        <v>-0.0081625334598876</v>
      </c>
      <c r="T365" s="0" t="n">
        <f aca="false">IF(M365&gt;O365,1,0)</f>
        <v>0</v>
      </c>
    </row>
    <row r="366" customFormat="false" ht="15" hidden="false" customHeight="false" outlineLevel="0" collapsed="false">
      <c r="M366" s="0" t="n">
        <f aca="false">3_Returns!B366/3_Returns!B365-1</f>
        <v>0.00188182160331207</v>
      </c>
      <c r="N366" s="0" t="n">
        <f aca="false">3_Returns!C366/3_Returns!C365-1</f>
        <v>0.000509651525769428</v>
      </c>
      <c r="O366" s="0" t="n">
        <f aca="false">3_Returns!D366/3_Returns!D365-1</f>
        <v>0.00684653851904771</v>
      </c>
      <c r="P366" s="0" t="n">
        <f aca="false">MAX(3_Returns!$B$31:B366)</f>
        <v>69.88</v>
      </c>
      <c r="Q366" s="0" t="n">
        <f aca="false">3_Returns!B366/P366-1</f>
        <v>-0.238122495706926</v>
      </c>
      <c r="R366" s="0" t="n">
        <f aca="false">LN(3_Returns!B366/3_Returns!B365)</f>
        <v>0.0018800531952435</v>
      </c>
      <c r="S366" s="0" t="n">
        <f aca="false">M366-O366</f>
        <v>-0.00496471691573563</v>
      </c>
      <c r="T366" s="0" t="n">
        <f aca="false">IF(M366&gt;O366,1,0)</f>
        <v>0</v>
      </c>
    </row>
    <row r="367" customFormat="false" ht="15" hidden="false" customHeight="false" outlineLevel="0" collapsed="false">
      <c r="M367" s="0" t="n">
        <f aca="false">3_Returns!B367/3_Returns!B366-1</f>
        <v>0.0116453794139744</v>
      </c>
      <c r="N367" s="0" t="n">
        <f aca="false">3_Returns!C367/3_Returns!C366-1</f>
        <v>-0.0096147723654888</v>
      </c>
      <c r="O367" s="0" t="n">
        <f aca="false">3_Returns!D367/3_Returns!D366-1</f>
        <v>-0.0131643430781595</v>
      </c>
      <c r="P367" s="0" t="n">
        <f aca="false">MAX(3_Returns!$B$31:B367)</f>
        <v>69.88</v>
      </c>
      <c r="Q367" s="0" t="n">
        <f aca="false">3_Returns!B367/P367-1</f>
        <v>-0.229250143102461</v>
      </c>
      <c r="R367" s="0" t="n">
        <f aca="false">LN(3_Returns!B367/3_Returns!B366)</f>
        <v>0.0115780938565419</v>
      </c>
      <c r="S367" s="0" t="n">
        <f aca="false">M367-O367</f>
        <v>0.0248097224921339</v>
      </c>
      <c r="T367" s="0" t="n">
        <f aca="false">IF(M367&gt;O367,1,0)</f>
        <v>1</v>
      </c>
    </row>
    <row r="368" customFormat="false" ht="15" hidden="false" customHeight="false" outlineLevel="0" collapsed="false">
      <c r="M368" s="0" t="n">
        <f aca="false">3_Returns!B368/3_Returns!B367-1</f>
        <v>-0.0137393241737839</v>
      </c>
      <c r="N368" s="0" t="n">
        <f aca="false">3_Returns!C368/3_Returns!C367-1</f>
        <v>0.00578629291500588</v>
      </c>
      <c r="O368" s="0" t="n">
        <f aca="false">3_Returns!D368/3_Returns!D367-1</f>
        <v>-0.00736556793461451</v>
      </c>
      <c r="P368" s="0" t="n">
        <f aca="false">MAX(3_Returns!$B$31:B368)</f>
        <v>69.88</v>
      </c>
      <c r="Q368" s="0" t="n">
        <f aca="false">3_Returns!B368/P368-1</f>
        <v>-0.239839725243274</v>
      </c>
      <c r="R368" s="0" t="n">
        <f aca="false">LN(3_Returns!B368/3_Returns!B367)</f>
        <v>-0.0138345822152744</v>
      </c>
      <c r="S368" s="0" t="n">
        <f aca="false">M368-O368</f>
        <v>-0.00637375623916936</v>
      </c>
      <c r="T368" s="0" t="n">
        <f aca="false">IF(M368&gt;O368,1,0)</f>
        <v>0</v>
      </c>
    </row>
    <row r="369" customFormat="false" ht="15" hidden="false" customHeight="false" outlineLevel="0" collapsed="false">
      <c r="M369" s="0" t="n">
        <f aca="false">3_Returns!B369/3_Returns!B368-1</f>
        <v>0.0154367469879517</v>
      </c>
      <c r="N369" s="0" t="n">
        <f aca="false">3_Returns!C369/3_Returns!C368-1</f>
        <v>0.000703144975709558</v>
      </c>
      <c r="O369" s="0" t="n">
        <f aca="false">3_Returns!D369/3_Returns!D368-1</f>
        <v>0.0182448184782902</v>
      </c>
      <c r="P369" s="0" t="n">
        <f aca="false">MAX(3_Returns!$B$31:B369)</f>
        <v>69.88</v>
      </c>
      <c r="Q369" s="0" t="n">
        <f aca="false">3_Returns!B369/P369-1</f>
        <v>-0.228105323411563</v>
      </c>
      <c r="R369" s="0" t="n">
        <f aca="false">LN(3_Returns!B369/3_Returns!B368)</f>
        <v>0.0153188125434054</v>
      </c>
      <c r="S369" s="0" t="n">
        <f aca="false">M369-O369</f>
        <v>-0.00280807149033846</v>
      </c>
      <c r="T369" s="0" t="n">
        <f aca="false">IF(M369&gt;O369,1,0)</f>
        <v>0</v>
      </c>
    </row>
    <row r="370" customFormat="false" ht="15" hidden="false" customHeight="false" outlineLevel="0" collapsed="false">
      <c r="M370" s="0" t="n">
        <f aca="false">3_Returns!B370/3_Returns!B369-1</f>
        <v>-0.00259547645532077</v>
      </c>
      <c r="N370" s="0" t="n">
        <f aca="false">3_Returns!C370/3_Returns!C369-1</f>
        <v>0.00696263174704548</v>
      </c>
      <c r="O370" s="0" t="n">
        <f aca="false">3_Returns!D370/3_Returns!D369-1</f>
        <v>0.00352700424663222</v>
      </c>
      <c r="P370" s="0" t="n">
        <f aca="false">MAX(3_Returns!$B$31:B370)</f>
        <v>69.88</v>
      </c>
      <c r="Q370" s="0" t="n">
        <f aca="false">3_Returns!B370/P370-1</f>
        <v>-0.230108757870635</v>
      </c>
      <c r="R370" s="0" t="n">
        <f aca="false">LN(3_Returns!B370/3_Returns!B369)</f>
        <v>-0.00259885054384521</v>
      </c>
      <c r="S370" s="0" t="n">
        <f aca="false">M370-O370</f>
        <v>-0.00612248070195298</v>
      </c>
      <c r="T370" s="0" t="n">
        <f aca="false">IF(M370&gt;O370,1,0)</f>
        <v>0</v>
      </c>
    </row>
    <row r="371" customFormat="false" ht="15" hidden="false" customHeight="false" outlineLevel="0" collapsed="false">
      <c r="M371" s="0" t="n">
        <f aca="false">3_Returns!B371/3_Returns!B370-1</f>
        <v>-0.00148698884758358</v>
      </c>
      <c r="N371" s="0" t="n">
        <f aca="false">3_Returns!C371/3_Returns!C370-1</f>
        <v>0.00608982491753363</v>
      </c>
      <c r="O371" s="0" t="n">
        <f aca="false">3_Returns!D371/3_Returns!D370-1</f>
        <v>0.000359373634833515</v>
      </c>
      <c r="P371" s="0" t="n">
        <f aca="false">MAX(3_Returns!$B$31:B371)</f>
        <v>69.88</v>
      </c>
      <c r="Q371" s="0" t="n">
        <f aca="false">3_Returns!B371/P371-1</f>
        <v>-0.231253577561534</v>
      </c>
      <c r="R371" s="0" t="n">
        <f aca="false">LN(3_Returns!B371/3_Returns!B370)</f>
        <v>-0.00148809551270184</v>
      </c>
      <c r="S371" s="0" t="n">
        <f aca="false">M371-O371</f>
        <v>-0.0018463624824171</v>
      </c>
      <c r="T371" s="0" t="n">
        <f aca="false">IF(M371&gt;O371,1,0)</f>
        <v>0</v>
      </c>
    </row>
    <row r="372" customFormat="false" ht="15" hidden="false" customHeight="false" outlineLevel="0" collapsed="false">
      <c r="M372" s="0" t="n">
        <f aca="false">3_Returns!B372/3_Returns!B371-1</f>
        <v>0.0215934475055846</v>
      </c>
      <c r="N372" s="0" t="n">
        <f aca="false">3_Returns!C372/3_Returns!C371-1</f>
        <v>0.0130517023959646</v>
      </c>
      <c r="O372" s="0" t="n">
        <f aca="false">3_Returns!D372/3_Returns!D371-1</f>
        <v>0.0109619019526095</v>
      </c>
      <c r="P372" s="0" t="n">
        <f aca="false">MAX(3_Returns!$B$31:B372)</f>
        <v>69.88</v>
      </c>
      <c r="Q372" s="0" t="n">
        <f aca="false">3_Returns!B372/P372-1</f>
        <v>-0.214653692043503</v>
      </c>
      <c r="R372" s="0" t="n">
        <f aca="false">LN(3_Returns!B372/3_Returns!B371)</f>
        <v>0.021363611762593</v>
      </c>
      <c r="S372" s="0" t="n">
        <f aca="false">M372-O372</f>
        <v>0.0106315455529751</v>
      </c>
      <c r="T372" s="0" t="n">
        <f aca="false">IF(M372&gt;O372,1,0)</f>
        <v>1</v>
      </c>
    </row>
    <row r="373" customFormat="false" ht="15" hidden="false" customHeight="false" outlineLevel="0" collapsed="false">
      <c r="M373" s="0" t="n">
        <f aca="false">3_Returns!B373/3_Returns!B372-1</f>
        <v>0.0326166180758016</v>
      </c>
      <c r="N373" s="0" t="n">
        <f aca="false">3_Returns!C373/3_Returns!C372-1</f>
        <v>0.022032737910002</v>
      </c>
      <c r="O373" s="0" t="n">
        <f aca="false">3_Returns!D373/3_Returns!D372-1</f>
        <v>0.0250390802649145</v>
      </c>
      <c r="P373" s="0" t="n">
        <f aca="false">MAX(3_Returns!$B$31:B373)</f>
        <v>69.88</v>
      </c>
      <c r="Q373" s="0" t="n">
        <f aca="false">3_Returns!B373/P373-1</f>
        <v>-0.189038351459645</v>
      </c>
      <c r="R373" s="0" t="n">
        <f aca="false">LN(3_Returns!B373/3_Returns!B372)</f>
        <v>0.032095986763898</v>
      </c>
      <c r="S373" s="0" t="n">
        <f aca="false">M373-O373</f>
        <v>0.0075775378108871</v>
      </c>
      <c r="T373" s="0" t="n">
        <f aca="false">IF(M373&gt;O373,1,0)</f>
        <v>1</v>
      </c>
    </row>
    <row r="374" customFormat="false" ht="15" hidden="false" customHeight="false" outlineLevel="0" collapsed="false">
      <c r="M374" s="0" t="n">
        <f aca="false">3_Returns!B374/3_Returns!B373-1</f>
        <v>0.042173989765308</v>
      </c>
      <c r="N374" s="0" t="n">
        <f aca="false">3_Returns!C374/3_Returns!C373-1</f>
        <v>0.0238109737531209</v>
      </c>
      <c r="O374" s="0" t="n">
        <f aca="false">3_Returns!D374/3_Returns!D373-1</f>
        <v>0.0133849202184333</v>
      </c>
      <c r="P374" s="0" t="n">
        <f aca="false">MAX(3_Returns!$B$31:B374)</f>
        <v>69.88</v>
      </c>
      <c r="Q374" s="0" t="n">
        <f aca="false">3_Returns!B374/P374-1</f>
        <v>-0.154836863194047</v>
      </c>
      <c r="R374" s="0" t="n">
        <f aca="false">LN(3_Returns!B374/3_Returns!B373)</f>
        <v>0.0413089061342488</v>
      </c>
      <c r="S374" s="0" t="n">
        <f aca="false">M374-O374</f>
        <v>0.0287890695468747</v>
      </c>
      <c r="T374" s="0" t="n">
        <f aca="false">IF(M374&gt;O374,1,0)</f>
        <v>1</v>
      </c>
    </row>
    <row r="375" customFormat="false" ht="15" hidden="false" customHeight="false" outlineLevel="0" collapsed="false">
      <c r="M375" s="0" t="n">
        <f aca="false">3_Returns!B375/3_Returns!B374-1</f>
        <v>0.0050795800880461</v>
      </c>
      <c r="N375" s="0" t="n">
        <f aca="false">3_Returns!C375/3_Returns!C374-1</f>
        <v>0.00594813228646207</v>
      </c>
      <c r="O375" s="0" t="n">
        <f aca="false">3_Returns!D375/3_Returns!D374-1</f>
        <v>0.00172300430437233</v>
      </c>
      <c r="P375" s="0" t="n">
        <f aca="false">MAX(3_Returns!$B$31:B375)</f>
        <v>69.88</v>
      </c>
      <c r="Q375" s="0" t="n">
        <f aca="false">3_Returns!B375/P375-1</f>
        <v>-0.150543789353177</v>
      </c>
      <c r="R375" s="0" t="n">
        <f aca="false">LN(3_Returns!B375/3_Returns!B374)</f>
        <v>0.00506672254334844</v>
      </c>
      <c r="S375" s="0" t="n">
        <f aca="false">M375-O375</f>
        <v>0.00335657578367377</v>
      </c>
      <c r="T375" s="0" t="n">
        <f aca="false">IF(M375&gt;O375,1,0)</f>
        <v>1</v>
      </c>
    </row>
    <row r="376" customFormat="false" ht="15" hidden="false" customHeight="false" outlineLevel="0" collapsed="false">
      <c r="M376" s="0" t="n">
        <f aca="false">3_Returns!B376/3_Returns!B375-1</f>
        <v>0.0230795148247978</v>
      </c>
      <c r="N376" s="0" t="n">
        <f aca="false">3_Returns!C376/3_Returns!C375-1</f>
        <v>0.0109389782403027</v>
      </c>
      <c r="O376" s="0" t="n">
        <f aca="false">3_Returns!D376/3_Returns!D375-1</f>
        <v>0.00389280606306519</v>
      </c>
      <c r="P376" s="0" t="n">
        <f aca="false">MAX(3_Returns!$B$31:B376)</f>
        <v>69.88</v>
      </c>
      <c r="Q376" s="0" t="n">
        <f aca="false">3_Returns!B376/P376-1</f>
        <v>-0.130938752146537</v>
      </c>
      <c r="R376" s="0" t="n">
        <f aca="false">LN(3_Returns!B376/3_Returns!B375)</f>
        <v>0.0228172110503589</v>
      </c>
      <c r="S376" s="0" t="n">
        <f aca="false">M376-O376</f>
        <v>0.0191867087617326</v>
      </c>
      <c r="T376" s="0" t="n">
        <f aca="false">IF(M376&gt;O376,1,0)</f>
        <v>1</v>
      </c>
    </row>
    <row r="377" customFormat="false" ht="15" hidden="false" customHeight="false" outlineLevel="0" collapsed="false">
      <c r="M377" s="0" t="n">
        <f aca="false">3_Returns!B377/3_Returns!B376-1</f>
        <v>0.0115264284538119</v>
      </c>
      <c r="N377" s="0" t="n">
        <f aca="false">3_Returns!C377/3_Returns!C376-1</f>
        <v>0.010001754693806</v>
      </c>
      <c r="O377" s="0" t="n">
        <f aca="false">3_Returns!D377/3_Returns!D376-1</f>
        <v>0.00653671263743649</v>
      </c>
      <c r="P377" s="0" t="n">
        <f aca="false">MAX(3_Returns!$B$31:B377)</f>
        <v>69.88</v>
      </c>
      <c r="Q377" s="0" t="n">
        <f aca="false">3_Returns!B377/P377-1</f>
        <v>-0.120921579851173</v>
      </c>
      <c r="R377" s="0" t="n">
        <f aca="false">LN(3_Returns!B377/3_Returns!B376)</f>
        <v>0.011460505266352</v>
      </c>
      <c r="S377" s="0" t="n">
        <f aca="false">M377-O377</f>
        <v>0.00498971581637542</v>
      </c>
      <c r="T377" s="0" t="n">
        <f aca="false">IF(M377&gt;O377,1,0)</f>
        <v>1</v>
      </c>
    </row>
    <row r="378" customFormat="false" ht="15" hidden="false" customHeight="false" outlineLevel="0" collapsed="false">
      <c r="M378" s="0" t="n">
        <f aca="false">3_Returns!B378/3_Returns!B377-1</f>
        <v>0.000813934559661389</v>
      </c>
      <c r="N378" s="0" t="n">
        <f aca="false">3_Returns!C378/3_Returns!C377-1</f>
        <v>0.0129140606902942</v>
      </c>
      <c r="O378" s="0" t="n">
        <f aca="false">3_Returns!D378/3_Returns!D377-1</f>
        <v>-0.0058586331509648</v>
      </c>
      <c r="P378" s="0" t="n">
        <f aca="false">MAX(3_Returns!$B$31:B378)</f>
        <v>69.88</v>
      </c>
      <c r="Q378" s="0" t="n">
        <f aca="false">3_Returns!B378/P378-1</f>
        <v>-0.120206067544362</v>
      </c>
      <c r="R378" s="0" t="n">
        <f aca="false">LN(3_Returns!B378/3_Returns!B377)</f>
        <v>0.000813603494559056</v>
      </c>
      <c r="S378" s="0" t="n">
        <f aca="false">M378-O378</f>
        <v>0.00667256771062619</v>
      </c>
      <c r="T378" s="0" t="n">
        <f aca="false">IF(M378&gt;O378,1,0)</f>
        <v>1</v>
      </c>
    </row>
    <row r="379" customFormat="false" ht="15" hidden="false" customHeight="false" outlineLevel="0" collapsed="false">
      <c r="M379" s="0" t="n">
        <f aca="false">3_Returns!B379/3_Returns!B378-1</f>
        <v>-0.030416395575797</v>
      </c>
      <c r="N379" s="0" t="n">
        <f aca="false">3_Returns!C379/3_Returns!C378-1</f>
        <v>-0.0250986221485334</v>
      </c>
      <c r="O379" s="0" t="n">
        <f aca="false">3_Returns!D379/3_Returns!D378-1</f>
        <v>-0.0103531840836364</v>
      </c>
      <c r="P379" s="0" t="n">
        <f aca="false">MAX(3_Returns!$B$31:B379)</f>
        <v>69.88</v>
      </c>
      <c r="Q379" s="0" t="n">
        <f aca="false">3_Returns!B379/P379-1</f>
        <v>-0.146966227819118</v>
      </c>
      <c r="R379" s="0" t="n">
        <f aca="false">LN(3_Returns!B379/3_Returns!B378)</f>
        <v>-0.0308885734385599</v>
      </c>
      <c r="S379" s="0" t="n">
        <f aca="false">M379-O379</f>
        <v>-0.0200632114921606</v>
      </c>
      <c r="T379" s="0" t="n">
        <f aca="false">IF(M379&gt;O379,1,0)</f>
        <v>0</v>
      </c>
    </row>
    <row r="380" customFormat="false" ht="15" hidden="false" customHeight="false" outlineLevel="0" collapsed="false">
      <c r="M380" s="0" t="n">
        <f aca="false">3_Returns!B380/3_Returns!B379-1</f>
        <v>-0.000503271263210925</v>
      </c>
      <c r="N380" s="0" t="n">
        <f aca="false">3_Returns!C380/3_Returns!C379-1</f>
        <v>0.0127844241144732</v>
      </c>
      <c r="O380" s="0" t="n">
        <f aca="false">3_Returns!D380/3_Returns!D379-1</f>
        <v>0.000846184997786104</v>
      </c>
      <c r="P380" s="0" t="n">
        <f aca="false">MAX(3_Returns!$B$31:B380)</f>
        <v>69.88</v>
      </c>
      <c r="Q380" s="0" t="n">
        <f aca="false">3_Returns!B380/P380-1</f>
        <v>-0.147395535203205</v>
      </c>
      <c r="R380" s="0" t="n">
        <f aca="false">LN(3_Returns!B380/3_Returns!B379)</f>
        <v>-0.000503397946699001</v>
      </c>
      <c r="S380" s="0" t="n">
        <f aca="false">M380-O380</f>
        <v>-0.00134945626099703</v>
      </c>
      <c r="T380" s="0" t="n">
        <f aca="false">IF(M380&gt;O380,1,0)</f>
        <v>0</v>
      </c>
    </row>
    <row r="381" customFormat="false" ht="15" hidden="false" customHeight="false" outlineLevel="0" collapsed="false">
      <c r="M381" s="0" t="n">
        <f aca="false">3_Returns!B381/3_Returns!B380-1</f>
        <v>-0.0117489090298757</v>
      </c>
      <c r="N381" s="0" t="n">
        <f aca="false">3_Returns!C381/3_Returns!C380-1</f>
        <v>-0.00880138969310929</v>
      </c>
      <c r="O381" s="0" t="n">
        <f aca="false">3_Returns!D381/3_Returns!D380-1</f>
        <v>-0.00922931590962761</v>
      </c>
      <c r="P381" s="0" t="n">
        <f aca="false">MAX(3_Returns!$B$31:B381)</f>
        <v>69.88</v>
      </c>
      <c r="Q381" s="0" t="n">
        <f aca="false">3_Returns!B381/P381-1</f>
        <v>-0.157412707498569</v>
      </c>
      <c r="R381" s="0" t="n">
        <f aca="false">LN(3_Returns!B381/3_Returns!B380)</f>
        <v>-0.0118184728645153</v>
      </c>
      <c r="S381" s="0" t="n">
        <f aca="false">M381-O381</f>
        <v>-0.00251959312024808</v>
      </c>
      <c r="T381" s="0" t="n">
        <f aca="false">IF(M381&gt;O381,1,0)</f>
        <v>0</v>
      </c>
    </row>
    <row r="382" customFormat="false" ht="15" hidden="false" customHeight="false" outlineLevel="0" collapsed="false">
      <c r="M382" s="0" t="n">
        <f aca="false">3_Returns!B382/3_Returns!B381-1</f>
        <v>-0.00322690217391308</v>
      </c>
      <c r="N382" s="0" t="n">
        <f aca="false">3_Returns!C382/3_Returns!C381-1</f>
        <v>-0.00274564785605791</v>
      </c>
      <c r="O382" s="0" t="n">
        <f aca="false">3_Returns!D382/3_Returns!D381-1</f>
        <v>-0.000301928528749995</v>
      </c>
      <c r="P382" s="0" t="n">
        <f aca="false">MAX(3_Returns!$B$31:B382)</f>
        <v>69.88</v>
      </c>
      <c r="Q382" s="0" t="n">
        <f aca="false">3_Returns!B382/P382-1</f>
        <v>-0.160131654264453</v>
      </c>
      <c r="R382" s="0" t="n">
        <f aca="false">LN(3_Returns!B382/3_Returns!B381)</f>
        <v>-0.0032321198503777</v>
      </c>
      <c r="S382" s="0" t="n">
        <f aca="false">M382-O382</f>
        <v>-0.00292497364516309</v>
      </c>
      <c r="T382" s="0" t="n">
        <f aca="false">IF(M382&gt;O382,1,0)</f>
        <v>0</v>
      </c>
    </row>
    <row r="383" customFormat="false" ht="15" hidden="false" customHeight="false" outlineLevel="0" collapsed="false">
      <c r="M383" s="0" t="n">
        <f aca="false">3_Returns!B383/3_Returns!B382-1</f>
        <v>-0.0253876299199182</v>
      </c>
      <c r="N383" s="0" t="n">
        <f aca="false">3_Returns!C383/3_Returns!C382-1</f>
        <v>-0.00820104270400102</v>
      </c>
      <c r="O383" s="0" t="n">
        <f aca="false">3_Returns!D383/3_Returns!D382-1</f>
        <v>0.00128596816394277</v>
      </c>
      <c r="P383" s="0" t="n">
        <f aca="false">MAX(3_Returns!$B$31:B383)</f>
        <v>69.88</v>
      </c>
      <c r="Q383" s="0" t="n">
        <f aca="false">3_Returns!B383/P383-1</f>
        <v>-0.181453921007441</v>
      </c>
      <c r="R383" s="0" t="n">
        <f aca="false">LN(3_Returns!B383/3_Returns!B382)</f>
        <v>-0.0257154561844909</v>
      </c>
      <c r="S383" s="0" t="n">
        <f aca="false">M383-O383</f>
        <v>-0.0266735980838609</v>
      </c>
      <c r="T383" s="0" t="n">
        <f aca="false">IF(M383&gt;O383,1,0)</f>
        <v>0</v>
      </c>
    </row>
    <row r="384" customFormat="false" ht="15" hidden="false" customHeight="false" outlineLevel="0" collapsed="false">
      <c r="M384" s="0" t="n">
        <f aca="false">3_Returns!B384/3_Returns!B383-1</f>
        <v>0.040034965034965</v>
      </c>
      <c r="N384" s="0" t="n">
        <f aca="false">3_Returns!C384/3_Returns!C383-1</f>
        <v>-0.000826885594471749</v>
      </c>
      <c r="O384" s="0" t="n">
        <f aca="false">3_Returns!D384/3_Returns!D383-1</f>
        <v>0.0239130538317562</v>
      </c>
      <c r="P384" s="0" t="n">
        <f aca="false">MAX(3_Returns!$B$31:B384)</f>
        <v>69.88</v>
      </c>
      <c r="Q384" s="0" t="n">
        <f aca="false">3_Returns!B384/P384-1</f>
        <v>-0.148683457355466</v>
      </c>
      <c r="R384" s="0" t="n">
        <f aca="false">LN(3_Returns!B384/3_Returns!B383)</f>
        <v>0.039254332814062</v>
      </c>
      <c r="S384" s="0" t="n">
        <f aca="false">M384-O384</f>
        <v>0.0161219112032087</v>
      </c>
      <c r="T384" s="0" t="n">
        <f aca="false">IF(M384&gt;O384,1,0)</f>
        <v>1</v>
      </c>
    </row>
    <row r="385" customFormat="false" ht="15" hidden="false" customHeight="false" outlineLevel="0" collapsed="false">
      <c r="M385" s="0" t="n">
        <f aca="false">3_Returns!B385/3_Returns!B384-1</f>
        <v>-0.0146243066061523</v>
      </c>
      <c r="N385" s="0" t="n">
        <f aca="false">3_Returns!C385/3_Returns!C384-1</f>
        <v>-0.0092806053082698</v>
      </c>
      <c r="O385" s="0" t="n">
        <f aca="false">3_Returns!D385/3_Returns!D384-1</f>
        <v>-0.0082608493418298</v>
      </c>
      <c r="P385" s="0" t="n">
        <f aca="false">MAX(3_Returns!$B$31:B385)</f>
        <v>69.88</v>
      </c>
      <c r="Q385" s="0" t="n">
        <f aca="false">3_Returns!B385/P385-1</f>
        <v>-0.16113337149399</v>
      </c>
      <c r="R385" s="0" t="n">
        <f aca="false">LN(3_Returns!B385/3_Returns!B384)</f>
        <v>-0.014732295917068</v>
      </c>
      <c r="S385" s="0" t="n">
        <f aca="false">M385-O385</f>
        <v>-0.00636345726432253</v>
      </c>
      <c r="T385" s="0" t="n">
        <f aca="false">IF(M385&gt;O385,1,0)</f>
        <v>0</v>
      </c>
    </row>
    <row r="386" customFormat="false" ht="15" hidden="false" customHeight="false" outlineLevel="0" collapsed="false">
      <c r="M386" s="0" t="n">
        <f aca="false">3_Returns!B386/3_Returns!B385-1</f>
        <v>-0.00631183896281129</v>
      </c>
      <c r="N386" s="0" t="n">
        <f aca="false">3_Returns!C386/3_Returns!C385-1</f>
        <v>-0.00704057279236281</v>
      </c>
      <c r="O386" s="0" t="n">
        <f aca="false">3_Returns!D386/3_Returns!D385-1</f>
        <v>-0.000909883966343617</v>
      </c>
      <c r="P386" s="0" t="n">
        <f aca="false">MAX(3_Returns!$B$31:B386)</f>
        <v>69.88</v>
      </c>
      <c r="Q386" s="0" t="n">
        <f aca="false">3_Returns!B386/P386-1</f>
        <v>-0.166428162564396</v>
      </c>
      <c r="R386" s="0" t="n">
        <f aca="false">LN(3_Returns!B386/3_Returns!B385)</f>
        <v>-0.00633184283693639</v>
      </c>
      <c r="S386" s="0" t="n">
        <f aca="false">M386-O386</f>
        <v>-0.00540195499646767</v>
      </c>
      <c r="T386" s="0" t="n">
        <f aca="false">IF(M386&gt;O386,1,0)</f>
        <v>0</v>
      </c>
    </row>
    <row r="387" customFormat="false" ht="15" hidden="false" customHeight="false" outlineLevel="0" collapsed="false">
      <c r="M387" s="0" t="n">
        <f aca="false">3_Returns!B387/3_Returns!B386-1</f>
        <v>-0.00463519313304728</v>
      </c>
      <c r="N387" s="0" t="n">
        <f aca="false">3_Returns!C387/3_Returns!C386-1</f>
        <v>0.00384569162360293</v>
      </c>
      <c r="O387" s="0" t="n">
        <f aca="false">3_Returns!D387/3_Returns!D386-1</f>
        <v>-0.00133790254436206</v>
      </c>
      <c r="P387" s="0" t="n">
        <f aca="false">MAX(3_Returns!$B$31:B387)</f>
        <v>69.88</v>
      </c>
      <c r="Q387" s="0" t="n">
        <f aca="false">3_Returns!B387/P387-1</f>
        <v>-0.170291929021179</v>
      </c>
      <c r="R387" s="0" t="n">
        <f aca="false">LN(3_Returns!B387/3_Returns!B386)</f>
        <v>-0.00464596895230058</v>
      </c>
      <c r="S387" s="0" t="n">
        <f aca="false">M387-O387</f>
        <v>-0.00329729058868522</v>
      </c>
      <c r="T387" s="0" t="n">
        <f aca="false">IF(M387&gt;O387,1,0)</f>
        <v>0</v>
      </c>
    </row>
    <row r="388" customFormat="false" ht="15" hidden="false" customHeight="false" outlineLevel="0" collapsed="false">
      <c r="M388" s="0" t="n">
        <f aca="false">3_Returns!B388/3_Returns!B387-1</f>
        <v>0.00293204553294246</v>
      </c>
      <c r="N388" s="0" t="n">
        <f aca="false">3_Returns!C388/3_Returns!C387-1</f>
        <v>-0.0104752783431102</v>
      </c>
      <c r="O388" s="0" t="n">
        <f aca="false">3_Returns!D388/3_Returns!D387-1</f>
        <v>0.00472418736926228</v>
      </c>
      <c r="P388" s="0" t="n">
        <f aca="false">MAX(3_Returns!$B$31:B388)</f>
        <v>69.88</v>
      </c>
      <c r="Q388" s="0" t="n">
        <f aca="false">3_Returns!B388/P388-1</f>
        <v>-0.167859187178019</v>
      </c>
      <c r="R388" s="0" t="n">
        <f aca="false">LN(3_Returns!B388/3_Returns!B387)</f>
        <v>0.00292775547116406</v>
      </c>
      <c r="S388" s="0" t="n">
        <f aca="false">M388-O388</f>
        <v>-0.00179214183631982</v>
      </c>
      <c r="T388" s="0" t="n">
        <f aca="false">IF(M388&gt;O388,1,0)</f>
        <v>0</v>
      </c>
    </row>
    <row r="389" customFormat="false" ht="15" hidden="false" customHeight="false" outlineLevel="0" collapsed="false">
      <c r="M389" s="0" t="n">
        <f aca="false">3_Returns!B389/3_Returns!B388-1</f>
        <v>0.0184006878761822</v>
      </c>
      <c r="N389" s="0" t="n">
        <f aca="false">3_Returns!C389/3_Returns!C388-1</f>
        <v>0.0212328352791724</v>
      </c>
      <c r="O389" s="0" t="n">
        <f aca="false">3_Returns!D389/3_Returns!D388-1</f>
        <v>0.0108683447178817</v>
      </c>
      <c r="P389" s="0" t="n">
        <f aca="false">MAX(3_Returns!$B$31:B389)</f>
        <v>69.88</v>
      </c>
      <c r="Q389" s="0" t="n">
        <f aca="false">3_Returns!B389/P389-1</f>
        <v>-0.15254722381225</v>
      </c>
      <c r="R389" s="0" t="n">
        <f aca="false">LN(3_Returns!B389/3_Returns!B388)</f>
        <v>0.0182334437087717</v>
      </c>
      <c r="S389" s="0" t="n">
        <f aca="false">M389-O389</f>
        <v>0.00753234315830054</v>
      </c>
      <c r="T389" s="0" t="n">
        <f aca="false">IF(M389&gt;O389,1,0)</f>
        <v>1</v>
      </c>
    </row>
    <row r="390" customFormat="false" ht="15" hidden="false" customHeight="false" outlineLevel="0" collapsed="false">
      <c r="M390" s="0" t="n">
        <f aca="false">3_Returns!B390/3_Returns!B389-1</f>
        <v>-0.0212765957446808</v>
      </c>
      <c r="N390" s="0" t="n">
        <f aca="false">3_Returns!C390/3_Returns!C389-1</f>
        <v>-0.000592346878331873</v>
      </c>
      <c r="O390" s="0" t="n">
        <f aca="false">3_Returns!D390/3_Returns!D389-1</f>
        <v>-0.00462673695480809</v>
      </c>
      <c r="P390" s="0" t="n">
        <f aca="false">MAX(3_Returns!$B$31:B390)</f>
        <v>69.88</v>
      </c>
      <c r="Q390" s="0" t="n">
        <f aca="false">3_Returns!B390/P390-1</f>
        <v>-0.170578133943904</v>
      </c>
      <c r="R390" s="0" t="n">
        <f aca="false">LN(3_Returns!B390/3_Returns!B389)</f>
        <v>-0.0215062052209635</v>
      </c>
      <c r="S390" s="0" t="n">
        <f aca="false">M390-O390</f>
        <v>-0.0166498587898727</v>
      </c>
      <c r="T390" s="0" t="n">
        <f aca="false">IF(M390&gt;O390,1,0)</f>
        <v>0</v>
      </c>
    </row>
    <row r="391" customFormat="false" ht="15" hidden="false" customHeight="false" outlineLevel="0" collapsed="false">
      <c r="M391" s="0" t="n">
        <f aca="false">3_Returns!B391/3_Returns!B390-1</f>
        <v>-0.0212215320910973</v>
      </c>
      <c r="N391" s="0" t="n">
        <f aca="false">3_Returns!C391/3_Returns!C390-1</f>
        <v>-0.00782361308677093</v>
      </c>
      <c r="O391" s="0" t="n">
        <f aca="false">3_Returns!D391/3_Returns!D390-1</f>
        <v>-0.00796044576016364</v>
      </c>
      <c r="P391" s="0" t="n">
        <f aca="false">MAX(3_Returns!$B$31:B391)</f>
        <v>69.88</v>
      </c>
      <c r="Q391" s="0" t="n">
        <f aca="false">3_Returns!B391/P391-1</f>
        <v>-0.188179736691471</v>
      </c>
      <c r="R391" s="0" t="n">
        <f aca="false">LN(3_Returns!B391/3_Returns!B390)</f>
        <v>-0.0214499461140058</v>
      </c>
      <c r="S391" s="0" t="n">
        <f aca="false">M391-O391</f>
        <v>-0.0132610863309337</v>
      </c>
      <c r="T391" s="0" t="n">
        <f aca="false">IF(M391&gt;O391,1,0)</f>
        <v>0</v>
      </c>
    </row>
    <row r="392" customFormat="false" ht="15" hidden="false" customHeight="false" outlineLevel="0" collapsed="false">
      <c r="M392" s="0" t="n">
        <f aca="false">3_Returns!B392/3_Returns!B391-1</f>
        <v>-0.0155120747399964</v>
      </c>
      <c r="N392" s="0" t="n">
        <f aca="false">3_Returns!C392/3_Returns!C391-1</f>
        <v>-0.017921146953405</v>
      </c>
      <c r="O392" s="0" t="n">
        <f aca="false">3_Returns!D392/3_Returns!D391-1</f>
        <v>-0.0162189440265978</v>
      </c>
      <c r="P392" s="0" t="n">
        <f aca="false">MAX(3_Returns!$B$31:B392)</f>
        <v>69.88</v>
      </c>
      <c r="Q392" s="0" t="n">
        <f aca="false">3_Returns!B392/P392-1</f>
        <v>-0.200772753291357</v>
      </c>
      <c r="R392" s="0" t="n">
        <f aca="false">LN(3_Returns!B392/3_Returns!B391)</f>
        <v>-0.015633645823266</v>
      </c>
      <c r="S392" s="0" t="n">
        <f aca="false">M392-O392</f>
        <v>0.000706869286601464</v>
      </c>
      <c r="T392" s="0" t="n">
        <f aca="false">IF(M392&gt;O392,1,0)</f>
        <v>1</v>
      </c>
    </row>
    <row r="393" customFormat="false" ht="15" hidden="false" customHeight="false" outlineLevel="0" collapsed="false">
      <c r="M393" s="0" t="n">
        <f aca="false">3_Returns!B393/3_Returns!B392-1</f>
        <v>-0.00877350044762759</v>
      </c>
      <c r="N393" s="0" t="n">
        <f aca="false">3_Returns!C393/3_Returns!C392-1</f>
        <v>-0.0136861313868614</v>
      </c>
      <c r="O393" s="0" t="n">
        <f aca="false">3_Returns!D393/3_Returns!D392-1</f>
        <v>-0.00901896698762694</v>
      </c>
      <c r="P393" s="0" t="n">
        <f aca="false">MAX(3_Returns!$B$31:B393)</f>
        <v>69.88</v>
      </c>
      <c r="Q393" s="0" t="n">
        <f aca="false">3_Returns!B393/P393-1</f>
        <v>-0.207784773898111</v>
      </c>
      <c r="R393" s="0" t="n">
        <f aca="false">LN(3_Returns!B393/3_Returns!B392)</f>
        <v>-0.00881221420579561</v>
      </c>
      <c r="S393" s="0" t="n">
        <f aca="false">M393-O393</f>
        <v>0.000245466539999351</v>
      </c>
      <c r="T393" s="0" t="n">
        <f aca="false">IF(M393&gt;O393,1,0)</f>
        <v>1</v>
      </c>
    </row>
    <row r="394" customFormat="false" ht="15" hidden="false" customHeight="false" outlineLevel="0" collapsed="false">
      <c r="M394" s="0" t="n">
        <f aca="false">3_Returns!B394/3_Returns!B393-1</f>
        <v>0.00234826589595372</v>
      </c>
      <c r="N394" s="0" t="n">
        <f aca="false">3_Returns!C394/3_Returns!C393-1</f>
        <v>-0.00653715695343815</v>
      </c>
      <c r="O394" s="0" t="n">
        <f aca="false">3_Returns!D394/3_Returns!D393-1</f>
        <v>0.00572441401680157</v>
      </c>
      <c r="P394" s="0" t="n">
        <f aca="false">MAX(3_Returns!$B$31:B394)</f>
        <v>69.88</v>
      </c>
      <c r="Q394" s="0" t="n">
        <f aca="false">3_Returns!B394/P394-1</f>
        <v>-0.205924441900401</v>
      </c>
      <c r="R394" s="0" t="n">
        <f aca="false">LN(3_Returns!B394/3_Returns!B393)</f>
        <v>0.00234551302839571</v>
      </c>
      <c r="S394" s="0" t="n">
        <f aca="false">M394-O394</f>
        <v>-0.00337614812084786</v>
      </c>
      <c r="T394" s="0" t="n">
        <f aca="false">IF(M394&gt;O394,1,0)</f>
        <v>0</v>
      </c>
    </row>
    <row r="395" customFormat="false" ht="15" hidden="false" customHeight="false" outlineLevel="0" collapsed="false">
      <c r="M395" s="0" t="n">
        <f aca="false">3_Returns!B395/3_Returns!B394-1</f>
        <v>-0.00612723013155525</v>
      </c>
      <c r="N395" s="0" t="n">
        <f aca="false">3_Returns!C395/3_Returns!C394-1</f>
        <v>-0.00453162828232656</v>
      </c>
      <c r="O395" s="0" t="n">
        <f aca="false">3_Returns!D395/3_Returns!D394-1</f>
        <v>0.000777607454833351</v>
      </c>
      <c r="P395" s="0" t="n">
        <f aca="false">MAX(3_Returns!$B$31:B395)</f>
        <v>69.88</v>
      </c>
      <c r="Q395" s="0" t="n">
        <f aca="false">3_Returns!B395/P395-1</f>
        <v>-0.21078992558672</v>
      </c>
      <c r="R395" s="0" t="n">
        <f aca="false">LN(3_Returns!B395/3_Returns!B394)</f>
        <v>-0.00614607863829841</v>
      </c>
      <c r="S395" s="0" t="n">
        <f aca="false">M395-O395</f>
        <v>-0.0069048375863886</v>
      </c>
      <c r="T395" s="0" t="n">
        <f aca="false">IF(M395&gt;O395,1,0)</f>
        <v>0</v>
      </c>
    </row>
    <row r="396" customFormat="false" ht="15" hidden="false" customHeight="false" outlineLevel="0" collapsed="false">
      <c r="M396" s="0" t="n">
        <f aca="false">3_Returns!B396/3_Returns!B395-1</f>
        <v>-0.0223028105167724</v>
      </c>
      <c r="N396" s="0" t="n">
        <f aca="false">3_Returns!C396/3_Returns!C395-1</f>
        <v>-0.00679720628585689</v>
      </c>
      <c r="O396" s="0" t="n">
        <f aca="false">3_Returns!D396/3_Returns!D395-1</f>
        <v>-0.0099163447729016</v>
      </c>
      <c r="P396" s="0" t="n">
        <f aca="false">MAX(3_Returns!$B$31:B396)</f>
        <v>69.88</v>
      </c>
      <c r="Q396" s="0" t="n">
        <f aca="false">3_Returns!B396/P396-1</f>
        <v>-0.228391528334287</v>
      </c>
      <c r="R396" s="0" t="n">
        <f aca="false">LN(3_Returns!B396/3_Returns!B395)</f>
        <v>-0.0225552790954599</v>
      </c>
      <c r="S396" s="0" t="n">
        <f aca="false">M396-O396</f>
        <v>-0.0123864657438708</v>
      </c>
      <c r="T396" s="0" t="n">
        <f aca="false">IF(M396&gt;O396,1,0)</f>
        <v>0</v>
      </c>
    </row>
    <row r="397" customFormat="false" ht="15" hidden="false" customHeight="false" outlineLevel="0" collapsed="false">
      <c r="M397" s="0" t="n">
        <f aca="false">3_Returns!B397/3_Returns!B396-1</f>
        <v>-0.00463649851632042</v>
      </c>
      <c r="N397" s="0" t="n">
        <f aca="false">3_Returns!C397/3_Returns!C396-1</f>
        <v>-0.00395554718402724</v>
      </c>
      <c r="O397" s="0" t="n">
        <f aca="false">3_Returns!D397/3_Returns!D396-1</f>
        <v>-0.00343986903088656</v>
      </c>
      <c r="P397" s="0" t="n">
        <f aca="false">MAX(3_Returns!$B$31:B397)</f>
        <v>69.88</v>
      </c>
      <c r="Q397" s="0" t="n">
        <f aca="false">3_Returns!B397/P397-1</f>
        <v>-0.231969089868346</v>
      </c>
      <c r="R397" s="0" t="n">
        <f aca="false">LN(3_Returns!B397/3_Returns!B396)</f>
        <v>-0.00464728041531406</v>
      </c>
      <c r="S397" s="0" t="n">
        <f aca="false">M397-O397</f>
        <v>-0.00119662948543386</v>
      </c>
      <c r="T397" s="0" t="n">
        <f aca="false">IF(M397&gt;O397,1,0)</f>
        <v>0</v>
      </c>
    </row>
    <row r="398" customFormat="false" ht="15" hidden="false" customHeight="false" outlineLevel="0" collapsed="false">
      <c r="M398" s="0" t="n">
        <f aca="false">3_Returns!B398/3_Returns!B397-1</f>
        <v>0.0158375256195267</v>
      </c>
      <c r="N398" s="0" t="n">
        <f aca="false">3_Returns!C398/3_Returns!C397-1</f>
        <v>-0.0127962682803831</v>
      </c>
      <c r="O398" s="0" t="n">
        <f aca="false">3_Returns!D398/3_Returns!D397-1</f>
        <v>0.000634191131974715</v>
      </c>
      <c r="P398" s="0" t="n">
        <f aca="false">MAX(3_Returns!$B$31:B398)</f>
        <v>69.88</v>
      </c>
      <c r="Q398" s="0" t="n">
        <f aca="false">3_Returns!B398/P398-1</f>
        <v>-0.219805380652547</v>
      </c>
      <c r="R398" s="0" t="n">
        <f aca="false">LN(3_Returns!B398/3_Returns!B397)</f>
        <v>0.0157134206395943</v>
      </c>
      <c r="S398" s="0" t="n">
        <f aca="false">M398-O398</f>
        <v>0.015203334487552</v>
      </c>
      <c r="T398" s="0" t="n">
        <f aca="false">IF(M398&gt;O398,1,0)</f>
        <v>1</v>
      </c>
    </row>
    <row r="399" customFormat="false" ht="15" hidden="false" customHeight="false" outlineLevel="0" collapsed="false">
      <c r="M399" s="0" t="n">
        <f aca="false">3_Returns!B399/3_Returns!B398-1</f>
        <v>-0.00660308143800448</v>
      </c>
      <c r="N399" s="0" t="n">
        <f aca="false">3_Returns!C399/3_Returns!C398-1</f>
        <v>0.00134091054211094</v>
      </c>
      <c r="O399" s="0" t="n">
        <f aca="false">3_Returns!D399/3_Returns!D398-1</f>
        <v>0.00539446523029286</v>
      </c>
      <c r="P399" s="0" t="n">
        <f aca="false">MAX(3_Returns!$B$31:B399)</f>
        <v>69.88</v>
      </c>
      <c r="Q399" s="0" t="n">
        <f aca="false">3_Returns!B399/P399-1</f>
        <v>-0.224957069261591</v>
      </c>
      <c r="R399" s="0" t="n">
        <f aca="false">LN(3_Returns!B399/3_Returns!B398)</f>
        <v>-0.00662497822431239</v>
      </c>
      <c r="S399" s="0" t="n">
        <f aca="false">M399-O399</f>
        <v>-0.0119975466682973</v>
      </c>
      <c r="T399" s="0" t="n">
        <f aca="false">IF(M399&gt;O399,1,0)</f>
        <v>0</v>
      </c>
    </row>
    <row r="400" customFormat="false" ht="15" hidden="false" customHeight="false" outlineLevel="0" collapsed="false">
      <c r="M400" s="0" t="n">
        <f aca="false">3_Returns!B400/3_Returns!B399-1</f>
        <v>0.0125553914327918</v>
      </c>
      <c r="N400" s="0" t="n">
        <f aca="false">3_Returns!C400/3_Returns!C399-1</f>
        <v>-0.0123071036857544</v>
      </c>
      <c r="O400" s="0" t="n">
        <f aca="false">3_Returns!D400/3_Returns!D399-1</f>
        <v>-0.00566387295985893</v>
      </c>
      <c r="P400" s="0" t="n">
        <f aca="false">MAX(3_Returns!$B$31:B400)</f>
        <v>69.88</v>
      </c>
      <c r="Q400" s="0" t="n">
        <f aca="false">3_Returns!B400/P400-1</f>
        <v>-0.215226101888952</v>
      </c>
      <c r="R400" s="0" t="n">
        <f aca="false">LN(3_Returns!B400/3_Returns!B399)</f>
        <v>0.0124772260900942</v>
      </c>
      <c r="S400" s="0" t="n">
        <f aca="false">M400-O400</f>
        <v>0.0182192643926508</v>
      </c>
      <c r="T400" s="0" t="n">
        <f aca="false">IF(M400&gt;O400,1,0)</f>
        <v>1</v>
      </c>
    </row>
    <row r="401" customFormat="false" ht="15" hidden="false" customHeight="false" outlineLevel="0" collapsed="false">
      <c r="M401" s="0" t="n">
        <f aca="false">3_Returns!B401/3_Returns!B400-1</f>
        <v>0.00820568927789922</v>
      </c>
      <c r="N401" s="0" t="n">
        <f aca="false">3_Returns!C401/3_Returns!C400-1</f>
        <v>6.45619471884018E-005</v>
      </c>
      <c r="O401" s="0" t="n">
        <f aca="false">3_Returns!D401/3_Returns!D400-1</f>
        <v>-0.00220682890945867</v>
      </c>
      <c r="P401" s="0" t="n">
        <f aca="false">MAX(3_Returns!$B$31:B401)</f>
        <v>69.88</v>
      </c>
      <c r="Q401" s="0" t="n">
        <f aca="false">3_Returns!B401/P401-1</f>
        <v>-0.208786491127647</v>
      </c>
      <c r="R401" s="0" t="n">
        <f aca="false">LN(3_Returns!B401/3_Returns!B400)</f>
        <v>0.00817220565572784</v>
      </c>
      <c r="S401" s="0" t="n">
        <f aca="false">M401-O401</f>
        <v>0.0104125181873579</v>
      </c>
      <c r="T401" s="0" t="n">
        <f aca="false">IF(M401&gt;O401,1,0)</f>
        <v>1</v>
      </c>
    </row>
    <row r="402" customFormat="false" ht="15" hidden="false" customHeight="false" outlineLevel="0" collapsed="false">
      <c r="M402" s="0" t="n">
        <f aca="false">3_Returns!B402/3_Returns!B401-1</f>
        <v>-0.0271296798697775</v>
      </c>
      <c r="N402" s="0" t="n">
        <f aca="false">3_Returns!C402/3_Returns!C401-1</f>
        <v>0.00510006455777923</v>
      </c>
      <c r="O402" s="0" t="n">
        <f aca="false">3_Returns!D402/3_Returns!D401-1</f>
        <v>-0.0180105605908241</v>
      </c>
      <c r="P402" s="0" t="n">
        <f aca="false">MAX(3_Returns!$B$31:B402)</f>
        <v>69.88</v>
      </c>
      <c r="Q402" s="0" t="n">
        <f aca="false">3_Returns!B402/P402-1</f>
        <v>-0.230251860331998</v>
      </c>
      <c r="R402" s="0" t="n">
        <f aca="false">LN(3_Returns!B402/3_Returns!B401)</f>
        <v>-0.0275044840646904</v>
      </c>
      <c r="S402" s="0" t="n">
        <f aca="false">M402-O402</f>
        <v>-0.00911911927895348</v>
      </c>
      <c r="T402" s="0" t="n">
        <f aca="false">IF(M402&gt;O402,1,0)</f>
        <v>0</v>
      </c>
    </row>
    <row r="403" customFormat="false" ht="15" hidden="false" customHeight="false" outlineLevel="0" collapsed="false">
      <c r="M403" s="0" t="n">
        <f aca="false">3_Returns!B403/3_Returns!B402-1</f>
        <v>-0.0035322550659973</v>
      </c>
      <c r="N403" s="0" t="n">
        <f aca="false">3_Returns!C403/3_Returns!C402-1</f>
        <v>-0.0018626758301753</v>
      </c>
      <c r="O403" s="0" t="n">
        <f aca="false">3_Returns!D403/3_Returns!D402-1</f>
        <v>-0.0112877148962932</v>
      </c>
      <c r="P403" s="0" t="n">
        <f aca="false">MAX(3_Returns!$B$31:B403)</f>
        <v>69.88</v>
      </c>
      <c r="Q403" s="0" t="n">
        <f aca="false">3_Returns!B403/P403-1</f>
        <v>-0.232970807097882</v>
      </c>
      <c r="R403" s="0" t="n">
        <f aca="false">LN(3_Returns!B403/3_Returns!B402)</f>
        <v>-0.0035385082083948</v>
      </c>
      <c r="S403" s="0" t="n">
        <f aca="false">M403-O403</f>
        <v>0.00775545983029591</v>
      </c>
      <c r="T403" s="0" t="n">
        <f aca="false">IF(M403&gt;O403,1,0)</f>
        <v>1</v>
      </c>
    </row>
    <row r="404" customFormat="false" ht="15" hidden="false" customHeight="false" outlineLevel="0" collapsed="false">
      <c r="M404" s="0" t="n">
        <f aca="false">3_Returns!B404/3_Returns!B403-1</f>
        <v>0.00167910447761188</v>
      </c>
      <c r="N404" s="0" t="n">
        <f aca="false">3_Returns!C404/3_Returns!C403-1</f>
        <v>0.00875160875160863</v>
      </c>
      <c r="O404" s="0" t="n">
        <f aca="false">3_Returns!D404/3_Returns!D403-1</f>
        <v>0.016623649109953</v>
      </c>
      <c r="P404" s="0" t="n">
        <f aca="false">MAX(3_Returns!$B$31:B404)</f>
        <v>69.88</v>
      </c>
      <c r="Q404" s="0" t="n">
        <f aca="false">3_Returns!B404/P404-1</f>
        <v>-0.231682884945621</v>
      </c>
      <c r="R404" s="0" t="n">
        <f aca="false">LN(3_Returns!B404/3_Returns!B403)</f>
        <v>0.00167769635772176</v>
      </c>
      <c r="S404" s="0" t="n">
        <f aca="false">M404-O404</f>
        <v>-0.0149445446323411</v>
      </c>
      <c r="T404" s="0" t="n">
        <f aca="false">IF(M404&gt;O404,1,0)</f>
        <v>0</v>
      </c>
    </row>
    <row r="405" customFormat="false" ht="15" hidden="false" customHeight="false" outlineLevel="0" collapsed="false">
      <c r="M405" s="0" t="n">
        <f aca="false">3_Returns!B405/3_Returns!B404-1</f>
        <v>-0.0476811324268951</v>
      </c>
      <c r="N405" s="0" t="n">
        <f aca="false">3_Returns!C405/3_Returns!C404-1</f>
        <v>-0.030492472569533</v>
      </c>
      <c r="O405" s="0" t="n">
        <f aca="false">3_Returns!D405/3_Returns!D404-1</f>
        <v>-0.0217374568600505</v>
      </c>
      <c r="P405" s="0" t="n">
        <f aca="false">MAX(3_Returns!$B$31:B405)</f>
        <v>69.88</v>
      </c>
      <c r="Q405" s="0" t="n">
        <f aca="false">3_Returns!B405/P405-1</f>
        <v>-0.268317115054379</v>
      </c>
      <c r="R405" s="0" t="n">
        <f aca="false">LN(3_Returns!B405/3_Returns!B404)</f>
        <v>-0.0488553553425702</v>
      </c>
      <c r="S405" s="0" t="n">
        <f aca="false">M405-O405</f>
        <v>-0.0259436755668446</v>
      </c>
      <c r="T405" s="0" t="n">
        <f aca="false">IF(M405&gt;O405,1,0)</f>
        <v>0</v>
      </c>
    </row>
    <row r="406" customFormat="false" ht="15" hidden="false" customHeight="false" outlineLevel="0" collapsed="false">
      <c r="M406" s="0" t="n">
        <f aca="false">3_Returns!B406/3_Returns!B405-1</f>
        <v>-0.0197535693330727</v>
      </c>
      <c r="N406" s="0" t="n">
        <f aca="false">3_Returns!C406/3_Returns!C405-1</f>
        <v>-0.0153967627319385</v>
      </c>
      <c r="O406" s="0" t="n">
        <f aca="false">3_Returns!D406/3_Returns!D405-1</f>
        <v>-0.00308752565961545</v>
      </c>
      <c r="P406" s="0" t="n">
        <f aca="false">MAX(3_Returns!$B$31:B406)</f>
        <v>69.88</v>
      </c>
      <c r="Q406" s="0" t="n">
        <f aca="false">3_Returns!B406/P406-1</f>
        <v>-0.282770463651975</v>
      </c>
      <c r="R406" s="0" t="n">
        <f aca="false">LN(3_Returns!B406/3_Returns!B405)</f>
        <v>-0.0199512790640405</v>
      </c>
      <c r="S406" s="0" t="n">
        <f aca="false">M406-O406</f>
        <v>-0.0166660436734573</v>
      </c>
      <c r="T406" s="0" t="n">
        <f aca="false">IF(M406&gt;O406,1,0)</f>
        <v>0</v>
      </c>
    </row>
    <row r="407" customFormat="false" ht="15" hidden="false" customHeight="false" outlineLevel="0" collapsed="false">
      <c r="M407" s="0" t="n">
        <f aca="false">3_Returns!B407/3_Returns!B406-1</f>
        <v>-0.00179569034317628</v>
      </c>
      <c r="N407" s="0" t="n">
        <f aca="false">3_Returns!C407/3_Returns!C406-1</f>
        <v>-0.014100507885592</v>
      </c>
      <c r="O407" s="0" t="n">
        <f aca="false">3_Returns!D407/3_Returns!D406-1</f>
        <v>0.00252772095304321</v>
      </c>
      <c r="P407" s="0" t="n">
        <f aca="false">MAX(3_Returns!$B$31:B407)</f>
        <v>69.88</v>
      </c>
      <c r="Q407" s="0" t="n">
        <f aca="false">3_Returns!B407/P407-1</f>
        <v>-0.284058385804236</v>
      </c>
      <c r="R407" s="0" t="n">
        <f aca="false">LN(3_Returns!B407/3_Returns!B406)</f>
        <v>-0.00179730452775378</v>
      </c>
      <c r="S407" s="0" t="n">
        <f aca="false">M407-O407</f>
        <v>-0.00432341129621949</v>
      </c>
      <c r="T407" s="0" t="n">
        <f aca="false">IF(M407&gt;O407,1,0)</f>
        <v>0</v>
      </c>
    </row>
    <row r="408" customFormat="false" ht="15" hidden="false" customHeight="false" outlineLevel="0" collapsed="false">
      <c r="M408" s="0" t="n">
        <f aca="false">3_Returns!B408/3_Returns!B407-1</f>
        <v>-0.00819508295022997</v>
      </c>
      <c r="N408" s="0" t="n">
        <f aca="false">3_Returns!C408/3_Returns!C407-1</f>
        <v>0.00454144919677346</v>
      </c>
      <c r="O408" s="0" t="n">
        <f aca="false">3_Returns!D408/3_Returns!D407-1</f>
        <v>-0.00345617294602307</v>
      </c>
      <c r="P408" s="0" t="n">
        <f aca="false">MAX(3_Returns!$B$31:B408)</f>
        <v>69.88</v>
      </c>
      <c r="Q408" s="0" t="n">
        <f aca="false">3_Returns!B408/P408-1</f>
        <v>-0.289925586720092</v>
      </c>
      <c r="R408" s="0" t="n">
        <f aca="false">LN(3_Returns!B408/3_Returns!B407)</f>
        <v>-0.00822884723645884</v>
      </c>
      <c r="S408" s="0" t="n">
        <f aca="false">M408-O408</f>
        <v>-0.0047389100042069</v>
      </c>
      <c r="T408" s="0" t="n">
        <f aca="false">IF(M408&gt;O408,1,0)</f>
        <v>0</v>
      </c>
    </row>
    <row r="409" customFormat="false" ht="15" hidden="false" customHeight="false" outlineLevel="0" collapsed="false">
      <c r="M409" s="0" t="n">
        <f aca="false">3_Returns!B409/3_Returns!B408-1</f>
        <v>-0.0157194679564691</v>
      </c>
      <c r="N409" s="0" t="n">
        <f aca="false">3_Returns!C409/3_Returns!C408-1</f>
        <v>-0.0125506072874493</v>
      </c>
      <c r="O409" s="0" t="n">
        <f aca="false">3_Returns!D409/3_Returns!D408-1</f>
        <v>-0.00782731490821054</v>
      </c>
      <c r="P409" s="0" t="n">
        <f aca="false">MAX(3_Returns!$B$31:B409)</f>
        <v>69.88</v>
      </c>
      <c r="Q409" s="0" t="n">
        <f aca="false">3_Returns!B409/P409-1</f>
        <v>-0.301087578706354</v>
      </c>
      <c r="R409" s="0" t="n">
        <f aca="false">LN(3_Returns!B409/3_Returns!B408)</f>
        <v>-0.0158443290211509</v>
      </c>
      <c r="S409" s="0" t="n">
        <f aca="false">M409-O409</f>
        <v>-0.00789215304825852</v>
      </c>
      <c r="T409" s="0" t="n">
        <f aca="false">IF(M409&gt;O409,1,0)</f>
        <v>0</v>
      </c>
    </row>
    <row r="410" customFormat="false" ht="15" hidden="false" customHeight="false" outlineLevel="0" collapsed="false">
      <c r="M410" s="0" t="n">
        <f aca="false">3_Returns!B410/3_Returns!B409-1</f>
        <v>0.00122850122850116</v>
      </c>
      <c r="N410" s="0" t="n">
        <f aca="false">3_Returns!C410/3_Returns!C409-1</f>
        <v>0.000478338116714383</v>
      </c>
      <c r="O410" s="0" t="n">
        <f aca="false">3_Returns!D410/3_Returns!D409-1</f>
        <v>-0.000298212083011395</v>
      </c>
      <c r="P410" s="0" t="n">
        <f aca="false">MAX(3_Returns!$B$31:B410)</f>
        <v>69.88</v>
      </c>
      <c r="Q410" s="0" t="n">
        <f aca="false">3_Returns!B410/P410-1</f>
        <v>-0.30022896393818</v>
      </c>
      <c r="R410" s="0" t="n">
        <f aca="false">LN(3_Returns!B410/3_Returns!B409)</f>
        <v>0.00122774723832234</v>
      </c>
      <c r="S410" s="0" t="n">
        <f aca="false">M410-O410</f>
        <v>0.00152671331151255</v>
      </c>
      <c r="T410" s="0" t="n">
        <f aca="false">IF(M410&gt;O410,1,0)</f>
        <v>1</v>
      </c>
    </row>
    <row r="411" customFormat="false" ht="15" hidden="false" customHeight="false" outlineLevel="0" collapsed="false">
      <c r="M411" s="0" t="n">
        <f aca="false">3_Returns!B411/3_Returns!B410-1</f>
        <v>-0.0263803680981595</v>
      </c>
      <c r="N411" s="0" t="n">
        <f aca="false">3_Returns!C411/3_Returns!C410-1</f>
        <v>-0.00560071033399356</v>
      </c>
      <c r="O411" s="0" t="n">
        <f aca="false">3_Returns!D411/3_Returns!D410-1</f>
        <v>0.000266098086805444</v>
      </c>
      <c r="P411" s="0" t="n">
        <f aca="false">MAX(3_Returns!$B$31:B411)</f>
        <v>69.88</v>
      </c>
      <c r="Q411" s="0" t="n">
        <f aca="false">3_Returns!B411/P411-1</f>
        <v>-0.318689181453921</v>
      </c>
      <c r="R411" s="0" t="n">
        <f aca="false">LN(3_Returns!B411/3_Returns!B410)</f>
        <v>-0.0267345732743989</v>
      </c>
      <c r="S411" s="0" t="n">
        <f aca="false">M411-O411</f>
        <v>-0.0266464661849649</v>
      </c>
      <c r="T411" s="0" t="n">
        <f aca="false">IF(M411&gt;O411,1,0)</f>
        <v>0</v>
      </c>
    </row>
    <row r="412" customFormat="false" ht="15" hidden="false" customHeight="false" outlineLevel="0" collapsed="false">
      <c r="M412" s="0" t="n">
        <f aca="false">3_Returns!B412/3_Returns!B411-1</f>
        <v>0.00588111741230835</v>
      </c>
      <c r="N412" s="0" t="n">
        <f aca="false">3_Returns!C412/3_Returns!C411-1</f>
        <v>0.000618174325159648</v>
      </c>
      <c r="O412" s="0" t="n">
        <f aca="false">3_Returns!D412/3_Returns!D411-1</f>
        <v>-0.000510026856895829</v>
      </c>
      <c r="P412" s="0" t="n">
        <f aca="false">MAX(3_Returns!$B$31:B412)</f>
        <v>69.88</v>
      </c>
      <c r="Q412" s="0" t="n">
        <f aca="false">3_Returns!B412/P412-1</f>
        <v>-0.314682312535776</v>
      </c>
      <c r="R412" s="0" t="n">
        <f aca="false">LN(3_Returns!B412/3_Returns!B411)</f>
        <v>0.00586389114809061</v>
      </c>
      <c r="S412" s="0" t="n">
        <f aca="false">M412-O412</f>
        <v>0.00639114426920417</v>
      </c>
      <c r="T412" s="0" t="n">
        <f aca="false">IF(M412&gt;O412,1,0)</f>
        <v>1</v>
      </c>
    </row>
    <row r="413" customFormat="false" ht="15" hidden="false" customHeight="false" outlineLevel="0" collapsed="false">
      <c r="M413" s="0" t="n">
        <f aca="false">3_Returns!B413/3_Returns!B412-1</f>
        <v>-0.0400918772186261</v>
      </c>
      <c r="N413" s="0" t="n">
        <f aca="false">3_Returns!C413/3_Returns!C412-1</f>
        <v>0.000274574409665052</v>
      </c>
      <c r="O413" s="0" t="n">
        <f aca="false">3_Returns!D413/3_Returns!D412-1</f>
        <v>-0.0186076790582236</v>
      </c>
      <c r="P413" s="0" t="n">
        <f aca="false">MAX(3_Returns!$B$31:B413)</f>
        <v>69.88</v>
      </c>
      <c r="Q413" s="0" t="n">
        <f aca="false">3_Returns!B413/P413-1</f>
        <v>-0.342157985117344</v>
      </c>
      <c r="R413" s="0" t="n">
        <f aca="false">LN(3_Returns!B413/3_Returns!B412)</f>
        <v>-0.0409177045363814</v>
      </c>
      <c r="S413" s="0" t="n">
        <f aca="false">M413-O413</f>
        <v>-0.0214841981604025</v>
      </c>
      <c r="T413" s="0" t="n">
        <f aca="false">IF(M413&gt;O413,1,0)</f>
        <v>0</v>
      </c>
    </row>
    <row r="414" customFormat="false" ht="15" hidden="false" customHeight="false" outlineLevel="0" collapsed="false">
      <c r="M414" s="0" t="n">
        <f aca="false">3_Returns!B414/3_Returns!B413-1</f>
        <v>-0.0095714596475962</v>
      </c>
      <c r="N414" s="0" t="n">
        <f aca="false">3_Returns!C414/3_Returns!C413-1</f>
        <v>-0.00720559978040081</v>
      </c>
      <c r="O414" s="0" t="n">
        <f aca="false">3_Returns!D414/3_Returns!D413-1</f>
        <v>-0.00116775611171771</v>
      </c>
      <c r="P414" s="0" t="n">
        <f aca="false">MAX(3_Returns!$B$31:B414)</f>
        <v>69.88</v>
      </c>
      <c r="Q414" s="0" t="n">
        <f aca="false">3_Returns!B414/P414-1</f>
        <v>-0.348454493417287</v>
      </c>
      <c r="R414" s="0" t="n">
        <f aca="false">LN(3_Returns!B414/3_Returns!B413)</f>
        <v>-0.00961756047144585</v>
      </c>
      <c r="S414" s="0" t="n">
        <f aca="false">M414-O414</f>
        <v>-0.00840370353587849</v>
      </c>
      <c r="T414" s="0" t="n">
        <f aca="false">IF(M414&gt;O414,1,0)</f>
        <v>0</v>
      </c>
    </row>
    <row r="415" customFormat="false" ht="15" hidden="false" customHeight="false" outlineLevel="0" collapsed="false">
      <c r="M415" s="0" t="n">
        <f aca="false">3_Returns!B415/3_Returns!B414-1</f>
        <v>-0.014935207555458</v>
      </c>
      <c r="N415" s="0" t="n">
        <f aca="false">3_Returns!C415/3_Returns!C414-1</f>
        <v>-0.00891684523398073</v>
      </c>
      <c r="O415" s="0" t="n">
        <f aca="false">3_Returns!D415/3_Returns!D414-1</f>
        <v>-0.00830145344614086</v>
      </c>
      <c r="P415" s="0" t="n">
        <f aca="false">MAX(3_Returns!$B$31:B415)</f>
        <v>69.88</v>
      </c>
      <c r="Q415" s="0" t="n">
        <f aca="false">3_Returns!B415/P415-1</f>
        <v>-0.358185460789926</v>
      </c>
      <c r="R415" s="0" t="n">
        <f aca="false">LN(3_Returns!B415/3_Returns!B414)</f>
        <v>-0.0150478608418856</v>
      </c>
      <c r="S415" s="0" t="n">
        <f aca="false">M415-O415</f>
        <v>-0.0066337541093171</v>
      </c>
      <c r="T415" s="0" t="n">
        <f aca="false">IF(M415&gt;O415,1,0)</f>
        <v>0</v>
      </c>
    </row>
    <row r="416" customFormat="false" ht="15" hidden="false" customHeight="false" outlineLevel="0" collapsed="false">
      <c r="M416" s="0" t="n">
        <f aca="false">3_Returns!B416/3_Returns!B415-1</f>
        <v>-0.0205128205128206</v>
      </c>
      <c r="N416" s="0" t="n">
        <f aca="false">3_Returns!C416/3_Returns!C415-1</f>
        <v>-0.01115915748361</v>
      </c>
      <c r="O416" s="0" t="n">
        <f aca="false">3_Returns!D416/3_Returns!D415-1</f>
        <v>-0.00520393713420719</v>
      </c>
      <c r="P416" s="0" t="n">
        <f aca="false">MAX(3_Returns!$B$31:B416)</f>
        <v>69.88</v>
      </c>
      <c r="Q416" s="0" t="n">
        <f aca="false">3_Returns!B416/P416-1</f>
        <v>-0.37135088723526</v>
      </c>
      <c r="R416" s="0" t="n">
        <f aca="false">LN(3_Returns!B416/3_Returns!B415)</f>
        <v>-0.020726130517117</v>
      </c>
      <c r="S416" s="0" t="n">
        <f aca="false">M416-O416</f>
        <v>-0.0153088833786134</v>
      </c>
      <c r="T416" s="0" t="n">
        <f aca="false">IF(M416&gt;O416,1,0)</f>
        <v>0</v>
      </c>
    </row>
    <row r="417" customFormat="false" ht="15" hidden="false" customHeight="false" outlineLevel="0" collapsed="false">
      <c r="M417" s="0" t="n">
        <f aca="false">3_Returns!B417/3_Returns!B416-1</f>
        <v>-0.0141133621670839</v>
      </c>
      <c r="N417" s="0" t="n">
        <f aca="false">3_Returns!C417/3_Returns!C416-1</f>
        <v>0.0102271124277049</v>
      </c>
      <c r="O417" s="0" t="n">
        <f aca="false">3_Returns!D417/3_Returns!D416-1</f>
        <v>0.00260506146262118</v>
      </c>
      <c r="P417" s="0" t="n">
        <f aca="false">MAX(3_Returns!$B$31:B417)</f>
        <v>69.88</v>
      </c>
      <c r="Q417" s="0" t="n">
        <f aca="false">3_Returns!B417/P417-1</f>
        <v>-0.380223239839725</v>
      </c>
      <c r="R417" s="0" t="n">
        <f aca="false">LN(3_Returns!B417/3_Returns!B416)</f>
        <v>-0.0142139027611528</v>
      </c>
      <c r="S417" s="0" t="n">
        <f aca="false">M417-O417</f>
        <v>-0.0167184236297051</v>
      </c>
      <c r="T417" s="0" t="n">
        <f aca="false">IF(M417&gt;O417,1,0)</f>
        <v>0</v>
      </c>
    </row>
    <row r="418" customFormat="false" ht="15" hidden="false" customHeight="false" outlineLevel="0" collapsed="false">
      <c r="M418" s="0" t="n">
        <f aca="false">3_Returns!B418/3_Returns!B417-1</f>
        <v>-0.00438697760332496</v>
      </c>
      <c r="N418" s="0" t="n">
        <f aca="false">3_Returns!C418/3_Returns!C417-1</f>
        <v>-0.00488724429239673</v>
      </c>
      <c r="O418" s="0" t="n">
        <f aca="false">3_Returns!D418/3_Returns!D417-1</f>
        <v>0.0067754942176621</v>
      </c>
      <c r="P418" s="0" t="n">
        <f aca="false">MAX(3_Returns!$B$31:B418)</f>
        <v>69.88</v>
      </c>
      <c r="Q418" s="0" t="n">
        <f aca="false">3_Returns!B418/P418-1</f>
        <v>-0.38294218660561</v>
      </c>
      <c r="R418" s="0" t="n">
        <f aca="false">LN(3_Returns!B418/3_Returns!B417)</f>
        <v>-0.00439662862579368</v>
      </c>
      <c r="S418" s="0" t="n">
        <f aca="false">M418-O418</f>
        <v>-0.0111624718209871</v>
      </c>
      <c r="T418" s="0" t="n">
        <f aca="false">IF(M418&gt;O418,1,0)</f>
        <v>0</v>
      </c>
    </row>
    <row r="419" customFormat="false" ht="15" hidden="false" customHeight="false" outlineLevel="0" collapsed="false">
      <c r="M419" s="0" t="n">
        <f aca="false">3_Returns!B419/3_Returns!B418-1</f>
        <v>0.0113636363636365</v>
      </c>
      <c r="N419" s="0" t="n">
        <f aca="false">3_Returns!C419/3_Returns!C418-1</f>
        <v>-0.00406931873991445</v>
      </c>
      <c r="O419" s="0" t="n">
        <f aca="false">3_Returns!D419/3_Returns!D418-1</f>
        <v>0.00935585778818271</v>
      </c>
      <c r="P419" s="0" t="n">
        <f aca="false">MAX(3_Returns!$B$31:B419)</f>
        <v>69.88</v>
      </c>
      <c r="Q419" s="0" t="n">
        <f aca="false">3_Returns!B419/P419-1</f>
        <v>-0.375930165998855</v>
      </c>
      <c r="R419" s="0" t="n">
        <f aca="false">LN(3_Returns!B419/3_Returns!B418)</f>
        <v>0.0112995552539335</v>
      </c>
      <c r="S419" s="0" t="n">
        <f aca="false">M419-O419</f>
        <v>0.00200777857545376</v>
      </c>
      <c r="T419" s="0" t="n">
        <f aca="false">IF(M419&gt;O419,1,0)</f>
        <v>1</v>
      </c>
    </row>
    <row r="420" customFormat="false" ht="15" hidden="false" customHeight="false" outlineLevel="0" collapsed="false">
      <c r="M420" s="0" t="n">
        <f aca="false">3_Returns!B420/3_Returns!B419-1</f>
        <v>0.00206374684705346</v>
      </c>
      <c r="N420" s="0" t="n">
        <f aca="false">3_Returns!C420/3_Returns!C419-1</f>
        <v>-0.0162733356815781</v>
      </c>
      <c r="O420" s="0" t="n">
        <f aca="false">3_Returns!D420/3_Returns!D419-1</f>
        <v>-0.0046853276804274</v>
      </c>
      <c r="P420" s="0" t="n">
        <f aca="false">MAX(3_Returns!$B$31:B420)</f>
        <v>69.88</v>
      </c>
      <c r="Q420" s="0" t="n">
        <f aca="false">3_Returns!B420/P420-1</f>
        <v>-0.374642243846594</v>
      </c>
      <c r="R420" s="0" t="n">
        <f aca="false">LN(3_Returns!B420/3_Returns!B419)</f>
        <v>0.00206162024686942</v>
      </c>
      <c r="S420" s="0" t="n">
        <f aca="false">M420-O420</f>
        <v>0.00674907452748086</v>
      </c>
      <c r="T420" s="0" t="n">
        <f aca="false">IF(M420&gt;O420,1,0)</f>
        <v>1</v>
      </c>
    </row>
    <row r="421" customFormat="false" ht="15" hidden="false" customHeight="false" outlineLevel="0" collapsed="false">
      <c r="M421" s="0" t="n">
        <f aca="false">3_Returns!B421/3_Returns!B420-1</f>
        <v>0.0187643020594965</v>
      </c>
      <c r="N421" s="0" t="n">
        <f aca="false">3_Returns!C421/3_Returns!C420-1</f>
        <v>-0.00644514465769108</v>
      </c>
      <c r="O421" s="0" t="n">
        <f aca="false">3_Returns!D421/3_Returns!D420-1</f>
        <v>0.00963086024275084</v>
      </c>
      <c r="P421" s="0" t="n">
        <f aca="false">MAX(3_Returns!$B$31:B421)</f>
        <v>69.88</v>
      </c>
      <c r="Q421" s="0" t="n">
        <f aca="false">3_Returns!B421/P421-1</f>
        <v>-0.362907842014883</v>
      </c>
      <c r="R421" s="0" t="n">
        <f aca="false">LN(3_Returns!B421/3_Returns!B420)</f>
        <v>0.0185904243057996</v>
      </c>
      <c r="S421" s="0" t="n">
        <f aca="false">M421-O421</f>
        <v>0.00913344181674569</v>
      </c>
      <c r="T421" s="0" t="n">
        <f aca="false">IF(M421&gt;O421,1,0)</f>
        <v>1</v>
      </c>
    </row>
    <row r="422" customFormat="false" ht="15" hidden="false" customHeight="false" outlineLevel="0" collapsed="false">
      <c r="M422" s="0" t="n">
        <f aca="false">3_Returns!B422/3_Returns!B421-1</f>
        <v>0.00224618149146427</v>
      </c>
      <c r="N422" s="0" t="n">
        <f aca="false">3_Returns!C422/3_Returns!C421-1</f>
        <v>0.0130459852962377</v>
      </c>
      <c r="O422" s="0" t="n">
        <f aca="false">3_Returns!D422/3_Returns!D421-1</f>
        <v>0.0121467610920101</v>
      </c>
      <c r="P422" s="0" t="n">
        <f aca="false">MAX(3_Returns!$B$31:B422)</f>
        <v>69.88</v>
      </c>
      <c r="Q422" s="0" t="n">
        <f aca="false">3_Returns!B422/P422-1</f>
        <v>-0.361476817401259</v>
      </c>
      <c r="R422" s="0" t="n">
        <f aca="false">LN(3_Returns!B422/3_Returns!B421)</f>
        <v>0.00224366259704214</v>
      </c>
      <c r="S422" s="0" t="n">
        <f aca="false">M422-O422</f>
        <v>-0.0099005796005458</v>
      </c>
      <c r="T422" s="0" t="n">
        <f aca="false">IF(M422&gt;O422,1,0)</f>
        <v>0</v>
      </c>
    </row>
    <row r="423" customFormat="false" ht="15" hidden="false" customHeight="false" outlineLevel="0" collapsed="false">
      <c r="M423" s="0" t="n">
        <f aca="false">3_Returns!B423/3_Returns!B422-1</f>
        <v>0.00448229493500674</v>
      </c>
      <c r="N423" s="0" t="n">
        <f aca="false">3_Returns!C423/3_Returns!C422-1</f>
        <v>0.0325862682319458</v>
      </c>
      <c r="O423" s="0" t="n">
        <f aca="false">3_Returns!D423/3_Returns!D422-1</f>
        <v>0.0117742988709528</v>
      </c>
      <c r="P423" s="0" t="n">
        <f aca="false">MAX(3_Returns!$B$31:B423)</f>
        <v>69.88</v>
      </c>
      <c r="Q423" s="0" t="n">
        <f aca="false">3_Returns!B423/P423-1</f>
        <v>-0.358614768174013</v>
      </c>
      <c r="R423" s="0" t="n">
        <f aca="false">LN(3_Returns!B423/3_Returns!B422)</f>
        <v>0.0044722793683945</v>
      </c>
      <c r="S423" s="0" t="n">
        <f aca="false">M423-O423</f>
        <v>-0.00729200393594609</v>
      </c>
      <c r="T423" s="0" t="n">
        <f aca="false">IF(M423&gt;O423,1,0)</f>
        <v>0</v>
      </c>
    </row>
    <row r="424" customFormat="false" ht="15" hidden="false" customHeight="false" outlineLevel="0" collapsed="false">
      <c r="M424" s="0" t="n">
        <f aca="false">3_Returns!B424/3_Returns!B423-1</f>
        <v>0.00580098170459609</v>
      </c>
      <c r="N424" s="0" t="n">
        <f aca="false">3_Returns!C424/3_Returns!C423-1</f>
        <v>0.000757941156204867</v>
      </c>
      <c r="O424" s="0" t="n">
        <f aca="false">3_Returns!D424/3_Returns!D423-1</f>
        <v>0.0143242185801853</v>
      </c>
      <c r="P424" s="0" t="n">
        <f aca="false">MAX(3_Returns!$B$31:B424)</f>
        <v>69.88</v>
      </c>
      <c r="Q424" s="0" t="n">
        <f aca="false">3_Returns!B424/P424-1</f>
        <v>-0.354894104178592</v>
      </c>
      <c r="R424" s="0" t="n">
        <f aca="false">LN(3_Returns!B424/3_Returns!B423)</f>
        <v>0.00578422079879454</v>
      </c>
      <c r="S424" s="0" t="n">
        <f aca="false">M424-O424</f>
        <v>-0.0085232368755892</v>
      </c>
      <c r="T424" s="0" t="n">
        <f aca="false">IF(M424&gt;O424,1,0)</f>
        <v>0</v>
      </c>
    </row>
    <row r="425" customFormat="false" ht="15" hidden="false" customHeight="false" outlineLevel="0" collapsed="false">
      <c r="M425" s="0" t="n">
        <f aca="false">3_Returns!B425/3_Returns!B424-1</f>
        <v>0.00443655723158831</v>
      </c>
      <c r="N425" s="0" t="n">
        <f aca="false">3_Returns!C425/3_Returns!C424-1</f>
        <v>0.00826218672542001</v>
      </c>
      <c r="O425" s="0" t="n">
        <f aca="false">3_Returns!D425/3_Returns!D424-1</f>
        <v>-0.00115059054306876</v>
      </c>
      <c r="P425" s="0" t="n">
        <f aca="false">MAX(3_Returns!$B$31:B425)</f>
        <v>69.88</v>
      </c>
      <c r="Q425" s="0" t="n">
        <f aca="false">3_Returns!B425/P425-1</f>
        <v>-0.352032054951345</v>
      </c>
      <c r="R425" s="0" t="n">
        <f aca="false">LN(3_Returns!B425/3_Returns!B424)</f>
        <v>0.00442674472335197</v>
      </c>
      <c r="S425" s="0" t="n">
        <f aca="false">M425-O425</f>
        <v>0.00558714777465708</v>
      </c>
      <c r="T425" s="0" t="n">
        <f aca="false">IF(M425&gt;O425,1,0)</f>
        <v>1</v>
      </c>
    </row>
    <row r="426" customFormat="false" ht="15" hidden="false" customHeight="false" outlineLevel="0" collapsed="false">
      <c r="M426" s="0" t="n">
        <f aca="false">3_Returns!B426/3_Returns!B425-1</f>
        <v>-0.0271643109540637</v>
      </c>
      <c r="N426" s="0" t="n">
        <f aca="false">3_Returns!C426/3_Returns!C425-1</f>
        <v>0.00150232177000809</v>
      </c>
      <c r="O426" s="0" t="n">
        <f aca="false">3_Returns!D426/3_Returns!D425-1</f>
        <v>-0.00143741944427489</v>
      </c>
      <c r="P426" s="0" t="n">
        <f aca="false">MAX(3_Returns!$B$31:B426)</f>
        <v>69.88</v>
      </c>
      <c r="Q426" s="0" t="n">
        <f aca="false">3_Returns!B426/P426-1</f>
        <v>-0.369633657698912</v>
      </c>
      <c r="R426" s="0" t="n">
        <f aca="false">LN(3_Returns!B426/3_Returns!B425)</f>
        <v>-0.0275400815127391</v>
      </c>
      <c r="S426" s="0" t="n">
        <f aca="false">M426-O426</f>
        <v>-0.0257268915097888</v>
      </c>
      <c r="T426" s="0" t="n">
        <f aca="false">IF(M426&gt;O426,1,0)</f>
        <v>0</v>
      </c>
    </row>
    <row r="427" customFormat="false" ht="15" hidden="false" customHeight="false" outlineLevel="0" collapsed="false">
      <c r="M427" s="0" t="n">
        <f aca="false">3_Returns!B427/3_Returns!B426-1</f>
        <v>0.026106696935301</v>
      </c>
      <c r="N427" s="0" t="n">
        <f aca="false">3_Returns!C427/3_Returns!C426-1</f>
        <v>-0.00429564980226371</v>
      </c>
      <c r="O427" s="0" t="n">
        <f aca="false">3_Returns!D427/3_Returns!D426-1</f>
        <v>0.00863362618910668</v>
      </c>
      <c r="P427" s="0" t="n">
        <f aca="false">MAX(3_Returns!$B$31:B427)</f>
        <v>69.88</v>
      </c>
      <c r="Q427" s="0" t="n">
        <f aca="false">3_Returns!B427/P427-1</f>
        <v>-0.353176874642244</v>
      </c>
      <c r="R427" s="0" t="n">
        <f aca="false">LN(3_Returns!B427/3_Returns!B426)</f>
        <v>0.0257717344559972</v>
      </c>
      <c r="S427" s="0" t="n">
        <f aca="false">M427-O427</f>
        <v>0.0174730707461943</v>
      </c>
      <c r="T427" s="0" t="n">
        <f aca="false">IF(M427&gt;O427,1,0)</f>
        <v>1</v>
      </c>
    </row>
    <row r="428" customFormat="false" ht="15" hidden="false" customHeight="false" outlineLevel="0" collapsed="false">
      <c r="M428" s="0" t="n">
        <f aca="false">3_Returns!B428/3_Returns!B427-1</f>
        <v>-0.0221238938053098</v>
      </c>
      <c r="N428" s="0" t="n">
        <f aca="false">3_Returns!C428/3_Returns!C427-1</f>
        <v>-0.0119153598575635</v>
      </c>
      <c r="O428" s="0" t="n">
        <f aca="false">3_Returns!D428/3_Returns!D427-1</f>
        <v>-0.0134556775356381</v>
      </c>
      <c r="P428" s="0" t="n">
        <f aca="false">MAX(3_Returns!$B$31:B428)</f>
        <v>69.88</v>
      </c>
      <c r="Q428" s="0" t="n">
        <f aca="false">3_Returns!B428/P428-1</f>
        <v>-0.367487120778477</v>
      </c>
      <c r="R428" s="0" t="n">
        <f aca="false">LN(3_Returns!B428/3_Returns!B427)</f>
        <v>-0.0223722977545331</v>
      </c>
      <c r="S428" s="0" t="n">
        <f aca="false">M428-O428</f>
        <v>-0.00866821626967163</v>
      </c>
      <c r="T428" s="0" t="n">
        <f aca="false">IF(M428&gt;O428,1,0)</f>
        <v>0</v>
      </c>
    </row>
    <row r="429" customFormat="false" ht="15" hidden="false" customHeight="false" outlineLevel="0" collapsed="false">
      <c r="M429" s="0" t="n">
        <f aca="false">3_Returns!B429/3_Returns!B428-1</f>
        <v>-0.00678733031674217</v>
      </c>
      <c r="N429" s="0" t="n">
        <f aca="false">3_Returns!C429/3_Returns!C428-1</f>
        <v>-0.00041582923279504</v>
      </c>
      <c r="O429" s="0" t="n">
        <f aca="false">3_Returns!D429/3_Returns!D428-1</f>
        <v>0.00242821647333935</v>
      </c>
      <c r="P429" s="0" t="n">
        <f aca="false">MAX(3_Returns!$B$31:B429)</f>
        <v>69.88</v>
      </c>
      <c r="Q429" s="0" t="n">
        <f aca="false">3_Returns!B429/P429-1</f>
        <v>-0.371780194619347</v>
      </c>
      <c r="R429" s="0" t="n">
        <f aca="false">LN(3_Returns!B429/3_Returns!B428)</f>
        <v>-0.00681046900252686</v>
      </c>
      <c r="S429" s="0" t="n">
        <f aca="false">M429-O429</f>
        <v>-0.00921554679008152</v>
      </c>
      <c r="T429" s="0" t="n">
        <f aca="false">IF(M429&gt;O429,1,0)</f>
        <v>0</v>
      </c>
    </row>
    <row r="430" customFormat="false" ht="15" hidden="false" customHeight="false" outlineLevel="0" collapsed="false">
      <c r="M430" s="0" t="n">
        <f aca="false">3_Returns!B430/3_Returns!B429-1</f>
        <v>-0.0013667425968108</v>
      </c>
      <c r="N430" s="0" t="n">
        <f aca="false">3_Returns!C430/3_Returns!C429-1</f>
        <v>-0.009984053248284</v>
      </c>
      <c r="O430" s="0" t="n">
        <f aca="false">3_Returns!D430/3_Returns!D429-1</f>
        <v>-0.0050302377599204</v>
      </c>
      <c r="P430" s="0" t="n">
        <f aca="false">MAX(3_Returns!$B$31:B430)</f>
        <v>69.88</v>
      </c>
      <c r="Q430" s="0" t="n">
        <f aca="false">3_Returns!B430/P430-1</f>
        <v>-0.372638809387521</v>
      </c>
      <c r="R430" s="0" t="n">
        <f aca="false">LN(3_Returns!B430/3_Returns!B429)</f>
        <v>-0.00136767744136544</v>
      </c>
      <c r="S430" s="0" t="n">
        <f aca="false">M430-O430</f>
        <v>0.0036634951631096</v>
      </c>
      <c r="T430" s="0" t="n">
        <f aca="false">IF(M430&gt;O430,1,0)</f>
        <v>1</v>
      </c>
    </row>
    <row r="431" customFormat="false" ht="15" hidden="false" customHeight="false" outlineLevel="0" collapsed="false">
      <c r="M431" s="0" t="n">
        <f aca="false">3_Returns!B431/3_Returns!B430-1</f>
        <v>0.00912408759124084</v>
      </c>
      <c r="N431" s="0" t="n">
        <f aca="false">3_Returns!C431/3_Returns!C430-1</f>
        <v>0.0159675047272219</v>
      </c>
      <c r="O431" s="0" t="n">
        <f aca="false">3_Returns!D431/3_Returns!D430-1</f>
        <v>-0.00340042030660404</v>
      </c>
      <c r="P431" s="0" t="n">
        <f aca="false">MAX(3_Returns!$B$31:B431)</f>
        <v>69.88</v>
      </c>
      <c r="Q431" s="0" t="n">
        <f aca="false">3_Returns!B431/P431-1</f>
        <v>-0.366914710933028</v>
      </c>
      <c r="R431" s="0" t="n">
        <f aca="false">LN(3_Returns!B431/3_Returns!B430)</f>
        <v>0.00908271457431923</v>
      </c>
      <c r="S431" s="0" t="n">
        <f aca="false">M431-O431</f>
        <v>0.0125245078978449</v>
      </c>
      <c r="T431" s="0" t="n">
        <f aca="false">IF(M431&gt;O431,1,0)</f>
        <v>1</v>
      </c>
    </row>
    <row r="432" customFormat="false" ht="15" hidden="false" customHeight="false" outlineLevel="0" collapsed="false">
      <c r="M432" s="0" t="n">
        <f aca="false">3_Returns!B432/3_Returns!B431-1</f>
        <v>-0.0162748643761301</v>
      </c>
      <c r="N432" s="0" t="n">
        <f aca="false">3_Returns!C432/3_Returns!C431-1</f>
        <v>-0.0299165919900738</v>
      </c>
      <c r="O432" s="0" t="n">
        <f aca="false">3_Returns!D432/3_Returns!D431-1</f>
        <v>-0.0172338889705784</v>
      </c>
      <c r="P432" s="0" t="n">
        <f aca="false">MAX(3_Returns!$B$31:B432)</f>
        <v>69.88</v>
      </c>
      <c r="Q432" s="0" t="n">
        <f aca="false">3_Returns!B432/P432-1</f>
        <v>-0.377218088151116</v>
      </c>
      <c r="R432" s="0" t="n">
        <f aca="false">LN(3_Returns!B432/3_Returns!B431)</f>
        <v>-0.0164087546663921</v>
      </c>
      <c r="S432" s="0" t="n">
        <f aca="false">M432-O432</f>
        <v>0.000959024594448299</v>
      </c>
      <c r="T432" s="0" t="n">
        <f aca="false">IF(M432&gt;O432,1,0)</f>
        <v>1</v>
      </c>
    </row>
    <row r="433" customFormat="false" ht="15" hidden="false" customHeight="false" outlineLevel="0" collapsed="false">
      <c r="M433" s="0" t="n">
        <f aca="false">3_Returns!B433/3_Returns!B432-1</f>
        <v>0.00321691176470562</v>
      </c>
      <c r="N433" s="0" t="n">
        <f aca="false">3_Returns!C433/3_Returns!C432-1</f>
        <v>-0.00241597385063597</v>
      </c>
      <c r="O433" s="0" t="n">
        <f aca="false">3_Returns!D433/3_Returns!D432-1</f>
        <v>-0.00865923782385014</v>
      </c>
      <c r="P433" s="0" t="n">
        <f aca="false">MAX(3_Returns!$B$31:B433)</f>
        <v>69.88</v>
      </c>
      <c r="Q433" s="0" t="n">
        <f aca="false">3_Returns!B433/P433-1</f>
        <v>-0.375214653692044</v>
      </c>
      <c r="R433" s="0" t="n">
        <f aca="false">LN(3_Returns!B433/3_Returns!B432)</f>
        <v>0.00321174857411039</v>
      </c>
      <c r="S433" s="0" t="n">
        <f aca="false">M433-O433</f>
        <v>0.0118761495885558</v>
      </c>
      <c r="T433" s="0" t="n">
        <f aca="false">IF(M433&gt;O433,1,0)</f>
        <v>1</v>
      </c>
    </row>
    <row r="434" customFormat="false" ht="15" hidden="false" customHeight="false" outlineLevel="0" collapsed="false">
      <c r="M434" s="0" t="n">
        <f aca="false">3_Returns!B434/3_Returns!B433-1</f>
        <v>0.00183234081539174</v>
      </c>
      <c r="N434" s="0" t="n">
        <f aca="false">3_Returns!C434/3_Returns!C433-1</f>
        <v>0.00334781679606833</v>
      </c>
      <c r="O434" s="0" t="n">
        <f aca="false">3_Returns!D434/3_Returns!D433-1</f>
        <v>0.000111479852160645</v>
      </c>
      <c r="P434" s="0" t="n">
        <f aca="false">MAX(3_Returns!$B$31:B434)</f>
        <v>69.88</v>
      </c>
      <c r="Q434" s="0" t="n">
        <f aca="false">3_Returns!B434/P434-1</f>
        <v>-0.374069834001145</v>
      </c>
      <c r="R434" s="0" t="n">
        <f aca="false">LN(3_Returns!B434/3_Returns!B433)</f>
        <v>0.00183066412682402</v>
      </c>
      <c r="S434" s="0" t="n">
        <f aca="false">M434-O434</f>
        <v>0.0017208609632311</v>
      </c>
      <c r="T434" s="0" t="n">
        <f aca="false">IF(M434&gt;O434,1,0)</f>
        <v>1</v>
      </c>
    </row>
    <row r="435" customFormat="false" ht="15" hidden="false" customHeight="false" outlineLevel="0" collapsed="false">
      <c r="M435" s="0" t="n">
        <f aca="false">3_Returns!B435/3_Returns!B434-1</f>
        <v>0.0269775948788293</v>
      </c>
      <c r="N435" s="0" t="n">
        <f aca="false">3_Returns!C435/3_Returns!C434-1</f>
        <v>0.00106488712196495</v>
      </c>
      <c r="O435" s="0" t="n">
        <f aca="false">3_Returns!D435/3_Returns!D434-1</f>
        <v>0.00927237494212263</v>
      </c>
      <c r="P435" s="0" t="n">
        <f aca="false">MAX(3_Returns!$B$31:B435)</f>
        <v>69.88</v>
      </c>
      <c r="Q435" s="0" t="n">
        <f aca="false">3_Returns!B435/P435-1</f>
        <v>-0.357183743560389</v>
      </c>
      <c r="R435" s="0" t="n">
        <f aca="false">LN(3_Returns!B435/3_Returns!B434)</f>
        <v>0.0266201146216205</v>
      </c>
      <c r="S435" s="0" t="n">
        <f aca="false">M435-O435</f>
        <v>0.0177052199367067</v>
      </c>
      <c r="T435" s="0" t="n">
        <f aca="false">IF(M435&gt;O435,1,0)</f>
        <v>1</v>
      </c>
    </row>
    <row r="436" customFormat="false" ht="15" hidden="false" customHeight="false" outlineLevel="0" collapsed="false">
      <c r="M436" s="0" t="n">
        <f aca="false">3_Returns!B436/3_Returns!B435-1</f>
        <v>0.0282724844167408</v>
      </c>
      <c r="N436" s="0" t="n">
        <f aca="false">3_Returns!C436/3_Returns!C435-1</f>
        <v>0.00872278561804141</v>
      </c>
      <c r="O436" s="0" t="n">
        <f aca="false">3_Returns!D436/3_Returns!D435-1</f>
        <v>0.0102950196844038</v>
      </c>
      <c r="P436" s="0" t="n">
        <f aca="false">MAX(3_Returns!$B$31:B436)</f>
        <v>69.88</v>
      </c>
      <c r="Q436" s="0" t="n">
        <f aca="false">3_Returns!B436/P436-1</f>
        <v>-0.339009730967373</v>
      </c>
      <c r="R436" s="0" t="n">
        <f aca="false">LN(3_Returns!B436/3_Returns!B435)</f>
        <v>0.0278801945722715</v>
      </c>
      <c r="S436" s="0" t="n">
        <f aca="false">M436-O436</f>
        <v>0.017977464732337</v>
      </c>
      <c r="T436" s="0" t="n">
        <f aca="false">IF(M436&gt;O436,1,0)</f>
        <v>1</v>
      </c>
    </row>
    <row r="437" customFormat="false" ht="15" hidden="false" customHeight="false" outlineLevel="0" collapsed="false">
      <c r="M437" s="0" t="n">
        <f aca="false">3_Returns!B437/3_Returns!B436-1</f>
        <v>-0.00173197661831559</v>
      </c>
      <c r="N437" s="0" t="n">
        <f aca="false">3_Returns!C437/3_Returns!C436-1</f>
        <v>0.00808492688413942</v>
      </c>
      <c r="O437" s="0" t="n">
        <f aca="false">3_Returns!D437/3_Returns!D436-1</f>
        <v>-0.00049108974833334</v>
      </c>
      <c r="P437" s="0" t="n">
        <f aca="false">MAX(3_Returns!$B$31:B437)</f>
        <v>69.88</v>
      </c>
      <c r="Q437" s="0" t="n">
        <f aca="false">3_Returns!B437/P437-1</f>
        <v>-0.340154550658271</v>
      </c>
      <c r="R437" s="0" t="n">
        <f aca="false">LN(3_Returns!B437/3_Returns!B436)</f>
        <v>-0.00173347822389977</v>
      </c>
      <c r="S437" s="0" t="n">
        <f aca="false">M437-O437</f>
        <v>-0.00124088686998225</v>
      </c>
      <c r="T437" s="0" t="n">
        <f aca="false">IF(M437&gt;O437,1,0)</f>
        <v>0</v>
      </c>
    </row>
    <row r="438" customFormat="false" ht="15" hidden="false" customHeight="false" outlineLevel="0" collapsed="false">
      <c r="M438" s="0" t="n">
        <f aca="false">3_Returns!B438/3_Returns!B437-1</f>
        <v>0.0164823248752981</v>
      </c>
      <c r="N438" s="0" t="n">
        <f aca="false">3_Returns!C438/3_Returns!C437-1</f>
        <v>0.000418439221703038</v>
      </c>
      <c r="O438" s="0" t="n">
        <f aca="false">3_Returns!D438/3_Returns!D437-1</f>
        <v>-0.00159177794529397</v>
      </c>
      <c r="P438" s="0" t="n">
        <f aca="false">MAX(3_Returns!$B$31:B438)</f>
        <v>69.88</v>
      </c>
      <c r="Q438" s="0" t="n">
        <f aca="false">3_Returns!B438/P438-1</f>
        <v>-0.329278763594734</v>
      </c>
      <c r="R438" s="0" t="n">
        <f aca="false">LN(3_Returns!B438/3_Returns!B437)</f>
        <v>0.0163479657160005</v>
      </c>
      <c r="S438" s="0" t="n">
        <f aca="false">M438-O438</f>
        <v>0.0180741028205921</v>
      </c>
      <c r="T438" s="0" t="n">
        <f aca="false">IF(M438&gt;O438,1,0)</f>
        <v>1</v>
      </c>
    </row>
    <row r="439" customFormat="false" ht="15" hidden="false" customHeight="false" outlineLevel="0" collapsed="false">
      <c r="M439" s="0" t="n">
        <f aca="false">3_Returns!B439/3_Returns!B438-1</f>
        <v>-0.00746746319607416</v>
      </c>
      <c r="N439" s="0" t="n">
        <f aca="false">3_Returns!C439/3_Returns!C438-1</f>
        <v>-0.00160334611362833</v>
      </c>
      <c r="O439" s="0" t="n">
        <f aca="false">3_Returns!D439/3_Returns!D438-1</f>
        <v>-0.00805415954617617</v>
      </c>
      <c r="P439" s="0" t="n">
        <f aca="false">MAX(3_Returns!$B$31:B439)</f>
        <v>69.88</v>
      </c>
      <c r="Q439" s="0" t="n">
        <f aca="false">3_Returns!B439/P439-1</f>
        <v>-0.334287349742416</v>
      </c>
      <c r="R439" s="0" t="n">
        <f aca="false">LN(3_Returns!B439/3_Returns!B438)</f>
        <v>-0.007495484284151</v>
      </c>
      <c r="S439" s="0" t="n">
        <f aca="false">M439-O439</f>
        <v>0.000586696350102001</v>
      </c>
      <c r="T439" s="0" t="n">
        <f aca="false">IF(M439&gt;O439,1,0)</f>
        <v>1</v>
      </c>
    </row>
    <row r="440" customFormat="false" ht="15" hidden="false" customHeight="false" outlineLevel="0" collapsed="false">
      <c r="M440" s="0" t="n">
        <f aca="false">3_Returns!B440/3_Returns!B439-1</f>
        <v>0.00644883920894235</v>
      </c>
      <c r="N440" s="0" t="n">
        <f aca="false">3_Returns!C440/3_Returns!C439-1</f>
        <v>0.00970534841502602</v>
      </c>
      <c r="O440" s="0" t="n">
        <f aca="false">3_Returns!D440/3_Returns!D439-1</f>
        <v>0.00437324471311418</v>
      </c>
      <c r="P440" s="0" t="n">
        <f aca="false">MAX(3_Returns!$B$31:B440)</f>
        <v>69.88</v>
      </c>
      <c r="Q440" s="0" t="n">
        <f aca="false">3_Returns!B440/P440-1</f>
        <v>-0.329994275901546</v>
      </c>
      <c r="R440" s="0" t="n">
        <f aca="false">LN(3_Returns!B440/3_Returns!B439)</f>
        <v>0.00642813441230099</v>
      </c>
      <c r="S440" s="0" t="n">
        <f aca="false">M440-O440</f>
        <v>0.00207559449582817</v>
      </c>
      <c r="T440" s="0" t="n">
        <f aca="false">IF(M440&gt;O440,1,0)</f>
        <v>1</v>
      </c>
    </row>
    <row r="441" customFormat="false" ht="15" hidden="false" customHeight="false" outlineLevel="0" collapsed="false">
      <c r="M441" s="0" t="n">
        <f aca="false">3_Returns!B441/3_Returns!B440-1</f>
        <v>-0.0138829560017086</v>
      </c>
      <c r="N441" s="0" t="n">
        <f aca="false">3_Returns!C441/3_Returns!C440-1</f>
        <v>-0.0206071502662334</v>
      </c>
      <c r="O441" s="0" t="n">
        <f aca="false">3_Returns!D441/3_Returns!D440-1</f>
        <v>-0.00217879296899448</v>
      </c>
      <c r="P441" s="0" t="n">
        <f aca="false">MAX(3_Returns!$B$31:B441)</f>
        <v>69.88</v>
      </c>
      <c r="Q441" s="0" t="n">
        <f aca="false">3_Returns!B441/P441-1</f>
        <v>-0.339295935890097</v>
      </c>
      <c r="R441" s="0" t="n">
        <f aca="false">LN(3_Returns!B441/3_Returns!B440)</f>
        <v>-0.0139802255438671</v>
      </c>
      <c r="S441" s="0" t="n">
        <f aca="false">M441-O441</f>
        <v>-0.0117041630327142</v>
      </c>
      <c r="T441" s="0" t="n">
        <f aca="false">IF(M441&gt;O441,1,0)</f>
        <v>0</v>
      </c>
    </row>
    <row r="442" customFormat="false" ht="15" hidden="false" customHeight="false" outlineLevel="0" collapsed="false">
      <c r="M442" s="0" t="n">
        <f aca="false">3_Returns!B442/3_Returns!B441-1</f>
        <v>0.00433181719731413</v>
      </c>
      <c r="N442" s="0" t="n">
        <f aca="false">3_Returns!C442/3_Returns!C441-1</f>
        <v>0.0185695121090164</v>
      </c>
      <c r="O442" s="0" t="n">
        <f aca="false">3_Returns!D442/3_Returns!D441-1</f>
        <v>0.00642519898620875</v>
      </c>
      <c r="P442" s="0" t="n">
        <f aca="false">MAX(3_Returns!$B$31:B442)</f>
        <v>69.88</v>
      </c>
      <c r="Q442" s="0" t="n">
        <f aca="false">3_Returns!B442/P442-1</f>
        <v>-0.336433886662851</v>
      </c>
      <c r="R442" s="0" t="n">
        <f aca="false">LN(3_Returns!B442/3_Returns!B441)</f>
        <v>0.00432246188447177</v>
      </c>
      <c r="S442" s="0" t="n">
        <f aca="false">M442-O442</f>
        <v>-0.00209338178889462</v>
      </c>
      <c r="T442" s="0" t="n">
        <f aca="false">IF(M442&gt;O442,1,0)</f>
        <v>0</v>
      </c>
    </row>
    <row r="443" customFormat="false" ht="15" hidden="false" customHeight="false" outlineLevel="0" collapsed="false">
      <c r="M443" s="0" t="n">
        <f aca="false">3_Returns!B443/3_Returns!B442-1</f>
        <v>0.0314858744878155</v>
      </c>
      <c r="N443" s="0" t="n">
        <f aca="false">3_Returns!C443/3_Returns!C442-1</f>
        <v>0.0341744073201165</v>
      </c>
      <c r="O443" s="0" t="n">
        <f aca="false">3_Returns!D443/3_Returns!D442-1</f>
        <v>0.017971717580076</v>
      </c>
      <c r="P443" s="0" t="n">
        <f aca="false">MAX(3_Returns!$B$31:B443)</f>
        <v>69.88</v>
      </c>
      <c r="Q443" s="0" t="n">
        <f aca="false">3_Returns!B443/P443-1</f>
        <v>-0.31554092730395</v>
      </c>
      <c r="R443" s="0" t="n">
        <f aca="false">LN(3_Returns!B443/3_Returns!B442)</f>
        <v>0.0310003592888361</v>
      </c>
      <c r="S443" s="0" t="n">
        <f aca="false">M443-O443</f>
        <v>0.0135141569077395</v>
      </c>
      <c r="T443" s="0" t="n">
        <f aca="false">IF(M443&gt;O443,1,0)</f>
        <v>1</v>
      </c>
    </row>
    <row r="444" customFormat="false" ht="15" hidden="false" customHeight="false" outlineLevel="0" collapsed="false">
      <c r="M444" s="0" t="n">
        <f aca="false">3_Returns!B444/3_Returns!B443-1</f>
        <v>-0.0163077566380933</v>
      </c>
      <c r="N444" s="0" t="n">
        <f aca="false">3_Returns!C444/3_Returns!C443-1</f>
        <v>0.00938400697097674</v>
      </c>
      <c r="O444" s="0" t="n">
        <f aca="false">3_Returns!D444/3_Returns!D443-1</f>
        <v>-8.27370748146539E-006</v>
      </c>
      <c r="P444" s="0" t="n">
        <f aca="false">MAX(3_Returns!$B$31:B444)</f>
        <v>69.88</v>
      </c>
      <c r="Q444" s="0" t="n">
        <f aca="false">3_Returns!B444/P444-1</f>
        <v>-0.326702919290212</v>
      </c>
      <c r="R444" s="0" t="n">
        <f aca="false">LN(3_Returns!B444/3_Returns!B443)</f>
        <v>-0.0164421916608169</v>
      </c>
      <c r="S444" s="0" t="n">
        <f aca="false">M444-O444</f>
        <v>-0.0162994829306118</v>
      </c>
      <c r="T444" s="0" t="n">
        <f aca="false">IF(M444&gt;O444,1,0)</f>
        <v>0</v>
      </c>
    </row>
    <row r="445" customFormat="false" ht="15" hidden="false" customHeight="false" outlineLevel="0" collapsed="false">
      <c r="M445" s="0" t="n">
        <f aca="false">3_Returns!B445/3_Returns!B444-1</f>
        <v>-0.00935175345377248</v>
      </c>
      <c r="N445" s="0" t="n">
        <f aca="false">3_Returns!C445/3_Returns!C444-1</f>
        <v>-0.000664054718108709</v>
      </c>
      <c r="O445" s="0" t="n">
        <f aca="false">3_Returns!D445/3_Returns!D444-1</f>
        <v>-0.0147753090669001</v>
      </c>
      <c r="P445" s="0" t="n">
        <f aca="false">MAX(3_Returns!$B$31:B445)</f>
        <v>69.88</v>
      </c>
      <c r="Q445" s="0" t="n">
        <f aca="false">3_Returns!B445/P445-1</f>
        <v>-0.332999427590155</v>
      </c>
      <c r="R445" s="0" t="n">
        <f aca="false">LN(3_Returns!B445/3_Returns!B444)</f>
        <v>-0.00939575564673896</v>
      </c>
      <c r="S445" s="0" t="n">
        <f aca="false">M445-O445</f>
        <v>0.00542355561312757</v>
      </c>
      <c r="T445" s="0" t="n">
        <f aca="false">IF(M445&gt;O445,1,0)</f>
        <v>1</v>
      </c>
    </row>
    <row r="446" customFormat="false" ht="15" hidden="false" customHeight="false" outlineLevel="0" collapsed="false">
      <c r="M446" s="0" t="n">
        <f aca="false">3_Returns!B446/3_Returns!B445-1</f>
        <v>-0.00557820210255311</v>
      </c>
      <c r="N446" s="0" t="n">
        <f aca="false">3_Returns!C446/3_Returns!C445-1</f>
        <v>-0.0190710346202406</v>
      </c>
      <c r="O446" s="0" t="n">
        <f aca="false">3_Returns!D446/3_Returns!D445-1</f>
        <v>-0.00835922672533962</v>
      </c>
      <c r="P446" s="0" t="n">
        <f aca="false">MAX(3_Returns!$B$31:B446)</f>
        <v>69.88</v>
      </c>
      <c r="Q446" s="0" t="n">
        <f aca="false">3_Returns!B446/P446-1</f>
        <v>-0.336720091585575</v>
      </c>
      <c r="R446" s="0" t="n">
        <f aca="false">LN(3_Returns!B446/3_Returns!B445)</f>
        <v>-0.00559381837278543</v>
      </c>
      <c r="S446" s="0" t="n">
        <f aca="false">M446-O446</f>
        <v>0.00278102462278651</v>
      </c>
      <c r="T446" s="0" t="n">
        <f aca="false">IF(M446&gt;O446,1,0)</f>
        <v>1</v>
      </c>
    </row>
    <row r="447" customFormat="false" ht="15" hidden="false" customHeight="false" outlineLevel="0" collapsed="false">
      <c r="M447" s="0" t="n">
        <f aca="false">3_Returns!B447/3_Returns!B446-1</f>
        <v>-0.013376483279396</v>
      </c>
      <c r="N447" s="0" t="n">
        <f aca="false">3_Returns!C447/3_Returns!C446-1</f>
        <v>-0.011041864246037</v>
      </c>
      <c r="O447" s="0" t="n">
        <f aca="false">3_Returns!D447/3_Returns!D446-1</f>
        <v>-0.0143780709435599</v>
      </c>
      <c r="P447" s="0" t="n">
        <f aca="false">MAX(3_Returns!$B$31:B447)</f>
        <v>69.88</v>
      </c>
      <c r="Q447" s="0" t="n">
        <f aca="false">3_Returns!B447/P447-1</f>
        <v>-0.34559244419004</v>
      </c>
      <c r="R447" s="0" t="n">
        <f aca="false">LN(3_Returns!B447/3_Returns!B446)</f>
        <v>-0.0134667543419004</v>
      </c>
      <c r="S447" s="0" t="n">
        <f aca="false">M447-O447</f>
        <v>0.00100158766416392</v>
      </c>
      <c r="T447" s="0" t="n">
        <f aca="false">IF(M447&gt;O447,1,0)</f>
        <v>1</v>
      </c>
    </row>
    <row r="448" customFormat="false" ht="15" hidden="false" customHeight="false" outlineLevel="0" collapsed="false">
      <c r="M448" s="0" t="n">
        <f aca="false">3_Returns!B448/3_Returns!B447-1</f>
        <v>-0.0417668926306581</v>
      </c>
      <c r="N448" s="0" t="n">
        <f aca="false">3_Returns!C448/3_Returns!C447-1</f>
        <v>-0.0158230015754504</v>
      </c>
      <c r="O448" s="0" t="n">
        <f aca="false">3_Returns!D448/3_Returns!D447-1</f>
        <v>-0.0117489569084622</v>
      </c>
      <c r="P448" s="0" t="n">
        <f aca="false">MAX(3_Returns!$B$31:B448)</f>
        <v>69.88</v>
      </c>
      <c r="Q448" s="0" t="n">
        <f aca="false">3_Returns!B448/P448-1</f>
        <v>-0.372925014310246</v>
      </c>
      <c r="R448" s="0" t="n">
        <f aca="false">LN(3_Returns!B448/3_Returns!B447)</f>
        <v>-0.0426642035026433</v>
      </c>
      <c r="S448" s="0" t="n">
        <f aca="false">M448-O448</f>
        <v>-0.0300179357221959</v>
      </c>
      <c r="T448" s="0" t="n">
        <f aca="false">IF(M448&gt;O448,1,0)</f>
        <v>0</v>
      </c>
    </row>
    <row r="449" customFormat="false" ht="15" hidden="false" customHeight="false" outlineLevel="0" collapsed="false">
      <c r="M449" s="0" t="n">
        <f aca="false">3_Returns!B449/3_Returns!B448-1</f>
        <v>0.0150616157005932</v>
      </c>
      <c r="N449" s="0" t="n">
        <f aca="false">3_Returns!C449/3_Returns!C448-1</f>
        <v>0.00396714922049002</v>
      </c>
      <c r="O449" s="0" t="n">
        <f aca="false">3_Returns!D449/3_Returns!D448-1</f>
        <v>0.0134744829912692</v>
      </c>
      <c r="P449" s="0" t="n">
        <f aca="false">MAX(3_Returns!$B$31:B449)</f>
        <v>69.88</v>
      </c>
      <c r="Q449" s="0" t="n">
        <f aca="false">3_Returns!B449/P449-1</f>
        <v>-0.363480251860332</v>
      </c>
      <c r="R449" s="0" t="n">
        <f aca="false">LN(3_Returns!B449/3_Returns!B448)</f>
        <v>0.0149493157750063</v>
      </c>
      <c r="S449" s="0" t="n">
        <f aca="false">M449-O449</f>
        <v>0.00158713270932398</v>
      </c>
      <c r="T449" s="0" t="n">
        <f aca="false">IF(M449&gt;O449,1,0)</f>
        <v>1</v>
      </c>
    </row>
    <row r="450" customFormat="false" ht="15" hidden="false" customHeight="false" outlineLevel="0" collapsed="false">
      <c r="M450" s="0" t="n">
        <f aca="false">3_Returns!B450/3_Returns!B449-1</f>
        <v>0.0114658273381296</v>
      </c>
      <c r="N450" s="0" t="n">
        <f aca="false">3_Returns!C450/3_Returns!C449-1</f>
        <v>0.0110918544194107</v>
      </c>
      <c r="O450" s="0" t="n">
        <f aca="false">3_Returns!D450/3_Returns!D449-1</f>
        <v>0.00260107474486837</v>
      </c>
      <c r="P450" s="0" t="n">
        <f aca="false">MAX(3_Returns!$B$31:B450)</f>
        <v>69.88</v>
      </c>
      <c r="Q450" s="0" t="n">
        <f aca="false">3_Returns!B450/P450-1</f>
        <v>-0.356182026330853</v>
      </c>
      <c r="R450" s="0" t="n">
        <f aca="false">LN(3_Returns!B450/3_Returns!B449)</f>
        <v>0.0114005929107541</v>
      </c>
      <c r="S450" s="0" t="n">
        <f aca="false">M450-O450</f>
        <v>0.00886475259326125</v>
      </c>
      <c r="T450" s="0" t="n">
        <f aca="false">IF(M450&gt;O450,1,0)</f>
        <v>1</v>
      </c>
    </row>
    <row r="451" customFormat="false" ht="15" hidden="false" customHeight="false" outlineLevel="0" collapsed="false">
      <c r="M451" s="0" t="n">
        <f aca="false">3_Returns!B451/3_Returns!B450-1</f>
        <v>-0.0273394087575017</v>
      </c>
      <c r="N451" s="0" t="n">
        <f aca="false">3_Returns!C451/3_Returns!C450-1</f>
        <v>-0.0180322248885841</v>
      </c>
      <c r="O451" s="0" t="n">
        <f aca="false">3_Returns!D451/3_Returns!D450-1</f>
        <v>-0.0150046547286568</v>
      </c>
      <c r="P451" s="0" t="n">
        <f aca="false">MAX(3_Returns!$B$31:B451)</f>
        <v>69.88</v>
      </c>
      <c r="Q451" s="0" t="n">
        <f aca="false">3_Returns!B451/P451-1</f>
        <v>-0.37378362907842</v>
      </c>
      <c r="R451" s="0" t="n">
        <f aca="false">LN(3_Returns!B451/3_Returns!B450)</f>
        <v>-0.0277200847393552</v>
      </c>
      <c r="S451" s="0" t="n">
        <f aca="false">M451-O451</f>
        <v>-0.012334754028845</v>
      </c>
      <c r="T451" s="0" t="n">
        <f aca="false">IF(M451&gt;O451,1,0)</f>
        <v>0</v>
      </c>
    </row>
    <row r="452" customFormat="false" ht="15" hidden="false" customHeight="false" outlineLevel="0" collapsed="false">
      <c r="M452" s="0" t="n">
        <f aca="false">3_Returns!B452/3_Returns!B451-1</f>
        <v>0.00959780621572226</v>
      </c>
      <c r="N452" s="0" t="n">
        <f aca="false">3_Returns!C452/3_Returns!C451-1</f>
        <v>0.00370060047479392</v>
      </c>
      <c r="O452" s="0" t="n">
        <f aca="false">3_Returns!D452/3_Returns!D451-1</f>
        <v>0.00690602935453377</v>
      </c>
      <c r="P452" s="0" t="n">
        <f aca="false">MAX(3_Returns!$B$31:B452)</f>
        <v>69.88</v>
      </c>
      <c r="Q452" s="0" t="n">
        <f aca="false">3_Returns!B452/P452-1</f>
        <v>-0.367773325701202</v>
      </c>
      <c r="R452" s="0" t="n">
        <f aca="false">LN(3_Returns!B452/3_Returns!B451)</f>
        <v>0.00955203987824549</v>
      </c>
      <c r="S452" s="0" t="n">
        <f aca="false">M452-O452</f>
        <v>0.00269177686118849</v>
      </c>
      <c r="T452" s="0" t="n">
        <f aca="false">IF(M452&gt;O452,1,0)</f>
        <v>1</v>
      </c>
    </row>
    <row r="453" customFormat="false" ht="15" hidden="false" customHeight="false" outlineLevel="0" collapsed="false">
      <c r="M453" s="0" t="n">
        <f aca="false">3_Returns!B453/3_Returns!B452-1</f>
        <v>-0.0142598460842011</v>
      </c>
      <c r="N453" s="0" t="n">
        <f aca="false">3_Returns!C453/3_Returns!C452-1</f>
        <v>-0.00876521739130431</v>
      </c>
      <c r="O453" s="0" t="n">
        <f aca="false">3_Returns!D453/3_Returns!D452-1</f>
        <v>0.0130202447033003</v>
      </c>
      <c r="P453" s="0" t="n">
        <f aca="false">MAX(3_Returns!$B$31:B453)</f>
        <v>69.88</v>
      </c>
      <c r="Q453" s="0" t="n">
        <f aca="false">3_Returns!B453/P453-1</f>
        <v>-0.376788780767029</v>
      </c>
      <c r="R453" s="0" t="n">
        <f aca="false">LN(3_Returns!B453/3_Returns!B452)</f>
        <v>-0.0143624946934594</v>
      </c>
      <c r="S453" s="0" t="n">
        <f aca="false">M453-O453</f>
        <v>-0.0272800907875014</v>
      </c>
      <c r="T453" s="0" t="n">
        <f aca="false">IF(M453&gt;O453,1,0)</f>
        <v>0</v>
      </c>
    </row>
    <row r="454" customFormat="false" ht="15" hidden="false" customHeight="false" outlineLevel="0" collapsed="false">
      <c r="M454" s="0" t="n">
        <f aca="false">3_Returns!B454/3_Returns!B453-1</f>
        <v>0.00482204362801375</v>
      </c>
      <c r="N454" s="0" t="n">
        <f aca="false">3_Returns!C454/3_Returns!C453-1</f>
        <v>-0.00371955926731704</v>
      </c>
      <c r="O454" s="0" t="n">
        <f aca="false">3_Returns!D454/3_Returns!D453-1</f>
        <v>-0.00330945912571012</v>
      </c>
      <c r="P454" s="0" t="n">
        <f aca="false">MAX(3_Returns!$B$31:B454)</f>
        <v>69.88</v>
      </c>
      <c r="Q454" s="0" t="n">
        <f aca="false">3_Returns!B454/P454-1</f>
        <v>-0.37378362907842</v>
      </c>
      <c r="R454" s="0" t="n">
        <f aca="false">LN(3_Returns!B454/3_Returns!B453)</f>
        <v>0.00481045481521394</v>
      </c>
      <c r="S454" s="0" t="n">
        <f aca="false">M454-O454</f>
        <v>0.00813150275372387</v>
      </c>
      <c r="T454" s="0" t="n">
        <f aca="false">IF(M454&gt;O454,1,0)</f>
        <v>1</v>
      </c>
    </row>
    <row r="455" customFormat="false" ht="15" hidden="false" customHeight="false" outlineLevel="0" collapsed="false">
      <c r="M455" s="0" t="n">
        <f aca="false">3_Returns!B455/3_Returns!B454-1</f>
        <v>-0.0159963436928701</v>
      </c>
      <c r="N455" s="0" t="n">
        <f aca="false">3_Returns!C455/3_Returns!C454-1</f>
        <v>-0.00359256128486907</v>
      </c>
      <c r="O455" s="0" t="n">
        <f aca="false">3_Returns!D455/3_Returns!D454-1</f>
        <v>-0.00649563710562207</v>
      </c>
      <c r="P455" s="0" t="n">
        <f aca="false">MAX(3_Returns!$B$31:B455)</f>
        <v>69.88</v>
      </c>
      <c r="Q455" s="0" t="n">
        <f aca="false">3_Returns!B455/P455-1</f>
        <v>-0.383800801373784</v>
      </c>
      <c r="R455" s="0" t="n">
        <f aca="false">LN(3_Returns!B455/3_Returns!B454)</f>
        <v>-0.0161256661775087</v>
      </c>
      <c r="S455" s="0" t="n">
        <f aca="false">M455-O455</f>
        <v>-0.009500706587248</v>
      </c>
      <c r="T455" s="0" t="n">
        <f aca="false">IF(M455&gt;O455,1,0)</f>
        <v>0</v>
      </c>
    </row>
    <row r="456" customFormat="false" ht="15" hidden="false" customHeight="false" outlineLevel="0" collapsed="false">
      <c r="M456" s="0" t="n">
        <f aca="false">3_Returns!B456/3_Returns!B455-1</f>
        <v>0.00743149094287032</v>
      </c>
      <c r="N456" s="0" t="n">
        <f aca="false">3_Returns!C456/3_Returns!C455-1</f>
        <v>-0.00876634853305036</v>
      </c>
      <c r="O456" s="0" t="n">
        <f aca="false">3_Returns!D456/3_Returns!D455-1</f>
        <v>-0.00308242210949827</v>
      </c>
      <c r="P456" s="0" t="n">
        <f aca="false">MAX(3_Returns!$B$31:B456)</f>
        <v>69.88</v>
      </c>
      <c r="Q456" s="0" t="n">
        <f aca="false">3_Returns!B456/P456-1</f>
        <v>-0.379221522610189</v>
      </c>
      <c r="R456" s="0" t="n">
        <f aca="false">LN(3_Returns!B456/3_Returns!B455)</f>
        <v>0.00740401346251126</v>
      </c>
      <c r="S456" s="0" t="n">
        <f aca="false">M456-O456</f>
        <v>0.0105139130523686</v>
      </c>
      <c r="T456" s="0" t="n">
        <f aca="false">IF(M456&gt;O456,1,0)</f>
        <v>1</v>
      </c>
    </row>
    <row r="457" customFormat="false" ht="15" hidden="false" customHeight="false" outlineLevel="0" collapsed="false">
      <c r="M457" s="0" t="n">
        <f aca="false">3_Returns!B457/3_Returns!B456-1</f>
        <v>-0.0191332411249425</v>
      </c>
      <c r="N457" s="0" t="n">
        <f aca="false">3_Returns!C457/3_Returns!C456-1</f>
        <v>-0.00442193852079031</v>
      </c>
      <c r="O457" s="0" t="n">
        <f aca="false">3_Returns!D457/3_Returns!D456-1</f>
        <v>0.00318512549843075</v>
      </c>
      <c r="P457" s="0" t="n">
        <f aca="false">MAX(3_Returns!$B$31:B457)</f>
        <v>69.88</v>
      </c>
      <c r="Q457" s="0" t="n">
        <f aca="false">3_Returns!B457/P457-1</f>
        <v>-0.391099026903263</v>
      </c>
      <c r="R457" s="0" t="n">
        <f aca="false">LN(3_Returns!B457/3_Returns!B456)</f>
        <v>-0.0193186503793453</v>
      </c>
      <c r="S457" s="0" t="n">
        <f aca="false">M457-O457</f>
        <v>-0.0223183666233733</v>
      </c>
      <c r="T457" s="0" t="n">
        <f aca="false">IF(M457&gt;O457,1,0)</f>
        <v>0</v>
      </c>
    </row>
    <row r="458" customFormat="false" ht="15" hidden="false" customHeight="false" outlineLevel="0" collapsed="false">
      <c r="M458" s="0" t="n">
        <f aca="false">3_Returns!B458/3_Returns!B457-1</f>
        <v>0.0169212690951823</v>
      </c>
      <c r="N458" s="0" t="n">
        <f aca="false">3_Returns!C458/3_Returns!C457-1</f>
        <v>0.0226377247653844</v>
      </c>
      <c r="O458" s="0" t="n">
        <f aca="false">3_Returns!D458/3_Returns!D457-1</f>
        <v>0.00676797124257211</v>
      </c>
      <c r="P458" s="0" t="n">
        <f aca="false">MAX(3_Returns!$B$31:B458)</f>
        <v>69.88</v>
      </c>
      <c r="Q458" s="0" t="n">
        <f aca="false">3_Returns!B458/P458-1</f>
        <v>-0.380795649685175</v>
      </c>
      <c r="R458" s="0" t="n">
        <f aca="false">LN(3_Returns!B458/3_Returns!B457)</f>
        <v>0.0167796992174105</v>
      </c>
      <c r="S458" s="0" t="n">
        <f aca="false">M458-O458</f>
        <v>0.0101532978526102</v>
      </c>
      <c r="T458" s="0" t="n">
        <f aca="false">IF(M458&gt;O458,1,0)</f>
        <v>1</v>
      </c>
    </row>
    <row r="459" customFormat="false" ht="15" hidden="false" customHeight="false" outlineLevel="0" collapsed="false">
      <c r="M459" s="0" t="n">
        <f aca="false">3_Returns!B459/3_Returns!B458-1</f>
        <v>0.0120175641321931</v>
      </c>
      <c r="N459" s="0" t="n">
        <f aca="false">3_Returns!C459/3_Returns!C458-1</f>
        <v>-0.00280210157618221</v>
      </c>
      <c r="O459" s="0" t="n">
        <f aca="false">3_Returns!D459/3_Returns!D458-1</f>
        <v>0.0122337063295463</v>
      </c>
      <c r="P459" s="0" t="n">
        <f aca="false">MAX(3_Returns!$B$31:B459)</f>
        <v>69.88</v>
      </c>
      <c r="Q459" s="0" t="n">
        <f aca="false">3_Returns!B459/P459-1</f>
        <v>-0.373354321694333</v>
      </c>
      <c r="R459" s="0" t="n">
        <f aca="false">LN(3_Returns!B459/3_Returns!B458)</f>
        <v>0.0119459265765135</v>
      </c>
      <c r="S459" s="0" t="n">
        <f aca="false">M459-O459</f>
        <v>-0.00021614219735322</v>
      </c>
      <c r="T459" s="0" t="n">
        <f aca="false">IF(M459&gt;O459,1,0)</f>
        <v>0</v>
      </c>
    </row>
    <row r="460" customFormat="false" ht="15" hidden="false" customHeight="false" outlineLevel="0" collapsed="false">
      <c r="M460" s="0" t="n">
        <f aca="false">3_Returns!B460/3_Returns!B459-1</f>
        <v>0.0253482530258049</v>
      </c>
      <c r="N460" s="0" t="n">
        <f aca="false">3_Returns!C460/3_Returns!C459-1</f>
        <v>-0.00105374077976816</v>
      </c>
      <c r="O460" s="0" t="n">
        <f aca="false">3_Returns!D460/3_Returns!D459-1</f>
        <v>0.012538163848435</v>
      </c>
      <c r="P460" s="0" t="n">
        <f aca="false">MAX(3_Returns!$B$31:B460)</f>
        <v>69.88</v>
      </c>
      <c r="Q460" s="0" t="n">
        <f aca="false">3_Returns!B460/P460-1</f>
        <v>-0.357469948483114</v>
      </c>
      <c r="R460" s="0" t="n">
        <f aca="false">LN(3_Returns!B460/3_Returns!B459)</f>
        <v>0.0250323139349015</v>
      </c>
      <c r="S460" s="0" t="n">
        <f aca="false">M460-O460</f>
        <v>0.0128100891773699</v>
      </c>
      <c r="T460" s="0" t="n">
        <f aca="false">IF(M460&gt;O460,1,0)</f>
        <v>1</v>
      </c>
    </row>
    <row r="461" customFormat="false" ht="15" hidden="false" customHeight="false" outlineLevel="0" collapsed="false">
      <c r="M461" s="0" t="n">
        <f aca="false">3_Returns!B461/3_Returns!B460-1</f>
        <v>0.00334075723830729</v>
      </c>
      <c r="N461" s="0" t="n">
        <f aca="false">3_Returns!C461/3_Returns!C460-1</f>
        <v>0.00105485232067504</v>
      </c>
      <c r="O461" s="0" t="n">
        <f aca="false">3_Returns!D461/3_Returns!D460-1</f>
        <v>0.0122645597893123</v>
      </c>
      <c r="P461" s="0" t="n">
        <f aca="false">MAX(3_Returns!$B$31:B461)</f>
        <v>69.88</v>
      </c>
      <c r="Q461" s="0" t="n">
        <f aca="false">3_Returns!B461/P461-1</f>
        <v>-0.355323411562679</v>
      </c>
      <c r="R461" s="0" t="n">
        <f aca="false">LN(3_Returns!B461/3_Returns!B460)</f>
        <v>0.00333518930613825</v>
      </c>
      <c r="S461" s="0" t="n">
        <f aca="false">M461-O461</f>
        <v>-0.008923802551005</v>
      </c>
      <c r="T461" s="0" t="n">
        <f aca="false">IF(M461&gt;O461,1,0)</f>
        <v>0</v>
      </c>
    </row>
    <row r="462" customFormat="false" ht="15" hidden="false" customHeight="false" outlineLevel="0" collapsed="false">
      <c r="M462" s="0" t="n">
        <f aca="false">3_Returns!B462/3_Returns!B461-1</f>
        <v>0.00932297447280805</v>
      </c>
      <c r="N462" s="0" t="n">
        <f aca="false">3_Returns!C462/3_Returns!C461-1</f>
        <v>0.0212855637513172</v>
      </c>
      <c r="O462" s="0" t="n">
        <f aca="false">3_Returns!D462/3_Returns!D461-1</f>
        <v>0.014044176005849</v>
      </c>
      <c r="P462" s="0" t="n">
        <f aca="false">MAX(3_Returns!$B$31:B462)</f>
        <v>69.88</v>
      </c>
      <c r="Q462" s="0" t="n">
        <f aca="false">3_Returns!B462/P462-1</f>
        <v>-0.349313108185461</v>
      </c>
      <c r="R462" s="0" t="n">
        <f aca="false">LN(3_Returns!B462/3_Returns!B461)</f>
        <v>0.00927978378257233</v>
      </c>
      <c r="S462" s="0" t="n">
        <f aca="false">M462-O462</f>
        <v>-0.0047212015330409</v>
      </c>
      <c r="T462" s="0" t="n">
        <f aca="false">IF(M462&gt;O462,1,0)</f>
        <v>0</v>
      </c>
    </row>
    <row r="463" customFormat="false" ht="15" hidden="false" customHeight="false" outlineLevel="0" collapsed="false">
      <c r="M463" s="0" t="n">
        <f aca="false">3_Returns!B463/3_Returns!B462-1</f>
        <v>0.0367275126457005</v>
      </c>
      <c r="N463" s="0" t="n">
        <f aca="false">3_Returns!C463/3_Returns!C462-1</f>
        <v>0.0248314761315176</v>
      </c>
      <c r="O463" s="0" t="n">
        <f aca="false">3_Returns!D463/3_Returns!D462-1</f>
        <v>0.00698410430201979</v>
      </c>
      <c r="P463" s="0" t="n">
        <f aca="false">MAX(3_Returns!$B$31:B463)</f>
        <v>69.88</v>
      </c>
      <c r="Q463" s="0" t="n">
        <f aca="false">3_Returns!B463/P463-1</f>
        <v>-0.325414997137951</v>
      </c>
      <c r="R463" s="0" t="n">
        <f aca="false">LN(3_Returns!B463/3_Returns!B462)</f>
        <v>0.0360691296710659</v>
      </c>
      <c r="S463" s="0" t="n">
        <f aca="false">M463-O463</f>
        <v>0.0297434083436807</v>
      </c>
      <c r="T463" s="0" t="n">
        <f aca="false">IF(M463&gt;O463,1,0)</f>
        <v>1</v>
      </c>
    </row>
    <row r="464" customFormat="false" ht="15" hidden="false" customHeight="false" outlineLevel="0" collapsed="false">
      <c r="M464" s="0" t="n">
        <f aca="false">3_Returns!B464/3_Returns!B463-1</f>
        <v>-0.0284259652100128</v>
      </c>
      <c r="N464" s="0" t="n">
        <f aca="false">3_Returns!C464/3_Returns!C463-1</f>
        <v>-0.00731592724343921</v>
      </c>
      <c r="O464" s="0" t="n">
        <f aca="false">3_Returns!D464/3_Returns!D463-1</f>
        <v>-0.0151130089271891</v>
      </c>
      <c r="P464" s="0" t="n">
        <f aca="false">MAX(3_Returns!$B$31:B464)</f>
        <v>69.88</v>
      </c>
      <c r="Q464" s="0" t="n">
        <f aca="false">3_Returns!B464/P464-1</f>
        <v>-0.344590726960504</v>
      </c>
      <c r="R464" s="0" t="n">
        <f aca="false">LN(3_Returns!B464/3_Returns!B463)</f>
        <v>-0.0288378063878459</v>
      </c>
      <c r="S464" s="0" t="n">
        <f aca="false">M464-O464</f>
        <v>-0.0133129562828237</v>
      </c>
      <c r="T464" s="0" t="n">
        <f aca="false">IF(M464&gt;O464,1,0)</f>
        <v>0</v>
      </c>
    </row>
    <row r="465" customFormat="false" ht="15" hidden="false" customHeight="false" outlineLevel="0" collapsed="false">
      <c r="M465" s="0" t="n">
        <f aca="false">3_Returns!B465/3_Returns!B464-1</f>
        <v>-0.00982532751091692</v>
      </c>
      <c r="N465" s="0" t="n">
        <f aca="false">3_Returns!C465/3_Returns!C464-1</f>
        <v>-0.00736984448951994</v>
      </c>
      <c r="O465" s="0" t="n">
        <f aca="false">3_Returns!D465/3_Returns!D464-1</f>
        <v>-0.00100203681994127</v>
      </c>
      <c r="P465" s="0" t="n">
        <f aca="false">MAX(3_Returns!$B$31:B465)</f>
        <v>69.88</v>
      </c>
      <c r="Q465" s="0" t="n">
        <f aca="false">3_Returns!B465/P465-1</f>
        <v>-0.351030337721809</v>
      </c>
      <c r="R465" s="0" t="n">
        <f aca="false">LN(3_Returns!B465/3_Returns!B464)</f>
        <v>-0.00987391455899355</v>
      </c>
      <c r="S465" s="0" t="n">
        <f aca="false">M465-O465</f>
        <v>-0.00882329069097565</v>
      </c>
      <c r="T465" s="0" t="n">
        <f aca="false">IF(M465&gt;O465,1,0)</f>
        <v>0</v>
      </c>
    </row>
    <row r="466" customFormat="false" ht="15" hidden="false" customHeight="false" outlineLevel="0" collapsed="false">
      <c r="M466" s="0" t="n">
        <f aca="false">3_Returns!B466/3_Returns!B465-1</f>
        <v>0.000882028665931678</v>
      </c>
      <c r="N466" s="0" t="n">
        <f aca="false">3_Returns!C466/3_Returns!C465-1</f>
        <v>-0.00156665077310802</v>
      </c>
      <c r="O466" s="0" t="n">
        <f aca="false">3_Returns!D466/3_Returns!D465-1</f>
        <v>0.00348114543452049</v>
      </c>
      <c r="P466" s="0" t="n">
        <f aca="false">MAX(3_Returns!$B$31:B466)</f>
        <v>69.88</v>
      </c>
      <c r="Q466" s="0" t="n">
        <f aca="false">3_Returns!B466/P466-1</f>
        <v>-0.350457927876359</v>
      </c>
      <c r="R466" s="0" t="n">
        <f aca="false">LN(3_Returns!B466/3_Returns!B465)</f>
        <v>0.000881639907228667</v>
      </c>
      <c r="S466" s="0" t="n">
        <f aca="false">M466-O466</f>
        <v>-0.00259911676858882</v>
      </c>
      <c r="T466" s="0" t="n">
        <f aca="false">IF(M466&gt;O466,1,0)</f>
        <v>0</v>
      </c>
    </row>
    <row r="467" customFormat="false" ht="15" hidden="false" customHeight="false" outlineLevel="0" collapsed="false">
      <c r="M467" s="0" t="n">
        <f aca="false">3_Returns!B467/3_Returns!B466-1</f>
        <v>-0.0169640890063891</v>
      </c>
      <c r="N467" s="0" t="n">
        <f aca="false">3_Returns!C467/3_Returns!C466-1</f>
        <v>0.00770910083231002</v>
      </c>
      <c r="O467" s="0" t="n">
        <f aca="false">3_Returns!D467/3_Returns!D466-1</f>
        <v>-0.00354419959886854</v>
      </c>
      <c r="P467" s="0" t="n">
        <f aca="false">MAX(3_Returns!$B$31:B467)</f>
        <v>69.88</v>
      </c>
      <c r="Q467" s="0" t="n">
        <f aca="false">3_Returns!B467/P467-1</f>
        <v>-0.361476817401259</v>
      </c>
      <c r="R467" s="0" t="n">
        <f aca="false">LN(3_Returns!B467/3_Returns!B466)</f>
        <v>-0.0171096274639878</v>
      </c>
      <c r="S467" s="0" t="n">
        <f aca="false">M467-O467</f>
        <v>-0.0134198894075206</v>
      </c>
      <c r="T467" s="0" t="n">
        <f aca="false">IF(M467&gt;O467,1,0)</f>
        <v>0</v>
      </c>
    </row>
    <row r="468" customFormat="false" ht="15" hidden="false" customHeight="false" outlineLevel="0" collapsed="false">
      <c r="M468" s="0" t="n">
        <f aca="false">3_Returns!B468/3_Returns!B467-1</f>
        <v>0.0266696548632901</v>
      </c>
      <c r="N468" s="0" t="n">
        <f aca="false">3_Returns!C468/3_Returns!C467-1</f>
        <v>-0.00182790603208993</v>
      </c>
      <c r="O468" s="0" t="n">
        <f aca="false">3_Returns!D468/3_Returns!D467-1</f>
        <v>0.00950175217751914</v>
      </c>
      <c r="P468" s="0" t="n">
        <f aca="false">MAX(3_Returns!$B$31:B468)</f>
        <v>69.88</v>
      </c>
      <c r="Q468" s="0" t="n">
        <f aca="false">3_Returns!B468/P468-1</f>
        <v>-0.344447624499141</v>
      </c>
      <c r="R468" s="0" t="n">
        <f aca="false">LN(3_Returns!B468/3_Returns!B467)</f>
        <v>0.0263202188942644</v>
      </c>
      <c r="S468" s="0" t="n">
        <f aca="false">M468-O468</f>
        <v>0.017167902685771</v>
      </c>
      <c r="T468" s="0" t="n">
        <f aca="false">IF(M468&gt;O468,1,0)</f>
        <v>1</v>
      </c>
    </row>
    <row r="469" customFormat="false" ht="15" hidden="false" customHeight="false" outlineLevel="0" collapsed="false">
      <c r="M469" s="0" t="n">
        <f aca="false">3_Returns!B469/3_Returns!B468-1</f>
        <v>0.0179000218292948</v>
      </c>
      <c r="N469" s="0" t="n">
        <f aca="false">3_Returns!C469/3_Returns!C468-1</f>
        <v>0.011462289744981</v>
      </c>
      <c r="O469" s="0" t="n">
        <f aca="false">3_Returns!D469/3_Returns!D468-1</f>
        <v>-0.00331225290025083</v>
      </c>
      <c r="P469" s="0" t="n">
        <f aca="false">MAX(3_Returns!$B$31:B469)</f>
        <v>69.88</v>
      </c>
      <c r="Q469" s="0" t="n">
        <f aca="false">3_Returns!B469/P469-1</f>
        <v>-0.33271322266743</v>
      </c>
      <c r="R469" s="0" t="n">
        <f aca="false">LN(3_Returns!B469/3_Returns!B468)</f>
        <v>0.0177417029215787</v>
      </c>
      <c r="S469" s="0" t="n">
        <f aca="false">M469-O469</f>
        <v>0.0212122747295457</v>
      </c>
      <c r="T469" s="0" t="n">
        <f aca="false">IF(M469&gt;O469,1,0)</f>
        <v>1</v>
      </c>
    </row>
    <row r="470" customFormat="false" ht="15" hidden="false" customHeight="false" outlineLevel="0" collapsed="false">
      <c r="M470" s="0" t="n">
        <f aca="false">3_Returns!B470/3_Returns!B469-1</f>
        <v>-0.0195153334763029</v>
      </c>
      <c r="N470" s="0" t="n">
        <f aca="false">3_Returns!C470/3_Returns!C469-1</f>
        <v>0.00717494803191832</v>
      </c>
      <c r="O470" s="0" t="n">
        <f aca="false">3_Returns!D470/3_Returns!D469-1</f>
        <v>-0.00901352925365107</v>
      </c>
      <c r="P470" s="0" t="n">
        <f aca="false">MAX(3_Returns!$B$31:B470)</f>
        <v>69.88</v>
      </c>
      <c r="Q470" s="0" t="n">
        <f aca="false">3_Returns!B470/P470-1</f>
        <v>-0.345735546651402</v>
      </c>
      <c r="R470" s="0" t="n">
        <f aca="false">LN(3_Returns!B470/3_Returns!B469)</f>
        <v>-0.0197082718936196</v>
      </c>
      <c r="S470" s="0" t="n">
        <f aca="false">M470-O470</f>
        <v>-0.0105018042226518</v>
      </c>
      <c r="T470" s="0" t="n">
        <f aca="false">IF(M470&gt;O470,1,0)</f>
        <v>0</v>
      </c>
    </row>
    <row r="471" customFormat="false" ht="15" hidden="false" customHeight="false" outlineLevel="0" collapsed="false">
      <c r="M471" s="0" t="n">
        <f aca="false">3_Returns!B471/3_Returns!B470-1</f>
        <v>-0.00371828521434825</v>
      </c>
      <c r="N471" s="0" t="n">
        <f aca="false">3_Returns!C471/3_Returns!C470-1</f>
        <v>0.011185086551265</v>
      </c>
      <c r="O471" s="0" t="n">
        <f aca="false">3_Returns!D471/3_Returns!D470-1</f>
        <v>0.0148737017566354</v>
      </c>
      <c r="P471" s="0" t="n">
        <f aca="false">MAX(3_Returns!$B$31:B471)</f>
        <v>69.88</v>
      </c>
      <c r="Q471" s="0" t="n">
        <f aca="false">3_Returns!B471/P471-1</f>
        <v>-0.348168288494562</v>
      </c>
      <c r="R471" s="0" t="n">
        <f aca="false">LN(3_Returns!B471/3_Returns!B470)</f>
        <v>-0.00372521522064262</v>
      </c>
      <c r="S471" s="0" t="n">
        <f aca="false">M471-O471</f>
        <v>-0.0185919869709836</v>
      </c>
      <c r="T471" s="0" t="n">
        <f aca="false">IF(M471&gt;O471,1,0)</f>
        <v>0</v>
      </c>
    </row>
    <row r="472" customFormat="false" ht="15" hidden="false" customHeight="false" outlineLevel="0" collapsed="false">
      <c r="M472" s="0" t="n">
        <f aca="false">3_Returns!B472/3_Returns!B471-1</f>
        <v>0.0234906695938528</v>
      </c>
      <c r="N472" s="0" t="n">
        <f aca="false">3_Returns!C472/3_Returns!C471-1</f>
        <v>0.0111272056887015</v>
      </c>
      <c r="O472" s="0" t="n">
        <f aca="false">3_Returns!D472/3_Returns!D471-1</f>
        <v>0.00703143981728949</v>
      </c>
      <c r="P472" s="0" t="n">
        <f aca="false">MAX(3_Returns!$B$31:B472)</f>
        <v>69.88</v>
      </c>
      <c r="Q472" s="0" t="n">
        <f aca="false">3_Returns!B472/P472-1</f>
        <v>-0.332856325128792</v>
      </c>
      <c r="R472" s="0" t="n">
        <f aca="false">LN(3_Returns!B472/3_Returns!B471)</f>
        <v>0.0232190099016437</v>
      </c>
      <c r="S472" s="0" t="n">
        <f aca="false">M472-O472</f>
        <v>0.0164592297765633</v>
      </c>
      <c r="T472" s="0" t="n">
        <f aca="false">IF(M472&gt;O472,1,0)</f>
        <v>1</v>
      </c>
    </row>
    <row r="473" customFormat="false" ht="15" hidden="false" customHeight="false" outlineLevel="0" collapsed="false">
      <c r="M473" s="0" t="n">
        <f aca="false">3_Returns!B473/3_Returns!B472-1</f>
        <v>0.0171600171600173</v>
      </c>
      <c r="N473" s="0" t="n">
        <f aca="false">3_Returns!C473/3_Returns!C472-1</f>
        <v>0.00898613010353588</v>
      </c>
      <c r="O473" s="0" t="n">
        <f aca="false">3_Returns!D473/3_Returns!D472-1</f>
        <v>0.00252689754564428</v>
      </c>
      <c r="P473" s="0" t="n">
        <f aca="false">MAX(3_Returns!$B$31:B473)</f>
        <v>69.88</v>
      </c>
      <c r="Q473" s="0" t="n">
        <f aca="false">3_Returns!B473/P473-1</f>
        <v>-0.321408128219805</v>
      </c>
      <c r="R473" s="0" t="n">
        <f aca="false">LN(3_Returns!B473/3_Returns!B472)</f>
        <v>0.0170144470296484</v>
      </c>
      <c r="S473" s="0" t="n">
        <f aca="false">M473-O473</f>
        <v>0.014633119614373</v>
      </c>
      <c r="T473" s="0" t="n">
        <f aca="false">IF(M473&gt;O473,1,0)</f>
        <v>1</v>
      </c>
    </row>
    <row r="474" customFormat="false" ht="15" hidden="false" customHeight="false" outlineLevel="0" collapsed="false">
      <c r="M474" s="0" t="n">
        <f aca="false">3_Returns!B474/3_Returns!B473-1</f>
        <v>0.0221425558835933</v>
      </c>
      <c r="N474" s="0" t="n">
        <f aca="false">3_Returns!C474/3_Returns!C473-1</f>
        <v>0.0215553404323976</v>
      </c>
      <c r="O474" s="0" t="n">
        <f aca="false">3_Returns!D474/3_Returns!D473-1</f>
        <v>0.0096569450104449</v>
      </c>
      <c r="P474" s="0" t="n">
        <f aca="false">MAX(3_Returns!$B$31:B474)</f>
        <v>69.88</v>
      </c>
      <c r="Q474" s="0" t="n">
        <f aca="false">3_Returns!B474/P474-1</f>
        <v>-0.30638236977676</v>
      </c>
      <c r="R474" s="0" t="n">
        <f aca="false">LN(3_Returns!B474/3_Returns!B473)</f>
        <v>0.021900969220025</v>
      </c>
      <c r="S474" s="0" t="n">
        <f aca="false">M474-O474</f>
        <v>0.0124856108731484</v>
      </c>
      <c r="T474" s="0" t="n">
        <f aca="false">IF(M474&gt;O474,1,0)</f>
        <v>1</v>
      </c>
    </row>
    <row r="475" customFormat="false" ht="15" hidden="false" customHeight="false" outlineLevel="0" collapsed="false">
      <c r="M475" s="0" t="n">
        <f aca="false">3_Returns!B475/3_Returns!B474-1</f>
        <v>0.0280585929440891</v>
      </c>
      <c r="N475" s="0" t="n">
        <f aca="false">3_Returns!C475/3_Returns!C474-1</f>
        <v>-0.0021479562827722</v>
      </c>
      <c r="O475" s="0" t="n">
        <f aca="false">3_Returns!D475/3_Returns!D474-1</f>
        <v>0.0110281089653441</v>
      </c>
      <c r="P475" s="0" t="n">
        <f aca="false">MAX(3_Returns!$B$31:B475)</f>
        <v>69.88</v>
      </c>
      <c r="Q475" s="0" t="n">
        <f aca="false">3_Returns!B475/P475-1</f>
        <v>-0.286920435031483</v>
      </c>
      <c r="R475" s="0" t="n">
        <f aca="false">LN(3_Returns!B475/3_Returns!B474)</f>
        <v>0.0276721624360285</v>
      </c>
      <c r="S475" s="0" t="n">
        <f aca="false">M475-O475</f>
        <v>0.017030483978745</v>
      </c>
      <c r="T475" s="0" t="n">
        <f aca="false">IF(M475&gt;O475,1,0)</f>
        <v>1</v>
      </c>
    </row>
    <row r="476" customFormat="false" ht="15" hidden="false" customHeight="false" outlineLevel="0" collapsed="false">
      <c r="M476" s="0" t="n">
        <f aca="false">3_Returns!B476/3_Returns!B475-1</f>
        <v>-0.00622115191651607</v>
      </c>
      <c r="N476" s="0" t="n">
        <f aca="false">3_Returns!C476/3_Returns!C475-1</f>
        <v>0.0138651471984805</v>
      </c>
      <c r="O476" s="0" t="n">
        <f aca="false">3_Returns!D476/3_Returns!D475-1</f>
        <v>0.00375329474208663</v>
      </c>
      <c r="P476" s="0" t="n">
        <f aca="false">MAX(3_Returns!$B$31:B476)</f>
        <v>69.88</v>
      </c>
      <c r="Q476" s="0" t="n">
        <f aca="false">3_Returns!B476/P476-1</f>
        <v>-0.291356611333715</v>
      </c>
      <c r="R476" s="0" t="n">
        <f aca="false">LN(3_Returns!B476/3_Returns!B475)</f>
        <v>-0.00624058391697244</v>
      </c>
      <c r="S476" s="0" t="n">
        <f aca="false">M476-O476</f>
        <v>-0.0099744466586027</v>
      </c>
      <c r="T476" s="0" t="n">
        <f aca="false">IF(M476&gt;O476,1,0)</f>
        <v>0</v>
      </c>
    </row>
    <row r="477" customFormat="false" ht="15" hidden="false" customHeight="false" outlineLevel="0" collapsed="false">
      <c r="M477" s="0" t="n">
        <f aca="false">3_Returns!B477/3_Returns!B476-1</f>
        <v>-0.0313004846526657</v>
      </c>
      <c r="N477" s="0" t="n">
        <f aca="false">3_Returns!C477/3_Returns!C476-1</f>
        <v>-0.0205445235419008</v>
      </c>
      <c r="O477" s="0" t="n">
        <f aca="false">3_Returns!D477/3_Returns!D476-1</f>
        <v>-0.0244523815861791</v>
      </c>
      <c r="P477" s="0" t="n">
        <f aca="false">MAX(3_Returns!$B$31:B477)</f>
        <v>69.88</v>
      </c>
      <c r="Q477" s="0" t="n">
        <f aca="false">3_Returns!B477/P477-1</f>
        <v>-0.313537492844877</v>
      </c>
      <c r="R477" s="0" t="n">
        <f aca="false">LN(3_Returns!B477/3_Returns!B476)</f>
        <v>-0.0318008128623682</v>
      </c>
      <c r="S477" s="0" t="n">
        <f aca="false">M477-O477</f>
        <v>-0.00684810306648653</v>
      </c>
      <c r="T477" s="0" t="n">
        <f aca="false">IF(M477&gt;O477,1,0)</f>
        <v>0</v>
      </c>
    </row>
    <row r="478" customFormat="false" ht="15" hidden="false" customHeight="false" outlineLevel="0" collapsed="false">
      <c r="M478" s="0" t="n">
        <f aca="false">3_Returns!B478/3_Returns!B477-1</f>
        <v>-0.0250156347717323</v>
      </c>
      <c r="N478" s="0" t="n">
        <f aca="false">3_Returns!C478/3_Returns!C477-1</f>
        <v>-0.0116671979598342</v>
      </c>
      <c r="O478" s="0" t="n">
        <f aca="false">3_Returns!D478/3_Returns!D477-1</f>
        <v>-0.0064926414055565</v>
      </c>
      <c r="P478" s="0" t="n">
        <f aca="false">MAX(3_Returns!$B$31:B478)</f>
        <v>69.88</v>
      </c>
      <c r="Q478" s="0" t="n">
        <f aca="false">3_Returns!B478/P478-1</f>
        <v>-0.330709788208357</v>
      </c>
      <c r="R478" s="0" t="n">
        <f aca="false">LN(3_Returns!B478/3_Returns!B477)</f>
        <v>-0.0253338437761777</v>
      </c>
      <c r="S478" s="0" t="n">
        <f aca="false">M478-O478</f>
        <v>-0.0185229933661758</v>
      </c>
      <c r="T478" s="0" t="n">
        <f aca="false">IF(M478&gt;O478,1,0)</f>
        <v>0</v>
      </c>
    </row>
    <row r="479" customFormat="false" ht="15" hidden="false" customHeight="false" outlineLevel="0" collapsed="false">
      <c r="M479" s="0" t="n">
        <f aca="false">3_Returns!B479/3_Returns!B478-1</f>
        <v>-0.0228779131922172</v>
      </c>
      <c r="N479" s="0" t="n">
        <f aca="false">3_Returns!C479/3_Returns!C478-1</f>
        <v>-0.00193523416333385</v>
      </c>
      <c r="O479" s="0" t="n">
        <f aca="false">3_Returns!D479/3_Returns!D478-1</f>
        <v>-0.00428455105918246</v>
      </c>
      <c r="P479" s="0" t="n">
        <f aca="false">MAX(3_Returns!$B$31:B479)</f>
        <v>69.88</v>
      </c>
      <c r="Q479" s="0" t="n">
        <f aca="false">3_Returns!B479/P479-1</f>
        <v>-0.346021751574127</v>
      </c>
      <c r="R479" s="0" t="n">
        <f aca="false">LN(3_Returns!B479/3_Returns!B478)</f>
        <v>-0.0231436738376358</v>
      </c>
      <c r="S479" s="0" t="n">
        <f aca="false">M479-O479</f>
        <v>-0.0185933621330348</v>
      </c>
      <c r="T479" s="0" t="n">
        <f aca="false">IF(M479&gt;O479,1,0)</f>
        <v>0</v>
      </c>
    </row>
    <row r="480" customFormat="false" ht="15" hidden="false" customHeight="false" outlineLevel="0" collapsed="false">
      <c r="M480" s="0" t="n">
        <f aca="false">3_Returns!B480/3_Returns!B479-1</f>
        <v>0.0010940919037199</v>
      </c>
      <c r="N480" s="0" t="n">
        <f aca="false">3_Returns!C480/3_Returns!C479-1</f>
        <v>-0.00866080661840751</v>
      </c>
      <c r="O480" s="0" t="n">
        <f aca="false">3_Returns!D480/3_Returns!D479-1</f>
        <v>-0.00960221704450315</v>
      </c>
      <c r="P480" s="0" t="n">
        <f aca="false">MAX(3_Returns!$B$31:B480)</f>
        <v>69.88</v>
      </c>
      <c r="Q480" s="0" t="n">
        <f aca="false">3_Returns!B480/P480-1</f>
        <v>-0.345306239267315</v>
      </c>
      <c r="R480" s="0" t="n">
        <f aca="false">LN(3_Returns!B480/3_Returns!B479)</f>
        <v>0.00109349382137129</v>
      </c>
      <c r="S480" s="0" t="n">
        <f aca="false">M480-O480</f>
        <v>0.010696308948223</v>
      </c>
      <c r="T480" s="0" t="n">
        <f aca="false">IF(M480&gt;O480,1,0)</f>
        <v>1</v>
      </c>
    </row>
    <row r="481" customFormat="false" ht="15" hidden="false" customHeight="false" outlineLevel="0" collapsed="false">
      <c r="M481" s="0" t="n">
        <f aca="false">3_Returns!B481/3_Returns!B480-1</f>
        <v>-0.00546448087431695</v>
      </c>
      <c r="N481" s="0" t="n">
        <f aca="false">3_Returns!C481/3_Returns!C480-1</f>
        <v>-0.00762811318294421</v>
      </c>
      <c r="O481" s="0" t="n">
        <f aca="false">3_Returns!D481/3_Returns!D480-1</f>
        <v>0.00231979790235237</v>
      </c>
      <c r="P481" s="0" t="n">
        <f aca="false">MAX(3_Returns!$B$31:B481)</f>
        <v>69.88</v>
      </c>
      <c r="Q481" s="0" t="n">
        <f aca="false">3_Returns!B481/P481-1</f>
        <v>-0.348883800801374</v>
      </c>
      <c r="R481" s="0" t="n">
        <f aca="false">LN(3_Returns!B481/3_Returns!B480)</f>
        <v>-0.0054794657646256</v>
      </c>
      <c r="S481" s="0" t="n">
        <f aca="false">M481-O481</f>
        <v>-0.00778427877666932</v>
      </c>
      <c r="T481" s="0" t="n">
        <f aca="false">IF(M481&gt;O481,1,0)</f>
        <v>0</v>
      </c>
    </row>
    <row r="482" customFormat="false" ht="15" hidden="false" customHeight="false" outlineLevel="0" collapsed="false">
      <c r="M482" s="0" t="n">
        <f aca="false">3_Returns!B482/3_Returns!B481-1</f>
        <v>0.0437362637362637</v>
      </c>
      <c r="N482" s="0" t="n">
        <f aca="false">3_Returns!C482/3_Returns!C481-1</f>
        <v>-0.00637277445634321</v>
      </c>
      <c r="O482" s="0" t="n">
        <f aca="false">3_Returns!D482/3_Returns!D481-1</f>
        <v>0.0123338138715361</v>
      </c>
      <c r="P482" s="0" t="n">
        <f aca="false">MAX(3_Returns!$B$31:B482)</f>
        <v>69.88</v>
      </c>
      <c r="Q482" s="0" t="n">
        <f aca="false">3_Returns!B482/P482-1</f>
        <v>-0.320406410990269</v>
      </c>
      <c r="R482" s="0" t="n">
        <f aca="false">LN(3_Returns!B482/3_Returns!B481)</f>
        <v>0.0428068366041257</v>
      </c>
      <c r="S482" s="0" t="n">
        <f aca="false">M482-O482</f>
        <v>0.0314024498647276</v>
      </c>
      <c r="T482" s="0" t="n">
        <f aca="false">IF(M482&gt;O482,1,0)</f>
        <v>1</v>
      </c>
    </row>
    <row r="483" customFormat="false" ht="15" hidden="false" customHeight="false" outlineLevel="0" collapsed="false">
      <c r="M483" s="0" t="n">
        <f aca="false">3_Returns!B483/3_Returns!B482-1</f>
        <v>-0.00442198357548962</v>
      </c>
      <c r="N483" s="0" t="n">
        <f aca="false">3_Returns!C483/3_Returns!C482-1</f>
        <v>-0.0119677334038615</v>
      </c>
      <c r="O483" s="0" t="n">
        <f aca="false">3_Returns!D483/3_Returns!D482-1</f>
        <v>-0.00456923275639376</v>
      </c>
      <c r="P483" s="0" t="n">
        <f aca="false">MAX(3_Returns!$B$31:B483)</f>
        <v>69.88</v>
      </c>
      <c r="Q483" s="0" t="n">
        <f aca="false">3_Returns!B483/P483-1</f>
        <v>-0.323411562678878</v>
      </c>
      <c r="R483" s="0" t="n">
        <f aca="false">LN(3_Returns!B483/3_Returns!B482)</f>
        <v>-0.00443178946318776</v>
      </c>
      <c r="S483" s="0" t="n">
        <f aca="false">M483-O483</f>
        <v>0.000147249180904141</v>
      </c>
      <c r="T483" s="0" t="n">
        <f aca="false">IF(M483&gt;O483,1,0)</f>
        <v>1</v>
      </c>
    </row>
    <row r="484" customFormat="false" ht="15" hidden="false" customHeight="false" outlineLevel="0" collapsed="false">
      <c r="M484" s="0" t="n">
        <f aca="false">3_Returns!B484/3_Returns!B483-1</f>
        <v>-0.0211505922165821</v>
      </c>
      <c r="N484" s="0" t="n">
        <f aca="false">3_Returns!C484/3_Returns!C483-1</f>
        <v>0.00602288697048792</v>
      </c>
      <c r="O484" s="0" t="n">
        <f aca="false">3_Returns!D484/3_Returns!D483-1</f>
        <v>-0.0111203023372748</v>
      </c>
      <c r="P484" s="0" t="n">
        <f aca="false">MAX(3_Returns!$B$31:B484)</f>
        <v>69.88</v>
      </c>
      <c r="Q484" s="0" t="n">
        <f aca="false">3_Returns!B484/P484-1</f>
        <v>-0.337721808815112</v>
      </c>
      <c r="R484" s="0" t="n">
        <f aca="false">LN(3_Returns!B484/3_Returns!B483)</f>
        <v>-0.021377470772367</v>
      </c>
      <c r="S484" s="0" t="n">
        <f aca="false">M484-O484</f>
        <v>-0.0100302898793073</v>
      </c>
      <c r="T484" s="0" t="n">
        <f aca="false">IF(M484&gt;O484,1,0)</f>
        <v>0</v>
      </c>
    </row>
    <row r="485" customFormat="false" ht="15" hidden="false" customHeight="false" outlineLevel="0" collapsed="false">
      <c r="M485" s="0" t="n">
        <f aca="false">3_Returns!B485/3_Returns!B484-1</f>
        <v>0.0350043215211755</v>
      </c>
      <c r="N485" s="0" t="n">
        <f aca="false">3_Returns!C485/3_Returns!C484-1</f>
        <v>0.0331936406572206</v>
      </c>
      <c r="O485" s="0" t="n">
        <f aca="false">3_Returns!D485/3_Returns!D484-1</f>
        <v>0.0207569947217694</v>
      </c>
      <c r="P485" s="0" t="n">
        <f aca="false">MAX(3_Returns!$B$31:B485)</f>
        <v>69.88</v>
      </c>
      <c r="Q485" s="0" t="n">
        <f aca="false">3_Returns!B485/P485-1</f>
        <v>-0.314539210074413</v>
      </c>
      <c r="R485" s="0" t="n">
        <f aca="false">LN(3_Returns!B485/3_Returns!B484)</f>
        <v>0.0344056020913938</v>
      </c>
      <c r="S485" s="0" t="n">
        <f aca="false">M485-O485</f>
        <v>0.0142473267994061</v>
      </c>
      <c r="T485" s="0" t="n">
        <f aca="false">IF(M485&gt;O485,1,0)</f>
        <v>1</v>
      </c>
    </row>
    <row r="486" customFormat="false" ht="15" hidden="false" customHeight="false" outlineLevel="0" collapsed="false">
      <c r="M486" s="0" t="n">
        <f aca="false">3_Returns!B486/3_Returns!B485-1</f>
        <v>0.0179540709812109</v>
      </c>
      <c r="N486" s="0" t="n">
        <f aca="false">3_Returns!C486/3_Returns!C485-1</f>
        <v>0.00328354365181571</v>
      </c>
      <c r="O486" s="0" t="n">
        <f aca="false">3_Returns!D486/3_Returns!D485-1</f>
        <v>-0.0042324879605482</v>
      </c>
      <c r="P486" s="0" t="n">
        <f aca="false">MAX(3_Returns!$B$31:B486)</f>
        <v>69.88</v>
      </c>
      <c r="Q486" s="0" t="n">
        <f aca="false">3_Returns!B486/P486-1</f>
        <v>-0.302232398397252</v>
      </c>
      <c r="R486" s="0" t="n">
        <f aca="false">LN(3_Returns!B486/3_Returns!B485)</f>
        <v>0.0177948001962013</v>
      </c>
      <c r="S486" s="0" t="n">
        <f aca="false">M486-O486</f>
        <v>0.0221865589417591</v>
      </c>
      <c r="T486" s="0" t="n">
        <f aca="false">IF(M486&gt;O486,1,0)</f>
        <v>1</v>
      </c>
    </row>
    <row r="487" customFormat="false" ht="15" hidden="false" customHeight="false" outlineLevel="0" collapsed="false">
      <c r="M487" s="0" t="n">
        <f aca="false">3_Returns!B487/3_Returns!B486-1</f>
        <v>-0.00820344544708773</v>
      </c>
      <c r="N487" s="0" t="n">
        <f aca="false">3_Returns!C487/3_Returns!C486-1</f>
        <v>0.00282358980940778</v>
      </c>
      <c r="O487" s="0" t="n">
        <f aca="false">3_Returns!D487/3_Returns!D486-1</f>
        <v>-0.0121091827431237</v>
      </c>
      <c r="P487" s="0" t="n">
        <f aca="false">MAX(3_Returns!$B$31:B487)</f>
        <v>69.88</v>
      </c>
      <c r="Q487" s="0" t="n">
        <f aca="false">3_Returns!B487/P487-1</f>
        <v>-0.307956496851746</v>
      </c>
      <c r="R487" s="0" t="n">
        <f aca="false">LN(3_Returns!B487/3_Returns!B486)</f>
        <v>-0.00823727886647881</v>
      </c>
      <c r="S487" s="0" t="n">
        <f aca="false">M487-O487</f>
        <v>0.00390573729603594</v>
      </c>
      <c r="T487" s="0" t="n">
        <f aca="false">IF(M487&gt;O487,1,0)</f>
        <v>1</v>
      </c>
    </row>
    <row r="488" customFormat="false" ht="15" hidden="false" customHeight="false" outlineLevel="0" collapsed="false">
      <c r="M488" s="0" t="n">
        <f aca="false">3_Returns!B488/3_Returns!B487-1</f>
        <v>-0.0119933829611248</v>
      </c>
      <c r="N488" s="0" t="n">
        <f aca="false">3_Returns!C488/3_Returns!C487-1</f>
        <v>-0.00287963140717995</v>
      </c>
      <c r="O488" s="0" t="n">
        <f aca="false">3_Returns!D488/3_Returns!D487-1</f>
        <v>0.00271320551919274</v>
      </c>
      <c r="P488" s="0" t="n">
        <f aca="false">MAX(3_Returns!$B$31:B488)</f>
        <v>69.88</v>
      </c>
      <c r="Q488" s="0" t="n">
        <f aca="false">3_Returns!B488/P488-1</f>
        <v>-0.316256439610761</v>
      </c>
      <c r="R488" s="0" t="n">
        <f aca="false">LN(3_Returns!B488/3_Returns!B487)</f>
        <v>-0.0120658838489284</v>
      </c>
      <c r="S488" s="0" t="n">
        <f aca="false">M488-O488</f>
        <v>-0.0147065884803176</v>
      </c>
      <c r="T488" s="0" t="n">
        <f aca="false">IF(M488&gt;O488,1,0)</f>
        <v>0</v>
      </c>
    </row>
    <row r="489" customFormat="false" ht="15" hidden="false" customHeight="false" outlineLevel="0" collapsed="false">
      <c r="M489" s="0" t="n">
        <f aca="false">3_Returns!B489/3_Returns!B488-1</f>
        <v>0.0104646295521138</v>
      </c>
      <c r="N489" s="0" t="n">
        <f aca="false">3_Returns!C489/3_Returns!C488-1</f>
        <v>0.00256706456167377</v>
      </c>
      <c r="O489" s="0" t="n">
        <f aca="false">3_Returns!D489/3_Returns!D488-1</f>
        <v>0.00460697366791996</v>
      </c>
      <c r="P489" s="0" t="n">
        <f aca="false">MAX(3_Returns!$B$31:B489)</f>
        <v>69.88</v>
      </c>
      <c r="Q489" s="0" t="n">
        <f aca="false">3_Returns!B489/P489-1</f>
        <v>-0.309101316542645</v>
      </c>
      <c r="R489" s="0" t="n">
        <f aca="false">LN(3_Returns!B489/3_Returns!B488)</f>
        <v>0.0104102543316672</v>
      </c>
      <c r="S489" s="0" t="n">
        <f aca="false">M489-O489</f>
        <v>0.00585765588419385</v>
      </c>
      <c r="T489" s="0" t="n">
        <f aca="false">IF(M489&gt;O489,1,0)</f>
        <v>1</v>
      </c>
    </row>
    <row r="490" customFormat="false" ht="15" hidden="false" customHeight="false" outlineLevel="0" collapsed="false">
      <c r="M490" s="0" t="n">
        <f aca="false">3_Returns!B490/3_Returns!B489-1</f>
        <v>0.00932062966031477</v>
      </c>
      <c r="N490" s="0" t="n">
        <f aca="false">3_Returns!C490/3_Returns!C489-1</f>
        <v>-0.00198438100115228</v>
      </c>
      <c r="O490" s="0" t="n">
        <f aca="false">3_Returns!D490/3_Returns!D489-1</f>
        <v>-0.00678796134137649</v>
      </c>
      <c r="P490" s="0" t="n">
        <f aca="false">MAX(3_Returns!$B$31:B490)</f>
        <v>69.88</v>
      </c>
      <c r="Q490" s="0" t="n">
        <f aca="false">3_Returns!B490/P490-1</f>
        <v>-0.302661705781339</v>
      </c>
      <c r="R490" s="0" t="n">
        <f aca="false">LN(3_Returns!B490/3_Returns!B489)</f>
        <v>0.009277460626084</v>
      </c>
      <c r="S490" s="0" t="n">
        <f aca="false">M490-O490</f>
        <v>0.0161085910016913</v>
      </c>
      <c r="T490" s="0" t="n">
        <f aca="false">IF(M490&gt;O490,1,0)</f>
        <v>1</v>
      </c>
    </row>
    <row r="491" customFormat="false" ht="15" hidden="false" customHeight="false" outlineLevel="0" collapsed="false">
      <c r="M491" s="0" t="n">
        <f aca="false">3_Returns!B491/3_Returns!B490-1</f>
        <v>0.00410424789657293</v>
      </c>
      <c r="N491" s="0" t="n">
        <f aca="false">3_Returns!C491/3_Returns!C490-1</f>
        <v>-0.00429735103585394</v>
      </c>
      <c r="O491" s="0" t="n">
        <f aca="false">3_Returns!D491/3_Returns!D490-1</f>
        <v>0.00828416278363564</v>
      </c>
      <c r="P491" s="0" t="n">
        <f aca="false">MAX(3_Returns!$B$31:B491)</f>
        <v>69.88</v>
      </c>
      <c r="Q491" s="0" t="n">
        <f aca="false">3_Returns!B491/P491-1</f>
        <v>-0.299799656554093</v>
      </c>
      <c r="R491" s="0" t="n">
        <f aca="false">LN(3_Returns!B491/3_Returns!B490)</f>
        <v>0.00409584844561736</v>
      </c>
      <c r="S491" s="0" t="n">
        <f aca="false">M491-O491</f>
        <v>-0.00417991488706271</v>
      </c>
      <c r="T491" s="0" t="n">
        <f aca="false">IF(M491&gt;O491,1,0)</f>
        <v>0</v>
      </c>
    </row>
    <row r="492" customFormat="false" ht="15" hidden="false" customHeight="false" outlineLevel="0" collapsed="false">
      <c r="M492" s="0" t="n">
        <f aca="false">3_Returns!B492/3_Returns!B491-1</f>
        <v>-0.0151236460249337</v>
      </c>
      <c r="N492" s="0" t="n">
        <f aca="false">3_Returns!C492/3_Returns!C491-1</f>
        <v>-0.0124967791806235</v>
      </c>
      <c r="O492" s="0" t="n">
        <f aca="false">3_Returns!D492/3_Returns!D491-1</f>
        <v>-0.00459382610497949</v>
      </c>
      <c r="P492" s="0" t="n">
        <f aca="false">MAX(3_Returns!$B$31:B492)</f>
        <v>69.88</v>
      </c>
      <c r="Q492" s="0" t="n">
        <f aca="false">3_Returns!B492/P492-1</f>
        <v>-0.310389238694906</v>
      </c>
      <c r="R492" s="0" t="n">
        <f aca="false">LN(3_Returns!B492/3_Returns!B491)</f>
        <v>-0.0152391746487909</v>
      </c>
      <c r="S492" s="0" t="n">
        <f aca="false">M492-O492</f>
        <v>-0.0105298199199542</v>
      </c>
      <c r="T492" s="0" t="n">
        <f aca="false">IF(M492&gt;O492,1,0)</f>
        <v>0</v>
      </c>
    </row>
    <row r="493" customFormat="false" ht="15" hidden="false" customHeight="false" outlineLevel="0" collapsed="false">
      <c r="M493" s="0" t="n">
        <f aca="false">3_Returns!B493/3_Returns!B492-1</f>
        <v>0.00228263125129691</v>
      </c>
      <c r="N493" s="0" t="n">
        <f aca="false">3_Returns!C493/3_Returns!C492-1</f>
        <v>-0.00521852576647108</v>
      </c>
      <c r="O493" s="0" t="n">
        <f aca="false">3_Returns!D493/3_Returns!D492-1</f>
        <v>-0.0089844175745164</v>
      </c>
      <c r="P493" s="0" t="n">
        <f aca="false">MAX(3_Returns!$B$31:B493)</f>
        <v>69.88</v>
      </c>
      <c r="Q493" s="0" t="n">
        <f aca="false">3_Returns!B493/P493-1</f>
        <v>-0.30881511161992</v>
      </c>
      <c r="R493" s="0" t="n">
        <f aca="false">LN(3_Returns!B493/3_Returns!B492)</f>
        <v>0.00228003000628559</v>
      </c>
      <c r="S493" s="0" t="n">
        <f aca="false">M493-O493</f>
        <v>0.0112670488258133</v>
      </c>
      <c r="T493" s="0" t="n">
        <f aca="false">IF(M493&gt;O493,1,0)</f>
        <v>1</v>
      </c>
    </row>
    <row r="494" customFormat="false" ht="15" hidden="false" customHeight="false" outlineLevel="0" collapsed="false">
      <c r="M494" s="0" t="n">
        <f aca="false">3_Returns!B494/3_Returns!B493-1</f>
        <v>0.0043478260869565</v>
      </c>
      <c r="N494" s="0" t="n">
        <f aca="false">3_Returns!C494/3_Returns!C493-1</f>
        <v>-0.00144262295081965</v>
      </c>
      <c r="O494" s="0" t="n">
        <f aca="false">3_Returns!D494/3_Returns!D493-1</f>
        <v>0.00211750338143935</v>
      </c>
      <c r="P494" s="0" t="n">
        <f aca="false">MAX(3_Returns!$B$31:B494)</f>
        <v>69.88</v>
      </c>
      <c r="Q494" s="0" t="n">
        <f aca="false">3_Returns!B494/P494-1</f>
        <v>-0.305809959931311</v>
      </c>
      <c r="R494" s="0" t="n">
        <f aca="false">LN(3_Returns!B494/3_Returns!B493)</f>
        <v>0.00433840159859814</v>
      </c>
      <c r="S494" s="0" t="n">
        <f aca="false">M494-O494</f>
        <v>0.00223032270551715</v>
      </c>
      <c r="T494" s="0" t="n">
        <f aca="false">IF(M494&gt;O494,1,0)</f>
        <v>1</v>
      </c>
    </row>
    <row r="495" customFormat="false" ht="15" hidden="false" customHeight="false" outlineLevel="0" collapsed="false">
      <c r="M495" s="0" t="n">
        <f aca="false">3_Returns!B495/3_Returns!B494-1</f>
        <v>-0.00391671820243245</v>
      </c>
      <c r="N495" s="0" t="n">
        <f aca="false">3_Returns!C495/3_Returns!C494-1</f>
        <v>-0.0043341213553979</v>
      </c>
      <c r="O495" s="0" t="n">
        <f aca="false">3_Returns!D495/3_Returns!D494-1</f>
        <v>0.00808520257232637</v>
      </c>
      <c r="P495" s="0" t="n">
        <f aca="false">MAX(3_Returns!$B$31:B495)</f>
        <v>69.88</v>
      </c>
      <c r="Q495" s="0" t="n">
        <f aca="false">3_Returns!B495/P495-1</f>
        <v>-0.308528906697195</v>
      </c>
      <c r="R495" s="0" t="n">
        <f aca="false">LN(3_Returns!B495/3_Returns!B494)</f>
        <v>-0.00392440863056562</v>
      </c>
      <c r="S495" s="0" t="n">
        <f aca="false">M495-O495</f>
        <v>-0.0120019207747588</v>
      </c>
      <c r="T495" s="0" t="n">
        <f aca="false">IF(M495&gt;O495,1,0)</f>
        <v>0</v>
      </c>
    </row>
    <row r="496" customFormat="false" ht="15" hidden="false" customHeight="false" outlineLevel="0" collapsed="false">
      <c r="M496" s="0" t="n">
        <f aca="false">3_Returns!B496/3_Returns!B495-1</f>
        <v>-0.011796357615894</v>
      </c>
      <c r="N496" s="0" t="n">
        <f aca="false">3_Returns!C496/3_Returns!C495-1</f>
        <v>-0.000461680517082175</v>
      </c>
      <c r="O496" s="0" t="n">
        <f aca="false">3_Returns!D496/3_Returns!D495-1</f>
        <v>-0.00607051284134452</v>
      </c>
      <c r="P496" s="0" t="n">
        <f aca="false">MAX(3_Returns!$B$31:B496)</f>
        <v>69.88</v>
      </c>
      <c r="Q496" s="0" t="n">
        <f aca="false">3_Returns!B496/P496-1</f>
        <v>-0.316685746994848</v>
      </c>
      <c r="R496" s="0" t="n">
        <f aca="false">LN(3_Returns!B496/3_Returns!B495)</f>
        <v>-0.0118664866998203</v>
      </c>
      <c r="S496" s="0" t="n">
        <f aca="false">M496-O496</f>
        <v>-0.00572584477454952</v>
      </c>
      <c r="T496" s="0" t="n">
        <f aca="false">IF(M496&gt;O496,1,0)</f>
        <v>0</v>
      </c>
    </row>
    <row r="497" customFormat="false" ht="15" hidden="false" customHeight="false" outlineLevel="0" collapsed="false">
      <c r="M497" s="0" t="n">
        <f aca="false">3_Returns!B497/3_Returns!B496-1</f>
        <v>-0.00502617801047123</v>
      </c>
      <c r="N497" s="0" t="n">
        <f aca="false">3_Returns!C497/3_Returns!C496-1</f>
        <v>0.000131969646981034</v>
      </c>
      <c r="O497" s="0" t="n">
        <f aca="false">3_Returns!D497/3_Returns!D496-1</f>
        <v>0.00364885940447746</v>
      </c>
      <c r="P497" s="0" t="n">
        <f aca="false">MAX(3_Returns!$B$31:B497)</f>
        <v>69.88</v>
      </c>
      <c r="Q497" s="0" t="n">
        <f aca="false">3_Returns!B497/P497-1</f>
        <v>-0.320120206067544</v>
      </c>
      <c r="R497" s="0" t="n">
        <f aca="false">LN(3_Returns!B497/3_Returns!B496)</f>
        <v>-0.00503885172790932</v>
      </c>
      <c r="S497" s="0" t="n">
        <f aca="false">M497-O497</f>
        <v>-0.00867503741494868</v>
      </c>
      <c r="T497" s="0" t="n">
        <f aca="false">IF(M497&gt;O497,1,0)</f>
        <v>0</v>
      </c>
    </row>
    <row r="498" customFormat="false" ht="15" hidden="false" customHeight="false" outlineLevel="0" collapsed="false">
      <c r="M498" s="0" t="n">
        <f aca="false">3_Returns!B498/3_Returns!B497-1</f>
        <v>0.00315723005683011</v>
      </c>
      <c r="N498" s="0" t="n">
        <f aca="false">3_Returns!C498/3_Returns!C497-1</f>
        <v>0.00936860856370014</v>
      </c>
      <c r="O498" s="0" t="n">
        <f aca="false">3_Returns!D498/3_Returns!D497-1</f>
        <v>-0.000623849624549977</v>
      </c>
      <c r="P498" s="0" t="n">
        <f aca="false">MAX(3_Returns!$B$31:B498)</f>
        <v>69.88</v>
      </c>
      <c r="Q498" s="0" t="n">
        <f aca="false">3_Returns!B498/P498-1</f>
        <v>-0.317973669147109</v>
      </c>
      <c r="R498" s="0" t="n">
        <f aca="false">LN(3_Returns!B498/3_Returns!B497)</f>
        <v>0.00315225647176607</v>
      </c>
      <c r="S498" s="0" t="n">
        <f aca="false">M498-O498</f>
        <v>0.00378107968138008</v>
      </c>
      <c r="T498" s="0" t="n">
        <f aca="false">IF(M498&gt;O498,1,0)</f>
        <v>1</v>
      </c>
    </row>
    <row r="499" customFormat="false" ht="15" hidden="false" customHeight="false" outlineLevel="0" collapsed="false">
      <c r="M499" s="0" t="n">
        <f aca="false">3_Returns!B499/3_Returns!B498-1</f>
        <v>0.0360889634913975</v>
      </c>
      <c r="N499" s="0" t="n">
        <f aca="false">3_Returns!C499/3_Returns!C498-1</f>
        <v>0.0201973985227792</v>
      </c>
      <c r="O499" s="0" t="n">
        <f aca="false">3_Returns!D499/3_Returns!D498-1</f>
        <v>0.0287850808495518</v>
      </c>
      <c r="P499" s="0" t="n">
        <f aca="false">MAX(3_Returns!$B$31:B499)</f>
        <v>69.88</v>
      </c>
      <c r="Q499" s="0" t="n">
        <f aca="false">3_Returns!B499/P499-1</f>
        <v>-0.293360045792788</v>
      </c>
      <c r="R499" s="0" t="n">
        <f aca="false">LN(3_Returns!B499/3_Returns!B498)</f>
        <v>0.0354530122464374</v>
      </c>
      <c r="S499" s="0" t="n">
        <f aca="false">M499-O499</f>
        <v>0.00730388264184567</v>
      </c>
      <c r="T499" s="0" t="n">
        <f aca="false">IF(M499&gt;O499,1,0)</f>
        <v>1</v>
      </c>
    </row>
    <row r="500" customFormat="false" ht="15" hidden="false" customHeight="false" outlineLevel="0" collapsed="false">
      <c r="M500" s="0" t="n">
        <f aca="false">3_Returns!B500/3_Returns!B499-1</f>
        <v>0.00648035641960298</v>
      </c>
      <c r="N500" s="0" t="n">
        <f aca="false">3_Returns!C500/3_Returns!C499-1</f>
        <v>-0.00756022552537161</v>
      </c>
      <c r="O500" s="0" t="n">
        <f aca="false">3_Returns!D500/3_Returns!D499-1</f>
        <v>-0.00682500855502466</v>
      </c>
      <c r="P500" s="0" t="n">
        <f aca="false">MAX(3_Returns!$B$31:B500)</f>
        <v>69.88</v>
      </c>
      <c r="Q500" s="0" t="n">
        <f aca="false">3_Returns!B500/P500-1</f>
        <v>-0.288780767029193</v>
      </c>
      <c r="R500" s="0" t="n">
        <f aca="false">LN(3_Returns!B500/3_Returns!B499)</f>
        <v>0.0064594491855495</v>
      </c>
      <c r="S500" s="0" t="n">
        <f aca="false">M500-O500</f>
        <v>0.0133053649746276</v>
      </c>
      <c r="T500" s="0" t="n">
        <f aca="false">IF(M500&gt;O500,1,0)</f>
        <v>1</v>
      </c>
    </row>
    <row r="501" customFormat="false" ht="15" hidden="false" customHeight="false" outlineLevel="0" collapsed="false">
      <c r="M501" s="0" t="n">
        <f aca="false">3_Returns!B501/3_Returns!B500-1</f>
        <v>0.02635814889336</v>
      </c>
      <c r="N501" s="0" t="n">
        <f aca="false">3_Returns!C501/3_Returns!C500-1</f>
        <v>0.0112976113621692</v>
      </c>
      <c r="O501" s="0" t="n">
        <f aca="false">3_Returns!D501/3_Returns!D500-1</f>
        <v>0.0142686233849099</v>
      </c>
      <c r="P501" s="0" t="n">
        <f aca="false">MAX(3_Returns!$B$31:B501)</f>
        <v>69.88</v>
      </c>
      <c r="Q501" s="0" t="n">
        <f aca="false">3_Returns!B501/P501-1</f>
        <v>-0.270034344590727</v>
      </c>
      <c r="R501" s="0" t="n">
        <f aca="false">LN(3_Returns!B501/3_Returns!B500)</f>
        <v>0.026016758832252</v>
      </c>
      <c r="S501" s="0" t="n">
        <f aca="false">M501-O501</f>
        <v>0.0120895255084501</v>
      </c>
      <c r="T501" s="0" t="n">
        <f aca="false">IF(M501&gt;O501,1,0)</f>
        <v>1</v>
      </c>
    </row>
    <row r="502" customFormat="false" ht="15" hidden="false" customHeight="false" outlineLevel="0" collapsed="false">
      <c r="M502" s="0" t="n">
        <f aca="false">3_Returns!B502/3_Returns!B501-1</f>
        <v>-0.0198000392079984</v>
      </c>
      <c r="N502" s="0" t="n">
        <f aca="false">3_Returns!C502/3_Returns!C501-1</f>
        <v>-0.0016597510373445</v>
      </c>
      <c r="O502" s="0" t="n">
        <f aca="false">3_Returns!D502/3_Returns!D501-1</f>
        <v>-0.000209170473936204</v>
      </c>
      <c r="P502" s="0" t="n">
        <f aca="false">MAX(3_Returns!$B$31:B502)</f>
        <v>69.88</v>
      </c>
      <c r="Q502" s="0" t="n">
        <f aca="false">3_Returns!B502/P502-1</f>
        <v>-0.284487693188323</v>
      </c>
      <c r="R502" s="0" t="n">
        <f aca="false">LN(3_Returns!B502/3_Returns!B501)</f>
        <v>-0.0199986865066891</v>
      </c>
      <c r="S502" s="0" t="n">
        <f aca="false">M502-O502</f>
        <v>-0.0195908687340622</v>
      </c>
      <c r="T502" s="0" t="n">
        <f aca="false">IF(M502&gt;O502,1,0)</f>
        <v>0</v>
      </c>
    </row>
    <row r="503" customFormat="false" ht="15" hidden="false" customHeight="false" outlineLevel="0" collapsed="false">
      <c r="M503" s="0" t="n">
        <f aca="false">3_Returns!B503/3_Returns!B502-1</f>
        <v>0.00419999999999998</v>
      </c>
      <c r="N503" s="0" t="n">
        <f aca="false">3_Returns!C503/3_Returns!C502-1</f>
        <v>-0.00690581239209653</v>
      </c>
      <c r="O503" s="0" t="n">
        <f aca="false">3_Returns!D503/3_Returns!D502-1</f>
        <v>-0.000961127051243294</v>
      </c>
      <c r="P503" s="0" t="n">
        <f aca="false">MAX(3_Returns!$B$31:B503)</f>
        <v>69.88</v>
      </c>
      <c r="Q503" s="0" t="n">
        <f aca="false">3_Returns!B503/P503-1</f>
        <v>-0.281482541499714</v>
      </c>
      <c r="R503" s="0" t="n">
        <f aca="false">LN(3_Returns!B503/3_Returns!B502)</f>
        <v>0.00419120461846805</v>
      </c>
      <c r="S503" s="0" t="n">
        <f aca="false">M503-O503</f>
        <v>0.00516112705124328</v>
      </c>
      <c r="T503" s="0" t="n">
        <f aca="false">IF(M503&gt;O503,1,0)</f>
        <v>1</v>
      </c>
    </row>
    <row r="504" customFormat="false" ht="15" hidden="false" customHeight="false" outlineLevel="0" collapsed="false">
      <c r="M504" s="0" t="n">
        <f aca="false">3_Returns!B504/3_Returns!B503-1</f>
        <v>0.0207130053774149</v>
      </c>
      <c r="N504" s="0" t="n">
        <f aca="false">3_Returns!C504/3_Returns!C503-1</f>
        <v>0.00160968385809035</v>
      </c>
      <c r="O504" s="0" t="n">
        <f aca="false">3_Returns!D504/3_Returns!D503-1</f>
        <v>0.00759091860979599</v>
      </c>
      <c r="P504" s="0" t="n">
        <f aca="false">MAX(3_Returns!$B$31:B504)</f>
        <v>69.88</v>
      </c>
      <c r="Q504" s="0" t="n">
        <f aca="false">3_Returns!B504/P504-1</f>
        <v>-0.266599885518031</v>
      </c>
      <c r="R504" s="0" t="n">
        <f aca="false">LN(3_Returns!B504/3_Returns!B503)</f>
        <v>0.0205014079719035</v>
      </c>
      <c r="S504" s="0" t="n">
        <f aca="false">M504-O504</f>
        <v>0.0131220867676189</v>
      </c>
      <c r="T504" s="0" t="n">
        <f aca="false">IF(M504&gt;O504,1,0)</f>
        <v>1</v>
      </c>
    </row>
    <row r="505" customFormat="false" ht="15" hidden="false" customHeight="false" outlineLevel="0" collapsed="false">
      <c r="M505" s="0" t="n">
        <f aca="false">3_Returns!B505/3_Returns!B504-1</f>
        <v>0.0169756097560976</v>
      </c>
      <c r="N505" s="0" t="n">
        <f aca="false">3_Returns!C505/3_Returns!C504-1</f>
        <v>0.0137567498071483</v>
      </c>
      <c r="O505" s="0" t="n">
        <f aca="false">3_Returns!D505/3_Returns!D504-1</f>
        <v>0.00932926200380679</v>
      </c>
      <c r="P505" s="0" t="n">
        <f aca="false">MAX(3_Returns!$B$31:B505)</f>
        <v>69.88</v>
      </c>
      <c r="Q505" s="0" t="n">
        <f aca="false">3_Returns!B505/P505-1</f>
        <v>-0.254149971379508</v>
      </c>
      <c r="R505" s="0" t="n">
        <f aca="false">LN(3_Returns!B505/3_Returns!B504)</f>
        <v>0.0168331342381268</v>
      </c>
      <c r="S505" s="0" t="n">
        <f aca="false">M505-O505</f>
        <v>0.00764634775229078</v>
      </c>
      <c r="T505" s="0" t="n">
        <f aca="false">IF(M505&gt;O505,1,0)</f>
        <v>1</v>
      </c>
    </row>
    <row r="506" customFormat="false" ht="15" hidden="false" customHeight="false" outlineLevel="0" collapsed="false">
      <c r="M506" s="0" t="n">
        <f aca="false">3_Returns!B506/3_Returns!B505-1</f>
        <v>0.0289716039907906</v>
      </c>
      <c r="N506" s="0" t="n">
        <f aca="false">3_Returns!C506/3_Returns!C505-1</f>
        <v>0.0153455928979076</v>
      </c>
      <c r="O506" s="0" t="n">
        <f aca="false">3_Returns!D506/3_Returns!D505-1</f>
        <v>0.0130873272931078</v>
      </c>
      <c r="P506" s="0" t="n">
        <f aca="false">MAX(3_Returns!$B$31:B506)</f>
        <v>69.88</v>
      </c>
      <c r="Q506" s="0" t="n">
        <f aca="false">3_Returns!B506/P506-1</f>
        <v>-0.232541499713795</v>
      </c>
      <c r="R506" s="0" t="n">
        <f aca="false">LN(3_Returns!B506/3_Returns!B505)</f>
        <v>0.0285598607381895</v>
      </c>
      <c r="S506" s="0" t="n">
        <f aca="false">M506-O506</f>
        <v>0.0158842766976828</v>
      </c>
      <c r="T506" s="0" t="n">
        <f aca="false">IF(M506&gt;O506,1,0)</f>
        <v>1</v>
      </c>
    </row>
    <row r="507" customFormat="false" ht="15" hidden="false" customHeight="false" outlineLevel="0" collapsed="false">
      <c r="M507" s="0" t="n">
        <f aca="false">3_Returns!B507/3_Returns!B506-1</f>
        <v>-0.00242401640872647</v>
      </c>
      <c r="N507" s="0" t="n">
        <f aca="false">3_Returns!C507/3_Returns!C506-1</f>
        <v>0.0148013989507869</v>
      </c>
      <c r="O507" s="0" t="n">
        <f aca="false">3_Returns!D507/3_Returns!D506-1</f>
        <v>0.00362958378225553</v>
      </c>
      <c r="P507" s="0" t="n">
        <f aca="false">MAX(3_Returns!$B$31:B507)</f>
        <v>69.88</v>
      </c>
      <c r="Q507" s="0" t="n">
        <f aca="false">3_Returns!B507/P507-1</f>
        <v>-0.234401831711505</v>
      </c>
      <c r="R507" s="0" t="n">
        <f aca="false">LN(3_Returns!B507/3_Returns!B506)</f>
        <v>-0.00242695909287297</v>
      </c>
      <c r="S507" s="0" t="n">
        <f aca="false">M507-O507</f>
        <v>-0.006053600190982</v>
      </c>
      <c r="T507" s="0" t="n">
        <f aca="false">IF(M507&gt;O507,1,0)</f>
        <v>0</v>
      </c>
    </row>
    <row r="508" customFormat="false" ht="15" hidden="false" customHeight="false" outlineLevel="0" collapsed="false">
      <c r="M508" s="0" t="n">
        <f aca="false">3_Returns!B508/3_Returns!B507-1</f>
        <v>-0.0186915887850467</v>
      </c>
      <c r="N508" s="0" t="n">
        <f aca="false">3_Returns!C508/3_Returns!C507-1</f>
        <v>-0.0199396885962213</v>
      </c>
      <c r="O508" s="0" t="n">
        <f aca="false">3_Returns!D508/3_Returns!D507-1</f>
        <v>-0.00573455962967473</v>
      </c>
      <c r="P508" s="0" t="n">
        <f aca="false">MAX(3_Returns!$B$31:B508)</f>
        <v>69.88</v>
      </c>
      <c r="Q508" s="0" t="n">
        <f aca="false">3_Returns!B508/P508-1</f>
        <v>-0.248712077847739</v>
      </c>
      <c r="R508" s="0" t="n">
        <f aca="false">LN(3_Returns!B508/3_Returns!B507)</f>
        <v>-0.0188684843043828</v>
      </c>
      <c r="S508" s="0" t="n">
        <f aca="false">M508-O508</f>
        <v>-0.012957029155372</v>
      </c>
      <c r="T508" s="0" t="n">
        <f aca="false">IF(M508&gt;O508,1,0)</f>
        <v>0</v>
      </c>
    </row>
    <row r="509" customFormat="false" ht="15" hidden="false" customHeight="false" outlineLevel="0" collapsed="false">
      <c r="M509" s="0" t="n">
        <f aca="false">3_Returns!B509/3_Returns!B508-1</f>
        <v>0.00590476190476186</v>
      </c>
      <c r="N509" s="0" t="n">
        <f aca="false">3_Returns!C509/3_Returns!C508-1</f>
        <v>-0.00715855572998425</v>
      </c>
      <c r="O509" s="0" t="n">
        <f aca="false">3_Returns!D509/3_Returns!D508-1</f>
        <v>-0.0051014313412584</v>
      </c>
      <c r="P509" s="0" t="n">
        <f aca="false">MAX(3_Returns!$B$31:B509)</f>
        <v>69.88</v>
      </c>
      <c r="Q509" s="0" t="n">
        <f aca="false">3_Returns!B509/P509-1</f>
        <v>-0.244275901545507</v>
      </c>
      <c r="R509" s="0" t="n">
        <f aca="false">LN(3_Returns!B509/3_Returns!B508)</f>
        <v>0.00588739712126368</v>
      </c>
      <c r="S509" s="0" t="n">
        <f aca="false">M509-O509</f>
        <v>0.0110061932460203</v>
      </c>
      <c r="T509" s="0" t="n">
        <f aca="false">IF(M509&gt;O509,1,0)</f>
        <v>1</v>
      </c>
    </row>
    <row r="510" customFormat="false" ht="15" hidden="false" customHeight="false" outlineLevel="0" collapsed="false">
      <c r="M510" s="0" t="n">
        <f aca="false">3_Returns!B510/3_Returns!B509-1</f>
        <v>-0.00662753266426819</v>
      </c>
      <c r="N510" s="0" t="n">
        <f aca="false">3_Returns!C510/3_Returns!C509-1</f>
        <v>0</v>
      </c>
      <c r="O510" s="0" t="n">
        <f aca="false">3_Returns!D510/3_Returns!D509-1</f>
        <v>0.00545547186599005</v>
      </c>
      <c r="P510" s="0" t="n">
        <f aca="false">MAX(3_Returns!$B$31:B510)</f>
        <v>69.88</v>
      </c>
      <c r="Q510" s="0" t="n">
        <f aca="false">3_Returns!B510/P510-1</f>
        <v>-0.249284487693188</v>
      </c>
      <c r="R510" s="0" t="n">
        <f aca="false">LN(3_Returns!B510/3_Returns!B509)</f>
        <v>-0.00664959228011424</v>
      </c>
      <c r="S510" s="0" t="n">
        <f aca="false">M510-O510</f>
        <v>-0.0120830045302582</v>
      </c>
      <c r="T510" s="0" t="n">
        <f aca="false">IF(M510&gt;O510,1,0)</f>
        <v>0</v>
      </c>
    </row>
    <row r="511" customFormat="false" ht="15" hidden="false" customHeight="false" outlineLevel="0" collapsed="false">
      <c r="M511" s="0" t="n">
        <f aca="false">3_Returns!B511/3_Returns!B510-1</f>
        <v>-0.0196340068623714</v>
      </c>
      <c r="N511" s="0" t="n">
        <f aca="false">3_Returns!C511/3_Returns!C510-1</f>
        <v>0.00607172221870833</v>
      </c>
      <c r="O511" s="0" t="n">
        <f aca="false">3_Returns!D511/3_Returns!D510-1</f>
        <v>0.00617146916485356</v>
      </c>
      <c r="P511" s="0" t="n">
        <f aca="false">MAX(3_Returns!$B$31:B511)</f>
        <v>69.88</v>
      </c>
      <c r="Q511" s="0" t="n">
        <f aca="false">3_Returns!B511/P511-1</f>
        <v>-0.264024041213509</v>
      </c>
      <c r="R511" s="0" t="n">
        <f aca="false">LN(3_Returns!B511/3_Returns!B510)</f>
        <v>-0.0198293146519028</v>
      </c>
      <c r="S511" s="0" t="n">
        <f aca="false">M511-O511</f>
        <v>-0.0258054760272249</v>
      </c>
      <c r="T511" s="0" t="n">
        <f aca="false">IF(M511&gt;O511,1,0)</f>
        <v>0</v>
      </c>
    </row>
    <row r="512" customFormat="false" ht="15" hidden="false" customHeight="false" outlineLevel="0" collapsed="false">
      <c r="M512" s="0" t="n">
        <f aca="false">3_Returns!B512/3_Returns!B511-1</f>
        <v>0.0303324907641456</v>
      </c>
      <c r="N512" s="0" t="n">
        <f aca="false">3_Returns!C512/3_Returns!C511-1</f>
        <v>0.00590934808574839</v>
      </c>
      <c r="O512" s="0" t="n">
        <f aca="false">3_Returns!D512/3_Returns!D511-1</f>
        <v>0.0144081387953099</v>
      </c>
      <c r="P512" s="0" t="n">
        <f aca="false">MAX(3_Returns!$B$31:B512)</f>
        <v>69.88</v>
      </c>
      <c r="Q512" s="0" t="n">
        <f aca="false">3_Returns!B512/P512-1</f>
        <v>-0.241700057240984</v>
      </c>
      <c r="R512" s="0" t="n">
        <f aca="false">LN(3_Returns!B512/3_Returns!B511)</f>
        <v>0.029881556717846</v>
      </c>
      <c r="S512" s="0" t="n">
        <f aca="false">M512-O512</f>
        <v>0.0159243519688357</v>
      </c>
      <c r="T512" s="0" t="n">
        <f aca="false">IF(M512&gt;O512,1,0)</f>
        <v>1</v>
      </c>
    </row>
    <row r="513" customFormat="false" ht="15" hidden="false" customHeight="false" outlineLevel="0" collapsed="false">
      <c r="M513" s="0" t="n">
        <f aca="false">3_Returns!B513/3_Returns!B512-1</f>
        <v>-0.00339686733345912</v>
      </c>
      <c r="N513" s="0" t="n">
        <f aca="false">3_Returns!C513/3_Returns!C512-1</f>
        <v>-0.00162489844384717</v>
      </c>
      <c r="O513" s="0" t="n">
        <f aca="false">3_Returns!D513/3_Returns!D512-1</f>
        <v>0.0045359977320012</v>
      </c>
      <c r="P513" s="0" t="n">
        <f aca="false">MAX(3_Returns!$B$31:B513)</f>
        <v>69.88</v>
      </c>
      <c r="Q513" s="0" t="n">
        <f aca="false">3_Returns!B513/P513-1</f>
        <v>-0.244275901545507</v>
      </c>
      <c r="R513" s="0" t="n">
        <f aca="false">LN(3_Returns!B513/3_Returns!B512)</f>
        <v>-0.0034026497858289</v>
      </c>
      <c r="S513" s="0" t="n">
        <f aca="false">M513-O513</f>
        <v>-0.00793286506546032</v>
      </c>
      <c r="T513" s="0" t="n">
        <f aca="false">IF(M513&gt;O513,1,0)</f>
        <v>0</v>
      </c>
    </row>
    <row r="514" customFormat="false" ht="15" hidden="false" customHeight="false" outlineLevel="0" collapsed="false">
      <c r="M514" s="0" t="n">
        <f aca="false">3_Returns!B514/3_Returns!B513-1</f>
        <v>0.00946790380609741</v>
      </c>
      <c r="N514" s="0" t="n">
        <f aca="false">3_Returns!C514/3_Returns!C513-1</f>
        <v>0.0152112676056337</v>
      </c>
      <c r="O514" s="0" t="n">
        <f aca="false">3_Returns!D514/3_Returns!D513-1</f>
        <v>0.0110020890231466</v>
      </c>
      <c r="P514" s="0" t="n">
        <f aca="false">MAX(3_Returns!$B$31:B514)</f>
        <v>69.88</v>
      </c>
      <c r="Q514" s="0" t="n">
        <f aca="false">3_Returns!B514/P514-1</f>
        <v>-0.23712077847739</v>
      </c>
      <c r="R514" s="0" t="n">
        <f aca="false">LN(3_Returns!B514/3_Returns!B513)</f>
        <v>0.00942336411582795</v>
      </c>
      <c r="S514" s="0" t="n">
        <f aca="false">M514-O514</f>
        <v>-0.00153418521704918</v>
      </c>
      <c r="T514" s="0" t="n">
        <f aca="false">IF(M514&gt;O514,1,0)</f>
        <v>0</v>
      </c>
    </row>
    <row r="515" customFormat="false" ht="15" hidden="false" customHeight="false" outlineLevel="0" collapsed="false">
      <c r="M515" s="0" t="n">
        <f aca="false">3_Returns!B515/3_Returns!B514-1</f>
        <v>0.00131307447008067</v>
      </c>
      <c r="N515" s="0" t="n">
        <f aca="false">3_Returns!C515/3_Returns!C514-1</f>
        <v>0.0127019361203602</v>
      </c>
      <c r="O515" s="0" t="n">
        <f aca="false">3_Returns!D515/3_Returns!D514-1</f>
        <v>0.0156057300766994</v>
      </c>
      <c r="P515" s="0" t="n">
        <f aca="false">MAX(3_Returns!$B$31:B515)</f>
        <v>69.88</v>
      </c>
      <c r="Q515" s="0" t="n">
        <f aca="false">3_Returns!B515/P515-1</f>
        <v>-0.236119061247853</v>
      </c>
      <c r="R515" s="0" t="n">
        <f aca="false">LN(3_Returns!B515/3_Returns!B514)</f>
        <v>0.00131221314170843</v>
      </c>
      <c r="S515" s="0" t="n">
        <f aca="false">M515-O515</f>
        <v>-0.0142926556066187</v>
      </c>
      <c r="T515" s="0" t="n">
        <f aca="false">IF(M515&gt;O515,1,0)</f>
        <v>0</v>
      </c>
    </row>
    <row r="516" customFormat="false" ht="15" hidden="false" customHeight="false" outlineLevel="0" collapsed="false">
      <c r="M516" s="0" t="n">
        <f aca="false">3_Returns!B516/3_Returns!B515-1</f>
        <v>-0.014050206069689</v>
      </c>
      <c r="N516" s="0" t="n">
        <f aca="false">3_Returns!C516/3_Returns!C515-1</f>
        <v>-0.00949829517778866</v>
      </c>
      <c r="O516" s="0" t="n">
        <f aca="false">3_Returns!D516/3_Returns!D515-1</f>
        <v>0.00197782221414289</v>
      </c>
      <c r="P516" s="0" t="n">
        <f aca="false">MAX(3_Returns!$B$31:B516)</f>
        <v>69.88</v>
      </c>
      <c r="Q516" s="0" t="n">
        <f aca="false">3_Returns!B516/P516-1</f>
        <v>-0.246851745850029</v>
      </c>
      <c r="R516" s="0" t="n">
        <f aca="false">LN(3_Returns!B516/3_Returns!B515)</f>
        <v>-0.0141498446106905</v>
      </c>
      <c r="S516" s="0" t="n">
        <f aca="false">M516-O516</f>
        <v>-0.0160280282838319</v>
      </c>
      <c r="T516" s="0" t="n">
        <f aca="false">IF(M516&gt;O516,1,0)</f>
        <v>0</v>
      </c>
    </row>
    <row r="517" customFormat="false" ht="15" hidden="false" customHeight="false" outlineLevel="0" collapsed="false">
      <c r="M517" s="0" t="n">
        <f aca="false">3_Returns!B517/3_Returns!B516-1</f>
        <v>-0.0319209576287288</v>
      </c>
      <c r="N517" s="0" t="n">
        <f aca="false">3_Returns!C517/3_Returns!C516-1</f>
        <v>0.00245881485124166</v>
      </c>
      <c r="O517" s="0" t="n">
        <f aca="false">3_Returns!D517/3_Returns!D516-1</f>
        <v>-0.0146548908902227</v>
      </c>
      <c r="P517" s="0" t="n">
        <f aca="false">MAX(3_Returns!$B$31:B517)</f>
        <v>69.88</v>
      </c>
      <c r="Q517" s="0" t="n">
        <f aca="false">3_Returns!B517/P517-1</f>
        <v>-0.270892959358901</v>
      </c>
      <c r="R517" s="0" t="n">
        <f aca="false">LN(3_Returns!B517/3_Returns!B516)</f>
        <v>-0.0324415396969537</v>
      </c>
      <c r="S517" s="0" t="n">
        <f aca="false">M517-O517</f>
        <v>-0.0172660667385062</v>
      </c>
      <c r="T517" s="0" t="n">
        <f aca="false">IF(M517&gt;O517,1,0)</f>
        <v>0</v>
      </c>
    </row>
    <row r="518" customFormat="false" ht="15" hidden="false" customHeight="false" outlineLevel="0" collapsed="false">
      <c r="M518" s="0" t="n">
        <f aca="false">3_Returns!B518/3_Returns!B517-1</f>
        <v>-0.0182531894013739</v>
      </c>
      <c r="N518" s="0" t="n">
        <f aca="false">3_Returns!C518/3_Returns!C517-1</f>
        <v>0.00141035074809892</v>
      </c>
      <c r="O518" s="0" t="n">
        <f aca="false">3_Returns!D518/3_Returns!D517-1</f>
        <v>-0.0115689185845088</v>
      </c>
      <c r="P518" s="0" t="n">
        <f aca="false">MAX(3_Returns!$B$31:B518)</f>
        <v>69.88</v>
      </c>
      <c r="Q518" s="0" t="n">
        <f aca="false">3_Returns!B518/P518-1</f>
        <v>-0.284201488265598</v>
      </c>
      <c r="R518" s="0" t="n">
        <f aca="false">LN(3_Returns!B518/3_Returns!B517)</f>
        <v>-0.0184218342192608</v>
      </c>
      <c r="S518" s="0" t="n">
        <f aca="false">M518-O518</f>
        <v>-0.00668427081686507</v>
      </c>
      <c r="T518" s="0" t="n">
        <f aca="false">IF(M518&gt;O518,1,0)</f>
        <v>0</v>
      </c>
    </row>
    <row r="519" customFormat="false" ht="15" hidden="false" customHeight="false" outlineLevel="0" collapsed="false">
      <c r="M519" s="0" t="n">
        <f aca="false">3_Returns!B519/3_Returns!B518-1</f>
        <v>-0.0121951219512196</v>
      </c>
      <c r="N519" s="0" t="n">
        <f aca="false">3_Returns!C519/3_Returns!C518-1</f>
        <v>-0.0152470761129141</v>
      </c>
      <c r="O519" s="0" t="n">
        <f aca="false">3_Returns!D519/3_Returns!D518-1</f>
        <v>-0.0141736484291408</v>
      </c>
      <c r="P519" s="0" t="n">
        <f aca="false">MAX(3_Returns!$B$31:B519)</f>
        <v>69.88</v>
      </c>
      <c r="Q519" s="0" t="n">
        <f aca="false">3_Returns!B519/P519-1</f>
        <v>-0.292930738408701</v>
      </c>
      <c r="R519" s="0" t="n">
        <f aca="false">LN(3_Returns!B519/3_Returns!B518)</f>
        <v>-0.0122700925918145</v>
      </c>
      <c r="S519" s="0" t="n">
        <f aca="false">M519-O519</f>
        <v>0.00197852647792118</v>
      </c>
      <c r="T519" s="0" t="n">
        <f aca="false">IF(M519&gt;O519,1,0)</f>
        <v>1</v>
      </c>
    </row>
    <row r="520" customFormat="false" ht="15" hidden="false" customHeight="false" outlineLevel="0" collapsed="false">
      <c r="M520" s="0" t="n">
        <f aca="false">3_Returns!B520/3_Returns!B519-1</f>
        <v>-0.00910746812386143</v>
      </c>
      <c r="N520" s="0" t="n">
        <f aca="false">3_Returns!C520/3_Returns!C519-1</f>
        <v>0.0194005720681507</v>
      </c>
      <c r="O520" s="0" t="n">
        <f aca="false">3_Returns!D520/3_Returns!D519-1</f>
        <v>0.0163592195585036</v>
      </c>
      <c r="P520" s="0" t="n">
        <f aca="false">MAX(3_Returns!$B$31:B520)</f>
        <v>69.88</v>
      </c>
      <c r="Q520" s="0" t="n">
        <f aca="false">3_Returns!B520/P520-1</f>
        <v>-0.299370349170006</v>
      </c>
      <c r="R520" s="0" t="n">
        <f aca="false">LN(3_Returns!B520/3_Returns!B519)</f>
        <v>-0.00914919465358787</v>
      </c>
      <c r="S520" s="0" t="n">
        <f aca="false">M520-O520</f>
        <v>-0.025466687682365</v>
      </c>
      <c r="T520" s="0" t="n">
        <f aca="false">IF(M520&gt;O520,1,0)</f>
        <v>0</v>
      </c>
    </row>
    <row r="521" customFormat="false" ht="15" hidden="false" customHeight="false" outlineLevel="0" collapsed="false">
      <c r="M521" s="0" t="n">
        <f aca="false">3_Returns!B521/3_Returns!B520-1</f>
        <v>-0.000204248366013071</v>
      </c>
      <c r="N521" s="0" t="n">
        <f aca="false">3_Returns!C521/3_Returns!C520-1</f>
        <v>-0.0126265706965962</v>
      </c>
      <c r="O521" s="0" t="n">
        <f aca="false">3_Returns!D521/3_Returns!D520-1</f>
        <v>-0.00822345670749392</v>
      </c>
      <c r="P521" s="0" t="n">
        <f aca="false">MAX(3_Returns!$B$31:B521)</f>
        <v>69.88</v>
      </c>
      <c r="Q521" s="0" t="n">
        <f aca="false">3_Returns!B521/P521-1</f>
        <v>-0.299513451631368</v>
      </c>
      <c r="R521" s="0" t="n">
        <f aca="false">LN(3_Returns!B521/3_Returns!B520)</f>
        <v>-0.000204269227551252</v>
      </c>
      <c r="S521" s="0" t="n">
        <f aca="false">M521-O521</f>
        <v>0.00801920834148084</v>
      </c>
      <c r="T521" s="0" t="n">
        <f aca="false">IF(M521&gt;O521,1,0)</f>
        <v>1</v>
      </c>
    </row>
    <row r="522" customFormat="false" ht="15" hidden="false" customHeight="false" outlineLevel="0" collapsed="false">
      <c r="M522" s="0" t="n">
        <f aca="false">3_Returns!B522/3_Returns!B521-1</f>
        <v>0.000612870275791488</v>
      </c>
      <c r="N522" s="0" t="n">
        <f aca="false">3_Returns!C522/3_Returns!C521-1</f>
        <v>0.0196453944523383</v>
      </c>
      <c r="O522" s="0" t="n">
        <f aca="false">3_Returns!D522/3_Returns!D521-1</f>
        <v>0.0127321479988483</v>
      </c>
      <c r="P522" s="0" t="n">
        <f aca="false">MAX(3_Returns!$B$31:B522)</f>
        <v>69.88</v>
      </c>
      <c r="Q522" s="0" t="n">
        <f aca="false">3_Returns!B522/P522-1</f>
        <v>-0.299084144247281</v>
      </c>
      <c r="R522" s="0" t="n">
        <f aca="false">LN(3_Returns!B522/3_Returns!B521)</f>
        <v>0.000612682547502157</v>
      </c>
      <c r="S522" s="0" t="n">
        <f aca="false">M522-O522</f>
        <v>-0.0121192777230568</v>
      </c>
      <c r="T522" s="0" t="n">
        <f aca="false">IF(M522&gt;O522,1,0)</f>
        <v>0</v>
      </c>
    </row>
    <row r="523" customFormat="false" ht="15" hidden="false" customHeight="false" outlineLevel="0" collapsed="false">
      <c r="M523" s="0" t="n">
        <f aca="false">3_Returns!B523/3_Returns!B522-1</f>
        <v>-0.00571661902817466</v>
      </c>
      <c r="N523" s="0" t="n">
        <f aca="false">3_Returns!C523/3_Returns!C522-1</f>
        <v>0.00242350802787028</v>
      </c>
      <c r="O523" s="0" t="n">
        <f aca="false">3_Returns!D523/3_Returns!D522-1</f>
        <v>0.00622088356981854</v>
      </c>
      <c r="P523" s="0" t="n">
        <f aca="false">MAX(3_Returns!$B$31:B523)</f>
        <v>69.88</v>
      </c>
      <c r="Q523" s="0" t="n">
        <f aca="false">3_Returns!B523/P523-1</f>
        <v>-0.303091013165426</v>
      </c>
      <c r="R523" s="0" t="n">
        <f aca="false">LN(3_Returns!B523/3_Returns!B522)</f>
        <v>-0.00573302143547747</v>
      </c>
      <c r="S523" s="0" t="n">
        <f aca="false">M523-O523</f>
        <v>-0.0119375025979932</v>
      </c>
      <c r="T523" s="0" t="n">
        <f aca="false">IF(M523&gt;O523,1,0)</f>
        <v>0</v>
      </c>
    </row>
    <row r="524" customFormat="false" ht="15" hidden="false" customHeight="false" outlineLevel="0" collapsed="false">
      <c r="M524" s="0" t="n">
        <f aca="false">3_Returns!B524/3_Returns!B523-1</f>
        <v>0.0297741273100616</v>
      </c>
      <c r="N524" s="0" t="n">
        <f aca="false">3_Returns!C524/3_Returns!C523-1</f>
        <v>0.00483529767301305</v>
      </c>
      <c r="O524" s="0" t="n">
        <f aca="false">3_Returns!D524/3_Returns!D523-1</f>
        <v>0.0176068826369706</v>
      </c>
      <c r="P524" s="0" t="n">
        <f aca="false">MAX(3_Returns!$B$31:B524)</f>
        <v>69.88</v>
      </c>
      <c r="Q524" s="0" t="n">
        <f aca="false">3_Returns!B524/P524-1</f>
        <v>-0.282341156267888</v>
      </c>
      <c r="R524" s="0" t="n">
        <f aca="false">LN(3_Returns!B524/3_Returns!B523)</f>
        <v>0.0293394843194004</v>
      </c>
      <c r="S524" s="0" t="n">
        <f aca="false">M524-O524</f>
        <v>0.0121672446730909</v>
      </c>
      <c r="T524" s="0" t="n">
        <f aca="false">IF(M524&gt;O524,1,0)</f>
        <v>1</v>
      </c>
    </row>
    <row r="525" customFormat="false" ht="15" hidden="false" customHeight="false" outlineLevel="0" collapsed="false">
      <c r="M525" s="0" t="n">
        <f aca="false">3_Returns!B525/3_Returns!B524-1</f>
        <v>0.0117647058823529</v>
      </c>
      <c r="N525" s="0" t="n">
        <f aca="false">3_Returns!C525/3_Returns!C524-1</f>
        <v>0.00384962406015021</v>
      </c>
      <c r="O525" s="0" t="n">
        <f aca="false">3_Returns!D525/3_Returns!D524-1</f>
        <v>0.0104270461089475</v>
      </c>
      <c r="P525" s="0" t="n">
        <f aca="false">MAX(3_Returns!$B$31:B525)</f>
        <v>69.88</v>
      </c>
      <c r="Q525" s="0" t="n">
        <f aca="false">3_Returns!B525/P525-1</f>
        <v>-0.27389811104751</v>
      </c>
      <c r="R525" s="0" t="n">
        <f aca="false">LN(3_Returns!B525/3_Returns!B524)</f>
        <v>0.0116960397631912</v>
      </c>
      <c r="S525" s="0" t="n">
        <f aca="false">M525-O525</f>
        <v>0.00133765977340539</v>
      </c>
      <c r="T525" s="0" t="n">
        <f aca="false">IF(M525&gt;O525,1,0)</f>
        <v>1</v>
      </c>
    </row>
    <row r="526" customFormat="false" ht="15" hidden="false" customHeight="false" outlineLevel="0" collapsed="false">
      <c r="M526" s="0" t="n">
        <f aca="false">3_Returns!B526/3_Returns!B525-1</f>
        <v>-0.0201024832479307</v>
      </c>
      <c r="N526" s="0" t="n">
        <f aca="false">3_Returns!C526/3_Returns!C525-1</f>
        <v>-0.00760980286416191</v>
      </c>
      <c r="O526" s="0" t="n">
        <f aca="false">3_Returns!D526/3_Returns!D525-1</f>
        <v>-0.000714202905188643</v>
      </c>
      <c r="P526" s="0" t="n">
        <f aca="false">MAX(3_Returns!$B$31:B526)</f>
        <v>69.88</v>
      </c>
      <c r="Q526" s="0" t="n">
        <f aca="false">3_Returns!B526/P526-1</f>
        <v>-0.288494562106468</v>
      </c>
      <c r="R526" s="0" t="n">
        <f aca="false">LN(3_Returns!B526/3_Returns!B525)</f>
        <v>-0.0203072875286256</v>
      </c>
      <c r="S526" s="0" t="n">
        <f aca="false">M526-O526</f>
        <v>-0.0193882803427421</v>
      </c>
      <c r="T526" s="0" t="n">
        <f aca="false">IF(M526&gt;O526,1,0)</f>
        <v>0</v>
      </c>
    </row>
    <row r="527" customFormat="false" ht="15" hidden="false" customHeight="false" outlineLevel="0" collapsed="false">
      <c r="M527" s="0" t="n">
        <f aca="false">3_Returns!B527/3_Returns!B526-1</f>
        <v>0.0215205148833468</v>
      </c>
      <c r="N527" s="0" t="n">
        <f aca="false">3_Returns!C527/3_Returns!C526-1</f>
        <v>0.000724550175099648</v>
      </c>
      <c r="O527" s="0" t="n">
        <f aca="false">3_Returns!D527/3_Returns!D526-1</f>
        <v>-0.00169869747429752</v>
      </c>
      <c r="P527" s="0" t="n">
        <f aca="false">MAX(3_Returns!$B$31:B527)</f>
        <v>69.88</v>
      </c>
      <c r="Q527" s="0" t="n">
        <f aca="false">3_Returns!B527/P527-1</f>
        <v>-0.273182598740698</v>
      </c>
      <c r="R527" s="0" t="n">
        <f aca="false">LN(3_Returns!B527/3_Returns!B526)</f>
        <v>0.0212922181706434</v>
      </c>
      <c r="S527" s="0" t="n">
        <f aca="false">M527-O527</f>
        <v>0.0232192123576443</v>
      </c>
      <c r="T527" s="0" t="n">
        <f aca="false">IF(M527&gt;O527,1,0)</f>
        <v>1</v>
      </c>
    </row>
    <row r="528" customFormat="false" ht="15" hidden="false" customHeight="false" outlineLevel="0" collapsed="false">
      <c r="M528" s="0" t="n">
        <f aca="false">3_Returns!B528/3_Returns!B527-1</f>
        <v>-0.00925379011616456</v>
      </c>
      <c r="N528" s="0" t="n">
        <f aca="false">3_Returns!C528/3_Returns!C527-1</f>
        <v>0.00259442500301654</v>
      </c>
      <c r="O528" s="0" t="n">
        <f aca="false">3_Returns!D528/3_Returns!D527-1</f>
        <v>0.00117647733989856</v>
      </c>
      <c r="P528" s="0" t="n">
        <f aca="false">MAX(3_Returns!$B$31:B528)</f>
        <v>69.88</v>
      </c>
      <c r="Q528" s="0" t="n">
        <f aca="false">3_Returns!B528/P528-1</f>
        <v>-0.279908414424728</v>
      </c>
      <c r="R528" s="0" t="n">
        <f aca="false">LN(3_Returns!B528/3_Returns!B527)</f>
        <v>-0.00929687242096852</v>
      </c>
      <c r="S528" s="0" t="n">
        <f aca="false">M528-O528</f>
        <v>-0.0104302674560631</v>
      </c>
      <c r="T528" s="0" t="n">
        <f aca="false">IF(M528&gt;O528,1,0)</f>
        <v>0</v>
      </c>
    </row>
    <row r="529" customFormat="false" ht="15" hidden="false" customHeight="false" outlineLevel="0" collapsed="false">
      <c r="M529" s="0" t="n">
        <f aca="false">3_Returns!B529/3_Returns!B528-1</f>
        <v>0.00576311605723379</v>
      </c>
      <c r="N529" s="0" t="n">
        <f aca="false">3_Returns!C529/3_Returns!C528-1</f>
        <v>0.00186555936691346</v>
      </c>
      <c r="O529" s="0" t="n">
        <f aca="false">3_Returns!D529/3_Returns!D528-1</f>
        <v>0.00208364382587956</v>
      </c>
      <c r="P529" s="0" t="n">
        <f aca="false">MAX(3_Returns!$B$31:B529)</f>
        <v>69.88</v>
      </c>
      <c r="Q529" s="0" t="n">
        <f aca="false">3_Returns!B529/P529-1</f>
        <v>-0.27575844304522</v>
      </c>
      <c r="R529" s="0" t="n">
        <f aca="false">LN(3_Returns!B529/3_Returns!B528)</f>
        <v>0.00574657283380162</v>
      </c>
      <c r="S529" s="0" t="n">
        <f aca="false">M529-O529</f>
        <v>0.00367947223135423</v>
      </c>
      <c r="T529" s="0" t="n">
        <f aca="false">IF(M529&gt;O529,1,0)</f>
        <v>1</v>
      </c>
    </row>
    <row r="530" customFormat="false" ht="15" hidden="false" customHeight="false" outlineLevel="0" collapsed="false">
      <c r="M530" s="0" t="n">
        <f aca="false">3_Returns!B530/3_Returns!B529-1</f>
        <v>-0.00335901995653032</v>
      </c>
      <c r="N530" s="0" t="n">
        <f aca="false">3_Returns!C530/3_Returns!C529-1</f>
        <v>-0.00864968765016816</v>
      </c>
      <c r="O530" s="0" t="n">
        <f aca="false">3_Returns!D530/3_Returns!D529-1</f>
        <v>-0.00503239092196139</v>
      </c>
      <c r="P530" s="0" t="n">
        <f aca="false">MAX(3_Returns!$B$31:B530)</f>
        <v>69.88</v>
      </c>
      <c r="Q530" s="0" t="n">
        <f aca="false">3_Returns!B530/P530-1</f>
        <v>-0.27819118488838</v>
      </c>
      <c r="R530" s="0" t="n">
        <f aca="false">LN(3_Returns!B530/3_Returns!B529)</f>
        <v>-0.0033646741292678</v>
      </c>
      <c r="S530" s="0" t="n">
        <f aca="false">M530-O530</f>
        <v>0.00167337096543108</v>
      </c>
      <c r="T530" s="0" t="n">
        <f aca="false">IF(M530&gt;O530,1,0)</f>
        <v>1</v>
      </c>
    </row>
    <row r="531" customFormat="false" ht="15" hidden="false" customHeight="false" outlineLevel="0" collapsed="false">
      <c r="M531" s="0" t="n">
        <f aca="false">3_Returns!B531/3_Returns!B530-1</f>
        <v>0.0180412371134022</v>
      </c>
      <c r="N531" s="0" t="n">
        <f aca="false">3_Returns!C531/3_Returns!C530-1</f>
        <v>-0.0345370819195346</v>
      </c>
      <c r="O531" s="0" t="n">
        <f aca="false">3_Returns!D531/3_Returns!D530-1</f>
        <v>-1.14983665132629E-005</v>
      </c>
      <c r="P531" s="0" t="n">
        <f aca="false">MAX(3_Returns!$B$31:B531)</f>
        <v>69.88</v>
      </c>
      <c r="Q531" s="0" t="n">
        <f aca="false">3_Returns!B531/P531-1</f>
        <v>-0.265168860904408</v>
      </c>
      <c r="R531" s="0" t="n">
        <f aca="false">LN(3_Returns!B531/3_Returns!B530)</f>
        <v>0.0178804252778486</v>
      </c>
      <c r="S531" s="0" t="n">
        <f aca="false">M531-O531</f>
        <v>0.0180527354799155</v>
      </c>
      <c r="T531" s="0" t="n">
        <f aca="false">IF(M531&gt;O531,1,0)</f>
        <v>1</v>
      </c>
    </row>
    <row r="532" customFormat="false" ht="15" hidden="false" customHeight="false" outlineLevel="0" collapsed="false">
      <c r="M532" s="0" t="n">
        <f aca="false">3_Returns!B532/3_Returns!B531-1</f>
        <v>0.014410905550146</v>
      </c>
      <c r="N532" s="0" t="n">
        <f aca="false">3_Returns!C532/3_Returns!C531-1</f>
        <v>0.0125517760763147</v>
      </c>
      <c r="O532" s="0" t="n">
        <f aca="false">3_Returns!D532/3_Returns!D531-1</f>
        <v>0.0165377157944815</v>
      </c>
      <c r="P532" s="0" t="n">
        <f aca="false">MAX(3_Returns!$B$31:B532)</f>
        <v>69.88</v>
      </c>
      <c r="Q532" s="0" t="n">
        <f aca="false">3_Returns!B532/P532-1</f>
        <v>-0.254579278763595</v>
      </c>
      <c r="R532" s="0" t="n">
        <f aca="false">LN(3_Returns!B532/3_Returns!B531)</f>
        <v>0.0143080553825329</v>
      </c>
      <c r="S532" s="0" t="n">
        <f aca="false">M532-O532</f>
        <v>-0.00212681024433548</v>
      </c>
      <c r="T532" s="0" t="n">
        <f aca="false">IF(M532&gt;O532,1,0)</f>
        <v>0</v>
      </c>
    </row>
    <row r="533" customFormat="false" ht="15" hidden="false" customHeight="false" outlineLevel="0" collapsed="false">
      <c r="M533" s="0" t="n">
        <f aca="false">3_Returns!B533/3_Returns!B532-1</f>
        <v>-0.00729506623152243</v>
      </c>
      <c r="N533" s="0" t="n">
        <f aca="false">3_Returns!C533/3_Returns!C532-1</f>
        <v>-0.0295648940126442</v>
      </c>
      <c r="O533" s="0" t="n">
        <f aca="false">3_Returns!D533/3_Returns!D532-1</f>
        <v>-0.0168384826277591</v>
      </c>
      <c r="P533" s="0" t="n">
        <f aca="false">MAX(3_Returns!$B$31:B533)</f>
        <v>69.88</v>
      </c>
      <c r="Q533" s="0" t="n">
        <f aca="false">3_Returns!B533/P533-1</f>
        <v>-0.260017172295364</v>
      </c>
      <c r="R533" s="0" t="n">
        <f aca="false">LN(3_Returns!B533/3_Returns!B532)</f>
        <v>-0.00732180534897013</v>
      </c>
      <c r="S533" s="0" t="n">
        <f aca="false">M533-O533</f>
        <v>0.00954341639623668</v>
      </c>
      <c r="T533" s="0" t="n">
        <f aca="false">IF(M533&gt;O533,1,0)</f>
        <v>1</v>
      </c>
    </row>
    <row r="534" customFormat="false" ht="15" hidden="false" customHeight="false" outlineLevel="0" collapsed="false">
      <c r="M534" s="0" t="n">
        <f aca="false">3_Returns!B534/3_Returns!B533-1</f>
        <v>-0.00580158576677636</v>
      </c>
      <c r="N534" s="0" t="n">
        <f aca="false">3_Returns!C534/3_Returns!C533-1</f>
        <v>0.00440697451619077</v>
      </c>
      <c r="O534" s="0" t="n">
        <f aca="false">3_Returns!D534/3_Returns!D533-1</f>
        <v>0.00292374953260266</v>
      </c>
      <c r="P534" s="0" t="n">
        <f aca="false">MAX(3_Returns!$B$31:B534)</f>
        <v>69.88</v>
      </c>
      <c r="Q534" s="0" t="n">
        <f aca="false">3_Returns!B534/P534-1</f>
        <v>-0.264310246136234</v>
      </c>
      <c r="R534" s="0" t="n">
        <f aca="false">LN(3_Returns!B534/3_Returns!B533)</f>
        <v>-0.00581848034071693</v>
      </c>
      <c r="S534" s="0" t="n">
        <f aca="false">M534-O534</f>
        <v>-0.00872533529937902</v>
      </c>
      <c r="T534" s="0" t="n">
        <f aca="false">IF(M534&gt;O534,1,0)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3"/>
  </cols>
  <sheetData>
    <row r="1" customFormat="false" ht="19.7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386</v>
      </c>
      <c r="B5" s="13" t="s">
        <v>387</v>
      </c>
      <c r="C5" s="13"/>
      <c r="D5" s="13"/>
      <c r="E5" s="13"/>
      <c r="F5" s="13"/>
      <c r="G5" s="13"/>
      <c r="H5" s="27"/>
      <c r="I5" s="12" t="str">
        <f aca="false">IF(H5="","",IFERROR(IF(ISNUMBER('Answer Key'!$D$32),IF(ABS(H5-'Answer Key'!$D$32)&lt;=MAX(0.0001,ABS('Answer Key'!$D$32)*0.001),"✓ Correct","✗ Try again"),IF(TRIM(H5)=TRIM('Answer Key'!$D$32),"✓ Correct","✗ Try again")),"✗ Try again"))</f>
        <v/>
      </c>
      <c r="J5" s="15" t="s">
        <v>388</v>
      </c>
      <c r="K5" s="15"/>
      <c r="L5" s="15"/>
      <c r="M5" s="15"/>
    </row>
    <row r="6" customFormat="false" ht="31.5" hidden="false" customHeight="true" outlineLevel="0" collapsed="false">
      <c r="A6" s="12" t="s">
        <v>389</v>
      </c>
      <c r="B6" s="13" t="s">
        <v>390</v>
      </c>
      <c r="C6" s="13"/>
      <c r="D6" s="13"/>
      <c r="E6" s="13"/>
      <c r="F6" s="13"/>
      <c r="G6" s="13"/>
      <c r="H6" s="27"/>
      <c r="I6" s="12" t="str">
        <f aca="false">IF(H6="","",IFERROR(IF(ISNUMBER('Answer Key'!$D$33),IF(ABS(H6-'Answer Key'!$D$33)&lt;=MAX(0.0001,ABS('Answer Key'!$D$33)*0.001),"✓ Correct","✗ Try again"),IF(TRIM(H6)=TRIM('Answer Key'!$D$33),"✓ Correct","✗ Try again")),"✗ Try again"))</f>
        <v/>
      </c>
      <c r="J6" s="15" t="s">
        <v>391</v>
      </c>
      <c r="K6" s="15"/>
      <c r="L6" s="15"/>
      <c r="M6" s="15"/>
    </row>
    <row r="7" customFormat="false" ht="31.5" hidden="false" customHeight="true" outlineLevel="0" collapsed="false">
      <c r="A7" s="12" t="s">
        <v>392</v>
      </c>
      <c r="B7" s="13" t="s">
        <v>393</v>
      </c>
      <c r="C7" s="13"/>
      <c r="D7" s="13"/>
      <c r="E7" s="13"/>
      <c r="F7" s="13"/>
      <c r="G7" s="13"/>
      <c r="H7" s="27"/>
      <c r="I7" s="12" t="str">
        <f aca="false">IF(H7="","",IFERROR(IF(ISNUMBER('Answer Key'!$D$34),IF(ABS(H7-'Answer Key'!$D$34)&lt;=MAX(0.0001,ABS('Answer Key'!$D$34)*0.001),"✓ Correct","✗ Try again"),IF(TRIM(H7)=TRIM('Answer Key'!$D$34),"✓ Correct","✗ Try again")),"✗ Try again"))</f>
        <v/>
      </c>
      <c r="J7" s="15" t="s">
        <v>394</v>
      </c>
      <c r="K7" s="15"/>
      <c r="L7" s="15"/>
      <c r="M7" s="15"/>
    </row>
    <row r="8" customFormat="false" ht="18" hidden="false" customHeight="true" outlineLevel="0" collapsed="false">
      <c r="A8" s="12" t="s">
        <v>395</v>
      </c>
      <c r="B8" s="13" t="s">
        <v>396</v>
      </c>
      <c r="C8" s="13"/>
      <c r="D8" s="13"/>
      <c r="E8" s="13"/>
      <c r="F8" s="13"/>
      <c r="G8" s="13"/>
      <c r="H8" s="27"/>
      <c r="I8" s="12" t="str">
        <f aca="false">IF(H8="","",IFERROR(IF(ISNUMBER('Answer Key'!$D$35),IF(ABS(H8-'Answer Key'!$D$35)&lt;=MAX(0.0001,ABS('Answer Key'!$D$35)*0.001),"✓ Correct","✗ Try again"),IF(TRIM(H8)=TRIM('Answer Key'!$D$35),"✓ Correct","✗ Try again")),"✗ Try again"))</f>
        <v/>
      </c>
      <c r="J8" s="15" t="s">
        <v>397</v>
      </c>
      <c r="K8" s="15"/>
      <c r="L8" s="15"/>
      <c r="M8" s="15"/>
    </row>
    <row r="9" customFormat="false" ht="18" hidden="false" customHeight="true" outlineLevel="0" collapsed="false">
      <c r="A9" s="12" t="s">
        <v>398</v>
      </c>
      <c r="B9" s="13" t="s">
        <v>399</v>
      </c>
      <c r="C9" s="13"/>
      <c r="D9" s="13"/>
      <c r="E9" s="13"/>
      <c r="F9" s="13"/>
      <c r="G9" s="13"/>
      <c r="H9" s="33"/>
      <c r="I9" s="12" t="str">
        <f aca="false">IF(H9="","",IFERROR(IF(ISNUMBER('Answer Key'!$D$36),IF(ABS(H9-'Answer Key'!$D$36)&lt;=MAX(0.0001,ABS('Answer Key'!$D$36)*0.001),"✓ Correct","✗ Try again"),IF(TRIM(H9)=TRIM('Answer Key'!$D$36),"✓ Correct","✗ Try again")),"✗ Try again"))</f>
        <v/>
      </c>
      <c r="J9" s="15" t="s">
        <v>400</v>
      </c>
      <c r="K9" s="15"/>
      <c r="L9" s="15"/>
      <c r="M9" s="15"/>
    </row>
    <row r="10" customFormat="false" ht="31.5" hidden="false" customHeight="true" outlineLevel="0" collapsed="false">
      <c r="A10" s="12" t="s">
        <v>401</v>
      </c>
      <c r="B10" s="13" t="s">
        <v>402</v>
      </c>
      <c r="C10" s="13"/>
      <c r="D10" s="13"/>
      <c r="E10" s="13"/>
      <c r="F10" s="13"/>
      <c r="G10" s="13"/>
      <c r="H10" s="27"/>
      <c r="I10" s="12" t="str">
        <f aca="false">IF(H10="","",IFERROR(IF(ISNUMBER('Answer Key'!$D$37),IF(ABS(H10-'Answer Key'!$D$37)&lt;=MAX(0.0001,ABS('Answer Key'!$D$37)*0.001),"✓ Correct","✗ Try again"),IF(TRIM(H10)=TRIM('Answer Key'!$D$37),"✓ Correct","✗ Try again")),"✗ Try again"))</f>
        <v/>
      </c>
      <c r="J10" s="15" t="s">
        <v>403</v>
      </c>
      <c r="K10" s="15"/>
      <c r="L10" s="15"/>
      <c r="M10" s="15"/>
    </row>
    <row r="11" customFormat="false" ht="18" hidden="false" customHeight="true" outlineLevel="0" collapsed="false">
      <c r="A11" s="12" t="s">
        <v>404</v>
      </c>
      <c r="B11" s="13" t="s">
        <v>405</v>
      </c>
      <c r="C11" s="13"/>
      <c r="D11" s="13"/>
      <c r="E11" s="13"/>
      <c r="F11" s="13"/>
      <c r="G11" s="13"/>
      <c r="H11" s="34"/>
      <c r="I11" s="12" t="str">
        <f aca="false">IF(H11="","",IFERROR(IF(ISNUMBER('Answer Key'!$D$38),IF(ABS(H11-'Answer Key'!$D$38)&lt;=MAX(0.0001,ABS('Answer Key'!$D$38)*0.001),"✓ Correct","✗ Try again"),IF(TRIM(H11)=TRIM('Answer Key'!$D$38),"✓ Correct","✗ Try again")),"✗ Try again"))</f>
        <v/>
      </c>
      <c r="J11" s="15" t="s">
        <v>406</v>
      </c>
      <c r="K11" s="15"/>
      <c r="L11" s="15"/>
      <c r="M11" s="15"/>
    </row>
    <row r="12" customFormat="false" ht="18" hidden="false" customHeight="true" outlineLevel="0" collapsed="false">
      <c r="A12" s="12" t="s">
        <v>407</v>
      </c>
      <c r="B12" s="13" t="s">
        <v>408</v>
      </c>
      <c r="C12" s="13"/>
      <c r="D12" s="13"/>
      <c r="E12" s="13"/>
      <c r="F12" s="13"/>
      <c r="G12" s="13"/>
      <c r="H12" s="33"/>
      <c r="I12" s="12" t="str">
        <f aca="false">IF(H12="","",IFERROR(IF(ISNUMBER('Answer Key'!$D$39),IF(ABS(H12-'Answer Key'!$D$39)&lt;=MAX(0.0001,ABS('Answer Key'!$D$39)*0.001),"✓ Correct","✗ Try again"),IF(TRIM(H12)=TRIM('Answer Key'!$D$39),"✓ Correct","✗ Try again")),"✗ Try again"))</f>
        <v/>
      </c>
      <c r="J12" s="15" t="s">
        <v>409</v>
      </c>
      <c r="K12" s="15"/>
      <c r="L12" s="15"/>
      <c r="M12" s="15"/>
    </row>
    <row r="13" customFormat="false" ht="18" hidden="false" customHeight="true" outlineLevel="0" collapsed="false">
      <c r="A13" s="12" t="s">
        <v>410</v>
      </c>
      <c r="B13" s="13" t="s">
        <v>411</v>
      </c>
      <c r="C13" s="13"/>
      <c r="D13" s="13"/>
      <c r="E13" s="13"/>
      <c r="F13" s="13"/>
      <c r="G13" s="13"/>
      <c r="H13" s="33"/>
      <c r="I13" s="12" t="str">
        <f aca="false">IF(H13="","",IFERROR(IF(ISNUMBER('Answer Key'!$D$40),IF(ABS(H13-'Answer Key'!$D$40)&lt;=MAX(0.0001,ABS('Answer Key'!$D$40)*0.001),"✓ Correct","✗ Try again"),IF(TRIM(H13)=TRIM('Answer Key'!$D$40),"✓ Correct","✗ Try again")),"✗ Try again"))</f>
        <v/>
      </c>
      <c r="J13" s="15" t="s">
        <v>412</v>
      </c>
      <c r="K13" s="15"/>
      <c r="L13" s="15"/>
      <c r="M13" s="15"/>
    </row>
    <row r="14" customFormat="false" ht="31.5" hidden="false" customHeight="true" outlineLevel="0" collapsed="false">
      <c r="A14" s="12" t="s">
        <v>413</v>
      </c>
      <c r="B14" s="13" t="s">
        <v>414</v>
      </c>
      <c r="C14" s="13"/>
      <c r="D14" s="13"/>
      <c r="E14" s="13"/>
      <c r="F14" s="13"/>
      <c r="G14" s="13"/>
      <c r="H14" s="27"/>
      <c r="I14" s="12" t="str">
        <f aca="false">IF(H14="","",IFERROR(IF(ISNUMBER('Answer Key'!$D$41),IF(ABS(H14-'Answer Key'!$D$41)&lt;=MAX(0.0001,ABS('Answer Key'!$D$41)*0.001),"✓ Correct","✗ Try again"),IF(TRIM(H14)=TRIM('Answer Key'!$D$41),"✓ Correct","✗ Try again")),"✗ Try again"))</f>
        <v/>
      </c>
      <c r="J14" s="15" t="s">
        <v>415</v>
      </c>
      <c r="K14" s="15"/>
      <c r="L14" s="15"/>
      <c r="M14" s="15"/>
    </row>
    <row r="15" customFormat="false" ht="18" hidden="false" customHeight="true" outlineLevel="0" collapsed="false">
      <c r="A15" s="12" t="s">
        <v>416</v>
      </c>
      <c r="B15" s="13" t="s">
        <v>417</v>
      </c>
      <c r="C15" s="13"/>
      <c r="D15" s="13"/>
      <c r="E15" s="13"/>
      <c r="F15" s="13"/>
      <c r="G15" s="13"/>
      <c r="H15" s="33"/>
      <c r="I15" s="12" t="str">
        <f aca="false">IF(H15="","",IFERROR(IF(ISNUMBER('Answer Key'!$D$42),IF(ABS(H15-'Answer Key'!$D$42)&lt;=MAX(0.0001,ABS('Answer Key'!$D$42)*0.001),"✓ Correct","✗ Try again"),IF(TRIM(H15)=TRIM('Answer Key'!$D$42),"✓ Correct","✗ Try again")),"✗ Try again"))</f>
        <v/>
      </c>
      <c r="J15" s="15" t="s">
        <v>418</v>
      </c>
      <c r="K15" s="15"/>
      <c r="L15" s="15"/>
      <c r="M15" s="15"/>
    </row>
    <row r="16" customFormat="false" ht="18" hidden="false" customHeight="true" outlineLevel="0" collapsed="false">
      <c r="A16" s="12" t="s">
        <v>419</v>
      </c>
      <c r="B16" s="13" t="s">
        <v>420</v>
      </c>
      <c r="C16" s="13"/>
      <c r="D16" s="13"/>
      <c r="E16" s="13"/>
      <c r="F16" s="13"/>
      <c r="G16" s="13"/>
      <c r="H16" s="35"/>
      <c r="I16" s="12" t="str">
        <f aca="false">IF(H16="","",IFERROR(IF(ISNUMBER('Answer Key'!$D$43),IF(ABS(H16-'Answer Key'!$D$43)&lt;=MAX(0.0001,ABS('Answer Key'!$D$43)*0.001),"✓ Correct","✗ Try again"),IF(TRIM(H16)=TRIM('Answer Key'!$D$43),"✓ Correct","✗ Try again")),"✗ Try again"))</f>
        <v/>
      </c>
      <c r="J16" s="15" t="s">
        <v>421</v>
      </c>
      <c r="K16" s="15"/>
      <c r="L16" s="15"/>
      <c r="M16" s="15"/>
    </row>
    <row r="17" customFormat="false" ht="18" hidden="false" customHeight="true" outlineLevel="0" collapsed="false">
      <c r="A17" s="12" t="s">
        <v>422</v>
      </c>
      <c r="B17" s="13" t="s">
        <v>423</v>
      </c>
      <c r="C17" s="13"/>
      <c r="D17" s="13"/>
      <c r="E17" s="13"/>
      <c r="F17" s="13"/>
      <c r="G17" s="13"/>
      <c r="H17" s="27"/>
      <c r="I17" s="12" t="str">
        <f aca="false">IF(H17="","",IFERROR(IF(ISNUMBER('Answer Key'!$D$44),IF(ABS(H17-'Answer Key'!$D$44)&lt;=MAX(0.0001,ABS('Answer Key'!$D$44)*0.001),"✓ Correct","✗ Try again"),IF(TRIM(H17)=TRIM('Answer Key'!$D$44),"✓ Correct","✗ Try again")),"✗ Try again"))</f>
        <v/>
      </c>
      <c r="J17" s="15" t="s">
        <v>424</v>
      </c>
      <c r="K17" s="15"/>
      <c r="L17" s="15"/>
      <c r="M17" s="15"/>
    </row>
    <row r="18" customFormat="false" ht="31.5" hidden="false" customHeight="true" outlineLevel="0" collapsed="false">
      <c r="A18" s="12" t="s">
        <v>425</v>
      </c>
      <c r="B18" s="13" t="s">
        <v>426</v>
      </c>
      <c r="C18" s="13"/>
      <c r="D18" s="13"/>
      <c r="E18" s="13"/>
      <c r="F18" s="13"/>
      <c r="G18" s="13"/>
      <c r="H18" s="34"/>
      <c r="I18" s="12" t="str">
        <f aca="false">IF(H18="","",IFERROR(IF(ISNUMBER('Answer Key'!$D$45),IF(ABS(H18-'Answer Key'!$D$45)&lt;=MAX(0.0001,ABS('Answer Key'!$D$45)*0.001),"✓ Correct","✗ Try again"),IF(TRIM(H18)=TRIM('Answer Key'!$D$45),"✓ Correct","✗ Try again")),"✗ Try again"))</f>
        <v/>
      </c>
      <c r="J18" s="15" t="s">
        <v>427</v>
      </c>
      <c r="K18" s="15"/>
      <c r="L18" s="15"/>
      <c r="M18" s="15"/>
    </row>
    <row r="19" customFormat="false" ht="18" hidden="false" customHeight="true" outlineLevel="0" collapsed="false">
      <c r="A19" s="12" t="s">
        <v>428</v>
      </c>
      <c r="B19" s="13" t="s">
        <v>429</v>
      </c>
      <c r="C19" s="13"/>
      <c r="D19" s="13"/>
      <c r="E19" s="13"/>
      <c r="F19" s="13"/>
      <c r="G19" s="13"/>
      <c r="H19" s="14"/>
      <c r="I19" s="12" t="str">
        <f aca="false">IF(H19="","",IFERROR(IF(ISNUMBER('Answer Key'!$D$46),IF(ABS(H19-'Answer Key'!$D$46)&lt;=MAX(0.0001,ABS('Answer Key'!$D$46)*0.001),"✓ Correct","✗ Try again"),IF(TRIM(H19)=TRIM('Answer Key'!$D$46),"✓ Correct","✗ Try again")),"✗ Try again"))</f>
        <v/>
      </c>
      <c r="J19" s="15" t="s">
        <v>430</v>
      </c>
      <c r="K19" s="15"/>
      <c r="L19" s="15"/>
      <c r="M19" s="15"/>
    </row>
    <row r="20" customFormat="false" ht="31.5" hidden="false" customHeight="true" outlineLevel="0" collapsed="false">
      <c r="A20" s="12" t="s">
        <v>431</v>
      </c>
      <c r="B20" s="13" t="s">
        <v>432</v>
      </c>
      <c r="C20" s="13"/>
      <c r="D20" s="13"/>
      <c r="E20" s="13"/>
      <c r="F20" s="13"/>
      <c r="G20" s="13"/>
      <c r="H20" s="27"/>
      <c r="I20" s="12" t="str">
        <f aca="false">IF(H20="","",IFERROR(IF(ISNUMBER('Answer Key'!$D$47),IF(ABS(H20-'Answer Key'!$D$47)&lt;=MAX(0.0001,ABS('Answer Key'!$D$47)*0.001),"✓ Correct","✗ Try again"),IF(TRIM(H20)=TRIM('Answer Key'!$D$47),"✓ Correct","✗ Try again")),"✗ Try again"))</f>
        <v/>
      </c>
      <c r="J20" s="15" t="s">
        <v>433</v>
      </c>
      <c r="K20" s="15"/>
      <c r="L20" s="15"/>
      <c r="M20" s="15"/>
    </row>
    <row r="21" customFormat="false" ht="31.5" hidden="false" customHeight="true" outlineLevel="0" collapsed="false">
      <c r="A21" s="12" t="s">
        <v>434</v>
      </c>
      <c r="B21" s="13" t="s">
        <v>435</v>
      </c>
      <c r="C21" s="13"/>
      <c r="D21" s="13"/>
      <c r="E21" s="13"/>
      <c r="F21" s="13"/>
      <c r="G21" s="13"/>
      <c r="H21" s="27"/>
      <c r="I21" s="12" t="str">
        <f aca="false">IF(H21="","",IFERROR(IF(ISNUMBER('Answer Key'!$D$48),IF(ABS(H21-'Answer Key'!$D$48)&lt;=MAX(0.0001,ABS('Answer Key'!$D$48)*0.001),"✓ Correct","✗ Try again"),IF(TRIM(H21)=TRIM('Answer Key'!$D$48),"✓ Correct","✗ Try again")),"✗ Try again"))</f>
        <v/>
      </c>
      <c r="J21" s="15" t="s">
        <v>436</v>
      </c>
      <c r="K21" s="15"/>
      <c r="L21" s="15"/>
      <c r="M21" s="15"/>
    </row>
    <row r="22" customFormat="false" ht="18" hidden="false" customHeight="true" outlineLevel="0" collapsed="false">
      <c r="A22" s="12" t="s">
        <v>437</v>
      </c>
      <c r="B22" s="13" t="s">
        <v>438</v>
      </c>
      <c r="C22" s="13"/>
      <c r="D22" s="13"/>
      <c r="E22" s="13"/>
      <c r="F22" s="13"/>
      <c r="G22" s="13"/>
      <c r="H22" s="27"/>
      <c r="I22" s="12" t="str">
        <f aca="false">IF(H22="","",IFERROR(IF(ISNUMBER('Answer Key'!$D$49),IF(ABS(H22-'Answer Key'!$D$49)&lt;=MAX(0.0001,ABS('Answer Key'!$D$49)*0.001),"✓ Correct","✗ Try again"),IF(TRIM(H22)=TRIM('Answer Key'!$D$49),"✓ Correct","✗ Try again")),"✗ Try again"))</f>
        <v/>
      </c>
      <c r="J22" s="15" t="s">
        <v>439</v>
      </c>
      <c r="K22" s="15"/>
      <c r="L22" s="15"/>
      <c r="M22" s="15"/>
    </row>
    <row r="23" customFormat="false" ht="31.5" hidden="false" customHeight="true" outlineLevel="0" collapsed="false">
      <c r="A23" s="12" t="s">
        <v>440</v>
      </c>
      <c r="B23" s="13" t="s">
        <v>441</v>
      </c>
      <c r="C23" s="13"/>
      <c r="D23" s="13"/>
      <c r="E23" s="13"/>
      <c r="F23" s="13"/>
      <c r="G23" s="13"/>
      <c r="H23" s="33"/>
      <c r="I23" s="12" t="str">
        <f aca="false">IF(H23="","",IFERROR(IF(ISNUMBER('Answer Key'!$D$50),IF(ABS(H23-'Answer Key'!$D$50)&lt;=MAX(0.0001,ABS('Answer Key'!$D$50)*0.001),"✓ Correct","✗ Try again"),IF(TRIM(H23)=TRIM('Answer Key'!$D$50),"✓ Correct","✗ Try again")),"✗ Try again"))</f>
        <v/>
      </c>
      <c r="J23" s="15" t="s">
        <v>442</v>
      </c>
      <c r="K23" s="15"/>
      <c r="L23" s="15"/>
      <c r="M23" s="15"/>
    </row>
    <row r="24" customFormat="false" ht="15" hidden="false" customHeight="false" outlineLevel="0" collapsed="false">
      <c r="G24" s="18" t="s">
        <v>88</v>
      </c>
      <c r="H24" s="4" t="str">
        <f aca="false">COUNTIF(I5:I23,"✓ Correct")&amp;" / 19"</f>
        <v>0 / 19</v>
      </c>
    </row>
    <row r="27" customFormat="false" ht="15" hidden="false" customHeight="false" outlineLevel="0" collapsed="false">
      <c r="A27" s="19" t="s">
        <v>89</v>
      </c>
    </row>
    <row r="28" customFormat="false" ht="15" hidden="false" customHeight="false" outlineLevel="0" collapsed="false">
      <c r="A28" s="2" t="s">
        <v>443</v>
      </c>
    </row>
    <row r="30" customFormat="false" ht="15" hidden="false" customHeight="false" outlineLevel="0" collapsed="false">
      <c r="A30" s="11" t="s">
        <v>444</v>
      </c>
      <c r="B30" s="11" t="s">
        <v>445</v>
      </c>
      <c r="C30" s="11" t="s">
        <v>446</v>
      </c>
      <c r="D30" s="11" t="s">
        <v>447</v>
      </c>
      <c r="E30" s="36"/>
      <c r="F30" s="4" t="s">
        <v>448</v>
      </c>
      <c r="G30" s="37" t="n">
        <v>0.04</v>
      </c>
      <c r="H30" s="36"/>
      <c r="I30" s="36"/>
      <c r="J30" s="36"/>
      <c r="K30" s="36"/>
      <c r="L30" s="36"/>
    </row>
    <row r="31" customFormat="false" ht="15" hidden="false" customHeight="false" outlineLevel="0" collapsed="false">
      <c r="A31" s="23" t="n">
        <v>45566</v>
      </c>
      <c r="B31" s="25" t="n">
        <v>48.2</v>
      </c>
      <c r="C31" s="25" t="n">
        <v>121.55</v>
      </c>
      <c r="D31" s="25" t="n">
        <v>5712.4</v>
      </c>
    </row>
    <row r="32" customFormat="false" ht="15" hidden="false" customHeight="false" outlineLevel="0" collapsed="false">
      <c r="A32" s="23" t="n">
        <v>45567</v>
      </c>
      <c r="B32" s="25" t="n">
        <v>48.71</v>
      </c>
      <c r="C32" s="25" t="n">
        <v>121.25</v>
      </c>
      <c r="D32" s="25" t="n">
        <v>5750.58</v>
      </c>
    </row>
    <row r="33" customFormat="false" ht="15" hidden="false" customHeight="false" outlineLevel="0" collapsed="false">
      <c r="A33" s="23" t="n">
        <v>45568</v>
      </c>
      <c r="B33" s="25" t="n">
        <v>49.28</v>
      </c>
      <c r="C33" s="25" t="n">
        <v>120.91</v>
      </c>
      <c r="D33" s="25" t="n">
        <v>5754.61</v>
      </c>
    </row>
    <row r="34" customFormat="false" ht="15" hidden="false" customHeight="false" outlineLevel="0" collapsed="false">
      <c r="A34" s="23" t="n">
        <v>45569</v>
      </c>
      <c r="B34" s="25" t="n">
        <v>50.01</v>
      </c>
      <c r="C34" s="25" t="n">
        <v>124.17</v>
      </c>
      <c r="D34" s="25" t="n">
        <v>5828.14</v>
      </c>
    </row>
    <row r="35" customFormat="false" ht="15" hidden="false" customHeight="false" outlineLevel="0" collapsed="false">
      <c r="A35" s="23" t="n">
        <v>45572</v>
      </c>
      <c r="B35" s="25" t="n">
        <v>50.78</v>
      </c>
      <c r="C35" s="25" t="n">
        <v>124.96</v>
      </c>
      <c r="D35" s="25" t="n">
        <v>5854.95</v>
      </c>
    </row>
    <row r="36" customFormat="false" ht="15" hidden="false" customHeight="false" outlineLevel="0" collapsed="false">
      <c r="A36" s="23" t="n">
        <v>45573</v>
      </c>
      <c r="B36" s="25" t="n">
        <v>50.03</v>
      </c>
      <c r="C36" s="25" t="n">
        <v>125.47</v>
      </c>
      <c r="D36" s="25" t="n">
        <v>5879.95</v>
      </c>
    </row>
    <row r="37" customFormat="false" ht="15" hidden="false" customHeight="false" outlineLevel="0" collapsed="false">
      <c r="A37" s="23" t="n">
        <v>45574</v>
      </c>
      <c r="B37" s="25" t="n">
        <v>51.01</v>
      </c>
      <c r="C37" s="25" t="n">
        <v>128.53</v>
      </c>
      <c r="D37" s="25" t="n">
        <v>5906.11</v>
      </c>
    </row>
    <row r="38" customFormat="false" ht="15" hidden="false" customHeight="false" outlineLevel="0" collapsed="false">
      <c r="A38" s="23" t="n">
        <v>45575</v>
      </c>
      <c r="B38" s="25" t="n">
        <v>49.75</v>
      </c>
      <c r="C38" s="25" t="n">
        <v>127.69</v>
      </c>
      <c r="D38" s="25" t="n">
        <v>5821.27</v>
      </c>
    </row>
    <row r="39" customFormat="false" ht="15" hidden="false" customHeight="false" outlineLevel="0" collapsed="false">
      <c r="A39" s="23" t="n">
        <v>45576</v>
      </c>
      <c r="B39" s="25" t="n">
        <v>50.07</v>
      </c>
      <c r="C39" s="25" t="n">
        <v>126.6</v>
      </c>
      <c r="D39" s="25" t="n">
        <v>5813.46</v>
      </c>
    </row>
    <row r="40" customFormat="false" ht="15" hidden="false" customHeight="false" outlineLevel="0" collapsed="false">
      <c r="A40" s="23" t="n">
        <v>45579</v>
      </c>
      <c r="B40" s="25" t="n">
        <v>50.06</v>
      </c>
      <c r="C40" s="25" t="n">
        <v>127.29</v>
      </c>
      <c r="D40" s="25" t="n">
        <v>5800.11</v>
      </c>
    </row>
    <row r="41" customFormat="false" ht="15" hidden="false" customHeight="false" outlineLevel="0" collapsed="false">
      <c r="A41" s="23" t="n">
        <v>45580</v>
      </c>
      <c r="B41" s="25" t="n">
        <v>48.58</v>
      </c>
      <c r="C41" s="25" t="n">
        <v>126.09</v>
      </c>
      <c r="D41" s="25" t="n">
        <v>5814.08</v>
      </c>
    </row>
    <row r="42" customFormat="false" ht="15" hidden="false" customHeight="false" outlineLevel="0" collapsed="false">
      <c r="A42" s="23" t="n">
        <v>45581</v>
      </c>
      <c r="B42" s="25" t="n">
        <v>47.35</v>
      </c>
      <c r="C42" s="25" t="n">
        <v>126.27</v>
      </c>
      <c r="D42" s="25" t="n">
        <v>5736.31</v>
      </c>
    </row>
    <row r="43" customFormat="false" ht="15" hidden="false" customHeight="false" outlineLevel="0" collapsed="false">
      <c r="A43" s="23" t="n">
        <v>45582</v>
      </c>
      <c r="B43" s="25" t="n">
        <v>48.44</v>
      </c>
      <c r="C43" s="25" t="n">
        <v>129.21</v>
      </c>
      <c r="D43" s="25" t="n">
        <v>5832.61</v>
      </c>
    </row>
    <row r="44" customFormat="false" ht="15" hidden="false" customHeight="false" outlineLevel="0" collapsed="false">
      <c r="A44" s="23" t="n">
        <v>45583</v>
      </c>
      <c r="B44" s="25" t="n">
        <v>49.48</v>
      </c>
      <c r="C44" s="25" t="n">
        <v>128.64</v>
      </c>
      <c r="D44" s="25" t="n">
        <v>5840.6</v>
      </c>
    </row>
    <row r="45" customFormat="false" ht="15" hidden="false" customHeight="false" outlineLevel="0" collapsed="false">
      <c r="A45" s="23" t="n">
        <v>45586</v>
      </c>
      <c r="B45" s="25" t="n">
        <v>48.96</v>
      </c>
      <c r="C45" s="25" t="n">
        <v>126.82</v>
      </c>
      <c r="D45" s="25" t="n">
        <v>5771.14</v>
      </c>
    </row>
    <row r="46" customFormat="false" ht="15" hidden="false" customHeight="false" outlineLevel="0" collapsed="false">
      <c r="A46" s="23" t="n">
        <v>45587</v>
      </c>
      <c r="B46" s="25" t="n">
        <v>48.14</v>
      </c>
      <c r="C46" s="25" t="n">
        <v>125.54</v>
      </c>
      <c r="D46" s="25" t="n">
        <v>5673.57</v>
      </c>
    </row>
    <row r="47" customFormat="false" ht="15" hidden="false" customHeight="false" outlineLevel="0" collapsed="false">
      <c r="A47" s="23" t="n">
        <v>45588</v>
      </c>
      <c r="B47" s="25" t="n">
        <v>47.15</v>
      </c>
      <c r="C47" s="25" t="n">
        <v>125.35</v>
      </c>
      <c r="D47" s="25" t="n">
        <v>5659.29</v>
      </c>
    </row>
    <row r="48" customFormat="false" ht="15" hidden="false" customHeight="false" outlineLevel="0" collapsed="false">
      <c r="A48" s="23" t="n">
        <v>45589</v>
      </c>
      <c r="B48" s="25" t="n">
        <v>47.97</v>
      </c>
      <c r="C48" s="25" t="n">
        <v>124.16</v>
      </c>
      <c r="D48" s="25" t="n">
        <v>5655.97</v>
      </c>
    </row>
    <row r="49" customFormat="false" ht="15" hidden="false" customHeight="false" outlineLevel="0" collapsed="false">
      <c r="A49" s="23" t="n">
        <v>45590</v>
      </c>
      <c r="B49" s="25" t="n">
        <v>48.68</v>
      </c>
      <c r="C49" s="25" t="n">
        <v>124.23</v>
      </c>
      <c r="D49" s="25" t="n">
        <v>5616.82</v>
      </c>
    </row>
    <row r="50" customFormat="false" ht="15" hidden="false" customHeight="false" outlineLevel="0" collapsed="false">
      <c r="A50" s="23" t="n">
        <v>45593</v>
      </c>
      <c r="B50" s="25" t="n">
        <v>48.78</v>
      </c>
      <c r="C50" s="25" t="n">
        <v>121.96</v>
      </c>
      <c r="D50" s="25" t="n">
        <v>5623.82</v>
      </c>
    </row>
    <row r="51" customFormat="false" ht="15" hidden="false" customHeight="false" outlineLevel="0" collapsed="false">
      <c r="A51" s="23" t="n">
        <v>45594</v>
      </c>
      <c r="B51" s="25" t="n">
        <v>48.29</v>
      </c>
      <c r="C51" s="25" t="n">
        <v>120.95</v>
      </c>
      <c r="D51" s="25" t="n">
        <v>5589.26</v>
      </c>
    </row>
    <row r="52" customFormat="false" ht="15" hidden="false" customHeight="false" outlineLevel="0" collapsed="false">
      <c r="A52" s="23" t="n">
        <v>45595</v>
      </c>
      <c r="B52" s="25" t="n">
        <v>47.66</v>
      </c>
      <c r="C52" s="25" t="n">
        <v>120.99</v>
      </c>
      <c r="D52" s="25" t="n">
        <v>5622.11</v>
      </c>
    </row>
    <row r="53" customFormat="false" ht="15" hidden="false" customHeight="false" outlineLevel="0" collapsed="false">
      <c r="A53" s="23" t="n">
        <v>45596</v>
      </c>
      <c r="B53" s="25" t="n">
        <v>47.8</v>
      </c>
      <c r="C53" s="25" t="n">
        <v>120.1</v>
      </c>
      <c r="D53" s="25" t="n">
        <v>5582.84</v>
      </c>
    </row>
    <row r="54" customFormat="false" ht="15" hidden="false" customHeight="false" outlineLevel="0" collapsed="false">
      <c r="A54" s="23" t="n">
        <v>45597</v>
      </c>
      <c r="B54" s="25" t="n">
        <v>49.43</v>
      </c>
      <c r="C54" s="25" t="n">
        <v>120.46</v>
      </c>
      <c r="D54" s="25" t="n">
        <v>5582.45</v>
      </c>
    </row>
    <row r="55" customFormat="false" ht="15" hidden="false" customHeight="false" outlineLevel="0" collapsed="false">
      <c r="A55" s="23" t="n">
        <v>45600</v>
      </c>
      <c r="B55" s="25" t="n">
        <v>50.49</v>
      </c>
      <c r="C55" s="25" t="n">
        <v>119.93</v>
      </c>
      <c r="D55" s="25" t="n">
        <v>5639.29</v>
      </c>
    </row>
    <row r="56" customFormat="false" ht="15" hidden="false" customHeight="false" outlineLevel="0" collapsed="false">
      <c r="A56" s="23" t="n">
        <v>45601</v>
      </c>
      <c r="B56" s="25" t="n">
        <v>52.89</v>
      </c>
      <c r="C56" s="25" t="n">
        <v>122.81</v>
      </c>
      <c r="D56" s="25" t="n">
        <v>5787.25</v>
      </c>
    </row>
    <row r="57" customFormat="false" ht="15" hidden="false" customHeight="false" outlineLevel="0" collapsed="false">
      <c r="A57" s="23" t="n">
        <v>45602</v>
      </c>
      <c r="B57" s="25" t="n">
        <v>52.64</v>
      </c>
      <c r="C57" s="25" t="n">
        <v>121.77</v>
      </c>
      <c r="D57" s="25" t="n">
        <v>5730.31</v>
      </c>
    </row>
    <row r="58" customFormat="false" ht="15" hidden="false" customHeight="false" outlineLevel="0" collapsed="false">
      <c r="A58" s="23" t="n">
        <v>45603</v>
      </c>
      <c r="B58" s="25" t="n">
        <v>51.72</v>
      </c>
      <c r="C58" s="25" t="n">
        <v>120.66</v>
      </c>
      <c r="D58" s="25" t="n">
        <v>5705.31</v>
      </c>
    </row>
    <row r="59" customFormat="false" ht="15" hidden="false" customHeight="false" outlineLevel="0" collapsed="false">
      <c r="A59" s="23" t="n">
        <v>45604</v>
      </c>
      <c r="B59" s="25" t="n">
        <v>52.1</v>
      </c>
      <c r="C59" s="25" t="n">
        <v>118.43</v>
      </c>
      <c r="D59" s="25" t="n">
        <v>5658.82</v>
      </c>
    </row>
    <row r="60" customFormat="false" ht="15" hidden="false" customHeight="false" outlineLevel="0" collapsed="false">
      <c r="A60" s="23" t="n">
        <v>45607</v>
      </c>
      <c r="B60" s="25" t="n">
        <v>51.81</v>
      </c>
      <c r="C60" s="25" t="n">
        <v>117.8</v>
      </c>
      <c r="D60" s="25" t="n">
        <v>5705.35</v>
      </c>
    </row>
    <row r="61" customFormat="false" ht="15" hidden="false" customHeight="false" outlineLevel="0" collapsed="false">
      <c r="A61" s="23" t="n">
        <v>45608</v>
      </c>
      <c r="B61" s="25" t="n">
        <v>50.99</v>
      </c>
      <c r="C61" s="25" t="n">
        <v>117.28</v>
      </c>
      <c r="D61" s="25" t="n">
        <v>5641.14</v>
      </c>
    </row>
    <row r="62" customFormat="false" ht="15" hidden="false" customHeight="false" outlineLevel="0" collapsed="false">
      <c r="A62" s="23" t="n">
        <v>45609</v>
      </c>
      <c r="B62" s="25" t="n">
        <v>50.9</v>
      </c>
      <c r="C62" s="25" t="n">
        <v>115.85</v>
      </c>
      <c r="D62" s="25" t="n">
        <v>5615.4</v>
      </c>
    </row>
    <row r="63" customFormat="false" ht="15" hidden="false" customHeight="false" outlineLevel="0" collapsed="false">
      <c r="A63" s="23" t="n">
        <v>45610</v>
      </c>
      <c r="B63" s="25" t="n">
        <v>51.47</v>
      </c>
      <c r="C63" s="25" t="n">
        <v>115.93</v>
      </c>
      <c r="D63" s="25" t="n">
        <v>5615.5</v>
      </c>
    </row>
    <row r="64" customFormat="false" ht="15" hidden="false" customHeight="false" outlineLevel="0" collapsed="false">
      <c r="A64" s="23" t="n">
        <v>45611</v>
      </c>
      <c r="B64" s="25" t="n">
        <v>51.16</v>
      </c>
      <c r="C64" s="25" t="n">
        <v>116.33</v>
      </c>
      <c r="D64" s="25" t="n">
        <v>5561.89</v>
      </c>
    </row>
    <row r="65" customFormat="false" ht="15" hidden="false" customHeight="false" outlineLevel="0" collapsed="false">
      <c r="A65" s="23" t="n">
        <v>45614</v>
      </c>
      <c r="B65" s="25" t="n">
        <v>50.85</v>
      </c>
      <c r="C65" s="25" t="n">
        <v>116.72</v>
      </c>
      <c r="D65" s="25" t="n">
        <v>5509.99</v>
      </c>
    </row>
    <row r="66" customFormat="false" ht="15" hidden="false" customHeight="false" outlineLevel="0" collapsed="false">
      <c r="A66" s="23" t="n">
        <v>45615</v>
      </c>
      <c r="B66" s="25" t="n">
        <v>50.1</v>
      </c>
      <c r="C66" s="25" t="n">
        <v>118.09</v>
      </c>
      <c r="D66" s="25" t="n">
        <v>5485.33</v>
      </c>
    </row>
    <row r="67" customFormat="false" ht="15" hidden="false" customHeight="false" outlineLevel="0" collapsed="false">
      <c r="A67" s="23" t="n">
        <v>45616</v>
      </c>
      <c r="B67" s="25" t="n">
        <v>48.04</v>
      </c>
      <c r="C67" s="25" t="n">
        <v>116.04</v>
      </c>
      <c r="D67" s="25" t="n">
        <v>5370.94</v>
      </c>
    </row>
    <row r="68" customFormat="false" ht="15" hidden="false" customHeight="false" outlineLevel="0" collapsed="false">
      <c r="A68" s="23" t="n">
        <v>45617</v>
      </c>
      <c r="B68" s="25" t="n">
        <v>47.27</v>
      </c>
      <c r="C68" s="25" t="n">
        <v>113.71</v>
      </c>
      <c r="D68" s="25" t="n">
        <v>5294.4</v>
      </c>
    </row>
    <row r="69" customFormat="false" ht="15" hidden="false" customHeight="false" outlineLevel="0" collapsed="false">
      <c r="A69" s="23" t="n">
        <v>45618</v>
      </c>
      <c r="B69" s="25" t="n">
        <v>46.64</v>
      </c>
      <c r="C69" s="25" t="n">
        <v>114.51</v>
      </c>
      <c r="D69" s="25" t="n">
        <v>5274.04</v>
      </c>
    </row>
    <row r="70" customFormat="false" ht="15" hidden="false" customHeight="false" outlineLevel="0" collapsed="false">
      <c r="A70" s="23" t="n">
        <v>45621</v>
      </c>
      <c r="B70" s="25" t="n">
        <v>45.98</v>
      </c>
      <c r="C70" s="25" t="n">
        <v>115</v>
      </c>
      <c r="D70" s="25" t="n">
        <v>5283.59</v>
      </c>
    </row>
    <row r="71" customFormat="false" ht="15" hidden="false" customHeight="false" outlineLevel="0" collapsed="false">
      <c r="A71" s="23" t="n">
        <v>45622</v>
      </c>
      <c r="B71" s="25" t="n">
        <v>45.17</v>
      </c>
      <c r="C71" s="25" t="n">
        <v>116.11</v>
      </c>
      <c r="D71" s="25" t="n">
        <v>5275.38</v>
      </c>
    </row>
    <row r="72" customFormat="false" ht="15" hidden="false" customHeight="false" outlineLevel="0" collapsed="false">
      <c r="A72" s="23" t="n">
        <v>45623</v>
      </c>
      <c r="B72" s="25" t="n">
        <v>43.95</v>
      </c>
      <c r="C72" s="25" t="n">
        <v>114.71</v>
      </c>
      <c r="D72" s="25" t="n">
        <v>5182.73</v>
      </c>
    </row>
    <row r="73" customFormat="false" ht="15" hidden="false" customHeight="false" outlineLevel="0" collapsed="false">
      <c r="A73" s="23" t="n">
        <v>45624</v>
      </c>
      <c r="B73" s="25" t="n">
        <v>42.7</v>
      </c>
      <c r="C73" s="25" t="n">
        <v>115.66</v>
      </c>
      <c r="D73" s="25" t="n">
        <v>5160.15</v>
      </c>
    </row>
    <row r="74" customFormat="false" ht="15" hidden="false" customHeight="false" outlineLevel="0" collapsed="false">
      <c r="A74" s="23" t="n">
        <v>45625</v>
      </c>
      <c r="B74" s="25" t="n">
        <v>42.41</v>
      </c>
      <c r="C74" s="25" t="n">
        <v>117.28</v>
      </c>
      <c r="D74" s="25" t="n">
        <v>5203.31</v>
      </c>
    </row>
    <row r="75" customFormat="false" ht="15" hidden="false" customHeight="false" outlineLevel="0" collapsed="false">
      <c r="A75" s="23" t="n">
        <v>45628</v>
      </c>
      <c r="B75" s="25" t="n">
        <v>41.85</v>
      </c>
      <c r="C75" s="25" t="n">
        <v>118.57</v>
      </c>
      <c r="D75" s="25" t="n">
        <v>5234.12</v>
      </c>
    </row>
    <row r="76" customFormat="false" ht="15" hidden="false" customHeight="false" outlineLevel="0" collapsed="false">
      <c r="A76" s="23" t="n">
        <v>45629</v>
      </c>
      <c r="B76" s="25" t="n">
        <v>41.93</v>
      </c>
      <c r="C76" s="25" t="n">
        <v>119.11</v>
      </c>
      <c r="D76" s="25" t="n">
        <v>5231.62</v>
      </c>
    </row>
    <row r="77" customFormat="false" ht="15" hidden="false" customHeight="false" outlineLevel="0" collapsed="false">
      <c r="A77" s="23" t="n">
        <v>45630</v>
      </c>
      <c r="B77" s="25" t="n">
        <v>41.72</v>
      </c>
      <c r="C77" s="25" t="n">
        <v>118.85</v>
      </c>
      <c r="D77" s="25" t="n">
        <v>5186.49</v>
      </c>
    </row>
    <row r="78" customFormat="false" ht="15" hidden="false" customHeight="false" outlineLevel="0" collapsed="false">
      <c r="A78" s="23" t="n">
        <v>45631</v>
      </c>
      <c r="B78" s="25" t="n">
        <v>43.12</v>
      </c>
      <c r="C78" s="25" t="n">
        <v>119.67</v>
      </c>
      <c r="D78" s="25" t="n">
        <v>5221.14</v>
      </c>
    </row>
    <row r="79" customFormat="false" ht="15" hidden="false" customHeight="false" outlineLevel="0" collapsed="false">
      <c r="A79" s="23" t="n">
        <v>45632</v>
      </c>
      <c r="B79" s="25" t="n">
        <v>42.03</v>
      </c>
      <c r="C79" s="25" t="n">
        <v>119.48</v>
      </c>
      <c r="D79" s="25" t="n">
        <v>5192.33</v>
      </c>
    </row>
    <row r="80" customFormat="false" ht="15" hidden="false" customHeight="false" outlineLevel="0" collapsed="false">
      <c r="A80" s="23" t="n">
        <v>45635</v>
      </c>
      <c r="B80" s="25" t="n">
        <v>41.1</v>
      </c>
      <c r="C80" s="25" t="n">
        <v>119.65</v>
      </c>
      <c r="D80" s="25" t="n">
        <v>5132.79</v>
      </c>
    </row>
    <row r="81" customFormat="false" ht="15" hidden="false" customHeight="false" outlineLevel="0" collapsed="false">
      <c r="A81" s="23" t="n">
        <v>45636</v>
      </c>
      <c r="B81" s="25" t="n">
        <v>41.19</v>
      </c>
      <c r="C81" s="25" t="n">
        <v>118.43</v>
      </c>
      <c r="D81" s="25" t="n">
        <v>5092.91</v>
      </c>
    </row>
    <row r="82" customFormat="false" ht="15" hidden="false" customHeight="false" outlineLevel="0" collapsed="false">
      <c r="A82" s="23" t="n">
        <v>45637</v>
      </c>
      <c r="B82" s="25" t="n">
        <v>41.83</v>
      </c>
      <c r="C82" s="25" t="n">
        <v>121.62</v>
      </c>
      <c r="D82" s="25" t="n">
        <v>5168.88</v>
      </c>
    </row>
    <row r="83" customFormat="false" ht="15" hidden="false" customHeight="false" outlineLevel="0" collapsed="false">
      <c r="A83" s="23" t="n">
        <v>45638</v>
      </c>
      <c r="B83" s="25" t="n">
        <v>41.79</v>
      </c>
      <c r="C83" s="25" t="n">
        <v>121.73</v>
      </c>
      <c r="D83" s="25" t="n">
        <v>5181.99</v>
      </c>
    </row>
    <row r="84" customFormat="false" ht="15" hidden="false" customHeight="false" outlineLevel="0" collapsed="false">
      <c r="A84" s="23" t="n">
        <v>45639</v>
      </c>
      <c r="B84" s="25" t="n">
        <v>43.3</v>
      </c>
      <c r="C84" s="25" t="n">
        <v>123.9</v>
      </c>
      <c r="D84" s="25" t="n">
        <v>5244.18</v>
      </c>
    </row>
    <row r="85" customFormat="false" ht="15" hidden="false" customHeight="false" outlineLevel="0" collapsed="false">
      <c r="A85" s="23" t="n">
        <v>45642</v>
      </c>
      <c r="B85" s="25" t="n">
        <v>42.89</v>
      </c>
      <c r="C85" s="25" t="n">
        <v>123.41</v>
      </c>
      <c r="D85" s="25" t="n">
        <v>5220.51</v>
      </c>
    </row>
    <row r="86" customFormat="false" ht="15" hidden="false" customHeight="false" outlineLevel="0" collapsed="false">
      <c r="A86" s="23" t="n">
        <v>45643</v>
      </c>
      <c r="B86" s="25" t="n">
        <v>42.78</v>
      </c>
      <c r="C86" s="25" t="n">
        <v>123.98</v>
      </c>
      <c r="D86" s="25" t="n">
        <v>5271.53</v>
      </c>
    </row>
    <row r="87" customFormat="false" ht="15" hidden="false" customHeight="false" outlineLevel="0" collapsed="false">
      <c r="A87" s="23" t="n">
        <v>45644</v>
      </c>
      <c r="B87" s="25" t="n">
        <v>41.78</v>
      </c>
      <c r="C87" s="25" t="n">
        <v>125.88</v>
      </c>
      <c r="D87" s="25" t="n">
        <v>5241.25</v>
      </c>
    </row>
    <row r="88" customFormat="false" ht="15" hidden="false" customHeight="false" outlineLevel="0" collapsed="false">
      <c r="A88" s="23" t="n">
        <v>45645</v>
      </c>
      <c r="B88" s="25" t="n">
        <v>41.9</v>
      </c>
      <c r="C88" s="25" t="n">
        <v>125.41</v>
      </c>
      <c r="D88" s="25" t="n">
        <v>5234.59</v>
      </c>
    </row>
    <row r="89" customFormat="false" ht="15" hidden="false" customHeight="false" outlineLevel="0" collapsed="false">
      <c r="A89" s="23" t="n">
        <v>45646</v>
      </c>
      <c r="B89" s="25" t="n">
        <v>43.35</v>
      </c>
      <c r="C89" s="25" t="n">
        <v>126.14</v>
      </c>
      <c r="D89" s="25" t="n">
        <v>5367.43</v>
      </c>
    </row>
    <row r="90" customFormat="false" ht="15" hidden="false" customHeight="false" outlineLevel="0" collapsed="false">
      <c r="A90" s="23" t="n">
        <v>45649</v>
      </c>
      <c r="B90" s="25" t="n">
        <v>43.03</v>
      </c>
      <c r="C90" s="25" t="n">
        <v>126.01</v>
      </c>
      <c r="D90" s="25" t="n">
        <v>5410.64</v>
      </c>
    </row>
    <row r="91" customFormat="false" ht="15" hidden="false" customHeight="false" outlineLevel="0" collapsed="false">
      <c r="A91" s="23" t="n">
        <v>45650</v>
      </c>
      <c r="B91" s="25" t="n">
        <v>42.26</v>
      </c>
      <c r="C91" s="25" t="n">
        <v>125.23</v>
      </c>
      <c r="D91" s="25" t="n">
        <v>5385.03</v>
      </c>
    </row>
    <row r="92" customFormat="false" ht="15" hidden="false" customHeight="false" outlineLevel="0" collapsed="false">
      <c r="A92" s="23" t="n">
        <v>45651</v>
      </c>
      <c r="B92" s="25" t="n">
        <v>42.52</v>
      </c>
      <c r="C92" s="25" t="n">
        <v>127.74</v>
      </c>
      <c r="D92" s="25" t="n">
        <v>5382.13</v>
      </c>
    </row>
    <row r="93" customFormat="false" ht="15" hidden="false" customHeight="false" outlineLevel="0" collapsed="false">
      <c r="A93" s="23" t="n">
        <v>45652</v>
      </c>
      <c r="B93" s="25" t="n">
        <v>43.02</v>
      </c>
      <c r="C93" s="25" t="n">
        <v>128.33</v>
      </c>
      <c r="D93" s="25" t="n">
        <v>5401.54</v>
      </c>
    </row>
    <row r="94" customFormat="false" ht="15" hidden="false" customHeight="false" outlineLevel="0" collapsed="false">
      <c r="A94" s="23" t="n">
        <v>45653</v>
      </c>
      <c r="B94" s="25" t="n">
        <v>43.33</v>
      </c>
      <c r="C94" s="25" t="n">
        <v>130.6</v>
      </c>
      <c r="D94" s="25" t="n">
        <v>5469.15</v>
      </c>
    </row>
    <row r="95" customFormat="false" ht="15" hidden="false" customHeight="false" outlineLevel="0" collapsed="false">
      <c r="A95" s="23" t="n">
        <v>45656</v>
      </c>
      <c r="B95" s="25" t="n">
        <v>43.44</v>
      </c>
      <c r="C95" s="25" t="n">
        <v>128.95</v>
      </c>
      <c r="D95" s="25" t="n">
        <v>5443.93</v>
      </c>
    </row>
    <row r="96" customFormat="false" ht="15" hidden="false" customHeight="false" outlineLevel="0" collapsed="false">
      <c r="A96" s="23" t="n">
        <v>45657</v>
      </c>
      <c r="B96" s="25" t="n">
        <v>42.86</v>
      </c>
      <c r="C96" s="25" t="n">
        <v>127.84</v>
      </c>
      <c r="D96" s="25" t="n">
        <v>5350.11</v>
      </c>
    </row>
    <row r="97" customFormat="false" ht="15" hidden="false" customHeight="false" outlineLevel="0" collapsed="false">
      <c r="A97" s="23" t="n">
        <v>45658</v>
      </c>
      <c r="B97" s="25" t="n">
        <v>41.78</v>
      </c>
      <c r="C97" s="25" t="n">
        <v>128.44</v>
      </c>
      <c r="D97" s="25" t="n">
        <v>5336.73</v>
      </c>
    </row>
    <row r="98" customFormat="false" ht="15" hidden="false" customHeight="false" outlineLevel="0" collapsed="false">
      <c r="A98" s="23" t="n">
        <v>45659</v>
      </c>
      <c r="B98" s="25" t="n">
        <v>41.65</v>
      </c>
      <c r="C98" s="25" t="n">
        <v>130.68</v>
      </c>
      <c r="D98" s="25" t="n">
        <v>5339.25</v>
      </c>
    </row>
    <row r="99" customFormat="false" ht="15" hidden="false" customHeight="false" outlineLevel="0" collapsed="false">
      <c r="A99" s="23" t="n">
        <v>45660</v>
      </c>
      <c r="B99" s="25" t="n">
        <v>41.94</v>
      </c>
      <c r="C99" s="25" t="n">
        <v>129.96</v>
      </c>
      <c r="D99" s="25" t="n">
        <v>5346.84</v>
      </c>
    </row>
    <row r="100" customFormat="false" ht="15" hidden="false" customHeight="false" outlineLevel="0" collapsed="false">
      <c r="A100" s="23" t="n">
        <v>45663</v>
      </c>
      <c r="B100" s="25" t="n">
        <v>42.33</v>
      </c>
      <c r="C100" s="25" t="n">
        <v>131.96</v>
      </c>
      <c r="D100" s="25" t="n">
        <v>5419.49</v>
      </c>
    </row>
    <row r="101" customFormat="false" ht="15" hidden="false" customHeight="false" outlineLevel="0" collapsed="false">
      <c r="A101" s="23" t="n">
        <v>45664</v>
      </c>
      <c r="B101" s="25" t="n">
        <v>41.38</v>
      </c>
      <c r="C101" s="25" t="n">
        <v>132.67</v>
      </c>
      <c r="D101" s="25" t="n">
        <v>5438.51</v>
      </c>
    </row>
    <row r="102" customFormat="false" ht="15" hidden="false" customHeight="false" outlineLevel="0" collapsed="false">
      <c r="A102" s="23" t="n">
        <v>45665</v>
      </c>
      <c r="B102" s="25" t="n">
        <v>41.66</v>
      </c>
      <c r="C102" s="25" t="n">
        <v>132.19</v>
      </c>
      <c r="D102" s="25" t="n">
        <v>5484.8</v>
      </c>
    </row>
    <row r="103" customFormat="false" ht="15" hidden="false" customHeight="false" outlineLevel="0" collapsed="false">
      <c r="A103" s="23" t="n">
        <v>45666</v>
      </c>
      <c r="B103" s="25" t="n">
        <v>41.53</v>
      </c>
      <c r="C103" s="25" t="n">
        <v>131.18</v>
      </c>
      <c r="D103" s="25" t="n">
        <v>5425.67</v>
      </c>
    </row>
    <row r="104" customFormat="false" ht="15" hidden="false" customHeight="false" outlineLevel="0" collapsed="false">
      <c r="A104" s="23" t="n">
        <v>45667</v>
      </c>
      <c r="B104" s="25" t="n">
        <v>42.81</v>
      </c>
      <c r="C104" s="25" t="n">
        <v>131.7</v>
      </c>
      <c r="D104" s="25" t="n">
        <v>5474.85</v>
      </c>
    </row>
    <row r="105" customFormat="false" ht="15" hidden="false" customHeight="false" outlineLevel="0" collapsed="false">
      <c r="A105" s="23" t="n">
        <v>45670</v>
      </c>
      <c r="B105" s="25" t="n">
        <v>42.74</v>
      </c>
      <c r="C105" s="25" t="n">
        <v>130.8</v>
      </c>
      <c r="D105" s="25" t="n">
        <v>5592.26</v>
      </c>
    </row>
    <row r="106" customFormat="false" ht="15" hidden="false" customHeight="false" outlineLevel="0" collapsed="false">
      <c r="A106" s="23" t="n">
        <v>45671</v>
      </c>
      <c r="B106" s="25" t="n">
        <v>44.57</v>
      </c>
      <c r="C106" s="25" t="n">
        <v>132.29</v>
      </c>
      <c r="D106" s="25" t="n">
        <v>5637.6</v>
      </c>
    </row>
    <row r="107" customFormat="false" ht="15" hidden="false" customHeight="false" outlineLevel="0" collapsed="false">
      <c r="A107" s="23" t="n">
        <v>45672</v>
      </c>
      <c r="B107" s="25" t="n">
        <v>44.1</v>
      </c>
      <c r="C107" s="25" t="n">
        <v>133.25</v>
      </c>
      <c r="D107" s="25" t="n">
        <v>5653.8</v>
      </c>
    </row>
    <row r="108" customFormat="false" ht="15" hidden="false" customHeight="false" outlineLevel="0" collapsed="false">
      <c r="A108" s="23" t="n">
        <v>45673</v>
      </c>
      <c r="B108" s="25" t="n">
        <v>44.74</v>
      </c>
      <c r="C108" s="25" t="n">
        <v>132.88</v>
      </c>
      <c r="D108" s="25" t="n">
        <v>5664.37</v>
      </c>
    </row>
    <row r="109" customFormat="false" ht="15" hidden="false" customHeight="false" outlineLevel="0" collapsed="false">
      <c r="A109" s="23" t="n">
        <v>45674</v>
      </c>
      <c r="B109" s="25" t="n">
        <v>46.43</v>
      </c>
      <c r="C109" s="25" t="n">
        <v>132.92</v>
      </c>
      <c r="D109" s="25" t="n">
        <v>5768.2</v>
      </c>
    </row>
    <row r="110" customFormat="false" ht="15" hidden="false" customHeight="false" outlineLevel="0" collapsed="false">
      <c r="A110" s="23" t="n">
        <v>45677</v>
      </c>
      <c r="B110" s="25" t="n">
        <v>46.51</v>
      </c>
      <c r="C110" s="25" t="n">
        <v>133.95</v>
      </c>
      <c r="D110" s="25" t="n">
        <v>5716.13</v>
      </c>
    </row>
    <row r="111" customFormat="false" ht="15" hidden="false" customHeight="false" outlineLevel="0" collapsed="false">
      <c r="A111" s="23" t="n">
        <v>45678</v>
      </c>
      <c r="B111" s="25" t="n">
        <v>46.56</v>
      </c>
      <c r="C111" s="25" t="n">
        <v>134.23</v>
      </c>
      <c r="D111" s="25" t="n">
        <v>5711.54</v>
      </c>
    </row>
    <row r="112" customFormat="false" ht="15" hidden="false" customHeight="false" outlineLevel="0" collapsed="false">
      <c r="A112" s="23" t="n">
        <v>45679</v>
      </c>
      <c r="B112" s="25" t="n">
        <v>46.17</v>
      </c>
      <c r="C112" s="25" t="n">
        <v>136</v>
      </c>
      <c r="D112" s="25" t="n">
        <v>5739.85</v>
      </c>
    </row>
    <row r="113" customFormat="false" ht="15" hidden="false" customHeight="false" outlineLevel="0" collapsed="false">
      <c r="A113" s="23" t="n">
        <v>45680</v>
      </c>
      <c r="B113" s="25" t="n">
        <v>46.98</v>
      </c>
      <c r="C113" s="25" t="n">
        <v>138.57</v>
      </c>
      <c r="D113" s="25" t="n">
        <v>5784.71</v>
      </c>
    </row>
    <row r="114" customFormat="false" ht="15" hidden="false" customHeight="false" outlineLevel="0" collapsed="false">
      <c r="A114" s="23" t="n">
        <v>45681</v>
      </c>
      <c r="B114" s="25" t="n">
        <v>46.33</v>
      </c>
      <c r="C114" s="25" t="n">
        <v>137.5</v>
      </c>
      <c r="D114" s="25" t="n">
        <v>5761.05</v>
      </c>
    </row>
    <row r="115" customFormat="false" ht="15" hidden="false" customHeight="false" outlineLevel="0" collapsed="false">
      <c r="A115" s="23" t="n">
        <v>45684</v>
      </c>
      <c r="B115" s="25" t="n">
        <v>45.06</v>
      </c>
      <c r="C115" s="25" t="n">
        <v>138.9</v>
      </c>
      <c r="D115" s="25" t="n">
        <v>5780.72</v>
      </c>
    </row>
    <row r="116" customFormat="false" ht="15" hidden="false" customHeight="false" outlineLevel="0" collapsed="false">
      <c r="A116" s="23" t="n">
        <v>45685</v>
      </c>
      <c r="B116" s="25" t="n">
        <v>46.54</v>
      </c>
      <c r="C116" s="25" t="n">
        <v>138.36</v>
      </c>
      <c r="D116" s="25" t="n">
        <v>5766.36</v>
      </c>
    </row>
    <row r="117" customFormat="false" ht="15" hidden="false" customHeight="false" outlineLevel="0" collapsed="false">
      <c r="A117" s="23" t="n">
        <v>45686</v>
      </c>
      <c r="B117" s="25" t="n">
        <v>47.05</v>
      </c>
      <c r="C117" s="25" t="n">
        <v>138.44</v>
      </c>
      <c r="D117" s="25" t="n">
        <v>5775.2</v>
      </c>
    </row>
    <row r="118" customFormat="false" ht="15" hidden="false" customHeight="false" outlineLevel="0" collapsed="false">
      <c r="A118" s="23" t="n">
        <v>45687</v>
      </c>
      <c r="B118" s="25" t="n">
        <v>48.08</v>
      </c>
      <c r="C118" s="25" t="n">
        <v>138.24</v>
      </c>
      <c r="D118" s="25" t="n">
        <v>5769.34</v>
      </c>
    </row>
    <row r="119" customFormat="false" ht="15" hidden="false" customHeight="false" outlineLevel="0" collapsed="false">
      <c r="A119" s="23" t="n">
        <v>45688</v>
      </c>
      <c r="B119" s="25" t="n">
        <v>46.89</v>
      </c>
      <c r="C119" s="25" t="n">
        <v>137.17</v>
      </c>
      <c r="D119" s="25" t="n">
        <v>5704.79</v>
      </c>
    </row>
    <row r="120" customFormat="false" ht="15" hidden="false" customHeight="false" outlineLevel="0" collapsed="false">
      <c r="A120" s="23" t="n">
        <v>45691</v>
      </c>
      <c r="B120" s="25" t="n">
        <v>47.77</v>
      </c>
      <c r="C120" s="25" t="n">
        <v>138.64</v>
      </c>
      <c r="D120" s="25" t="n">
        <v>5705.39</v>
      </c>
    </row>
    <row r="121" customFormat="false" ht="15" hidden="false" customHeight="false" outlineLevel="0" collapsed="false">
      <c r="A121" s="23" t="n">
        <v>45692</v>
      </c>
      <c r="B121" s="25" t="n">
        <v>49.26</v>
      </c>
      <c r="C121" s="25" t="n">
        <v>139.7</v>
      </c>
      <c r="D121" s="25" t="n">
        <v>5757.64</v>
      </c>
    </row>
    <row r="122" customFormat="false" ht="15" hidden="false" customHeight="false" outlineLevel="0" collapsed="false">
      <c r="A122" s="23" t="n">
        <v>45693</v>
      </c>
      <c r="B122" s="25" t="n">
        <v>49.68</v>
      </c>
      <c r="C122" s="25" t="n">
        <v>138.59</v>
      </c>
      <c r="D122" s="25" t="n">
        <v>5703.35</v>
      </c>
    </row>
    <row r="123" customFormat="false" ht="15" hidden="false" customHeight="false" outlineLevel="0" collapsed="false">
      <c r="A123" s="23" t="n">
        <v>45694</v>
      </c>
      <c r="B123" s="25" t="n">
        <v>49.55</v>
      </c>
      <c r="C123" s="25" t="n">
        <v>138.04</v>
      </c>
      <c r="D123" s="25" t="n">
        <v>5691.3</v>
      </c>
    </row>
    <row r="124" customFormat="false" ht="15" hidden="false" customHeight="false" outlineLevel="0" collapsed="false">
      <c r="A124" s="23" t="n">
        <v>45695</v>
      </c>
      <c r="B124" s="25" t="n">
        <v>49.23</v>
      </c>
      <c r="C124" s="25" t="n">
        <v>139.17</v>
      </c>
      <c r="D124" s="25" t="n">
        <v>5731.24</v>
      </c>
    </row>
    <row r="125" customFormat="false" ht="15" hidden="false" customHeight="false" outlineLevel="0" collapsed="false">
      <c r="A125" s="23" t="n">
        <v>45698</v>
      </c>
      <c r="B125" s="25" t="n">
        <v>48.51</v>
      </c>
      <c r="C125" s="25" t="n">
        <v>136.99</v>
      </c>
      <c r="D125" s="25" t="n">
        <v>5671.26</v>
      </c>
    </row>
    <row r="126" customFormat="false" ht="15" hidden="false" customHeight="false" outlineLevel="0" collapsed="false">
      <c r="A126" s="23" t="n">
        <v>45699</v>
      </c>
      <c r="B126" s="25" t="n">
        <v>47.3</v>
      </c>
      <c r="C126" s="25" t="n">
        <v>136.56</v>
      </c>
      <c r="D126" s="25" t="n">
        <v>5683.5</v>
      </c>
    </row>
    <row r="127" customFormat="false" ht="15" hidden="false" customHeight="false" outlineLevel="0" collapsed="false">
      <c r="A127" s="23" t="n">
        <v>45700</v>
      </c>
      <c r="B127" s="25" t="n">
        <v>45.71</v>
      </c>
      <c r="C127" s="25" t="n">
        <v>135.52</v>
      </c>
      <c r="D127" s="25" t="n">
        <v>5624.58</v>
      </c>
    </row>
    <row r="128" customFormat="false" ht="15" hidden="false" customHeight="false" outlineLevel="0" collapsed="false">
      <c r="A128" s="23" t="n">
        <v>45701</v>
      </c>
      <c r="B128" s="25" t="n">
        <v>46.41</v>
      </c>
      <c r="C128" s="25" t="n">
        <v>135.92</v>
      </c>
      <c r="D128" s="25" t="n">
        <v>5690.68</v>
      </c>
    </row>
    <row r="129" customFormat="false" ht="15" hidden="false" customHeight="false" outlineLevel="0" collapsed="false">
      <c r="A129" s="23" t="n">
        <v>45702</v>
      </c>
      <c r="B129" s="25" t="n">
        <v>47.16</v>
      </c>
      <c r="C129" s="25" t="n">
        <v>138.03</v>
      </c>
      <c r="D129" s="25" t="n">
        <v>5825.15</v>
      </c>
    </row>
    <row r="130" customFormat="false" ht="15" hidden="false" customHeight="false" outlineLevel="0" collapsed="false">
      <c r="A130" s="23" t="n">
        <v>45705</v>
      </c>
      <c r="B130" s="25" t="n">
        <v>48.24</v>
      </c>
      <c r="C130" s="25" t="n">
        <v>139.25</v>
      </c>
      <c r="D130" s="25" t="n">
        <v>5945.73</v>
      </c>
    </row>
    <row r="131" customFormat="false" ht="15" hidden="false" customHeight="false" outlineLevel="0" collapsed="false">
      <c r="A131" s="23" t="n">
        <v>45706</v>
      </c>
      <c r="B131" s="25" t="n">
        <v>48.08</v>
      </c>
      <c r="C131" s="25" t="n">
        <v>141.71</v>
      </c>
      <c r="D131" s="25" t="n">
        <v>5934.48</v>
      </c>
    </row>
    <row r="132" customFormat="false" ht="15" hidden="false" customHeight="false" outlineLevel="0" collapsed="false">
      <c r="A132" s="23" t="n">
        <v>45707</v>
      </c>
      <c r="B132" s="25" t="n">
        <v>49.7</v>
      </c>
      <c r="C132" s="25" t="n">
        <v>144.28</v>
      </c>
      <c r="D132" s="25" t="n">
        <v>5980.64</v>
      </c>
    </row>
    <row r="133" customFormat="false" ht="15" hidden="false" customHeight="false" outlineLevel="0" collapsed="false">
      <c r="A133" s="23" t="n">
        <v>45708</v>
      </c>
      <c r="B133" s="25" t="n">
        <v>50.62</v>
      </c>
      <c r="C133" s="25" t="n">
        <v>145.06</v>
      </c>
      <c r="D133" s="25" t="n">
        <v>5989.83</v>
      </c>
    </row>
    <row r="134" customFormat="false" ht="15" hidden="false" customHeight="false" outlineLevel="0" collapsed="false">
      <c r="A134" s="23" t="n">
        <v>45709</v>
      </c>
      <c r="B134" s="25" t="n">
        <v>50.68</v>
      </c>
      <c r="C134" s="25" t="n">
        <v>145.14</v>
      </c>
      <c r="D134" s="25" t="n">
        <v>5997.89</v>
      </c>
    </row>
    <row r="135" customFormat="false" ht="15" hidden="false" customHeight="false" outlineLevel="0" collapsed="false">
      <c r="A135" s="23" t="n">
        <v>45712</v>
      </c>
      <c r="B135" s="25" t="n">
        <v>52.43</v>
      </c>
      <c r="C135" s="25" t="n">
        <v>149.78</v>
      </c>
      <c r="D135" s="25" t="n">
        <v>6093.37</v>
      </c>
    </row>
    <row r="136" customFormat="false" ht="15" hidden="false" customHeight="false" outlineLevel="0" collapsed="false">
      <c r="A136" s="23" t="n">
        <v>45713</v>
      </c>
      <c r="B136" s="25" t="n">
        <v>51.11</v>
      </c>
      <c r="C136" s="25" t="n">
        <v>148.89</v>
      </c>
      <c r="D136" s="25" t="n">
        <v>6014.28</v>
      </c>
    </row>
    <row r="137" customFormat="false" ht="15" hidden="false" customHeight="false" outlineLevel="0" collapsed="false">
      <c r="A137" s="23" t="n">
        <v>45714</v>
      </c>
      <c r="B137" s="25" t="n">
        <v>51.58</v>
      </c>
      <c r="C137" s="25" t="n">
        <v>149.92</v>
      </c>
      <c r="D137" s="25" t="n">
        <v>6080.16</v>
      </c>
    </row>
    <row r="138" customFormat="false" ht="15" hidden="false" customHeight="false" outlineLevel="0" collapsed="false">
      <c r="A138" s="23" t="n">
        <v>45715</v>
      </c>
      <c r="B138" s="25" t="n">
        <v>52.17</v>
      </c>
      <c r="C138" s="25" t="n">
        <v>150.35</v>
      </c>
      <c r="D138" s="25" t="n">
        <v>6079.09</v>
      </c>
    </row>
    <row r="139" customFormat="false" ht="15" hidden="false" customHeight="false" outlineLevel="0" collapsed="false">
      <c r="A139" s="23" t="n">
        <v>45716</v>
      </c>
      <c r="B139" s="25" t="n">
        <v>52.27</v>
      </c>
      <c r="C139" s="25" t="n">
        <v>152.33</v>
      </c>
      <c r="D139" s="25" t="n">
        <v>6167.32</v>
      </c>
    </row>
    <row r="140" customFormat="false" ht="15" hidden="false" customHeight="false" outlineLevel="0" collapsed="false">
      <c r="A140" s="23" t="n">
        <v>45719</v>
      </c>
      <c r="B140" s="25" t="n">
        <v>52.23</v>
      </c>
      <c r="C140" s="25" t="n">
        <v>154.61</v>
      </c>
      <c r="D140" s="25" t="n">
        <v>6180.92</v>
      </c>
    </row>
    <row r="141" customFormat="false" ht="15" hidden="false" customHeight="false" outlineLevel="0" collapsed="false">
      <c r="A141" s="23" t="n">
        <v>45720</v>
      </c>
      <c r="B141" s="25" t="n">
        <v>50.97</v>
      </c>
      <c r="C141" s="25" t="n">
        <v>153.89</v>
      </c>
      <c r="D141" s="25" t="n">
        <v>6140.98</v>
      </c>
    </row>
    <row r="142" customFormat="false" ht="15" hidden="false" customHeight="false" outlineLevel="0" collapsed="false">
      <c r="A142" s="23" t="n">
        <v>45721</v>
      </c>
      <c r="B142" s="25" t="n">
        <v>51.25</v>
      </c>
      <c r="C142" s="25" t="n">
        <v>157.3</v>
      </c>
      <c r="D142" s="25" t="n">
        <v>6160.08</v>
      </c>
    </row>
    <row r="143" customFormat="false" ht="15" hidden="false" customHeight="false" outlineLevel="0" collapsed="false">
      <c r="A143" s="23" t="n">
        <v>45722</v>
      </c>
      <c r="B143" s="25" t="n">
        <v>52.79</v>
      </c>
      <c r="C143" s="25" t="n">
        <v>156.85</v>
      </c>
      <c r="D143" s="25" t="n">
        <v>6207.73</v>
      </c>
    </row>
    <row r="144" customFormat="false" ht="15" hidden="false" customHeight="false" outlineLevel="0" collapsed="false">
      <c r="A144" s="23" t="n">
        <v>45723</v>
      </c>
      <c r="B144" s="25" t="n">
        <v>52.34</v>
      </c>
      <c r="C144" s="25" t="n">
        <v>157.97</v>
      </c>
      <c r="D144" s="25" t="n">
        <v>6211.94</v>
      </c>
    </row>
    <row r="145" customFormat="false" ht="15" hidden="false" customHeight="false" outlineLevel="0" collapsed="false">
      <c r="A145" s="23" t="n">
        <v>45726</v>
      </c>
      <c r="B145" s="25" t="n">
        <v>52.83</v>
      </c>
      <c r="C145" s="25" t="n">
        <v>157.07</v>
      </c>
      <c r="D145" s="25" t="n">
        <v>6244.47</v>
      </c>
    </row>
    <row r="146" customFormat="false" ht="15" hidden="false" customHeight="false" outlineLevel="0" collapsed="false">
      <c r="A146" s="23" t="n">
        <v>45727</v>
      </c>
      <c r="B146" s="25" t="n">
        <v>51.93</v>
      </c>
      <c r="C146" s="25" t="n">
        <v>159.24</v>
      </c>
      <c r="D146" s="25" t="n">
        <v>6213.61</v>
      </c>
    </row>
    <row r="147" customFormat="false" ht="15" hidden="false" customHeight="false" outlineLevel="0" collapsed="false">
      <c r="A147" s="23" t="n">
        <v>45728</v>
      </c>
      <c r="B147" s="25" t="n">
        <v>49.87</v>
      </c>
      <c r="C147" s="25" t="n">
        <v>156.4</v>
      </c>
      <c r="D147" s="25" t="n">
        <v>6081.95</v>
      </c>
    </row>
    <row r="148" customFormat="false" ht="15" hidden="false" customHeight="false" outlineLevel="0" collapsed="false">
      <c r="A148" s="23" t="n">
        <v>45729</v>
      </c>
      <c r="B148" s="25" t="n">
        <v>49.66</v>
      </c>
      <c r="C148" s="25" t="n">
        <v>157.36</v>
      </c>
      <c r="D148" s="25" t="n">
        <v>6139.05</v>
      </c>
    </row>
    <row r="149" customFormat="false" ht="15" hidden="false" customHeight="false" outlineLevel="0" collapsed="false">
      <c r="A149" s="23" t="n">
        <v>45730</v>
      </c>
      <c r="B149" s="25" t="n">
        <v>51.02</v>
      </c>
      <c r="C149" s="25" t="n">
        <v>159.56</v>
      </c>
      <c r="D149" s="25" t="n">
        <v>6184.26</v>
      </c>
    </row>
    <row r="150" customFormat="false" ht="15" hidden="false" customHeight="false" outlineLevel="0" collapsed="false">
      <c r="A150" s="23" t="n">
        <v>45733</v>
      </c>
      <c r="B150" s="25" t="n">
        <v>52.66</v>
      </c>
      <c r="C150" s="25" t="n">
        <v>161.67</v>
      </c>
      <c r="D150" s="25" t="n">
        <v>6195.46</v>
      </c>
    </row>
    <row r="151" customFormat="false" ht="15" hidden="false" customHeight="false" outlineLevel="0" collapsed="false">
      <c r="A151" s="23" t="n">
        <v>45734</v>
      </c>
      <c r="B151" s="25" t="n">
        <v>53.05</v>
      </c>
      <c r="C151" s="25" t="n">
        <v>160.1</v>
      </c>
      <c r="D151" s="25" t="n">
        <v>6201.7</v>
      </c>
    </row>
    <row r="152" customFormat="false" ht="15" hidden="false" customHeight="false" outlineLevel="0" collapsed="false">
      <c r="A152" s="23" t="n">
        <v>45735</v>
      </c>
      <c r="B152" s="25" t="n">
        <v>53.27</v>
      </c>
      <c r="C152" s="25" t="n">
        <v>160.8</v>
      </c>
      <c r="D152" s="25" t="n">
        <v>6268.44</v>
      </c>
    </row>
    <row r="153" customFormat="false" ht="15" hidden="false" customHeight="false" outlineLevel="0" collapsed="false">
      <c r="A153" s="23" t="n">
        <v>45736</v>
      </c>
      <c r="B153" s="25" t="n">
        <v>53.48</v>
      </c>
      <c r="C153" s="25" t="n">
        <v>158.21</v>
      </c>
      <c r="D153" s="25" t="n">
        <v>6241.55</v>
      </c>
    </row>
    <row r="154" customFormat="false" ht="15" hidden="false" customHeight="false" outlineLevel="0" collapsed="false">
      <c r="A154" s="23" t="n">
        <v>45737</v>
      </c>
      <c r="B154" s="25" t="n">
        <v>52.83</v>
      </c>
      <c r="C154" s="25" t="n">
        <v>157.68</v>
      </c>
      <c r="D154" s="25" t="n">
        <v>6199.09</v>
      </c>
    </row>
    <row r="155" customFormat="false" ht="15" hidden="false" customHeight="false" outlineLevel="0" collapsed="false">
      <c r="A155" s="23" t="n">
        <v>45740</v>
      </c>
      <c r="B155" s="25" t="n">
        <v>53.27</v>
      </c>
      <c r="C155" s="25" t="n">
        <v>157.37</v>
      </c>
      <c r="D155" s="25" t="n">
        <v>6189.27</v>
      </c>
    </row>
    <row r="156" customFormat="false" ht="15" hidden="false" customHeight="false" outlineLevel="0" collapsed="false">
      <c r="A156" s="23" t="n">
        <v>45741</v>
      </c>
      <c r="B156" s="25" t="n">
        <v>54.27</v>
      </c>
      <c r="C156" s="25" t="n">
        <v>158.22</v>
      </c>
      <c r="D156" s="25" t="n">
        <v>6265.42</v>
      </c>
    </row>
    <row r="157" customFormat="false" ht="15" hidden="false" customHeight="false" outlineLevel="0" collapsed="false">
      <c r="A157" s="23" t="n">
        <v>45742</v>
      </c>
      <c r="B157" s="25" t="n">
        <v>53.58</v>
      </c>
      <c r="C157" s="25" t="n">
        <v>155.7</v>
      </c>
      <c r="D157" s="25" t="n">
        <v>6179.81</v>
      </c>
    </row>
    <row r="158" customFormat="false" ht="15" hidden="false" customHeight="false" outlineLevel="0" collapsed="false">
      <c r="A158" s="23" t="n">
        <v>45743</v>
      </c>
      <c r="B158" s="25" t="n">
        <v>54.79</v>
      </c>
      <c r="C158" s="25" t="n">
        <v>156.49</v>
      </c>
      <c r="D158" s="25" t="n">
        <v>6256.01</v>
      </c>
    </row>
    <row r="159" customFormat="false" ht="15" hidden="false" customHeight="false" outlineLevel="0" collapsed="false">
      <c r="A159" s="23" t="n">
        <v>45744</v>
      </c>
      <c r="B159" s="25" t="n">
        <v>54</v>
      </c>
      <c r="C159" s="25" t="n">
        <v>154.73</v>
      </c>
      <c r="D159" s="25" t="n">
        <v>6217.69</v>
      </c>
    </row>
    <row r="160" customFormat="false" ht="15" hidden="false" customHeight="false" outlineLevel="0" collapsed="false">
      <c r="A160" s="23" t="n">
        <v>45747</v>
      </c>
      <c r="B160" s="25" t="n">
        <v>53.04</v>
      </c>
      <c r="C160" s="25" t="n">
        <v>154.35</v>
      </c>
      <c r="D160" s="25" t="n">
        <v>6150.68</v>
      </c>
    </row>
    <row r="161" customFormat="false" ht="15" hidden="false" customHeight="false" outlineLevel="0" collapsed="false">
      <c r="A161" s="23" t="n">
        <v>45748</v>
      </c>
      <c r="B161" s="25" t="n">
        <v>52.73</v>
      </c>
      <c r="C161" s="25" t="n">
        <v>157.99</v>
      </c>
      <c r="D161" s="25" t="n">
        <v>6230.75</v>
      </c>
    </row>
    <row r="162" customFormat="false" ht="15" hidden="false" customHeight="false" outlineLevel="0" collapsed="false">
      <c r="A162" s="23" t="n">
        <v>45749</v>
      </c>
      <c r="B162" s="25" t="n">
        <v>52.4</v>
      </c>
      <c r="C162" s="25" t="n">
        <v>155.05</v>
      </c>
      <c r="D162" s="25" t="n">
        <v>6226.64</v>
      </c>
    </row>
    <row r="163" customFormat="false" ht="15" hidden="false" customHeight="false" outlineLevel="0" collapsed="false">
      <c r="A163" s="23" t="n">
        <v>45750</v>
      </c>
      <c r="B163" s="25" t="n">
        <v>50.67</v>
      </c>
      <c r="C163" s="25" t="n">
        <v>153.51</v>
      </c>
      <c r="D163" s="25" t="n">
        <v>6147.02</v>
      </c>
    </row>
    <row r="164" customFormat="false" ht="15" hidden="false" customHeight="false" outlineLevel="0" collapsed="false">
      <c r="A164" s="23" t="n">
        <v>45751</v>
      </c>
      <c r="B164" s="25" t="n">
        <v>50.39</v>
      </c>
      <c r="C164" s="25" t="n">
        <v>152.56</v>
      </c>
      <c r="D164" s="25" t="n">
        <v>6126.74</v>
      </c>
    </row>
    <row r="165" customFormat="false" ht="15" hidden="false" customHeight="false" outlineLevel="0" collapsed="false">
      <c r="A165" s="23" t="n">
        <v>45754</v>
      </c>
      <c r="B165" s="25" t="n">
        <v>50.37</v>
      </c>
      <c r="C165" s="25" t="n">
        <v>154.32</v>
      </c>
      <c r="D165" s="25" t="n">
        <v>6186.18</v>
      </c>
    </row>
    <row r="166" customFormat="false" ht="15" hidden="false" customHeight="false" outlineLevel="0" collapsed="false">
      <c r="A166" s="23" t="n">
        <v>45755</v>
      </c>
      <c r="B166" s="25" t="n">
        <v>51.19</v>
      </c>
      <c r="C166" s="25" t="n">
        <v>154.28</v>
      </c>
      <c r="D166" s="25" t="n">
        <v>6262.47</v>
      </c>
    </row>
    <row r="167" customFormat="false" ht="15" hidden="false" customHeight="false" outlineLevel="0" collapsed="false">
      <c r="A167" s="23" t="n">
        <v>45756</v>
      </c>
      <c r="B167" s="25" t="n">
        <v>51.25</v>
      </c>
      <c r="C167" s="25" t="n">
        <v>153.65</v>
      </c>
      <c r="D167" s="25" t="n">
        <v>6237.5</v>
      </c>
    </row>
    <row r="168" customFormat="false" ht="15" hidden="false" customHeight="false" outlineLevel="0" collapsed="false">
      <c r="A168" s="23" t="n">
        <v>45757</v>
      </c>
      <c r="B168" s="25" t="n">
        <v>50.62</v>
      </c>
      <c r="C168" s="25" t="n">
        <v>152.63</v>
      </c>
      <c r="D168" s="25" t="n">
        <v>6265.03</v>
      </c>
    </row>
    <row r="169" customFormat="false" ht="15" hidden="false" customHeight="false" outlineLevel="0" collapsed="false">
      <c r="A169" s="23" t="n">
        <v>45758</v>
      </c>
      <c r="B169" s="25" t="n">
        <v>50.56</v>
      </c>
      <c r="C169" s="25" t="n">
        <v>154.46</v>
      </c>
      <c r="D169" s="25" t="n">
        <v>6312.11</v>
      </c>
    </row>
    <row r="170" customFormat="false" ht="15" hidden="false" customHeight="false" outlineLevel="0" collapsed="false">
      <c r="A170" s="23" t="n">
        <v>45761</v>
      </c>
      <c r="B170" s="25" t="n">
        <v>49.6</v>
      </c>
      <c r="C170" s="25" t="n">
        <v>153.95</v>
      </c>
      <c r="D170" s="25" t="n">
        <v>6273.1</v>
      </c>
    </row>
    <row r="171" customFormat="false" ht="15" hidden="false" customHeight="false" outlineLevel="0" collapsed="false">
      <c r="A171" s="23" t="n">
        <v>45762</v>
      </c>
      <c r="B171" s="25" t="n">
        <v>50.31</v>
      </c>
      <c r="C171" s="25" t="n">
        <v>154.15</v>
      </c>
      <c r="D171" s="25" t="n">
        <v>6297.54</v>
      </c>
    </row>
    <row r="172" customFormat="false" ht="15" hidden="false" customHeight="false" outlineLevel="0" collapsed="false">
      <c r="A172" s="23" t="n">
        <v>45763</v>
      </c>
      <c r="B172" s="25" t="n">
        <v>51.4</v>
      </c>
      <c r="C172" s="25" t="n">
        <v>154.7</v>
      </c>
      <c r="D172" s="25" t="n">
        <v>6297.51</v>
      </c>
    </row>
    <row r="173" customFormat="false" ht="15" hidden="false" customHeight="false" outlineLevel="0" collapsed="false">
      <c r="A173" s="23" t="n">
        <v>45764</v>
      </c>
      <c r="B173" s="25" t="n">
        <v>51.65</v>
      </c>
      <c r="C173" s="25" t="n">
        <v>153.81</v>
      </c>
      <c r="D173" s="25" t="n">
        <v>6265.49</v>
      </c>
    </row>
    <row r="174" customFormat="false" ht="15" hidden="false" customHeight="false" outlineLevel="0" collapsed="false">
      <c r="A174" s="23" t="n">
        <v>45765</v>
      </c>
      <c r="B174" s="25" t="n">
        <v>51.14</v>
      </c>
      <c r="C174" s="25" t="n">
        <v>151.06</v>
      </c>
      <c r="D174" s="25" t="n">
        <v>6236.4</v>
      </c>
    </row>
    <row r="175" customFormat="false" ht="15" hidden="false" customHeight="false" outlineLevel="0" collapsed="false">
      <c r="A175" s="23" t="n">
        <v>45768</v>
      </c>
      <c r="B175" s="25" t="n">
        <v>52.16</v>
      </c>
      <c r="C175" s="25" t="n">
        <v>152.04</v>
      </c>
      <c r="D175" s="25" t="n">
        <v>6242.59</v>
      </c>
    </row>
    <row r="176" customFormat="false" ht="15" hidden="false" customHeight="false" outlineLevel="0" collapsed="false">
      <c r="A176" s="23" t="n">
        <v>45769</v>
      </c>
      <c r="B176" s="25" t="n">
        <v>51.21</v>
      </c>
      <c r="C176" s="25" t="n">
        <v>152.53</v>
      </c>
      <c r="D176" s="25" t="n">
        <v>6246.45</v>
      </c>
    </row>
    <row r="177" customFormat="false" ht="15" hidden="false" customHeight="false" outlineLevel="0" collapsed="false">
      <c r="A177" s="23" t="n">
        <v>45770</v>
      </c>
      <c r="B177" s="25" t="n">
        <v>51.86</v>
      </c>
      <c r="C177" s="25" t="n">
        <v>151.75</v>
      </c>
      <c r="D177" s="25" t="n">
        <v>6212.83</v>
      </c>
    </row>
    <row r="178" customFormat="false" ht="15" hidden="false" customHeight="false" outlineLevel="0" collapsed="false">
      <c r="A178" s="23" t="n">
        <v>45771</v>
      </c>
      <c r="B178" s="25" t="n">
        <v>51.19</v>
      </c>
      <c r="C178" s="25" t="n">
        <v>152.75</v>
      </c>
      <c r="D178" s="25" t="n">
        <v>6188.13</v>
      </c>
    </row>
    <row r="179" customFormat="false" ht="15" hidden="false" customHeight="false" outlineLevel="0" collapsed="false">
      <c r="A179" s="23" t="n">
        <v>45772</v>
      </c>
      <c r="B179" s="25" t="n">
        <v>50.12</v>
      </c>
      <c r="C179" s="25" t="n">
        <v>155.76</v>
      </c>
      <c r="D179" s="25" t="n">
        <v>6259.54</v>
      </c>
    </row>
    <row r="180" customFormat="false" ht="15" hidden="false" customHeight="false" outlineLevel="0" collapsed="false">
      <c r="A180" s="23" t="n">
        <v>45775</v>
      </c>
      <c r="B180" s="25" t="n">
        <v>51.95</v>
      </c>
      <c r="C180" s="25" t="n">
        <v>154.44</v>
      </c>
      <c r="D180" s="25" t="n">
        <v>6275.01</v>
      </c>
    </row>
    <row r="181" customFormat="false" ht="15" hidden="false" customHeight="false" outlineLevel="0" collapsed="false">
      <c r="A181" s="23" t="n">
        <v>45776</v>
      </c>
      <c r="B181" s="25" t="n">
        <v>53.57</v>
      </c>
      <c r="C181" s="25" t="n">
        <v>154.31</v>
      </c>
      <c r="D181" s="25" t="n">
        <v>6332.99</v>
      </c>
    </row>
    <row r="182" customFormat="false" ht="15" hidden="false" customHeight="false" outlineLevel="0" collapsed="false">
      <c r="A182" s="23" t="n">
        <v>45777</v>
      </c>
      <c r="B182" s="25" t="n">
        <v>53.68</v>
      </c>
      <c r="C182" s="25" t="n">
        <v>157.93</v>
      </c>
      <c r="D182" s="25" t="n">
        <v>6411.71</v>
      </c>
    </row>
    <row r="183" customFormat="false" ht="15" hidden="false" customHeight="false" outlineLevel="0" collapsed="false">
      <c r="A183" s="23" t="n">
        <v>45778</v>
      </c>
      <c r="B183" s="25" t="n">
        <v>54.21</v>
      </c>
      <c r="C183" s="25" t="n">
        <v>160.75</v>
      </c>
      <c r="D183" s="25" t="n">
        <v>6451.8</v>
      </c>
    </row>
    <row r="184" customFormat="false" ht="15" hidden="false" customHeight="false" outlineLevel="0" collapsed="false">
      <c r="A184" s="23" t="n">
        <v>45779</v>
      </c>
      <c r="B184" s="25" t="n">
        <v>55.58</v>
      </c>
      <c r="C184" s="25" t="n">
        <v>162.26</v>
      </c>
      <c r="D184" s="25" t="n">
        <v>6601.52</v>
      </c>
    </row>
    <row r="185" customFormat="false" ht="15" hidden="false" customHeight="false" outlineLevel="0" collapsed="false">
      <c r="A185" s="23" t="n">
        <v>45782</v>
      </c>
      <c r="B185" s="25" t="n">
        <v>55.13</v>
      </c>
      <c r="C185" s="25" t="n">
        <v>159.56</v>
      </c>
      <c r="D185" s="25" t="n">
        <v>6548.7</v>
      </c>
    </row>
    <row r="186" customFormat="false" ht="15" hidden="false" customHeight="false" outlineLevel="0" collapsed="false">
      <c r="A186" s="23" t="n">
        <v>45783</v>
      </c>
      <c r="B186" s="25" t="n">
        <v>54.67</v>
      </c>
      <c r="C186" s="25" t="n">
        <v>159.56</v>
      </c>
      <c r="D186" s="25" t="n">
        <v>6604.14</v>
      </c>
    </row>
    <row r="187" customFormat="false" ht="15" hidden="false" customHeight="false" outlineLevel="0" collapsed="false">
      <c r="A187" s="23" t="n">
        <v>45784</v>
      </c>
      <c r="B187" s="25" t="n">
        <v>54.03</v>
      </c>
      <c r="C187" s="25" t="n">
        <v>158.5</v>
      </c>
      <c r="D187" s="25" t="n">
        <v>6585.06</v>
      </c>
    </row>
    <row r="188" customFormat="false" ht="15" hidden="false" customHeight="false" outlineLevel="0" collapsed="false">
      <c r="A188" s="23" t="n">
        <v>45785</v>
      </c>
      <c r="B188" s="25" t="n">
        <v>55.59</v>
      </c>
      <c r="C188" s="25" t="n">
        <v>158.25</v>
      </c>
      <c r="D188" s="25" t="n">
        <v>6710.32</v>
      </c>
    </row>
    <row r="189" customFormat="false" ht="15" hidden="false" customHeight="false" outlineLevel="0" collapsed="false">
      <c r="A189" s="23" t="n">
        <v>45786</v>
      </c>
      <c r="B189" s="25" t="n">
        <v>56.92</v>
      </c>
      <c r="C189" s="25" t="n">
        <v>160.25</v>
      </c>
      <c r="D189" s="25" t="n">
        <v>6827.46</v>
      </c>
    </row>
    <row r="190" customFormat="false" ht="15" hidden="false" customHeight="false" outlineLevel="0" collapsed="false">
      <c r="A190" s="23" t="n">
        <v>45789</v>
      </c>
      <c r="B190" s="25" t="n">
        <v>56.47</v>
      </c>
      <c r="C190" s="25" t="n">
        <v>156.15</v>
      </c>
      <c r="D190" s="25" t="n">
        <v>6695.15</v>
      </c>
    </row>
    <row r="191" customFormat="false" ht="15" hidden="false" customHeight="false" outlineLevel="0" collapsed="false">
      <c r="A191" s="23" t="n">
        <v>45790</v>
      </c>
      <c r="B191" s="25" t="n">
        <v>55.9</v>
      </c>
      <c r="C191" s="25" t="n">
        <v>153.35</v>
      </c>
      <c r="D191" s="25" t="n">
        <v>6631.89</v>
      </c>
    </row>
    <row r="192" customFormat="false" ht="15" hidden="false" customHeight="false" outlineLevel="0" collapsed="false">
      <c r="A192" s="23" t="n">
        <v>45791</v>
      </c>
      <c r="B192" s="25" t="n">
        <v>58.03</v>
      </c>
      <c r="C192" s="25" t="n">
        <v>155.44</v>
      </c>
      <c r="D192" s="25" t="n">
        <v>6678.4</v>
      </c>
    </row>
    <row r="193" customFormat="false" ht="15" hidden="false" customHeight="false" outlineLevel="0" collapsed="false">
      <c r="A193" s="23" t="n">
        <v>45792</v>
      </c>
      <c r="B193" s="25" t="n">
        <v>58.1</v>
      </c>
      <c r="C193" s="25" t="n">
        <v>155.36</v>
      </c>
      <c r="D193" s="25" t="n">
        <v>6733.69</v>
      </c>
    </row>
    <row r="194" customFormat="false" ht="15" hidden="false" customHeight="false" outlineLevel="0" collapsed="false">
      <c r="A194" s="23" t="n">
        <v>45793</v>
      </c>
      <c r="B194" s="25" t="n">
        <v>58.84</v>
      </c>
      <c r="C194" s="25" t="n">
        <v>156.11</v>
      </c>
      <c r="D194" s="25" t="n">
        <v>6785.82</v>
      </c>
    </row>
    <row r="195" customFormat="false" ht="15" hidden="false" customHeight="false" outlineLevel="0" collapsed="false">
      <c r="A195" s="23" t="n">
        <v>45796</v>
      </c>
      <c r="B195" s="25" t="n">
        <v>57.4</v>
      </c>
      <c r="C195" s="25" t="n">
        <v>157.01</v>
      </c>
      <c r="D195" s="25" t="n">
        <v>6783.12</v>
      </c>
    </row>
    <row r="196" customFormat="false" ht="15" hidden="false" customHeight="false" outlineLevel="0" collapsed="false">
      <c r="A196" s="23" t="n">
        <v>45797</v>
      </c>
      <c r="B196" s="25" t="n">
        <v>56.84</v>
      </c>
      <c r="C196" s="25" t="n">
        <v>158.77</v>
      </c>
      <c r="D196" s="25" t="n">
        <v>6816.39</v>
      </c>
    </row>
    <row r="197" customFormat="false" ht="15" hidden="false" customHeight="false" outlineLevel="0" collapsed="false">
      <c r="A197" s="23" t="n">
        <v>45798</v>
      </c>
      <c r="B197" s="25" t="n">
        <v>58.28</v>
      </c>
      <c r="C197" s="25" t="n">
        <v>159.05</v>
      </c>
      <c r="D197" s="25" t="n">
        <v>6863.42</v>
      </c>
    </row>
    <row r="198" customFormat="false" ht="15" hidden="false" customHeight="false" outlineLevel="0" collapsed="false">
      <c r="A198" s="23" t="n">
        <v>45799</v>
      </c>
      <c r="B198" s="25" t="n">
        <v>57.56</v>
      </c>
      <c r="C198" s="25" t="n">
        <v>159.08</v>
      </c>
      <c r="D198" s="25" t="n">
        <v>6860.21</v>
      </c>
    </row>
    <row r="199" customFormat="false" ht="15" hidden="false" customHeight="false" outlineLevel="0" collapsed="false">
      <c r="A199" s="23" t="n">
        <v>45800</v>
      </c>
      <c r="B199" s="25" t="n">
        <v>58.7</v>
      </c>
      <c r="C199" s="25" t="n">
        <v>159.04</v>
      </c>
      <c r="D199" s="25" t="n">
        <v>6933.42</v>
      </c>
    </row>
    <row r="200" customFormat="false" ht="15" hidden="false" customHeight="false" outlineLevel="0" collapsed="false">
      <c r="A200" s="23" t="n">
        <v>45803</v>
      </c>
      <c r="B200" s="25" t="n">
        <v>57.08</v>
      </c>
      <c r="C200" s="25" t="n">
        <v>159.18</v>
      </c>
      <c r="D200" s="25" t="n">
        <v>6777.73</v>
      </c>
    </row>
    <row r="201" customFormat="false" ht="15" hidden="false" customHeight="false" outlineLevel="0" collapsed="false">
      <c r="A201" s="23" t="n">
        <v>45804</v>
      </c>
      <c r="B201" s="25" t="n">
        <v>56.8</v>
      </c>
      <c r="C201" s="25" t="n">
        <v>160.92</v>
      </c>
      <c r="D201" s="25" t="n">
        <v>6823.17</v>
      </c>
    </row>
    <row r="202" customFormat="false" ht="15" hidden="false" customHeight="false" outlineLevel="0" collapsed="false">
      <c r="A202" s="23" t="n">
        <v>45805</v>
      </c>
      <c r="B202" s="25" t="n">
        <v>55.88</v>
      </c>
      <c r="C202" s="25" t="n">
        <v>158.12</v>
      </c>
      <c r="D202" s="25" t="n">
        <v>6754.23</v>
      </c>
    </row>
    <row r="203" customFormat="false" ht="15" hidden="false" customHeight="false" outlineLevel="0" collapsed="false">
      <c r="A203" s="23" t="n">
        <v>45806</v>
      </c>
      <c r="B203" s="25" t="n">
        <v>56.19</v>
      </c>
      <c r="C203" s="25" t="n">
        <v>159.25</v>
      </c>
      <c r="D203" s="25" t="n">
        <v>6821.63</v>
      </c>
    </row>
    <row r="204" customFormat="false" ht="15" hidden="false" customHeight="false" outlineLevel="0" collapsed="false">
      <c r="A204" s="23" t="n">
        <v>45807</v>
      </c>
      <c r="B204" s="25" t="n">
        <v>55.73</v>
      </c>
      <c r="C204" s="25" t="n">
        <v>160.12</v>
      </c>
      <c r="D204" s="25" t="n">
        <v>6808.08</v>
      </c>
    </row>
    <row r="205" customFormat="false" ht="15" hidden="false" customHeight="false" outlineLevel="0" collapsed="false">
      <c r="A205" s="23" t="n">
        <v>45810</v>
      </c>
      <c r="B205" s="25" t="n">
        <v>55.69</v>
      </c>
      <c r="C205" s="25" t="n">
        <v>159.89</v>
      </c>
      <c r="D205" s="25" t="n">
        <v>6749.25</v>
      </c>
    </row>
    <row r="206" customFormat="false" ht="15" hidden="false" customHeight="false" outlineLevel="0" collapsed="false">
      <c r="A206" s="23" t="n">
        <v>45811</v>
      </c>
      <c r="B206" s="25" t="n">
        <v>56.43</v>
      </c>
      <c r="C206" s="25" t="n">
        <v>163.13</v>
      </c>
      <c r="D206" s="25" t="n">
        <v>6776.83</v>
      </c>
    </row>
    <row r="207" customFormat="false" ht="15" hidden="false" customHeight="false" outlineLevel="0" collapsed="false">
      <c r="A207" s="23" t="n">
        <v>45812</v>
      </c>
      <c r="B207" s="25" t="n">
        <v>55.43</v>
      </c>
      <c r="C207" s="25" t="n">
        <v>164.25</v>
      </c>
      <c r="D207" s="25" t="n">
        <v>6716.73</v>
      </c>
    </row>
    <row r="208" customFormat="false" ht="15" hidden="false" customHeight="false" outlineLevel="0" collapsed="false">
      <c r="A208" s="23" t="n">
        <v>45813</v>
      </c>
      <c r="B208" s="25" t="n">
        <v>54.22</v>
      </c>
      <c r="C208" s="25" t="n">
        <v>162.41</v>
      </c>
      <c r="D208" s="25" t="n">
        <v>6657.07</v>
      </c>
    </row>
    <row r="209" customFormat="false" ht="15" hidden="false" customHeight="false" outlineLevel="0" collapsed="false">
      <c r="A209" s="23" t="n">
        <v>45814</v>
      </c>
      <c r="B209" s="25" t="n">
        <v>53.41</v>
      </c>
      <c r="C209" s="25" t="n">
        <v>160.53</v>
      </c>
      <c r="D209" s="25" t="n">
        <v>6554.02</v>
      </c>
    </row>
    <row r="210" customFormat="false" ht="15" hidden="false" customHeight="false" outlineLevel="0" collapsed="false">
      <c r="A210" s="23" t="n">
        <v>45817</v>
      </c>
      <c r="B210" s="25" t="n">
        <v>53.36</v>
      </c>
      <c r="C210" s="25" t="n">
        <v>158.6</v>
      </c>
      <c r="D210" s="25" t="n">
        <v>6554.34</v>
      </c>
    </row>
    <row r="211" customFormat="false" ht="15" hidden="false" customHeight="false" outlineLevel="0" collapsed="false">
      <c r="A211" s="23" t="n">
        <v>45818</v>
      </c>
      <c r="B211" s="25" t="n">
        <v>54.4</v>
      </c>
      <c r="C211" s="25" t="n">
        <v>159.58</v>
      </c>
      <c r="D211" s="25" t="n">
        <v>6589.24</v>
      </c>
    </row>
    <row r="212" customFormat="false" ht="15" hidden="false" customHeight="false" outlineLevel="0" collapsed="false">
      <c r="A212" s="23" t="n">
        <v>45819</v>
      </c>
      <c r="B212" s="25" t="n">
        <v>56.93</v>
      </c>
      <c r="C212" s="25" t="n">
        <v>161.02</v>
      </c>
      <c r="D212" s="25" t="n">
        <v>6659.28</v>
      </c>
    </row>
    <row r="213" customFormat="false" ht="15" hidden="false" customHeight="false" outlineLevel="0" collapsed="false">
      <c r="A213" s="23" t="n">
        <v>45820</v>
      </c>
      <c r="B213" s="25" t="n">
        <v>57.47</v>
      </c>
      <c r="C213" s="25" t="n">
        <v>165.02</v>
      </c>
      <c r="D213" s="25" t="n">
        <v>6651.88</v>
      </c>
    </row>
    <row r="214" customFormat="false" ht="15" hidden="false" customHeight="false" outlineLevel="0" collapsed="false">
      <c r="A214" s="23" t="n">
        <v>45821</v>
      </c>
      <c r="B214" s="25" t="n">
        <v>58.2</v>
      </c>
      <c r="C214" s="25" t="n">
        <v>166.44</v>
      </c>
      <c r="D214" s="25" t="n">
        <v>6724.24</v>
      </c>
    </row>
    <row r="215" customFormat="false" ht="15" hidden="false" customHeight="false" outlineLevel="0" collapsed="false">
      <c r="A215" s="23" t="n">
        <v>45824</v>
      </c>
      <c r="B215" s="25" t="n">
        <v>58.13</v>
      </c>
      <c r="C215" s="25" t="n">
        <v>163.23</v>
      </c>
      <c r="D215" s="25" t="n">
        <v>6727.59</v>
      </c>
    </row>
    <row r="216" customFormat="false" ht="15" hidden="false" customHeight="false" outlineLevel="0" collapsed="false">
      <c r="A216" s="23" t="n">
        <v>45825</v>
      </c>
      <c r="B216" s="25" t="n">
        <v>57.47</v>
      </c>
      <c r="C216" s="25" t="n">
        <v>162.14</v>
      </c>
      <c r="D216" s="25" t="n">
        <v>6723.4</v>
      </c>
    </row>
    <row r="217" customFormat="false" ht="15" hidden="false" customHeight="false" outlineLevel="0" collapsed="false">
      <c r="A217" s="23" t="n">
        <v>45826</v>
      </c>
      <c r="B217" s="25" t="n">
        <v>57.24</v>
      </c>
      <c r="C217" s="25" t="n">
        <v>163.02</v>
      </c>
      <c r="D217" s="25" t="n">
        <v>6764.41</v>
      </c>
    </row>
    <row r="218" customFormat="false" ht="15" hidden="false" customHeight="false" outlineLevel="0" collapsed="false">
      <c r="A218" s="23" t="n">
        <v>45827</v>
      </c>
      <c r="B218" s="25" t="n">
        <v>57.28</v>
      </c>
      <c r="C218" s="25" t="n">
        <v>162.35</v>
      </c>
      <c r="D218" s="25" t="n">
        <v>6838.71</v>
      </c>
    </row>
    <row r="219" customFormat="false" ht="15" hidden="false" customHeight="false" outlineLevel="0" collapsed="false">
      <c r="A219" s="23" t="n">
        <v>45828</v>
      </c>
      <c r="B219" s="25" t="n">
        <v>56.8</v>
      </c>
      <c r="C219" s="25" t="n">
        <v>160.68</v>
      </c>
      <c r="D219" s="25" t="n">
        <v>6817.35</v>
      </c>
    </row>
    <row r="220" customFormat="false" ht="15" hidden="false" customHeight="false" outlineLevel="0" collapsed="false">
      <c r="A220" s="23" t="n">
        <v>45831</v>
      </c>
      <c r="B220" s="25" t="n">
        <v>56.36</v>
      </c>
      <c r="C220" s="25" t="n">
        <v>159.9</v>
      </c>
      <c r="D220" s="25" t="n">
        <v>6802.76</v>
      </c>
    </row>
    <row r="221" customFormat="false" ht="15" hidden="false" customHeight="false" outlineLevel="0" collapsed="false">
      <c r="A221" s="23" t="n">
        <v>45832</v>
      </c>
      <c r="B221" s="25" t="n">
        <v>56.81</v>
      </c>
      <c r="C221" s="25" t="n">
        <v>160.29</v>
      </c>
      <c r="D221" s="25" t="n">
        <v>6793.9</v>
      </c>
    </row>
    <row r="222" customFormat="false" ht="15" hidden="false" customHeight="false" outlineLevel="0" collapsed="false">
      <c r="A222" s="23" t="n">
        <v>45833</v>
      </c>
      <c r="B222" s="25" t="n">
        <v>56.61</v>
      </c>
      <c r="C222" s="25" t="n">
        <v>160.18</v>
      </c>
      <c r="D222" s="25" t="n">
        <v>6801.72</v>
      </c>
    </row>
    <row r="223" customFormat="false" ht="15" hidden="false" customHeight="false" outlineLevel="0" collapsed="false">
      <c r="A223" s="23" t="n">
        <v>45834</v>
      </c>
      <c r="B223" s="25" t="n">
        <v>55.89</v>
      </c>
      <c r="C223" s="25" t="n">
        <v>157.87</v>
      </c>
      <c r="D223" s="25" t="n">
        <v>6742.15</v>
      </c>
    </row>
    <row r="224" customFormat="false" ht="15" hidden="false" customHeight="false" outlineLevel="0" collapsed="false">
      <c r="A224" s="23" t="n">
        <v>45835</v>
      </c>
      <c r="B224" s="25" t="n">
        <v>55.76</v>
      </c>
      <c r="C224" s="25" t="n">
        <v>160.24</v>
      </c>
      <c r="D224" s="25" t="n">
        <v>6814.15</v>
      </c>
    </row>
    <row r="225" customFormat="false" ht="15" hidden="false" customHeight="false" outlineLevel="0" collapsed="false">
      <c r="A225" s="23" t="n">
        <v>45838</v>
      </c>
      <c r="B225" s="25" t="n">
        <v>56.67</v>
      </c>
      <c r="C225" s="25" t="n">
        <v>159.02</v>
      </c>
      <c r="D225" s="25" t="n">
        <v>6788.81</v>
      </c>
    </row>
    <row r="226" customFormat="false" ht="15" hidden="false" customHeight="false" outlineLevel="0" collapsed="false">
      <c r="A226" s="23" t="n">
        <v>45839</v>
      </c>
      <c r="B226" s="25" t="n">
        <v>57.39</v>
      </c>
      <c r="C226" s="25" t="n">
        <v>158.84</v>
      </c>
      <c r="D226" s="25" t="n">
        <v>6822.61</v>
      </c>
    </row>
    <row r="227" customFormat="false" ht="15" hidden="false" customHeight="false" outlineLevel="0" collapsed="false">
      <c r="A227" s="23" t="n">
        <v>45840</v>
      </c>
      <c r="B227" s="25" t="n">
        <v>58.14</v>
      </c>
      <c r="C227" s="25" t="n">
        <v>155.9</v>
      </c>
      <c r="D227" s="25" t="n">
        <v>6768.01</v>
      </c>
    </row>
    <row r="228" customFormat="false" ht="15" hidden="false" customHeight="false" outlineLevel="0" collapsed="false">
      <c r="A228" s="23" t="n">
        <v>45841</v>
      </c>
      <c r="B228" s="25" t="n">
        <v>59.01</v>
      </c>
      <c r="C228" s="25" t="n">
        <v>155.19</v>
      </c>
      <c r="D228" s="25" t="n">
        <v>6794.64</v>
      </c>
    </row>
    <row r="229" customFormat="false" ht="15" hidden="false" customHeight="false" outlineLevel="0" collapsed="false">
      <c r="A229" s="23" t="n">
        <v>45842</v>
      </c>
      <c r="B229" s="25" t="n">
        <v>60.43</v>
      </c>
      <c r="C229" s="25" t="n">
        <v>156.62</v>
      </c>
      <c r="D229" s="25" t="n">
        <v>6823.61</v>
      </c>
    </row>
    <row r="230" customFormat="false" ht="15" hidden="false" customHeight="false" outlineLevel="0" collapsed="false">
      <c r="A230" s="23" t="n">
        <v>45845</v>
      </c>
      <c r="B230" s="25" t="n">
        <v>59.97</v>
      </c>
      <c r="C230" s="25" t="n">
        <v>153.81</v>
      </c>
      <c r="D230" s="25" t="n">
        <v>6796.85</v>
      </c>
    </row>
    <row r="231" customFormat="false" ht="15" hidden="false" customHeight="false" outlineLevel="0" collapsed="false">
      <c r="A231" s="23" t="n">
        <v>45846</v>
      </c>
      <c r="B231" s="25" t="n">
        <v>62.01</v>
      </c>
      <c r="C231" s="25" t="n">
        <v>155.95</v>
      </c>
      <c r="D231" s="25" t="n">
        <v>6937.45</v>
      </c>
    </row>
    <row r="232" customFormat="false" ht="15" hidden="false" customHeight="false" outlineLevel="0" collapsed="false">
      <c r="A232" s="23" t="n">
        <v>45847</v>
      </c>
      <c r="B232" s="25" t="n">
        <v>64.44</v>
      </c>
      <c r="C232" s="25" t="n">
        <v>157.47</v>
      </c>
      <c r="D232" s="25" t="n">
        <v>6965.59</v>
      </c>
    </row>
    <row r="233" customFormat="false" ht="15" hidden="false" customHeight="false" outlineLevel="0" collapsed="false">
      <c r="A233" s="23" t="n">
        <v>45848</v>
      </c>
      <c r="B233" s="25" t="n">
        <v>64.87</v>
      </c>
      <c r="C233" s="25" t="n">
        <v>158.93</v>
      </c>
      <c r="D233" s="25" t="n">
        <v>7092.56</v>
      </c>
    </row>
    <row r="234" customFormat="false" ht="15" hidden="false" customHeight="false" outlineLevel="0" collapsed="false">
      <c r="A234" s="23" t="n">
        <v>45849</v>
      </c>
      <c r="B234" s="25" t="n">
        <v>66.62</v>
      </c>
      <c r="C234" s="25" t="n">
        <v>160.42</v>
      </c>
      <c r="D234" s="25" t="n">
        <v>7163.37</v>
      </c>
    </row>
    <row r="235" customFormat="false" ht="15" hidden="false" customHeight="false" outlineLevel="0" collapsed="false">
      <c r="A235" s="23" t="n">
        <v>45852</v>
      </c>
      <c r="B235" s="25" t="n">
        <v>67.55</v>
      </c>
      <c r="C235" s="25" t="n">
        <v>158.03</v>
      </c>
      <c r="D235" s="25" t="n">
        <v>7117.83</v>
      </c>
    </row>
    <row r="236" customFormat="false" ht="15" hidden="false" customHeight="false" outlineLevel="0" collapsed="false">
      <c r="A236" s="23" t="n">
        <v>45853</v>
      </c>
      <c r="B236" s="25" t="n">
        <v>67.64</v>
      </c>
      <c r="C236" s="25" t="n">
        <v>159.61</v>
      </c>
      <c r="D236" s="25" t="n">
        <v>7092.67</v>
      </c>
    </row>
    <row r="237" customFormat="false" ht="15" hidden="false" customHeight="false" outlineLevel="0" collapsed="false">
      <c r="A237" s="23" t="n">
        <v>45854</v>
      </c>
      <c r="B237" s="25" t="n">
        <v>68.68</v>
      </c>
      <c r="C237" s="25" t="n">
        <v>161.81</v>
      </c>
      <c r="D237" s="25" t="n">
        <v>7126.1</v>
      </c>
    </row>
    <row r="238" customFormat="false" ht="15" hidden="false" customHeight="false" outlineLevel="0" collapsed="false">
      <c r="A238" s="23" t="n">
        <v>45855</v>
      </c>
      <c r="B238" s="25" t="n">
        <v>69.88</v>
      </c>
      <c r="C238" s="25" t="n">
        <v>162.29</v>
      </c>
      <c r="D238" s="25" t="n">
        <v>7132.76</v>
      </c>
    </row>
    <row r="239" customFormat="false" ht="15" hidden="false" customHeight="false" outlineLevel="0" collapsed="false">
      <c r="A239" s="23" t="n">
        <v>45856</v>
      </c>
      <c r="B239" s="25" t="n">
        <v>69.37</v>
      </c>
      <c r="C239" s="25" t="n">
        <v>159.71</v>
      </c>
      <c r="D239" s="25" t="n">
        <v>7138.58</v>
      </c>
    </row>
    <row r="240" customFormat="false" ht="15" hidden="false" customHeight="false" outlineLevel="0" collapsed="false">
      <c r="A240" s="23" t="n">
        <v>45859</v>
      </c>
      <c r="B240" s="25" t="n">
        <v>69.54</v>
      </c>
      <c r="C240" s="25" t="n">
        <v>157.86</v>
      </c>
      <c r="D240" s="25" t="n">
        <v>7120.25</v>
      </c>
    </row>
    <row r="241" customFormat="false" ht="15" hidden="false" customHeight="false" outlineLevel="0" collapsed="false">
      <c r="A241" s="23" t="n">
        <v>45860</v>
      </c>
      <c r="B241" s="25" t="n">
        <v>67.28</v>
      </c>
      <c r="C241" s="25" t="n">
        <v>157.36</v>
      </c>
      <c r="D241" s="25" t="n">
        <v>6992.72</v>
      </c>
    </row>
    <row r="242" customFormat="false" ht="15" hidden="false" customHeight="false" outlineLevel="0" collapsed="false">
      <c r="A242" s="23" t="n">
        <v>45861</v>
      </c>
      <c r="B242" s="25" t="n">
        <v>66.55</v>
      </c>
      <c r="C242" s="25" t="n">
        <v>159.7</v>
      </c>
      <c r="D242" s="25" t="n">
        <v>6979.06</v>
      </c>
    </row>
    <row r="243" customFormat="false" ht="15" hidden="false" customHeight="false" outlineLevel="0" collapsed="false">
      <c r="A243" s="23" t="n">
        <v>45862</v>
      </c>
      <c r="B243" s="25" t="n">
        <v>64.27</v>
      </c>
      <c r="C243" s="25" t="n">
        <v>157.7</v>
      </c>
      <c r="D243" s="25" t="n">
        <v>6825.24</v>
      </c>
    </row>
    <row r="244" customFormat="false" ht="15" hidden="false" customHeight="false" outlineLevel="0" collapsed="false">
      <c r="A244" s="23" t="n">
        <v>45863</v>
      </c>
      <c r="B244" s="25" t="n">
        <v>64.48</v>
      </c>
      <c r="C244" s="25" t="n">
        <v>160.03</v>
      </c>
      <c r="D244" s="25" t="n">
        <v>6852.99</v>
      </c>
    </row>
    <row r="245" customFormat="false" ht="15" hidden="false" customHeight="false" outlineLevel="0" collapsed="false">
      <c r="A245" s="23" t="n">
        <v>45866</v>
      </c>
      <c r="B245" s="25" t="n">
        <v>64.07</v>
      </c>
      <c r="C245" s="25" t="n">
        <v>158.34</v>
      </c>
      <c r="D245" s="25" t="n">
        <v>6805.01</v>
      </c>
    </row>
    <row r="246" customFormat="false" ht="15" hidden="false" customHeight="false" outlineLevel="0" collapsed="false">
      <c r="A246" s="23" t="n">
        <v>45867</v>
      </c>
      <c r="B246" s="25" t="n">
        <v>63.93</v>
      </c>
      <c r="C246" s="25" t="n">
        <v>157.31</v>
      </c>
      <c r="D246" s="25" t="n">
        <v>6758.11</v>
      </c>
    </row>
    <row r="247" customFormat="false" ht="15" hidden="false" customHeight="false" outlineLevel="0" collapsed="false">
      <c r="A247" s="23" t="n">
        <v>45868</v>
      </c>
      <c r="B247" s="25" t="n">
        <v>62.63</v>
      </c>
      <c r="C247" s="25" t="n">
        <v>157.12</v>
      </c>
      <c r="D247" s="25" t="n">
        <v>6745.31</v>
      </c>
    </row>
    <row r="248" customFormat="false" ht="15" hidden="false" customHeight="false" outlineLevel="0" collapsed="false">
      <c r="A248" s="23" t="n">
        <v>45869</v>
      </c>
      <c r="B248" s="25" t="n">
        <v>64.47</v>
      </c>
      <c r="C248" s="25" t="n">
        <v>158.1</v>
      </c>
      <c r="D248" s="25" t="n">
        <v>6765.99</v>
      </c>
    </row>
    <row r="249" customFormat="false" ht="15" hidden="false" customHeight="false" outlineLevel="0" collapsed="false">
      <c r="A249" s="23" t="n">
        <v>45870</v>
      </c>
      <c r="B249" s="25" t="n">
        <v>64.35</v>
      </c>
      <c r="C249" s="25" t="n">
        <v>154.27</v>
      </c>
      <c r="D249" s="25" t="n">
        <v>6670.49</v>
      </c>
    </row>
    <row r="250" customFormat="false" ht="15" hidden="false" customHeight="false" outlineLevel="0" collapsed="false">
      <c r="A250" s="23" t="n">
        <v>45873</v>
      </c>
      <c r="B250" s="25" t="n">
        <v>63.63</v>
      </c>
      <c r="C250" s="25" t="n">
        <v>153.79</v>
      </c>
      <c r="D250" s="25" t="n">
        <v>6555.04</v>
      </c>
    </row>
    <row r="251" customFormat="false" ht="15" hidden="false" customHeight="false" outlineLevel="0" collapsed="false">
      <c r="A251" s="23" t="n">
        <v>45874</v>
      </c>
      <c r="B251" s="25" t="n">
        <v>62.56</v>
      </c>
      <c r="C251" s="25" t="n">
        <v>154.6</v>
      </c>
      <c r="D251" s="25" t="n">
        <v>6486.69</v>
      </c>
    </row>
    <row r="252" customFormat="false" ht="15" hidden="false" customHeight="false" outlineLevel="0" collapsed="false">
      <c r="A252" s="23" t="n">
        <v>45875</v>
      </c>
      <c r="B252" s="25" t="n">
        <v>60.98</v>
      </c>
      <c r="C252" s="25" t="n">
        <v>150.74</v>
      </c>
      <c r="D252" s="25" t="n">
        <v>6355.26</v>
      </c>
    </row>
    <row r="253" customFormat="false" ht="15" hidden="false" customHeight="false" outlineLevel="0" collapsed="false">
      <c r="A253" s="23" t="n">
        <v>45876</v>
      </c>
      <c r="B253" s="25" t="n">
        <v>60.73</v>
      </c>
      <c r="C253" s="25" t="n">
        <v>147.83</v>
      </c>
      <c r="D253" s="25" t="n">
        <v>6295.35</v>
      </c>
    </row>
    <row r="254" customFormat="false" ht="15" hidden="false" customHeight="false" outlineLevel="0" collapsed="false">
      <c r="A254" s="23" t="n">
        <v>45877</v>
      </c>
      <c r="B254" s="25" t="n">
        <v>62.26</v>
      </c>
      <c r="C254" s="25" t="n">
        <v>150.03</v>
      </c>
      <c r="D254" s="25" t="n">
        <v>6398.29</v>
      </c>
    </row>
    <row r="255" customFormat="false" ht="15" hidden="false" customHeight="false" outlineLevel="0" collapsed="false">
      <c r="A255" s="23" t="n">
        <v>45880</v>
      </c>
      <c r="B255" s="25" t="n">
        <v>60.15</v>
      </c>
      <c r="C255" s="25" t="n">
        <v>148.03</v>
      </c>
      <c r="D255" s="25" t="n">
        <v>6332.18</v>
      </c>
    </row>
    <row r="256" customFormat="false" ht="15" hidden="false" customHeight="false" outlineLevel="0" collapsed="false">
      <c r="A256" s="23" t="n">
        <v>45881</v>
      </c>
      <c r="B256" s="25" t="n">
        <v>61.23</v>
      </c>
      <c r="C256" s="25" t="n">
        <v>145.45</v>
      </c>
      <c r="D256" s="25" t="n">
        <v>6375.77</v>
      </c>
    </row>
    <row r="257" customFormat="false" ht="15" hidden="false" customHeight="false" outlineLevel="0" collapsed="false">
      <c r="A257" s="23" t="n">
        <v>45882</v>
      </c>
      <c r="B257" s="25" t="n">
        <v>62.55</v>
      </c>
      <c r="C257" s="25" t="n">
        <v>145.2</v>
      </c>
      <c r="D257" s="25" t="n">
        <v>6289.65</v>
      </c>
    </row>
    <row r="258" customFormat="false" ht="15" hidden="false" customHeight="false" outlineLevel="0" collapsed="false">
      <c r="A258" s="23" t="n">
        <v>45883</v>
      </c>
      <c r="B258" s="25" t="n">
        <v>61.33</v>
      </c>
      <c r="C258" s="25" t="n">
        <v>145.76</v>
      </c>
      <c r="D258" s="25" t="n">
        <v>6310.6</v>
      </c>
    </row>
    <row r="259" customFormat="false" ht="15" hidden="false" customHeight="false" outlineLevel="0" collapsed="false">
      <c r="A259" s="23" t="n">
        <v>45884</v>
      </c>
      <c r="B259" s="25" t="n">
        <v>61.91</v>
      </c>
      <c r="C259" s="25" t="n">
        <v>144.82</v>
      </c>
      <c r="D259" s="25" t="n">
        <v>6292.27</v>
      </c>
    </row>
    <row r="260" customFormat="false" ht="15" hidden="false" customHeight="false" outlineLevel="0" collapsed="false">
      <c r="A260" s="23" t="n">
        <v>45887</v>
      </c>
      <c r="B260" s="25" t="n">
        <v>62.2</v>
      </c>
      <c r="C260" s="25" t="n">
        <v>147.7</v>
      </c>
      <c r="D260" s="25" t="n">
        <v>6290.48</v>
      </c>
    </row>
    <row r="261" customFormat="false" ht="15" hidden="false" customHeight="false" outlineLevel="0" collapsed="false">
      <c r="A261" s="23" t="n">
        <v>45888</v>
      </c>
      <c r="B261" s="25" t="n">
        <v>62.57</v>
      </c>
      <c r="C261" s="25" t="n">
        <v>148.54</v>
      </c>
      <c r="D261" s="25" t="n">
        <v>6328.53</v>
      </c>
    </row>
    <row r="262" customFormat="false" ht="15" hidden="false" customHeight="false" outlineLevel="0" collapsed="false">
      <c r="A262" s="23" t="n">
        <v>45889</v>
      </c>
      <c r="B262" s="25" t="n">
        <v>65.05</v>
      </c>
      <c r="C262" s="25" t="n">
        <v>149.37</v>
      </c>
      <c r="D262" s="25" t="n">
        <v>6442.57</v>
      </c>
    </row>
    <row r="263" customFormat="false" ht="15" hidden="false" customHeight="false" outlineLevel="0" collapsed="false">
      <c r="A263" s="23" t="n">
        <v>45890</v>
      </c>
      <c r="B263" s="25" t="n">
        <v>64.24</v>
      </c>
      <c r="C263" s="25" t="n">
        <v>149.76</v>
      </c>
      <c r="D263" s="25" t="n">
        <v>6457.25</v>
      </c>
    </row>
    <row r="264" customFormat="false" ht="15" hidden="false" customHeight="false" outlineLevel="0" collapsed="false">
      <c r="A264" s="23" t="n">
        <v>45891</v>
      </c>
      <c r="B264" s="25" t="n">
        <v>64.51</v>
      </c>
      <c r="C264" s="25" t="n">
        <v>148.47</v>
      </c>
      <c r="D264" s="25" t="n">
        <v>6467.4</v>
      </c>
    </row>
    <row r="265" customFormat="false" ht="15" hidden="false" customHeight="false" outlineLevel="0" collapsed="false">
      <c r="A265" s="23" t="n">
        <v>45894</v>
      </c>
      <c r="B265" s="25" t="n">
        <v>65.01</v>
      </c>
      <c r="C265" s="25" t="n">
        <v>146.43</v>
      </c>
      <c r="D265" s="25" t="n">
        <v>6406</v>
      </c>
    </row>
    <row r="266" customFormat="false" ht="15" hidden="false" customHeight="false" outlineLevel="0" collapsed="false">
      <c r="A266" s="23" t="n">
        <v>45895</v>
      </c>
      <c r="B266" s="25" t="n">
        <v>65.34</v>
      </c>
      <c r="C266" s="25" t="n">
        <v>147.62</v>
      </c>
      <c r="D266" s="25" t="n">
        <v>6445.7</v>
      </c>
    </row>
    <row r="267" customFormat="false" ht="15" hidden="false" customHeight="false" outlineLevel="0" collapsed="false">
      <c r="A267" s="23" t="n">
        <v>45896</v>
      </c>
      <c r="B267" s="25" t="n">
        <v>64.83</v>
      </c>
      <c r="C267" s="25" t="n">
        <v>146.63</v>
      </c>
      <c r="D267" s="25" t="n">
        <v>6431.76</v>
      </c>
    </row>
    <row r="268" customFormat="false" ht="15" hidden="false" customHeight="false" outlineLevel="0" collapsed="false">
      <c r="A268" s="23" t="n">
        <v>45897</v>
      </c>
      <c r="B268" s="25" t="n">
        <v>65.62</v>
      </c>
      <c r="C268" s="25" t="n">
        <v>146.92</v>
      </c>
      <c r="D268" s="25" t="n">
        <v>6487.74</v>
      </c>
    </row>
    <row r="269" customFormat="false" ht="15" hidden="false" customHeight="false" outlineLevel="0" collapsed="false">
      <c r="A269" s="23" t="n">
        <v>45898</v>
      </c>
      <c r="B269" s="25" t="n">
        <v>65.24</v>
      </c>
      <c r="C269" s="25" t="n">
        <v>149.24</v>
      </c>
      <c r="D269" s="25" t="n">
        <v>6486.94</v>
      </c>
    </row>
    <row r="270" customFormat="false" ht="15" hidden="false" customHeight="false" outlineLevel="0" collapsed="false">
      <c r="A270" s="23" t="n">
        <v>45901</v>
      </c>
      <c r="B270" s="25" t="n">
        <v>67.96</v>
      </c>
      <c r="C270" s="25" t="n">
        <v>152.33</v>
      </c>
      <c r="D270" s="25" t="n">
        <v>6602.82</v>
      </c>
    </row>
    <row r="271" customFormat="false" ht="15" hidden="false" customHeight="false" outlineLevel="0" collapsed="false">
      <c r="A271" s="23" t="n">
        <v>45902</v>
      </c>
      <c r="B271" s="25" t="n">
        <v>65.57</v>
      </c>
      <c r="C271" s="25" t="n">
        <v>151.4</v>
      </c>
      <c r="D271" s="25" t="n">
        <v>6472.95</v>
      </c>
    </row>
    <row r="272" customFormat="false" ht="15" hidden="false" customHeight="false" outlineLevel="0" collapsed="false">
      <c r="A272" s="23" t="n">
        <v>45903</v>
      </c>
      <c r="B272" s="25" t="n">
        <v>66.12</v>
      </c>
      <c r="C272" s="25" t="n">
        <v>151.89</v>
      </c>
      <c r="D272" s="25" t="n">
        <v>6455.66</v>
      </c>
    </row>
    <row r="273" customFormat="false" ht="15" hidden="false" customHeight="false" outlineLevel="0" collapsed="false">
      <c r="A273" s="23" t="n">
        <v>45904</v>
      </c>
      <c r="B273" s="25" t="n">
        <v>65.79</v>
      </c>
      <c r="C273" s="25" t="n">
        <v>153.58</v>
      </c>
      <c r="D273" s="25" t="n">
        <v>6515.06</v>
      </c>
    </row>
    <row r="274" customFormat="false" ht="15" hidden="false" customHeight="false" outlineLevel="0" collapsed="false">
      <c r="A274" s="23" t="n">
        <v>45905</v>
      </c>
      <c r="B274" s="25" t="n">
        <v>66.12</v>
      </c>
      <c r="C274" s="25" t="n">
        <v>155.36</v>
      </c>
      <c r="D274" s="25" t="n">
        <v>6494.1</v>
      </c>
    </row>
    <row r="275" customFormat="false" ht="15" hidden="false" customHeight="false" outlineLevel="0" collapsed="false">
      <c r="A275" s="23" t="n">
        <v>45908</v>
      </c>
      <c r="B275" s="25" t="n">
        <v>65.43</v>
      </c>
      <c r="C275" s="25" t="n">
        <v>154.52</v>
      </c>
      <c r="D275" s="25" t="n">
        <v>6444.31</v>
      </c>
    </row>
    <row r="276" customFormat="false" ht="15" hidden="false" customHeight="false" outlineLevel="0" collapsed="false">
      <c r="A276" s="23" t="n">
        <v>45909</v>
      </c>
      <c r="B276" s="25" t="n">
        <v>63.07</v>
      </c>
      <c r="C276" s="25" t="n">
        <v>156.98</v>
      </c>
      <c r="D276" s="25" t="n">
        <v>6429.09</v>
      </c>
    </row>
    <row r="277" customFormat="false" ht="15" hidden="false" customHeight="false" outlineLevel="0" collapsed="false">
      <c r="A277" s="23" t="n">
        <v>45910</v>
      </c>
      <c r="B277" s="25" t="n">
        <v>62.05</v>
      </c>
      <c r="C277" s="25" t="n">
        <v>154.1</v>
      </c>
      <c r="D277" s="25" t="n">
        <v>6341.71</v>
      </c>
    </row>
    <row r="278" customFormat="false" ht="15" hidden="false" customHeight="false" outlineLevel="0" collapsed="false">
      <c r="A278" s="23" t="n">
        <v>45911</v>
      </c>
      <c r="B278" s="25" t="n">
        <v>61.32</v>
      </c>
      <c r="C278" s="25" t="n">
        <v>153.9</v>
      </c>
      <c r="D278" s="25" t="n">
        <v>6351.33</v>
      </c>
    </row>
    <row r="279" customFormat="false" ht="15" hidden="false" customHeight="false" outlineLevel="0" collapsed="false">
      <c r="A279" s="23" t="n">
        <v>45912</v>
      </c>
      <c r="B279" s="25" t="n">
        <v>62.81</v>
      </c>
      <c r="C279" s="25" t="n">
        <v>154.6</v>
      </c>
      <c r="D279" s="25" t="n">
        <v>6509.57</v>
      </c>
    </row>
    <row r="280" customFormat="false" ht="15" hidden="false" customHeight="false" outlineLevel="0" collapsed="false">
      <c r="A280" s="23" t="n">
        <v>45915</v>
      </c>
      <c r="B280" s="25" t="n">
        <v>64.97</v>
      </c>
      <c r="C280" s="25" t="n">
        <v>155.39</v>
      </c>
      <c r="D280" s="25" t="n">
        <v>6586.76</v>
      </c>
    </row>
    <row r="281" customFormat="false" ht="15" hidden="false" customHeight="false" outlineLevel="0" collapsed="false">
      <c r="A281" s="23" t="n">
        <v>45916</v>
      </c>
      <c r="B281" s="25" t="n">
        <v>63.2</v>
      </c>
      <c r="C281" s="25" t="n">
        <v>154.99</v>
      </c>
      <c r="D281" s="25" t="n">
        <v>6515.23</v>
      </c>
    </row>
    <row r="282" customFormat="false" ht="15" hidden="false" customHeight="false" outlineLevel="0" collapsed="false">
      <c r="A282" s="23" t="n">
        <v>45917</v>
      </c>
      <c r="B282" s="25" t="n">
        <v>61.7</v>
      </c>
      <c r="C282" s="25" t="n">
        <v>156.21</v>
      </c>
      <c r="D282" s="25" t="n">
        <v>6459.95</v>
      </c>
    </row>
    <row r="283" customFormat="false" ht="15" hidden="false" customHeight="false" outlineLevel="0" collapsed="false">
      <c r="A283" s="23" t="n">
        <v>45918</v>
      </c>
      <c r="B283" s="25" t="n">
        <v>62.58</v>
      </c>
      <c r="C283" s="25" t="n">
        <v>154.84</v>
      </c>
      <c r="D283" s="25" t="n">
        <v>6435.65</v>
      </c>
    </row>
    <row r="284" customFormat="false" ht="15" hidden="false" customHeight="false" outlineLevel="0" collapsed="false">
      <c r="A284" s="23" t="n">
        <v>45919</v>
      </c>
      <c r="B284" s="25" t="n">
        <v>63.47</v>
      </c>
      <c r="C284" s="25" t="n">
        <v>155.99</v>
      </c>
      <c r="D284" s="25" t="n">
        <v>6502.84</v>
      </c>
    </row>
    <row r="285" customFormat="false" ht="15" hidden="false" customHeight="false" outlineLevel="0" collapsed="false">
      <c r="A285" s="23" t="n">
        <v>45922</v>
      </c>
      <c r="B285" s="25" t="n">
        <v>64.15</v>
      </c>
      <c r="C285" s="25" t="n">
        <v>154.61</v>
      </c>
      <c r="D285" s="25" t="n">
        <v>6451.06</v>
      </c>
    </row>
    <row r="286" customFormat="false" ht="15" hidden="false" customHeight="false" outlineLevel="0" collapsed="false">
      <c r="A286" s="23" t="n">
        <v>45923</v>
      </c>
      <c r="B286" s="25" t="n">
        <v>63.92</v>
      </c>
      <c r="C286" s="25" t="n">
        <v>152.82</v>
      </c>
      <c r="D286" s="25" t="n">
        <v>6408.23</v>
      </c>
    </row>
    <row r="287" customFormat="false" ht="15" hidden="false" customHeight="false" outlineLevel="0" collapsed="false">
      <c r="A287" s="23" t="n">
        <v>45924</v>
      </c>
      <c r="B287" s="25" t="n">
        <v>63.91</v>
      </c>
      <c r="C287" s="25" t="n">
        <v>152.11</v>
      </c>
      <c r="D287" s="25" t="n">
        <v>6467.41</v>
      </c>
    </row>
    <row r="288" customFormat="false" ht="15" hidden="false" customHeight="false" outlineLevel="0" collapsed="false">
      <c r="A288" s="23" t="n">
        <v>45925</v>
      </c>
      <c r="B288" s="25" t="n">
        <v>64.56</v>
      </c>
      <c r="C288" s="25" t="n">
        <v>153.17</v>
      </c>
      <c r="D288" s="25" t="n">
        <v>6525.83</v>
      </c>
    </row>
    <row r="289" customFormat="false" ht="15" hidden="false" customHeight="false" outlineLevel="0" collapsed="false">
      <c r="A289" s="23" t="n">
        <v>45926</v>
      </c>
      <c r="B289" s="25" t="n">
        <v>65.33</v>
      </c>
      <c r="C289" s="25" t="n">
        <v>150.31</v>
      </c>
      <c r="D289" s="25" t="n">
        <v>6503.31</v>
      </c>
    </row>
    <row r="290" customFormat="false" ht="15" hidden="false" customHeight="false" outlineLevel="0" collapsed="false">
      <c r="A290" s="23" t="n">
        <v>45929</v>
      </c>
      <c r="B290" s="25" t="n">
        <v>65.28</v>
      </c>
      <c r="C290" s="25" t="n">
        <v>149.33</v>
      </c>
      <c r="D290" s="25" t="n">
        <v>6432.11</v>
      </c>
    </row>
    <row r="291" customFormat="false" ht="15" hidden="false" customHeight="false" outlineLevel="0" collapsed="false">
      <c r="A291" s="23" t="n">
        <v>45930</v>
      </c>
      <c r="B291" s="25" t="n">
        <v>64.1</v>
      </c>
      <c r="C291" s="25" t="n">
        <v>147.78</v>
      </c>
      <c r="D291" s="25" t="n">
        <v>6333.68</v>
      </c>
    </row>
    <row r="292" customFormat="false" ht="15" hidden="false" customHeight="false" outlineLevel="0" collapsed="false">
      <c r="A292" s="23" t="n">
        <v>45931</v>
      </c>
      <c r="B292" s="25" t="n">
        <v>63.63</v>
      </c>
      <c r="C292" s="25" t="n">
        <v>146.18</v>
      </c>
      <c r="D292" s="25" t="n">
        <v>6291.07</v>
      </c>
    </row>
    <row r="293" customFormat="false" ht="15" hidden="false" customHeight="false" outlineLevel="0" collapsed="false">
      <c r="A293" s="23" t="n">
        <v>45932</v>
      </c>
      <c r="B293" s="25" t="n">
        <v>61.86</v>
      </c>
      <c r="C293" s="25" t="n">
        <v>142.53</v>
      </c>
      <c r="D293" s="25" t="n">
        <v>6151.63</v>
      </c>
    </row>
    <row r="294" customFormat="false" ht="15" hidden="false" customHeight="false" outlineLevel="0" collapsed="false">
      <c r="A294" s="23" t="n">
        <v>45933</v>
      </c>
      <c r="B294" s="25" t="n">
        <v>62</v>
      </c>
      <c r="C294" s="25" t="n">
        <v>141.46</v>
      </c>
      <c r="D294" s="25" t="n">
        <v>6200.08</v>
      </c>
    </row>
    <row r="295" customFormat="false" ht="15" hidden="false" customHeight="false" outlineLevel="0" collapsed="false">
      <c r="A295" s="23" t="n">
        <v>45936</v>
      </c>
      <c r="B295" s="25" t="n">
        <v>63.11</v>
      </c>
      <c r="C295" s="25" t="n">
        <v>143.38</v>
      </c>
      <c r="D295" s="25" t="n">
        <v>6162.68</v>
      </c>
    </row>
    <row r="296" customFormat="false" ht="15" hidden="false" customHeight="false" outlineLevel="0" collapsed="false">
      <c r="A296" s="23" t="n">
        <v>45937</v>
      </c>
      <c r="B296" s="25" t="n">
        <v>63.52</v>
      </c>
      <c r="C296" s="25" t="n">
        <v>142.1</v>
      </c>
      <c r="D296" s="25" t="n">
        <v>6194.53</v>
      </c>
    </row>
    <row r="297" customFormat="false" ht="15" hidden="false" customHeight="false" outlineLevel="0" collapsed="false">
      <c r="A297" s="23" t="n">
        <v>45938</v>
      </c>
      <c r="B297" s="25" t="n">
        <v>64.06</v>
      </c>
      <c r="C297" s="25" t="n">
        <v>146.11</v>
      </c>
      <c r="D297" s="25" t="n">
        <v>6313.14</v>
      </c>
    </row>
    <row r="298" customFormat="false" ht="15" hidden="false" customHeight="false" outlineLevel="0" collapsed="false">
      <c r="A298" s="23" t="n">
        <v>45939</v>
      </c>
      <c r="B298" s="25" t="n">
        <v>64.61</v>
      </c>
      <c r="C298" s="25" t="n">
        <v>148.19</v>
      </c>
      <c r="D298" s="25" t="n">
        <v>6389.78</v>
      </c>
    </row>
    <row r="299" customFormat="false" ht="15" hidden="false" customHeight="false" outlineLevel="0" collapsed="false">
      <c r="A299" s="23" t="n">
        <v>45940</v>
      </c>
      <c r="B299" s="25" t="n">
        <v>64.36</v>
      </c>
      <c r="C299" s="25" t="n">
        <v>146.53</v>
      </c>
      <c r="D299" s="25" t="n">
        <v>6317.68</v>
      </c>
    </row>
    <row r="300" customFormat="false" ht="15" hidden="false" customHeight="false" outlineLevel="0" collapsed="false">
      <c r="A300" s="23" t="n">
        <v>45943</v>
      </c>
      <c r="B300" s="25" t="n">
        <v>65.61</v>
      </c>
      <c r="C300" s="25" t="n">
        <v>145.87</v>
      </c>
      <c r="D300" s="25" t="n">
        <v>6375.03</v>
      </c>
    </row>
    <row r="301" customFormat="false" ht="15" hidden="false" customHeight="false" outlineLevel="0" collapsed="false">
      <c r="A301" s="23" t="n">
        <v>45944</v>
      </c>
      <c r="B301" s="25" t="n">
        <v>66.45</v>
      </c>
      <c r="C301" s="25" t="n">
        <v>148.55</v>
      </c>
      <c r="D301" s="25" t="n">
        <v>6451.45</v>
      </c>
    </row>
    <row r="302" customFormat="false" ht="15" hidden="false" customHeight="false" outlineLevel="0" collapsed="false">
      <c r="A302" s="23" t="n">
        <v>45945</v>
      </c>
      <c r="B302" s="25" t="n">
        <v>65.31</v>
      </c>
      <c r="C302" s="25" t="n">
        <v>150.24</v>
      </c>
      <c r="D302" s="25" t="n">
        <v>6404.97</v>
      </c>
    </row>
    <row r="303" customFormat="false" ht="15" hidden="false" customHeight="false" outlineLevel="0" collapsed="false">
      <c r="A303" s="23" t="n">
        <v>45946</v>
      </c>
      <c r="B303" s="25" t="n">
        <v>64.62</v>
      </c>
      <c r="C303" s="25" t="n">
        <v>147.95</v>
      </c>
      <c r="D303" s="25" t="n">
        <v>6345.46</v>
      </c>
    </row>
    <row r="304" customFormat="false" ht="15" hidden="false" customHeight="false" outlineLevel="0" collapsed="false">
      <c r="A304" s="23" t="n">
        <v>45947</v>
      </c>
      <c r="B304" s="25" t="n">
        <v>63.17</v>
      </c>
      <c r="C304" s="25" t="n">
        <v>147.47</v>
      </c>
      <c r="D304" s="25" t="n">
        <v>6340.46</v>
      </c>
    </row>
    <row r="305" customFormat="false" ht="15" hidden="false" customHeight="false" outlineLevel="0" collapsed="false">
      <c r="A305" s="23" t="n">
        <v>45950</v>
      </c>
      <c r="B305" s="25" t="n">
        <v>60.91</v>
      </c>
      <c r="C305" s="25" t="n">
        <v>147.31</v>
      </c>
      <c r="D305" s="25" t="n">
        <v>6240.13</v>
      </c>
    </row>
    <row r="306" customFormat="false" ht="15" hidden="false" customHeight="false" outlineLevel="0" collapsed="false">
      <c r="A306" s="23" t="n">
        <v>45951</v>
      </c>
      <c r="B306" s="25" t="n">
        <v>62.66</v>
      </c>
      <c r="C306" s="25" t="n">
        <v>149.36</v>
      </c>
      <c r="D306" s="25" t="n">
        <v>6334.62</v>
      </c>
    </row>
    <row r="307" customFormat="false" ht="15" hidden="false" customHeight="false" outlineLevel="0" collapsed="false">
      <c r="A307" s="23" t="n">
        <v>45952</v>
      </c>
      <c r="B307" s="25" t="n">
        <v>60.49</v>
      </c>
      <c r="C307" s="25" t="n">
        <v>149.69</v>
      </c>
      <c r="D307" s="25" t="n">
        <v>6183.05</v>
      </c>
    </row>
    <row r="308" customFormat="false" ht="15" hidden="false" customHeight="false" outlineLevel="0" collapsed="false">
      <c r="A308" s="23" t="n">
        <v>45953</v>
      </c>
      <c r="B308" s="25" t="n">
        <v>60.01</v>
      </c>
      <c r="C308" s="25" t="n">
        <v>147.77</v>
      </c>
      <c r="D308" s="25" t="n">
        <v>6116.04</v>
      </c>
    </row>
    <row r="309" customFormat="false" ht="15" hidden="false" customHeight="false" outlineLevel="0" collapsed="false">
      <c r="A309" s="23" t="n">
        <v>45954</v>
      </c>
      <c r="B309" s="25" t="n">
        <v>60.79</v>
      </c>
      <c r="C309" s="25" t="n">
        <v>148.29</v>
      </c>
      <c r="D309" s="25" t="n">
        <v>6101.36</v>
      </c>
    </row>
    <row r="310" customFormat="false" ht="15" hidden="false" customHeight="false" outlineLevel="0" collapsed="false">
      <c r="A310" s="23" t="n">
        <v>45957</v>
      </c>
      <c r="B310" s="25" t="n">
        <v>61.17</v>
      </c>
      <c r="C310" s="25" t="n">
        <v>146.35</v>
      </c>
      <c r="D310" s="25" t="n">
        <v>6089.34</v>
      </c>
    </row>
    <row r="311" customFormat="false" ht="15" hidden="false" customHeight="false" outlineLevel="0" collapsed="false">
      <c r="A311" s="23" t="n">
        <v>45958</v>
      </c>
      <c r="B311" s="25" t="n">
        <v>61.35</v>
      </c>
      <c r="C311" s="25" t="n">
        <v>149.46</v>
      </c>
      <c r="D311" s="25" t="n">
        <v>6101.47</v>
      </c>
    </row>
    <row r="312" customFormat="false" ht="15" hidden="false" customHeight="false" outlineLevel="0" collapsed="false">
      <c r="A312" s="23" t="n">
        <v>45959</v>
      </c>
      <c r="B312" s="25" t="n">
        <v>63.28</v>
      </c>
      <c r="C312" s="25" t="n">
        <v>148.77</v>
      </c>
      <c r="D312" s="25" t="n">
        <v>6120.1</v>
      </c>
    </row>
    <row r="313" customFormat="false" ht="15" hidden="false" customHeight="false" outlineLevel="0" collapsed="false">
      <c r="A313" s="23" t="n">
        <v>45960</v>
      </c>
      <c r="B313" s="25" t="n">
        <v>63.7</v>
      </c>
      <c r="C313" s="25" t="n">
        <v>145.49</v>
      </c>
      <c r="D313" s="25" t="n">
        <v>6108.86</v>
      </c>
    </row>
    <row r="314" customFormat="false" ht="15" hidden="false" customHeight="false" outlineLevel="0" collapsed="false">
      <c r="A314" s="23" t="n">
        <v>45961</v>
      </c>
      <c r="B314" s="25" t="n">
        <v>64.32</v>
      </c>
      <c r="C314" s="25" t="n">
        <v>146.53</v>
      </c>
      <c r="D314" s="25" t="n">
        <v>6180.8</v>
      </c>
    </row>
    <row r="315" customFormat="false" ht="15" hidden="false" customHeight="false" outlineLevel="0" collapsed="false">
      <c r="A315" s="23" t="n">
        <v>45964</v>
      </c>
      <c r="B315" s="25" t="n">
        <v>63.3</v>
      </c>
      <c r="C315" s="25" t="n">
        <v>144.17</v>
      </c>
      <c r="D315" s="25" t="n">
        <v>6049.49</v>
      </c>
    </row>
    <row r="316" customFormat="false" ht="15" hidden="false" customHeight="false" outlineLevel="0" collapsed="false">
      <c r="A316" s="23" t="n">
        <v>45965</v>
      </c>
      <c r="B316" s="25" t="n">
        <v>63.67</v>
      </c>
      <c r="C316" s="25" t="n">
        <v>146.83</v>
      </c>
      <c r="D316" s="25" t="n">
        <v>6051.4</v>
      </c>
    </row>
    <row r="317" customFormat="false" ht="15" hidden="false" customHeight="false" outlineLevel="0" collapsed="false">
      <c r="A317" s="23" t="n">
        <v>45966</v>
      </c>
      <c r="B317" s="25" t="n">
        <v>62.45</v>
      </c>
      <c r="C317" s="25" t="n">
        <v>145.66</v>
      </c>
      <c r="D317" s="25" t="n">
        <v>6009.73</v>
      </c>
    </row>
    <row r="318" customFormat="false" ht="15" hidden="false" customHeight="false" outlineLevel="0" collapsed="false">
      <c r="A318" s="23" t="n">
        <v>45967</v>
      </c>
      <c r="B318" s="25" t="n">
        <v>62.65</v>
      </c>
      <c r="C318" s="25" t="n">
        <v>145.83</v>
      </c>
      <c r="D318" s="25" t="n">
        <v>6019.67</v>
      </c>
    </row>
    <row r="319" customFormat="false" ht="15" hidden="false" customHeight="false" outlineLevel="0" collapsed="false">
      <c r="A319" s="23" t="n">
        <v>45968</v>
      </c>
      <c r="B319" s="25" t="n">
        <v>62.72</v>
      </c>
      <c r="C319" s="25" t="n">
        <v>146.92</v>
      </c>
      <c r="D319" s="25" t="n">
        <v>6034.97</v>
      </c>
    </row>
    <row r="320" customFormat="false" ht="15" hidden="false" customHeight="false" outlineLevel="0" collapsed="false">
      <c r="A320" s="23" t="n">
        <v>45971</v>
      </c>
      <c r="B320" s="25" t="n">
        <v>60.46</v>
      </c>
      <c r="C320" s="25" t="n">
        <v>148.23</v>
      </c>
      <c r="D320" s="25" t="n">
        <v>5981.43</v>
      </c>
    </row>
    <row r="321" customFormat="false" ht="15" hidden="false" customHeight="false" outlineLevel="0" collapsed="false">
      <c r="A321" s="23" t="n">
        <v>45972</v>
      </c>
      <c r="B321" s="25" t="n">
        <v>59.9</v>
      </c>
      <c r="C321" s="25" t="n">
        <v>147.51</v>
      </c>
      <c r="D321" s="25" t="n">
        <v>5944.68</v>
      </c>
    </row>
    <row r="322" customFormat="false" ht="15" hidden="false" customHeight="false" outlineLevel="0" collapsed="false">
      <c r="A322" s="23" t="n">
        <v>45973</v>
      </c>
      <c r="B322" s="25" t="n">
        <v>60.29</v>
      </c>
      <c r="C322" s="25" t="n">
        <v>149.84</v>
      </c>
      <c r="D322" s="25" t="n">
        <v>5994.06</v>
      </c>
    </row>
    <row r="323" customFormat="false" ht="15" hidden="false" customHeight="false" outlineLevel="0" collapsed="false">
      <c r="A323" s="23" t="n">
        <v>45974</v>
      </c>
      <c r="B323" s="25" t="n">
        <v>60.23</v>
      </c>
      <c r="C323" s="25" t="n">
        <v>150.99</v>
      </c>
      <c r="D323" s="25" t="n">
        <v>6017.05</v>
      </c>
    </row>
    <row r="324" customFormat="false" ht="15" hidden="false" customHeight="false" outlineLevel="0" collapsed="false">
      <c r="A324" s="23" t="n">
        <v>45975</v>
      </c>
      <c r="B324" s="25" t="n">
        <v>58.49</v>
      </c>
      <c r="C324" s="25" t="n">
        <v>149.89</v>
      </c>
      <c r="D324" s="25" t="n">
        <v>5977.71</v>
      </c>
    </row>
    <row r="325" customFormat="false" ht="15" hidden="false" customHeight="false" outlineLevel="0" collapsed="false">
      <c r="A325" s="23" t="n">
        <v>45978</v>
      </c>
      <c r="B325" s="25" t="n">
        <v>59.7</v>
      </c>
      <c r="C325" s="25" t="n">
        <v>152.2</v>
      </c>
      <c r="D325" s="25" t="n">
        <v>6102.51</v>
      </c>
    </row>
    <row r="326" customFormat="false" ht="15" hidden="false" customHeight="false" outlineLevel="0" collapsed="false">
      <c r="A326" s="23" t="n">
        <v>45979</v>
      </c>
      <c r="B326" s="25" t="n">
        <v>61.37</v>
      </c>
      <c r="C326" s="25" t="n">
        <v>154.77</v>
      </c>
      <c r="D326" s="25" t="n">
        <v>6246.48</v>
      </c>
    </row>
    <row r="327" customFormat="false" ht="15" hidden="false" customHeight="false" outlineLevel="0" collapsed="false">
      <c r="A327" s="23" t="n">
        <v>45980</v>
      </c>
      <c r="B327" s="25" t="n">
        <v>60.4</v>
      </c>
      <c r="C327" s="25" t="n">
        <v>151.89</v>
      </c>
      <c r="D327" s="25" t="n">
        <v>6156.39</v>
      </c>
    </row>
    <row r="328" customFormat="false" ht="15" hidden="false" customHeight="false" outlineLevel="0" collapsed="false">
      <c r="A328" s="23" t="n">
        <v>45981</v>
      </c>
      <c r="B328" s="25" t="n">
        <v>59.77</v>
      </c>
      <c r="C328" s="25" t="n">
        <v>154</v>
      </c>
      <c r="D328" s="25" t="n">
        <v>6177.07</v>
      </c>
    </row>
    <row r="329" customFormat="false" ht="15" hidden="false" customHeight="false" outlineLevel="0" collapsed="false">
      <c r="A329" s="23" t="n">
        <v>45982</v>
      </c>
      <c r="B329" s="25" t="n">
        <v>62.11</v>
      </c>
      <c r="C329" s="25" t="n">
        <v>154.76</v>
      </c>
      <c r="D329" s="25" t="n">
        <v>6335.23</v>
      </c>
    </row>
    <row r="330" customFormat="false" ht="15" hidden="false" customHeight="false" outlineLevel="0" collapsed="false">
      <c r="A330" s="23" t="n">
        <v>45985</v>
      </c>
      <c r="B330" s="25" t="n">
        <v>61.75</v>
      </c>
      <c r="C330" s="25" t="n">
        <v>157.38</v>
      </c>
      <c r="D330" s="25" t="n">
        <v>6387.3</v>
      </c>
    </row>
    <row r="331" customFormat="false" ht="15" hidden="false" customHeight="false" outlineLevel="0" collapsed="false">
      <c r="A331" s="23" t="n">
        <v>45986</v>
      </c>
      <c r="B331" s="25" t="n">
        <v>61.77</v>
      </c>
      <c r="C331" s="25" t="n">
        <v>159.09</v>
      </c>
      <c r="D331" s="25" t="n">
        <v>6403.56</v>
      </c>
    </row>
    <row r="332" customFormat="false" ht="15" hidden="false" customHeight="false" outlineLevel="0" collapsed="false">
      <c r="A332" s="23" t="n">
        <v>45987</v>
      </c>
      <c r="B332" s="25" t="n">
        <v>62.7</v>
      </c>
      <c r="C332" s="25" t="n">
        <v>158.77</v>
      </c>
      <c r="D332" s="25" t="n">
        <v>6392.16</v>
      </c>
    </row>
    <row r="333" customFormat="false" ht="15" hidden="false" customHeight="false" outlineLevel="0" collapsed="false">
      <c r="A333" s="23" t="n">
        <v>45988</v>
      </c>
      <c r="B333" s="25" t="n">
        <v>61.76</v>
      </c>
      <c r="C333" s="25" t="n">
        <v>157.07</v>
      </c>
      <c r="D333" s="25" t="n">
        <v>6359.33</v>
      </c>
    </row>
    <row r="334" customFormat="false" ht="15" hidden="false" customHeight="false" outlineLevel="0" collapsed="false">
      <c r="A334" s="23" t="n">
        <v>45989</v>
      </c>
      <c r="B334" s="25" t="n">
        <v>61.23</v>
      </c>
      <c r="C334" s="25" t="n">
        <v>156.55</v>
      </c>
      <c r="D334" s="25" t="n">
        <v>6347.72</v>
      </c>
    </row>
    <row r="335" customFormat="false" ht="15" hidden="false" customHeight="false" outlineLevel="0" collapsed="false">
      <c r="A335" s="23" t="n">
        <v>45992</v>
      </c>
      <c r="B335" s="25" t="n">
        <v>61.71</v>
      </c>
      <c r="C335" s="25" t="n">
        <v>156.69</v>
      </c>
      <c r="D335" s="25" t="n">
        <v>6314.5</v>
      </c>
    </row>
    <row r="336" customFormat="false" ht="15" hidden="false" customHeight="false" outlineLevel="0" collapsed="false">
      <c r="A336" s="23" t="n">
        <v>45993</v>
      </c>
      <c r="B336" s="25" t="n">
        <v>62</v>
      </c>
      <c r="C336" s="25" t="n">
        <v>158.66</v>
      </c>
      <c r="D336" s="25" t="n">
        <v>6363.92</v>
      </c>
    </row>
    <row r="337" customFormat="false" ht="15" hidden="false" customHeight="false" outlineLevel="0" collapsed="false">
      <c r="A337" s="23" t="n">
        <v>45994</v>
      </c>
      <c r="B337" s="25" t="n">
        <v>61.49</v>
      </c>
      <c r="C337" s="25" t="n">
        <v>158.7</v>
      </c>
      <c r="D337" s="25" t="n">
        <v>6340.4</v>
      </c>
    </row>
    <row r="338" customFormat="false" ht="15" hidden="false" customHeight="false" outlineLevel="0" collapsed="false">
      <c r="A338" s="23" t="n">
        <v>45995</v>
      </c>
      <c r="B338" s="25" t="n">
        <v>61.38</v>
      </c>
      <c r="C338" s="25" t="n">
        <v>159.74</v>
      </c>
      <c r="D338" s="25" t="n">
        <v>6314.22</v>
      </c>
    </row>
    <row r="339" customFormat="false" ht="15" hidden="false" customHeight="false" outlineLevel="0" collapsed="false">
      <c r="A339" s="23" t="n">
        <v>45996</v>
      </c>
      <c r="B339" s="25" t="n">
        <v>61.36</v>
      </c>
      <c r="C339" s="25" t="n">
        <v>157.6</v>
      </c>
      <c r="D339" s="25" t="n">
        <v>6239.72</v>
      </c>
    </row>
    <row r="340" customFormat="false" ht="15" hidden="false" customHeight="false" outlineLevel="0" collapsed="false">
      <c r="A340" s="23" t="n">
        <v>45999</v>
      </c>
      <c r="B340" s="25" t="n">
        <v>59.6</v>
      </c>
      <c r="C340" s="25" t="n">
        <v>157.94</v>
      </c>
      <c r="D340" s="25" t="n">
        <v>6238.58</v>
      </c>
    </row>
    <row r="341" customFormat="false" ht="15" hidden="false" customHeight="false" outlineLevel="0" collapsed="false">
      <c r="A341" s="23" t="n">
        <v>46000</v>
      </c>
      <c r="B341" s="25" t="n">
        <v>58.35</v>
      </c>
      <c r="C341" s="25" t="n">
        <v>154.66</v>
      </c>
      <c r="D341" s="25" t="n">
        <v>6184.34</v>
      </c>
    </row>
    <row r="342" customFormat="false" ht="15" hidden="false" customHeight="false" outlineLevel="0" collapsed="false">
      <c r="A342" s="23" t="n">
        <v>46001</v>
      </c>
      <c r="B342" s="25" t="n">
        <v>57.5</v>
      </c>
      <c r="C342" s="25" t="n">
        <v>155.63</v>
      </c>
      <c r="D342" s="25" t="n">
        <v>6175.03</v>
      </c>
    </row>
    <row r="343" customFormat="false" ht="15" hidden="false" customHeight="false" outlineLevel="0" collapsed="false">
      <c r="A343" s="23" t="n">
        <v>46002</v>
      </c>
      <c r="B343" s="25" t="n">
        <v>57.45</v>
      </c>
      <c r="C343" s="25" t="n">
        <v>157.05</v>
      </c>
      <c r="D343" s="25" t="n">
        <v>6241.84</v>
      </c>
    </row>
    <row r="344" customFormat="false" ht="15" hidden="false" customHeight="false" outlineLevel="0" collapsed="false">
      <c r="A344" s="23" t="n">
        <v>46003</v>
      </c>
      <c r="B344" s="25" t="n">
        <v>57.1</v>
      </c>
      <c r="C344" s="25" t="n">
        <v>156.89</v>
      </c>
      <c r="D344" s="25" t="n">
        <v>6266.84</v>
      </c>
    </row>
    <row r="345" customFormat="false" ht="15" hidden="false" customHeight="false" outlineLevel="0" collapsed="false">
      <c r="A345" s="23" t="n">
        <v>46006</v>
      </c>
      <c r="B345" s="25" t="n">
        <v>56.86</v>
      </c>
      <c r="C345" s="25" t="n">
        <v>159.22</v>
      </c>
      <c r="D345" s="25" t="n">
        <v>6300.71</v>
      </c>
    </row>
    <row r="346" customFormat="false" ht="15" hidden="false" customHeight="false" outlineLevel="0" collapsed="false">
      <c r="A346" s="23" t="n">
        <v>46007</v>
      </c>
      <c r="B346" s="25" t="n">
        <v>57.36</v>
      </c>
      <c r="C346" s="25" t="n">
        <v>160.71</v>
      </c>
      <c r="D346" s="25" t="n">
        <v>6325.32</v>
      </c>
    </row>
    <row r="347" customFormat="false" ht="15" hidden="false" customHeight="false" outlineLevel="0" collapsed="false">
      <c r="A347" s="23" t="n">
        <v>46008</v>
      </c>
      <c r="B347" s="25" t="n">
        <v>56.78</v>
      </c>
      <c r="C347" s="25" t="n">
        <v>156.55</v>
      </c>
      <c r="D347" s="25" t="n">
        <v>6331.1</v>
      </c>
    </row>
    <row r="348" customFormat="false" ht="15" hidden="false" customHeight="false" outlineLevel="0" collapsed="false">
      <c r="A348" s="23" t="n">
        <v>46009</v>
      </c>
      <c r="B348" s="25" t="n">
        <v>56.81</v>
      </c>
      <c r="C348" s="25" t="n">
        <v>156.52</v>
      </c>
      <c r="D348" s="25" t="n">
        <v>6324.99</v>
      </c>
    </row>
    <row r="349" customFormat="false" ht="15" hidden="false" customHeight="false" outlineLevel="0" collapsed="false">
      <c r="A349" s="23" t="n">
        <v>46010</v>
      </c>
      <c r="B349" s="25" t="n">
        <v>56.93</v>
      </c>
      <c r="C349" s="25" t="n">
        <v>154.08</v>
      </c>
      <c r="D349" s="25" t="n">
        <v>6307.37</v>
      </c>
    </row>
    <row r="350" customFormat="false" ht="15" hidden="false" customHeight="false" outlineLevel="0" collapsed="false">
      <c r="A350" s="23" t="n">
        <v>46013</v>
      </c>
      <c r="B350" s="25" t="n">
        <v>56.95</v>
      </c>
      <c r="C350" s="25" t="n">
        <v>156.51</v>
      </c>
      <c r="D350" s="25" t="n">
        <v>6357.63</v>
      </c>
    </row>
    <row r="351" customFormat="false" ht="15" hidden="false" customHeight="false" outlineLevel="0" collapsed="false">
      <c r="A351" s="23" t="n">
        <v>46014</v>
      </c>
      <c r="B351" s="25" t="n">
        <v>56.33</v>
      </c>
      <c r="C351" s="25" t="n">
        <v>159.04</v>
      </c>
      <c r="D351" s="25" t="n">
        <v>6290.18</v>
      </c>
    </row>
    <row r="352" customFormat="false" ht="15" hidden="false" customHeight="false" outlineLevel="0" collapsed="false">
      <c r="A352" s="23" t="n">
        <v>46015</v>
      </c>
      <c r="B352" s="25" t="n">
        <v>58.47</v>
      </c>
      <c r="C352" s="25" t="n">
        <v>159.82</v>
      </c>
      <c r="D352" s="25" t="n">
        <v>6377.17</v>
      </c>
    </row>
    <row r="353" customFormat="false" ht="15" hidden="false" customHeight="false" outlineLevel="0" collapsed="false">
      <c r="A353" s="23" t="n">
        <v>46016</v>
      </c>
      <c r="B353" s="25" t="n">
        <v>58.77</v>
      </c>
      <c r="C353" s="25" t="n">
        <v>160.02</v>
      </c>
      <c r="D353" s="25" t="n">
        <v>6381.39</v>
      </c>
    </row>
    <row r="354" customFormat="false" ht="15" hidden="false" customHeight="false" outlineLevel="0" collapsed="false">
      <c r="A354" s="23" t="n">
        <v>46017</v>
      </c>
      <c r="B354" s="25" t="n">
        <v>57.79</v>
      </c>
      <c r="C354" s="25" t="n">
        <v>158.84</v>
      </c>
      <c r="D354" s="25" t="n">
        <v>6335.26</v>
      </c>
    </row>
    <row r="355" customFormat="false" ht="15" hidden="false" customHeight="false" outlineLevel="0" collapsed="false">
      <c r="A355" s="23" t="n">
        <v>46020</v>
      </c>
      <c r="B355" s="25" t="n">
        <v>57.43</v>
      </c>
      <c r="C355" s="25" t="n">
        <v>158.87</v>
      </c>
      <c r="D355" s="25" t="n">
        <v>6306.04</v>
      </c>
    </row>
    <row r="356" customFormat="false" ht="15" hidden="false" customHeight="false" outlineLevel="0" collapsed="false">
      <c r="A356" s="23" t="n">
        <v>46021</v>
      </c>
      <c r="B356" s="25" t="n">
        <v>56.32</v>
      </c>
      <c r="C356" s="25" t="n">
        <v>159.13</v>
      </c>
      <c r="D356" s="25" t="n">
        <v>6265.01</v>
      </c>
    </row>
    <row r="357" customFormat="false" ht="15" hidden="false" customHeight="false" outlineLevel="0" collapsed="false">
      <c r="A357" s="23" t="n">
        <v>46022</v>
      </c>
      <c r="B357" s="25" t="n">
        <v>56.65</v>
      </c>
      <c r="C357" s="25" t="n">
        <v>161.3</v>
      </c>
      <c r="D357" s="25" t="n">
        <v>6277.11</v>
      </c>
    </row>
    <row r="358" customFormat="false" ht="15" hidden="false" customHeight="false" outlineLevel="0" collapsed="false">
      <c r="A358" s="23" t="n">
        <v>46023</v>
      </c>
      <c r="B358" s="25" t="n">
        <v>56.83</v>
      </c>
      <c r="C358" s="25" t="n">
        <v>159.03</v>
      </c>
      <c r="D358" s="25" t="n">
        <v>6233.69</v>
      </c>
    </row>
    <row r="359" customFormat="false" ht="15" hidden="false" customHeight="false" outlineLevel="0" collapsed="false">
      <c r="A359" s="23" t="n">
        <v>46024</v>
      </c>
      <c r="B359" s="25" t="n">
        <v>57.04</v>
      </c>
      <c r="C359" s="25" t="n">
        <v>162.73</v>
      </c>
      <c r="D359" s="25" t="n">
        <v>6307.43</v>
      </c>
    </row>
    <row r="360" customFormat="false" ht="15" hidden="false" customHeight="false" outlineLevel="0" collapsed="false">
      <c r="A360" s="23" t="n">
        <v>46027</v>
      </c>
      <c r="B360" s="25" t="n">
        <v>56.38</v>
      </c>
      <c r="C360" s="25" t="n">
        <v>160.45</v>
      </c>
      <c r="D360" s="25" t="n">
        <v>6259.74</v>
      </c>
    </row>
    <row r="361" customFormat="false" ht="15" hidden="false" customHeight="false" outlineLevel="0" collapsed="false">
      <c r="A361" s="23" t="n">
        <v>46028</v>
      </c>
      <c r="B361" s="25" t="n">
        <v>55.67</v>
      </c>
      <c r="C361" s="25" t="n">
        <v>158.35</v>
      </c>
      <c r="D361" s="25" t="n">
        <v>6118.35</v>
      </c>
    </row>
    <row r="362" customFormat="false" ht="15" hidden="false" customHeight="false" outlineLevel="0" collapsed="false">
      <c r="A362" s="23" t="n">
        <v>46029</v>
      </c>
      <c r="B362" s="25" t="n">
        <v>54.86</v>
      </c>
      <c r="C362" s="25" t="n">
        <v>159.32</v>
      </c>
      <c r="D362" s="25" t="n">
        <v>6075.21</v>
      </c>
    </row>
    <row r="363" customFormat="false" ht="15" hidden="false" customHeight="false" outlineLevel="0" collapsed="false">
      <c r="A363" s="23" t="n">
        <v>46030</v>
      </c>
      <c r="B363" s="25" t="n">
        <v>53.69</v>
      </c>
      <c r="C363" s="25" t="n">
        <v>158.18</v>
      </c>
      <c r="D363" s="25" t="n">
        <v>5954.16</v>
      </c>
    </row>
    <row r="364" customFormat="false" ht="15" hidden="false" customHeight="false" outlineLevel="0" collapsed="false">
      <c r="A364" s="23" t="n">
        <v>46031</v>
      </c>
      <c r="B364" s="25" t="n">
        <v>52.99</v>
      </c>
      <c r="C364" s="25" t="n">
        <v>156.79</v>
      </c>
      <c r="D364" s="25" t="n">
        <v>5953.65</v>
      </c>
    </row>
    <row r="365" customFormat="false" ht="15" hidden="false" customHeight="false" outlineLevel="0" collapsed="false">
      <c r="A365" s="23" t="n">
        <v>46034</v>
      </c>
      <c r="B365" s="25" t="n">
        <v>53.14</v>
      </c>
      <c r="C365" s="25" t="n">
        <v>156.97</v>
      </c>
      <c r="D365" s="25" t="n">
        <v>6019.1</v>
      </c>
    </row>
    <row r="366" customFormat="false" ht="15" hidden="false" customHeight="false" outlineLevel="0" collapsed="false">
      <c r="A366" s="23" t="n">
        <v>46035</v>
      </c>
      <c r="B366" s="25" t="n">
        <v>53.24</v>
      </c>
      <c r="C366" s="25" t="n">
        <v>157.05</v>
      </c>
      <c r="D366" s="25" t="n">
        <v>6060.31</v>
      </c>
    </row>
    <row r="367" customFormat="false" ht="15" hidden="false" customHeight="false" outlineLevel="0" collapsed="false">
      <c r="A367" s="23" t="n">
        <v>46036</v>
      </c>
      <c r="B367" s="25" t="n">
        <v>53.86</v>
      </c>
      <c r="C367" s="25" t="n">
        <v>155.54</v>
      </c>
      <c r="D367" s="25" t="n">
        <v>5980.53</v>
      </c>
    </row>
    <row r="368" customFormat="false" ht="15" hidden="false" customHeight="false" outlineLevel="0" collapsed="false">
      <c r="A368" s="23" t="n">
        <v>46037</v>
      </c>
      <c r="B368" s="25" t="n">
        <v>53.12</v>
      </c>
      <c r="C368" s="25" t="n">
        <v>156.44</v>
      </c>
      <c r="D368" s="25" t="n">
        <v>5936.48</v>
      </c>
    </row>
    <row r="369" customFormat="false" ht="15" hidden="false" customHeight="false" outlineLevel="0" collapsed="false">
      <c r="A369" s="23" t="n">
        <v>46038</v>
      </c>
      <c r="B369" s="25" t="n">
        <v>53.94</v>
      </c>
      <c r="C369" s="25" t="n">
        <v>156.55</v>
      </c>
      <c r="D369" s="25" t="n">
        <v>6044.79</v>
      </c>
    </row>
    <row r="370" customFormat="false" ht="15" hidden="false" customHeight="false" outlineLevel="0" collapsed="false">
      <c r="A370" s="23" t="n">
        <v>46041</v>
      </c>
      <c r="B370" s="25" t="n">
        <v>53.8</v>
      </c>
      <c r="C370" s="25" t="n">
        <v>157.64</v>
      </c>
      <c r="D370" s="25" t="n">
        <v>6066.11</v>
      </c>
    </row>
    <row r="371" customFormat="false" ht="15" hidden="false" customHeight="false" outlineLevel="0" collapsed="false">
      <c r="A371" s="23" t="n">
        <v>46042</v>
      </c>
      <c r="B371" s="25" t="n">
        <v>53.72</v>
      </c>
      <c r="C371" s="25" t="n">
        <v>158.6</v>
      </c>
      <c r="D371" s="25" t="n">
        <v>6068.29</v>
      </c>
    </row>
    <row r="372" customFormat="false" ht="15" hidden="false" customHeight="false" outlineLevel="0" collapsed="false">
      <c r="A372" s="23" t="n">
        <v>46043</v>
      </c>
      <c r="B372" s="25" t="n">
        <v>54.88</v>
      </c>
      <c r="C372" s="25" t="n">
        <v>160.67</v>
      </c>
      <c r="D372" s="25" t="n">
        <v>6134.81</v>
      </c>
    </row>
    <row r="373" customFormat="false" ht="15" hidden="false" customHeight="false" outlineLevel="0" collapsed="false">
      <c r="A373" s="23" t="n">
        <v>46044</v>
      </c>
      <c r="B373" s="25" t="n">
        <v>56.67</v>
      </c>
      <c r="C373" s="25" t="n">
        <v>164.21</v>
      </c>
      <c r="D373" s="25" t="n">
        <v>6288.42</v>
      </c>
    </row>
    <row r="374" customFormat="false" ht="15" hidden="false" customHeight="false" outlineLevel="0" collapsed="false">
      <c r="A374" s="23" t="n">
        <v>46045</v>
      </c>
      <c r="B374" s="25" t="n">
        <v>59.06</v>
      </c>
      <c r="C374" s="25" t="n">
        <v>168.12</v>
      </c>
      <c r="D374" s="25" t="n">
        <v>6372.59</v>
      </c>
    </row>
    <row r="375" customFormat="false" ht="15" hidden="false" customHeight="false" outlineLevel="0" collapsed="false">
      <c r="A375" s="23" t="n">
        <v>46048</v>
      </c>
      <c r="B375" s="25" t="n">
        <v>59.36</v>
      </c>
      <c r="C375" s="25" t="n">
        <v>169.12</v>
      </c>
      <c r="D375" s="25" t="n">
        <v>6383.57</v>
      </c>
    </row>
    <row r="376" customFormat="false" ht="15" hidden="false" customHeight="false" outlineLevel="0" collapsed="false">
      <c r="A376" s="23" t="n">
        <v>46049</v>
      </c>
      <c r="B376" s="25" t="n">
        <v>60.73</v>
      </c>
      <c r="C376" s="25" t="n">
        <v>170.97</v>
      </c>
      <c r="D376" s="25" t="n">
        <v>6408.42</v>
      </c>
    </row>
    <row r="377" customFormat="false" ht="15" hidden="false" customHeight="false" outlineLevel="0" collapsed="false">
      <c r="A377" s="23" t="n">
        <v>46050</v>
      </c>
      <c r="B377" s="25" t="n">
        <v>61.43</v>
      </c>
      <c r="C377" s="25" t="n">
        <v>172.68</v>
      </c>
      <c r="D377" s="25" t="n">
        <v>6450.31</v>
      </c>
    </row>
    <row r="378" customFormat="false" ht="15" hidden="false" customHeight="false" outlineLevel="0" collapsed="false">
      <c r="A378" s="23" t="n">
        <v>46051</v>
      </c>
      <c r="B378" s="25" t="n">
        <v>61.48</v>
      </c>
      <c r="C378" s="25" t="n">
        <v>174.91</v>
      </c>
      <c r="D378" s="25" t="n">
        <v>6412.52</v>
      </c>
    </row>
    <row r="379" customFormat="false" ht="15" hidden="false" customHeight="false" outlineLevel="0" collapsed="false">
      <c r="A379" s="23" t="n">
        <v>46052</v>
      </c>
      <c r="B379" s="25" t="n">
        <v>59.61</v>
      </c>
      <c r="C379" s="25" t="n">
        <v>170.52</v>
      </c>
      <c r="D379" s="25" t="n">
        <v>6346.13</v>
      </c>
    </row>
    <row r="380" customFormat="false" ht="15" hidden="false" customHeight="false" outlineLevel="0" collapsed="false">
      <c r="A380" s="23" t="n">
        <v>46055</v>
      </c>
      <c r="B380" s="25" t="n">
        <v>59.58</v>
      </c>
      <c r="C380" s="25" t="n">
        <v>172.7</v>
      </c>
      <c r="D380" s="25" t="n">
        <v>6351.5</v>
      </c>
    </row>
    <row r="381" customFormat="false" ht="15" hidden="false" customHeight="false" outlineLevel="0" collapsed="false">
      <c r="A381" s="23" t="n">
        <v>46056</v>
      </c>
      <c r="B381" s="25" t="n">
        <v>58.88</v>
      </c>
      <c r="C381" s="25" t="n">
        <v>171.18</v>
      </c>
      <c r="D381" s="25" t="n">
        <v>6292.88</v>
      </c>
    </row>
    <row r="382" customFormat="false" ht="15" hidden="false" customHeight="false" outlineLevel="0" collapsed="false">
      <c r="A382" s="23" t="n">
        <v>46057</v>
      </c>
      <c r="B382" s="25" t="n">
        <v>58.69</v>
      </c>
      <c r="C382" s="25" t="n">
        <v>170.71</v>
      </c>
      <c r="D382" s="25" t="n">
        <v>6290.98</v>
      </c>
    </row>
    <row r="383" customFormat="false" ht="15" hidden="false" customHeight="false" outlineLevel="0" collapsed="false">
      <c r="A383" s="23" t="n">
        <v>46058</v>
      </c>
      <c r="B383" s="25" t="n">
        <v>57.2</v>
      </c>
      <c r="C383" s="25" t="n">
        <v>169.31</v>
      </c>
      <c r="D383" s="25" t="n">
        <v>6299.07</v>
      </c>
    </row>
    <row r="384" customFormat="false" ht="15" hidden="false" customHeight="false" outlineLevel="0" collapsed="false">
      <c r="A384" s="23" t="n">
        <v>46059</v>
      </c>
      <c r="B384" s="25" t="n">
        <v>59.49</v>
      </c>
      <c r="C384" s="25" t="n">
        <v>169.17</v>
      </c>
      <c r="D384" s="25" t="n">
        <v>6449.7</v>
      </c>
    </row>
    <row r="385" customFormat="false" ht="15" hidden="false" customHeight="false" outlineLevel="0" collapsed="false">
      <c r="A385" s="23" t="n">
        <v>46062</v>
      </c>
      <c r="B385" s="25" t="n">
        <v>58.62</v>
      </c>
      <c r="C385" s="25" t="n">
        <v>167.6</v>
      </c>
      <c r="D385" s="25" t="n">
        <v>6396.42</v>
      </c>
    </row>
    <row r="386" customFormat="false" ht="15" hidden="false" customHeight="false" outlineLevel="0" collapsed="false">
      <c r="A386" s="23" t="n">
        <v>46063</v>
      </c>
      <c r="B386" s="25" t="n">
        <v>58.25</v>
      </c>
      <c r="C386" s="25" t="n">
        <v>166.42</v>
      </c>
      <c r="D386" s="25" t="n">
        <v>6390.6</v>
      </c>
    </row>
    <row r="387" customFormat="false" ht="15" hidden="false" customHeight="false" outlineLevel="0" collapsed="false">
      <c r="A387" s="23" t="n">
        <v>46064</v>
      </c>
      <c r="B387" s="25" t="n">
        <v>57.98</v>
      </c>
      <c r="C387" s="25" t="n">
        <v>167.06</v>
      </c>
      <c r="D387" s="25" t="n">
        <v>6382.05</v>
      </c>
    </row>
    <row r="388" customFormat="false" ht="15" hidden="false" customHeight="false" outlineLevel="0" collapsed="false">
      <c r="A388" s="23" t="n">
        <v>46065</v>
      </c>
      <c r="B388" s="25" t="n">
        <v>58.15</v>
      </c>
      <c r="C388" s="25" t="n">
        <v>165.31</v>
      </c>
      <c r="D388" s="25" t="n">
        <v>6412.2</v>
      </c>
    </row>
    <row r="389" customFormat="false" ht="15" hidden="false" customHeight="false" outlineLevel="0" collapsed="false">
      <c r="A389" s="23" t="n">
        <v>46066</v>
      </c>
      <c r="B389" s="25" t="n">
        <v>59.22</v>
      </c>
      <c r="C389" s="25" t="n">
        <v>168.82</v>
      </c>
      <c r="D389" s="25" t="n">
        <v>6481.89</v>
      </c>
    </row>
    <row r="390" customFormat="false" ht="15" hidden="false" customHeight="false" outlineLevel="0" collapsed="false">
      <c r="A390" s="23" t="n">
        <v>46069</v>
      </c>
      <c r="B390" s="25" t="n">
        <v>57.96</v>
      </c>
      <c r="C390" s="25" t="n">
        <v>168.72</v>
      </c>
      <c r="D390" s="25" t="n">
        <v>6451.9</v>
      </c>
    </row>
    <row r="391" customFormat="false" ht="15" hidden="false" customHeight="false" outlineLevel="0" collapsed="false">
      <c r="A391" s="23" t="n">
        <v>46070</v>
      </c>
      <c r="B391" s="25" t="n">
        <v>56.73</v>
      </c>
      <c r="C391" s="25" t="n">
        <v>167.4</v>
      </c>
      <c r="D391" s="25" t="n">
        <v>6400.54</v>
      </c>
    </row>
    <row r="392" customFormat="false" ht="15" hidden="false" customHeight="false" outlineLevel="0" collapsed="false">
      <c r="A392" s="23" t="n">
        <v>46071</v>
      </c>
      <c r="B392" s="25" t="n">
        <v>55.85</v>
      </c>
      <c r="C392" s="25" t="n">
        <v>164.4</v>
      </c>
      <c r="D392" s="25" t="n">
        <v>6296.73</v>
      </c>
    </row>
    <row r="393" customFormat="false" ht="15" hidden="false" customHeight="false" outlineLevel="0" collapsed="false">
      <c r="A393" s="23" t="n">
        <v>46072</v>
      </c>
      <c r="B393" s="25" t="n">
        <v>55.36</v>
      </c>
      <c r="C393" s="25" t="n">
        <v>162.15</v>
      </c>
      <c r="D393" s="25" t="n">
        <v>6239.94</v>
      </c>
    </row>
    <row r="394" customFormat="false" ht="15" hidden="false" customHeight="false" outlineLevel="0" collapsed="false">
      <c r="A394" s="23" t="n">
        <v>46073</v>
      </c>
      <c r="B394" s="25" t="n">
        <v>55.49</v>
      </c>
      <c r="C394" s="25" t="n">
        <v>161.09</v>
      </c>
      <c r="D394" s="25" t="n">
        <v>6275.66</v>
      </c>
    </row>
    <row r="395" customFormat="false" ht="15" hidden="false" customHeight="false" outlineLevel="0" collapsed="false">
      <c r="A395" s="23" t="n">
        <v>46076</v>
      </c>
      <c r="B395" s="25" t="n">
        <v>55.15</v>
      </c>
      <c r="C395" s="25" t="n">
        <v>160.36</v>
      </c>
      <c r="D395" s="25" t="n">
        <v>6280.54</v>
      </c>
    </row>
    <row r="396" customFormat="false" ht="15" hidden="false" customHeight="false" outlineLevel="0" collapsed="false">
      <c r="A396" s="23" t="n">
        <v>46077</v>
      </c>
      <c r="B396" s="25" t="n">
        <v>53.92</v>
      </c>
      <c r="C396" s="25" t="n">
        <v>159.27</v>
      </c>
      <c r="D396" s="25" t="n">
        <v>6218.26</v>
      </c>
    </row>
    <row r="397" customFormat="false" ht="15" hidden="false" customHeight="false" outlineLevel="0" collapsed="false">
      <c r="A397" s="23" t="n">
        <v>46078</v>
      </c>
      <c r="B397" s="25" t="n">
        <v>53.67</v>
      </c>
      <c r="C397" s="25" t="n">
        <v>158.64</v>
      </c>
      <c r="D397" s="25" t="n">
        <v>6196.87</v>
      </c>
    </row>
    <row r="398" customFormat="false" ht="15" hidden="false" customHeight="false" outlineLevel="0" collapsed="false">
      <c r="A398" s="23" t="n">
        <v>46079</v>
      </c>
      <c r="B398" s="25" t="n">
        <v>54.52</v>
      </c>
      <c r="C398" s="25" t="n">
        <v>156.61</v>
      </c>
      <c r="D398" s="25" t="n">
        <v>6200.8</v>
      </c>
    </row>
    <row r="399" customFormat="false" ht="15" hidden="false" customHeight="false" outlineLevel="0" collapsed="false">
      <c r="A399" s="23" t="n">
        <v>46080</v>
      </c>
      <c r="B399" s="25" t="n">
        <v>54.16</v>
      </c>
      <c r="C399" s="25" t="n">
        <v>156.82</v>
      </c>
      <c r="D399" s="25" t="n">
        <v>6234.25</v>
      </c>
    </row>
    <row r="400" customFormat="false" ht="15" hidden="false" customHeight="false" outlineLevel="0" collapsed="false">
      <c r="A400" s="23" t="n">
        <v>46083</v>
      </c>
      <c r="B400" s="25" t="n">
        <v>54.84</v>
      </c>
      <c r="C400" s="25" t="n">
        <v>154.89</v>
      </c>
      <c r="D400" s="25" t="n">
        <v>6198.94</v>
      </c>
    </row>
    <row r="401" customFormat="false" ht="15" hidden="false" customHeight="false" outlineLevel="0" collapsed="false">
      <c r="A401" s="23" t="n">
        <v>46084</v>
      </c>
      <c r="B401" s="25" t="n">
        <v>55.29</v>
      </c>
      <c r="C401" s="25" t="n">
        <v>154.9</v>
      </c>
      <c r="D401" s="25" t="n">
        <v>6185.26</v>
      </c>
    </row>
    <row r="402" customFormat="false" ht="15" hidden="false" customHeight="false" outlineLevel="0" collapsed="false">
      <c r="A402" s="23" t="n">
        <v>46085</v>
      </c>
      <c r="B402" s="25" t="n">
        <v>53.79</v>
      </c>
      <c r="C402" s="25" t="n">
        <v>155.69</v>
      </c>
      <c r="D402" s="25" t="n">
        <v>6073.86</v>
      </c>
    </row>
    <row r="403" customFormat="false" ht="15" hidden="false" customHeight="false" outlineLevel="0" collapsed="false">
      <c r="A403" s="23" t="n">
        <v>46086</v>
      </c>
      <c r="B403" s="25" t="n">
        <v>53.6</v>
      </c>
      <c r="C403" s="25" t="n">
        <v>155.4</v>
      </c>
      <c r="D403" s="25" t="n">
        <v>6005.3</v>
      </c>
    </row>
    <row r="404" customFormat="false" ht="15" hidden="false" customHeight="false" outlineLevel="0" collapsed="false">
      <c r="A404" s="23" t="n">
        <v>46087</v>
      </c>
      <c r="B404" s="25" t="n">
        <v>53.69</v>
      </c>
      <c r="C404" s="25" t="n">
        <v>156.76</v>
      </c>
      <c r="D404" s="25" t="n">
        <v>6105.13</v>
      </c>
    </row>
    <row r="405" customFormat="false" ht="15" hidden="false" customHeight="false" outlineLevel="0" collapsed="false">
      <c r="A405" s="23" t="n">
        <v>46090</v>
      </c>
      <c r="B405" s="25" t="n">
        <v>51.13</v>
      </c>
      <c r="C405" s="25" t="n">
        <v>151.98</v>
      </c>
      <c r="D405" s="25" t="n">
        <v>5972.42</v>
      </c>
    </row>
    <row r="406" customFormat="false" ht="15" hidden="false" customHeight="false" outlineLevel="0" collapsed="false">
      <c r="A406" s="23" t="n">
        <v>46091</v>
      </c>
      <c r="B406" s="25" t="n">
        <v>50.12</v>
      </c>
      <c r="C406" s="25" t="n">
        <v>149.64</v>
      </c>
      <c r="D406" s="25" t="n">
        <v>5953.98</v>
      </c>
    </row>
    <row r="407" customFormat="false" ht="15" hidden="false" customHeight="false" outlineLevel="0" collapsed="false">
      <c r="A407" s="23" t="n">
        <v>46092</v>
      </c>
      <c r="B407" s="25" t="n">
        <v>50.03</v>
      </c>
      <c r="C407" s="25" t="n">
        <v>147.53</v>
      </c>
      <c r="D407" s="25" t="n">
        <v>5969.03</v>
      </c>
    </row>
    <row r="408" customFormat="false" ht="15" hidden="false" customHeight="false" outlineLevel="0" collapsed="false">
      <c r="A408" s="23" t="n">
        <v>46093</v>
      </c>
      <c r="B408" s="25" t="n">
        <v>49.62</v>
      </c>
      <c r="C408" s="25" t="n">
        <v>148.2</v>
      </c>
      <c r="D408" s="25" t="n">
        <v>5948.4</v>
      </c>
    </row>
    <row r="409" customFormat="false" ht="15" hidden="false" customHeight="false" outlineLevel="0" collapsed="false">
      <c r="A409" s="23" t="n">
        <v>46094</v>
      </c>
      <c r="B409" s="25" t="n">
        <v>48.84</v>
      </c>
      <c r="C409" s="25" t="n">
        <v>146.34</v>
      </c>
      <c r="D409" s="25" t="n">
        <v>5901.84</v>
      </c>
    </row>
    <row r="410" customFormat="false" ht="15" hidden="false" customHeight="false" outlineLevel="0" collapsed="false">
      <c r="A410" s="23" t="n">
        <v>46097</v>
      </c>
      <c r="B410" s="25" t="n">
        <v>48.9</v>
      </c>
      <c r="C410" s="25" t="n">
        <v>146.41</v>
      </c>
      <c r="D410" s="25" t="n">
        <v>5900.08</v>
      </c>
    </row>
    <row r="411" customFormat="false" ht="15" hidden="false" customHeight="false" outlineLevel="0" collapsed="false">
      <c r="A411" s="23" t="n">
        <v>46098</v>
      </c>
      <c r="B411" s="25" t="n">
        <v>47.61</v>
      </c>
      <c r="C411" s="25" t="n">
        <v>145.59</v>
      </c>
      <c r="D411" s="25" t="n">
        <v>5901.65</v>
      </c>
    </row>
    <row r="412" customFormat="false" ht="15" hidden="false" customHeight="false" outlineLevel="0" collapsed="false">
      <c r="A412" s="23" t="n">
        <v>46099</v>
      </c>
      <c r="B412" s="25" t="n">
        <v>47.89</v>
      </c>
      <c r="C412" s="25" t="n">
        <v>145.68</v>
      </c>
      <c r="D412" s="25" t="n">
        <v>5898.64</v>
      </c>
    </row>
    <row r="413" customFormat="false" ht="15" hidden="false" customHeight="false" outlineLevel="0" collapsed="false">
      <c r="A413" s="23" t="n">
        <v>46100</v>
      </c>
      <c r="B413" s="25" t="n">
        <v>45.97</v>
      </c>
      <c r="C413" s="25" t="n">
        <v>145.72</v>
      </c>
      <c r="D413" s="25" t="n">
        <v>5788.88</v>
      </c>
    </row>
    <row r="414" customFormat="false" ht="15" hidden="false" customHeight="false" outlineLevel="0" collapsed="false">
      <c r="A414" s="23" t="n">
        <v>46101</v>
      </c>
      <c r="B414" s="25" t="n">
        <v>45.53</v>
      </c>
      <c r="C414" s="25" t="n">
        <v>144.67</v>
      </c>
      <c r="D414" s="25" t="n">
        <v>5782.12</v>
      </c>
    </row>
    <row r="415" customFormat="false" ht="15" hidden="false" customHeight="false" outlineLevel="0" collapsed="false">
      <c r="A415" s="23" t="n">
        <v>46104</v>
      </c>
      <c r="B415" s="25" t="n">
        <v>44.85</v>
      </c>
      <c r="C415" s="25" t="n">
        <v>143.38</v>
      </c>
      <c r="D415" s="25" t="n">
        <v>5734.12</v>
      </c>
    </row>
    <row r="416" customFormat="false" ht="15" hidden="false" customHeight="false" outlineLevel="0" collapsed="false">
      <c r="A416" s="23" t="n">
        <v>46105</v>
      </c>
      <c r="B416" s="25" t="n">
        <v>43.93</v>
      </c>
      <c r="C416" s="25" t="n">
        <v>141.78</v>
      </c>
      <c r="D416" s="25" t="n">
        <v>5704.28</v>
      </c>
    </row>
    <row r="417" customFormat="false" ht="15" hidden="false" customHeight="false" outlineLevel="0" collapsed="false">
      <c r="A417" s="23" t="n">
        <v>46106</v>
      </c>
      <c r="B417" s="25" t="n">
        <v>43.31</v>
      </c>
      <c r="C417" s="25" t="n">
        <v>143.23</v>
      </c>
      <c r="D417" s="25" t="n">
        <v>5719.14</v>
      </c>
    </row>
    <row r="418" customFormat="false" ht="15" hidden="false" customHeight="false" outlineLevel="0" collapsed="false">
      <c r="A418" s="23" t="n">
        <v>46107</v>
      </c>
      <c r="B418" s="25" t="n">
        <v>43.12</v>
      </c>
      <c r="C418" s="25" t="n">
        <v>142.53</v>
      </c>
      <c r="D418" s="25" t="n">
        <v>5757.89</v>
      </c>
    </row>
    <row r="419" customFormat="false" ht="15" hidden="false" customHeight="false" outlineLevel="0" collapsed="false">
      <c r="A419" s="23" t="n">
        <v>46108</v>
      </c>
      <c r="B419" s="25" t="n">
        <v>43.61</v>
      </c>
      <c r="C419" s="25" t="n">
        <v>141.95</v>
      </c>
      <c r="D419" s="25" t="n">
        <v>5811.76</v>
      </c>
    </row>
    <row r="420" customFormat="false" ht="15" hidden="false" customHeight="false" outlineLevel="0" collapsed="false">
      <c r="A420" s="23" t="n">
        <v>46111</v>
      </c>
      <c r="B420" s="25" t="n">
        <v>43.7</v>
      </c>
      <c r="C420" s="25" t="n">
        <v>139.64</v>
      </c>
      <c r="D420" s="25" t="n">
        <v>5784.53</v>
      </c>
    </row>
    <row r="421" customFormat="false" ht="15" hidden="false" customHeight="false" outlineLevel="0" collapsed="false">
      <c r="A421" s="23" t="n">
        <v>46112</v>
      </c>
      <c r="B421" s="25" t="n">
        <v>44.52</v>
      </c>
      <c r="C421" s="25" t="n">
        <v>138.74</v>
      </c>
      <c r="D421" s="25" t="n">
        <v>5840.24</v>
      </c>
    </row>
    <row r="422" customFormat="false" ht="15" hidden="false" customHeight="false" outlineLevel="0" collapsed="false">
      <c r="A422" s="23" t="n">
        <v>46113</v>
      </c>
      <c r="B422" s="25" t="n">
        <v>44.62</v>
      </c>
      <c r="C422" s="25" t="n">
        <v>140.55</v>
      </c>
      <c r="D422" s="25" t="n">
        <v>5911.18</v>
      </c>
    </row>
    <row r="423" customFormat="false" ht="15" hidden="false" customHeight="false" outlineLevel="0" collapsed="false">
      <c r="A423" s="23" t="n">
        <v>46114</v>
      </c>
      <c r="B423" s="25" t="n">
        <v>44.82</v>
      </c>
      <c r="C423" s="25" t="n">
        <v>145.13</v>
      </c>
      <c r="D423" s="25" t="n">
        <v>5980.78</v>
      </c>
    </row>
    <row r="424" customFormat="false" ht="15" hidden="false" customHeight="false" outlineLevel="0" collapsed="false">
      <c r="A424" s="23" t="n">
        <v>46115</v>
      </c>
      <c r="B424" s="25" t="n">
        <v>45.08</v>
      </c>
      <c r="C424" s="25" t="n">
        <v>145.24</v>
      </c>
      <c r="D424" s="25" t="n">
        <v>6066.45</v>
      </c>
    </row>
    <row r="425" customFormat="false" ht="15" hidden="false" customHeight="false" outlineLevel="0" collapsed="false">
      <c r="A425" s="23" t="n">
        <v>46118</v>
      </c>
      <c r="B425" s="25" t="n">
        <v>45.28</v>
      </c>
      <c r="C425" s="25" t="n">
        <v>146.44</v>
      </c>
      <c r="D425" s="25" t="n">
        <v>6059.47</v>
      </c>
    </row>
    <row r="426" customFormat="false" ht="15" hidden="false" customHeight="false" outlineLevel="0" collapsed="false">
      <c r="A426" s="23" t="n">
        <v>46119</v>
      </c>
      <c r="B426" s="25" t="n">
        <v>44.05</v>
      </c>
      <c r="C426" s="25" t="n">
        <v>146.66</v>
      </c>
      <c r="D426" s="25" t="n">
        <v>6050.76</v>
      </c>
    </row>
    <row r="427" customFormat="false" ht="15" hidden="false" customHeight="false" outlineLevel="0" collapsed="false">
      <c r="A427" s="23" t="n">
        <v>46120</v>
      </c>
      <c r="B427" s="25" t="n">
        <v>45.2</v>
      </c>
      <c r="C427" s="25" t="n">
        <v>146.03</v>
      </c>
      <c r="D427" s="25" t="n">
        <v>6103</v>
      </c>
    </row>
    <row r="428" customFormat="false" ht="15" hidden="false" customHeight="false" outlineLevel="0" collapsed="false">
      <c r="A428" s="23" t="n">
        <v>46121</v>
      </c>
      <c r="B428" s="25" t="n">
        <v>44.2</v>
      </c>
      <c r="C428" s="25" t="n">
        <v>144.29</v>
      </c>
      <c r="D428" s="25" t="n">
        <v>6020.88</v>
      </c>
    </row>
    <row r="429" customFormat="false" ht="15" hidden="false" customHeight="false" outlineLevel="0" collapsed="false">
      <c r="A429" s="23" t="n">
        <v>46122</v>
      </c>
      <c r="B429" s="25" t="n">
        <v>43.9</v>
      </c>
      <c r="C429" s="25" t="n">
        <v>144.23</v>
      </c>
      <c r="D429" s="25" t="n">
        <v>6035.5</v>
      </c>
    </row>
    <row r="430" customFormat="false" ht="15" hidden="false" customHeight="false" outlineLevel="0" collapsed="false">
      <c r="A430" s="23" t="n">
        <v>46125</v>
      </c>
      <c r="B430" s="25" t="n">
        <v>43.84</v>
      </c>
      <c r="C430" s="25" t="n">
        <v>142.79</v>
      </c>
      <c r="D430" s="25" t="n">
        <v>6005.14</v>
      </c>
    </row>
    <row r="431" customFormat="false" ht="15" hidden="false" customHeight="false" outlineLevel="0" collapsed="false">
      <c r="A431" s="23" t="n">
        <v>46126</v>
      </c>
      <c r="B431" s="25" t="n">
        <v>44.24</v>
      </c>
      <c r="C431" s="25" t="n">
        <v>145.07</v>
      </c>
      <c r="D431" s="25" t="n">
        <v>5984.72</v>
      </c>
    </row>
    <row r="432" customFormat="false" ht="15" hidden="false" customHeight="false" outlineLevel="0" collapsed="false">
      <c r="A432" s="23" t="n">
        <v>46127</v>
      </c>
      <c r="B432" s="25" t="n">
        <v>43.52</v>
      </c>
      <c r="C432" s="25" t="n">
        <v>140.73</v>
      </c>
      <c r="D432" s="25" t="n">
        <v>5881.58</v>
      </c>
    </row>
    <row r="433" customFormat="false" ht="15" hidden="false" customHeight="false" outlineLevel="0" collapsed="false">
      <c r="A433" s="23" t="n">
        <v>46128</v>
      </c>
      <c r="B433" s="25" t="n">
        <v>43.66</v>
      </c>
      <c r="C433" s="25" t="n">
        <v>140.39</v>
      </c>
      <c r="D433" s="25" t="n">
        <v>5830.65</v>
      </c>
    </row>
    <row r="434" customFormat="false" ht="15" hidden="false" customHeight="false" outlineLevel="0" collapsed="false">
      <c r="A434" s="23" t="n">
        <v>46129</v>
      </c>
      <c r="B434" s="25" t="n">
        <v>43.74</v>
      </c>
      <c r="C434" s="25" t="n">
        <v>140.86</v>
      </c>
      <c r="D434" s="25" t="n">
        <v>5831.3</v>
      </c>
    </row>
    <row r="435" customFormat="false" ht="15" hidden="false" customHeight="false" outlineLevel="0" collapsed="false">
      <c r="A435" s="23" t="n">
        <v>46132</v>
      </c>
      <c r="B435" s="25" t="n">
        <v>44.92</v>
      </c>
      <c r="C435" s="25" t="n">
        <v>141.01</v>
      </c>
      <c r="D435" s="25" t="n">
        <v>5885.37</v>
      </c>
    </row>
    <row r="436" customFormat="false" ht="15" hidden="false" customHeight="false" outlineLevel="0" collapsed="false">
      <c r="A436" s="23" t="n">
        <v>46133</v>
      </c>
      <c r="B436" s="25" t="n">
        <v>46.19</v>
      </c>
      <c r="C436" s="25" t="n">
        <v>142.24</v>
      </c>
      <c r="D436" s="25" t="n">
        <v>5945.96</v>
      </c>
    </row>
    <row r="437" customFormat="false" ht="15" hidden="false" customHeight="false" outlineLevel="0" collapsed="false">
      <c r="A437" s="23" t="n">
        <v>46134</v>
      </c>
      <c r="B437" s="25" t="n">
        <v>46.11</v>
      </c>
      <c r="C437" s="25" t="n">
        <v>143.39</v>
      </c>
      <c r="D437" s="25" t="n">
        <v>5943.04</v>
      </c>
    </row>
    <row r="438" customFormat="false" ht="15" hidden="false" customHeight="false" outlineLevel="0" collapsed="false">
      <c r="A438" s="23" t="n">
        <v>46135</v>
      </c>
      <c r="B438" s="25" t="n">
        <v>46.87</v>
      </c>
      <c r="C438" s="25" t="n">
        <v>143.45</v>
      </c>
      <c r="D438" s="25" t="n">
        <v>5933.58</v>
      </c>
    </row>
    <row r="439" customFormat="false" ht="15" hidden="false" customHeight="false" outlineLevel="0" collapsed="false">
      <c r="A439" s="23" t="n">
        <v>46136</v>
      </c>
      <c r="B439" s="25" t="n">
        <v>46.52</v>
      </c>
      <c r="C439" s="25" t="n">
        <v>143.22</v>
      </c>
      <c r="D439" s="25" t="n">
        <v>5885.79</v>
      </c>
    </row>
    <row r="440" customFormat="false" ht="15" hidden="false" customHeight="false" outlineLevel="0" collapsed="false">
      <c r="A440" s="23" t="n">
        <v>46139</v>
      </c>
      <c r="B440" s="25" t="n">
        <v>46.82</v>
      </c>
      <c r="C440" s="25" t="n">
        <v>144.61</v>
      </c>
      <c r="D440" s="25" t="n">
        <v>5911.53</v>
      </c>
    </row>
    <row r="441" customFormat="false" ht="15" hidden="false" customHeight="false" outlineLevel="0" collapsed="false">
      <c r="A441" s="23" t="n">
        <v>46140</v>
      </c>
      <c r="B441" s="25" t="n">
        <v>46.17</v>
      </c>
      <c r="C441" s="25" t="n">
        <v>141.63</v>
      </c>
      <c r="D441" s="25" t="n">
        <v>5898.65</v>
      </c>
    </row>
    <row r="442" customFormat="false" ht="15" hidden="false" customHeight="false" outlineLevel="0" collapsed="false">
      <c r="A442" s="23" t="n">
        <v>46141</v>
      </c>
      <c r="B442" s="25" t="n">
        <v>46.37</v>
      </c>
      <c r="C442" s="25" t="n">
        <v>144.26</v>
      </c>
      <c r="D442" s="25" t="n">
        <v>5936.55</v>
      </c>
    </row>
    <row r="443" customFormat="false" ht="15" hidden="false" customHeight="false" outlineLevel="0" collapsed="false">
      <c r="A443" s="23" t="n">
        <v>46142</v>
      </c>
      <c r="B443" s="25" t="n">
        <v>47.83</v>
      </c>
      <c r="C443" s="25" t="n">
        <v>149.19</v>
      </c>
      <c r="D443" s="25" t="n">
        <v>6043.24</v>
      </c>
    </row>
    <row r="444" customFormat="false" ht="15" hidden="false" customHeight="false" outlineLevel="0" collapsed="false">
      <c r="A444" s="23" t="n">
        <v>46143</v>
      </c>
      <c r="B444" s="25" t="n">
        <v>47.05</v>
      </c>
      <c r="C444" s="25" t="n">
        <v>150.59</v>
      </c>
      <c r="D444" s="25" t="n">
        <v>6043.19</v>
      </c>
    </row>
    <row r="445" customFormat="false" ht="15" hidden="false" customHeight="false" outlineLevel="0" collapsed="false">
      <c r="A445" s="23" t="n">
        <v>46146</v>
      </c>
      <c r="B445" s="25" t="n">
        <v>46.61</v>
      </c>
      <c r="C445" s="25" t="n">
        <v>150.49</v>
      </c>
      <c r="D445" s="25" t="n">
        <v>5953.9</v>
      </c>
    </row>
    <row r="446" customFormat="false" ht="15" hidden="false" customHeight="false" outlineLevel="0" collapsed="false">
      <c r="A446" s="23" t="n">
        <v>46147</v>
      </c>
      <c r="B446" s="25" t="n">
        <v>46.35</v>
      </c>
      <c r="C446" s="25" t="n">
        <v>147.62</v>
      </c>
      <c r="D446" s="25" t="n">
        <v>5904.13</v>
      </c>
    </row>
    <row r="447" customFormat="false" ht="15" hidden="false" customHeight="false" outlineLevel="0" collapsed="false">
      <c r="A447" s="23" t="n">
        <v>46148</v>
      </c>
      <c r="B447" s="25" t="n">
        <v>45.73</v>
      </c>
      <c r="C447" s="25" t="n">
        <v>145.99</v>
      </c>
      <c r="D447" s="25" t="n">
        <v>5819.24</v>
      </c>
    </row>
    <row r="448" customFormat="false" ht="15" hidden="false" customHeight="false" outlineLevel="0" collapsed="false">
      <c r="A448" s="23" t="n">
        <v>46149</v>
      </c>
      <c r="B448" s="25" t="n">
        <v>43.82</v>
      </c>
      <c r="C448" s="25" t="n">
        <v>143.68</v>
      </c>
      <c r="D448" s="25" t="n">
        <v>5750.87</v>
      </c>
    </row>
    <row r="449" customFormat="false" ht="15" hidden="false" customHeight="false" outlineLevel="0" collapsed="false">
      <c r="A449" s="23" t="n">
        <v>46150</v>
      </c>
      <c r="B449" s="25" t="n">
        <v>44.48</v>
      </c>
      <c r="C449" s="25" t="n">
        <v>144.25</v>
      </c>
      <c r="D449" s="25" t="n">
        <v>5828.36</v>
      </c>
    </row>
    <row r="450" customFormat="false" ht="15" hidden="false" customHeight="false" outlineLevel="0" collapsed="false">
      <c r="A450" s="23" t="n">
        <v>46153</v>
      </c>
      <c r="B450" s="25" t="n">
        <v>44.99</v>
      </c>
      <c r="C450" s="25" t="n">
        <v>145.85</v>
      </c>
      <c r="D450" s="25" t="n">
        <v>5843.52</v>
      </c>
    </row>
    <row r="451" customFormat="false" ht="15" hidden="false" customHeight="false" outlineLevel="0" collapsed="false">
      <c r="A451" s="23" t="n">
        <v>46154</v>
      </c>
      <c r="B451" s="25" t="n">
        <v>43.76</v>
      </c>
      <c r="C451" s="25" t="n">
        <v>143.22</v>
      </c>
      <c r="D451" s="25" t="n">
        <v>5755.84</v>
      </c>
    </row>
    <row r="452" customFormat="false" ht="15" hidden="false" customHeight="false" outlineLevel="0" collapsed="false">
      <c r="A452" s="23" t="n">
        <v>46155</v>
      </c>
      <c r="B452" s="25" t="n">
        <v>44.18</v>
      </c>
      <c r="C452" s="25" t="n">
        <v>143.75</v>
      </c>
      <c r="D452" s="25" t="n">
        <v>5795.59</v>
      </c>
    </row>
    <row r="453" customFormat="false" ht="15" hidden="false" customHeight="false" outlineLevel="0" collapsed="false">
      <c r="A453" s="23" t="n">
        <v>46156</v>
      </c>
      <c r="B453" s="25" t="n">
        <v>43.55</v>
      </c>
      <c r="C453" s="25" t="n">
        <v>142.49</v>
      </c>
      <c r="D453" s="25" t="n">
        <v>5871.05</v>
      </c>
    </row>
    <row r="454" customFormat="false" ht="15" hidden="false" customHeight="false" outlineLevel="0" collapsed="false">
      <c r="A454" s="23" t="n">
        <v>46157</v>
      </c>
      <c r="B454" s="25" t="n">
        <v>43.76</v>
      </c>
      <c r="C454" s="25" t="n">
        <v>141.96</v>
      </c>
      <c r="D454" s="25" t="n">
        <v>5851.62</v>
      </c>
    </row>
    <row r="455" customFormat="false" ht="15" hidden="false" customHeight="false" outlineLevel="0" collapsed="false">
      <c r="A455" s="23" t="n">
        <v>46160</v>
      </c>
      <c r="B455" s="25" t="n">
        <v>43.06</v>
      </c>
      <c r="C455" s="25" t="n">
        <v>141.45</v>
      </c>
      <c r="D455" s="25" t="n">
        <v>5813.61</v>
      </c>
    </row>
    <row r="456" customFormat="false" ht="15" hidden="false" customHeight="false" outlineLevel="0" collapsed="false">
      <c r="A456" s="23" t="n">
        <v>46161</v>
      </c>
      <c r="B456" s="25" t="n">
        <v>43.38</v>
      </c>
      <c r="C456" s="25" t="n">
        <v>140.21</v>
      </c>
      <c r="D456" s="25" t="n">
        <v>5795.69</v>
      </c>
    </row>
    <row r="457" customFormat="false" ht="15" hidden="false" customHeight="false" outlineLevel="0" collapsed="false">
      <c r="A457" s="23" t="n">
        <v>46162</v>
      </c>
      <c r="B457" s="25" t="n">
        <v>42.55</v>
      </c>
      <c r="C457" s="25" t="n">
        <v>139.59</v>
      </c>
      <c r="D457" s="25" t="n">
        <v>5814.15</v>
      </c>
    </row>
    <row r="458" customFormat="false" ht="15" hidden="false" customHeight="false" outlineLevel="0" collapsed="false">
      <c r="A458" s="23" t="n">
        <v>46163</v>
      </c>
      <c r="B458" s="25" t="n">
        <v>43.27</v>
      </c>
      <c r="C458" s="25" t="n">
        <v>142.75</v>
      </c>
      <c r="D458" s="25" t="n">
        <v>5853.5</v>
      </c>
    </row>
    <row r="459" customFormat="false" ht="15" hidden="false" customHeight="false" outlineLevel="0" collapsed="false">
      <c r="A459" s="23" t="n">
        <v>46164</v>
      </c>
      <c r="B459" s="25" t="n">
        <v>43.79</v>
      </c>
      <c r="C459" s="25" t="n">
        <v>142.35</v>
      </c>
      <c r="D459" s="25" t="n">
        <v>5925.11</v>
      </c>
    </row>
    <row r="460" customFormat="false" ht="15" hidden="false" customHeight="false" outlineLevel="0" collapsed="false">
      <c r="A460" s="23" t="n">
        <v>46167</v>
      </c>
      <c r="B460" s="25" t="n">
        <v>44.9</v>
      </c>
      <c r="C460" s="25" t="n">
        <v>142.2</v>
      </c>
      <c r="D460" s="25" t="n">
        <v>5999.4</v>
      </c>
    </row>
    <row r="461" customFormat="false" ht="15" hidden="false" customHeight="false" outlineLevel="0" collapsed="false">
      <c r="A461" s="23" t="n">
        <v>46168</v>
      </c>
      <c r="B461" s="25" t="n">
        <v>45.05</v>
      </c>
      <c r="C461" s="25" t="n">
        <v>142.35</v>
      </c>
      <c r="D461" s="25" t="n">
        <v>6072.98</v>
      </c>
    </row>
    <row r="462" customFormat="false" ht="15" hidden="false" customHeight="false" outlineLevel="0" collapsed="false">
      <c r="A462" s="23" t="n">
        <v>46169</v>
      </c>
      <c r="B462" s="25" t="n">
        <v>45.47</v>
      </c>
      <c r="C462" s="25" t="n">
        <v>145.38</v>
      </c>
      <c r="D462" s="25" t="n">
        <v>6158.27</v>
      </c>
    </row>
    <row r="463" customFormat="false" ht="15" hidden="false" customHeight="false" outlineLevel="0" collapsed="false">
      <c r="A463" s="23" t="n">
        <v>46170</v>
      </c>
      <c r="B463" s="25" t="n">
        <v>47.14</v>
      </c>
      <c r="C463" s="25" t="n">
        <v>148.99</v>
      </c>
      <c r="D463" s="25" t="n">
        <v>6201.28</v>
      </c>
    </row>
    <row r="464" customFormat="false" ht="15" hidden="false" customHeight="false" outlineLevel="0" collapsed="false">
      <c r="A464" s="23" t="n">
        <v>46171</v>
      </c>
      <c r="B464" s="25" t="n">
        <v>45.8</v>
      </c>
      <c r="C464" s="25" t="n">
        <v>147.9</v>
      </c>
      <c r="D464" s="25" t="n">
        <v>6107.56</v>
      </c>
    </row>
    <row r="465" customFormat="false" ht="15" hidden="false" customHeight="false" outlineLevel="0" collapsed="false">
      <c r="A465" s="23" t="n">
        <v>46174</v>
      </c>
      <c r="B465" s="25" t="n">
        <v>45.35</v>
      </c>
      <c r="C465" s="25" t="n">
        <v>146.81</v>
      </c>
      <c r="D465" s="25" t="n">
        <v>6101.44</v>
      </c>
    </row>
    <row r="466" customFormat="false" ht="15" hidden="false" customHeight="false" outlineLevel="0" collapsed="false">
      <c r="A466" s="23" t="n">
        <v>46175</v>
      </c>
      <c r="B466" s="25" t="n">
        <v>45.39</v>
      </c>
      <c r="C466" s="25" t="n">
        <v>146.58</v>
      </c>
      <c r="D466" s="25" t="n">
        <v>6122.68</v>
      </c>
    </row>
    <row r="467" customFormat="false" ht="15" hidden="false" customHeight="false" outlineLevel="0" collapsed="false">
      <c r="A467" s="23" t="n">
        <v>46176</v>
      </c>
      <c r="B467" s="25" t="n">
        <v>44.62</v>
      </c>
      <c r="C467" s="25" t="n">
        <v>147.71</v>
      </c>
      <c r="D467" s="25" t="n">
        <v>6100.98</v>
      </c>
    </row>
    <row r="468" customFormat="false" ht="15" hidden="false" customHeight="false" outlineLevel="0" collapsed="false">
      <c r="A468" s="23" t="n">
        <v>46177</v>
      </c>
      <c r="B468" s="25" t="n">
        <v>45.81</v>
      </c>
      <c r="C468" s="25" t="n">
        <v>147.44</v>
      </c>
      <c r="D468" s="25" t="n">
        <v>6158.95</v>
      </c>
    </row>
    <row r="469" customFormat="false" ht="15" hidden="false" customHeight="false" outlineLevel="0" collapsed="false">
      <c r="A469" s="23" t="n">
        <v>46178</v>
      </c>
      <c r="B469" s="25" t="n">
        <v>46.63</v>
      </c>
      <c r="C469" s="25" t="n">
        <v>149.13</v>
      </c>
      <c r="D469" s="25" t="n">
        <v>6138.55</v>
      </c>
    </row>
    <row r="470" customFormat="false" ht="15" hidden="false" customHeight="false" outlineLevel="0" collapsed="false">
      <c r="A470" s="23" t="n">
        <v>46181</v>
      </c>
      <c r="B470" s="25" t="n">
        <v>45.72</v>
      </c>
      <c r="C470" s="25" t="n">
        <v>150.2</v>
      </c>
      <c r="D470" s="25" t="n">
        <v>6083.22</v>
      </c>
    </row>
    <row r="471" customFormat="false" ht="15" hidden="false" customHeight="false" outlineLevel="0" collapsed="false">
      <c r="A471" s="23" t="n">
        <v>46182</v>
      </c>
      <c r="B471" s="25" t="n">
        <v>45.55</v>
      </c>
      <c r="C471" s="25" t="n">
        <v>151.88</v>
      </c>
      <c r="D471" s="25" t="n">
        <v>6173.7</v>
      </c>
    </row>
    <row r="472" customFormat="false" ht="15" hidden="false" customHeight="false" outlineLevel="0" collapsed="false">
      <c r="A472" s="23" t="n">
        <v>46183</v>
      </c>
      <c r="B472" s="25" t="n">
        <v>46.62</v>
      </c>
      <c r="C472" s="25" t="n">
        <v>153.57</v>
      </c>
      <c r="D472" s="25" t="n">
        <v>6217.11</v>
      </c>
    </row>
    <row r="473" customFormat="false" ht="15" hidden="false" customHeight="false" outlineLevel="0" collapsed="false">
      <c r="A473" s="23" t="n">
        <v>46184</v>
      </c>
      <c r="B473" s="25" t="n">
        <v>47.42</v>
      </c>
      <c r="C473" s="25" t="n">
        <v>154.95</v>
      </c>
      <c r="D473" s="25" t="n">
        <v>6232.82</v>
      </c>
    </row>
    <row r="474" customFormat="false" ht="15" hidden="false" customHeight="false" outlineLevel="0" collapsed="false">
      <c r="A474" s="23" t="n">
        <v>46185</v>
      </c>
      <c r="B474" s="25" t="n">
        <v>48.47</v>
      </c>
      <c r="C474" s="25" t="n">
        <v>158.29</v>
      </c>
      <c r="D474" s="25" t="n">
        <v>6293.01</v>
      </c>
    </row>
    <row r="475" customFormat="false" ht="15" hidden="false" customHeight="false" outlineLevel="0" collapsed="false">
      <c r="A475" s="23" t="n">
        <v>46188</v>
      </c>
      <c r="B475" s="25" t="n">
        <v>49.83</v>
      </c>
      <c r="C475" s="25" t="n">
        <v>157.95</v>
      </c>
      <c r="D475" s="25" t="n">
        <v>6362.41</v>
      </c>
    </row>
    <row r="476" customFormat="false" ht="15" hidden="false" customHeight="false" outlineLevel="0" collapsed="false">
      <c r="A476" s="23" t="n">
        <v>46189</v>
      </c>
      <c r="B476" s="25" t="n">
        <v>49.52</v>
      </c>
      <c r="C476" s="25" t="n">
        <v>160.14</v>
      </c>
      <c r="D476" s="25" t="n">
        <v>6386.29</v>
      </c>
    </row>
    <row r="477" customFormat="false" ht="15" hidden="false" customHeight="false" outlineLevel="0" collapsed="false">
      <c r="A477" s="23" t="n">
        <v>46190</v>
      </c>
      <c r="B477" s="25" t="n">
        <v>47.97</v>
      </c>
      <c r="C477" s="25" t="n">
        <v>156.85</v>
      </c>
      <c r="D477" s="25" t="n">
        <v>6230.13</v>
      </c>
    </row>
    <row r="478" customFormat="false" ht="15" hidden="false" customHeight="false" outlineLevel="0" collapsed="false">
      <c r="A478" s="23" t="n">
        <v>46191</v>
      </c>
      <c r="B478" s="25" t="n">
        <v>46.77</v>
      </c>
      <c r="C478" s="25" t="n">
        <v>155.02</v>
      </c>
      <c r="D478" s="25" t="n">
        <v>6189.68</v>
      </c>
    </row>
    <row r="479" customFormat="false" ht="15" hidden="false" customHeight="false" outlineLevel="0" collapsed="false">
      <c r="A479" s="23" t="n">
        <v>46192</v>
      </c>
      <c r="B479" s="25" t="n">
        <v>45.7</v>
      </c>
      <c r="C479" s="25" t="n">
        <v>154.72</v>
      </c>
      <c r="D479" s="25" t="n">
        <v>6163.16</v>
      </c>
    </row>
    <row r="480" customFormat="false" ht="15" hidden="false" customHeight="false" outlineLevel="0" collapsed="false">
      <c r="A480" s="23" t="n">
        <v>46195</v>
      </c>
      <c r="B480" s="25" t="n">
        <v>45.75</v>
      </c>
      <c r="C480" s="25" t="n">
        <v>153.38</v>
      </c>
      <c r="D480" s="25" t="n">
        <v>6103.98</v>
      </c>
    </row>
    <row r="481" customFormat="false" ht="15" hidden="false" customHeight="false" outlineLevel="0" collapsed="false">
      <c r="A481" s="23" t="n">
        <v>46196</v>
      </c>
      <c r="B481" s="25" t="n">
        <v>45.5</v>
      </c>
      <c r="C481" s="25" t="n">
        <v>152.21</v>
      </c>
      <c r="D481" s="25" t="n">
        <v>6118.14</v>
      </c>
    </row>
    <row r="482" customFormat="false" ht="15" hidden="false" customHeight="false" outlineLevel="0" collapsed="false">
      <c r="A482" s="23" t="n">
        <v>46197</v>
      </c>
      <c r="B482" s="25" t="n">
        <v>47.49</v>
      </c>
      <c r="C482" s="25" t="n">
        <v>151.24</v>
      </c>
      <c r="D482" s="25" t="n">
        <v>6193.6</v>
      </c>
    </row>
    <row r="483" customFormat="false" ht="15" hidden="false" customHeight="false" outlineLevel="0" collapsed="false">
      <c r="A483" s="23" t="n">
        <v>46198</v>
      </c>
      <c r="B483" s="25" t="n">
        <v>47.28</v>
      </c>
      <c r="C483" s="25" t="n">
        <v>149.43</v>
      </c>
      <c r="D483" s="25" t="n">
        <v>6165.3</v>
      </c>
    </row>
    <row r="484" customFormat="false" ht="15" hidden="false" customHeight="false" outlineLevel="0" collapsed="false">
      <c r="A484" s="23" t="n">
        <v>46199</v>
      </c>
      <c r="B484" s="25" t="n">
        <v>46.28</v>
      </c>
      <c r="C484" s="25" t="n">
        <v>150.33</v>
      </c>
      <c r="D484" s="25" t="n">
        <v>6096.74</v>
      </c>
    </row>
    <row r="485" customFormat="false" ht="15" hidden="false" customHeight="false" outlineLevel="0" collapsed="false">
      <c r="A485" s="23" t="n">
        <v>46202</v>
      </c>
      <c r="B485" s="25" t="n">
        <v>47.9</v>
      </c>
      <c r="C485" s="25" t="n">
        <v>155.32</v>
      </c>
      <c r="D485" s="25" t="n">
        <v>6223.29</v>
      </c>
    </row>
    <row r="486" customFormat="false" ht="15" hidden="false" customHeight="false" outlineLevel="0" collapsed="false">
      <c r="A486" s="23" t="n">
        <v>46203</v>
      </c>
      <c r="B486" s="25" t="n">
        <v>48.76</v>
      </c>
      <c r="C486" s="25" t="n">
        <v>155.83</v>
      </c>
      <c r="D486" s="25" t="n">
        <v>6196.95</v>
      </c>
    </row>
    <row r="487" customFormat="false" ht="15" hidden="false" customHeight="false" outlineLevel="0" collapsed="false">
      <c r="A487" s="23" t="n">
        <v>46204</v>
      </c>
      <c r="B487" s="25" t="n">
        <v>48.36</v>
      </c>
      <c r="C487" s="25" t="n">
        <v>156.27</v>
      </c>
      <c r="D487" s="25" t="n">
        <v>6121.91</v>
      </c>
    </row>
    <row r="488" customFormat="false" ht="15" hidden="false" customHeight="false" outlineLevel="0" collapsed="false">
      <c r="A488" s="23" t="n">
        <v>46205</v>
      </c>
      <c r="B488" s="25" t="n">
        <v>47.78</v>
      </c>
      <c r="C488" s="25" t="n">
        <v>155.82</v>
      </c>
      <c r="D488" s="25" t="n">
        <v>6138.52</v>
      </c>
    </row>
    <row r="489" customFormat="false" ht="15" hidden="false" customHeight="false" outlineLevel="0" collapsed="false">
      <c r="A489" s="23" t="n">
        <v>46206</v>
      </c>
      <c r="B489" s="25" t="n">
        <v>48.28</v>
      </c>
      <c r="C489" s="25" t="n">
        <v>156.22</v>
      </c>
      <c r="D489" s="25" t="n">
        <v>6166.8</v>
      </c>
    </row>
    <row r="490" customFormat="false" ht="15" hidden="false" customHeight="false" outlineLevel="0" collapsed="false">
      <c r="A490" s="23" t="n">
        <v>46209</v>
      </c>
      <c r="B490" s="25" t="n">
        <v>48.73</v>
      </c>
      <c r="C490" s="25" t="n">
        <v>155.91</v>
      </c>
      <c r="D490" s="25" t="n">
        <v>6124.94</v>
      </c>
    </row>
    <row r="491" customFormat="false" ht="15" hidden="false" customHeight="false" outlineLevel="0" collapsed="false">
      <c r="A491" s="23" t="n">
        <v>46210</v>
      </c>
      <c r="B491" s="25" t="n">
        <v>48.93</v>
      </c>
      <c r="C491" s="25" t="n">
        <v>155.24</v>
      </c>
      <c r="D491" s="25" t="n">
        <v>6175.68</v>
      </c>
    </row>
    <row r="492" customFormat="false" ht="15" hidden="false" customHeight="false" outlineLevel="0" collapsed="false">
      <c r="A492" s="23" t="n">
        <v>46211</v>
      </c>
      <c r="B492" s="25" t="n">
        <v>48.19</v>
      </c>
      <c r="C492" s="25" t="n">
        <v>153.3</v>
      </c>
      <c r="D492" s="25" t="n">
        <v>6147.31</v>
      </c>
    </row>
    <row r="493" customFormat="false" ht="15" hidden="false" customHeight="false" outlineLevel="0" collapsed="false">
      <c r="A493" s="23" t="n">
        <v>46212</v>
      </c>
      <c r="B493" s="25" t="n">
        <v>48.3</v>
      </c>
      <c r="C493" s="25" t="n">
        <v>152.5</v>
      </c>
      <c r="D493" s="25" t="n">
        <v>6092.08</v>
      </c>
    </row>
    <row r="494" customFormat="false" ht="15" hidden="false" customHeight="false" outlineLevel="0" collapsed="false">
      <c r="A494" s="23" t="n">
        <v>46213</v>
      </c>
      <c r="B494" s="25" t="n">
        <v>48.51</v>
      </c>
      <c r="C494" s="25" t="n">
        <v>152.28</v>
      </c>
      <c r="D494" s="25" t="n">
        <v>6104.98</v>
      </c>
    </row>
    <row r="495" customFormat="false" ht="15" hidden="false" customHeight="false" outlineLevel="0" collapsed="false">
      <c r="A495" s="23" t="n">
        <v>46216</v>
      </c>
      <c r="B495" s="25" t="n">
        <v>48.32</v>
      </c>
      <c r="C495" s="25" t="n">
        <v>151.62</v>
      </c>
      <c r="D495" s="25" t="n">
        <v>6154.34</v>
      </c>
    </row>
    <row r="496" customFormat="false" ht="15" hidden="false" customHeight="false" outlineLevel="0" collapsed="false">
      <c r="A496" s="23" t="n">
        <v>46217</v>
      </c>
      <c r="B496" s="25" t="n">
        <v>47.75</v>
      </c>
      <c r="C496" s="25" t="n">
        <v>151.55</v>
      </c>
      <c r="D496" s="25" t="n">
        <v>6116.98</v>
      </c>
    </row>
    <row r="497" customFormat="false" ht="15" hidden="false" customHeight="false" outlineLevel="0" collapsed="false">
      <c r="A497" s="23" t="n">
        <v>46218</v>
      </c>
      <c r="B497" s="25" t="n">
        <v>47.51</v>
      </c>
      <c r="C497" s="25" t="n">
        <v>151.57</v>
      </c>
      <c r="D497" s="25" t="n">
        <v>6139.3</v>
      </c>
    </row>
    <row r="498" customFormat="false" ht="15" hidden="false" customHeight="false" outlineLevel="0" collapsed="false">
      <c r="A498" s="23" t="n">
        <v>46219</v>
      </c>
      <c r="B498" s="25" t="n">
        <v>47.66</v>
      </c>
      <c r="C498" s="25" t="n">
        <v>152.99</v>
      </c>
      <c r="D498" s="25" t="n">
        <v>6135.47</v>
      </c>
    </row>
    <row r="499" customFormat="false" ht="15" hidden="false" customHeight="false" outlineLevel="0" collapsed="false">
      <c r="A499" s="23" t="n">
        <v>46220</v>
      </c>
      <c r="B499" s="25" t="n">
        <v>49.38</v>
      </c>
      <c r="C499" s="25" t="n">
        <v>156.08</v>
      </c>
      <c r="D499" s="25" t="n">
        <v>6312.08</v>
      </c>
    </row>
    <row r="500" customFormat="false" ht="15" hidden="false" customHeight="false" outlineLevel="0" collapsed="false">
      <c r="A500" s="23" t="n">
        <v>46223</v>
      </c>
      <c r="B500" s="25" t="n">
        <v>49.7</v>
      </c>
      <c r="C500" s="25" t="n">
        <v>154.9</v>
      </c>
      <c r="D500" s="25" t="n">
        <v>6269</v>
      </c>
    </row>
    <row r="501" customFormat="false" ht="15" hidden="false" customHeight="false" outlineLevel="0" collapsed="false">
      <c r="A501" s="23" t="n">
        <v>46224</v>
      </c>
      <c r="B501" s="25" t="n">
        <v>51.01</v>
      </c>
      <c r="C501" s="25" t="n">
        <v>156.65</v>
      </c>
      <c r="D501" s="25" t="n">
        <v>6358.45</v>
      </c>
    </row>
    <row r="502" customFormat="false" ht="15" hidden="false" customHeight="false" outlineLevel="0" collapsed="false">
      <c r="A502" s="23" t="n">
        <v>46225</v>
      </c>
      <c r="B502" s="25" t="n">
        <v>50</v>
      </c>
      <c r="C502" s="25" t="n">
        <v>156.39</v>
      </c>
      <c r="D502" s="25" t="n">
        <v>6357.12</v>
      </c>
    </row>
    <row r="503" customFormat="false" ht="15" hidden="false" customHeight="false" outlineLevel="0" collapsed="false">
      <c r="A503" s="23" t="n">
        <v>46226</v>
      </c>
      <c r="B503" s="25" t="n">
        <v>50.21</v>
      </c>
      <c r="C503" s="25" t="n">
        <v>155.31</v>
      </c>
      <c r="D503" s="25" t="n">
        <v>6351.01</v>
      </c>
    </row>
    <row r="504" customFormat="false" ht="15" hidden="false" customHeight="false" outlineLevel="0" collapsed="false">
      <c r="A504" s="23" t="n">
        <v>46227</v>
      </c>
      <c r="B504" s="25" t="n">
        <v>51.25</v>
      </c>
      <c r="C504" s="25" t="n">
        <v>155.56</v>
      </c>
      <c r="D504" s="25" t="n">
        <v>6399.22</v>
      </c>
    </row>
    <row r="505" customFormat="false" ht="15" hidden="false" customHeight="false" outlineLevel="0" collapsed="false">
      <c r="A505" s="23" t="n">
        <v>46230</v>
      </c>
      <c r="B505" s="25" t="n">
        <v>52.12</v>
      </c>
      <c r="C505" s="25" t="n">
        <v>157.7</v>
      </c>
      <c r="D505" s="25" t="n">
        <v>6458.92</v>
      </c>
    </row>
    <row r="506" customFormat="false" ht="15" hidden="false" customHeight="false" outlineLevel="0" collapsed="false">
      <c r="A506" s="23" t="n">
        <v>46231</v>
      </c>
      <c r="B506" s="25" t="n">
        <v>53.63</v>
      </c>
      <c r="C506" s="25" t="n">
        <v>160.12</v>
      </c>
      <c r="D506" s="25" t="n">
        <v>6543.45</v>
      </c>
    </row>
    <row r="507" customFormat="false" ht="15" hidden="false" customHeight="false" outlineLevel="0" collapsed="false">
      <c r="A507" s="23" t="n">
        <v>46232</v>
      </c>
      <c r="B507" s="25" t="n">
        <v>53.5</v>
      </c>
      <c r="C507" s="25" t="n">
        <v>162.49</v>
      </c>
      <c r="D507" s="25" t="n">
        <v>6567.2</v>
      </c>
    </row>
    <row r="508" customFormat="false" ht="15" hidden="false" customHeight="false" outlineLevel="0" collapsed="false">
      <c r="A508" s="23" t="n">
        <v>46233</v>
      </c>
      <c r="B508" s="25" t="n">
        <v>52.5</v>
      </c>
      <c r="C508" s="25" t="n">
        <v>159.25</v>
      </c>
      <c r="D508" s="25" t="n">
        <v>6529.54</v>
      </c>
    </row>
    <row r="509" customFormat="false" ht="15" hidden="false" customHeight="false" outlineLevel="0" collapsed="false">
      <c r="A509" s="23" t="n">
        <v>46234</v>
      </c>
      <c r="B509" s="25" t="n">
        <v>52.81</v>
      </c>
      <c r="C509" s="25" t="n">
        <v>158.11</v>
      </c>
      <c r="D509" s="25" t="n">
        <v>6496.23</v>
      </c>
    </row>
    <row r="510" customFormat="false" ht="15" hidden="false" customHeight="false" outlineLevel="0" collapsed="false">
      <c r="A510" s="23" t="n">
        <v>46237</v>
      </c>
      <c r="B510" s="25" t="n">
        <v>52.46</v>
      </c>
      <c r="C510" s="25" t="n">
        <v>158.11</v>
      </c>
      <c r="D510" s="25" t="n">
        <v>6531.67</v>
      </c>
    </row>
    <row r="511" customFormat="false" ht="15" hidden="false" customHeight="false" outlineLevel="0" collapsed="false">
      <c r="A511" s="23" t="n">
        <v>46238</v>
      </c>
      <c r="B511" s="25" t="n">
        <v>51.43</v>
      </c>
      <c r="C511" s="25" t="n">
        <v>159.07</v>
      </c>
      <c r="D511" s="25" t="n">
        <v>6571.98</v>
      </c>
    </row>
    <row r="512" customFormat="false" ht="15" hidden="false" customHeight="false" outlineLevel="0" collapsed="false">
      <c r="A512" s="23" t="n">
        <v>46239</v>
      </c>
      <c r="B512" s="25" t="n">
        <v>52.99</v>
      </c>
      <c r="C512" s="25" t="n">
        <v>160.01</v>
      </c>
      <c r="D512" s="25" t="n">
        <v>6666.67</v>
      </c>
    </row>
    <row r="513" customFormat="false" ht="15" hidden="false" customHeight="false" outlineLevel="0" collapsed="false">
      <c r="A513" s="23" t="n">
        <v>46240</v>
      </c>
      <c r="B513" s="25" t="n">
        <v>52.81</v>
      </c>
      <c r="C513" s="25" t="n">
        <v>159.75</v>
      </c>
      <c r="D513" s="25" t="n">
        <v>6696.91</v>
      </c>
    </row>
    <row r="514" customFormat="false" ht="15" hidden="false" customHeight="false" outlineLevel="0" collapsed="false">
      <c r="A514" s="23" t="n">
        <v>46241</v>
      </c>
      <c r="B514" s="25" t="n">
        <v>53.31</v>
      </c>
      <c r="C514" s="25" t="n">
        <v>162.18</v>
      </c>
      <c r="D514" s="25" t="n">
        <v>6770.59</v>
      </c>
    </row>
    <row r="515" customFormat="false" ht="15" hidden="false" customHeight="false" outlineLevel="0" collapsed="false">
      <c r="A515" s="23" t="n">
        <v>46244</v>
      </c>
      <c r="B515" s="25" t="n">
        <v>53.38</v>
      </c>
      <c r="C515" s="25" t="n">
        <v>164.24</v>
      </c>
      <c r="D515" s="25" t="n">
        <v>6876.25</v>
      </c>
    </row>
    <row r="516" customFormat="false" ht="15" hidden="false" customHeight="false" outlineLevel="0" collapsed="false">
      <c r="A516" s="23" t="n">
        <v>46245</v>
      </c>
      <c r="B516" s="25" t="n">
        <v>52.63</v>
      </c>
      <c r="C516" s="25" t="n">
        <v>162.68</v>
      </c>
      <c r="D516" s="25" t="n">
        <v>6889.85</v>
      </c>
    </row>
    <row r="517" customFormat="false" ht="15" hidden="false" customHeight="false" outlineLevel="0" collapsed="false">
      <c r="A517" s="23" t="n">
        <v>46246</v>
      </c>
      <c r="B517" s="25" t="n">
        <v>50.95</v>
      </c>
      <c r="C517" s="25" t="n">
        <v>163.08</v>
      </c>
      <c r="D517" s="25" t="n">
        <v>6788.88</v>
      </c>
    </row>
    <row r="518" customFormat="false" ht="15" hidden="false" customHeight="false" outlineLevel="0" collapsed="false">
      <c r="A518" s="23" t="n">
        <v>46247</v>
      </c>
      <c r="B518" s="25" t="n">
        <v>50.02</v>
      </c>
      <c r="C518" s="25" t="n">
        <v>163.31</v>
      </c>
      <c r="D518" s="25" t="n">
        <v>6710.34</v>
      </c>
    </row>
    <row r="519" customFormat="false" ht="15" hidden="false" customHeight="false" outlineLevel="0" collapsed="false">
      <c r="A519" s="23" t="n">
        <v>46248</v>
      </c>
      <c r="B519" s="25" t="n">
        <v>49.41</v>
      </c>
      <c r="C519" s="25" t="n">
        <v>160.82</v>
      </c>
      <c r="D519" s="25" t="n">
        <v>6615.23</v>
      </c>
    </row>
    <row r="520" customFormat="false" ht="15" hidden="false" customHeight="false" outlineLevel="0" collapsed="false">
      <c r="A520" s="23" t="n">
        <v>46251</v>
      </c>
      <c r="B520" s="25" t="n">
        <v>48.96</v>
      </c>
      <c r="C520" s="25" t="n">
        <v>163.94</v>
      </c>
      <c r="D520" s="25" t="n">
        <v>6723.45</v>
      </c>
    </row>
    <row r="521" customFormat="false" ht="15" hidden="false" customHeight="false" outlineLevel="0" collapsed="false">
      <c r="A521" s="23" t="n">
        <v>46252</v>
      </c>
      <c r="B521" s="25" t="n">
        <v>48.95</v>
      </c>
      <c r="C521" s="25" t="n">
        <v>161.87</v>
      </c>
      <c r="D521" s="25" t="n">
        <v>6668.16</v>
      </c>
    </row>
    <row r="522" customFormat="false" ht="15" hidden="false" customHeight="false" outlineLevel="0" collapsed="false">
      <c r="A522" s="23" t="n">
        <v>46253</v>
      </c>
      <c r="B522" s="25" t="n">
        <v>48.98</v>
      </c>
      <c r="C522" s="25" t="n">
        <v>165.05</v>
      </c>
      <c r="D522" s="25" t="n">
        <v>6753.06</v>
      </c>
    </row>
    <row r="523" customFormat="false" ht="15" hidden="false" customHeight="false" outlineLevel="0" collapsed="false">
      <c r="A523" s="23" t="n">
        <v>46254</v>
      </c>
      <c r="B523" s="25" t="n">
        <v>48.7</v>
      </c>
      <c r="C523" s="25" t="n">
        <v>165.45</v>
      </c>
      <c r="D523" s="25" t="n">
        <v>6795.07</v>
      </c>
    </row>
    <row r="524" customFormat="false" ht="15" hidden="false" customHeight="false" outlineLevel="0" collapsed="false">
      <c r="A524" s="23" t="n">
        <v>46255</v>
      </c>
      <c r="B524" s="25" t="n">
        <v>50.15</v>
      </c>
      <c r="C524" s="25" t="n">
        <v>166.25</v>
      </c>
      <c r="D524" s="25" t="n">
        <v>6914.71</v>
      </c>
    </row>
    <row r="525" customFormat="false" ht="15" hidden="false" customHeight="false" outlineLevel="0" collapsed="false">
      <c r="A525" s="23" t="n">
        <v>46258</v>
      </c>
      <c r="B525" s="25" t="n">
        <v>50.74</v>
      </c>
      <c r="C525" s="25" t="n">
        <v>166.89</v>
      </c>
      <c r="D525" s="25" t="n">
        <v>6986.81</v>
      </c>
    </row>
    <row r="526" customFormat="false" ht="15" hidden="false" customHeight="false" outlineLevel="0" collapsed="false">
      <c r="A526" s="23" t="n">
        <v>46259</v>
      </c>
      <c r="B526" s="25" t="n">
        <v>49.72</v>
      </c>
      <c r="C526" s="25" t="n">
        <v>165.62</v>
      </c>
      <c r="D526" s="25" t="n">
        <v>6981.82</v>
      </c>
    </row>
    <row r="527" customFormat="false" ht="15" hidden="false" customHeight="false" outlineLevel="0" collapsed="false">
      <c r="A527" s="23" t="n">
        <v>46260</v>
      </c>
      <c r="B527" s="25" t="n">
        <v>50.79</v>
      </c>
      <c r="C527" s="25" t="n">
        <v>165.74</v>
      </c>
      <c r="D527" s="25" t="n">
        <v>6969.96</v>
      </c>
    </row>
    <row r="528" customFormat="false" ht="15" hidden="false" customHeight="false" outlineLevel="0" collapsed="false">
      <c r="A528" s="23" t="n">
        <v>46261</v>
      </c>
      <c r="B528" s="25" t="n">
        <v>50.32</v>
      </c>
      <c r="C528" s="25" t="n">
        <v>166.17</v>
      </c>
      <c r="D528" s="25" t="n">
        <v>6978.16</v>
      </c>
    </row>
    <row r="529" customFormat="false" ht="15" hidden="false" customHeight="false" outlineLevel="0" collapsed="false">
      <c r="A529" s="23" t="n">
        <v>46262</v>
      </c>
      <c r="B529" s="25" t="n">
        <v>50.61</v>
      </c>
      <c r="C529" s="25" t="n">
        <v>166.48</v>
      </c>
      <c r="D529" s="25" t="n">
        <v>6992.7</v>
      </c>
    </row>
    <row r="530" customFormat="false" ht="15" hidden="false" customHeight="false" outlineLevel="0" collapsed="false">
      <c r="A530" s="23" t="n">
        <v>46265</v>
      </c>
      <c r="B530" s="25" t="n">
        <v>50.44</v>
      </c>
      <c r="C530" s="25" t="n">
        <v>165.04</v>
      </c>
      <c r="D530" s="25" t="n">
        <v>6957.51</v>
      </c>
    </row>
    <row r="531" customFormat="false" ht="15" hidden="false" customHeight="false" outlineLevel="0" collapsed="false">
      <c r="A531" s="23" t="n">
        <v>46266</v>
      </c>
      <c r="B531" s="25" t="n">
        <v>51.35</v>
      </c>
      <c r="C531" s="25" t="n">
        <v>159.34</v>
      </c>
      <c r="D531" s="25" t="n">
        <v>6957.43</v>
      </c>
    </row>
    <row r="532" customFormat="false" ht="15" hidden="false" customHeight="false" outlineLevel="0" collapsed="false">
      <c r="A532" s="23" t="n">
        <v>46267</v>
      </c>
      <c r="B532" s="25" t="n">
        <v>52.09</v>
      </c>
      <c r="C532" s="25" t="n">
        <v>161.34</v>
      </c>
      <c r="D532" s="25" t="n">
        <v>7072.49</v>
      </c>
    </row>
    <row r="533" customFormat="false" ht="15" hidden="false" customHeight="false" outlineLevel="0" collapsed="false">
      <c r="A533" s="23" t="n">
        <v>46268</v>
      </c>
      <c r="B533" s="25" t="n">
        <v>51.71</v>
      </c>
      <c r="C533" s="25" t="n">
        <v>156.57</v>
      </c>
      <c r="D533" s="25" t="n">
        <v>6953.4</v>
      </c>
    </row>
    <row r="534" customFormat="false" ht="15" hidden="false" customHeight="false" outlineLevel="0" collapsed="false">
      <c r="A534" s="23" t="n">
        <v>46269</v>
      </c>
      <c r="B534" s="25" t="n">
        <v>51.41</v>
      </c>
      <c r="C534" s="25" t="n">
        <v>157.26</v>
      </c>
      <c r="D534" s="25" t="n">
        <v>6973.73</v>
      </c>
    </row>
  </sheetData>
  <mergeCells count="40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  <mergeCell ref="B18:G18"/>
    <mergeCell ref="J18:M18"/>
    <mergeCell ref="B19:G19"/>
    <mergeCell ref="J19:M19"/>
    <mergeCell ref="B20:G20"/>
    <mergeCell ref="J20:M20"/>
    <mergeCell ref="B21:G21"/>
    <mergeCell ref="J21:M21"/>
    <mergeCell ref="B22:G22"/>
    <mergeCell ref="J22:M22"/>
    <mergeCell ref="B23:G23"/>
    <mergeCell ref="J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3"/>
  </cols>
  <sheetData>
    <row r="1" customFormat="false" ht="19.7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451</v>
      </c>
      <c r="B5" s="13" t="s">
        <v>452</v>
      </c>
      <c r="C5" s="13"/>
      <c r="D5" s="13"/>
      <c r="E5" s="13"/>
      <c r="F5" s="13"/>
      <c r="G5" s="13"/>
      <c r="H5" s="38"/>
      <c r="I5" s="12" t="str">
        <f aca="false">IF(H5="","",IFERROR(IF(ISNUMBER('Answer Key'!$D$51),IF(ABS(H5-'Answer Key'!$D$51)&lt;=MAX(0.0001,ABS('Answer Key'!$D$51)*0.001),"✓ Correct","✗ Try again"),IF(TRIM(H5)=TRIM('Answer Key'!$D$51),"✓ Correct","✗ Try again")),"✗ Try again"))</f>
        <v/>
      </c>
      <c r="J5" s="15" t="s">
        <v>453</v>
      </c>
      <c r="K5" s="15"/>
      <c r="L5" s="15"/>
      <c r="M5" s="15"/>
    </row>
    <row r="6" customFormat="false" ht="18" hidden="false" customHeight="true" outlineLevel="0" collapsed="false">
      <c r="A6" s="12" t="s">
        <v>454</v>
      </c>
      <c r="B6" s="13" t="s">
        <v>455</v>
      </c>
      <c r="C6" s="13"/>
      <c r="D6" s="13"/>
      <c r="E6" s="13"/>
      <c r="F6" s="13"/>
      <c r="G6" s="13"/>
      <c r="H6" s="14"/>
      <c r="I6" s="12" t="str">
        <f aca="false">IF(H6="","",IFERROR(IF(ISNUMBER('Answer Key'!$D$52),IF(ABS(H6-'Answer Key'!$D$52)&lt;=MAX(0.0001,ABS('Answer Key'!$D$52)*0.001),"✓ Correct","✗ Try again"),IF(TRIM(H6)=TRIM('Answer Key'!$D$52),"✓ Correct","✗ Try again")),"✗ Try again"))</f>
        <v/>
      </c>
      <c r="J6" s="15" t="s">
        <v>456</v>
      </c>
      <c r="K6" s="15"/>
      <c r="L6" s="15"/>
      <c r="M6" s="15"/>
    </row>
    <row r="7" customFormat="false" ht="18" hidden="false" customHeight="true" outlineLevel="0" collapsed="false">
      <c r="A7" s="12" t="s">
        <v>457</v>
      </c>
      <c r="B7" s="13" t="s">
        <v>458</v>
      </c>
      <c r="C7" s="13"/>
      <c r="D7" s="13"/>
      <c r="E7" s="13"/>
      <c r="F7" s="13"/>
      <c r="G7" s="13"/>
      <c r="H7" s="33"/>
      <c r="I7" s="12" t="str">
        <f aca="false">IF(H7="","",IFERROR(IF(ISNUMBER('Answer Key'!$D$53),IF(ABS(H7-'Answer Key'!$D$53)&lt;=MAX(0.0001,ABS('Answer Key'!$D$53)*0.001),"✓ Correct","✗ Try again"),IF(TRIM(H7)=TRIM('Answer Key'!$D$53),"✓ Correct","✗ Try again")),"✗ Try again"))</f>
        <v/>
      </c>
      <c r="J7" s="15" t="s">
        <v>459</v>
      </c>
      <c r="K7" s="15"/>
      <c r="L7" s="15"/>
      <c r="M7" s="15"/>
    </row>
    <row r="8" customFormat="false" ht="18" hidden="false" customHeight="true" outlineLevel="0" collapsed="false">
      <c r="A8" s="12" t="s">
        <v>460</v>
      </c>
      <c r="B8" s="13" t="s">
        <v>461</v>
      </c>
      <c r="C8" s="13"/>
      <c r="D8" s="13"/>
      <c r="E8" s="13"/>
      <c r="F8" s="13"/>
      <c r="G8" s="13"/>
      <c r="H8" s="14"/>
      <c r="I8" s="12" t="str">
        <f aca="false">IF(H8="","",IFERROR(IF(ISNUMBER('Answer Key'!$D$54),IF(ABS(H8-'Answer Key'!$D$54)&lt;=MAX(0.0001,ABS('Answer Key'!$D$54)*0.001),"✓ Correct","✗ Try again"),IF(TRIM(H8)=TRIM('Answer Key'!$D$54),"✓ Correct","✗ Try again")),"✗ Try again"))</f>
        <v/>
      </c>
      <c r="J8" s="15" t="s">
        <v>462</v>
      </c>
      <c r="K8" s="15"/>
      <c r="L8" s="15"/>
      <c r="M8" s="15"/>
    </row>
    <row r="9" customFormat="false" ht="18" hidden="false" customHeight="true" outlineLevel="0" collapsed="false">
      <c r="A9" s="12" t="s">
        <v>463</v>
      </c>
      <c r="B9" s="13" t="s">
        <v>464</v>
      </c>
      <c r="C9" s="13"/>
      <c r="D9" s="13"/>
      <c r="E9" s="13"/>
      <c r="F9" s="13"/>
      <c r="G9" s="13"/>
      <c r="H9" s="26"/>
      <c r="I9" s="12" t="str">
        <f aca="false">IF(H9="","",IFERROR(IF(ISNUMBER('Answer Key'!$D$55),IF(ABS(H9-'Answer Key'!$D$55)&lt;=MAX(0.0001,ABS('Answer Key'!$D$55)*0.001),"✓ Correct","✗ Try again"),IF(TRIM(H9)=TRIM('Answer Key'!$D$55),"✓ Correct","✗ Try again")),"✗ Try again"))</f>
        <v/>
      </c>
      <c r="J9" s="15" t="s">
        <v>465</v>
      </c>
      <c r="K9" s="15"/>
      <c r="L9" s="15"/>
      <c r="M9" s="15"/>
    </row>
    <row r="10" customFormat="false" ht="18" hidden="false" customHeight="true" outlineLevel="0" collapsed="false">
      <c r="A10" s="12" t="s">
        <v>466</v>
      </c>
      <c r="B10" s="13" t="s">
        <v>467</v>
      </c>
      <c r="C10" s="13"/>
      <c r="D10" s="13"/>
      <c r="E10" s="13"/>
      <c r="F10" s="13"/>
      <c r="G10" s="13"/>
      <c r="H10" s="38"/>
      <c r="I10" s="12" t="str">
        <f aca="false">IF(H10="","",IFERROR(IF(ISNUMBER('Answer Key'!$D$56),IF(ABS(H10-'Answer Key'!$D$56)&lt;=MAX(0.0001,ABS('Answer Key'!$D$56)*0.001),"✓ Correct","✗ Try again"),IF(TRIM(H10)=TRIM('Answer Key'!$D$56),"✓ Correct","✗ Try again")),"✗ Try again"))</f>
        <v/>
      </c>
      <c r="J10" s="15" t="s">
        <v>468</v>
      </c>
      <c r="K10" s="15"/>
      <c r="L10" s="15"/>
      <c r="M10" s="15"/>
    </row>
    <row r="11" customFormat="false" ht="18" hidden="false" customHeight="true" outlineLevel="0" collapsed="false">
      <c r="A11" s="12" t="s">
        <v>469</v>
      </c>
      <c r="B11" s="13" t="s">
        <v>470</v>
      </c>
      <c r="C11" s="13"/>
      <c r="D11" s="13"/>
      <c r="E11" s="13"/>
      <c r="F11" s="13"/>
      <c r="G11" s="13"/>
      <c r="H11" s="38"/>
      <c r="I11" s="12" t="str">
        <f aca="false">IF(H11="","",IFERROR(IF(ISNUMBER('Answer Key'!$D$57),IF(ABS(H11-'Answer Key'!$D$57)&lt;=MAX(0.0001,ABS('Answer Key'!$D$57)*0.001),"✓ Correct","✗ Try again"),IF(TRIM(H11)=TRIM('Answer Key'!$D$57),"✓ Correct","✗ Try again")),"✗ Try again"))</f>
        <v/>
      </c>
      <c r="J11" s="15" t="s">
        <v>471</v>
      </c>
      <c r="K11" s="15"/>
      <c r="L11" s="15"/>
      <c r="M11" s="15"/>
    </row>
    <row r="12" customFormat="false" ht="18" hidden="false" customHeight="true" outlineLevel="0" collapsed="false">
      <c r="A12" s="12" t="s">
        <v>472</v>
      </c>
      <c r="B12" s="13" t="s">
        <v>473</v>
      </c>
      <c r="C12" s="13"/>
      <c r="D12" s="13"/>
      <c r="E12" s="13"/>
      <c r="F12" s="13"/>
      <c r="G12" s="13"/>
      <c r="H12" s="33"/>
      <c r="I12" s="12" t="str">
        <f aca="false">IF(H12="","",IFERROR(IF(ISNUMBER('Answer Key'!$D$58),IF(ABS(H12-'Answer Key'!$D$58)&lt;=MAX(0.0001,ABS('Answer Key'!$D$58)*0.001),"✓ Correct","✗ Try again"),IF(TRIM(H12)=TRIM('Answer Key'!$D$58),"✓ Correct","✗ Try again")),"✗ Try again"))</f>
        <v/>
      </c>
      <c r="J12" s="15" t="s">
        <v>474</v>
      </c>
      <c r="K12" s="15"/>
      <c r="L12" s="15"/>
      <c r="M12" s="15"/>
    </row>
    <row r="13" customFormat="false" ht="45.75" hidden="false" customHeight="true" outlineLevel="0" collapsed="false">
      <c r="A13" s="12" t="s">
        <v>475</v>
      </c>
      <c r="B13" s="13" t="s">
        <v>476</v>
      </c>
      <c r="C13" s="13"/>
      <c r="D13" s="13"/>
      <c r="E13" s="13"/>
      <c r="F13" s="13"/>
      <c r="G13" s="13"/>
      <c r="H13" s="14"/>
      <c r="I13" s="12" t="str">
        <f aca="false">IF(H13="","",IFERROR(IF(ISNUMBER('Answer Key'!$D$59),IF(ABS(H13-'Answer Key'!$D$59)&lt;=MAX(0.0001,ABS('Answer Key'!$D$59)*0.001),"✓ Correct","✗ Try again"),IF(TRIM(H13)=TRIM('Answer Key'!$D$59),"✓ Correct","✗ Try again")),"✗ Try again"))</f>
        <v/>
      </c>
      <c r="J13" s="15" t="s">
        <v>477</v>
      </c>
      <c r="K13" s="15"/>
      <c r="L13" s="15"/>
      <c r="M13" s="15"/>
    </row>
    <row r="14" customFormat="false" ht="31.5" hidden="false" customHeight="true" outlineLevel="0" collapsed="false">
      <c r="A14" s="12" t="s">
        <v>478</v>
      </c>
      <c r="B14" s="13" t="s">
        <v>479</v>
      </c>
      <c r="C14" s="13"/>
      <c r="D14" s="13"/>
      <c r="E14" s="13"/>
      <c r="F14" s="13"/>
      <c r="G14" s="13"/>
      <c r="H14" s="14"/>
      <c r="I14" s="12" t="str">
        <f aca="false">IF(H14="","",IFERROR(IF(ISNUMBER('Answer Key'!$D$60),IF(ABS(H14-'Answer Key'!$D$60)&lt;=MAX(0.0001,ABS('Answer Key'!$D$60)*0.001),"✓ Correct","✗ Try again"),IF(TRIM(H14)=TRIM('Answer Key'!$D$60),"✓ Correct","✗ Try again")),"✗ Try again"))</f>
        <v/>
      </c>
      <c r="J14" s="15" t="s">
        <v>480</v>
      </c>
      <c r="K14" s="15"/>
      <c r="L14" s="15"/>
      <c r="M14" s="15"/>
    </row>
    <row r="15" customFormat="false" ht="18" hidden="false" customHeight="true" outlineLevel="0" collapsed="false">
      <c r="A15" s="12" t="s">
        <v>481</v>
      </c>
      <c r="B15" s="13" t="s">
        <v>482</v>
      </c>
      <c r="C15" s="13"/>
      <c r="D15" s="13"/>
      <c r="E15" s="13"/>
      <c r="F15" s="13"/>
      <c r="G15" s="13"/>
      <c r="H15" s="27"/>
      <c r="I15" s="12" t="str">
        <f aca="false">IF(H15="","",IFERROR(IF(ISNUMBER('Answer Key'!$D$61),IF(ABS(H15-'Answer Key'!$D$61)&lt;=MAX(0.0001,ABS('Answer Key'!$D$61)*0.001),"✓ Correct","✗ Try again"),IF(TRIM(H15)=TRIM('Answer Key'!$D$61),"✓ Correct","✗ Try again")),"✗ Try again"))</f>
        <v/>
      </c>
      <c r="J15" s="15" t="s">
        <v>483</v>
      </c>
      <c r="K15" s="15"/>
      <c r="L15" s="15"/>
      <c r="M15" s="15"/>
    </row>
    <row r="16" customFormat="false" ht="31.5" hidden="false" customHeight="true" outlineLevel="0" collapsed="false">
      <c r="A16" s="12" t="s">
        <v>484</v>
      </c>
      <c r="B16" s="13" t="s">
        <v>485</v>
      </c>
      <c r="C16" s="13"/>
      <c r="D16" s="13"/>
      <c r="E16" s="13"/>
      <c r="F16" s="13"/>
      <c r="G16" s="13"/>
      <c r="H16" s="27"/>
      <c r="I16" s="12" t="str">
        <f aca="false">IF(H16="","",IFERROR(IF(ISNUMBER('Answer Key'!$D$62),IF(ABS(H16-'Answer Key'!$D$62)&lt;=MAX(0.0001,ABS('Answer Key'!$D$62)*0.001),"✓ Correct","✗ Try again"),IF(TRIM(H16)=TRIM('Answer Key'!$D$62),"✓ Correct","✗ Try again")),"✗ Try again"))</f>
        <v/>
      </c>
      <c r="J16" s="15" t="s">
        <v>486</v>
      </c>
      <c r="K16" s="15"/>
      <c r="L16" s="15"/>
      <c r="M16" s="15"/>
    </row>
    <row r="17" customFormat="false" ht="18" hidden="false" customHeight="true" outlineLevel="0" collapsed="false">
      <c r="A17" s="12" t="s">
        <v>487</v>
      </c>
      <c r="B17" s="13" t="s">
        <v>488</v>
      </c>
      <c r="C17" s="13"/>
      <c r="D17" s="13"/>
      <c r="E17" s="13"/>
      <c r="F17" s="13"/>
      <c r="G17" s="13"/>
      <c r="H17" s="33"/>
      <c r="I17" s="12" t="str">
        <f aca="false">IF(H17="","",IFERROR(IF(ISNUMBER('Answer Key'!$D$63),IF(ABS(H17-'Answer Key'!$D$63)&lt;=MAX(0.0001,ABS('Answer Key'!$D$63)*0.001),"✓ Correct","✗ Try again"),IF(TRIM(H17)=TRIM('Answer Key'!$D$63),"✓ Correct","✗ Try again")),"✗ Try again"))</f>
        <v/>
      </c>
      <c r="J17" s="15" t="s">
        <v>489</v>
      </c>
      <c r="K17" s="15"/>
      <c r="L17" s="15"/>
      <c r="M17" s="15"/>
    </row>
    <row r="18" customFormat="false" ht="15" hidden="false" customHeight="false" outlineLevel="0" collapsed="false">
      <c r="G18" s="18" t="s">
        <v>88</v>
      </c>
      <c r="H18" s="4" t="str">
        <f aca="false">COUNTIF(I5:I17,"✓ Correct")&amp;" / 13"</f>
        <v>0 / 13</v>
      </c>
    </row>
    <row r="21" customFormat="false" ht="15" hidden="false" customHeight="false" outlineLevel="0" collapsed="false">
      <c r="A21" s="19" t="s">
        <v>89</v>
      </c>
    </row>
    <row r="22" customFormat="false" ht="15" hidden="false" customHeight="false" outlineLevel="0" collapsed="false">
      <c r="A22" s="2" t="s">
        <v>490</v>
      </c>
    </row>
    <row r="24" customFormat="false" ht="15" hidden="false" customHeight="false" outlineLevel="0" collapsed="false">
      <c r="A24" s="11" t="s">
        <v>91</v>
      </c>
      <c r="B24" s="11" t="s">
        <v>93</v>
      </c>
      <c r="C24" s="11" t="s">
        <v>491</v>
      </c>
      <c r="D24" s="11" t="s">
        <v>492</v>
      </c>
      <c r="E24" s="11" t="s">
        <v>493</v>
      </c>
      <c r="F24" s="11" t="s">
        <v>494</v>
      </c>
      <c r="G24" s="11" t="s">
        <v>495</v>
      </c>
      <c r="H24" s="11" t="s">
        <v>496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 customFormat="false" ht="15" hidden="false" customHeight="false" outlineLevel="0" collapsed="false">
      <c r="A25" s="22" t="s">
        <v>107</v>
      </c>
      <c r="B25" s="22" t="s">
        <v>119</v>
      </c>
      <c r="C25" s="25" t="n">
        <v>206.36</v>
      </c>
      <c r="D25" s="25" t="n">
        <v>133.29</v>
      </c>
      <c r="E25" s="25" t="n">
        <v>20.79</v>
      </c>
      <c r="F25" s="25" t="n">
        <v>4.49</v>
      </c>
      <c r="G25" s="25" t="n">
        <v>0.65</v>
      </c>
      <c r="H25" s="39" t="n">
        <v>0.1456</v>
      </c>
    </row>
    <row r="26" customFormat="false" ht="15" hidden="false" customHeight="false" outlineLevel="0" collapsed="false">
      <c r="A26" s="22" t="s">
        <v>165</v>
      </c>
      <c r="B26" s="22" t="s">
        <v>125</v>
      </c>
      <c r="C26" s="25" t="n">
        <v>219.39</v>
      </c>
      <c r="D26" s="25" t="n">
        <v>100.88</v>
      </c>
      <c r="E26" s="25" t="n">
        <v>27.76</v>
      </c>
      <c r="F26" s="25" t="n">
        <v>16.29</v>
      </c>
      <c r="G26" s="25" t="n">
        <v>1.41</v>
      </c>
      <c r="H26" s="39" t="n">
        <v>0.1727</v>
      </c>
    </row>
    <row r="27" customFormat="false" ht="15" hidden="false" customHeight="false" outlineLevel="0" collapsed="false">
      <c r="A27" s="22" t="s">
        <v>170</v>
      </c>
      <c r="B27" s="22" t="s">
        <v>167</v>
      </c>
      <c r="C27" s="25" t="n">
        <v>75.63</v>
      </c>
      <c r="D27" s="25" t="n">
        <v>52.53</v>
      </c>
      <c r="E27" s="25" t="n">
        <v>7.81</v>
      </c>
      <c r="F27" s="25" t="n">
        <v>7.01</v>
      </c>
      <c r="G27" s="25" t="n">
        <v>0.81</v>
      </c>
      <c r="H27" s="39" t="n">
        <v>0.1747</v>
      </c>
    </row>
    <row r="28" customFormat="false" ht="15" hidden="false" customHeight="false" outlineLevel="0" collapsed="false">
      <c r="A28" s="22" t="s">
        <v>175</v>
      </c>
      <c r="B28" s="22" t="s">
        <v>131</v>
      </c>
      <c r="C28" s="25" t="n">
        <v>149.08</v>
      </c>
      <c r="D28" s="25" t="n">
        <v>199.45</v>
      </c>
      <c r="E28" s="25" t="n">
        <v>8.24</v>
      </c>
      <c r="F28" s="25" t="n">
        <v>60.11</v>
      </c>
      <c r="G28" s="25" t="n">
        <v>8.85</v>
      </c>
      <c r="H28" s="39" t="n">
        <v>1.25</v>
      </c>
    </row>
    <row r="29" customFormat="false" ht="15" hidden="false" customHeight="false" outlineLevel="0" collapsed="false">
      <c r="A29" s="22" t="s">
        <v>180</v>
      </c>
      <c r="B29" s="22" t="s">
        <v>131</v>
      </c>
      <c r="C29" s="25" t="n">
        <v>94.95</v>
      </c>
      <c r="D29" s="25" t="n">
        <v>30.26</v>
      </c>
      <c r="E29" s="25" t="n">
        <v>6.68</v>
      </c>
      <c r="F29" s="25" t="n">
        <v>30.69</v>
      </c>
      <c r="G29" s="25" t="n">
        <v>2.46</v>
      </c>
      <c r="H29" s="39" t="n">
        <v>0.1075</v>
      </c>
    </row>
    <row r="30" customFormat="false" ht="15" hidden="false" customHeight="false" outlineLevel="0" collapsed="false">
      <c r="A30" s="22" t="s">
        <v>186</v>
      </c>
      <c r="B30" s="22" t="s">
        <v>104</v>
      </c>
      <c r="C30" s="25" t="n">
        <v>110.34</v>
      </c>
      <c r="D30" s="25" t="n">
        <v>114.26</v>
      </c>
      <c r="E30" s="25" t="n">
        <v>7.41</v>
      </c>
      <c r="F30" s="25" t="n">
        <v>5.46</v>
      </c>
      <c r="G30" s="25" t="n">
        <v>0.47</v>
      </c>
      <c r="H30" s="39" t="n">
        <v>0.1399</v>
      </c>
    </row>
    <row r="31" customFormat="false" ht="15" hidden="false" customHeight="false" outlineLevel="0" collapsed="false">
      <c r="A31" s="22" t="s">
        <v>190</v>
      </c>
      <c r="B31" s="22" t="s">
        <v>119</v>
      </c>
      <c r="C31" s="25" t="n">
        <v>109.69</v>
      </c>
      <c r="D31" s="25" t="n">
        <v>40.05</v>
      </c>
      <c r="E31" s="25" t="n">
        <v>-7.5</v>
      </c>
      <c r="F31" s="25" t="n">
        <v>18.7</v>
      </c>
      <c r="G31" s="25" t="n">
        <v>2.55</v>
      </c>
      <c r="H31" s="39" t="n">
        <v>0.186</v>
      </c>
    </row>
    <row r="32" customFormat="false" ht="15" hidden="false" customHeight="false" outlineLevel="0" collapsed="false">
      <c r="A32" s="22" t="s">
        <v>194</v>
      </c>
      <c r="B32" s="22" t="s">
        <v>125</v>
      </c>
      <c r="C32" s="25" t="n">
        <v>72.1</v>
      </c>
      <c r="D32" s="25" t="n">
        <v>30.75</v>
      </c>
      <c r="E32" s="25" t="n">
        <v>4.9</v>
      </c>
      <c r="F32" s="25" t="n">
        <v>16.27</v>
      </c>
      <c r="G32" s="25" t="n">
        <v>1.2</v>
      </c>
      <c r="H32" s="39" t="n">
        <v>0.0849</v>
      </c>
    </row>
    <row r="33" customFormat="false" ht="15" hidden="false" customHeight="false" outlineLevel="0" collapsed="false">
      <c r="A33" s="22" t="s">
        <v>154</v>
      </c>
      <c r="B33" s="22" t="s">
        <v>104</v>
      </c>
      <c r="C33" s="25" t="n">
        <v>18.91</v>
      </c>
      <c r="D33" s="25" t="n">
        <v>28.03</v>
      </c>
      <c r="E33" s="25" t="n">
        <v>0.54</v>
      </c>
      <c r="F33" s="25" t="n">
        <v>62.11</v>
      </c>
      <c r="G33" s="25" t="n">
        <v>7.64</v>
      </c>
      <c r="H33" s="39" t="n">
        <v>0.0486</v>
      </c>
    </row>
    <row r="34" customFormat="false" ht="15" hidden="false" customHeight="false" outlineLevel="0" collapsed="false">
      <c r="A34" s="22" t="s">
        <v>202</v>
      </c>
      <c r="B34" s="22" t="s">
        <v>125</v>
      </c>
      <c r="C34" s="25" t="n">
        <v>172.14</v>
      </c>
      <c r="D34" s="25" t="n">
        <v>166.52</v>
      </c>
      <c r="E34" s="25" t="n">
        <v>-4.16</v>
      </c>
      <c r="F34" s="25" t="n">
        <v>5.75</v>
      </c>
      <c r="G34" s="25" t="n">
        <v>0.71</v>
      </c>
      <c r="H34" s="39" t="n">
        <v>0.2002</v>
      </c>
    </row>
    <row r="35" customFormat="false" ht="15" hidden="false" customHeight="false" outlineLevel="0" collapsed="false">
      <c r="A35" s="22" t="s">
        <v>197</v>
      </c>
      <c r="B35" s="22" t="s">
        <v>111</v>
      </c>
      <c r="C35" s="25" t="n">
        <v>157.67</v>
      </c>
      <c r="D35" s="25" t="n">
        <v>117.8</v>
      </c>
      <c r="E35" s="25" t="n">
        <v>5.22</v>
      </c>
      <c r="F35" s="25" t="n">
        <v>2.54</v>
      </c>
      <c r="G35" s="25" t="n">
        <v>0.27</v>
      </c>
      <c r="H35" s="39" t="n">
        <v>0.2074</v>
      </c>
    </row>
    <row r="36" customFormat="false" ht="15" hidden="false" customHeight="false" outlineLevel="0" collapsed="false">
      <c r="A36" s="22" t="s">
        <v>209</v>
      </c>
      <c r="B36" s="22" t="s">
        <v>167</v>
      </c>
      <c r="C36" s="25" t="n">
        <v>187.32</v>
      </c>
      <c r="D36" s="25" t="n">
        <v>168.22</v>
      </c>
      <c r="E36" s="25" t="n">
        <v>-3.94</v>
      </c>
      <c r="F36" s="25" t="n">
        <v>12.07</v>
      </c>
      <c r="G36" s="25" t="n">
        <v>1.74</v>
      </c>
      <c r="H36" s="39" t="n">
        <v>0.1559</v>
      </c>
    </row>
    <row r="37" customFormat="false" ht="15" hidden="false" customHeight="false" outlineLevel="0" collapsed="false">
      <c r="A37" s="22" t="s">
        <v>213</v>
      </c>
      <c r="B37" s="22" t="s">
        <v>167</v>
      </c>
      <c r="C37" s="25" t="n">
        <v>46.43</v>
      </c>
      <c r="D37" s="25" t="n">
        <v>51.79</v>
      </c>
      <c r="E37" s="25" t="n">
        <v>2.91</v>
      </c>
      <c r="F37" s="25" t="n">
        <v>9.67</v>
      </c>
      <c r="G37" s="25" t="n">
        <v>1.25</v>
      </c>
      <c r="H37" s="39" t="n">
        <v>0.0874</v>
      </c>
    </row>
    <row r="38" customFormat="false" ht="15" hidden="false" customHeight="false" outlineLevel="0" collapsed="false">
      <c r="A38" s="22" t="s">
        <v>183</v>
      </c>
      <c r="B38" s="22" t="s">
        <v>125</v>
      </c>
      <c r="C38" s="25" t="n">
        <v>63.59</v>
      </c>
      <c r="D38" s="25" t="n">
        <v>22.39</v>
      </c>
      <c r="E38" s="25" t="n">
        <v>3.83</v>
      </c>
      <c r="F38" s="25" t="n">
        <v>10.07</v>
      </c>
      <c r="G38" s="25" t="n">
        <v>1.18</v>
      </c>
      <c r="H38" s="39" t="n">
        <v>0.1585</v>
      </c>
    </row>
    <row r="39" customFormat="false" ht="15" hidden="false" customHeight="false" outlineLevel="0" collapsed="false">
      <c r="A39" s="22" t="s">
        <v>127</v>
      </c>
      <c r="B39" s="22" t="s">
        <v>131</v>
      </c>
      <c r="C39" s="25" t="n">
        <v>137.21</v>
      </c>
      <c r="D39" s="25" t="n">
        <v>86.94</v>
      </c>
      <c r="E39" s="25" t="n">
        <v>-0.96</v>
      </c>
      <c r="F39" s="25" t="n">
        <v>4.63</v>
      </c>
      <c r="G39" s="25" t="n">
        <v>0.3</v>
      </c>
      <c r="H39" s="39" t="n">
        <v>0.1377</v>
      </c>
    </row>
    <row r="40" customFormat="false" ht="15" hidden="false" customHeight="false" outlineLevel="0" collapsed="false">
      <c r="A40" s="22" t="s">
        <v>144</v>
      </c>
      <c r="B40" s="22" t="s">
        <v>167</v>
      </c>
      <c r="C40" s="25" t="n">
        <v>207.01</v>
      </c>
      <c r="D40" s="25" t="n">
        <v>90.14</v>
      </c>
      <c r="E40" s="25" t="n">
        <v>18.12</v>
      </c>
      <c r="F40" s="25" t="n">
        <v>35.39</v>
      </c>
      <c r="G40" s="25" t="n">
        <v>2.32</v>
      </c>
      <c r="H40" s="39" t="n">
        <v>0.1886</v>
      </c>
    </row>
    <row r="41" customFormat="false" ht="15" hidden="false" customHeight="false" outlineLevel="0" collapsed="false">
      <c r="A41" s="22" t="s">
        <v>173</v>
      </c>
      <c r="B41" s="22" t="s">
        <v>104</v>
      </c>
      <c r="C41" s="25" t="n">
        <v>111.71</v>
      </c>
      <c r="D41" s="25" t="n">
        <v>79.38</v>
      </c>
      <c r="E41" s="25" t="n">
        <v>10.58</v>
      </c>
      <c r="F41" s="25" t="n">
        <v>51.85</v>
      </c>
      <c r="G41" s="25" t="n">
        <v>6.29</v>
      </c>
      <c r="H41" s="39" t="n">
        <v>0.0426</v>
      </c>
    </row>
    <row r="42" customFormat="false" ht="15" hidden="false" customHeight="false" outlineLevel="0" collapsed="false">
      <c r="A42" s="22" t="s">
        <v>227</v>
      </c>
      <c r="B42" s="22" t="s">
        <v>111</v>
      </c>
      <c r="C42" s="25" t="n">
        <v>56.17</v>
      </c>
      <c r="D42" s="25" t="n">
        <v>25.67</v>
      </c>
      <c r="E42" s="25" t="n">
        <v>3.59</v>
      </c>
      <c r="F42" s="25" t="n">
        <v>5.71</v>
      </c>
      <c r="G42" s="25" t="n">
        <v>0.36</v>
      </c>
      <c r="H42" s="39" t="n">
        <v>-0.62</v>
      </c>
    </row>
    <row r="43" customFormat="false" ht="15" hidden="false" customHeight="false" outlineLevel="0" collapsed="false">
      <c r="A43" s="22" t="s">
        <v>231</v>
      </c>
      <c r="B43" s="22" t="s">
        <v>131</v>
      </c>
      <c r="C43" s="25" t="n">
        <v>136.91</v>
      </c>
      <c r="D43" s="25" t="n">
        <v>117.92</v>
      </c>
      <c r="E43" s="25" t="n">
        <v>17.35</v>
      </c>
      <c r="F43" s="25" t="n">
        <v>37.42</v>
      </c>
      <c r="G43" s="25" t="n">
        <v>4.21</v>
      </c>
      <c r="H43" s="39" t="n">
        <v>0.1189</v>
      </c>
    </row>
    <row r="44" customFormat="false" ht="15" hidden="false" customHeight="false" outlineLevel="0" collapsed="false">
      <c r="A44" s="22" t="s">
        <v>236</v>
      </c>
      <c r="B44" s="22" t="s">
        <v>111</v>
      </c>
      <c r="C44" s="25" t="n">
        <v>211.29</v>
      </c>
      <c r="D44" s="25" t="n">
        <v>117.82</v>
      </c>
      <c r="E44" s="25" t="n">
        <v>28.5</v>
      </c>
      <c r="F44" s="25" t="n">
        <v>10.83</v>
      </c>
      <c r="G44" s="25" t="n">
        <v>1.05</v>
      </c>
      <c r="H44" s="39" t="n">
        <v>0.0523</v>
      </c>
    </row>
    <row r="45" customFormat="false" ht="15" hidden="false" customHeight="false" outlineLevel="0" collapsed="false">
      <c r="A45" s="22" t="s">
        <v>316</v>
      </c>
      <c r="B45" s="22" t="s">
        <v>119</v>
      </c>
      <c r="C45" s="25" t="n">
        <v>192.96</v>
      </c>
      <c r="D45" s="25" t="n">
        <v>74.69</v>
      </c>
      <c r="E45" s="25" t="n">
        <v>2.27</v>
      </c>
      <c r="F45" s="25" t="n">
        <v>132.79</v>
      </c>
      <c r="G45" s="25" t="n">
        <v>10.8</v>
      </c>
      <c r="H45" s="39" t="n">
        <v>0.1451</v>
      </c>
    </row>
    <row r="46" customFormat="false" ht="15" hidden="false" customHeight="false" outlineLevel="0" collapsed="false">
      <c r="A46" s="22" t="s">
        <v>317</v>
      </c>
      <c r="B46" s="22" t="s">
        <v>167</v>
      </c>
      <c r="C46" s="25" t="n">
        <v>199.29</v>
      </c>
      <c r="D46" s="25" t="n">
        <v>106.45</v>
      </c>
      <c r="E46" s="25" t="n">
        <v>20.22</v>
      </c>
      <c r="F46" s="25" t="n">
        <v>23.39</v>
      </c>
      <c r="G46" s="25" t="n">
        <v>2.34</v>
      </c>
      <c r="H46" s="39" t="n">
        <v>0.1324</v>
      </c>
    </row>
    <row r="47" customFormat="false" ht="15" hidden="false" customHeight="false" outlineLevel="0" collapsed="false">
      <c r="A47" s="22" t="s">
        <v>318</v>
      </c>
      <c r="B47" s="22" t="s">
        <v>131</v>
      </c>
      <c r="C47" s="25" t="n">
        <v>99.16</v>
      </c>
      <c r="D47" s="25" t="n">
        <v>71.59</v>
      </c>
      <c r="E47" s="25" t="n">
        <v>7.7</v>
      </c>
      <c r="F47" s="25" t="n">
        <v>29.84</v>
      </c>
      <c r="G47" s="25" t="n">
        <v>1.42</v>
      </c>
      <c r="H47" s="39" t="n">
        <v>0.1013</v>
      </c>
    </row>
    <row r="48" customFormat="false" ht="15" hidden="false" customHeight="false" outlineLevel="0" collapsed="false">
      <c r="A48" s="22" t="s">
        <v>319</v>
      </c>
      <c r="B48" s="22" t="s">
        <v>119</v>
      </c>
      <c r="C48" s="25" t="n">
        <v>68.77</v>
      </c>
      <c r="D48" s="25" t="n">
        <v>72.44</v>
      </c>
      <c r="E48" s="25" t="n">
        <v>5.28</v>
      </c>
      <c r="F48" s="25" t="n">
        <v>39.21</v>
      </c>
      <c r="G48" s="25" t="n">
        <v>3.99</v>
      </c>
      <c r="H48" s="39" t="n">
        <v>0.1577</v>
      </c>
    </row>
    <row r="49" customFormat="false" ht="15" hidden="false" customHeight="false" outlineLevel="0" collapsed="false">
      <c r="A49" s="22" t="s">
        <v>320</v>
      </c>
      <c r="B49" s="22" t="s">
        <v>111</v>
      </c>
      <c r="C49" s="25" t="n">
        <v>193.47</v>
      </c>
      <c r="D49" s="25" t="n">
        <v>96.02</v>
      </c>
      <c r="E49" s="25" t="n">
        <v>18.84</v>
      </c>
      <c r="F49" s="25" t="n">
        <v>14.9</v>
      </c>
      <c r="G49" s="25" t="n">
        <v>2.51</v>
      </c>
      <c r="H49" s="39" t="n">
        <v>0.0307</v>
      </c>
    </row>
    <row r="50" customFormat="false" ht="15" hidden="false" customHeight="false" outlineLevel="0" collapsed="false">
      <c r="A50" s="22" t="s">
        <v>321</v>
      </c>
      <c r="B50" s="22" t="s">
        <v>119</v>
      </c>
      <c r="C50" s="25" t="n">
        <v>176.56</v>
      </c>
      <c r="D50" s="25" t="n">
        <v>78.78</v>
      </c>
      <c r="E50" s="25" t="n">
        <v>5.51</v>
      </c>
      <c r="F50" s="25" t="n">
        <v>14.68</v>
      </c>
      <c r="G50" s="25" t="n">
        <v>1.03</v>
      </c>
      <c r="H50" s="39" t="n">
        <v>0.1262</v>
      </c>
    </row>
    <row r="51" customFormat="false" ht="15" hidden="false" customHeight="false" outlineLevel="0" collapsed="false">
      <c r="A51" s="22" t="s">
        <v>322</v>
      </c>
      <c r="B51" s="22" t="s">
        <v>104</v>
      </c>
      <c r="C51" s="25" t="n">
        <v>189.53</v>
      </c>
      <c r="D51" s="25" t="n">
        <v>121.46</v>
      </c>
      <c r="E51" s="25" t="n">
        <v>6.88</v>
      </c>
      <c r="F51" s="25" t="n">
        <v>22.74</v>
      </c>
      <c r="G51" s="25" t="n">
        <v>2.91</v>
      </c>
      <c r="H51" s="39" t="n">
        <v>0.1602</v>
      </c>
    </row>
    <row r="52" customFormat="false" ht="15" hidden="false" customHeight="false" outlineLevel="0" collapsed="false">
      <c r="A52" s="22" t="s">
        <v>323</v>
      </c>
      <c r="B52" s="22" t="s">
        <v>167</v>
      </c>
      <c r="C52" s="25" t="n">
        <v>95.2</v>
      </c>
      <c r="D52" s="25" t="n">
        <v>82.89</v>
      </c>
      <c r="E52" s="25" t="n">
        <v>-6.71</v>
      </c>
      <c r="F52" s="25" t="n">
        <v>8.92</v>
      </c>
      <c r="G52" s="25" t="n">
        <v>1.1</v>
      </c>
      <c r="H52" s="39" t="n">
        <v>0.1499</v>
      </c>
    </row>
    <row r="53" customFormat="false" ht="15" hidden="false" customHeight="false" outlineLevel="0" collapsed="false">
      <c r="A53" s="22" t="s">
        <v>324</v>
      </c>
      <c r="B53" s="22" t="s">
        <v>104</v>
      </c>
      <c r="C53" s="25" t="n">
        <v>73.66</v>
      </c>
      <c r="D53" s="25" t="n">
        <v>29.19</v>
      </c>
      <c r="E53" s="25" t="n">
        <v>2.2</v>
      </c>
      <c r="F53" s="25" t="n">
        <v>1.24</v>
      </c>
      <c r="G53" s="25" t="n">
        <v>0.39</v>
      </c>
      <c r="H53" s="39" t="n">
        <v>0.2053</v>
      </c>
    </row>
    <row r="54" customFormat="false" ht="15" hidden="false" customHeight="false" outlineLevel="0" collapsed="false">
      <c r="A54" s="22" t="s">
        <v>325</v>
      </c>
      <c r="B54" s="22" t="s">
        <v>104</v>
      </c>
      <c r="C54" s="25" t="n">
        <v>64.26</v>
      </c>
      <c r="D54" s="25" t="n">
        <v>7.96</v>
      </c>
      <c r="E54" s="25" t="n">
        <v>3.6</v>
      </c>
      <c r="F54" s="25" t="n">
        <v>107.36</v>
      </c>
      <c r="G54" s="25" t="n">
        <v>8.38</v>
      </c>
      <c r="H54" s="39" t="n">
        <v>0.0459</v>
      </c>
    </row>
    <row r="55" customFormat="false" ht="15" hidden="false" customHeight="false" outlineLevel="0" collapsed="false">
      <c r="A55" s="22" t="s">
        <v>326</v>
      </c>
      <c r="B55" s="22" t="s">
        <v>111</v>
      </c>
      <c r="C55" s="25" t="n">
        <v>193.48</v>
      </c>
      <c r="D55" s="25" t="n">
        <v>127.31</v>
      </c>
      <c r="E55" s="25" t="n">
        <v>0.37</v>
      </c>
      <c r="F55" s="25" t="n">
        <v>15.02</v>
      </c>
      <c r="G55" s="25" t="n">
        <v>1.25</v>
      </c>
      <c r="H55" s="39" t="n">
        <v>0.88</v>
      </c>
    </row>
    <row r="56" customFormat="false" ht="15" hidden="false" customHeight="false" outlineLevel="0" collapsed="false">
      <c r="A56" s="22" t="s">
        <v>327</v>
      </c>
      <c r="B56" s="22" t="s">
        <v>119</v>
      </c>
      <c r="C56" s="25" t="n">
        <v>203.48</v>
      </c>
      <c r="D56" s="25" t="n">
        <v>91.24</v>
      </c>
      <c r="E56" s="25" t="n">
        <v>3.7</v>
      </c>
      <c r="F56" s="25" t="n">
        <v>12.06</v>
      </c>
      <c r="G56" s="25" t="n">
        <v>1.01</v>
      </c>
      <c r="H56" s="39" t="n">
        <v>0.1467</v>
      </c>
    </row>
    <row r="57" customFormat="false" ht="15" hidden="false" customHeight="false" outlineLevel="0" collapsed="false">
      <c r="A57" s="22" t="s">
        <v>328</v>
      </c>
      <c r="B57" s="22" t="s">
        <v>167</v>
      </c>
      <c r="C57" s="25" t="n">
        <v>90.27</v>
      </c>
      <c r="D57" s="25" t="n">
        <v>39.5</v>
      </c>
      <c r="E57" s="25" t="n">
        <v>7.5</v>
      </c>
      <c r="F57" s="25" t="n">
        <v>27.46</v>
      </c>
      <c r="G57" s="25" t="n">
        <v>2.16</v>
      </c>
      <c r="H57" s="39" t="n">
        <v>0.1619</v>
      </c>
    </row>
    <row r="58" customFormat="false" ht="15" hidden="false" customHeight="false" outlineLevel="0" collapsed="false">
      <c r="A58" s="22" t="s">
        <v>329</v>
      </c>
      <c r="B58" s="22" t="s">
        <v>131</v>
      </c>
      <c r="C58" s="25" t="n">
        <v>194.28</v>
      </c>
      <c r="D58" s="25" t="n">
        <v>497.29</v>
      </c>
      <c r="E58" s="25" t="n">
        <v>11.11</v>
      </c>
      <c r="F58" s="25" t="n">
        <v>7.67</v>
      </c>
      <c r="G58" s="25" t="n">
        <v>0.47</v>
      </c>
      <c r="H58" s="39" t="n">
        <v>0.2784</v>
      </c>
    </row>
    <row r="59" customFormat="false" ht="15" hidden="false" customHeight="false" outlineLevel="0" collapsed="false">
      <c r="A59" s="22" t="s">
        <v>330</v>
      </c>
      <c r="B59" s="22" t="s">
        <v>167</v>
      </c>
      <c r="C59" s="25" t="n">
        <v>93.19</v>
      </c>
      <c r="D59" s="25" t="n">
        <v>47.48</v>
      </c>
      <c r="E59" s="25" t="n">
        <v>-5.18</v>
      </c>
      <c r="F59" s="25" t="n">
        <v>4.97</v>
      </c>
      <c r="G59" s="25" t="n">
        <v>0.56</v>
      </c>
      <c r="H59" s="39" t="n">
        <v>0.1732</v>
      </c>
    </row>
    <row r="60" customFormat="false" ht="15" hidden="false" customHeight="false" outlineLevel="0" collapsed="false">
      <c r="A60" s="22" t="s">
        <v>331</v>
      </c>
      <c r="B60" s="22" t="s">
        <v>131</v>
      </c>
      <c r="C60" s="25" t="n">
        <v>106.82</v>
      </c>
      <c r="D60" s="25" t="n">
        <v>89.57</v>
      </c>
      <c r="E60" s="25" t="n">
        <v>-1.66</v>
      </c>
      <c r="F60" s="25" t="n">
        <v>13.91</v>
      </c>
      <c r="G60" s="25" t="n">
        <v>1.11</v>
      </c>
      <c r="H60" s="39" t="n">
        <v>0.0688</v>
      </c>
    </row>
    <row r="61" customFormat="false" ht="15" hidden="false" customHeight="false" outlineLevel="0" collapsed="false">
      <c r="A61" s="22" t="s">
        <v>332</v>
      </c>
      <c r="B61" s="22" t="s">
        <v>131</v>
      </c>
      <c r="C61" s="25" t="n">
        <v>131.13</v>
      </c>
      <c r="D61" s="25" t="n">
        <v>31.36</v>
      </c>
      <c r="E61" s="25" t="n">
        <v>3.76</v>
      </c>
      <c r="F61" s="25" t="n">
        <v>7.58</v>
      </c>
      <c r="G61" s="25" t="n">
        <v>1.09</v>
      </c>
      <c r="H61" s="39" t="n">
        <v>0.1864</v>
      </c>
    </row>
    <row r="62" customFormat="false" ht="15" hidden="false" customHeight="false" outlineLevel="0" collapsed="false">
      <c r="A62" s="22" t="s">
        <v>333</v>
      </c>
      <c r="B62" s="22" t="s">
        <v>111</v>
      </c>
      <c r="C62" s="25" t="n">
        <v>60.37</v>
      </c>
      <c r="D62" s="25" t="n">
        <v>38.59</v>
      </c>
      <c r="E62" s="25" t="n">
        <v>2.28</v>
      </c>
      <c r="F62" s="25" t="n">
        <v>13.95</v>
      </c>
      <c r="G62" s="25" t="n">
        <v>1.75</v>
      </c>
      <c r="H62" s="39" t="n">
        <v>0.0708</v>
      </c>
    </row>
    <row r="63" customFormat="false" ht="15" hidden="false" customHeight="false" outlineLevel="0" collapsed="false">
      <c r="A63" s="22" t="s">
        <v>334</v>
      </c>
      <c r="B63" s="22" t="s">
        <v>131</v>
      </c>
      <c r="C63" s="25" t="n">
        <v>69.83</v>
      </c>
      <c r="D63" s="25" t="n">
        <v>61.1</v>
      </c>
      <c r="E63" s="25" t="n">
        <v>4.28</v>
      </c>
      <c r="F63" s="25" t="n">
        <v>52.91</v>
      </c>
      <c r="G63" s="25" t="n">
        <v>4.05</v>
      </c>
      <c r="H63" s="39" t="n">
        <v>0.026</v>
      </c>
    </row>
    <row r="64" customFormat="false" ht="15" hidden="false" customHeight="false" outlineLevel="0" collapsed="false">
      <c r="A64" s="22" t="s">
        <v>335</v>
      </c>
      <c r="B64" s="22" t="s">
        <v>119</v>
      </c>
      <c r="C64" s="25" t="n">
        <v>69.66</v>
      </c>
      <c r="D64" s="25" t="n">
        <v>43.59</v>
      </c>
      <c r="E64" s="25" t="n">
        <v>2.55</v>
      </c>
      <c r="F64" s="25" t="n">
        <v>11.69</v>
      </c>
      <c r="G64" s="25" t="n">
        <v>1.13</v>
      </c>
      <c r="H64" s="39" t="n">
        <v>0.3126</v>
      </c>
    </row>
    <row r="65" customFormat="false" ht="15" hidden="false" customHeight="false" outlineLevel="0" collapsed="false">
      <c r="A65" s="22" t="s">
        <v>336</v>
      </c>
      <c r="B65" s="22" t="s">
        <v>111</v>
      </c>
      <c r="C65" s="25" t="n">
        <v>68.31</v>
      </c>
      <c r="D65" s="25" t="n">
        <v>33.92</v>
      </c>
      <c r="E65" s="25" t="n">
        <v>6.65</v>
      </c>
      <c r="F65" s="25" t="n">
        <v>13.87</v>
      </c>
      <c r="G65" s="25" t="n">
        <v>2.45</v>
      </c>
      <c r="H65" s="39" t="n">
        <v>0.1528</v>
      </c>
    </row>
    <row r="66" customFormat="false" ht="15" hidden="false" customHeight="false" outlineLevel="0" collapsed="false">
      <c r="A66" s="22" t="s">
        <v>337</v>
      </c>
      <c r="B66" s="22" t="s">
        <v>167</v>
      </c>
      <c r="C66" s="25" t="n">
        <v>120.68</v>
      </c>
      <c r="D66" s="25" t="n">
        <v>92.67</v>
      </c>
      <c r="E66" s="25" t="n">
        <v>6.96</v>
      </c>
      <c r="F66" s="25" t="n">
        <v>27.35</v>
      </c>
      <c r="G66" s="25" t="n">
        <v>2.67</v>
      </c>
      <c r="H66" s="39" t="n">
        <v>0.18</v>
      </c>
    </row>
    <row r="67" customFormat="false" ht="15" hidden="false" customHeight="false" outlineLevel="0" collapsed="false">
      <c r="A67" s="22" t="s">
        <v>338</v>
      </c>
      <c r="B67" s="22" t="s">
        <v>119</v>
      </c>
      <c r="C67" s="25" t="n">
        <v>35.6</v>
      </c>
      <c r="D67" s="25" t="n">
        <v>20.16</v>
      </c>
      <c r="E67" s="25" t="n">
        <v>-2.36</v>
      </c>
      <c r="F67" s="25" t="n">
        <v>5.84</v>
      </c>
      <c r="G67" s="25" t="n">
        <v>0.69</v>
      </c>
      <c r="H67" s="39" t="n">
        <v>0.1694</v>
      </c>
    </row>
    <row r="68" customFormat="false" ht="15" hidden="false" customHeight="false" outlineLevel="0" collapsed="false">
      <c r="A68" s="22" t="s">
        <v>339</v>
      </c>
      <c r="B68" s="22" t="s">
        <v>167</v>
      </c>
      <c r="C68" s="25" t="n">
        <v>174.98</v>
      </c>
      <c r="D68" s="25" t="n">
        <v>216.41</v>
      </c>
      <c r="E68" s="25" t="n">
        <v>-8.97</v>
      </c>
      <c r="F68" s="25" t="n">
        <v>13.42</v>
      </c>
      <c r="G68" s="25" t="n">
        <v>1.98</v>
      </c>
      <c r="H68" s="39" t="n">
        <v>0.2568</v>
      </c>
    </row>
    <row r="69" customFormat="false" ht="15" hidden="false" customHeight="false" outlineLevel="0" collapsed="false">
      <c r="A69" s="22" t="s">
        <v>340</v>
      </c>
      <c r="B69" s="22" t="s">
        <v>167</v>
      </c>
      <c r="C69" s="25" t="n">
        <v>50.83</v>
      </c>
      <c r="D69" s="25" t="n">
        <v>31.93</v>
      </c>
      <c r="E69" s="25" t="n">
        <v>4.49</v>
      </c>
      <c r="F69" s="25" t="n">
        <v>8.2</v>
      </c>
      <c r="G69" s="25" t="n">
        <v>0.78</v>
      </c>
      <c r="H69" s="39" t="n">
        <v>0.1499</v>
      </c>
    </row>
    <row r="70" customFormat="false" ht="15" hidden="false" customHeight="false" outlineLevel="0" collapsed="false">
      <c r="A70" s="22" t="s">
        <v>341</v>
      </c>
      <c r="B70" s="22" t="s">
        <v>131</v>
      </c>
      <c r="C70" s="25" t="n">
        <v>106.01</v>
      </c>
      <c r="D70" s="25" t="n">
        <v>36.53</v>
      </c>
      <c r="E70" s="25" t="n">
        <v>4.36</v>
      </c>
      <c r="F70" s="25" t="n">
        <v>30.24</v>
      </c>
      <c r="G70" s="25" t="n">
        <v>3.86</v>
      </c>
      <c r="H70" s="39" t="n">
        <v>0.2152</v>
      </c>
    </row>
    <row r="71" customFormat="false" ht="15" hidden="false" customHeight="false" outlineLevel="0" collapsed="false">
      <c r="A71" s="22" t="s">
        <v>342</v>
      </c>
      <c r="B71" s="22" t="s">
        <v>167</v>
      </c>
      <c r="C71" s="25" t="n">
        <v>146.57</v>
      </c>
      <c r="D71" s="25" t="n">
        <v>24.68</v>
      </c>
      <c r="E71" s="25" t="n">
        <v>-6.38</v>
      </c>
      <c r="F71" s="25" t="n">
        <v>12.34</v>
      </c>
      <c r="G71" s="25" t="n">
        <v>2.37</v>
      </c>
      <c r="H71" s="39" t="n">
        <v>0.0581</v>
      </c>
    </row>
    <row r="72" customFormat="false" ht="15" hidden="false" customHeight="false" outlineLevel="0" collapsed="false">
      <c r="A72" s="22" t="s">
        <v>343</v>
      </c>
      <c r="B72" s="22" t="s">
        <v>111</v>
      </c>
      <c r="C72" s="25" t="n">
        <v>43.29</v>
      </c>
      <c r="D72" s="25" t="n">
        <v>15.55</v>
      </c>
      <c r="E72" s="25" t="n">
        <v>3.39</v>
      </c>
      <c r="F72" s="25" t="n">
        <v>10.22</v>
      </c>
      <c r="G72" s="25" t="n">
        <v>1.67</v>
      </c>
      <c r="H72" s="39" t="n">
        <v>0.0325</v>
      </c>
    </row>
    <row r="73" customFormat="false" ht="15" hidden="false" customHeight="false" outlineLevel="0" collapsed="false">
      <c r="A73" s="22" t="s">
        <v>344</v>
      </c>
      <c r="B73" s="22" t="s">
        <v>119</v>
      </c>
      <c r="C73" s="25" t="n">
        <v>98.88</v>
      </c>
      <c r="D73" s="25" t="n">
        <v>46.1</v>
      </c>
      <c r="E73" s="25" t="n">
        <v>6.54</v>
      </c>
      <c r="F73" s="25" t="n">
        <v>9.39</v>
      </c>
      <c r="G73" s="25" t="n">
        <v>0.56</v>
      </c>
      <c r="H73" s="39" t="n">
        <v>0.2299</v>
      </c>
    </row>
    <row r="74" customFormat="false" ht="15" hidden="false" customHeight="false" outlineLevel="0" collapsed="false">
      <c r="A74" s="22" t="s">
        <v>345</v>
      </c>
      <c r="B74" s="22" t="s">
        <v>111</v>
      </c>
      <c r="C74" s="25" t="n">
        <v>130.45</v>
      </c>
      <c r="D74" s="25" t="n">
        <v>35.19</v>
      </c>
      <c r="E74" s="25" t="n">
        <v>8.04</v>
      </c>
      <c r="F74" s="25" t="n">
        <v>9.61</v>
      </c>
      <c r="G74" s="25" t="n">
        <v>1.81</v>
      </c>
      <c r="H74" s="39" t="n">
        <v>0.2332</v>
      </c>
    </row>
  </sheetData>
  <mergeCells count="28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3"/>
  </cols>
  <sheetData>
    <row r="1" customFormat="false" ht="19.7" hidden="false" customHeight="false" outlineLevel="0" collapsed="false">
      <c r="A1" s="1" t="s">
        <v>497</v>
      </c>
    </row>
    <row r="2" customFormat="false" ht="15" hidden="false" customHeight="false" outlineLevel="0" collapsed="false">
      <c r="A2" s="2" t="s">
        <v>498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499</v>
      </c>
      <c r="B5" s="13" t="s">
        <v>500</v>
      </c>
      <c r="C5" s="13"/>
      <c r="D5" s="13"/>
      <c r="E5" s="13"/>
      <c r="F5" s="13"/>
      <c r="G5" s="13"/>
      <c r="H5" s="35"/>
      <c r="I5" s="12" t="str">
        <f aca="false">IF(H5="","",IFERROR(IF(ISNUMBER('Answer Key'!$D$64),IF(ABS(H5-'Answer Key'!$D$64)&lt;=MAX(0.0001,ABS('Answer Key'!$D$64)*0.001),"✓ Correct","✗ Try again"),IF(TRIM(H5)=TRIM('Answer Key'!$D$64),"✓ Correct","✗ Try again")),"✗ Try again"))</f>
        <v/>
      </c>
      <c r="J5" s="15" t="s">
        <v>412</v>
      </c>
      <c r="K5" s="15"/>
      <c r="L5" s="15"/>
      <c r="M5" s="15"/>
    </row>
    <row r="6" customFormat="false" ht="18" hidden="false" customHeight="true" outlineLevel="0" collapsed="false">
      <c r="A6" s="12" t="s">
        <v>501</v>
      </c>
      <c r="B6" s="13" t="s">
        <v>502</v>
      </c>
      <c r="C6" s="13"/>
      <c r="D6" s="13"/>
      <c r="E6" s="13"/>
      <c r="F6" s="13"/>
      <c r="G6" s="13"/>
      <c r="H6" s="35"/>
      <c r="I6" s="12" t="str">
        <f aca="false">IF(H6="","",IFERROR(IF(ISNUMBER('Answer Key'!$D$65),IF(ABS(H6-'Answer Key'!$D$65)&lt;=MAX(0.0001,ABS('Answer Key'!$D$65)*0.001),"✓ Correct","✗ Try again"),IF(TRIM(H6)=TRIM('Answer Key'!$D$65),"✓ Correct","✗ Try again")),"✗ Try again"))</f>
        <v/>
      </c>
      <c r="J6" s="15" t="s">
        <v>503</v>
      </c>
      <c r="K6" s="15"/>
      <c r="L6" s="15"/>
      <c r="M6" s="15"/>
    </row>
    <row r="7" customFormat="false" ht="18" hidden="false" customHeight="true" outlineLevel="0" collapsed="false">
      <c r="A7" s="12" t="s">
        <v>504</v>
      </c>
      <c r="B7" s="13" t="s">
        <v>505</v>
      </c>
      <c r="C7" s="13"/>
      <c r="D7" s="13"/>
      <c r="E7" s="13"/>
      <c r="F7" s="13"/>
      <c r="G7" s="13"/>
      <c r="H7" s="40"/>
      <c r="I7" s="12" t="str">
        <f aca="false">IF(H7="","",IFERROR(IF(ISNUMBER('Answer Key'!$D$66),IF(ABS(H7-'Answer Key'!$D$66)&lt;=MAX(0.0001,ABS('Answer Key'!$D$66)*0.001),"✓ Correct","✗ Try again"),IF(TRIM(H7)=TRIM('Answer Key'!$D$66),"✓ Correct","✗ Try again")),"✗ Try again"))</f>
        <v/>
      </c>
      <c r="J7" s="15" t="s">
        <v>506</v>
      </c>
      <c r="K7" s="15"/>
      <c r="L7" s="15"/>
      <c r="M7" s="15"/>
    </row>
    <row r="8" customFormat="false" ht="18" hidden="false" customHeight="true" outlineLevel="0" collapsed="false">
      <c r="A8" s="12" t="s">
        <v>507</v>
      </c>
      <c r="B8" s="13" t="s">
        <v>508</v>
      </c>
      <c r="C8" s="13"/>
      <c r="D8" s="13"/>
      <c r="E8" s="13"/>
      <c r="F8" s="13"/>
      <c r="G8" s="13"/>
      <c r="H8" s="27"/>
      <c r="I8" s="12" t="str">
        <f aca="false">IF(H8="","",IFERROR(IF(ISNUMBER('Answer Key'!$D$67),IF(ABS(H8-'Answer Key'!$D$67)&lt;=MAX(0.0001,ABS('Answer Key'!$D$67)*0.001),"✓ Correct","✗ Try again"),IF(TRIM(H8)=TRIM('Answer Key'!$D$67),"✓ Correct","✗ Try again")),"✗ Try again"))</f>
        <v/>
      </c>
      <c r="J8" s="15" t="s">
        <v>509</v>
      </c>
      <c r="K8" s="15"/>
      <c r="L8" s="15"/>
      <c r="M8" s="15"/>
    </row>
    <row r="9" customFormat="false" ht="18" hidden="false" customHeight="true" outlineLevel="0" collapsed="false">
      <c r="A9" s="12" t="s">
        <v>510</v>
      </c>
      <c r="B9" s="13" t="s">
        <v>511</v>
      </c>
      <c r="C9" s="13"/>
      <c r="D9" s="13"/>
      <c r="E9" s="13"/>
      <c r="F9" s="13"/>
      <c r="G9" s="13"/>
      <c r="H9" s="35"/>
      <c r="I9" s="12" t="str">
        <f aca="false">IF(H9="","",IFERROR(IF(ISNUMBER('Answer Key'!$D$68),IF(ABS(H9-'Answer Key'!$D$68)&lt;=MAX(0.0001,ABS('Answer Key'!$D$68)*0.001),"✓ Correct","✗ Try again"),IF(TRIM(H9)=TRIM('Answer Key'!$D$68),"✓ Correct","✗ Try again")),"✗ Try again"))</f>
        <v/>
      </c>
      <c r="J9" s="15" t="s">
        <v>512</v>
      </c>
      <c r="K9" s="15"/>
      <c r="L9" s="15"/>
      <c r="M9" s="15"/>
    </row>
    <row r="10" customFormat="false" ht="31.5" hidden="false" customHeight="true" outlineLevel="0" collapsed="false">
      <c r="A10" s="12" t="s">
        <v>513</v>
      </c>
      <c r="B10" s="13" t="s">
        <v>514</v>
      </c>
      <c r="C10" s="13"/>
      <c r="D10" s="13"/>
      <c r="E10" s="13"/>
      <c r="F10" s="13"/>
      <c r="G10" s="13"/>
      <c r="H10" s="41"/>
      <c r="I10" s="12" t="str">
        <f aca="false">IF(H10="","",IFERROR(IF(ISNUMBER('Answer Key'!$D$69),IF(ABS(H10-'Answer Key'!$D$69)&lt;=MAX(0.0001,ABS('Answer Key'!$D$69)*0.001),"✓ Correct","✗ Try again"),IF(TRIM(H10)=TRIM('Answer Key'!$D$69),"✓ Correct","✗ Try again")),"✗ Try again"))</f>
        <v/>
      </c>
      <c r="J10" s="15" t="s">
        <v>515</v>
      </c>
      <c r="K10" s="15"/>
      <c r="L10" s="15"/>
      <c r="M10" s="15"/>
    </row>
    <row r="11" customFormat="false" ht="18" hidden="false" customHeight="true" outlineLevel="0" collapsed="false">
      <c r="A11" s="12" t="s">
        <v>516</v>
      </c>
      <c r="B11" s="13" t="s">
        <v>517</v>
      </c>
      <c r="C11" s="13"/>
      <c r="D11" s="13"/>
      <c r="E11" s="13"/>
      <c r="F11" s="13"/>
      <c r="G11" s="13"/>
      <c r="H11" s="35"/>
      <c r="I11" s="12" t="str">
        <f aca="false">IF(H11="","",IFERROR(IF(ISNUMBER('Answer Key'!$D$70),IF(ABS(H11-'Answer Key'!$D$70)&lt;=MAX(0.0001,ABS('Answer Key'!$D$70)*0.001),"✓ Correct","✗ Try again"),IF(TRIM(H11)=TRIM('Answer Key'!$D$70),"✓ Correct","✗ Try again")),"✗ Try again"))</f>
        <v/>
      </c>
      <c r="J11" s="15" t="s">
        <v>518</v>
      </c>
      <c r="K11" s="15"/>
      <c r="L11" s="15"/>
      <c r="M11" s="15"/>
    </row>
    <row r="12" customFormat="false" ht="18" hidden="false" customHeight="true" outlineLevel="0" collapsed="false">
      <c r="A12" s="12" t="s">
        <v>519</v>
      </c>
      <c r="B12" s="13" t="s">
        <v>520</v>
      </c>
      <c r="C12" s="13"/>
      <c r="D12" s="13"/>
      <c r="E12" s="13"/>
      <c r="F12" s="13"/>
      <c r="G12" s="13"/>
      <c r="H12" s="35"/>
      <c r="I12" s="12" t="str">
        <f aca="false">IF(H12="","",IFERROR(IF(ISNUMBER('Answer Key'!$D$71),IF(ABS(H12-'Answer Key'!$D$71)&lt;=MAX(0.0001,ABS('Answer Key'!$D$71)*0.001),"✓ Correct","✗ Try again"),IF(TRIM(H12)=TRIM('Answer Key'!$D$71),"✓ Correct","✗ Try again")),"✗ Try again"))</f>
        <v/>
      </c>
      <c r="J12" s="15" t="s">
        <v>521</v>
      </c>
      <c r="K12" s="15"/>
      <c r="L12" s="15"/>
      <c r="M12" s="15"/>
    </row>
    <row r="13" customFormat="false" ht="18" hidden="false" customHeight="true" outlineLevel="0" collapsed="false">
      <c r="A13" s="12" t="s">
        <v>522</v>
      </c>
      <c r="B13" s="13" t="s">
        <v>523</v>
      </c>
      <c r="C13" s="13"/>
      <c r="D13" s="13"/>
      <c r="E13" s="13"/>
      <c r="F13" s="13"/>
      <c r="G13" s="13"/>
      <c r="H13" s="35"/>
      <c r="I13" s="12" t="str">
        <f aca="false">IF(H13="","",IFERROR(IF(ISNUMBER('Answer Key'!$D$72),IF(ABS(H13-'Answer Key'!$D$72)&lt;=MAX(0.0001,ABS('Answer Key'!$D$72)*0.001),"✓ Correct","✗ Try again"),IF(TRIM(H13)=TRIM('Answer Key'!$D$72),"✓ Correct","✗ Try again")),"✗ Try again"))</f>
        <v/>
      </c>
      <c r="J13" s="15" t="s">
        <v>524</v>
      </c>
      <c r="K13" s="15"/>
      <c r="L13" s="15"/>
      <c r="M13" s="15"/>
    </row>
    <row r="14" customFormat="false" ht="18" hidden="false" customHeight="true" outlineLevel="0" collapsed="false">
      <c r="A14" s="12" t="s">
        <v>525</v>
      </c>
      <c r="B14" s="13" t="s">
        <v>526</v>
      </c>
      <c r="C14" s="13"/>
      <c r="D14" s="13"/>
      <c r="E14" s="13"/>
      <c r="F14" s="13"/>
      <c r="G14" s="13"/>
      <c r="H14" s="40"/>
      <c r="I14" s="12" t="str">
        <f aca="false">IF(H14="","",IFERROR(IF(ISNUMBER('Answer Key'!$D$73),IF(ABS(H14-'Answer Key'!$D$73)&lt;=MAX(0.0001,ABS('Answer Key'!$D$73)*0.001),"✓ Correct","✗ Try again"),IF(TRIM(H14)=TRIM('Answer Key'!$D$73),"✓ Correct","✗ Try again")),"✗ Try again"))</f>
        <v/>
      </c>
      <c r="J14" s="15" t="s">
        <v>527</v>
      </c>
      <c r="K14" s="15"/>
      <c r="L14" s="15"/>
      <c r="M14" s="15"/>
    </row>
    <row r="15" customFormat="false" ht="18" hidden="false" customHeight="true" outlineLevel="0" collapsed="false">
      <c r="A15" s="12" t="s">
        <v>528</v>
      </c>
      <c r="B15" s="13" t="s">
        <v>529</v>
      </c>
      <c r="C15" s="13"/>
      <c r="D15" s="13"/>
      <c r="E15" s="13"/>
      <c r="F15" s="13"/>
      <c r="G15" s="13"/>
      <c r="H15" s="35"/>
      <c r="I15" s="12" t="str">
        <f aca="false">IF(H15="","",IFERROR(IF(ISNUMBER('Answer Key'!$D$74),IF(ABS(H15-'Answer Key'!$D$74)&lt;=MAX(0.0001,ABS('Answer Key'!$D$74)*0.001),"✓ Correct","✗ Try again"),IF(TRIM(H15)=TRIM('Answer Key'!$D$74),"✓ Correct","✗ Try again")),"✗ Try again"))</f>
        <v/>
      </c>
      <c r="J15" s="15" t="s">
        <v>530</v>
      </c>
      <c r="K15" s="15"/>
      <c r="L15" s="15"/>
      <c r="M15" s="15"/>
    </row>
    <row r="16" customFormat="false" ht="31.5" hidden="false" customHeight="true" outlineLevel="0" collapsed="false">
      <c r="A16" s="12" t="s">
        <v>531</v>
      </c>
      <c r="B16" s="13" t="s">
        <v>532</v>
      </c>
      <c r="C16" s="13"/>
      <c r="D16" s="13"/>
      <c r="E16" s="13"/>
      <c r="F16" s="13"/>
      <c r="G16" s="13"/>
      <c r="H16" s="26"/>
      <c r="I16" s="12" t="str">
        <f aca="false">IF(H16="","",IFERROR(IF(ISNUMBER('Answer Key'!$D$75),IF(ABS(H16-'Answer Key'!$D$75)&lt;=MAX(0.0001,ABS('Answer Key'!$D$75)*0.001),"✓ Correct","✗ Try again"),IF(TRIM(H16)=TRIM('Answer Key'!$D$75),"✓ Correct","✗ Try again")),"✗ Try again"))</f>
        <v/>
      </c>
      <c r="J16" s="15" t="s">
        <v>533</v>
      </c>
      <c r="K16" s="15"/>
      <c r="L16" s="15"/>
      <c r="M16" s="15"/>
    </row>
    <row r="17" customFormat="false" ht="31.5" hidden="false" customHeight="true" outlineLevel="0" collapsed="false">
      <c r="A17" s="12" t="s">
        <v>534</v>
      </c>
      <c r="B17" s="13" t="s">
        <v>535</v>
      </c>
      <c r="C17" s="13"/>
      <c r="D17" s="13"/>
      <c r="E17" s="13"/>
      <c r="F17" s="13"/>
      <c r="G17" s="13"/>
      <c r="H17" s="33"/>
      <c r="I17" s="12" t="str">
        <f aca="false">IF(H17="","",IFERROR(IF(ISNUMBER('Answer Key'!$D$76),IF(ABS(H17-'Answer Key'!$D$76)&lt;=MAX(0.0001,ABS('Answer Key'!$D$76)*0.001),"✓ Correct","✗ Try again"),IF(TRIM(H17)=TRIM('Answer Key'!$D$76),"✓ Correct","✗ Try again")),"✗ Try again"))</f>
        <v/>
      </c>
      <c r="J17" s="15" t="s">
        <v>536</v>
      </c>
      <c r="K17" s="15"/>
      <c r="L17" s="15"/>
      <c r="M17" s="15"/>
    </row>
    <row r="18" customFormat="false" ht="15" hidden="false" customHeight="false" outlineLevel="0" collapsed="false">
      <c r="G18" s="18" t="s">
        <v>88</v>
      </c>
      <c r="H18" s="4" t="str">
        <f aca="false">COUNTIF(I5:I17,"✓ Correct")&amp;" / 13"</f>
        <v>0 / 13</v>
      </c>
    </row>
    <row r="21" customFormat="false" ht="15" hidden="false" customHeight="false" outlineLevel="0" collapsed="false">
      <c r="A21" s="19" t="s">
        <v>89</v>
      </c>
    </row>
    <row r="22" customFormat="false" ht="15" hidden="false" customHeight="false" outlineLevel="0" collapsed="false">
      <c r="A22" s="2" t="s">
        <v>537</v>
      </c>
    </row>
    <row r="24" customFormat="false" ht="23.85" hidden="false" customHeight="false" outlineLevel="0" collapsed="false">
      <c r="A24" s="11" t="s">
        <v>538</v>
      </c>
      <c r="B24" s="11" t="s">
        <v>539</v>
      </c>
      <c r="C24" s="11" t="s">
        <v>540</v>
      </c>
      <c r="D24" s="11" t="s">
        <v>541</v>
      </c>
      <c r="E24" s="11" t="s">
        <v>542</v>
      </c>
    </row>
    <row r="25" customFormat="false" ht="15" hidden="false" customHeight="false" outlineLevel="0" collapsed="false">
      <c r="A25" s="23" t="n">
        <v>44500</v>
      </c>
      <c r="B25" s="30" t="n">
        <v>0.04228</v>
      </c>
      <c r="C25" s="30" t="n">
        <v>0.02998</v>
      </c>
      <c r="D25" s="30" t="n">
        <v>-0.02442</v>
      </c>
      <c r="E25" s="30" t="n">
        <v>-0.01825</v>
      </c>
    </row>
    <row r="26" customFormat="false" ht="15" hidden="false" customHeight="false" outlineLevel="0" collapsed="false">
      <c r="A26" s="23" t="n">
        <v>44530</v>
      </c>
      <c r="B26" s="30" t="n">
        <v>0.0371</v>
      </c>
      <c r="C26" s="30" t="n">
        <v>0.01717</v>
      </c>
      <c r="D26" s="30" t="n">
        <v>0.0149</v>
      </c>
      <c r="E26" s="30" t="n">
        <v>0.03698</v>
      </c>
    </row>
    <row r="27" customFormat="false" ht="15" hidden="false" customHeight="false" outlineLevel="0" collapsed="false">
      <c r="A27" s="23" t="n">
        <v>44561</v>
      </c>
      <c r="B27" s="30" t="n">
        <v>0.00942</v>
      </c>
      <c r="C27" s="30" t="n">
        <v>0.01448</v>
      </c>
      <c r="D27" s="30" t="n">
        <v>-0.02879</v>
      </c>
      <c r="E27" s="30" t="n">
        <v>0.04333</v>
      </c>
    </row>
    <row r="28" customFormat="false" ht="15" hidden="false" customHeight="false" outlineLevel="0" collapsed="false">
      <c r="A28" s="23" t="n">
        <v>44592</v>
      </c>
      <c r="B28" s="30" t="n">
        <v>-0.01439</v>
      </c>
      <c r="C28" s="30" t="n">
        <v>-0.02397</v>
      </c>
      <c r="D28" s="30" t="n">
        <v>0.05806</v>
      </c>
      <c r="E28" s="30" t="n">
        <v>0.04694</v>
      </c>
    </row>
    <row r="29" customFormat="false" ht="15" hidden="false" customHeight="false" outlineLevel="0" collapsed="false">
      <c r="A29" s="23" t="n">
        <v>44620</v>
      </c>
      <c r="B29" s="30" t="n">
        <v>0.03415</v>
      </c>
      <c r="C29" s="30" t="n">
        <v>0.07624</v>
      </c>
      <c r="D29" s="30" t="n">
        <v>-0.01654</v>
      </c>
      <c r="E29" s="30" t="n">
        <v>-0.02268</v>
      </c>
    </row>
    <row r="30" customFormat="false" ht="15" hidden="false" customHeight="false" outlineLevel="0" collapsed="false">
      <c r="A30" s="23" t="n">
        <v>44651</v>
      </c>
      <c r="B30" s="30" t="n">
        <v>0.10391</v>
      </c>
      <c r="C30" s="30" t="n">
        <v>0.03665</v>
      </c>
      <c r="D30" s="30" t="n">
        <v>0.06069</v>
      </c>
      <c r="E30" s="30" t="n">
        <v>0.06246</v>
      </c>
    </row>
    <row r="31" customFormat="false" ht="15" hidden="false" customHeight="false" outlineLevel="0" collapsed="false">
      <c r="A31" s="23" t="n">
        <v>44681</v>
      </c>
      <c r="B31" s="30" t="n">
        <v>0.02034</v>
      </c>
      <c r="C31" s="30" t="n">
        <v>0.02977</v>
      </c>
      <c r="D31" s="30" t="n">
        <v>-0.03182</v>
      </c>
      <c r="E31" s="30" t="n">
        <v>0.00549</v>
      </c>
    </row>
    <row r="32" customFormat="false" ht="15" hidden="false" customHeight="false" outlineLevel="0" collapsed="false">
      <c r="A32" s="23" t="n">
        <v>44712</v>
      </c>
      <c r="B32" s="30" t="n">
        <v>0.06785</v>
      </c>
      <c r="C32" s="30" t="n">
        <v>0.02393</v>
      </c>
      <c r="D32" s="30" t="n">
        <v>0.01918</v>
      </c>
      <c r="E32" s="30" t="n">
        <v>-0.00561</v>
      </c>
    </row>
    <row r="33" customFormat="false" ht="15" hidden="false" customHeight="false" outlineLevel="0" collapsed="false">
      <c r="A33" s="23" t="n">
        <v>44742</v>
      </c>
      <c r="B33" s="30" t="n">
        <v>0.02846</v>
      </c>
      <c r="C33" s="30" t="n">
        <v>0.05416</v>
      </c>
      <c r="D33" s="30" t="n">
        <v>-0.03499</v>
      </c>
      <c r="E33" s="30" t="n">
        <v>-0.00491</v>
      </c>
    </row>
    <row r="34" customFormat="false" ht="15" hidden="false" customHeight="false" outlineLevel="0" collapsed="false">
      <c r="A34" s="23" t="n">
        <v>44773</v>
      </c>
      <c r="B34" s="30" t="n">
        <v>0.06429</v>
      </c>
      <c r="C34" s="30" t="n">
        <v>0.02973</v>
      </c>
      <c r="D34" s="30" t="n">
        <v>-0.03923</v>
      </c>
      <c r="E34" s="30" t="n">
        <v>0.02005</v>
      </c>
    </row>
    <row r="35" customFormat="false" ht="15" hidden="false" customHeight="false" outlineLevel="0" collapsed="false">
      <c r="A35" s="23" t="n">
        <v>44804</v>
      </c>
      <c r="B35" s="30" t="n">
        <v>0.06077</v>
      </c>
      <c r="C35" s="30" t="n">
        <v>0.04054</v>
      </c>
      <c r="D35" s="30" t="n">
        <v>0.00579</v>
      </c>
      <c r="E35" s="30" t="n">
        <v>0.00353</v>
      </c>
    </row>
    <row r="36" customFormat="false" ht="15" hidden="false" customHeight="false" outlineLevel="0" collapsed="false">
      <c r="A36" s="23" t="n">
        <v>44834</v>
      </c>
      <c r="B36" s="30" t="n">
        <v>-0.04403</v>
      </c>
      <c r="C36" s="30" t="n">
        <v>-0.0456</v>
      </c>
      <c r="D36" s="30" t="n">
        <v>0.02133</v>
      </c>
      <c r="E36" s="30" t="n">
        <v>-0.00331</v>
      </c>
    </row>
    <row r="37" customFormat="false" ht="15" hidden="false" customHeight="false" outlineLevel="0" collapsed="false">
      <c r="A37" s="23" t="n">
        <v>44865</v>
      </c>
      <c r="B37" s="30" t="n">
        <v>-0.01439</v>
      </c>
      <c r="C37" s="30" t="n">
        <v>0.02995</v>
      </c>
      <c r="D37" s="30" t="n">
        <v>-0.03723</v>
      </c>
      <c r="E37" s="30" t="n">
        <v>0.04051</v>
      </c>
    </row>
    <row r="38" customFormat="false" ht="15" hidden="false" customHeight="false" outlineLevel="0" collapsed="false">
      <c r="A38" s="23" t="n">
        <v>44895</v>
      </c>
      <c r="B38" s="30" t="n">
        <v>0.08734</v>
      </c>
      <c r="C38" s="30" t="n">
        <v>0.10542</v>
      </c>
      <c r="D38" s="30" t="n">
        <v>0.03652</v>
      </c>
      <c r="E38" s="30" t="n">
        <v>-0.01968</v>
      </c>
    </row>
    <row r="39" customFormat="false" ht="15" hidden="false" customHeight="false" outlineLevel="0" collapsed="false">
      <c r="A39" s="23" t="n">
        <v>44926</v>
      </c>
      <c r="B39" s="30" t="n">
        <v>-0.02129</v>
      </c>
      <c r="C39" s="30" t="n">
        <v>-0.01633</v>
      </c>
      <c r="D39" s="30" t="n">
        <v>-0.02293</v>
      </c>
      <c r="E39" s="30" t="n">
        <v>-0.02929</v>
      </c>
    </row>
    <row r="40" customFormat="false" ht="15" hidden="false" customHeight="false" outlineLevel="0" collapsed="false">
      <c r="A40" s="23" t="n">
        <v>44957</v>
      </c>
      <c r="B40" s="30" t="n">
        <v>0.06277</v>
      </c>
      <c r="C40" s="30" t="n">
        <v>0.0012</v>
      </c>
      <c r="D40" s="30" t="n">
        <v>0.00494</v>
      </c>
      <c r="E40" s="30" t="n">
        <v>0.02579</v>
      </c>
    </row>
    <row r="41" customFormat="false" ht="15" hidden="false" customHeight="false" outlineLevel="0" collapsed="false">
      <c r="A41" s="23" t="n">
        <v>44985</v>
      </c>
      <c r="B41" s="30" t="n">
        <v>0.08122</v>
      </c>
      <c r="C41" s="30" t="n">
        <v>0.04714</v>
      </c>
      <c r="D41" s="30" t="n">
        <v>0.01239</v>
      </c>
      <c r="E41" s="30" t="n">
        <v>0.02311</v>
      </c>
    </row>
    <row r="42" customFormat="false" ht="15" hidden="false" customHeight="false" outlineLevel="0" collapsed="false">
      <c r="A42" s="23" t="n">
        <v>45016</v>
      </c>
      <c r="B42" s="30" t="n">
        <v>0.11089</v>
      </c>
      <c r="C42" s="30" t="n">
        <v>0.05008</v>
      </c>
      <c r="D42" s="30" t="n">
        <v>0.01884</v>
      </c>
      <c r="E42" s="30" t="n">
        <v>0.03482</v>
      </c>
    </row>
    <row r="43" customFormat="false" ht="15" hidden="false" customHeight="false" outlineLevel="0" collapsed="false">
      <c r="A43" s="23" t="n">
        <v>45046</v>
      </c>
      <c r="B43" s="30" t="n">
        <v>-0.00914</v>
      </c>
      <c r="C43" s="30" t="n">
        <v>0.0351</v>
      </c>
      <c r="D43" s="30" t="n">
        <v>-0.05293</v>
      </c>
      <c r="E43" s="30" t="n">
        <v>-0.03017</v>
      </c>
    </row>
    <row r="44" customFormat="false" ht="15" hidden="false" customHeight="false" outlineLevel="0" collapsed="false">
      <c r="A44" s="23" t="n">
        <v>45077</v>
      </c>
      <c r="B44" s="30" t="n">
        <v>-0.04431</v>
      </c>
      <c r="C44" s="30" t="n">
        <v>-0.06579</v>
      </c>
      <c r="D44" s="30" t="n">
        <v>0.04956</v>
      </c>
      <c r="E44" s="30" t="n">
        <v>0.03444</v>
      </c>
    </row>
    <row r="45" customFormat="false" ht="15" hidden="false" customHeight="false" outlineLevel="0" collapsed="false">
      <c r="A45" s="23" t="n">
        <v>45107</v>
      </c>
      <c r="B45" s="30" t="n">
        <v>0.03314</v>
      </c>
      <c r="C45" s="30" t="n">
        <v>0.02958</v>
      </c>
      <c r="D45" s="30" t="n">
        <v>0.01785</v>
      </c>
      <c r="E45" s="30" t="n">
        <v>0.01646</v>
      </c>
    </row>
    <row r="46" customFormat="false" ht="15" hidden="false" customHeight="false" outlineLevel="0" collapsed="false">
      <c r="A46" s="23" t="n">
        <v>45138</v>
      </c>
      <c r="B46" s="30" t="n">
        <v>0.00626</v>
      </c>
      <c r="C46" s="30" t="n">
        <v>-0.04627</v>
      </c>
      <c r="D46" s="30" t="n">
        <v>-0.01177</v>
      </c>
      <c r="E46" s="30" t="n">
        <v>0.05488</v>
      </c>
    </row>
    <row r="47" customFormat="false" ht="15" hidden="false" customHeight="false" outlineLevel="0" collapsed="false">
      <c r="A47" s="23" t="n">
        <v>45169</v>
      </c>
      <c r="B47" s="30" t="n">
        <v>-0.0555</v>
      </c>
      <c r="C47" s="30" t="n">
        <v>-0.03011</v>
      </c>
      <c r="D47" s="30" t="n">
        <v>-0.02972</v>
      </c>
      <c r="E47" s="30" t="n">
        <v>-0.03545</v>
      </c>
    </row>
    <row r="48" customFormat="false" ht="15" hidden="false" customHeight="false" outlineLevel="0" collapsed="false">
      <c r="A48" s="23" t="n">
        <v>45199</v>
      </c>
      <c r="B48" s="30" t="n">
        <v>0.01659</v>
      </c>
      <c r="C48" s="30" t="n">
        <v>0.03166</v>
      </c>
      <c r="D48" s="30" t="n">
        <v>-0.04982</v>
      </c>
      <c r="E48" s="30" t="n">
        <v>0.00855</v>
      </c>
    </row>
    <row r="49" customFormat="false" ht="15" hidden="false" customHeight="false" outlineLevel="0" collapsed="false">
      <c r="A49" s="23" t="n">
        <v>45230</v>
      </c>
      <c r="B49" s="30" t="n">
        <v>-0.03484</v>
      </c>
      <c r="C49" s="30" t="n">
        <v>-0.00631</v>
      </c>
      <c r="D49" s="30" t="n">
        <v>-0.03984</v>
      </c>
      <c r="E49" s="30" t="n">
        <v>-0.00633</v>
      </c>
    </row>
    <row r="50" customFormat="false" ht="15" hidden="false" customHeight="false" outlineLevel="0" collapsed="false">
      <c r="A50" s="23" t="n">
        <v>45260</v>
      </c>
      <c r="B50" s="30" t="n">
        <v>0.04817</v>
      </c>
      <c r="C50" s="30" t="n">
        <v>0.04343</v>
      </c>
      <c r="D50" s="30" t="n">
        <v>0.01735</v>
      </c>
      <c r="E50" s="30" t="n">
        <v>-0.04569</v>
      </c>
    </row>
    <row r="51" customFormat="false" ht="15" hidden="false" customHeight="false" outlineLevel="0" collapsed="false">
      <c r="A51" s="23" t="n">
        <v>45291</v>
      </c>
      <c r="B51" s="30" t="n">
        <v>0.1673</v>
      </c>
      <c r="C51" s="30" t="n">
        <v>0.14867</v>
      </c>
      <c r="D51" s="30" t="n">
        <v>-0.00923</v>
      </c>
      <c r="E51" s="30" t="n">
        <v>-0.01945</v>
      </c>
    </row>
    <row r="52" customFormat="false" ht="15" hidden="false" customHeight="false" outlineLevel="0" collapsed="false">
      <c r="A52" s="23" t="n">
        <v>45322</v>
      </c>
      <c r="B52" s="30" t="n">
        <v>0.03362</v>
      </c>
      <c r="C52" s="30" t="n">
        <v>0.04197</v>
      </c>
      <c r="D52" s="30" t="n">
        <v>-0.03295</v>
      </c>
      <c r="E52" s="30" t="n">
        <v>0.03581</v>
      </c>
    </row>
    <row r="53" customFormat="false" ht="15" hidden="false" customHeight="false" outlineLevel="0" collapsed="false">
      <c r="A53" s="23" t="n">
        <v>45351</v>
      </c>
      <c r="B53" s="30" t="n">
        <v>0.08577</v>
      </c>
      <c r="C53" s="30" t="n">
        <v>0.03953</v>
      </c>
      <c r="D53" s="30" t="n">
        <v>-0.01481</v>
      </c>
      <c r="E53" s="30" t="n">
        <v>-0.01207</v>
      </c>
    </row>
    <row r="54" customFormat="false" ht="15" hidden="false" customHeight="false" outlineLevel="0" collapsed="false">
      <c r="A54" s="23" t="n">
        <v>45382</v>
      </c>
      <c r="B54" s="30" t="n">
        <v>-0.02123</v>
      </c>
      <c r="C54" s="30" t="n">
        <v>-0.03331</v>
      </c>
      <c r="D54" s="30" t="n">
        <v>0.04792</v>
      </c>
      <c r="E54" s="30" t="n">
        <v>-0.01968</v>
      </c>
    </row>
    <row r="55" customFormat="false" ht="15" hidden="false" customHeight="false" outlineLevel="0" collapsed="false">
      <c r="A55" s="23" t="n">
        <v>45412</v>
      </c>
      <c r="B55" s="30" t="n">
        <v>-0.00965</v>
      </c>
      <c r="C55" s="30" t="n">
        <v>-0.02193</v>
      </c>
      <c r="D55" s="30" t="n">
        <v>-0.00892</v>
      </c>
      <c r="E55" s="30" t="n">
        <v>0.02805</v>
      </c>
    </row>
    <row r="56" customFormat="false" ht="15" hidden="false" customHeight="false" outlineLevel="0" collapsed="false">
      <c r="A56" s="23" t="n">
        <v>45443</v>
      </c>
      <c r="B56" s="30" t="n">
        <v>0.01171</v>
      </c>
      <c r="C56" s="30" t="n">
        <v>-0.04086</v>
      </c>
      <c r="D56" s="30" t="n">
        <v>-0.01653</v>
      </c>
      <c r="E56" s="30" t="n">
        <v>0.03167</v>
      </c>
    </row>
    <row r="57" customFormat="false" ht="15" hidden="false" customHeight="false" outlineLevel="0" collapsed="false">
      <c r="A57" s="23" t="n">
        <v>45473</v>
      </c>
      <c r="B57" s="30" t="n">
        <v>0.04878</v>
      </c>
      <c r="C57" s="30" t="n">
        <v>-0.01697</v>
      </c>
      <c r="D57" s="30" t="n">
        <v>0.04152</v>
      </c>
      <c r="E57" s="30" t="n">
        <v>0.0316</v>
      </c>
    </row>
    <row r="58" customFormat="false" ht="15" hidden="false" customHeight="false" outlineLevel="0" collapsed="false">
      <c r="A58" s="23" t="n">
        <v>45504</v>
      </c>
      <c r="B58" s="30" t="n">
        <v>-0.05616</v>
      </c>
      <c r="C58" s="30" t="n">
        <v>-0.04213</v>
      </c>
      <c r="D58" s="30" t="n">
        <v>0.01486</v>
      </c>
      <c r="E58" s="30" t="n">
        <v>-0.02169</v>
      </c>
    </row>
    <row r="59" customFormat="false" ht="15" hidden="false" customHeight="false" outlineLevel="0" collapsed="false">
      <c r="A59" s="23" t="n">
        <v>45535</v>
      </c>
      <c r="B59" s="30" t="n">
        <v>-0.00692</v>
      </c>
      <c r="C59" s="30" t="n">
        <v>-0.02269</v>
      </c>
      <c r="D59" s="30" t="n">
        <v>0.00233</v>
      </c>
      <c r="E59" s="30" t="n">
        <v>0.00026</v>
      </c>
    </row>
    <row r="60" customFormat="false" ht="15" hidden="false" customHeight="false" outlineLevel="0" collapsed="false">
      <c r="A60" s="23" t="n">
        <v>45565</v>
      </c>
      <c r="B60" s="30" t="n">
        <v>-0.01999</v>
      </c>
      <c r="C60" s="30" t="n">
        <v>-0.00239</v>
      </c>
      <c r="D60" s="30" t="n">
        <v>-0.01723</v>
      </c>
      <c r="E60" s="30" t="n">
        <v>0.03292</v>
      </c>
    </row>
    <row r="61" customFormat="false" ht="15" hidden="false" customHeight="false" outlineLevel="0" collapsed="false">
      <c r="A61" s="23" t="n">
        <v>45596</v>
      </c>
      <c r="B61" s="30" t="n">
        <v>-0.08979</v>
      </c>
      <c r="C61" s="30" t="n">
        <v>-0.03803</v>
      </c>
      <c r="D61" s="30" t="n">
        <v>-0.04557</v>
      </c>
      <c r="E61" s="30" t="n">
        <v>-0.01768</v>
      </c>
    </row>
    <row r="62" customFormat="false" ht="15" hidden="false" customHeight="false" outlineLevel="0" collapsed="false">
      <c r="A62" s="23" t="n">
        <v>45626</v>
      </c>
      <c r="B62" s="30" t="n">
        <v>-0.15713</v>
      </c>
      <c r="C62" s="30" t="n">
        <v>-0.05686</v>
      </c>
      <c r="D62" s="30" t="n">
        <v>-0.03412</v>
      </c>
      <c r="E62" s="30" t="n">
        <v>-0.02048</v>
      </c>
    </row>
    <row r="63" customFormat="false" ht="15" hidden="false" customHeight="false" outlineLevel="0" collapsed="false">
      <c r="A63" s="23" t="n">
        <v>45657</v>
      </c>
      <c r="B63" s="30" t="n">
        <v>-0.01305</v>
      </c>
      <c r="C63" s="30" t="n">
        <v>-0.05427</v>
      </c>
      <c r="D63" s="30" t="n">
        <v>-0.01341</v>
      </c>
      <c r="E63" s="30" t="n">
        <v>0.02685</v>
      </c>
    </row>
    <row r="64" customFormat="false" ht="15" hidden="false" customHeight="false" outlineLevel="0" collapsed="false">
      <c r="A64" s="23" t="n">
        <v>45688</v>
      </c>
      <c r="B64" s="30" t="n">
        <v>0.00367</v>
      </c>
      <c r="C64" s="30" t="n">
        <v>0.02743</v>
      </c>
      <c r="D64" s="30" t="n">
        <v>-0.00559</v>
      </c>
      <c r="E64" s="30" t="n">
        <v>0.04887</v>
      </c>
    </row>
    <row r="65" customFormat="false" ht="15" hidden="false" customHeight="false" outlineLevel="0" collapsed="false">
      <c r="A65" s="23" t="n">
        <v>45716</v>
      </c>
      <c r="B65" s="30" t="n">
        <v>0.01872</v>
      </c>
      <c r="C65" s="30" t="n">
        <v>0.00969</v>
      </c>
      <c r="D65" s="30" t="n">
        <v>0.01169</v>
      </c>
      <c r="E65" s="30" t="n">
        <v>-0.03256</v>
      </c>
    </row>
    <row r="66" customFormat="false" ht="15" hidden="false" customHeight="false" outlineLevel="0" collapsed="false">
      <c r="A66" s="23" t="n">
        <v>45747</v>
      </c>
      <c r="B66" s="30" t="n">
        <v>-0.00031</v>
      </c>
      <c r="C66" s="30" t="n">
        <v>0.05317</v>
      </c>
      <c r="D66" s="30" t="n">
        <v>0.01755</v>
      </c>
      <c r="E66" s="30" t="n">
        <v>-0.07593</v>
      </c>
    </row>
    <row r="67" customFormat="false" ht="15" hidden="false" customHeight="false" outlineLevel="0" collapsed="false">
      <c r="A67" s="23" t="n">
        <v>45777</v>
      </c>
      <c r="B67" s="30" t="n">
        <v>0.0129</v>
      </c>
      <c r="C67" s="30" t="n">
        <v>0.054</v>
      </c>
      <c r="D67" s="30" t="n">
        <v>0.00769</v>
      </c>
      <c r="E67" s="30" t="n">
        <v>-0.04151</v>
      </c>
    </row>
    <row r="68" customFormat="false" ht="15" hidden="false" customHeight="false" outlineLevel="0" collapsed="false">
      <c r="A68" s="23" t="n">
        <v>45808</v>
      </c>
      <c r="B68" s="30" t="n">
        <v>-0.02741</v>
      </c>
      <c r="C68" s="30" t="n">
        <v>-0.00833</v>
      </c>
      <c r="D68" s="30" t="n">
        <v>0.00761</v>
      </c>
      <c r="E68" s="30" t="n">
        <v>-0.02837</v>
      </c>
    </row>
    <row r="69" customFormat="false" ht="15" hidden="false" customHeight="false" outlineLevel="0" collapsed="false">
      <c r="A69" s="23" t="n">
        <v>45838</v>
      </c>
      <c r="B69" s="30" t="n">
        <v>0.03975</v>
      </c>
      <c r="C69" s="30" t="n">
        <v>0.03715</v>
      </c>
      <c r="D69" s="30" t="n">
        <v>-0.02923</v>
      </c>
      <c r="E69" s="30" t="n">
        <v>-0.00213</v>
      </c>
    </row>
    <row r="70" customFormat="false" ht="15" hidden="false" customHeight="false" outlineLevel="0" collapsed="false">
      <c r="A70" s="23" t="n">
        <v>45869</v>
      </c>
      <c r="B70" s="30" t="n">
        <v>-0.05931</v>
      </c>
      <c r="C70" s="30" t="n">
        <v>-0.05782</v>
      </c>
      <c r="D70" s="30" t="n">
        <v>-0.06364</v>
      </c>
      <c r="E70" s="30" t="n">
        <v>0.02048</v>
      </c>
    </row>
    <row r="71" customFormat="false" ht="15" hidden="false" customHeight="false" outlineLevel="0" collapsed="false">
      <c r="A71" s="23" t="n">
        <v>45900</v>
      </c>
      <c r="B71" s="30" t="n">
        <v>0.17406</v>
      </c>
      <c r="C71" s="30" t="n">
        <v>0.10974</v>
      </c>
      <c r="D71" s="30" t="n">
        <v>-0.01463</v>
      </c>
      <c r="E71" s="30" t="n">
        <v>-0.0024</v>
      </c>
    </row>
    <row r="72" customFormat="false" ht="15" hidden="false" customHeight="false" outlineLevel="0" collapsed="false">
      <c r="A72" s="23" t="n">
        <v>45930</v>
      </c>
      <c r="B72" s="30" t="n">
        <v>0.06021</v>
      </c>
      <c r="C72" s="30" t="n">
        <v>0.06079</v>
      </c>
      <c r="D72" s="30" t="n">
        <v>-0.02762</v>
      </c>
      <c r="E72" s="30" t="n">
        <v>-0.01901</v>
      </c>
    </row>
    <row r="73" customFormat="false" ht="15" hidden="false" customHeight="false" outlineLevel="0" collapsed="false">
      <c r="A73" s="23" t="n">
        <v>45961</v>
      </c>
      <c r="B73" s="30" t="n">
        <v>0.02189</v>
      </c>
      <c r="C73" s="30" t="n">
        <v>-0.00268</v>
      </c>
      <c r="D73" s="30" t="n">
        <v>-0.01858</v>
      </c>
      <c r="E73" s="30" t="n">
        <v>0.0066</v>
      </c>
    </row>
    <row r="74" customFormat="false" ht="15" hidden="false" customHeight="false" outlineLevel="0" collapsed="false">
      <c r="A74" s="23" t="n">
        <v>45991</v>
      </c>
      <c r="B74" s="30" t="n">
        <v>-0.08711</v>
      </c>
      <c r="C74" s="30" t="n">
        <v>-0.04534</v>
      </c>
      <c r="D74" s="30" t="n">
        <v>-0.00724</v>
      </c>
      <c r="E74" s="30" t="n">
        <v>-0.02686</v>
      </c>
    </row>
    <row r="75" customFormat="false" ht="15" hidden="false" customHeight="false" outlineLevel="0" collapsed="false">
      <c r="A75" s="23" t="n">
        <v>46022</v>
      </c>
      <c r="B75" s="30" t="n">
        <v>0.03696</v>
      </c>
      <c r="C75" s="30" t="n">
        <v>0.0241</v>
      </c>
      <c r="D75" s="30" t="n">
        <v>-0.03631</v>
      </c>
      <c r="E75" s="30" t="n">
        <v>0.00059</v>
      </c>
    </row>
    <row r="76" customFormat="false" ht="15" hidden="false" customHeight="false" outlineLevel="0" collapsed="false">
      <c r="A76" s="23" t="n">
        <v>46053</v>
      </c>
      <c r="B76" s="30" t="n">
        <v>-0.1054</v>
      </c>
      <c r="C76" s="30" t="n">
        <v>-0.07715</v>
      </c>
      <c r="D76" s="30" t="n">
        <v>-0.03232</v>
      </c>
      <c r="E76" s="30" t="n">
        <v>-0.01725</v>
      </c>
    </row>
    <row r="77" customFormat="false" ht="15" hidden="false" customHeight="false" outlineLevel="0" collapsed="false">
      <c r="A77" s="23" t="n">
        <v>46081</v>
      </c>
      <c r="B77" s="30" t="n">
        <v>0.00447</v>
      </c>
      <c r="C77" s="30" t="n">
        <v>-0.02807</v>
      </c>
      <c r="D77" s="30" t="n">
        <v>-0.00201</v>
      </c>
      <c r="E77" s="30" t="n">
        <v>0.08241</v>
      </c>
    </row>
    <row r="78" customFormat="false" ht="15" hidden="false" customHeight="false" outlineLevel="0" collapsed="false">
      <c r="A78" s="23" t="n">
        <v>46112</v>
      </c>
      <c r="B78" s="30" t="n">
        <v>0.06361</v>
      </c>
      <c r="C78" s="30" t="n">
        <v>0.04069</v>
      </c>
      <c r="D78" s="30" t="n">
        <v>0.00447</v>
      </c>
      <c r="E78" s="30" t="n">
        <v>0.0265</v>
      </c>
    </row>
    <row r="79" customFormat="false" ht="15" hidden="false" customHeight="false" outlineLevel="0" collapsed="false">
      <c r="A79" s="23" t="n">
        <v>46142</v>
      </c>
      <c r="B79" s="30" t="n">
        <v>-0.00921</v>
      </c>
      <c r="C79" s="30" t="n">
        <v>0.0104</v>
      </c>
      <c r="D79" s="30" t="n">
        <v>-0.01868</v>
      </c>
      <c r="E79" s="30" t="n">
        <v>-0.02305</v>
      </c>
    </row>
    <row r="80" customFormat="false" ht="15" hidden="false" customHeight="false" outlineLevel="0" collapsed="false">
      <c r="A80" s="23" t="n">
        <v>46173</v>
      </c>
      <c r="B80" s="30" t="n">
        <v>-0.01999</v>
      </c>
      <c r="C80" s="30" t="n">
        <v>-0.01509</v>
      </c>
      <c r="D80" s="30" t="n">
        <v>0.01595</v>
      </c>
      <c r="E80" s="30" t="n">
        <v>-0.02791</v>
      </c>
    </row>
    <row r="81" customFormat="false" ht="15" hidden="false" customHeight="false" outlineLevel="0" collapsed="false">
      <c r="A81" s="23" t="n">
        <v>46203</v>
      </c>
      <c r="B81" s="30" t="n">
        <v>0.06237</v>
      </c>
      <c r="C81" s="30" t="n">
        <v>0.04978</v>
      </c>
      <c r="D81" s="30" t="n">
        <v>-0.00558</v>
      </c>
      <c r="E81" s="30" t="n">
        <v>-0.01115</v>
      </c>
    </row>
    <row r="82" customFormat="false" ht="15" hidden="false" customHeight="false" outlineLevel="0" collapsed="false">
      <c r="A82" s="23" t="n">
        <v>46234</v>
      </c>
      <c r="B82" s="30" t="n">
        <v>-0.09921</v>
      </c>
      <c r="C82" s="30" t="n">
        <v>-0.03974</v>
      </c>
      <c r="D82" s="30" t="n">
        <v>-0.0296</v>
      </c>
      <c r="E82" s="30" t="n">
        <v>-0.04735</v>
      </c>
    </row>
    <row r="83" customFormat="false" ht="15" hidden="false" customHeight="false" outlineLevel="0" collapsed="false">
      <c r="A83" s="23" t="n">
        <v>46265</v>
      </c>
      <c r="B83" s="30" t="n">
        <v>-0.0085</v>
      </c>
      <c r="C83" s="30" t="n">
        <v>0.01981</v>
      </c>
      <c r="D83" s="30" t="n">
        <v>0.00222</v>
      </c>
      <c r="E83" s="30" t="n">
        <v>-0.01991</v>
      </c>
    </row>
    <row r="84" customFormat="false" ht="15" hidden="false" customHeight="false" outlineLevel="0" collapsed="false">
      <c r="A84" s="23" t="n">
        <v>46295</v>
      </c>
      <c r="B84" s="30" t="n">
        <v>0.01761</v>
      </c>
      <c r="C84" s="30" t="n">
        <v>-0.0154</v>
      </c>
      <c r="D84" s="30" t="n">
        <v>0.05747</v>
      </c>
      <c r="E84" s="30" t="n">
        <v>-0.02015</v>
      </c>
    </row>
  </sheetData>
  <mergeCells count="28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6" min="2" style="0" width="13"/>
  </cols>
  <sheetData>
    <row r="1" customFormat="false" ht="19.7" hidden="false" customHeight="false" outlineLevel="0" collapsed="false">
      <c r="A1" s="1" t="s">
        <v>543</v>
      </c>
    </row>
    <row r="2" customFormat="false" ht="15" hidden="false" customHeight="false" outlineLevel="0" collapsed="false">
      <c r="A2" s="2" t="s">
        <v>544</v>
      </c>
    </row>
    <row r="4" customFormat="false" ht="15" hidden="false" customHeight="true" outlineLevel="0" collapsed="false">
      <c r="A4" s="11" t="s">
        <v>44</v>
      </c>
      <c r="B4" s="11" t="s">
        <v>45</v>
      </c>
      <c r="C4" s="11"/>
      <c r="D4" s="11"/>
      <c r="E4" s="11"/>
      <c r="F4" s="11"/>
      <c r="G4" s="11"/>
      <c r="H4" s="11" t="s">
        <v>46</v>
      </c>
      <c r="I4" s="11" t="s">
        <v>47</v>
      </c>
      <c r="J4" s="11" t="s">
        <v>48</v>
      </c>
      <c r="K4" s="11"/>
      <c r="L4" s="11"/>
      <c r="M4" s="11"/>
    </row>
    <row r="5" customFormat="false" ht="18" hidden="false" customHeight="true" outlineLevel="0" collapsed="false">
      <c r="A5" s="12" t="s">
        <v>545</v>
      </c>
      <c r="B5" s="13" t="s">
        <v>546</v>
      </c>
      <c r="C5" s="13"/>
      <c r="D5" s="13"/>
      <c r="E5" s="13"/>
      <c r="F5" s="13"/>
      <c r="G5" s="13"/>
      <c r="H5" s="42"/>
      <c r="I5" s="12" t="str">
        <f aca="false">IF(H5="","",IFERROR(IF(ISNUMBER('Answer Key'!$D$77),IF(ABS(H5-'Answer Key'!$D$77)&lt;=MAX(0.0001,ABS('Answer Key'!$D$77)*0.001),"✓ Correct","✗ Try again"),IF(TRIM(H5)=TRIM('Answer Key'!$D$77),"✓ Correct","✗ Try again")),"✗ Try again"))</f>
        <v/>
      </c>
      <c r="J5" s="15" t="s">
        <v>547</v>
      </c>
      <c r="K5" s="15"/>
      <c r="L5" s="15"/>
      <c r="M5" s="15"/>
    </row>
    <row r="6" customFormat="false" ht="18" hidden="false" customHeight="true" outlineLevel="0" collapsed="false">
      <c r="A6" s="12" t="s">
        <v>548</v>
      </c>
      <c r="B6" s="13" t="s">
        <v>549</v>
      </c>
      <c r="C6" s="13"/>
      <c r="D6" s="13"/>
      <c r="E6" s="13"/>
      <c r="F6" s="13"/>
      <c r="G6" s="13"/>
      <c r="H6" s="42"/>
      <c r="I6" s="12" t="str">
        <f aca="false">IF(H6="","",IFERROR(IF(ISNUMBER('Answer Key'!$D$78),IF(ABS(H6-'Answer Key'!$D$78)&lt;=MAX(0.0001,ABS('Answer Key'!$D$78)*0.001),"✓ Correct","✗ Try again"),IF(TRIM(H6)=TRIM('Answer Key'!$D$78),"✓ Correct","✗ Try again")),"✗ Try again"))</f>
        <v/>
      </c>
      <c r="J6" s="15" t="s">
        <v>550</v>
      </c>
      <c r="K6" s="15"/>
      <c r="L6" s="15"/>
      <c r="M6" s="15"/>
    </row>
    <row r="7" customFormat="false" ht="18" hidden="false" customHeight="true" outlineLevel="0" collapsed="false">
      <c r="A7" s="12" t="s">
        <v>551</v>
      </c>
      <c r="B7" s="13" t="s">
        <v>552</v>
      </c>
      <c r="C7" s="13"/>
      <c r="D7" s="13"/>
      <c r="E7" s="13"/>
      <c r="F7" s="13"/>
      <c r="G7" s="13"/>
      <c r="H7" s="42"/>
      <c r="I7" s="12" t="str">
        <f aca="false">IF(H7="","",IFERROR(IF(ISNUMBER('Answer Key'!$D$79),IF(ABS(H7-'Answer Key'!$D$79)&lt;=MAX(0.0001,ABS('Answer Key'!$D$79)*0.001),"✓ Correct","✗ Try again"),IF(TRIM(H7)=TRIM('Answer Key'!$D$79),"✓ Correct","✗ Try again")),"✗ Try again"))</f>
        <v/>
      </c>
      <c r="J7" s="15" t="s">
        <v>553</v>
      </c>
      <c r="K7" s="15"/>
      <c r="L7" s="15"/>
      <c r="M7" s="15"/>
    </row>
    <row r="8" customFormat="false" ht="18" hidden="false" customHeight="true" outlineLevel="0" collapsed="false">
      <c r="A8" s="12" t="s">
        <v>554</v>
      </c>
      <c r="B8" s="13" t="s">
        <v>555</v>
      </c>
      <c r="C8" s="13"/>
      <c r="D8" s="13"/>
      <c r="E8" s="13"/>
      <c r="F8" s="13"/>
      <c r="G8" s="13"/>
      <c r="H8" s="38"/>
      <c r="I8" s="12" t="str">
        <f aca="false">IF(H8="","",IFERROR(IF(ISNUMBER('Answer Key'!$D$80),IF(ABS(H8-'Answer Key'!$D$80)&lt;=MAX(0.0001,ABS('Answer Key'!$D$80)*0.001),"✓ Correct","✗ Try again"),IF(TRIM(H8)=TRIM('Answer Key'!$D$80),"✓ Correct","✗ Try again")),"✗ Try again"))</f>
        <v/>
      </c>
      <c r="J8" s="15"/>
      <c r="K8" s="15"/>
      <c r="L8" s="15"/>
      <c r="M8" s="15"/>
    </row>
    <row r="9" customFormat="false" ht="18" hidden="false" customHeight="true" outlineLevel="0" collapsed="false">
      <c r="A9" s="12" t="s">
        <v>556</v>
      </c>
      <c r="B9" s="13" t="s">
        <v>557</v>
      </c>
      <c r="C9" s="13"/>
      <c r="D9" s="13"/>
      <c r="E9" s="13"/>
      <c r="F9" s="13"/>
      <c r="G9" s="13"/>
      <c r="H9" s="43"/>
      <c r="I9" s="12" t="str">
        <f aca="false">IF(H9="","",IFERROR(IF(ISNUMBER('Answer Key'!$D$81),IF(ABS(H9-'Answer Key'!$D$81)&lt;=MAX(0.0001,ABS('Answer Key'!$D$81)*0.001),"✓ Correct","✗ Try again"),IF(TRIM(H9)=TRIM('Answer Key'!$D$81),"✓ Correct","✗ Try again")),"✗ Try again"))</f>
        <v/>
      </c>
      <c r="J9" s="15" t="s">
        <v>558</v>
      </c>
      <c r="K9" s="15"/>
      <c r="L9" s="15"/>
      <c r="M9" s="15"/>
    </row>
    <row r="10" customFormat="false" ht="18" hidden="false" customHeight="true" outlineLevel="0" collapsed="false">
      <c r="A10" s="12" t="s">
        <v>559</v>
      </c>
      <c r="B10" s="13" t="s">
        <v>560</v>
      </c>
      <c r="C10" s="13"/>
      <c r="D10" s="13"/>
      <c r="E10" s="13"/>
      <c r="F10" s="13"/>
      <c r="G10" s="13"/>
      <c r="H10" s="38"/>
      <c r="I10" s="12" t="str">
        <f aca="false">IF(H10="","",IFERROR(IF(ISNUMBER('Answer Key'!$D$82),IF(ABS(H10-'Answer Key'!$D$82)&lt;=MAX(0.0001,ABS('Answer Key'!$D$82)*0.001),"✓ Correct","✗ Try again"),IF(TRIM(H10)=TRIM('Answer Key'!$D$82),"✓ Correct","✗ Try again")),"✗ Try again"))</f>
        <v/>
      </c>
      <c r="J10" s="15" t="s">
        <v>561</v>
      </c>
      <c r="K10" s="15"/>
      <c r="L10" s="15"/>
      <c r="M10" s="15"/>
    </row>
    <row r="11" customFormat="false" ht="18" hidden="false" customHeight="true" outlineLevel="0" collapsed="false">
      <c r="A11" s="12" t="s">
        <v>562</v>
      </c>
      <c r="B11" s="13" t="s">
        <v>563</v>
      </c>
      <c r="C11" s="13"/>
      <c r="D11" s="13"/>
      <c r="E11" s="13"/>
      <c r="F11" s="13"/>
      <c r="G11" s="13"/>
      <c r="H11" s="27"/>
      <c r="I11" s="12" t="str">
        <f aca="false">IF(H11="","",IFERROR(IF(ISNUMBER('Answer Key'!$D$83),IF(ABS(H11-'Answer Key'!$D$83)&lt;=MAX(0.0001,ABS('Answer Key'!$D$83)*0.001),"✓ Correct","✗ Try again"),IF(TRIM(H11)=TRIM('Answer Key'!$D$83),"✓ Correct","✗ Try again")),"✗ Try again"))</f>
        <v/>
      </c>
      <c r="J11" s="15" t="s">
        <v>564</v>
      </c>
      <c r="K11" s="15"/>
      <c r="L11" s="15"/>
      <c r="M11" s="15"/>
    </row>
    <row r="12" customFormat="false" ht="18" hidden="false" customHeight="true" outlineLevel="0" collapsed="false">
      <c r="A12" s="12" t="s">
        <v>565</v>
      </c>
      <c r="B12" s="13" t="s">
        <v>566</v>
      </c>
      <c r="C12" s="13"/>
      <c r="D12" s="13"/>
      <c r="E12" s="13"/>
      <c r="F12" s="13"/>
      <c r="G12" s="13"/>
      <c r="H12" s="27"/>
      <c r="I12" s="12" t="str">
        <f aca="false">IF(H12="","",IFERROR(IF(ISNUMBER('Answer Key'!$D$84),IF(ABS(H12-'Answer Key'!$D$84)&lt;=MAX(0.0001,ABS('Answer Key'!$D$84)*0.001),"✓ Correct","✗ Try again"),IF(TRIM(H12)=TRIM('Answer Key'!$D$84),"✓ Correct","✗ Try again")),"✗ Try again"))</f>
        <v/>
      </c>
      <c r="J12" s="15" t="s">
        <v>567</v>
      </c>
      <c r="K12" s="15"/>
      <c r="L12" s="15"/>
      <c r="M12" s="15"/>
    </row>
    <row r="13" customFormat="false" ht="18" hidden="false" customHeight="true" outlineLevel="0" collapsed="false">
      <c r="A13" s="12" t="s">
        <v>568</v>
      </c>
      <c r="B13" s="13" t="s">
        <v>569</v>
      </c>
      <c r="C13" s="13"/>
      <c r="D13" s="13"/>
      <c r="E13" s="13"/>
      <c r="F13" s="13"/>
      <c r="G13" s="13"/>
      <c r="H13" s="27"/>
      <c r="I13" s="12" t="str">
        <f aca="false">IF(H13="","",IFERROR(IF(ISNUMBER('Answer Key'!$D$85),IF(ABS(H13-'Answer Key'!$D$85)&lt;=MAX(0.0001,ABS('Answer Key'!$D$85)*0.001),"✓ Correct","✗ Try again"),IF(TRIM(H13)=TRIM('Answer Key'!$D$85),"✓ Correct","✗ Try again")),"✗ Try again"))</f>
        <v/>
      </c>
      <c r="J13" s="15" t="s">
        <v>570</v>
      </c>
      <c r="K13" s="15"/>
      <c r="L13" s="15"/>
      <c r="M13" s="15"/>
    </row>
    <row r="14" customFormat="false" ht="18" hidden="false" customHeight="true" outlineLevel="0" collapsed="false">
      <c r="A14" s="12" t="s">
        <v>571</v>
      </c>
      <c r="B14" s="13" t="s">
        <v>572</v>
      </c>
      <c r="C14" s="13"/>
      <c r="D14" s="13"/>
      <c r="E14" s="13"/>
      <c r="F14" s="13"/>
      <c r="G14" s="13"/>
      <c r="H14" s="27"/>
      <c r="I14" s="12" t="str">
        <f aca="false">IF(H14="","",IFERROR(IF(ISNUMBER('Answer Key'!$D$86),IF(ABS(H14-'Answer Key'!$D$86)&lt;=MAX(0.0001,ABS('Answer Key'!$D$86)*0.001),"✓ Correct","✗ Try again"),IF(TRIM(H14)=TRIM('Answer Key'!$D$86),"✓ Correct","✗ Try again")),"✗ Try again"))</f>
        <v/>
      </c>
      <c r="J14" s="15"/>
      <c r="K14" s="15"/>
      <c r="L14" s="15"/>
      <c r="M14" s="15"/>
    </row>
    <row r="15" customFormat="false" ht="18" hidden="false" customHeight="true" outlineLevel="0" collapsed="false">
      <c r="A15" s="12" t="s">
        <v>573</v>
      </c>
      <c r="B15" s="13" t="s">
        <v>574</v>
      </c>
      <c r="C15" s="13"/>
      <c r="D15" s="13"/>
      <c r="E15" s="13"/>
      <c r="F15" s="13"/>
      <c r="G15" s="13"/>
      <c r="H15" s="38"/>
      <c r="I15" s="12" t="str">
        <f aca="false">IF(H15="","",IFERROR(IF(ISNUMBER('Answer Key'!$D$87),IF(ABS(H15-'Answer Key'!$D$87)&lt;=MAX(0.0001,ABS('Answer Key'!$D$87)*0.001),"✓ Correct","✗ Try again"),IF(TRIM(H15)=TRIM('Answer Key'!$D$87),"✓ Correct","✗ Try again")),"✗ Try again"))</f>
        <v/>
      </c>
      <c r="J15" s="15"/>
      <c r="K15" s="15"/>
      <c r="L15" s="15"/>
      <c r="M15" s="15"/>
    </row>
    <row r="16" customFormat="false" ht="18" hidden="false" customHeight="true" outlineLevel="0" collapsed="false">
      <c r="A16" s="12" t="s">
        <v>575</v>
      </c>
      <c r="B16" s="13" t="s">
        <v>576</v>
      </c>
      <c r="C16" s="13"/>
      <c r="D16" s="13"/>
      <c r="E16" s="13"/>
      <c r="F16" s="13"/>
      <c r="G16" s="13"/>
      <c r="H16" s="27"/>
      <c r="I16" s="12" t="str">
        <f aca="false">IF(H16="","",IFERROR(IF(ISNUMBER('Answer Key'!$D$88),IF(ABS(H16-'Answer Key'!$D$88)&lt;=MAX(0.0001,ABS('Answer Key'!$D$88)*0.001),"✓ Correct","✗ Try again"),IF(TRIM(H16)=TRIM('Answer Key'!$D$88),"✓ Correct","✗ Try again")),"✗ Try again"))</f>
        <v/>
      </c>
      <c r="J16" s="15" t="s">
        <v>577</v>
      </c>
      <c r="K16" s="15"/>
      <c r="L16" s="15"/>
      <c r="M16" s="15"/>
    </row>
    <row r="17" customFormat="false" ht="18" hidden="false" customHeight="true" outlineLevel="0" collapsed="false">
      <c r="A17" s="12" t="s">
        <v>578</v>
      </c>
      <c r="B17" s="13" t="s">
        <v>579</v>
      </c>
      <c r="C17" s="13"/>
      <c r="D17" s="13"/>
      <c r="E17" s="13"/>
      <c r="F17" s="13"/>
      <c r="G17" s="13"/>
      <c r="H17" s="38"/>
      <c r="I17" s="12" t="str">
        <f aca="false">IF(H17="","",IFERROR(IF(ISNUMBER('Answer Key'!$D$89),IF(ABS(H17-'Answer Key'!$D$89)&lt;=MAX(0.0001,ABS('Answer Key'!$D$89)*0.001),"✓ Correct","✗ Try again"),IF(TRIM(H17)=TRIM('Answer Key'!$D$89),"✓ Correct","✗ Try again")),"✗ Try again"))</f>
        <v/>
      </c>
      <c r="J17" s="15"/>
      <c r="K17" s="15"/>
      <c r="L17" s="15"/>
      <c r="M17" s="15"/>
    </row>
    <row r="18" customFormat="false" ht="31.5" hidden="false" customHeight="true" outlineLevel="0" collapsed="false">
      <c r="A18" s="12" t="s">
        <v>580</v>
      </c>
      <c r="B18" s="13" t="s">
        <v>581</v>
      </c>
      <c r="C18" s="13"/>
      <c r="D18" s="13"/>
      <c r="E18" s="13"/>
      <c r="F18" s="13"/>
      <c r="G18" s="13"/>
      <c r="H18" s="16"/>
      <c r="I18" s="12" t="str">
        <f aca="false">IF(H18="","",IFERROR(IF(ISNUMBER('Answer Key'!$D$90),IF(ABS(H18-'Answer Key'!$D$90)&lt;=MAX(0.0001,ABS('Answer Key'!$D$90)*0.001),"✓ Correct","✗ Try again"),IF(TRIM(H18)=TRIM('Answer Key'!$D$90),"✓ Correct","✗ Try again")),"✗ Try again"))</f>
        <v/>
      </c>
      <c r="J18" s="15" t="s">
        <v>582</v>
      </c>
      <c r="K18" s="15"/>
      <c r="L18" s="15"/>
      <c r="M18" s="15"/>
    </row>
    <row r="19" customFormat="false" ht="18" hidden="false" customHeight="true" outlineLevel="0" collapsed="false">
      <c r="A19" s="12" t="s">
        <v>583</v>
      </c>
      <c r="B19" s="13" t="s">
        <v>584</v>
      </c>
      <c r="C19" s="13"/>
      <c r="D19" s="13"/>
      <c r="E19" s="13"/>
      <c r="F19" s="13"/>
      <c r="G19" s="13"/>
      <c r="H19" s="27"/>
      <c r="I19" s="12" t="str">
        <f aca="false">IF(H19="","",IFERROR(IF(ISNUMBER('Answer Key'!$D$91),IF(ABS(H19-'Answer Key'!$D$91)&lt;=MAX(0.0001,ABS('Answer Key'!$D$91)*0.001),"✓ Correct","✗ Try again"),IF(TRIM(H19)=TRIM('Answer Key'!$D$91),"✓ Correct","✗ Try again")),"✗ Try again"))</f>
        <v/>
      </c>
      <c r="J19" s="15" t="s">
        <v>585</v>
      </c>
      <c r="K19" s="15"/>
      <c r="L19" s="15"/>
      <c r="M19" s="15"/>
    </row>
    <row r="20" customFormat="false" ht="60" hidden="false" customHeight="true" outlineLevel="0" collapsed="false">
      <c r="A20" s="12" t="s">
        <v>586</v>
      </c>
      <c r="B20" s="13" t="s">
        <v>587</v>
      </c>
      <c r="C20" s="13"/>
      <c r="D20" s="13"/>
      <c r="E20" s="13"/>
      <c r="F20" s="13"/>
      <c r="G20" s="13"/>
      <c r="H20" s="16"/>
      <c r="I20" s="12" t="str">
        <f aca="false">IF(H20="","",IFERROR(IF(ISNUMBER('Answer Key'!$D$92),IF(ABS(H20-'Answer Key'!$D$92)&lt;=MAX(0.0001,ABS('Answer Key'!$D$92)*0.001),"✓ Correct","✗ Try again"),IF(TRIM(H20)=TRIM('Answer Key'!$D$92),"✓ Correct","✗ Try again")),"✗ Try again"))</f>
        <v/>
      </c>
      <c r="J20" s="15" t="s">
        <v>588</v>
      </c>
      <c r="K20" s="15"/>
      <c r="L20" s="15"/>
      <c r="M20" s="15"/>
    </row>
    <row r="21" customFormat="false" ht="15" hidden="false" customHeight="false" outlineLevel="0" collapsed="false">
      <c r="G21" s="18" t="s">
        <v>88</v>
      </c>
      <c r="H21" s="4" t="str">
        <f aca="false">COUNTIF(I5:I20,"✓ Correct")&amp;" / 16"</f>
        <v>0 / 16</v>
      </c>
    </row>
    <row r="24" customFormat="false" ht="15" hidden="false" customHeight="false" outlineLevel="0" collapsed="false">
      <c r="A24" s="19" t="s">
        <v>89</v>
      </c>
    </row>
    <row r="25" customFormat="false" ht="15" hidden="false" customHeight="false" outlineLevel="0" collapsed="false">
      <c r="A25" s="2" t="s">
        <v>589</v>
      </c>
    </row>
    <row r="27" customFormat="false" ht="15" hidden="false" customHeight="false" outlineLevel="0" collapsed="false">
      <c r="A27" s="11" t="s">
        <v>590</v>
      </c>
      <c r="B27" s="11" t="s">
        <v>591</v>
      </c>
      <c r="C27" s="11" t="s">
        <v>592</v>
      </c>
      <c r="D27" s="11" t="s">
        <v>593</v>
      </c>
      <c r="E27" s="11" t="s">
        <v>594</v>
      </c>
      <c r="F27" s="11" t="s">
        <v>595</v>
      </c>
    </row>
    <row r="28" customFormat="false" ht="15" hidden="false" customHeight="false" outlineLevel="0" collapsed="false">
      <c r="A28" s="9" t="s">
        <v>596</v>
      </c>
      <c r="B28" s="44" t="n">
        <v>4000</v>
      </c>
      <c r="C28" s="44" t="n">
        <v>4288</v>
      </c>
      <c r="D28" s="44" t="n">
        <v>4536.7</v>
      </c>
      <c r="E28" s="44" t="n">
        <v>4827</v>
      </c>
      <c r="F28" s="44" t="n">
        <v>5073.2</v>
      </c>
    </row>
    <row r="29" customFormat="false" ht="15" hidden="false" customHeight="false" outlineLevel="0" collapsed="false">
      <c r="A29" s="9" t="s">
        <v>597</v>
      </c>
      <c r="B29" s="44" t="n">
        <v>2360</v>
      </c>
      <c r="C29" s="44" t="n">
        <v>2508.5</v>
      </c>
      <c r="D29" s="44" t="n">
        <v>2640.4</v>
      </c>
      <c r="E29" s="44" t="n">
        <v>2790</v>
      </c>
      <c r="F29" s="44" t="n">
        <v>2917.1</v>
      </c>
    </row>
    <row r="30" customFormat="false" ht="15" hidden="false" customHeight="false" outlineLevel="0" collapsed="false">
      <c r="A30" s="9" t="s">
        <v>598</v>
      </c>
      <c r="B30" s="44" t="n">
        <v>884</v>
      </c>
      <c r="C30" s="44" t="n">
        <v>939.1</v>
      </c>
      <c r="D30" s="44" t="n">
        <v>989</v>
      </c>
      <c r="E30" s="44" t="n">
        <v>1042.6</v>
      </c>
      <c r="F30" s="44" t="n">
        <v>1085.7</v>
      </c>
    </row>
    <row r="31" customFormat="false" ht="15" hidden="false" customHeight="false" outlineLevel="0" collapsed="false">
      <c r="A31" s="9" t="s">
        <v>599</v>
      </c>
      <c r="B31" s="44" t="n">
        <v>164</v>
      </c>
      <c r="C31" s="44" t="n">
        <v>175.8</v>
      </c>
      <c r="D31" s="44" t="n">
        <v>186</v>
      </c>
      <c r="E31" s="44" t="n">
        <v>197.9</v>
      </c>
      <c r="F31" s="44" t="n">
        <v>208</v>
      </c>
    </row>
    <row r="32" customFormat="false" ht="15" hidden="false" customHeight="false" outlineLevel="0" collapsed="false">
      <c r="A32" s="9" t="s">
        <v>600</v>
      </c>
      <c r="B32" s="44" t="n">
        <v>62</v>
      </c>
      <c r="C32" s="44" t="n">
        <v>64.5</v>
      </c>
      <c r="D32" s="44" t="n">
        <v>70.2</v>
      </c>
      <c r="E32" s="44" t="n">
        <v>68.8</v>
      </c>
      <c r="F32" s="44" t="n">
        <v>66</v>
      </c>
    </row>
    <row r="33" customFormat="false" ht="15" hidden="false" customHeight="false" outlineLevel="0" collapsed="false">
      <c r="A33" s="9" t="s">
        <v>601</v>
      </c>
      <c r="B33" s="44" t="n">
        <v>124.5</v>
      </c>
      <c r="C33" s="44" t="n">
        <v>141</v>
      </c>
      <c r="D33" s="44" t="n">
        <v>153</v>
      </c>
      <c r="E33" s="44" t="n">
        <v>171</v>
      </c>
      <c r="F33" s="44" t="n">
        <v>187.2</v>
      </c>
    </row>
    <row r="34" customFormat="false" ht="15" hidden="false" customHeight="false" outlineLevel="0" collapsed="false">
      <c r="A34" s="9" t="s">
        <v>602</v>
      </c>
      <c r="B34" s="44" t="n">
        <v>550.6</v>
      </c>
      <c r="C34" s="44" t="n">
        <v>637.5</v>
      </c>
      <c r="D34" s="44" t="n">
        <v>730.2</v>
      </c>
      <c r="E34" s="44" t="n">
        <v>715.5</v>
      </c>
      <c r="F34" s="44" t="n">
        <v>818.3</v>
      </c>
    </row>
    <row r="35" customFormat="false" ht="15" hidden="false" customHeight="false" outlineLevel="0" collapsed="false">
      <c r="A35" s="9" t="s">
        <v>603</v>
      </c>
      <c r="B35" s="44" t="n">
        <v>180</v>
      </c>
      <c r="C35" s="44" t="n">
        <v>193</v>
      </c>
      <c r="D35" s="44" t="n">
        <v>204.2</v>
      </c>
      <c r="E35" s="44" t="n">
        <v>217.2</v>
      </c>
      <c r="F35" s="44" t="n">
        <v>228.3</v>
      </c>
    </row>
    <row r="36" customFormat="false" ht="15" hidden="false" customHeight="false" outlineLevel="0" collapsed="false">
      <c r="A36" s="9" t="s">
        <v>604</v>
      </c>
      <c r="B36" s="44" t="n">
        <v>154.1</v>
      </c>
      <c r="C36" s="44" t="n">
        <v>174.5</v>
      </c>
      <c r="D36" s="44" t="n">
        <v>189.3</v>
      </c>
      <c r="E36" s="44" t="n">
        <v>211.5</v>
      </c>
      <c r="F36" s="44" t="n">
        <v>231.5</v>
      </c>
    </row>
    <row r="37" customFormat="false" ht="15" hidden="false" customHeight="false" outlineLevel="0" collapsed="false">
      <c r="A37" s="9" t="s">
        <v>605</v>
      </c>
      <c r="B37" s="44" t="n">
        <v>262</v>
      </c>
      <c r="C37" s="44" t="n">
        <v>259.4</v>
      </c>
      <c r="D37" s="44" t="n">
        <v>256.1</v>
      </c>
      <c r="E37" s="44" t="n">
        <v>253.8</v>
      </c>
      <c r="F37" s="44" t="n">
        <v>250.2</v>
      </c>
    </row>
    <row r="39" customFormat="false" ht="15" hidden="false" customHeight="false" outlineLevel="0" collapsed="false">
      <c r="A39" s="19" t="s">
        <v>606</v>
      </c>
    </row>
    <row r="40" customFormat="false" ht="15" hidden="false" customHeight="false" outlineLevel="0" collapsed="false">
      <c r="A40" s="4" t="s">
        <v>607</v>
      </c>
      <c r="B40" s="45" t="n">
        <v>33.4</v>
      </c>
    </row>
    <row r="41" customFormat="false" ht="15" hidden="false" customHeight="false" outlineLevel="0" collapsed="false">
      <c r="A41" s="4" t="s">
        <v>608</v>
      </c>
      <c r="B41" s="46" t="n">
        <v>1520</v>
      </c>
    </row>
    <row r="42" customFormat="false" ht="15" hidden="false" customHeight="false" outlineLevel="0" collapsed="false">
      <c r="A42" s="4" t="s">
        <v>609</v>
      </c>
      <c r="B42" s="46" t="n">
        <v>410</v>
      </c>
    </row>
    <row r="43" customFormat="false" ht="15" hidden="false" customHeight="false" outlineLevel="0" collapsed="false">
      <c r="A43" s="4" t="s">
        <v>610</v>
      </c>
      <c r="B43" s="46" t="n">
        <v>48</v>
      </c>
    </row>
    <row r="44" customFormat="false" ht="15" hidden="false" customHeight="false" outlineLevel="0" collapsed="false">
      <c r="A44" s="4" t="s">
        <v>611</v>
      </c>
      <c r="B44" s="46" t="n">
        <v>100</v>
      </c>
    </row>
    <row r="45" customFormat="false" ht="15" hidden="false" customHeight="false" outlineLevel="0" collapsed="false">
      <c r="A45" s="4" t="s">
        <v>612</v>
      </c>
      <c r="B45" s="47" t="n">
        <v>8</v>
      </c>
      <c r="C45" s="2" t="s">
        <v>613</v>
      </c>
    </row>
    <row r="46" customFormat="false" ht="15" hidden="false" customHeight="false" outlineLevel="0" collapsed="false">
      <c r="A46" s="4" t="s">
        <v>614</v>
      </c>
      <c r="B46" s="48" t="n">
        <v>0.09</v>
      </c>
    </row>
    <row r="47" customFormat="false" ht="15" hidden="false" customHeight="false" outlineLevel="0" collapsed="false">
      <c r="A47" s="4" t="s">
        <v>615</v>
      </c>
      <c r="B47" s="48" t="n">
        <v>0.05</v>
      </c>
    </row>
    <row r="48" customFormat="false" ht="15" hidden="false" customHeight="false" outlineLevel="0" collapsed="false">
      <c r="A48" s="4" t="s">
        <v>616</v>
      </c>
      <c r="B48" s="48" t="n">
        <v>0.025</v>
      </c>
    </row>
  </sheetData>
  <mergeCells count="34">
    <mergeCell ref="B4:G4"/>
    <mergeCell ref="J4:M4"/>
    <mergeCell ref="B5:G5"/>
    <mergeCell ref="J5:M5"/>
    <mergeCell ref="B6:G6"/>
    <mergeCell ref="J6:M6"/>
    <mergeCell ref="B7:G7"/>
    <mergeCell ref="J7:M7"/>
    <mergeCell ref="B8:G8"/>
    <mergeCell ref="J8:M8"/>
    <mergeCell ref="B9:G9"/>
    <mergeCell ref="J9:M9"/>
    <mergeCell ref="B10:G10"/>
    <mergeCell ref="J10:M10"/>
    <mergeCell ref="B11:G11"/>
    <mergeCell ref="J11:M11"/>
    <mergeCell ref="B12:G12"/>
    <mergeCell ref="J12:M12"/>
    <mergeCell ref="B13:G13"/>
    <mergeCell ref="J13:M13"/>
    <mergeCell ref="B14:G14"/>
    <mergeCell ref="J14:M14"/>
    <mergeCell ref="B15:G15"/>
    <mergeCell ref="J15:M15"/>
    <mergeCell ref="B16:G16"/>
    <mergeCell ref="J16:M16"/>
    <mergeCell ref="B17:G17"/>
    <mergeCell ref="J17:M17"/>
    <mergeCell ref="B18:G18"/>
    <mergeCell ref="J18:M18"/>
    <mergeCell ref="B19:G19"/>
    <mergeCell ref="J19:M19"/>
    <mergeCell ref="B20:G20"/>
    <mergeCell ref="J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1" t="s">
        <v>617</v>
      </c>
    </row>
    <row r="2" customFormat="false" ht="15" hidden="false" customHeight="false" outlineLevel="0" collapsed="false">
      <c r="A2" s="2" t="s">
        <v>618</v>
      </c>
    </row>
    <row r="4" customFormat="false" ht="15" hidden="false" customHeight="false" outlineLevel="0" collapsed="false">
      <c r="A4" s="3" t="s">
        <v>619</v>
      </c>
      <c r="B4" s="3"/>
      <c r="C4" s="3"/>
    </row>
    <row r="5" customFormat="false" ht="22.35" hidden="false" customHeight="false" outlineLevel="0" collapsed="false">
      <c r="A5" s="49" t="s">
        <v>620</v>
      </c>
      <c r="B5" s="50" t="s">
        <v>621</v>
      </c>
      <c r="C5" s="51" t="s">
        <v>622</v>
      </c>
    </row>
    <row r="6" customFormat="false" ht="15" hidden="false" customHeight="false" outlineLevel="0" collapsed="false">
      <c r="A6" s="49" t="s">
        <v>623</v>
      </c>
      <c r="B6" s="50" t="s">
        <v>624</v>
      </c>
      <c r="C6" s="51" t="s">
        <v>625</v>
      </c>
    </row>
    <row r="7" customFormat="false" ht="22.35" hidden="false" customHeight="false" outlineLevel="0" collapsed="false">
      <c r="A7" s="49" t="s">
        <v>626</v>
      </c>
      <c r="B7" s="50" t="s">
        <v>627</v>
      </c>
      <c r="C7" s="51" t="s">
        <v>628</v>
      </c>
    </row>
    <row r="8" customFormat="false" ht="15" hidden="false" customHeight="false" outlineLevel="0" collapsed="false">
      <c r="A8" s="49" t="s">
        <v>629</v>
      </c>
      <c r="B8" s="50" t="s">
        <v>630</v>
      </c>
      <c r="C8" s="51" t="s">
        <v>631</v>
      </c>
    </row>
    <row r="9" customFormat="false" ht="23.85" hidden="false" customHeight="false" outlineLevel="0" collapsed="false">
      <c r="A9" s="49" t="s">
        <v>632</v>
      </c>
      <c r="B9" s="50" t="s">
        <v>633</v>
      </c>
      <c r="C9" s="51" t="s">
        <v>634</v>
      </c>
    </row>
    <row r="10" customFormat="false" ht="15" hidden="false" customHeight="false" outlineLevel="0" collapsed="false">
      <c r="A10" s="49" t="s">
        <v>635</v>
      </c>
      <c r="B10" s="50" t="s">
        <v>636</v>
      </c>
      <c r="C10" s="51" t="s">
        <v>637</v>
      </c>
    </row>
    <row r="11" customFormat="false" ht="15" hidden="false" customHeight="false" outlineLevel="0" collapsed="false">
      <c r="A11" s="3" t="s">
        <v>638</v>
      </c>
      <c r="B11" s="3"/>
      <c r="C11" s="3"/>
    </row>
    <row r="12" customFormat="false" ht="23.85" hidden="false" customHeight="false" outlineLevel="0" collapsed="false">
      <c r="A12" s="49" t="s">
        <v>639</v>
      </c>
      <c r="B12" s="50" t="s">
        <v>640</v>
      </c>
      <c r="C12" s="51" t="s">
        <v>641</v>
      </c>
    </row>
    <row r="13" customFormat="false" ht="15" hidden="false" customHeight="false" outlineLevel="0" collapsed="false">
      <c r="A13" s="49" t="s">
        <v>642</v>
      </c>
      <c r="B13" s="50" t="s">
        <v>643</v>
      </c>
      <c r="C13" s="51" t="s">
        <v>644</v>
      </c>
    </row>
    <row r="14" customFormat="false" ht="15" hidden="false" customHeight="false" outlineLevel="0" collapsed="false">
      <c r="A14" s="49" t="s">
        <v>645</v>
      </c>
      <c r="B14" s="50" t="s">
        <v>646</v>
      </c>
      <c r="C14" s="51" t="s">
        <v>647</v>
      </c>
    </row>
    <row r="15" customFormat="false" ht="22.35" hidden="false" customHeight="false" outlineLevel="0" collapsed="false">
      <c r="A15" s="49" t="s">
        <v>648</v>
      </c>
      <c r="B15" s="50" t="s">
        <v>649</v>
      </c>
      <c r="C15" s="51" t="s">
        <v>650</v>
      </c>
    </row>
    <row r="16" customFormat="false" ht="15" hidden="false" customHeight="false" outlineLevel="0" collapsed="false">
      <c r="A16" s="3" t="s">
        <v>651</v>
      </c>
      <c r="B16" s="3"/>
      <c r="C16" s="3"/>
    </row>
    <row r="17" customFormat="false" ht="15" hidden="false" customHeight="false" outlineLevel="0" collapsed="false">
      <c r="A17" s="49" t="s">
        <v>652</v>
      </c>
      <c r="B17" s="50" t="s">
        <v>653</v>
      </c>
      <c r="C17" s="51" t="s">
        <v>654</v>
      </c>
    </row>
    <row r="18" customFormat="false" ht="15" hidden="false" customHeight="false" outlineLevel="0" collapsed="false">
      <c r="A18" s="49" t="s">
        <v>655</v>
      </c>
      <c r="B18" s="50" t="s">
        <v>656</v>
      </c>
      <c r="C18" s="51" t="s">
        <v>657</v>
      </c>
    </row>
    <row r="19" customFormat="false" ht="15" hidden="false" customHeight="false" outlineLevel="0" collapsed="false">
      <c r="A19" s="49" t="s">
        <v>658</v>
      </c>
      <c r="B19" s="50" t="s">
        <v>659</v>
      </c>
      <c r="C19" s="51" t="s">
        <v>660</v>
      </c>
    </row>
    <row r="20" customFormat="false" ht="15" hidden="false" customHeight="false" outlineLevel="0" collapsed="false">
      <c r="A20" s="49" t="s">
        <v>661</v>
      </c>
      <c r="B20" s="50" t="s">
        <v>662</v>
      </c>
      <c r="C20" s="51" t="s">
        <v>663</v>
      </c>
    </row>
    <row r="21" customFormat="false" ht="15" hidden="false" customHeight="false" outlineLevel="0" collapsed="false">
      <c r="A21" s="49" t="s">
        <v>664</v>
      </c>
      <c r="B21" s="50" t="s">
        <v>665</v>
      </c>
      <c r="C21" s="51" t="s">
        <v>666</v>
      </c>
    </row>
    <row r="22" customFormat="false" ht="15" hidden="false" customHeight="false" outlineLevel="0" collapsed="false">
      <c r="A22" s="49" t="s">
        <v>667</v>
      </c>
      <c r="B22" s="50" t="s">
        <v>668</v>
      </c>
      <c r="C22" s="51" t="s">
        <v>669</v>
      </c>
    </row>
    <row r="23" customFormat="false" ht="15" hidden="false" customHeight="false" outlineLevel="0" collapsed="false">
      <c r="A23" s="49" t="s">
        <v>670</v>
      </c>
      <c r="B23" s="50" t="s">
        <v>671</v>
      </c>
      <c r="C23" s="51" t="s">
        <v>672</v>
      </c>
    </row>
    <row r="24" customFormat="false" ht="15" hidden="false" customHeight="false" outlineLevel="0" collapsed="false">
      <c r="A24" s="49" t="s">
        <v>673</v>
      </c>
      <c r="B24" s="50" t="s">
        <v>674</v>
      </c>
      <c r="C24" s="51"/>
    </row>
    <row r="25" customFormat="false" ht="15" hidden="false" customHeight="false" outlineLevel="0" collapsed="false">
      <c r="A25" s="3" t="s">
        <v>675</v>
      </c>
      <c r="B25" s="3"/>
      <c r="C25" s="3"/>
    </row>
    <row r="26" customFormat="false" ht="15" hidden="false" customHeight="false" outlineLevel="0" collapsed="false">
      <c r="A26" s="49" t="s">
        <v>676</v>
      </c>
      <c r="B26" s="50" t="s">
        <v>677</v>
      </c>
      <c r="C26" s="51" t="s">
        <v>678</v>
      </c>
    </row>
    <row r="27" customFormat="false" ht="15" hidden="false" customHeight="false" outlineLevel="0" collapsed="false">
      <c r="A27" s="49" t="s">
        <v>459</v>
      </c>
      <c r="B27" s="50" t="s">
        <v>679</v>
      </c>
      <c r="C27" s="51" t="s">
        <v>680</v>
      </c>
    </row>
    <row r="28" customFormat="false" ht="15" hidden="false" customHeight="false" outlineLevel="0" collapsed="false">
      <c r="A28" s="49" t="s">
        <v>681</v>
      </c>
      <c r="B28" s="50" t="s">
        <v>682</v>
      </c>
      <c r="C28" s="51" t="s">
        <v>683</v>
      </c>
    </row>
    <row r="29" customFormat="false" ht="15" hidden="false" customHeight="false" outlineLevel="0" collapsed="false">
      <c r="A29" s="49" t="s">
        <v>684</v>
      </c>
      <c r="B29" s="50" t="s">
        <v>685</v>
      </c>
      <c r="C29" s="51"/>
    </row>
    <row r="30" customFormat="false" ht="15" hidden="false" customHeight="false" outlineLevel="0" collapsed="false">
      <c r="A30" s="49" t="s">
        <v>686</v>
      </c>
      <c r="B30" s="50" t="s">
        <v>687</v>
      </c>
      <c r="C30" s="51" t="s">
        <v>688</v>
      </c>
    </row>
    <row r="31" customFormat="false" ht="15" hidden="false" customHeight="false" outlineLevel="0" collapsed="false">
      <c r="A31" s="49" t="s">
        <v>689</v>
      </c>
      <c r="B31" s="50" t="s">
        <v>690</v>
      </c>
      <c r="C31" s="51" t="s">
        <v>691</v>
      </c>
    </row>
    <row r="32" customFormat="false" ht="23.85" hidden="false" customHeight="false" outlineLevel="0" collapsed="false">
      <c r="A32" s="49" t="s">
        <v>692</v>
      </c>
      <c r="B32" s="50" t="s">
        <v>693</v>
      </c>
      <c r="C32" s="51" t="s">
        <v>694</v>
      </c>
    </row>
    <row r="33" customFormat="false" ht="15" hidden="false" customHeight="false" outlineLevel="0" collapsed="false">
      <c r="A33" s="3" t="s">
        <v>695</v>
      </c>
      <c r="B33" s="3"/>
      <c r="C33" s="3"/>
    </row>
    <row r="34" customFormat="false" ht="22.35" hidden="false" customHeight="false" outlineLevel="0" collapsed="false">
      <c r="A34" s="49" t="s">
        <v>696</v>
      </c>
      <c r="B34" s="50" t="s">
        <v>697</v>
      </c>
      <c r="C34" s="51" t="s">
        <v>698</v>
      </c>
    </row>
    <row r="35" customFormat="false" ht="15" hidden="false" customHeight="false" outlineLevel="0" collapsed="false">
      <c r="A35" s="49" t="s">
        <v>699</v>
      </c>
      <c r="B35" s="50" t="s">
        <v>700</v>
      </c>
      <c r="C35" s="51" t="s">
        <v>701</v>
      </c>
    </row>
    <row r="36" customFormat="false" ht="15" hidden="false" customHeight="false" outlineLevel="0" collapsed="false">
      <c r="A36" s="49" t="s">
        <v>702</v>
      </c>
      <c r="B36" s="50" t="s">
        <v>703</v>
      </c>
      <c r="C36" s="51" t="s">
        <v>704</v>
      </c>
    </row>
    <row r="37" customFormat="false" ht="15" hidden="false" customHeight="false" outlineLevel="0" collapsed="false">
      <c r="A37" s="3" t="s">
        <v>705</v>
      </c>
      <c r="B37" s="3"/>
      <c r="C37" s="3"/>
    </row>
    <row r="38" customFormat="false" ht="15" hidden="false" customHeight="false" outlineLevel="0" collapsed="false">
      <c r="A38" s="49" t="s">
        <v>706</v>
      </c>
      <c r="B38" s="50" t="s">
        <v>707</v>
      </c>
      <c r="C38" s="51" t="s">
        <v>708</v>
      </c>
    </row>
    <row r="39" customFormat="false" ht="15" hidden="false" customHeight="false" outlineLevel="0" collapsed="false">
      <c r="A39" s="49" t="s">
        <v>709</v>
      </c>
      <c r="B39" s="50" t="s">
        <v>710</v>
      </c>
      <c r="C39" s="51"/>
    </row>
    <row r="40" customFormat="false" ht="15" hidden="false" customHeight="false" outlineLevel="0" collapsed="false">
      <c r="A40" s="49" t="s">
        <v>711</v>
      </c>
      <c r="B40" s="50" t="s">
        <v>712</v>
      </c>
      <c r="C40" s="51" t="s">
        <v>713</v>
      </c>
    </row>
    <row r="41" customFormat="false" ht="15" hidden="false" customHeight="false" outlineLevel="0" collapsed="false">
      <c r="A41" s="49" t="s">
        <v>714</v>
      </c>
      <c r="B41" s="50" t="s">
        <v>715</v>
      </c>
      <c r="C41" s="51"/>
    </row>
    <row r="42" customFormat="false" ht="15" hidden="false" customHeight="false" outlineLevel="0" collapsed="false">
      <c r="A42" s="49" t="s">
        <v>716</v>
      </c>
      <c r="B42" s="50" t="s">
        <v>717</v>
      </c>
      <c r="C42" s="51"/>
    </row>
    <row r="43" customFormat="false" ht="15" hidden="false" customHeight="false" outlineLevel="0" collapsed="false">
      <c r="A43" s="49" t="s">
        <v>718</v>
      </c>
      <c r="B43" s="50" t="s">
        <v>719</v>
      </c>
      <c r="C43" s="51"/>
    </row>
    <row r="44" customFormat="false" ht="15" hidden="false" customHeight="false" outlineLevel="0" collapsed="false">
      <c r="A44" s="49" t="s">
        <v>720</v>
      </c>
      <c r="B44" s="50" t="s">
        <v>721</v>
      </c>
      <c r="C44" s="51" t="s">
        <v>722</v>
      </c>
    </row>
    <row r="45" customFormat="false" ht="15" hidden="false" customHeight="false" outlineLevel="0" collapsed="false">
      <c r="A45" s="49" t="s">
        <v>723</v>
      </c>
      <c r="B45" s="50" t="s">
        <v>724</v>
      </c>
      <c r="C45" s="51"/>
    </row>
    <row r="46" customFormat="false" ht="15" hidden="false" customHeight="false" outlineLevel="0" collapsed="false">
      <c r="A46" s="49" t="s">
        <v>725</v>
      </c>
      <c r="B46" s="50" t="s">
        <v>726</v>
      </c>
      <c r="C46" s="51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9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728</v>
      </c>
    </row>
    <row r="2" customFormat="false" ht="15" hidden="false" customHeight="false" outlineLevel="0" collapsed="false">
      <c r="A2" s="2" t="s">
        <v>729</v>
      </c>
    </row>
    <row r="4" customFormat="false" ht="15" hidden="false" customHeight="false" outlineLevel="0" collapsed="false">
      <c r="A4" s="11" t="s">
        <v>730</v>
      </c>
      <c r="B4" s="11" t="s">
        <v>44</v>
      </c>
      <c r="C4" s="11" t="s">
        <v>45</v>
      </c>
      <c r="D4" s="11" t="s">
        <v>731</v>
      </c>
      <c r="E4" s="11" t="s">
        <v>732</v>
      </c>
    </row>
    <row r="5" customFormat="false" ht="18" hidden="false" customHeight="true" outlineLevel="0" collapsed="false">
      <c r="A5" s="51" t="s">
        <v>29</v>
      </c>
      <c r="B5" s="51" t="s">
        <v>49</v>
      </c>
      <c r="C5" s="51" t="s">
        <v>50</v>
      </c>
      <c r="D5" s="49" t="str">
        <f aca="false">INDEX(1_Lookups!$C$25:$C$54,MATCH("FENX",1_Lookups!$A$25:$A$54,0))</f>
        <v>Energy</v>
      </c>
      <c r="E5" s="51" t="s">
        <v>733</v>
      </c>
    </row>
    <row r="6" customFormat="false" ht="31.5" hidden="false" customHeight="true" outlineLevel="0" collapsed="false">
      <c r="A6" s="51" t="s">
        <v>29</v>
      </c>
      <c r="B6" s="51" t="s">
        <v>52</v>
      </c>
      <c r="C6" s="51" t="s">
        <v>53</v>
      </c>
      <c r="D6" s="49" t="str">
        <f aca="false">INDEX(1_Lookups!$A$25:$A$54,MATCH("Harbor Logistics",1_Lookups!$B$25:$B$54,0))</f>
        <v>HRBR</v>
      </c>
      <c r="E6" s="51" t="s">
        <v>734</v>
      </c>
    </row>
    <row r="7" customFormat="false" ht="31.5" hidden="false" customHeight="true" outlineLevel="0" collapsed="false">
      <c r="A7" s="51" t="s">
        <v>29</v>
      </c>
      <c r="B7" s="51" t="s">
        <v>55</v>
      </c>
      <c r="C7" s="51" t="s">
        <v>56</v>
      </c>
      <c r="D7" s="49" t="n">
        <f aca="false">SUM(Key_Work!$G$25:$G$67)</f>
        <v>13</v>
      </c>
      <c r="E7" s="51" t="s">
        <v>735</v>
      </c>
    </row>
    <row r="8" customFormat="false" ht="31.5" hidden="false" customHeight="true" outlineLevel="0" collapsed="false">
      <c r="A8" s="51" t="s">
        <v>29</v>
      </c>
      <c r="B8" s="51" t="s">
        <v>58</v>
      </c>
      <c r="C8" s="51" t="s">
        <v>59</v>
      </c>
      <c r="D8" s="49" t="n">
        <f aca="false">SUM(Key_Work!$H$25:$H$67)</f>
        <v>10</v>
      </c>
      <c r="E8" s="51" t="s">
        <v>736</v>
      </c>
    </row>
    <row r="9" customFormat="false" ht="45.75" hidden="false" customHeight="true" outlineLevel="0" collapsed="false">
      <c r="A9" s="51" t="s">
        <v>29</v>
      </c>
      <c r="B9" s="51" t="s">
        <v>61</v>
      </c>
      <c r="C9" s="51" t="s">
        <v>62</v>
      </c>
      <c r="D9" s="52" t="n">
        <f aca="false">SUM(Key_Work!$C$25:$C$67)</f>
        <v>14901707</v>
      </c>
      <c r="E9" s="51" t="s">
        <v>737</v>
      </c>
    </row>
    <row r="10" customFormat="false" ht="31.5" hidden="false" customHeight="true" outlineLevel="0" collapsed="false">
      <c r="A10" s="51" t="s">
        <v>29</v>
      </c>
      <c r="B10" s="51" t="s">
        <v>64</v>
      </c>
      <c r="C10" s="51" t="s">
        <v>65</v>
      </c>
      <c r="D10" s="49" t="n">
        <f aca="false">COUNTA(1_Lookups!$F$25:$F$67)-SUM(Key_Work!$D$25:$D$67)</f>
        <v>3</v>
      </c>
      <c r="E10" s="51" t="s">
        <v>738</v>
      </c>
    </row>
    <row r="11" customFormat="false" ht="31.5" hidden="false" customHeight="true" outlineLevel="0" collapsed="false">
      <c r="A11" s="51" t="s">
        <v>29</v>
      </c>
      <c r="B11" s="51" t="s">
        <v>67</v>
      </c>
      <c r="C11" s="51" t="s">
        <v>68</v>
      </c>
      <c r="D11" s="52" t="n">
        <f aca="false">SUMIFS(Key_Work!$C$25:$C$67,Key_Work!$E$25:$E$67,"Energy")</f>
        <v>4264708</v>
      </c>
      <c r="E11" s="51" t="s">
        <v>739</v>
      </c>
    </row>
    <row r="12" customFormat="false" ht="31.5" hidden="false" customHeight="true" outlineLevel="0" collapsed="false">
      <c r="A12" s="51" t="s">
        <v>29</v>
      </c>
      <c r="B12" s="51" t="s">
        <v>70</v>
      </c>
      <c r="C12" s="51" t="s">
        <v>71</v>
      </c>
      <c r="D12" s="49" t="n">
        <f aca="false">SUM(Key_Work!$F$25:$F$67)</f>
        <v>3</v>
      </c>
      <c r="E12" s="51" t="s">
        <v>740</v>
      </c>
    </row>
    <row r="13" customFormat="false" ht="31.5" hidden="false" customHeight="true" outlineLevel="0" collapsed="false">
      <c r="A13" s="51" t="s">
        <v>29</v>
      </c>
      <c r="B13" s="51" t="s">
        <v>73</v>
      </c>
      <c r="C13" s="51" t="s">
        <v>74</v>
      </c>
      <c r="D13" s="53" t="n">
        <f aca="false">INDEX(1_Lookups!$N$25:$Y$54,MATCH("MRDN",1_Lookups!$M$25:$M$54,0),MATCH(DATE(2026,6,30),1_Lookups!$N$24:$Y$24,0))</f>
        <v>137.64</v>
      </c>
      <c r="E13" s="51" t="s">
        <v>741</v>
      </c>
    </row>
    <row r="14" customFormat="false" ht="31.5" hidden="false" customHeight="true" outlineLevel="0" collapsed="false">
      <c r="A14" s="51" t="s">
        <v>29</v>
      </c>
      <c r="B14" s="51" t="s">
        <v>76</v>
      </c>
      <c r="C14" s="51" t="s">
        <v>77</v>
      </c>
      <c r="D14" s="49" t="str">
        <f aca="false">LEFT(INDEX(1_Lookups!$K$25:$K$67,MATCH("T1017",1_Lookups!$F$25:$F$67,0)),FIND(" ",INDEX(1_Lookups!$K$25:$K$67,MATCH("T1017",1_Lookups!$F$25:$F$67,0)))-1)</f>
        <v>BRKN</v>
      </c>
      <c r="E14" s="51" t="s">
        <v>742</v>
      </c>
    </row>
    <row r="15" customFormat="false" ht="31.5" hidden="false" customHeight="true" outlineLevel="0" collapsed="false">
      <c r="A15" s="51" t="s">
        <v>29</v>
      </c>
      <c r="B15" s="51" t="s">
        <v>79</v>
      </c>
      <c r="C15" s="51" t="s">
        <v>80</v>
      </c>
      <c r="D15" s="49" t="str">
        <f aca="false">INDEX(1_Lookups!$B$25:$B$54,MATCH(UPPER(TRIM(INDEX(1_Lookups!$G$25:$G$67,MATCH("T1033",1_Lookups!$F$25:$F$67,0)))),1_Lookups!$A$25:$A$54,0))</f>
        <v>Lamarra Foods</v>
      </c>
      <c r="E15" s="51" t="s">
        <v>743</v>
      </c>
    </row>
    <row r="16" customFormat="false" ht="31.5" hidden="false" customHeight="true" outlineLevel="0" collapsed="false">
      <c r="A16" s="51" t="s">
        <v>29</v>
      </c>
      <c r="B16" s="51" t="s">
        <v>82</v>
      </c>
      <c r="C16" s="51" t="s">
        <v>83</v>
      </c>
      <c r="D16" s="53" t="n">
        <f aca="false">INDEX(1_Lookups!$N$25:$Y$54,MATCH(UPPER(TRIM(INDEX(1_Lookups!$G$25:$G$67,MATCH("T1025",1_Lookups!$F$25:$F$67,0)))),1_Lookups!$M$25:$M$54,0),MATCH(INDEX(1_Lookups!$H$25:$H$67,MATCH("T1025",1_Lookups!$F$25:$F$67,0)),1_Lookups!$N$24:$Y$24,1))</f>
        <v>53.52</v>
      </c>
      <c r="E16" s="51" t="s">
        <v>744</v>
      </c>
    </row>
    <row r="17" customFormat="false" ht="31.5" hidden="false" customHeight="true" outlineLevel="0" collapsed="false">
      <c r="A17" s="51" t="s">
        <v>29</v>
      </c>
      <c r="B17" s="51" t="s">
        <v>85</v>
      </c>
      <c r="C17" s="51" t="s">
        <v>86</v>
      </c>
      <c r="D17" s="52" t="n">
        <f aca="false">SUMPRODUCT(Key_Work!$C$25:$C$67,1-Key_Work!$F$25:$F$67,Key_Work!$D$25:$D$67)</f>
        <v>12598904</v>
      </c>
      <c r="E17" s="51" t="s">
        <v>745</v>
      </c>
    </row>
    <row r="18" customFormat="false" ht="18" hidden="false" customHeight="true" outlineLevel="0" collapsed="false">
      <c r="A18" s="51" t="s">
        <v>31</v>
      </c>
      <c r="B18" s="51" t="s">
        <v>263</v>
      </c>
      <c r="C18" s="51" t="s">
        <v>264</v>
      </c>
      <c r="D18" s="53" t="n">
        <f aca="false">SUMIFS(2_Aggregation!$D$26:$D$85,2_Aggregation!$B$26:$B$85,"Financials")</f>
        <v>203.62</v>
      </c>
      <c r="E18" s="51" t="s">
        <v>746</v>
      </c>
    </row>
    <row r="19" customFormat="false" ht="18" hidden="false" customHeight="true" outlineLevel="0" collapsed="false">
      <c r="A19" s="51" t="s">
        <v>31</v>
      </c>
      <c r="B19" s="51" t="s">
        <v>266</v>
      </c>
      <c r="C19" s="51" t="s">
        <v>267</v>
      </c>
      <c r="D19" s="49" t="n">
        <f aca="false">COUNTIFS(2_Aggregation!$B$26:$B$85,"Technology",2_Aggregation!$H$26:$H$85,"&gt;0.1")</f>
        <v>4</v>
      </c>
      <c r="E19" s="51" t="s">
        <v>747</v>
      </c>
    </row>
    <row r="20" customFormat="false" ht="18" hidden="false" customHeight="true" outlineLevel="0" collapsed="false">
      <c r="A20" s="51" t="s">
        <v>31</v>
      </c>
      <c r="B20" s="51" t="s">
        <v>269</v>
      </c>
      <c r="C20" s="51" t="s">
        <v>270</v>
      </c>
      <c r="D20" s="54" t="n">
        <f aca="false">AVERAGEIFS(2_Aggregation!$F$26:$F$85,2_Aggregation!$B$26:$B$85,"Industrials",2_Aggregation!$C$26:$C$85,"US")</f>
        <v>11.45</v>
      </c>
      <c r="E20" s="51" t="s">
        <v>748</v>
      </c>
    </row>
    <row r="21" customFormat="false" ht="18" hidden="false" customHeight="true" outlineLevel="0" collapsed="false">
      <c r="A21" s="51" t="s">
        <v>31</v>
      </c>
      <c r="B21" s="51" t="s">
        <v>272</v>
      </c>
      <c r="C21" s="51" t="s">
        <v>273</v>
      </c>
      <c r="D21" s="55" t="n">
        <f aca="false">SUMPRODUCT((2_Aggregation!$B$26:$B$85="Health Care")*2_Aggregation!$D$26:$D$85*2_Aggregation!$H$26:$H$85)/SUMIFS(2_Aggregation!$D$26:$D$85,2_Aggregation!$B$26:$B$85,"Health Care")</f>
        <v>0.0975586638752851</v>
      </c>
      <c r="E21" s="51" t="s">
        <v>749</v>
      </c>
    </row>
    <row r="22" customFormat="false" ht="18" hidden="false" customHeight="true" outlineLevel="0" collapsed="false">
      <c r="A22" s="51" t="s">
        <v>31</v>
      </c>
      <c r="B22" s="51" t="s">
        <v>275</v>
      </c>
      <c r="C22" s="51" t="s">
        <v>276</v>
      </c>
      <c r="D22" s="55" t="n">
        <f aca="false">_xlfn.MAXIFS(2_Aggregation!$G$26:$G$85,2_Aggregation!$B$26:$B$85,"Energy")</f>
        <v>0.0355</v>
      </c>
      <c r="E22" s="51" t="s">
        <v>750</v>
      </c>
    </row>
    <row r="23" customFormat="false" ht="18" hidden="false" customHeight="true" outlineLevel="0" collapsed="false">
      <c r="A23" s="51" t="s">
        <v>31</v>
      </c>
      <c r="B23" s="51" t="s">
        <v>278</v>
      </c>
      <c r="C23" s="51" t="s">
        <v>279</v>
      </c>
      <c r="D23" s="56" t="n">
        <f aca="false">_xlfn.MINIFS(2_Aggregation!$F$26:$F$85,2_Aggregation!$C$26:$C$85,"UK")</f>
        <v>6.8</v>
      </c>
      <c r="E23" s="51" t="s">
        <v>751</v>
      </c>
    </row>
    <row r="24" customFormat="false" ht="18" hidden="false" customHeight="true" outlineLevel="0" collapsed="false">
      <c r="A24" s="51" t="s">
        <v>31</v>
      </c>
      <c r="B24" s="51" t="s">
        <v>281</v>
      </c>
      <c r="C24" s="51" t="s">
        <v>282</v>
      </c>
      <c r="D24" s="49" t="n">
        <f aca="false">COUNTIFS(2_Aggregation!$D$26:$D$85,"&gt;=10",2_Aggregation!$D$26:$D$85,"&lt;=50")</f>
        <v>48</v>
      </c>
      <c r="E24" s="51" t="s">
        <v>752</v>
      </c>
    </row>
    <row r="25" customFormat="false" ht="18" hidden="false" customHeight="true" outlineLevel="0" collapsed="false">
      <c r="A25" s="51" t="s">
        <v>31</v>
      </c>
      <c r="B25" s="51" t="s">
        <v>284</v>
      </c>
      <c r="C25" s="51" t="s">
        <v>285</v>
      </c>
      <c r="D25" s="53" t="n">
        <f aca="false">SUMIFS(2_Aggregation!$D$26:$D$85,2_Aggregation!$B$26:$B$85,"Technology")+SUMIFS(2_Aggregation!$D$26:$D$85,2_Aggregation!$B$26:$B$85,"Health Care")</f>
        <v>413.63</v>
      </c>
      <c r="E25" s="51" t="s">
        <v>753</v>
      </c>
    </row>
    <row r="26" customFormat="false" ht="31.5" hidden="false" customHeight="true" outlineLevel="0" collapsed="false">
      <c r="A26" s="51" t="s">
        <v>31</v>
      </c>
      <c r="B26" s="51" t="s">
        <v>287</v>
      </c>
      <c r="C26" s="51" t="s">
        <v>288</v>
      </c>
      <c r="D26" s="49" t="str">
        <f aca="false">INDEX(Key_Work!$J$5:$J$10,MATCH(MAX(Key_Work!$K$5:$K$10),Key_Work!$K$5:$K$10,0))</f>
        <v>Consumer</v>
      </c>
      <c r="E26" s="51" t="s">
        <v>754</v>
      </c>
    </row>
    <row r="27" customFormat="false" ht="31.5" hidden="false" customHeight="true" outlineLevel="0" collapsed="false">
      <c r="A27" s="51" t="s">
        <v>31</v>
      </c>
      <c r="B27" s="51" t="s">
        <v>290</v>
      </c>
      <c r="C27" s="51" t="s">
        <v>291</v>
      </c>
      <c r="D27" s="54" t="n">
        <f aca="false">SUMIFS(2_Aggregation!$D$26:$D$85,2_Aggregation!$B$26:$B$85,"Energy")/SUMIFS(2_Aggregation!$E$26:$E$85,2_Aggregation!$B$26:$B$85,"Energy")</f>
        <v>12.6423125794155</v>
      </c>
      <c r="E27" s="51" t="s">
        <v>755</v>
      </c>
    </row>
    <row r="28" customFormat="false" ht="31.5" hidden="false" customHeight="true" outlineLevel="0" collapsed="false">
      <c r="A28" s="51" t="s">
        <v>31</v>
      </c>
      <c r="B28" s="51" t="s">
        <v>293</v>
      </c>
      <c r="C28" s="51" t="s">
        <v>294</v>
      </c>
      <c r="D28" s="55" t="n">
        <f aca="false">AVERAGEIFS(2_Aggregation!$H$26:$H$85,2_Aggregation!$C$26:$C$85,"Japan",2_Aggregation!$B$26:$B$85,"Technology")</f>
        <v>-0.0490666666666667</v>
      </c>
      <c r="E28" s="51" t="s">
        <v>756</v>
      </c>
    </row>
    <row r="29" customFormat="false" ht="18" hidden="false" customHeight="true" outlineLevel="0" collapsed="false">
      <c r="A29" s="51" t="s">
        <v>31</v>
      </c>
      <c r="B29" s="51" t="s">
        <v>296</v>
      </c>
      <c r="C29" s="51" t="s">
        <v>297</v>
      </c>
      <c r="D29" s="55" t="n">
        <f aca="false">SUMIFS(2_Aggregation!$D$26:$D$85,2_Aggregation!$I$26:$I$85,"Buy")/SUM(2_Aggregation!$D$26:$D$85)</f>
        <v>0.434120898100173</v>
      </c>
      <c r="E29" s="51" t="s">
        <v>757</v>
      </c>
    </row>
    <row r="30" customFormat="false" ht="18" hidden="false" customHeight="true" outlineLevel="0" collapsed="false">
      <c r="A30" s="51" t="s">
        <v>31</v>
      </c>
      <c r="B30" s="51" t="s">
        <v>299</v>
      </c>
      <c r="C30" s="51" t="s">
        <v>300</v>
      </c>
      <c r="D30" s="49" t="n">
        <f aca="false">COUNTIF(2_Aggregation!$F$26:$F$85,"NM")</f>
        <v>10</v>
      </c>
      <c r="E30" s="51" t="s">
        <v>758</v>
      </c>
    </row>
    <row r="31" customFormat="false" ht="18" hidden="false" customHeight="true" outlineLevel="0" collapsed="false">
      <c r="A31" s="51" t="s">
        <v>31</v>
      </c>
      <c r="B31" s="51" t="s">
        <v>302</v>
      </c>
      <c r="C31" s="51" t="s">
        <v>303</v>
      </c>
      <c r="D31" s="55" t="n">
        <f aca="false">AVERAGEIFS(2_Aggregation!$H$26:$H$85,2_Aggregation!$D$26:$D$85,"&gt;="&amp;LARGE(2_Aggregation!$D$26:$D$85,10))</f>
        <v>0.08663</v>
      </c>
      <c r="E31" s="51" t="s">
        <v>759</v>
      </c>
    </row>
    <row r="32" customFormat="false" ht="18" hidden="false" customHeight="true" outlineLevel="0" collapsed="false">
      <c r="A32" s="51" t="s">
        <v>33</v>
      </c>
      <c r="B32" s="51" t="s">
        <v>386</v>
      </c>
      <c r="C32" s="51" t="s">
        <v>387</v>
      </c>
      <c r="D32" s="55" t="n">
        <f aca="false">3_Returns!B534/3_Returns!B31-1</f>
        <v>0.0665975103734438</v>
      </c>
      <c r="E32" s="51" t="s">
        <v>760</v>
      </c>
    </row>
    <row r="33" customFormat="false" ht="31.5" hidden="false" customHeight="true" outlineLevel="0" collapsed="false">
      <c r="A33" s="51" t="s">
        <v>33</v>
      </c>
      <c r="B33" s="51" t="s">
        <v>389</v>
      </c>
      <c r="C33" s="51" t="s">
        <v>390</v>
      </c>
      <c r="D33" s="55" t="n">
        <f aca="false">3_Returns!C534/3_Returns!C31-1</f>
        <v>0.2937885643768</v>
      </c>
      <c r="E33" s="51" t="s">
        <v>761</v>
      </c>
    </row>
    <row r="34" customFormat="false" ht="31.5" hidden="false" customHeight="true" outlineLevel="0" collapsed="false">
      <c r="A34" s="51" t="s">
        <v>33</v>
      </c>
      <c r="B34" s="51" t="s">
        <v>392</v>
      </c>
      <c r="C34" s="51" t="s">
        <v>393</v>
      </c>
      <c r="D34" s="55" t="n">
        <f aca="false">(3_Returns!B534/3_Returns!B31)^(252/COUNT(Key_Work!$M$32:$M$534))-1</f>
        <v>0.0328282692643744</v>
      </c>
      <c r="E34" s="51" t="s">
        <v>762</v>
      </c>
    </row>
    <row r="35" customFormat="false" ht="18" hidden="false" customHeight="true" outlineLevel="0" collapsed="false">
      <c r="A35" s="51" t="s">
        <v>33</v>
      </c>
      <c r="B35" s="51" t="s">
        <v>395</v>
      </c>
      <c r="C35" s="51" t="s">
        <v>396</v>
      </c>
      <c r="D35" s="55" t="n">
        <f aca="false">STDEV(Key_Work!$M$32:$M$534)*SQRT(252)</f>
        <v>0.285000278076733</v>
      </c>
      <c r="E35" s="51" t="s">
        <v>763</v>
      </c>
    </row>
    <row r="36" customFormat="false" ht="31.5" hidden="false" customHeight="true" outlineLevel="0" collapsed="false">
      <c r="A36" s="51" t="s">
        <v>33</v>
      </c>
      <c r="B36" s="51" t="s">
        <v>398</v>
      </c>
      <c r="C36" s="51" t="s">
        <v>399</v>
      </c>
      <c r="D36" s="57" t="n">
        <f aca="false">(AVERAGE(Key_Work!$M$32:$M$534)*252-3_Returns!$G$30)/(STDEV(Key_Work!$M$32:$M$534)*SQRT(252))</f>
        <v>0.114887817615717</v>
      </c>
      <c r="E36" s="51" t="s">
        <v>764</v>
      </c>
    </row>
    <row r="37" customFormat="false" ht="18" hidden="false" customHeight="true" outlineLevel="0" collapsed="false">
      <c r="A37" s="51" t="s">
        <v>33</v>
      </c>
      <c r="B37" s="51" t="s">
        <v>401</v>
      </c>
      <c r="C37" s="51" t="s">
        <v>402</v>
      </c>
      <c r="D37" s="55" t="n">
        <f aca="false">MIN(Key_Work!$Q$31:$Q$534)</f>
        <v>-0.391099026903263</v>
      </c>
      <c r="E37" s="51" t="s">
        <v>765</v>
      </c>
    </row>
    <row r="38" customFormat="false" ht="18" hidden="false" customHeight="true" outlineLevel="0" collapsed="false">
      <c r="A38" s="51" t="s">
        <v>33</v>
      </c>
      <c r="B38" s="51" t="s">
        <v>404</v>
      </c>
      <c r="C38" s="51" t="s">
        <v>405</v>
      </c>
      <c r="D38" s="58" t="n">
        <f aca="false">INDEX(3_Returns!$A$31:$A$534,MATCH(MIN(Key_Work!$Q$31:$Q$534),Key_Work!$Q$31:$Q$534,0))</f>
        <v>46162</v>
      </c>
      <c r="E38" s="51" t="s">
        <v>766</v>
      </c>
    </row>
    <row r="39" customFormat="false" ht="18" hidden="false" customHeight="true" outlineLevel="0" collapsed="false">
      <c r="A39" s="51" t="s">
        <v>33</v>
      </c>
      <c r="B39" s="51" t="s">
        <v>407</v>
      </c>
      <c r="C39" s="51" t="s">
        <v>408</v>
      </c>
      <c r="D39" s="57" t="n">
        <f aca="false">SLOPE(Key_Work!$M$32:$M$534,Key_Work!$O$32:$O$534)</f>
        <v>1.2160545903512</v>
      </c>
      <c r="E39" s="51" t="s">
        <v>767</v>
      </c>
    </row>
    <row r="40" customFormat="false" ht="18" hidden="false" customHeight="true" outlineLevel="0" collapsed="false">
      <c r="A40" s="51" t="s">
        <v>33</v>
      </c>
      <c r="B40" s="51" t="s">
        <v>410</v>
      </c>
      <c r="C40" s="51" t="s">
        <v>411</v>
      </c>
      <c r="D40" s="57" t="n">
        <f aca="false">CORREL(Key_Work!$M$32:$M$534,Key_Work!$N$32:$N$534)</f>
        <v>0.388031638310019</v>
      </c>
      <c r="E40" s="51" t="s">
        <v>768</v>
      </c>
    </row>
    <row r="41" customFormat="false" ht="31.5" hidden="false" customHeight="true" outlineLevel="0" collapsed="false">
      <c r="A41" s="51" t="s">
        <v>33</v>
      </c>
      <c r="B41" s="51" t="s">
        <v>413</v>
      </c>
      <c r="C41" s="51" t="s">
        <v>414</v>
      </c>
      <c r="D41" s="55" t="n">
        <f aca="false">STDEV(Key_Work!$S$32:$S$534)*SQRT(252)</f>
        <v>0.215294722079676</v>
      </c>
      <c r="E41" s="51" t="s">
        <v>769</v>
      </c>
    </row>
    <row r="42" customFormat="false" ht="31.5" hidden="false" customHeight="true" outlineLevel="0" collapsed="false">
      <c r="A42" s="51" t="s">
        <v>33</v>
      </c>
      <c r="B42" s="51" t="s">
        <v>416</v>
      </c>
      <c r="C42" s="51" t="s">
        <v>417</v>
      </c>
      <c r="D42" s="57" t="n">
        <f aca="false">AVERAGE(Key_Work!$S$32:$S$534)*252/(STDEV(Key_Work!$S$32:$S$534)*SQRT(252))</f>
        <v>-0.182869051093087</v>
      </c>
      <c r="E42" s="51" t="s">
        <v>770</v>
      </c>
    </row>
    <row r="43" customFormat="false" ht="31.5" hidden="false" customHeight="true" outlineLevel="0" collapsed="false">
      <c r="A43" s="51" t="s">
        <v>33</v>
      </c>
      <c r="B43" s="51" t="s">
        <v>419</v>
      </c>
      <c r="C43" s="51" t="s">
        <v>420</v>
      </c>
      <c r="D43" s="59" t="n">
        <f aca="false">SUM(Key_Work!$R$32:$R$534)</f>
        <v>0.0644736850108581</v>
      </c>
      <c r="E43" s="51" t="s">
        <v>771</v>
      </c>
    </row>
    <row r="44" customFormat="false" ht="18" hidden="false" customHeight="true" outlineLevel="0" collapsed="false">
      <c r="A44" s="51" t="s">
        <v>33</v>
      </c>
      <c r="B44" s="51" t="s">
        <v>422</v>
      </c>
      <c r="C44" s="51" t="s">
        <v>423</v>
      </c>
      <c r="D44" s="55" t="n">
        <f aca="false">MAX(Key_Work!$N$32:$N$534)</f>
        <v>0.0341744073201165</v>
      </c>
      <c r="E44" s="51" t="s">
        <v>772</v>
      </c>
    </row>
    <row r="45" customFormat="false" ht="18" hidden="false" customHeight="true" outlineLevel="0" collapsed="false">
      <c r="A45" s="51" t="s">
        <v>33</v>
      </c>
      <c r="B45" s="51" t="s">
        <v>425</v>
      </c>
      <c r="C45" s="51" t="s">
        <v>426</v>
      </c>
      <c r="D45" s="58" t="n">
        <f aca="false">INDEX(3_Returns!$A$32:$A$534,MATCH(MAX(Key_Work!$N$32:$N$534),Key_Work!$N$32:$N$534,0))</f>
        <v>46142</v>
      </c>
      <c r="E45" s="51" t="s">
        <v>773</v>
      </c>
    </row>
    <row r="46" customFormat="false" ht="18" hidden="false" customHeight="true" outlineLevel="0" collapsed="false">
      <c r="A46" s="51" t="s">
        <v>33</v>
      </c>
      <c r="B46" s="51" t="s">
        <v>428</v>
      </c>
      <c r="C46" s="51" t="s">
        <v>429</v>
      </c>
      <c r="D46" s="49" t="n">
        <f aca="false">SUM(Key_Work!$T$32:$T$534)</f>
        <v>242</v>
      </c>
      <c r="E46" s="51" t="s">
        <v>774</v>
      </c>
    </row>
    <row r="47" customFormat="false" ht="31.5" hidden="false" customHeight="true" outlineLevel="0" collapsed="false">
      <c r="A47" s="51" t="s">
        <v>33</v>
      </c>
      <c r="B47" s="51" t="s">
        <v>431</v>
      </c>
      <c r="C47" s="51" t="s">
        <v>432</v>
      </c>
      <c r="D47" s="55" t="n">
        <f aca="false">INDEX(3_Returns!$B$31:$B$534,MATCH(DATE(2025,12,31),3_Returns!$A$31:$A$534,1))/INDEX(3_Returns!$B$31:$B$534,MATCH(DATE(2024,12,31),3_Returns!$A$31:$A$534,1))-1</f>
        <v>0.321745216985534</v>
      </c>
      <c r="E47" s="51" t="s">
        <v>775</v>
      </c>
    </row>
    <row r="48" customFormat="false" ht="31.5" hidden="false" customHeight="true" outlineLevel="0" collapsed="false">
      <c r="A48" s="51" t="s">
        <v>33</v>
      </c>
      <c r="B48" s="51" t="s">
        <v>434</v>
      </c>
      <c r="C48" s="51" t="s">
        <v>435</v>
      </c>
      <c r="D48" s="55" t="n">
        <f aca="false">INDEX(3_Returns!$B$31:$B$534,MATCH(DATE(2026,3,31),3_Returns!$A$31:$A$534,1))/INDEX(3_Returns!$B$31:$B$534,MATCH(DATE(2026,2,28),3_Returns!$A$31:$A$534,1))-1</f>
        <v>-0.177991137370753</v>
      </c>
      <c r="E48" s="51" t="s">
        <v>776</v>
      </c>
    </row>
    <row r="49" customFormat="false" ht="31.5" hidden="false" customHeight="true" outlineLevel="0" collapsed="false">
      <c r="A49" s="51" t="s">
        <v>33</v>
      </c>
      <c r="B49" s="51" t="s">
        <v>437</v>
      </c>
      <c r="C49" s="51" t="s">
        <v>438</v>
      </c>
      <c r="D49" s="55" t="n">
        <f aca="false">STDEV(Key_Work!$M$514:$M$534)*SQRT(252)</f>
        <v>0.238624605338178</v>
      </c>
      <c r="E49" s="51" t="s">
        <v>777</v>
      </c>
    </row>
    <row r="50" customFormat="false" ht="31.5" hidden="false" customHeight="true" outlineLevel="0" collapsed="false">
      <c r="A50" s="51" t="s">
        <v>33</v>
      </c>
      <c r="B50" s="51" t="s">
        <v>440</v>
      </c>
      <c r="C50" s="51" t="s">
        <v>441</v>
      </c>
      <c r="D50" s="57" t="n">
        <f aca="false">(AVERAGE(Key_Work!$M$32:$M$534)*252-3_Returns!$G$30)/(SQRT(SUMPRODUCT((Key_Work!$M$32:$M$534&lt;0)*Key_Work!$M$32:$M$534^2)/COUNT(Key_Work!$M$32:$M$534))*SQRT(252))</f>
        <v>0.170411950809119</v>
      </c>
      <c r="E50" s="51" t="s">
        <v>778</v>
      </c>
    </row>
    <row r="51" customFormat="false" ht="18" hidden="false" customHeight="true" outlineLevel="0" collapsed="false">
      <c r="A51" s="51" t="s">
        <v>35</v>
      </c>
      <c r="B51" s="51" t="s">
        <v>451</v>
      </c>
      <c r="C51" s="51" t="s">
        <v>452</v>
      </c>
      <c r="D51" s="60" t="n">
        <f aca="false">INDEX(Key_Work!$V$25:$V$74,MATCH("SLTN",4_Screening!$A$25:$A$74,0))</f>
        <v>2.34471544715447</v>
      </c>
      <c r="E51" s="51" t="s">
        <v>779</v>
      </c>
    </row>
    <row r="52" customFormat="false" ht="18" hidden="false" customHeight="true" outlineLevel="0" collapsed="false">
      <c r="A52" s="51" t="s">
        <v>35</v>
      </c>
      <c r="B52" s="51" t="s">
        <v>454</v>
      </c>
      <c r="C52" s="51" t="s">
        <v>455</v>
      </c>
      <c r="D52" s="49" t="n">
        <f aca="false">INDEX(Key_Work!$Y$25:$Y$74,MATCH("SLTN",4_Screening!$A$25:$A$74,0))</f>
        <v>39</v>
      </c>
      <c r="E52" s="51" t="s">
        <v>780</v>
      </c>
    </row>
    <row r="53" customFormat="false" ht="18" hidden="false" customHeight="true" outlineLevel="0" collapsed="false">
      <c r="A53" s="51" t="s">
        <v>35</v>
      </c>
      <c r="B53" s="51" t="s">
        <v>457</v>
      </c>
      <c r="C53" s="51" t="s">
        <v>458</v>
      </c>
      <c r="D53" s="57" t="n">
        <f aca="false">PERCENTRANK(Key_Work!$V$25:$V$74,INDEX(Key_Work!$V$25:$V$74,MATCH("SLTN",4_Screening!$A$25:$A$74,0)))</f>
        <v>0.776</v>
      </c>
      <c r="E53" s="51" t="s">
        <v>781</v>
      </c>
    </row>
    <row r="54" customFormat="false" ht="18" hidden="false" customHeight="true" outlineLevel="0" collapsed="false">
      <c r="A54" s="51" t="s">
        <v>35</v>
      </c>
      <c r="B54" s="51" t="s">
        <v>460</v>
      </c>
      <c r="C54" s="51" t="s">
        <v>461</v>
      </c>
      <c r="D54" s="49" t="n">
        <f aca="false">COUNTIF(4_Screening!$E$25:$E$74,"&lt;0")</f>
        <v>10</v>
      </c>
      <c r="E54" s="51" t="s">
        <v>782</v>
      </c>
    </row>
    <row r="55" customFormat="false" ht="18" hidden="false" customHeight="true" outlineLevel="0" collapsed="false">
      <c r="A55" s="51" t="s">
        <v>35</v>
      </c>
      <c r="B55" s="51" t="s">
        <v>463</v>
      </c>
      <c r="C55" s="51" t="s">
        <v>464</v>
      </c>
      <c r="D55" s="54" t="n">
        <f aca="false">PERCENTILE(Key_Work!$AE$25:$AE$74,0.8)</f>
        <v>28.0793682616056</v>
      </c>
      <c r="E55" s="51" t="s">
        <v>783</v>
      </c>
    </row>
    <row r="56" customFormat="false" ht="18" hidden="false" customHeight="true" outlineLevel="0" collapsed="false">
      <c r="A56" s="51" t="s">
        <v>35</v>
      </c>
      <c r="B56" s="51" t="s">
        <v>466</v>
      </c>
      <c r="C56" s="51" t="s">
        <v>467</v>
      </c>
      <c r="D56" s="60" t="n">
        <f aca="false">MEDIAN(Key_Work!$X$25:$X$74)</f>
        <v>9.14788422626902</v>
      </c>
      <c r="E56" s="51" t="s">
        <v>784</v>
      </c>
    </row>
    <row r="57" customFormat="false" ht="18" hidden="false" customHeight="true" outlineLevel="0" collapsed="false">
      <c r="A57" s="51" t="s">
        <v>35</v>
      </c>
      <c r="B57" s="51" t="s">
        <v>469</v>
      </c>
      <c r="C57" s="51" t="s">
        <v>470</v>
      </c>
      <c r="D57" s="60" t="n">
        <f aca="false">QUARTILE(Key_Work!$X$25:$X$74,1)</f>
        <v>7.75560824742268</v>
      </c>
      <c r="E57" s="51" t="s">
        <v>785</v>
      </c>
    </row>
    <row r="58" customFormat="false" ht="18" hidden="false" customHeight="true" outlineLevel="0" collapsed="false">
      <c r="A58" s="51" t="s">
        <v>35</v>
      </c>
      <c r="B58" s="51" t="s">
        <v>472</v>
      </c>
      <c r="C58" s="51" t="s">
        <v>473</v>
      </c>
      <c r="D58" s="57" t="n">
        <f aca="false">STANDARDIZE(INDEX(4_Screening!$H$25:$H$74,MATCH("SLTN",4_Screening!$A$25:$A$74,0)),AVERAGE(4_Screening!$H$25:$H$74),STDEV(4_Screening!$H$25:$H$74))</f>
        <v>-0.354622455117004</v>
      </c>
      <c r="E58" s="51" t="s">
        <v>786</v>
      </c>
    </row>
    <row r="59" customFormat="false" ht="60" hidden="false" customHeight="true" outlineLevel="0" collapsed="false">
      <c r="A59" s="51" t="s">
        <v>35</v>
      </c>
      <c r="B59" s="51" t="s">
        <v>475</v>
      </c>
      <c r="C59" s="51" t="s">
        <v>476</v>
      </c>
      <c r="D59" s="49" t="str">
        <f aca="false">INDEX(4_Screening!$A$25:$A$74,MATCH(MIN(Key_Work!$AB$25:$AB$74),Key_Work!$AB$25:$AB$74,0))</f>
        <v>LMRA</v>
      </c>
      <c r="E59" s="51" t="s">
        <v>787</v>
      </c>
    </row>
    <row r="60" customFormat="false" ht="31.5" hidden="false" customHeight="true" outlineLevel="0" collapsed="false">
      <c r="A60" s="51" t="s">
        <v>35</v>
      </c>
      <c r="B60" s="51" t="s">
        <v>478</v>
      </c>
      <c r="C60" s="51" t="s">
        <v>479</v>
      </c>
      <c r="D60" s="49" t="n">
        <f aca="false">INDEX(Key_Work!$AD$25:$AD$74,MATCH("HZLN",4_Screening!$A$25:$A$74,0))</f>
        <v>3</v>
      </c>
      <c r="E60" s="51" t="s">
        <v>788</v>
      </c>
    </row>
    <row r="61" customFormat="false" ht="18" hidden="false" customHeight="true" outlineLevel="0" collapsed="false">
      <c r="A61" s="51" t="s">
        <v>35</v>
      </c>
      <c r="B61" s="51" t="s">
        <v>481</v>
      </c>
      <c r="C61" s="51" t="s">
        <v>482</v>
      </c>
      <c r="D61" s="55" t="n">
        <f aca="false">AVERAGEIFS(4_Screening!$H$25:$H$74,Key_Work!$AD$25:$AD$74,1)</f>
        <v>0.24172</v>
      </c>
      <c r="E61" s="51" t="s">
        <v>789</v>
      </c>
    </row>
    <row r="62" customFormat="false" ht="31.5" hidden="false" customHeight="true" outlineLevel="0" collapsed="false">
      <c r="A62" s="51" t="s">
        <v>35</v>
      </c>
      <c r="B62" s="51" t="s">
        <v>484</v>
      </c>
      <c r="C62" s="51" t="s">
        <v>485</v>
      </c>
      <c r="D62" s="55" t="n">
        <f aca="false">AVERAGE(Key_Work!$AF$25:$AF$74)</f>
        <v>0.1476712</v>
      </c>
      <c r="E62" s="51" t="s">
        <v>790</v>
      </c>
    </row>
    <row r="63" customFormat="false" ht="31.5" hidden="false" customHeight="true" outlineLevel="0" collapsed="false">
      <c r="A63" s="51" t="s">
        <v>35</v>
      </c>
      <c r="B63" s="51" t="s">
        <v>487</v>
      </c>
      <c r="C63" s="51" t="s">
        <v>488</v>
      </c>
      <c r="D63" s="57" t="n">
        <f aca="false">INDEX(Key_Work!$V$25:$V$74,MATCH("SLTN",4_Screening!$A$25:$A$74,0))/AVERAGEIFS(Key_Work!$V$25:$V$74,4_Screening!$B$25:$B$74,INDEX(4_Screening!$B$25:$B$74,MATCH("SLTN",4_Screening!$A$25:$A$74,0)))</f>
        <v>1.11741785884049</v>
      </c>
      <c r="E63" s="51" t="s">
        <v>791</v>
      </c>
    </row>
    <row r="64" customFormat="false" ht="18" hidden="false" customHeight="true" outlineLevel="0" collapsed="false">
      <c r="A64" s="51" t="s">
        <v>37</v>
      </c>
      <c r="B64" s="51" t="s">
        <v>499</v>
      </c>
      <c r="C64" s="51" t="s">
        <v>500</v>
      </c>
      <c r="D64" s="59" t="n">
        <f aca="false">CORREL(5_Regression!$B$25:$B$84,5_Regression!$C$25:$C$84)</f>
        <v>0.814187391124489</v>
      </c>
      <c r="E64" s="51" t="s">
        <v>792</v>
      </c>
    </row>
    <row r="65" customFormat="false" ht="18" hidden="false" customHeight="true" outlineLevel="0" collapsed="false">
      <c r="A65" s="51" t="s">
        <v>37</v>
      </c>
      <c r="B65" s="51" t="s">
        <v>501</v>
      </c>
      <c r="C65" s="51" t="s">
        <v>502</v>
      </c>
      <c r="D65" s="59" t="n">
        <f aca="false">SLOPE(5_Regression!$B$25:$B$84,5_Regression!$C$25:$C$84)</f>
        <v>1.08213754623699</v>
      </c>
      <c r="E65" s="51" t="s">
        <v>793</v>
      </c>
    </row>
    <row r="66" customFormat="false" ht="18" hidden="false" customHeight="true" outlineLevel="0" collapsed="false">
      <c r="A66" s="51" t="s">
        <v>37</v>
      </c>
      <c r="B66" s="51" t="s">
        <v>504</v>
      </c>
      <c r="C66" s="51" t="s">
        <v>505</v>
      </c>
      <c r="D66" s="61" t="n">
        <f aca="false">INTERCEPT(5_Regression!$B$25:$B$84,5_Regression!$C$25:$C$84)</f>
        <v>0.001685715581619</v>
      </c>
      <c r="E66" s="51" t="s">
        <v>794</v>
      </c>
    </row>
    <row r="67" customFormat="false" ht="18" hidden="false" customHeight="true" outlineLevel="0" collapsed="false">
      <c r="A67" s="51" t="s">
        <v>37</v>
      </c>
      <c r="B67" s="51" t="s">
        <v>507</v>
      </c>
      <c r="C67" s="51" t="s">
        <v>508</v>
      </c>
      <c r="D67" s="55" t="n">
        <f aca="false">INTERCEPT(5_Regression!$B$25:$B$84,5_Regression!$C$25:$C$84)*12</f>
        <v>0.020228586979428</v>
      </c>
      <c r="E67" s="51" t="s">
        <v>795</v>
      </c>
    </row>
    <row r="68" customFormat="false" ht="18" hidden="false" customHeight="true" outlineLevel="0" collapsed="false">
      <c r="A68" s="51" t="s">
        <v>37</v>
      </c>
      <c r="B68" s="51" t="s">
        <v>510</v>
      </c>
      <c r="C68" s="51" t="s">
        <v>511</v>
      </c>
      <c r="D68" s="59" t="n">
        <f aca="false">RSQ(5_Regression!$B$25:$B$84,5_Regression!$C$25:$C$84)</f>
        <v>0.662901107866101</v>
      </c>
      <c r="E68" s="51" t="s">
        <v>796</v>
      </c>
    </row>
    <row r="69" customFormat="false" ht="31.5" hidden="false" customHeight="true" outlineLevel="0" collapsed="false">
      <c r="A69" s="51" t="s">
        <v>37</v>
      </c>
      <c r="B69" s="51" t="s">
        <v>513</v>
      </c>
      <c r="C69" s="51" t="s">
        <v>514</v>
      </c>
      <c r="D69" s="62" t="n">
        <f aca="false">COVAR(5_Regression!$B$25:$B$84,5_Regression!$C$25:$C$84)*COUNT(5_Regression!$B$25:$B$84)/(COUNT(5_Regression!$B$25:$B$84)-1)</f>
        <v>0.00226764711974576</v>
      </c>
      <c r="E69" s="51" t="s">
        <v>797</v>
      </c>
    </row>
    <row r="70" customFormat="false" ht="18" hidden="false" customHeight="true" outlineLevel="0" collapsed="false">
      <c r="A70" s="51" t="s">
        <v>37</v>
      </c>
      <c r="B70" s="51" t="s">
        <v>516</v>
      </c>
      <c r="C70" s="51" t="s">
        <v>517</v>
      </c>
      <c r="D70" s="59" t="n">
        <f aca="false">INDEX(LINEST(5_Regression!$B$25:$B$84,5_Regression!$C$25:$E$84),1,3)</f>
        <v>1.13394387099652</v>
      </c>
      <c r="E70" s="51" t="s">
        <v>798</v>
      </c>
    </row>
    <row r="71" customFormat="false" ht="18" hidden="false" customHeight="true" outlineLevel="0" collapsed="false">
      <c r="A71" s="51" t="s">
        <v>37</v>
      </c>
      <c r="B71" s="51" t="s">
        <v>519</v>
      </c>
      <c r="C71" s="51" t="s">
        <v>520</v>
      </c>
      <c r="D71" s="59" t="n">
        <f aca="false">INDEX(LINEST(5_Regression!$B$25:$B$84,5_Regression!$C$25:$E$84),1,2)</f>
        <v>0.432253048856072</v>
      </c>
      <c r="E71" s="51" t="s">
        <v>799</v>
      </c>
    </row>
    <row r="72" customFormat="false" ht="18" hidden="false" customHeight="true" outlineLevel="0" collapsed="false">
      <c r="A72" s="51" t="s">
        <v>37</v>
      </c>
      <c r="B72" s="51" t="s">
        <v>522</v>
      </c>
      <c r="C72" s="51" t="s">
        <v>523</v>
      </c>
      <c r="D72" s="59" t="n">
        <f aca="false">INDEX(LINEST(5_Regression!$B$25:$B$84,5_Regression!$C$25:$E$84),1,1)</f>
        <v>0.577955966787739</v>
      </c>
      <c r="E72" s="51" t="s">
        <v>800</v>
      </c>
    </row>
    <row r="73" customFormat="false" ht="18" hidden="false" customHeight="true" outlineLevel="0" collapsed="false">
      <c r="A73" s="51" t="s">
        <v>37</v>
      </c>
      <c r="B73" s="51" t="s">
        <v>525</v>
      </c>
      <c r="C73" s="51" t="s">
        <v>526</v>
      </c>
      <c r="D73" s="61" t="n">
        <f aca="false">INDEX(LINEST(5_Regression!$B$25:$B$84,5_Regression!$C$25:$E$84),1,4)</f>
        <v>0.00259998467122548</v>
      </c>
      <c r="E73" s="51" t="s">
        <v>801</v>
      </c>
    </row>
    <row r="74" customFormat="false" ht="18" hidden="false" customHeight="true" outlineLevel="0" collapsed="false">
      <c r="A74" s="51" t="s">
        <v>37</v>
      </c>
      <c r="B74" s="51" t="s">
        <v>528</v>
      </c>
      <c r="C74" s="51" t="s">
        <v>529</v>
      </c>
      <c r="D74" s="59" t="n">
        <f aca="false">INDEX(LINEST(5_Regression!$B$25:$B$84,5_Regression!$C$25:$E$84,TRUE(),TRUE()),3,1)</f>
        <v>0.805906817621006</v>
      </c>
      <c r="E74" s="51" t="s">
        <v>802</v>
      </c>
    </row>
    <row r="75" customFormat="false" ht="18" hidden="false" customHeight="true" outlineLevel="0" collapsed="false">
      <c r="A75" s="51" t="s">
        <v>37</v>
      </c>
      <c r="B75" s="51" t="s">
        <v>531</v>
      </c>
      <c r="C75" s="51" t="s">
        <v>532</v>
      </c>
      <c r="D75" s="54" t="n">
        <f aca="false">SLOPE(5_Regression!$B$25:$B$84,5_Regression!$C$25:$C$84)/INDEX(LINEST(5_Regression!$B$25:$B$84,5_Regression!$C$25:$C$84,TRUE(),TRUE()),2,1)</f>
        <v>10.6797160663442</v>
      </c>
      <c r="E75" s="51" t="s">
        <v>803</v>
      </c>
    </row>
    <row r="76" customFormat="false" ht="31.5" hidden="false" customHeight="true" outlineLevel="0" collapsed="false">
      <c r="A76" s="51" t="s">
        <v>37</v>
      </c>
      <c r="B76" s="51" t="s">
        <v>534</v>
      </c>
      <c r="C76" s="51" t="s">
        <v>535</v>
      </c>
      <c r="D76" s="57" t="n">
        <f aca="false">AVERAGE(5_Regression!$B$25:$B$84)/STDEV(5_Regression!$B$25:$B$84)*SQRT(12)</f>
        <v>0.71178388537274</v>
      </c>
      <c r="E76" s="51" t="s">
        <v>804</v>
      </c>
    </row>
    <row r="77" customFormat="false" ht="18" hidden="false" customHeight="true" outlineLevel="0" collapsed="false">
      <c r="A77" s="51" t="s">
        <v>39</v>
      </c>
      <c r="B77" s="51" t="s">
        <v>545</v>
      </c>
      <c r="C77" s="51" t="s">
        <v>546</v>
      </c>
      <c r="D77" s="63" t="n">
        <f aca="false">(6_Valuation!$B$40*6_Valuation!$F$37)</f>
        <v>8356.68</v>
      </c>
      <c r="E77" s="51" t="s">
        <v>805</v>
      </c>
    </row>
    <row r="78" customFormat="false" ht="31.5" hidden="false" customHeight="true" outlineLevel="0" collapsed="false">
      <c r="A78" s="51" t="s">
        <v>39</v>
      </c>
      <c r="B78" s="51" t="s">
        <v>548</v>
      </c>
      <c r="C78" s="51" t="s">
        <v>549</v>
      </c>
      <c r="D78" s="63" t="n">
        <f aca="false">((6_Valuation!$B$40*6_Valuation!$F$37)+(6_Valuation!$B$41-6_Valuation!$B$42+6_Valuation!$B$43+6_Valuation!$B$44))</f>
        <v>9614.68</v>
      </c>
      <c r="E78" s="51" t="s">
        <v>806</v>
      </c>
    </row>
    <row r="79" customFormat="false" ht="18" hidden="false" customHeight="true" outlineLevel="0" collapsed="false">
      <c r="A79" s="51" t="s">
        <v>39</v>
      </c>
      <c r="B79" s="51" t="s">
        <v>551</v>
      </c>
      <c r="C79" s="51" t="s">
        <v>552</v>
      </c>
      <c r="D79" s="63" t="n">
        <f aca="false">(6_Valuation!$F$28-6_Valuation!$F$29-6_Valuation!$F$30)</f>
        <v>1070.4</v>
      </c>
      <c r="E79" s="51" t="s">
        <v>807</v>
      </c>
    </row>
    <row r="80" customFormat="false" ht="18" hidden="false" customHeight="true" outlineLevel="0" collapsed="false">
      <c r="A80" s="51" t="s">
        <v>39</v>
      </c>
      <c r="B80" s="51" t="s">
        <v>554</v>
      </c>
      <c r="C80" s="51" t="s">
        <v>555</v>
      </c>
      <c r="D80" s="60" t="n">
        <f aca="false">((6_Valuation!$B$40*6_Valuation!$F$37)+(6_Valuation!$B$41-6_Valuation!$B$42+6_Valuation!$B$43+6_Valuation!$B$44))/(6_Valuation!$F$28-6_Valuation!$F$29-6_Valuation!$F$30)</f>
        <v>8.98232436472347</v>
      </c>
      <c r="E80" s="51" t="s">
        <v>808</v>
      </c>
    </row>
    <row r="81" customFormat="false" ht="18" hidden="false" customHeight="true" outlineLevel="0" collapsed="false">
      <c r="A81" s="51" t="s">
        <v>39</v>
      </c>
      <c r="B81" s="51" t="s">
        <v>556</v>
      </c>
      <c r="C81" s="51" t="s">
        <v>557</v>
      </c>
      <c r="D81" s="64" t="n">
        <f aca="false">(((6_Valuation!$F$28-6_Valuation!$F$29-6_Valuation!$F$30)-6_Valuation!$F$31)-6_Valuation!$F$32-6_Valuation!$F$33)</f>
        <v>609.2</v>
      </c>
      <c r="E81" s="51" t="s">
        <v>809</v>
      </c>
    </row>
    <row r="82" customFormat="false" ht="18" hidden="false" customHeight="true" outlineLevel="0" collapsed="false">
      <c r="A82" s="51" t="s">
        <v>39</v>
      </c>
      <c r="B82" s="51" t="s">
        <v>559</v>
      </c>
      <c r="C82" s="51" t="s">
        <v>560</v>
      </c>
      <c r="D82" s="60" t="n">
        <f aca="false">(6_Valuation!$B$40*6_Valuation!$F$37)/(((6_Valuation!$F$28-6_Valuation!$F$29-6_Valuation!$F$30)-6_Valuation!$F$31)-6_Valuation!$F$32-6_Valuation!$F$33)</f>
        <v>13.7174655285621</v>
      </c>
      <c r="E82" s="51" t="s">
        <v>810</v>
      </c>
    </row>
    <row r="83" customFormat="false" ht="18" hidden="false" customHeight="true" outlineLevel="0" collapsed="false">
      <c r="A83" s="51" t="s">
        <v>39</v>
      </c>
      <c r="B83" s="51" t="s">
        <v>562</v>
      </c>
      <c r="C83" s="51" t="s">
        <v>563</v>
      </c>
      <c r="D83" s="55" t="n">
        <f aca="false">(6_Valuation!$F$28-6_Valuation!$F$29)/6_Valuation!$F$28</f>
        <v>0.424998028857526</v>
      </c>
      <c r="E83" s="51" t="s">
        <v>811</v>
      </c>
    </row>
    <row r="84" customFormat="false" ht="18" hidden="false" customHeight="true" outlineLevel="0" collapsed="false">
      <c r="A84" s="51" t="s">
        <v>39</v>
      </c>
      <c r="B84" s="51" t="s">
        <v>565</v>
      </c>
      <c r="C84" s="51" t="s">
        <v>566</v>
      </c>
      <c r="D84" s="55" t="n">
        <f aca="false">(6_Valuation!$F$28-6_Valuation!$F$29-6_Valuation!$F$30)/6_Valuation!$F$28</f>
        <v>0.210991090436017</v>
      </c>
      <c r="E84" s="51" t="s">
        <v>812</v>
      </c>
    </row>
    <row r="85" customFormat="false" ht="18" hidden="false" customHeight="true" outlineLevel="0" collapsed="false">
      <c r="A85" s="51" t="s">
        <v>39</v>
      </c>
      <c r="B85" s="51" t="s">
        <v>568</v>
      </c>
      <c r="C85" s="51" t="s">
        <v>569</v>
      </c>
      <c r="D85" s="55" t="n">
        <f aca="false">(6_Valuation!$F$28/6_Valuation!$B$28)^(1/4)-1</f>
        <v>0.0612201757170254</v>
      </c>
      <c r="E85" s="51" t="s">
        <v>813</v>
      </c>
    </row>
    <row r="86" customFormat="false" ht="18" hidden="false" customHeight="true" outlineLevel="0" collapsed="false">
      <c r="A86" s="51" t="s">
        <v>39</v>
      </c>
      <c r="B86" s="51" t="s">
        <v>571</v>
      </c>
      <c r="C86" s="51" t="s">
        <v>572</v>
      </c>
      <c r="D86" s="55" t="n">
        <f aca="false">(6_Valuation!$F$34-6_Valuation!$F$35)/(6_Valuation!$B$40*6_Valuation!$F$37)</f>
        <v>0.0706022008740313</v>
      </c>
      <c r="E86" s="51" t="s">
        <v>814</v>
      </c>
    </row>
    <row r="87" customFormat="false" ht="18" hidden="false" customHeight="true" outlineLevel="0" collapsed="false">
      <c r="A87" s="51" t="s">
        <v>39</v>
      </c>
      <c r="B87" s="51" t="s">
        <v>573</v>
      </c>
      <c r="C87" s="51" t="s">
        <v>574</v>
      </c>
      <c r="D87" s="60" t="n">
        <f aca="false">(6_Valuation!$B$41-6_Valuation!$B$42)/(6_Valuation!$F$28-6_Valuation!$F$29-6_Valuation!$F$30)</f>
        <v>1.03699551569507</v>
      </c>
      <c r="E87" s="51" t="s">
        <v>815</v>
      </c>
    </row>
    <row r="88" customFormat="false" ht="18" hidden="false" customHeight="true" outlineLevel="0" collapsed="false">
      <c r="A88" s="51" t="s">
        <v>39</v>
      </c>
      <c r="B88" s="51" t="s">
        <v>575</v>
      </c>
      <c r="C88" s="51" t="s">
        <v>576</v>
      </c>
      <c r="D88" s="55" t="n">
        <f aca="false">6_Valuation!$F$36/(((6_Valuation!$F$28-6_Valuation!$F$29-6_Valuation!$F$30)-6_Valuation!$F$31)-6_Valuation!$F$32-6_Valuation!$F$33)</f>
        <v>0.380006565988181</v>
      </c>
      <c r="E88" s="51" t="s">
        <v>816</v>
      </c>
    </row>
    <row r="89" customFormat="false" ht="18" hidden="false" customHeight="true" outlineLevel="0" collapsed="false">
      <c r="A89" s="51" t="s">
        <v>39</v>
      </c>
      <c r="B89" s="51" t="s">
        <v>578</v>
      </c>
      <c r="C89" s="51" t="s">
        <v>579</v>
      </c>
      <c r="D89" s="60" t="n">
        <f aca="false">((6_Valuation!$F$28-6_Valuation!$F$29-6_Valuation!$F$30)-6_Valuation!$F$31)/6_Valuation!$F$32</f>
        <v>13.0666666666667</v>
      </c>
      <c r="E89" s="51" t="s">
        <v>817</v>
      </c>
    </row>
    <row r="90" customFormat="false" ht="31.5" hidden="false" customHeight="true" outlineLevel="0" collapsed="false">
      <c r="A90" s="51" t="s">
        <v>39</v>
      </c>
      <c r="B90" s="51" t="s">
        <v>580</v>
      </c>
      <c r="C90" s="51" t="s">
        <v>581</v>
      </c>
      <c r="D90" s="52" t="n">
        <f aca="false">(6_Valuation!$B$45*(6_Valuation!$F$28-6_Valuation!$F$29-6_Valuation!$F$30)-(6_Valuation!$B$41-6_Valuation!$B$42+6_Valuation!$B$43+6_Valuation!$B$44))/6_Valuation!$F$37</f>
        <v>29.1974420463629</v>
      </c>
      <c r="E90" s="51" t="s">
        <v>818</v>
      </c>
    </row>
    <row r="91" customFormat="false" ht="18" hidden="false" customHeight="true" outlineLevel="0" collapsed="false">
      <c r="A91" s="51" t="s">
        <v>39</v>
      </c>
      <c r="B91" s="51" t="s">
        <v>583</v>
      </c>
      <c r="C91" s="51" t="s">
        <v>584</v>
      </c>
      <c r="D91" s="55" t="n">
        <f aca="false">((6_Valuation!$B$45*(6_Valuation!$F$28-6_Valuation!$F$29-6_Valuation!$F$30)-(6_Valuation!$B$41-6_Valuation!$B$42+6_Valuation!$B$43+6_Valuation!$B$44))/6_Valuation!$F$37)/6_Valuation!$B$40-1</f>
        <v>-0.125825088432248</v>
      </c>
      <c r="E91" s="51" t="s">
        <v>819</v>
      </c>
    </row>
    <row r="92" customFormat="false" ht="60" hidden="false" customHeight="true" outlineLevel="0" collapsed="false">
      <c r="A92" s="51" t="s">
        <v>39</v>
      </c>
      <c r="B92" s="51" t="s">
        <v>586</v>
      </c>
      <c r="C92" s="51" t="s">
        <v>587</v>
      </c>
      <c r="D92" s="52" t="n">
        <f aca="false">Key_Work!$AJ$12</f>
        <v>36.3716518776255</v>
      </c>
      <c r="E92" s="51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2026-10-08T17:25:35Z</dcterms:created>
  <dc:creator>openpyxl</dc:creator>
  <dc:description/>
  <dc:language>en-US</dc:language>
  <cp:lastModifiedBy/>
  <dcterms:modified xsi:type="dcterms:W3CDTF">2026-10-08T17:25:35Z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
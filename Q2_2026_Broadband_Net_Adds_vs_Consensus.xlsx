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2'26 BB Net Add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<sst xmlns="http://schemas.openxmlformats.org/spreadsheetml/2006/main" count="41" uniqueCount="34">
  <si>
    <t xml:space="preserve">US Broadband — Q2 2026 Net Adds: Actual vs. Consensus</t>
  </si>
  <si>
    <t xml:space="preserve">Source: Q2 2026 Earnings First Look exhibits for CMCSA, CHTR, T, and VZ. All figures in thousands of subscribers.</t>
  </si>
  <si>
    <t xml:space="preserve">Company</t>
  </si>
  <si>
    <t xml:space="preserve">Metric</t>
  </si>
  <si>
    <t xml:space="preserve">Q2'25A</t>
  </si>
  <si>
    <t xml:space="preserve">Q1'26A</t>
  </si>
  <si>
    <t xml:space="preserve">Q2'26 Consensus</t>
  </si>
  <si>
    <t xml:space="preserve">Q2'26 Actual</t>
  </si>
  <si>
    <t xml:space="preserve">Beat / (Miss) vs Con. (000s)</t>
  </si>
  <si>
    <t xml:space="preserve">Beat / (Miss) vs Con. (%)</t>
  </si>
  <si>
    <t xml:space="preserve">YoY Chg (000s)</t>
  </si>
  <si>
    <t xml:space="preserve">Comcast (CMCSA)</t>
  </si>
  <si>
    <t xml:space="preserve">Residential Broadband Net Adds</t>
  </si>
  <si>
    <t xml:space="preserve">Charter (CHTR)</t>
  </si>
  <si>
    <t xml:space="preserve">AT&amp;T (T)</t>
  </si>
  <si>
    <t xml:space="preserve">Consumer Fiber Net Adds</t>
  </si>
  <si>
    <t xml:space="preserve">Consumer FWA Net Adds</t>
  </si>
  <si>
    <t xml:space="preserve">Total Broadband Net Adds (Fiber + FWA)</t>
  </si>
  <si>
    <t xml:space="preserve">Verizon (VZ)</t>
  </si>
  <si>
    <t xml:space="preserve">Fios Internet Net Adds</t>
  </si>
  <si>
    <t xml:space="preserve">Total FWA Net Adds</t>
  </si>
  <si>
    <t xml:space="preserve">Total Broadband Net Adds (Fios + FWA)</t>
  </si>
  <si>
    <t xml:space="preserve">MEMO</t>
  </si>
  <si>
    <t xml:space="preserve">Four-operator total broadband net adds</t>
  </si>
  <si>
    <t xml:space="preserve">Cable total (CMCSA + CHTR)</t>
  </si>
  <si>
    <t xml:space="preserve">Telco total (T + VZ)</t>
  </si>
  <si>
    <t xml:space="preserve">Notes:</t>
  </si>
  <si>
    <t xml:space="preserve">1. All figures in thousands of subscriber net adds. Blue = hardcoded inputs taken directly from the Q2 2026 Earnings First Look exhibits provided; black = calculated.</t>
  </si>
  <si>
    <t xml:space="preserve">2. CMCSA and CHTR each report a single residential broadband net adds line, so no aggregation is required. Both posted net losses in Q2'26 and both came in below consensus.</t>
  </si>
  <si>
    <t xml:space="preserve">3. AT&amp;T and Verizon each report fiber/Fios and FWA separately. The shaded subtotal rows sum the two reported lines — for the actuals AND for the consensus figures — to give a like-for-like total broadband view versus cable.</t>
  </si>
  <si>
    <t xml:space="preserve">4. Beat/(Miss) % is calculated as (Actual - Consensus) / ABS(Consensus). ABS is used in the denominator so that a wider-than-expected subscriber LOSS correctly shows as a negative (miss) rather than flipping sign.</t>
  </si>
  <si>
    <t xml:space="preserve">5. Percentages may differ by a few tenths from the Beat/Miss column shown on the source exhibits, which appear to be computed off unrounded underlying figures rather than the rounded numbers displayed.</t>
  </si>
  <si>
    <t xml:space="preserve">6. Definitional caveat: cable broadband net adds are residential only, AT&amp;T's fiber and FWA lines are consumer only, but Verizon's FWA line is TOTAL FWA (includes business). Verizon's total therefore is not perfectly consumer-comparable to the other three.</t>
  </si>
  <si>
    <t xml:space="preserve">7. Mix caveat: telco totals blend fiber (owned infrastructure, higher ARPU, capex-intensive) with FWA (fixed wireless over spare mobile capacity, lower ARPU, capacity-constrained). The subtotal is useful for competitive share-of-net-adds work but the two products have very different economics.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</si>
</sst>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"/>
    <numFmt numFmtId="166" formatCode="0.0%;\(0.0%\)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9"/>
    <col collapsed="false" customWidth="true" hidden="false" outlineLevel="0" max="3" min="3" style="0" width="38"/>
    <col collapsed="false" customWidth="true" hidden="false" outlineLevel="0" max="5" min="4" style="0" width="11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9" min="8" style="0" width="16"/>
    <col collapsed="false" customWidth="true" hidden="false" outlineLevel="0" max="10" min="10" style="0" width="13"/>
  </cols>
  <sheetData>
    <row r="2" customFormat="false" ht="16.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3.75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</row>
    <row r="6" customFormat="false" ht="15" hidden="false" customHeight="false" outlineLevel="0" collapsed="false">
      <c r="B6" s="4" t="s">
        <v>11</v>
      </c>
      <c r="C6" s="4" t="s">
        <v>12</v>
      </c>
      <c r="D6" s="5" t="n">
        <v>-201</v>
      </c>
      <c r="E6" s="5" t="n">
        <v>-65</v>
      </c>
      <c r="F6" s="5" t="n">
        <v>-159</v>
      </c>
      <c r="G6" s="5" t="n">
        <v>-167</v>
      </c>
      <c r="H6" s="6" t="n">
        <f aca="false">G6-F6</f>
        <v>-8</v>
      </c>
      <c r="I6" s="7" t="n">
        <f aca="false">IF(F6=0,"n/m",(G6-F6)/ABS(F6))</f>
        <v>-0.050314465408805</v>
      </c>
      <c r="J6" s="6" t="n">
        <f aca="false">G6-D6</f>
        <v>34</v>
      </c>
    </row>
    <row r="7" customFormat="false" ht="15" hidden="false" customHeight="false" outlineLevel="0" collapsed="false">
      <c r="B7" s="4" t="s">
        <v>13</v>
      </c>
      <c r="C7" s="4" t="s">
        <v>12</v>
      </c>
      <c r="D7" s="5" t="n">
        <v>-111</v>
      </c>
      <c r="E7" s="5" t="n">
        <v>-117</v>
      </c>
      <c r="F7" s="5" t="n">
        <v>-137</v>
      </c>
      <c r="G7" s="5" t="n">
        <v>-166</v>
      </c>
      <c r="H7" s="6" t="n">
        <f aca="false">G7-F7</f>
        <v>-29</v>
      </c>
      <c r="I7" s="7" t="n">
        <f aca="false">IF(F7=0,"n/m",(G7-F7)/ABS(F7))</f>
        <v>-0.211678832116788</v>
      </c>
      <c r="J7" s="6" t="n">
        <f aca="false">G7-D7</f>
        <v>-55</v>
      </c>
    </row>
    <row r="8" customFormat="false" ht="15" hidden="false" customHeight="false" outlineLevel="0" collapsed="false">
      <c r="B8" s="4" t="s">
        <v>14</v>
      </c>
      <c r="C8" s="4" t="s">
        <v>15</v>
      </c>
      <c r="D8" s="5" t="n">
        <v>243</v>
      </c>
      <c r="E8" s="5" t="n">
        <v>273</v>
      </c>
      <c r="F8" s="5" t="n">
        <v>288</v>
      </c>
      <c r="G8" s="5" t="n">
        <v>344</v>
      </c>
      <c r="H8" s="6" t="n">
        <f aca="false">G8-F8</f>
        <v>56</v>
      </c>
      <c r="I8" s="7" t="n">
        <f aca="false">IF(F8=0,"n/m",(G8-F8)/ABS(F8))</f>
        <v>0.194444444444444</v>
      </c>
      <c r="J8" s="6" t="n">
        <f aca="false">G8-D8</f>
        <v>101</v>
      </c>
    </row>
    <row r="9" customFormat="false" ht="15" hidden="false" customHeight="false" outlineLevel="0" collapsed="false">
      <c r="B9" s="4" t="s">
        <v>14</v>
      </c>
      <c r="C9" s="4" t="s">
        <v>16</v>
      </c>
      <c r="D9" s="5" t="n">
        <v>203</v>
      </c>
      <c r="E9" s="5" t="n">
        <v>239</v>
      </c>
      <c r="F9" s="5" t="n">
        <v>233</v>
      </c>
      <c r="G9" s="5" t="n">
        <v>215</v>
      </c>
      <c r="H9" s="6" t="n">
        <f aca="false">G9-F9</f>
        <v>-18</v>
      </c>
      <c r="I9" s="7" t="n">
        <f aca="false">IF(F9=0,"n/m",(G9-F9)/ABS(F9))</f>
        <v>-0.0772532188841202</v>
      </c>
      <c r="J9" s="6" t="n">
        <f aca="false">G9-D9</f>
        <v>12</v>
      </c>
    </row>
    <row r="10" customFormat="false" ht="15" hidden="false" customHeight="false" outlineLevel="0" collapsed="false">
      <c r="B10" s="8" t="s">
        <v>14</v>
      </c>
      <c r="C10" s="8" t="s">
        <v>17</v>
      </c>
      <c r="D10" s="9" t="n">
        <f aca="false">SUM(D8:D9)</f>
        <v>446</v>
      </c>
      <c r="E10" s="9" t="n">
        <f aca="false">SUM(E8:E9)</f>
        <v>512</v>
      </c>
      <c r="F10" s="9" t="n">
        <f aca="false">SUM(F8:F9)</f>
        <v>521</v>
      </c>
      <c r="G10" s="9" t="n">
        <f aca="false">SUM(G8:G9)</f>
        <v>559</v>
      </c>
      <c r="H10" s="9" t="n">
        <f aca="false">G10-F10</f>
        <v>38</v>
      </c>
      <c r="I10" s="10" t="n">
        <f aca="false">IF(F10=0,"n/m",(G10-F10)/ABS(F10))</f>
        <v>0.072936660268714</v>
      </c>
      <c r="J10" s="9" t="n">
        <f aca="false">G10-D10</f>
        <v>113</v>
      </c>
    </row>
    <row r="11" customFormat="false" ht="15" hidden="false" customHeight="false" outlineLevel="0" collapsed="false">
      <c r="B11" s="4" t="s">
        <v>18</v>
      </c>
      <c r="C11" s="4" t="s">
        <v>19</v>
      </c>
      <c r="D11" s="5" t="n">
        <v>32</v>
      </c>
      <c r="E11" s="5" t="n">
        <v>127</v>
      </c>
      <c r="F11" s="5" t="n">
        <v>130</v>
      </c>
      <c r="G11" s="5" t="n">
        <v>155</v>
      </c>
      <c r="H11" s="6" t="n">
        <f aca="false">G11-F11</f>
        <v>25</v>
      </c>
      <c r="I11" s="7" t="n">
        <f aca="false">IF(F11=0,"n/m",(G11-F11)/ABS(F11))</f>
        <v>0.192307692307692</v>
      </c>
      <c r="J11" s="6" t="n">
        <f aca="false">G11-D11</f>
        <v>123</v>
      </c>
    </row>
    <row r="12" customFormat="false" ht="15" hidden="false" customHeight="false" outlineLevel="0" collapsed="false">
      <c r="B12" s="4" t="s">
        <v>18</v>
      </c>
      <c r="C12" s="4" t="s">
        <v>20</v>
      </c>
      <c r="D12" s="5" t="n">
        <v>278</v>
      </c>
      <c r="E12" s="5" t="n">
        <v>214</v>
      </c>
      <c r="F12" s="5" t="n">
        <v>213</v>
      </c>
      <c r="G12" s="5" t="n">
        <v>193</v>
      </c>
      <c r="H12" s="6" t="n">
        <f aca="false">G12-F12</f>
        <v>-20</v>
      </c>
      <c r="I12" s="7" t="n">
        <f aca="false">IF(F12=0,"n/m",(G12-F12)/ABS(F12))</f>
        <v>-0.0938967136150235</v>
      </c>
      <c r="J12" s="6" t="n">
        <f aca="false">G12-D12</f>
        <v>-85</v>
      </c>
    </row>
    <row r="13" customFormat="false" ht="15" hidden="false" customHeight="false" outlineLevel="0" collapsed="false">
      <c r="B13" s="8" t="s">
        <v>18</v>
      </c>
      <c r="C13" s="8" t="s">
        <v>21</v>
      </c>
      <c r="D13" s="9" t="n">
        <f aca="false">SUM(D11:D12)</f>
        <v>310</v>
      </c>
      <c r="E13" s="9" t="n">
        <f aca="false">SUM(E11:E12)</f>
        <v>341</v>
      </c>
      <c r="F13" s="9" t="n">
        <f aca="false">SUM(F11:F12)</f>
        <v>343</v>
      </c>
      <c r="G13" s="9" t="n">
        <f aca="false">SUM(G11:G12)</f>
        <v>348</v>
      </c>
      <c r="H13" s="9" t="n">
        <f aca="false">G13-F13</f>
        <v>5</v>
      </c>
      <c r="I13" s="10" t="n">
        <f aca="false">IF(F13=0,"n/m",(G13-F13)/ABS(F13))</f>
        <v>0.0145772594752187</v>
      </c>
      <c r="J13" s="9" t="n">
        <f aca="false">G13-D13</f>
        <v>38</v>
      </c>
    </row>
    <row r="15" customFormat="false" ht="15" hidden="false" customHeight="false" outlineLevel="0" collapsed="false">
      <c r="B15" s="11" t="s">
        <v>22</v>
      </c>
      <c r="C15" s="11" t="s">
        <v>23</v>
      </c>
      <c r="D15" s="12" t="n">
        <f aca="false">D6+D7+D10+D13</f>
        <v>444</v>
      </c>
      <c r="E15" s="12" t="n">
        <f aca="false">E6+E7+E10+E13</f>
        <v>671</v>
      </c>
      <c r="F15" s="12" t="n">
        <f aca="false">F6+F7+F10+F13</f>
        <v>568</v>
      </c>
      <c r="G15" s="12" t="n">
        <f aca="false">G6+G7+G10+G13</f>
        <v>574</v>
      </c>
      <c r="H15" s="12" t="n">
        <f aca="false">G15-F15</f>
        <v>6</v>
      </c>
      <c r="I15" s="13" t="n">
        <f aca="false">IF(F15=0,"n/m",(G15-F15)/ABS(F15))</f>
        <v>0.0105633802816901</v>
      </c>
      <c r="J15" s="12" t="n">
        <f aca="false">G15-D15</f>
        <v>130</v>
      </c>
    </row>
    <row r="16" customFormat="false" ht="15" hidden="false" customHeight="false" outlineLevel="0" collapsed="false">
      <c r="B16" s="11" t="s">
        <v>22</v>
      </c>
      <c r="C16" s="11" t="s">
        <v>24</v>
      </c>
      <c r="D16" s="12" t="n">
        <f aca="false">D6+D7</f>
        <v>-312</v>
      </c>
      <c r="E16" s="12" t="n">
        <f aca="false">E6+E7</f>
        <v>-182</v>
      </c>
      <c r="F16" s="12" t="n">
        <f aca="false">F6+F7</f>
        <v>-296</v>
      </c>
      <c r="G16" s="12" t="n">
        <f aca="false">G6+G7</f>
        <v>-333</v>
      </c>
      <c r="H16" s="12" t="n">
        <f aca="false">G16-F16</f>
        <v>-37</v>
      </c>
      <c r="I16" s="13" t="n">
        <f aca="false">IF(F16=0,"n/m",(G16-F16)/ABS(F16))</f>
        <v>-0.125</v>
      </c>
      <c r="J16" s="12" t="n">
        <f aca="false">G16-D16</f>
        <v>-21</v>
      </c>
    </row>
    <row r="17" customFormat="false" ht="15" hidden="false" customHeight="false" outlineLevel="0" collapsed="false">
      <c r="B17" s="11" t="s">
        <v>22</v>
      </c>
      <c r="C17" s="11" t="s">
        <v>25</v>
      </c>
      <c r="D17" s="12" t="n">
        <f aca="false">D10+D13</f>
        <v>756</v>
      </c>
      <c r="E17" s="12" t="n">
        <f aca="false">E10+E13</f>
        <v>853</v>
      </c>
      <c r="F17" s="12" t="n">
        <f aca="false">F10+F13</f>
        <v>864</v>
      </c>
      <c r="G17" s="12" t="n">
        <f aca="false">G10+G13</f>
        <v>907</v>
      </c>
      <c r="H17" s="12" t="n">
        <f aca="false">G17-F17</f>
        <v>43</v>
      </c>
      <c r="I17" s="13" t="n">
        <f aca="false">IF(F17=0,"n/m",(G17-F17)/ABS(F17))</f>
        <v>0.0497685185185185</v>
      </c>
      <c r="J17" s="12" t="n">
        <f aca="false">G17-D17</f>
        <v>151</v>
      </c>
    </row>
    <row r="20" customFormat="false" ht="15" hidden="false" customHeight="false" outlineLevel="0" collapsed="false">
      <c r="B20" s="14" t="s">
        <v>26</v>
      </c>
    </row>
    <row r="21" customFormat="false" ht="15" hidden="false" customHeight="false" outlineLevel="0" collapsed="false">
      <c r="B21" s="15" t="s">
        <v>27</v>
      </c>
      <c r="C21" s="15"/>
      <c r="D21" s="15"/>
      <c r="E21" s="15"/>
      <c r="F21" s="15"/>
      <c r="G21" s="15"/>
      <c r="H21" s="15"/>
      <c r="I21" s="15"/>
      <c r="J21" s="15"/>
    </row>
    <row r="22" customFormat="false" ht="15" hidden="false" customHeight="false" outlineLevel="0" collapsed="false">
      <c r="B22" s="15" t="s">
        <v>28</v>
      </c>
      <c r="C22" s="15"/>
      <c r="D22" s="15"/>
      <c r="E22" s="15"/>
      <c r="F22" s="15"/>
      <c r="G22" s="15"/>
      <c r="H22" s="15"/>
      <c r="I22" s="15"/>
      <c r="J22" s="15"/>
    </row>
    <row r="23" customFormat="false" ht="15" hidden="false" customHeight="false" outlineLevel="0" collapsed="false">
      <c r="B23" s="15" t="s">
        <v>29</v>
      </c>
      <c r="C23" s="15"/>
      <c r="D23" s="15"/>
      <c r="E23" s="15"/>
      <c r="F23" s="15"/>
      <c r="G23" s="15"/>
      <c r="H23" s="15"/>
      <c r="I23" s="15"/>
      <c r="J23" s="15"/>
    </row>
    <row r="24" customFormat="false" ht="15" hidden="false" customHeight="false" outlineLevel="0" collapsed="false">
      <c r="B24" s="15" t="s">
        <v>30</v>
      </c>
      <c r="C24" s="15"/>
      <c r="D24" s="15"/>
      <c r="E24" s="15"/>
      <c r="F24" s="15"/>
      <c r="G24" s="15"/>
      <c r="H24" s="15"/>
      <c r="I24" s="15"/>
      <c r="J24" s="15"/>
    </row>
    <row r="25" customFormat="false" ht="15" hidden="false" customHeight="false" outlineLevel="0" collapsed="false">
      <c r="B25" s="15" t="s">
        <v>31</v>
      </c>
      <c r="C25" s="15"/>
      <c r="D25" s="15"/>
      <c r="E25" s="15"/>
      <c r="F25" s="15"/>
      <c r="G25" s="15"/>
      <c r="H25" s="15"/>
      <c r="I25" s="15"/>
      <c r="J25" s="15"/>
    </row>
    <row r="26" customFormat="false" ht="15" hidden="false" customHeight="false" outlineLevel="0" collapsed="false">
      <c r="B26" s="15" t="s">
        <v>32</v>
      </c>
      <c r="C26" s="15"/>
      <c r="D26" s="15"/>
      <c r="E26" s="15"/>
      <c r="F26" s="15"/>
      <c r="G26" s="15"/>
      <c r="H26" s="15"/>
      <c r="I26" s="15"/>
      <c r="J26" s="15"/>
    </row>
    <row r="27" customFormat="false" ht="15" hidden="false" customHeight="false" outlineLevel="0" collapsed="false">
      <c r="B27" s="15" t="s">
        <v>33</v>
      </c>
      <c r="C27" s="15"/>
      <c r="D27" s="15"/>
      <c r="E27" s="15"/>
      <c r="F27" s="15"/>
      <c r="G27" s="15"/>
      <c r="H27" s="15"/>
      <c r="I27" s="15"/>
      <c r="J27" s="15"/>
    </row>
  </sheetData>
  <mergeCells count="7">
    <mergeCell ref="B21:J21"/>
    <mergeCell ref="B22:J22"/>
    <mergeCell ref="B23:J23"/>
    <mergeCell ref="B24:J24"/>
    <mergeCell ref="B25:J25"/>
    <mergeCell ref="B26:J26"/>
    <mergeCell ref="B27:J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2026-08-05T01:07:33Z</dcterms:created>
  <dc:creator>openpyxl</dc:creator>
  <dc:description/>
  <dc:language>en-US</dc:language>
  <cp:lastModifiedBy/>
  <dcterms:modified xsi:type="dcterms:W3CDTF">2026-08-05T01:07:33Z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